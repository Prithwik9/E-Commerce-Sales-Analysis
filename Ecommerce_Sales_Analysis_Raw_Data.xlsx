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colors5.xml" ContentType="application/vnd.ms-office.chartcolorstyle+xml"/>
  <Override PartName="/xl/charts/style4.xml" ContentType="application/vnd.ms-office.chartstyle+xml"/>
  <Override PartName="/xl/charts/style5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pivotCache/pivotCacheRecords2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Orders" sheetId="1" state="visible" r:id="rId3"/>
    <sheet name="Products" sheetId="2" state="visible" r:id="rId4"/>
    <sheet name="Customers" sheetId="3" state="visible" r:id="rId5"/>
    <sheet name="Data Quality" sheetId="4" state="visible" r:id="rId6"/>
    <sheet name="Formula_Analysis" sheetId="5" state="visible" r:id="rId7"/>
    <sheet name="Pivot Analysis " sheetId="6" state="visible" r:id="rId8"/>
    <sheet name="Dashboard" sheetId="7" state="visible" r:id="rId9"/>
  </sheets>
  <definedNames>
    <definedName function="false" hidden="true" localSheetId="2" name="_xlnm._FilterDatabase" vbProcedure="false">Customers!$A$1:$E$301</definedName>
    <definedName function="false" hidden="true" localSheetId="0" name="_xlnm._FilterDatabase" vbProcedure="false">Orders!$A$1:$J$1501</definedName>
    <definedName function="false" hidden="true" localSheetId="1" name="_xlnm._FilterDatabase" vbProcedure="false">Products!$A$1:$E$101</definedName>
  </definedNames>
  <calcPr iterateCount="100" refMode="A1" iterate="false" iterateDelta="0.0001"/>
  <pivotCaches>
    <pivotCache cacheId="1" r:id="rId11"/>
    <pivotCache cacheId="2" r:id="rId12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<sst xmlns="http://schemas.openxmlformats.org/spreadsheetml/2006/main" count="10972" uniqueCount="2262">
  <si>
    <t xml:space="preserve">Order_ID</t>
  </si>
  <si>
    <t xml:space="preserve">Order_Date</t>
  </si>
  <si>
    <t xml:space="preserve">Customer ID</t>
  </si>
  <si>
    <t xml:space="preserve">Product ID</t>
  </si>
  <si>
    <t xml:space="preserve">Quantity</t>
  </si>
  <si>
    <t xml:space="preserve">Discount Rate</t>
  </si>
  <si>
    <t xml:space="preserve">Payment Method</t>
  </si>
  <si>
    <t xml:space="preserve">Order Status</t>
  </si>
  <si>
    <t xml:space="preserve">Sales Channel</t>
  </si>
  <si>
    <t xml:space="preserve">Delivery Days</t>
  </si>
  <si>
    <t xml:space="preserve">O000001</t>
  </si>
  <si>
    <t xml:space="preserve">C0210</t>
  </si>
  <si>
    <t xml:space="preserve">P1097</t>
  </si>
  <si>
    <t xml:space="preserve">Wallet</t>
  </si>
  <si>
    <t xml:space="preserve">Delivered</t>
  </si>
  <si>
    <t xml:space="preserve">Mobile App</t>
  </si>
  <si>
    <t xml:space="preserve">O000002</t>
  </si>
  <si>
    <t xml:space="preserve">C0028</t>
  </si>
  <si>
    <t xml:space="preserve">P1078</t>
  </si>
  <si>
    <t xml:space="preserve">Debit Card</t>
  </si>
  <si>
    <t xml:space="preserve">Marketplace</t>
  </si>
  <si>
    <t xml:space="preserve">O000003</t>
  </si>
  <si>
    <t xml:space="preserve">C0097</t>
  </si>
  <si>
    <t xml:space="preserve">P1083</t>
  </si>
  <si>
    <t xml:space="preserve">Cash on Delivery</t>
  </si>
  <si>
    <t xml:space="preserve">O000004</t>
  </si>
  <si>
    <t xml:space="preserve">C0258</t>
  </si>
  <si>
    <t xml:space="preserve">P1047</t>
  </si>
  <si>
    <t xml:space="preserve">O000005</t>
  </si>
  <si>
    <t xml:space="preserve">C0119</t>
  </si>
  <si>
    <t xml:space="preserve">P1018</t>
  </si>
  <si>
    <t xml:space="preserve">O000006</t>
  </si>
  <si>
    <t xml:space="preserve">C0164</t>
  </si>
  <si>
    <t xml:space="preserve">P1086</t>
  </si>
  <si>
    <t xml:space="preserve">Credit Card</t>
  </si>
  <si>
    <t xml:space="preserve">O000007</t>
  </si>
  <si>
    <t xml:space="preserve">C0279</t>
  </si>
  <si>
    <t xml:space="preserve">P1100</t>
  </si>
  <si>
    <t xml:space="preserve">Website</t>
  </si>
  <si>
    <t xml:space="preserve">O000008</t>
  </si>
  <si>
    <t xml:space="preserve">C0141</t>
  </si>
  <si>
    <t xml:space="preserve">P1027</t>
  </si>
  <si>
    <t xml:space="preserve">O000009</t>
  </si>
  <si>
    <t xml:space="preserve">C0178</t>
  </si>
  <si>
    <t xml:space="preserve">P1026</t>
  </si>
  <si>
    <t xml:space="preserve">Cancelled</t>
  </si>
  <si>
    <t xml:space="preserve">O000010</t>
  </si>
  <si>
    <t xml:space="preserve">C0239</t>
  </si>
  <si>
    <t xml:space="preserve">P1029</t>
  </si>
  <si>
    <t xml:space="preserve">O000011</t>
  </si>
  <si>
    <t xml:space="preserve">C0202</t>
  </si>
  <si>
    <t xml:space="preserve">P1052</t>
  </si>
  <si>
    <t xml:space="preserve">UPI</t>
  </si>
  <si>
    <t xml:space="preserve">Shipped</t>
  </si>
  <si>
    <t xml:space="preserve">O000012</t>
  </si>
  <si>
    <t xml:space="preserve">C0025</t>
  </si>
  <si>
    <t xml:space="preserve">O000013</t>
  </si>
  <si>
    <t xml:space="preserve">C0294</t>
  </si>
  <si>
    <t xml:space="preserve">P1084</t>
  </si>
  <si>
    <t xml:space="preserve">Category</t>
  </si>
  <si>
    <t xml:space="preserve">Sum - Net Profit</t>
  </si>
  <si>
    <t xml:space="preserve">C0187</t>
  </si>
  <si>
    <t xml:space="preserve">Appliances</t>
  </si>
  <si>
    <t xml:space="preserve">C0240</t>
  </si>
  <si>
    <t xml:space="preserve">P1053</t>
  </si>
  <si>
    <t xml:space="preserve">Beauty</t>
  </si>
  <si>
    <t xml:space="preserve">C0176</t>
  </si>
  <si>
    <t xml:space="preserve">P1066</t>
  </si>
  <si>
    <t xml:space="preserve">Books &amp; Stationery</t>
  </si>
  <si>
    <t xml:space="preserve">C0220</t>
  </si>
  <si>
    <t xml:space="preserve">P1010</t>
  </si>
  <si>
    <t xml:space="preserve">Net Banking</t>
  </si>
  <si>
    <t xml:space="preserve">Electronics</t>
  </si>
  <si>
    <t xml:space="preserve">C0209</t>
  </si>
  <si>
    <t xml:space="preserve">P1050</t>
  </si>
  <si>
    <t xml:space="preserve">Fashion</t>
  </si>
  <si>
    <t xml:space="preserve">C0146</t>
  </si>
  <si>
    <t xml:space="preserve">P1028</t>
  </si>
  <si>
    <t xml:space="preserve">Returned</t>
  </si>
  <si>
    <t xml:space="preserve">Home &amp; Kitchen</t>
  </si>
  <si>
    <t xml:space="preserve">C0168</t>
  </si>
  <si>
    <t xml:space="preserve">P1040</t>
  </si>
  <si>
    <t xml:space="preserve">Sports &amp; Outdoors</t>
  </si>
  <si>
    <t xml:space="preserve">C0231</t>
  </si>
  <si>
    <t xml:space="preserve">P1019</t>
  </si>
  <si>
    <t xml:space="preserve">Total Result</t>
  </si>
  <si>
    <t xml:space="preserve">C0037</t>
  </si>
  <si>
    <t xml:space="preserve">O000023</t>
  </si>
  <si>
    <t xml:space="preserve">C0117</t>
  </si>
  <si>
    <t xml:space="preserve">P1058</t>
  </si>
  <si>
    <t xml:space="preserve">O000024</t>
  </si>
  <si>
    <t xml:space="preserve">C0027</t>
  </si>
  <si>
    <t xml:space="preserve">Processing</t>
  </si>
  <si>
    <t xml:space="preserve">O000025</t>
  </si>
  <si>
    <t xml:space="preserve">P1089</t>
  </si>
  <si>
    <t xml:space="preserve">O000026</t>
  </si>
  <si>
    <t xml:space="preserve">C0076</t>
  </si>
  <si>
    <t xml:space="preserve">P1036</t>
  </si>
  <si>
    <t xml:space="preserve">O000027</t>
  </si>
  <si>
    <t xml:space="preserve">C0251</t>
  </si>
  <si>
    <t xml:space="preserve">P1044</t>
  </si>
  <si>
    <t xml:space="preserve">O000028</t>
  </si>
  <si>
    <t xml:space="preserve">C0124</t>
  </si>
  <si>
    <t xml:space="preserve">P1022</t>
  </si>
  <si>
    <t xml:space="preserve">O000029</t>
  </si>
  <si>
    <t xml:space="preserve">C0238</t>
  </si>
  <si>
    <t xml:space="preserve">P1023</t>
  </si>
  <si>
    <t xml:space="preserve">O000030</t>
  </si>
  <si>
    <t xml:space="preserve">C0066</t>
  </si>
  <si>
    <t xml:space="preserve">P1072</t>
  </si>
  <si>
    <t xml:space="preserve">O000031</t>
  </si>
  <si>
    <t xml:space="preserve">C0033</t>
  </si>
  <si>
    <t xml:space="preserve">P1042</t>
  </si>
  <si>
    <t xml:space="preserve">O000032</t>
  </si>
  <si>
    <t xml:space="preserve">P1006</t>
  </si>
  <si>
    <t xml:space="preserve">O000033</t>
  </si>
  <si>
    <t xml:space="preserve">C0057</t>
  </si>
  <si>
    <t xml:space="preserve">P1024</t>
  </si>
  <si>
    <t xml:space="preserve">O000034</t>
  </si>
  <si>
    <t xml:space="preserve">C0157</t>
  </si>
  <si>
    <t xml:space="preserve">O000035</t>
  </si>
  <si>
    <t xml:space="preserve">C0061</t>
  </si>
  <si>
    <t xml:space="preserve">P1020</t>
  </si>
  <si>
    <t xml:space="preserve">O000036</t>
  </si>
  <si>
    <t xml:space="preserve">C0271</t>
  </si>
  <si>
    <t xml:space="preserve">P1003</t>
  </si>
  <si>
    <t xml:space="preserve">O000037</t>
  </si>
  <si>
    <t xml:space="preserve">C0194</t>
  </si>
  <si>
    <t xml:space="preserve">O000038</t>
  </si>
  <si>
    <t xml:space="preserve">C0145</t>
  </si>
  <si>
    <t xml:space="preserve">P1038</t>
  </si>
  <si>
    <t xml:space="preserve">O000039</t>
  </si>
  <si>
    <t xml:space="preserve">O000040</t>
  </si>
  <si>
    <t xml:space="preserve">C0052</t>
  </si>
  <si>
    <t xml:space="preserve">P1098</t>
  </si>
  <si>
    <t xml:space="preserve">O000041</t>
  </si>
  <si>
    <t xml:space="preserve">C0280</t>
  </si>
  <si>
    <t xml:space="preserve">P1046</t>
  </si>
  <si>
    <t xml:space="preserve">O000042</t>
  </si>
  <si>
    <t xml:space="preserve">C0114</t>
  </si>
  <si>
    <t xml:space="preserve">P1025</t>
  </si>
  <si>
    <t xml:space="preserve">O000043</t>
  </si>
  <si>
    <t xml:space="preserve">C0243</t>
  </si>
  <si>
    <t xml:space="preserve">P1094</t>
  </si>
  <si>
    <t xml:space="preserve">O000044</t>
  </si>
  <si>
    <t xml:space="preserve">C0091</t>
  </si>
  <si>
    <t xml:space="preserve">O000045</t>
  </si>
  <si>
    <t xml:space="preserve">C0207</t>
  </si>
  <si>
    <t xml:space="preserve">P1096</t>
  </si>
  <si>
    <t xml:space="preserve">O000046</t>
  </si>
  <si>
    <t xml:space="preserve">C0167</t>
  </si>
  <si>
    <t xml:space="preserve">O000047</t>
  </si>
  <si>
    <t xml:space="preserve">O000048</t>
  </si>
  <si>
    <t xml:space="preserve">C0055</t>
  </si>
  <si>
    <t xml:space="preserve">P1007</t>
  </si>
  <si>
    <t xml:space="preserve">O000049</t>
  </si>
  <si>
    <t xml:space="preserve">O000050</t>
  </si>
  <si>
    <t xml:space="preserve">C0135</t>
  </si>
  <si>
    <t xml:space="preserve">O000051</t>
  </si>
  <si>
    <t xml:space="preserve">C0021</t>
  </si>
  <si>
    <t xml:space="preserve">P1095</t>
  </si>
  <si>
    <t xml:space="preserve">O000052</t>
  </si>
  <si>
    <t xml:space="preserve">P1060</t>
  </si>
  <si>
    <t xml:space="preserve">O000053</t>
  </si>
  <si>
    <t xml:space="preserve">C0118</t>
  </si>
  <si>
    <t xml:space="preserve">P1045</t>
  </si>
  <si>
    <t xml:space="preserve">O000054</t>
  </si>
  <si>
    <t xml:space="preserve">C0053</t>
  </si>
  <si>
    <t xml:space="preserve">P1055</t>
  </si>
  <si>
    <t xml:space="preserve">O000055</t>
  </si>
  <si>
    <t xml:space="preserve">C0174</t>
  </si>
  <si>
    <t xml:space="preserve">P1082</t>
  </si>
  <si>
    <t xml:space="preserve">O000056</t>
  </si>
  <si>
    <t xml:space="preserve">C0038</t>
  </si>
  <si>
    <t xml:space="preserve">O000057</t>
  </si>
  <si>
    <t xml:space="preserve">C0159</t>
  </si>
  <si>
    <t xml:space="preserve">P1021</t>
  </si>
  <si>
    <t xml:space="preserve">O000058</t>
  </si>
  <si>
    <t xml:space="preserve">C0128</t>
  </si>
  <si>
    <t xml:space="preserve">P1035</t>
  </si>
  <si>
    <t xml:space="preserve">O000059</t>
  </si>
  <si>
    <t xml:space="preserve">C0201</t>
  </si>
  <si>
    <t xml:space="preserve">O000060</t>
  </si>
  <si>
    <t xml:space="preserve">C0181</t>
  </si>
  <si>
    <t xml:space="preserve">O000061</t>
  </si>
  <si>
    <t xml:space="preserve">C0214</t>
  </si>
  <si>
    <t xml:space="preserve">P1059</t>
  </si>
  <si>
    <t xml:space="preserve">O000062</t>
  </si>
  <si>
    <t xml:space="preserve">C0024</t>
  </si>
  <si>
    <t xml:space="preserve">O000063</t>
  </si>
  <si>
    <t xml:space="preserve">O000064</t>
  </si>
  <si>
    <t xml:space="preserve">C0289</t>
  </si>
  <si>
    <t xml:space="preserve">P1011</t>
  </si>
  <si>
    <t xml:space="preserve">O000065</t>
  </si>
  <si>
    <t xml:space="preserve">C0089</t>
  </si>
  <si>
    <t xml:space="preserve">O000066</t>
  </si>
  <si>
    <t xml:space="preserve">C0134</t>
  </si>
  <si>
    <t xml:space="preserve">P1002</t>
  </si>
  <si>
    <t xml:space="preserve">O000067</t>
  </si>
  <si>
    <t xml:space="preserve">C0299</t>
  </si>
  <si>
    <t xml:space="preserve">O000068</t>
  </si>
  <si>
    <t xml:space="preserve">C0041</t>
  </si>
  <si>
    <t xml:space="preserve">O000069</t>
  </si>
  <si>
    <t xml:space="preserve">C0074</t>
  </si>
  <si>
    <t xml:space="preserve">O000070</t>
  </si>
  <si>
    <t xml:space="preserve">C0085</t>
  </si>
  <si>
    <t xml:space="preserve">O000071</t>
  </si>
  <si>
    <t xml:space="preserve">C0222</t>
  </si>
  <si>
    <t xml:space="preserve">O000072</t>
  </si>
  <si>
    <t xml:space="preserve">C0126</t>
  </si>
  <si>
    <t xml:space="preserve">P1034</t>
  </si>
  <si>
    <t xml:space="preserve">O000073</t>
  </si>
  <si>
    <t xml:space="preserve">C0009</t>
  </si>
  <si>
    <t xml:space="preserve">P1037</t>
  </si>
  <si>
    <t xml:space="preserve">O000074</t>
  </si>
  <si>
    <t xml:space="preserve">C0266</t>
  </si>
  <si>
    <t xml:space="preserve">P1070</t>
  </si>
  <si>
    <t xml:space="preserve">O000075</t>
  </si>
  <si>
    <t xml:space="preserve">O000076</t>
  </si>
  <si>
    <t xml:space="preserve">C0090</t>
  </si>
  <si>
    <t xml:space="preserve">P1014</t>
  </si>
  <si>
    <t xml:space="preserve">O000077</t>
  </si>
  <si>
    <t xml:space="preserve">P1063</t>
  </si>
  <si>
    <t xml:space="preserve">O000078</t>
  </si>
  <si>
    <t xml:space="preserve">O000079</t>
  </si>
  <si>
    <t xml:space="preserve">C0088</t>
  </si>
  <si>
    <t xml:space="preserve">O000080</t>
  </si>
  <si>
    <t xml:space="preserve">C0257</t>
  </si>
  <si>
    <t xml:space="preserve">O000081</t>
  </si>
  <si>
    <t xml:space="preserve">C0007</t>
  </si>
  <si>
    <t xml:space="preserve">P1077</t>
  </si>
  <si>
    <t xml:space="preserve">O000082</t>
  </si>
  <si>
    <t xml:space="preserve">C0179</t>
  </si>
  <si>
    <t xml:space="preserve">O000083</t>
  </si>
  <si>
    <t xml:space="preserve">C0108</t>
  </si>
  <si>
    <t xml:space="preserve">O000084</t>
  </si>
  <si>
    <t xml:space="preserve">C0120</t>
  </si>
  <si>
    <t xml:space="preserve">P1048</t>
  </si>
  <si>
    <t xml:space="preserve">O000085</t>
  </si>
  <si>
    <t xml:space="preserve">C0262</t>
  </si>
  <si>
    <t xml:space="preserve">P1004</t>
  </si>
  <si>
    <t xml:space="preserve">O000086</t>
  </si>
  <si>
    <t xml:space="preserve">O000087</t>
  </si>
  <si>
    <t xml:space="preserve">O000088</t>
  </si>
  <si>
    <t xml:space="preserve">C0133</t>
  </si>
  <si>
    <t xml:space="preserve">P1076</t>
  </si>
  <si>
    <t xml:space="preserve">O000089</t>
  </si>
  <si>
    <t xml:space="preserve">C0153</t>
  </si>
  <si>
    <t xml:space="preserve">O000090</t>
  </si>
  <si>
    <t xml:space="preserve">C0184</t>
  </si>
  <si>
    <t xml:space="preserve">O000091</t>
  </si>
  <si>
    <t xml:space="preserve">O000092</t>
  </si>
  <si>
    <t xml:space="preserve">C0235</t>
  </si>
  <si>
    <t xml:space="preserve">P1069</t>
  </si>
  <si>
    <t xml:space="preserve">O000093</t>
  </si>
  <si>
    <t xml:space="preserve">P1005</t>
  </si>
  <si>
    <t xml:space="preserve">O000094</t>
  </si>
  <si>
    <t xml:space="preserve">P1008</t>
  </si>
  <si>
    <t xml:space="preserve">O000095</t>
  </si>
  <si>
    <t xml:space="preserve">C0221</t>
  </si>
  <si>
    <t xml:space="preserve">O000096</t>
  </si>
  <si>
    <t xml:space="preserve">C0026</t>
  </si>
  <si>
    <t xml:space="preserve">O000097</t>
  </si>
  <si>
    <t xml:space="preserve">C0264</t>
  </si>
  <si>
    <t xml:space="preserve">P1081</t>
  </si>
  <si>
    <t xml:space="preserve">O000098</t>
  </si>
  <si>
    <t xml:space="preserve">C0115</t>
  </si>
  <si>
    <t xml:space="preserve">O000099</t>
  </si>
  <si>
    <t xml:space="preserve">C0065</t>
  </si>
  <si>
    <t xml:space="preserve">O000100</t>
  </si>
  <si>
    <t xml:space="preserve">P1061</t>
  </si>
  <si>
    <t xml:space="preserve">O000101</t>
  </si>
  <si>
    <t xml:space="preserve">O000102</t>
  </si>
  <si>
    <t xml:space="preserve">C0004</t>
  </si>
  <si>
    <t xml:space="preserve">O000103</t>
  </si>
  <si>
    <t xml:space="preserve">C0256</t>
  </si>
  <si>
    <t xml:space="preserve">P1051</t>
  </si>
  <si>
    <t xml:space="preserve">O000104</t>
  </si>
  <si>
    <t xml:space="preserve">C0136</t>
  </si>
  <si>
    <t xml:space="preserve">O000105</t>
  </si>
  <si>
    <t xml:space="preserve">C0072</t>
  </si>
  <si>
    <t xml:space="preserve">O000106</t>
  </si>
  <si>
    <t xml:space="preserve">O000107</t>
  </si>
  <si>
    <t xml:space="preserve">C0241</t>
  </si>
  <si>
    <t xml:space="preserve">O000108</t>
  </si>
  <si>
    <t xml:space="preserve">C0002</t>
  </si>
  <si>
    <t xml:space="preserve">P1012</t>
  </si>
  <si>
    <t xml:space="preserve">O000109</t>
  </si>
  <si>
    <t xml:space="preserve">C0019</t>
  </si>
  <si>
    <t xml:space="preserve">P1099</t>
  </si>
  <si>
    <t xml:space="preserve">O000110</t>
  </si>
  <si>
    <t xml:space="preserve">C0054</t>
  </si>
  <si>
    <t xml:space="preserve">O000111</t>
  </si>
  <si>
    <t xml:space="preserve">C0001</t>
  </si>
  <si>
    <t xml:space="preserve">P1062</t>
  </si>
  <si>
    <t xml:space="preserve">O000112</t>
  </si>
  <si>
    <t xml:space="preserve">O000113</t>
  </si>
  <si>
    <t xml:space="preserve">O000114</t>
  </si>
  <si>
    <t xml:space="preserve">C0102</t>
  </si>
  <si>
    <t xml:space="preserve">O000115</t>
  </si>
  <si>
    <t xml:space="preserve">C0278</t>
  </si>
  <si>
    <t xml:space="preserve">O000116</t>
  </si>
  <si>
    <t xml:space="preserve">C0175</t>
  </si>
  <si>
    <t xml:space="preserve">P1065</t>
  </si>
  <si>
    <t xml:space="preserve">O000117</t>
  </si>
  <si>
    <t xml:space="preserve">O000118</t>
  </si>
  <si>
    <t xml:space="preserve">C0003</t>
  </si>
  <si>
    <t xml:space="preserve">O000119</t>
  </si>
  <si>
    <t xml:space="preserve">O000120</t>
  </si>
  <si>
    <t xml:space="preserve">C0249</t>
  </si>
  <si>
    <t xml:space="preserve">O000121</t>
  </si>
  <si>
    <t xml:space="preserve">O000122</t>
  </si>
  <si>
    <t xml:space="preserve">C0138</t>
  </si>
  <si>
    <t xml:space="preserve">O000123</t>
  </si>
  <si>
    <t xml:space="preserve">C0200</t>
  </si>
  <si>
    <t xml:space="preserve">P1079</t>
  </si>
  <si>
    <t xml:space="preserve">O000124</t>
  </si>
  <si>
    <t xml:space="preserve">C0260</t>
  </si>
  <si>
    <t xml:space="preserve">O000125</t>
  </si>
  <si>
    <t xml:space="preserve">C0291</t>
  </si>
  <si>
    <t xml:space="preserve">O000126</t>
  </si>
  <si>
    <t xml:space="preserve">C0177</t>
  </si>
  <si>
    <t xml:space="preserve">O000127</t>
  </si>
  <si>
    <t xml:space="preserve">P1064</t>
  </si>
  <si>
    <t xml:space="preserve">O000128</t>
  </si>
  <si>
    <t xml:space="preserve">P1032</t>
  </si>
  <si>
    <t xml:space="preserve">O000129</t>
  </si>
  <si>
    <t xml:space="preserve">C0014</t>
  </si>
  <si>
    <t xml:space="preserve">P1043</t>
  </si>
  <si>
    <t xml:space="preserve">O000130</t>
  </si>
  <si>
    <t xml:space="preserve">O000131</t>
  </si>
  <si>
    <t xml:space="preserve">C0070</t>
  </si>
  <si>
    <t xml:space="preserve">O000132</t>
  </si>
  <si>
    <t xml:space="preserve">O000133</t>
  </si>
  <si>
    <t xml:space="preserve">C0211</t>
  </si>
  <si>
    <t xml:space="preserve">P1030</t>
  </si>
  <si>
    <t xml:space="preserve">O000134</t>
  </si>
  <si>
    <t xml:space="preserve">O000135</t>
  </si>
  <si>
    <t xml:space="preserve">C0079</t>
  </si>
  <si>
    <t xml:space="preserve">O000136</t>
  </si>
  <si>
    <t xml:space="preserve">C0295</t>
  </si>
  <si>
    <t xml:space="preserve">P1031</t>
  </si>
  <si>
    <t xml:space="preserve">O000137</t>
  </si>
  <si>
    <t xml:space="preserve">C0276</t>
  </si>
  <si>
    <t xml:space="preserve">O000138</t>
  </si>
  <si>
    <t xml:space="preserve">C0285</t>
  </si>
  <si>
    <t xml:space="preserve">O000139</t>
  </si>
  <si>
    <t xml:space="preserve">C0227</t>
  </si>
  <si>
    <t xml:space="preserve">O000140</t>
  </si>
  <si>
    <t xml:space="preserve">O000141</t>
  </si>
  <si>
    <t xml:space="preserve">C0225</t>
  </si>
  <si>
    <t xml:space="preserve">O000142</t>
  </si>
  <si>
    <t xml:space="preserve">C0230</t>
  </si>
  <si>
    <t xml:space="preserve">P1073</t>
  </si>
  <si>
    <t xml:space="preserve">O000143</t>
  </si>
  <si>
    <t xml:space="preserve">C0198</t>
  </si>
  <si>
    <t xml:space="preserve">O000144</t>
  </si>
  <si>
    <t xml:space="preserve">C0087</t>
  </si>
  <si>
    <t xml:space="preserve">O000145</t>
  </si>
  <si>
    <t xml:space="preserve">C0078</t>
  </si>
  <si>
    <t xml:space="preserve">O000146</t>
  </si>
  <si>
    <t xml:space="preserve">C0104</t>
  </si>
  <si>
    <t xml:space="preserve">P1085</t>
  </si>
  <si>
    <t xml:space="preserve">O000147</t>
  </si>
  <si>
    <t xml:space="preserve">C0030</t>
  </si>
  <si>
    <t xml:space="preserve">O000148</t>
  </si>
  <si>
    <t xml:space="preserve">O000149</t>
  </si>
  <si>
    <t xml:space="preserve">O000150</t>
  </si>
  <si>
    <t xml:space="preserve">C0245</t>
  </si>
  <si>
    <t xml:space="preserve">O000151</t>
  </si>
  <si>
    <t xml:space="preserve">C0137</t>
  </si>
  <si>
    <t xml:space="preserve">P1067</t>
  </si>
  <si>
    <t xml:space="preserve">O000152</t>
  </si>
  <si>
    <t xml:space="preserve">O000153</t>
  </si>
  <si>
    <t xml:space="preserve">O000154</t>
  </si>
  <si>
    <t xml:space="preserve">P1075</t>
  </si>
  <si>
    <t xml:space="preserve">O000155</t>
  </si>
  <si>
    <t xml:space="preserve">O000156</t>
  </si>
  <si>
    <t xml:space="preserve">C0265</t>
  </si>
  <si>
    <t xml:space="preserve">O000157</t>
  </si>
  <si>
    <t xml:space="preserve">C0008</t>
  </si>
  <si>
    <t xml:space="preserve">O000158</t>
  </si>
  <si>
    <t xml:space="preserve">C0123</t>
  </si>
  <si>
    <t xml:space="preserve">O000159</t>
  </si>
  <si>
    <t xml:space="preserve">C0049</t>
  </si>
  <si>
    <t xml:space="preserve">O000160</t>
  </si>
  <si>
    <t xml:space="preserve">O000161</t>
  </si>
  <si>
    <t xml:space="preserve">C0016</t>
  </si>
  <si>
    <t xml:space="preserve">O000162</t>
  </si>
  <si>
    <t xml:space="preserve">O000163</t>
  </si>
  <si>
    <t xml:space="preserve">O000164</t>
  </si>
  <si>
    <t xml:space="preserve">C0050</t>
  </si>
  <si>
    <t xml:space="preserve">O000165</t>
  </si>
  <si>
    <t xml:space="preserve">O000166</t>
  </si>
  <si>
    <t xml:space="preserve">O000167</t>
  </si>
  <si>
    <t xml:space="preserve">O000168</t>
  </si>
  <si>
    <t xml:space="preserve">C0132</t>
  </si>
  <si>
    <t xml:space="preserve">O000169</t>
  </si>
  <si>
    <t xml:space="preserve">O000170</t>
  </si>
  <si>
    <t xml:space="preserve">P1080</t>
  </si>
  <si>
    <t xml:space="preserve">O000171</t>
  </si>
  <si>
    <t xml:space="preserve">C0032</t>
  </si>
  <si>
    <t xml:space="preserve">O000172</t>
  </si>
  <si>
    <t xml:space="preserve">O000173</t>
  </si>
  <si>
    <t xml:space="preserve">C0223</t>
  </si>
  <si>
    <t xml:space="preserve">P1057</t>
  </si>
  <si>
    <t xml:space="preserve">O000174</t>
  </si>
  <si>
    <t xml:space="preserve">O000175</t>
  </si>
  <si>
    <t xml:space="preserve">C0067</t>
  </si>
  <si>
    <t xml:space="preserve">O000176</t>
  </si>
  <si>
    <t xml:space="preserve">C0170</t>
  </si>
  <si>
    <t xml:space="preserve">O000177</t>
  </si>
  <si>
    <t xml:space="preserve">O000178</t>
  </si>
  <si>
    <t xml:space="preserve">C0062</t>
  </si>
  <si>
    <t xml:space="preserve">O000179</t>
  </si>
  <si>
    <t xml:space="preserve">C0293</t>
  </si>
  <si>
    <t xml:space="preserve">O000180</t>
  </si>
  <si>
    <t xml:space="preserve">C0296</t>
  </si>
  <si>
    <t xml:space="preserve">P1093</t>
  </si>
  <si>
    <t xml:space="preserve">O000181</t>
  </si>
  <si>
    <t xml:space="preserve">O000182</t>
  </si>
  <si>
    <t xml:space="preserve">O000183</t>
  </si>
  <si>
    <t xml:space="preserve">C0165</t>
  </si>
  <si>
    <t xml:space="preserve">P1090</t>
  </si>
  <si>
    <t xml:space="preserve">O000184</t>
  </si>
  <si>
    <t xml:space="preserve">C0298</t>
  </si>
  <si>
    <t xml:space="preserve">O000185</t>
  </si>
  <si>
    <t xml:space="preserve">O000186</t>
  </si>
  <si>
    <t xml:space="preserve">C0253</t>
  </si>
  <si>
    <t xml:space="preserve">P1017</t>
  </si>
  <si>
    <t xml:space="preserve">O000187</t>
  </si>
  <si>
    <t xml:space="preserve">C0190</t>
  </si>
  <si>
    <t xml:space="preserve">O000188</t>
  </si>
  <si>
    <t xml:space="preserve">O000189</t>
  </si>
  <si>
    <t xml:space="preserve">O000190</t>
  </si>
  <si>
    <t xml:space="preserve">C0196</t>
  </si>
  <si>
    <t xml:space="preserve">P1015</t>
  </si>
  <si>
    <t xml:space="preserve">O000191</t>
  </si>
  <si>
    <t xml:space="preserve">C0226</t>
  </si>
  <si>
    <t xml:space="preserve">O000192</t>
  </si>
  <si>
    <t xml:space="preserve">C0039</t>
  </si>
  <si>
    <t xml:space="preserve">P1091</t>
  </si>
  <si>
    <t xml:space="preserve">O000193</t>
  </si>
  <si>
    <t xml:space="preserve">C0197</t>
  </si>
  <si>
    <t xml:space="preserve">P1009</t>
  </si>
  <si>
    <t xml:space="preserve">O000194</t>
  </si>
  <si>
    <t xml:space="preserve">P1013</t>
  </si>
  <si>
    <t xml:space="preserve">O000195</t>
  </si>
  <si>
    <t xml:space="preserve">O000196</t>
  </si>
  <si>
    <t xml:space="preserve">O000197</t>
  </si>
  <si>
    <t xml:space="preserve">C0139</t>
  </si>
  <si>
    <t xml:space="preserve">O000198</t>
  </si>
  <si>
    <t xml:space="preserve">C0013</t>
  </si>
  <si>
    <t xml:space="preserve">O000199</t>
  </si>
  <si>
    <t xml:space="preserve">O000200</t>
  </si>
  <si>
    <t xml:space="preserve">P1001</t>
  </si>
  <si>
    <t xml:space="preserve">O000201</t>
  </si>
  <si>
    <t xml:space="preserve">C0183</t>
  </si>
  <si>
    <t xml:space="preserve">O000202</t>
  </si>
  <si>
    <t xml:space="preserve">C0029</t>
  </si>
  <si>
    <t xml:space="preserve">O000203</t>
  </si>
  <si>
    <t xml:space="preserve">C0047</t>
  </si>
  <si>
    <t xml:space="preserve">P1087</t>
  </si>
  <si>
    <t xml:space="preserve">O000204</t>
  </si>
  <si>
    <t xml:space="preserve">O000205</t>
  </si>
  <si>
    <t xml:space="preserve">O000206</t>
  </si>
  <si>
    <t xml:space="preserve">C0058</t>
  </si>
  <si>
    <t xml:space="preserve">O000207</t>
  </si>
  <si>
    <t xml:space="preserve">O000208</t>
  </si>
  <si>
    <t xml:space="preserve">O000209</t>
  </si>
  <si>
    <t xml:space="preserve">O000210</t>
  </si>
  <si>
    <t xml:space="preserve">O000211</t>
  </si>
  <si>
    <t xml:space="preserve">C0259</t>
  </si>
  <si>
    <t xml:space="preserve">O000212</t>
  </si>
  <si>
    <t xml:space="preserve">C0263</t>
  </si>
  <si>
    <t xml:space="preserve">O000213</t>
  </si>
  <si>
    <t xml:space="preserve">O000214</t>
  </si>
  <si>
    <t xml:space="preserve">C0229</t>
  </si>
  <si>
    <t xml:space="preserve">O000215</t>
  </si>
  <si>
    <t xml:space="preserve">C0261</t>
  </si>
  <si>
    <t xml:space="preserve">O000216</t>
  </si>
  <si>
    <t xml:space="preserve">O000217</t>
  </si>
  <si>
    <t xml:space="preserve">O000218</t>
  </si>
  <si>
    <t xml:space="preserve">C0010</t>
  </si>
  <si>
    <t xml:space="preserve">P1039</t>
  </si>
  <si>
    <t xml:space="preserve">O000219</t>
  </si>
  <si>
    <t xml:space="preserve">O000220</t>
  </si>
  <si>
    <t xml:space="preserve">P1054</t>
  </si>
  <si>
    <t xml:space="preserve">O000221</t>
  </si>
  <si>
    <t xml:space="preserve">O000222</t>
  </si>
  <si>
    <t xml:space="preserve">C0111</t>
  </si>
  <si>
    <t xml:space="preserve">O000223</t>
  </si>
  <si>
    <t xml:space="preserve">O000224</t>
  </si>
  <si>
    <t xml:space="preserve">P1074</t>
  </si>
  <si>
    <t xml:space="preserve">O000225</t>
  </si>
  <si>
    <t xml:space="preserve">C0040</t>
  </si>
  <si>
    <t xml:space="preserve">O000226</t>
  </si>
  <si>
    <t xml:space="preserve">O000227</t>
  </si>
  <si>
    <t xml:space="preserve">O000228</t>
  </si>
  <si>
    <t xml:space="preserve">C0036</t>
  </si>
  <si>
    <t xml:space="preserve">O000229</t>
  </si>
  <si>
    <t xml:space="preserve">C0166</t>
  </si>
  <si>
    <t xml:space="preserve">O000230</t>
  </si>
  <si>
    <t xml:space="preserve">C0215</t>
  </si>
  <si>
    <t xml:space="preserve">O000231</t>
  </si>
  <si>
    <t xml:space="preserve">C0219</t>
  </si>
  <si>
    <t xml:space="preserve">O000232</t>
  </si>
  <si>
    <t xml:space="preserve">C0151</t>
  </si>
  <si>
    <t xml:space="preserve">O000233</t>
  </si>
  <si>
    <t xml:space="preserve">O000234</t>
  </si>
  <si>
    <t xml:space="preserve">O000235</t>
  </si>
  <si>
    <t xml:space="preserve">O000236</t>
  </si>
  <si>
    <t xml:space="preserve">C0080</t>
  </si>
  <si>
    <t xml:space="preserve">O000237</t>
  </si>
  <si>
    <t xml:space="preserve">O000238</t>
  </si>
  <si>
    <t xml:space="preserve">O000239</t>
  </si>
  <si>
    <t xml:space="preserve">O000240</t>
  </si>
  <si>
    <t xml:space="preserve">O000241</t>
  </si>
  <si>
    <t xml:space="preserve">C0018</t>
  </si>
  <si>
    <t xml:space="preserve">O000242</t>
  </si>
  <si>
    <t xml:space="preserve">C0143</t>
  </si>
  <si>
    <t xml:space="preserve">O000243</t>
  </si>
  <si>
    <t xml:space="preserve">O000244</t>
  </si>
  <si>
    <t xml:space="preserve">O000245</t>
  </si>
  <si>
    <t xml:space="preserve">O000246</t>
  </si>
  <si>
    <t xml:space="preserve">O000247</t>
  </si>
  <si>
    <t xml:space="preserve">O000248</t>
  </si>
  <si>
    <t xml:space="preserve">O000249</t>
  </si>
  <si>
    <t xml:space="preserve">C0112</t>
  </si>
  <si>
    <t xml:space="preserve">O000250</t>
  </si>
  <si>
    <t xml:space="preserve">C0031</t>
  </si>
  <si>
    <t xml:space="preserve">O000251</t>
  </si>
  <si>
    <t xml:space="preserve">C0017</t>
  </si>
  <si>
    <t xml:space="preserve">O000252</t>
  </si>
  <si>
    <t xml:space="preserve">C0218</t>
  </si>
  <si>
    <t xml:space="preserve">O000253</t>
  </si>
  <si>
    <t xml:space="preserve">C0011</t>
  </si>
  <si>
    <t xml:space="preserve">P1056</t>
  </si>
  <si>
    <t xml:space="preserve">O000254</t>
  </si>
  <si>
    <t xml:space="preserve">O000255</t>
  </si>
  <si>
    <t xml:space="preserve">O000256</t>
  </si>
  <si>
    <t xml:space="preserve">C0094</t>
  </si>
  <si>
    <t xml:space="preserve">O000257</t>
  </si>
  <si>
    <t xml:space="preserve">C0247</t>
  </si>
  <si>
    <t xml:space="preserve">O000258</t>
  </si>
  <si>
    <t xml:space="preserve">O000259</t>
  </si>
  <si>
    <t xml:space="preserve">C0282</t>
  </si>
  <si>
    <t xml:space="preserve">O000260</t>
  </si>
  <si>
    <t xml:space="preserve">C0096</t>
  </si>
  <si>
    <t xml:space="preserve">O000261</t>
  </si>
  <si>
    <t xml:space="preserve">O000262</t>
  </si>
  <si>
    <t xml:space="preserve">C0189</t>
  </si>
  <si>
    <t xml:space="preserve">O000263</t>
  </si>
  <si>
    <t xml:space="preserve">O000264</t>
  </si>
  <si>
    <t xml:space="preserve">P1068</t>
  </si>
  <si>
    <t xml:space="preserve">O000265</t>
  </si>
  <si>
    <t xml:space="preserve">O000266</t>
  </si>
  <si>
    <t xml:space="preserve">O000267</t>
  </si>
  <si>
    <t xml:space="preserve">C0246</t>
  </si>
  <si>
    <t xml:space="preserve">O000268</t>
  </si>
  <si>
    <t xml:space="preserve">C0192</t>
  </si>
  <si>
    <t xml:space="preserve">O000269</t>
  </si>
  <si>
    <t xml:space="preserve">C0212</t>
  </si>
  <si>
    <t xml:space="preserve">O000270</t>
  </si>
  <si>
    <t xml:space="preserve">O000271</t>
  </si>
  <si>
    <t xml:space="preserve">C0162</t>
  </si>
  <si>
    <t xml:space="preserve">O000272</t>
  </si>
  <si>
    <t xml:space="preserve">O000273</t>
  </si>
  <si>
    <t xml:space="preserve">C0020</t>
  </si>
  <si>
    <t xml:space="preserve">O000274</t>
  </si>
  <si>
    <t xml:space="preserve">C0180</t>
  </si>
  <si>
    <t xml:space="preserve">O000275</t>
  </si>
  <si>
    <t xml:space="preserve">C0288</t>
  </si>
  <si>
    <t xml:space="preserve">O000276</t>
  </si>
  <si>
    <t xml:space="preserve">O000277</t>
  </si>
  <si>
    <t xml:space="preserve">O000278</t>
  </si>
  <si>
    <t xml:space="preserve">C0125</t>
  </si>
  <si>
    <t xml:space="preserve">O000279</t>
  </si>
  <si>
    <t xml:space="preserve">P1092</t>
  </si>
  <si>
    <t xml:space="preserve">O000280</t>
  </si>
  <si>
    <t xml:space="preserve">O000281</t>
  </si>
  <si>
    <t xml:space="preserve">O000282</t>
  </si>
  <si>
    <t xml:space="preserve">O000283</t>
  </si>
  <si>
    <t xml:space="preserve">O000284</t>
  </si>
  <si>
    <t xml:space="preserve">O000285</t>
  </si>
  <si>
    <t xml:space="preserve">O000286</t>
  </si>
  <si>
    <t xml:space="preserve">C0081</t>
  </si>
  <si>
    <t xml:space="preserve">O000287</t>
  </si>
  <si>
    <t xml:space="preserve">O000288</t>
  </si>
  <si>
    <t xml:space="preserve">O000289</t>
  </si>
  <si>
    <t xml:space="preserve">O000290</t>
  </si>
  <si>
    <t xml:space="preserve">C0064</t>
  </si>
  <si>
    <t xml:space="preserve">O000291</t>
  </si>
  <si>
    <t xml:space="preserve">O000292</t>
  </si>
  <si>
    <t xml:space="preserve">C0144</t>
  </si>
  <si>
    <t xml:space="preserve">O000293</t>
  </si>
  <si>
    <t xml:space="preserve">O000294</t>
  </si>
  <si>
    <t xml:space="preserve">O000295</t>
  </si>
  <si>
    <t xml:space="preserve">O000296</t>
  </si>
  <si>
    <t xml:space="preserve">O000297</t>
  </si>
  <si>
    <t xml:space="preserve">C0073</t>
  </si>
  <si>
    <t xml:space="preserve">O000298</t>
  </si>
  <si>
    <t xml:space="preserve">O000299</t>
  </si>
  <si>
    <t xml:space="preserve">P1016</t>
  </si>
  <si>
    <t xml:space="preserve">O000300</t>
  </si>
  <si>
    <t xml:space="preserve">O000301</t>
  </si>
  <si>
    <t xml:space="preserve">O000302</t>
  </si>
  <si>
    <t xml:space="preserve">O000303</t>
  </si>
  <si>
    <t xml:space="preserve">C0154</t>
  </si>
  <si>
    <t xml:space="preserve">O000304</t>
  </si>
  <si>
    <t xml:space="preserve">O000305</t>
  </si>
  <si>
    <t xml:space="preserve">O000306</t>
  </si>
  <si>
    <t xml:space="preserve">O000307</t>
  </si>
  <si>
    <t xml:space="preserve">O000308</t>
  </si>
  <si>
    <t xml:space="preserve">O000309</t>
  </si>
  <si>
    <t xml:space="preserve">C0186</t>
  </si>
  <si>
    <t xml:space="preserve">O000310</t>
  </si>
  <si>
    <t xml:space="preserve">O000311</t>
  </si>
  <si>
    <t xml:space="preserve">O000312</t>
  </si>
  <si>
    <t xml:space="preserve">O000313</t>
  </si>
  <si>
    <t xml:space="preserve">O000314</t>
  </si>
  <si>
    <t xml:space="preserve">C0274</t>
  </si>
  <si>
    <t xml:space="preserve">O000315</t>
  </si>
  <si>
    <t xml:space="preserve">O000316</t>
  </si>
  <si>
    <t xml:space="preserve">P1088</t>
  </si>
  <si>
    <t xml:space="preserve">O000317</t>
  </si>
  <si>
    <t xml:space="preserve">C0150</t>
  </si>
  <si>
    <t xml:space="preserve">O000318</t>
  </si>
  <si>
    <t xml:space="preserve">O000319</t>
  </si>
  <si>
    <t xml:space="preserve">O000320</t>
  </si>
  <si>
    <t xml:space="preserve">O000321</t>
  </si>
  <si>
    <t xml:space="preserve">O000322</t>
  </si>
  <si>
    <t xml:space="preserve">O000323</t>
  </si>
  <si>
    <t xml:space="preserve">C0099</t>
  </si>
  <si>
    <t xml:space="preserve">O000324</t>
  </si>
  <si>
    <t xml:space="preserve">O000325</t>
  </si>
  <si>
    <t xml:space="preserve">O000326</t>
  </si>
  <si>
    <t xml:space="preserve">C0193</t>
  </si>
  <si>
    <t xml:space="preserve">O000327</t>
  </si>
  <si>
    <t xml:space="preserve">O000328</t>
  </si>
  <si>
    <t xml:space="preserve">C0142</t>
  </si>
  <si>
    <t xml:space="preserve">P1049</t>
  </si>
  <si>
    <t xml:space="preserve">O000329</t>
  </si>
  <si>
    <t xml:space="preserve">C0224</t>
  </si>
  <si>
    <t xml:space="preserve">O000330</t>
  </si>
  <si>
    <t xml:space="preserve">O000331</t>
  </si>
  <si>
    <t xml:space="preserve">O000332</t>
  </si>
  <si>
    <t xml:space="preserve">C0290</t>
  </si>
  <si>
    <t xml:space="preserve">O000333</t>
  </si>
  <si>
    <t xml:space="preserve">O000334</t>
  </si>
  <si>
    <t xml:space="preserve">O000335</t>
  </si>
  <si>
    <t xml:space="preserve">C0059</t>
  </si>
  <si>
    <t xml:space="preserve">O000336</t>
  </si>
  <si>
    <t xml:space="preserve">O000337</t>
  </si>
  <si>
    <t xml:space="preserve">C0244</t>
  </si>
  <si>
    <t xml:space="preserve">O000338</t>
  </si>
  <si>
    <t xml:space="preserve">O000339</t>
  </si>
  <si>
    <t xml:space="preserve">C0281</t>
  </si>
  <si>
    <t xml:space="preserve">O000340</t>
  </si>
  <si>
    <t xml:space="preserve">C0182</t>
  </si>
  <si>
    <t xml:space="preserve">O000341</t>
  </si>
  <si>
    <t xml:space="preserve">C0267</t>
  </si>
  <si>
    <t xml:space="preserve">O000342</t>
  </si>
  <si>
    <t xml:space="preserve">O000343</t>
  </si>
  <si>
    <t xml:space="preserve">C0169</t>
  </si>
  <si>
    <t xml:space="preserve">O000344</t>
  </si>
  <si>
    <t xml:space="preserve">C0158</t>
  </si>
  <si>
    <t xml:space="preserve">O000345</t>
  </si>
  <si>
    <t xml:space="preserve">O000346</t>
  </si>
  <si>
    <t xml:space="preserve">O000347</t>
  </si>
  <si>
    <t xml:space="preserve">O000348</t>
  </si>
  <si>
    <t xml:space="preserve">O000349</t>
  </si>
  <si>
    <t xml:space="preserve">O000350</t>
  </si>
  <si>
    <t xml:space="preserve">O000351</t>
  </si>
  <si>
    <t xml:space="preserve">O000352</t>
  </si>
  <si>
    <t xml:space="preserve">O000353</t>
  </si>
  <si>
    <t xml:space="preserve">O000354</t>
  </si>
  <si>
    <t xml:space="preserve">O000355</t>
  </si>
  <si>
    <t xml:space="preserve">O000356</t>
  </si>
  <si>
    <t xml:space="preserve">O000357</t>
  </si>
  <si>
    <t xml:space="preserve">O000358</t>
  </si>
  <si>
    <t xml:space="preserve">O000359</t>
  </si>
  <si>
    <t xml:space="preserve">O000360</t>
  </si>
  <si>
    <t xml:space="preserve">O000361</t>
  </si>
  <si>
    <t xml:space="preserve">C0254</t>
  </si>
  <si>
    <t xml:space="preserve">O000362</t>
  </si>
  <si>
    <t xml:space="preserve">O000363</t>
  </si>
  <si>
    <t xml:space="preserve">O000364</t>
  </si>
  <si>
    <t xml:space="preserve">C0022</t>
  </si>
  <si>
    <t xml:space="preserve">O000365</t>
  </si>
  <si>
    <t xml:space="preserve">O000366</t>
  </si>
  <si>
    <t xml:space="preserve">C0188</t>
  </si>
  <si>
    <t xml:space="preserve">O000367</t>
  </si>
  <si>
    <t xml:space="preserve">C0042</t>
  </si>
  <si>
    <t xml:space="preserve">O000368</t>
  </si>
  <si>
    <t xml:space="preserve">O000369</t>
  </si>
  <si>
    <t xml:space="preserve">C0110</t>
  </si>
  <si>
    <t xml:space="preserve">O000370</t>
  </si>
  <si>
    <t xml:space="preserve">O000371</t>
  </si>
  <si>
    <t xml:space="preserve">O000372</t>
  </si>
  <si>
    <t xml:space="preserve">O000373</t>
  </si>
  <si>
    <t xml:space="preserve">O000374</t>
  </si>
  <si>
    <t xml:space="preserve">C0250</t>
  </si>
  <si>
    <t xml:space="preserve">O000375</t>
  </si>
  <si>
    <t xml:space="preserve">O000376</t>
  </si>
  <si>
    <t xml:space="preserve">O000377</t>
  </si>
  <si>
    <t xml:space="preserve">C0234</t>
  </si>
  <si>
    <t xml:space="preserve">O000378</t>
  </si>
  <si>
    <t xml:space="preserve">O000379</t>
  </si>
  <si>
    <t xml:space="preserve">O000380</t>
  </si>
  <si>
    <t xml:space="preserve">O000381</t>
  </si>
  <si>
    <t xml:space="preserve">O000382</t>
  </si>
  <si>
    <t xml:space="preserve">O000383</t>
  </si>
  <si>
    <t xml:space="preserve">C0252</t>
  </si>
  <si>
    <t xml:space="preserve">O000384</t>
  </si>
  <si>
    <t xml:space="preserve">O000385</t>
  </si>
  <si>
    <t xml:space="preserve">O000386</t>
  </si>
  <si>
    <t xml:space="preserve">O000387</t>
  </si>
  <si>
    <t xml:space="preserve">O000388</t>
  </si>
  <si>
    <t xml:space="preserve">O000389</t>
  </si>
  <si>
    <t xml:space="preserve">O000390</t>
  </si>
  <si>
    <t xml:space="preserve">C0015</t>
  </si>
  <si>
    <t xml:space="preserve">O000391</t>
  </si>
  <si>
    <t xml:space="preserve">O000392</t>
  </si>
  <si>
    <t xml:space="preserve">O000393</t>
  </si>
  <si>
    <t xml:space="preserve">O000394</t>
  </si>
  <si>
    <t xml:space="preserve">C0105</t>
  </si>
  <si>
    <t xml:space="preserve">O000395</t>
  </si>
  <si>
    <t xml:space="preserve">C0185</t>
  </si>
  <si>
    <t xml:space="preserve">O000396</t>
  </si>
  <si>
    <t xml:space="preserve">C0172</t>
  </si>
  <si>
    <t xml:space="preserve">O000397</t>
  </si>
  <si>
    <t xml:space="preserve">O000398</t>
  </si>
  <si>
    <t xml:space="preserve">C0101</t>
  </si>
  <si>
    <t xml:space="preserve">O000399</t>
  </si>
  <si>
    <t xml:space="preserve">C0242</t>
  </si>
  <si>
    <t xml:space="preserve">O000400</t>
  </si>
  <si>
    <t xml:space="preserve">O000401</t>
  </si>
  <si>
    <t xml:space="preserve">O000402</t>
  </si>
  <si>
    <t xml:space="preserve">C0063</t>
  </si>
  <si>
    <t xml:space="preserve">O000403</t>
  </si>
  <si>
    <t xml:space="preserve">O000404</t>
  </si>
  <si>
    <t xml:space="preserve">C0233</t>
  </si>
  <si>
    <t xml:space="preserve">O000405</t>
  </si>
  <si>
    <t xml:space="preserve">C0103</t>
  </si>
  <si>
    <t xml:space="preserve">O000406</t>
  </si>
  <si>
    <t xml:space="preserve">O000407</t>
  </si>
  <si>
    <t xml:space="preserve">C0140</t>
  </si>
  <si>
    <t xml:space="preserve">O000408</t>
  </si>
  <si>
    <t xml:space="preserve">O000409</t>
  </si>
  <si>
    <t xml:space="preserve">O000410</t>
  </si>
  <si>
    <t xml:space="preserve">O000411</t>
  </si>
  <si>
    <t xml:space="preserve">O000412</t>
  </si>
  <si>
    <t xml:space="preserve">C0284</t>
  </si>
  <si>
    <t xml:space="preserve">O000413</t>
  </si>
  <si>
    <t xml:space="preserve">O000414</t>
  </si>
  <si>
    <t xml:space="preserve">O000415</t>
  </si>
  <si>
    <t xml:space="preserve">O000416</t>
  </si>
  <si>
    <t xml:space="preserve">O000417</t>
  </si>
  <si>
    <t xml:space="preserve">O000418</t>
  </si>
  <si>
    <t xml:space="preserve">O000419</t>
  </si>
  <si>
    <t xml:space="preserve">O000420</t>
  </si>
  <si>
    <t xml:space="preserve">O000421</t>
  </si>
  <si>
    <t xml:space="preserve">C0268</t>
  </si>
  <si>
    <t xml:space="preserve">O000422</t>
  </si>
  <si>
    <t xml:space="preserve">C0163</t>
  </si>
  <si>
    <t xml:space="preserve">O000423</t>
  </si>
  <si>
    <t xml:space="preserve">O000424</t>
  </si>
  <si>
    <t xml:space="preserve">C0068</t>
  </si>
  <si>
    <t xml:space="preserve">O000425</t>
  </si>
  <si>
    <t xml:space="preserve">O000426</t>
  </si>
  <si>
    <t xml:space="preserve">O000427</t>
  </si>
  <si>
    <t xml:space="preserve">O000428</t>
  </si>
  <si>
    <t xml:space="preserve">O000429</t>
  </si>
  <si>
    <t xml:space="preserve">O000430</t>
  </si>
  <si>
    <t xml:space="preserve">O000431</t>
  </si>
  <si>
    <t xml:space="preserve">O000432</t>
  </si>
  <si>
    <t xml:space="preserve">C0098</t>
  </si>
  <si>
    <t xml:space="preserve">O000433</t>
  </si>
  <si>
    <t xml:space="preserve">O000434</t>
  </si>
  <si>
    <t xml:space="preserve">O000435</t>
  </si>
  <si>
    <t xml:space="preserve">O000436</t>
  </si>
  <si>
    <t xml:space="preserve">O000437</t>
  </si>
  <si>
    <t xml:space="preserve">C0205</t>
  </si>
  <si>
    <t xml:space="preserve">O000438</t>
  </si>
  <si>
    <t xml:space="preserve">O000439</t>
  </si>
  <si>
    <t xml:space="preserve">O000440</t>
  </si>
  <si>
    <t xml:space="preserve">O000441</t>
  </si>
  <si>
    <t xml:space="preserve">C0300</t>
  </si>
  <si>
    <t xml:space="preserve">O000442</t>
  </si>
  <si>
    <t xml:space="preserve">O000443</t>
  </si>
  <si>
    <t xml:space="preserve">O000444</t>
  </si>
  <si>
    <t xml:space="preserve">O000445</t>
  </si>
  <si>
    <t xml:space="preserve">O000446</t>
  </si>
  <si>
    <t xml:space="preserve">C0082</t>
  </si>
  <si>
    <t xml:space="preserve">O000447</t>
  </si>
  <si>
    <t xml:space="preserve">O000448</t>
  </si>
  <si>
    <t xml:space="preserve">O000449</t>
  </si>
  <si>
    <t xml:space="preserve">O000450</t>
  </si>
  <si>
    <t xml:space="preserve">O000451</t>
  </si>
  <si>
    <t xml:space="preserve">O000452</t>
  </si>
  <si>
    <t xml:space="preserve">O000453</t>
  </si>
  <si>
    <t xml:space="preserve">C0122</t>
  </si>
  <si>
    <t xml:space="preserve">O000454</t>
  </si>
  <si>
    <t xml:space="preserve">O000455</t>
  </si>
  <si>
    <t xml:space="preserve">C0173</t>
  </si>
  <si>
    <t xml:space="preserve">O000456</t>
  </si>
  <si>
    <t xml:space="preserve">O000457</t>
  </si>
  <si>
    <t xml:space="preserve">O000458</t>
  </si>
  <si>
    <t xml:space="preserve">O000459</t>
  </si>
  <si>
    <t xml:space="preserve">O000460</t>
  </si>
  <si>
    <t xml:space="preserve">O000461</t>
  </si>
  <si>
    <t xml:space="preserve">O000462</t>
  </si>
  <si>
    <t xml:space="preserve">O000463</t>
  </si>
  <si>
    <t xml:space="preserve">O000464</t>
  </si>
  <si>
    <t xml:space="preserve">C0161</t>
  </si>
  <si>
    <t xml:space="preserve">O000465</t>
  </si>
  <si>
    <t xml:space="preserve">O000466</t>
  </si>
  <si>
    <t xml:space="preserve">O000467</t>
  </si>
  <si>
    <t xml:space="preserve">O000468</t>
  </si>
  <si>
    <t xml:space="preserve">C0116</t>
  </si>
  <si>
    <t xml:space="preserve">O000469</t>
  </si>
  <si>
    <t xml:space="preserve">C0056</t>
  </si>
  <si>
    <t xml:space="preserve">O000470</t>
  </si>
  <si>
    <t xml:space="preserve">O000471</t>
  </si>
  <si>
    <t xml:space="preserve">O000472</t>
  </si>
  <si>
    <t xml:space="preserve">O000473</t>
  </si>
  <si>
    <t xml:space="preserve">C0084</t>
  </si>
  <si>
    <t xml:space="preserve">O000474</t>
  </si>
  <si>
    <t xml:space="preserve">O000475</t>
  </si>
  <si>
    <t xml:space="preserve">C0208</t>
  </si>
  <si>
    <t xml:space="preserve">O000476</t>
  </si>
  <si>
    <t xml:space="preserve">O000477</t>
  </si>
  <si>
    <t xml:space="preserve">C0191</t>
  </si>
  <si>
    <t xml:space="preserve">O000478</t>
  </si>
  <si>
    <t xml:space="preserve">O000479</t>
  </si>
  <si>
    <t xml:space="preserve">C0043</t>
  </si>
  <si>
    <t xml:space="preserve">O000480</t>
  </si>
  <si>
    <t xml:space="preserve">O000481</t>
  </si>
  <si>
    <t xml:space="preserve">C0248</t>
  </si>
  <si>
    <t xml:space="preserve">O000482</t>
  </si>
  <si>
    <t xml:space="preserve">C0121</t>
  </si>
  <si>
    <t xml:space="preserve">O000483</t>
  </si>
  <si>
    <t xml:space="preserve">O000484</t>
  </si>
  <si>
    <t xml:space="preserve">O000485</t>
  </si>
  <si>
    <t xml:space="preserve">O000486</t>
  </si>
  <si>
    <t xml:space="preserve">C0046</t>
  </si>
  <si>
    <t xml:space="preserve">O000487</t>
  </si>
  <si>
    <t xml:space="preserve">C0269</t>
  </si>
  <si>
    <t xml:space="preserve">O000488</t>
  </si>
  <si>
    <t xml:space="preserve">O000489</t>
  </si>
  <si>
    <t xml:space="preserve">O000490</t>
  </si>
  <si>
    <t xml:space="preserve">O000491</t>
  </si>
  <si>
    <t xml:space="preserve">O000492</t>
  </si>
  <si>
    <t xml:space="preserve">C0023</t>
  </si>
  <si>
    <t xml:space="preserve">O000493</t>
  </si>
  <si>
    <t xml:space="preserve">O000494</t>
  </si>
  <si>
    <t xml:space="preserve">O000495</t>
  </si>
  <si>
    <t xml:space="preserve">O000496</t>
  </si>
  <si>
    <t xml:space="preserve">O000497</t>
  </si>
  <si>
    <t xml:space="preserve">O000498</t>
  </si>
  <si>
    <t xml:space="preserve">O000499</t>
  </si>
  <si>
    <t xml:space="preserve">O000500</t>
  </si>
  <si>
    <t xml:space="preserve">O000501</t>
  </si>
  <si>
    <t xml:space="preserve">O000502</t>
  </si>
  <si>
    <t xml:space="preserve">O000503</t>
  </si>
  <si>
    <t xml:space="preserve">O000504</t>
  </si>
  <si>
    <t xml:space="preserve">C0044</t>
  </si>
  <si>
    <t xml:space="preserve">O000505</t>
  </si>
  <si>
    <t xml:space="preserve">O000506</t>
  </si>
  <si>
    <t xml:space="preserve">C0286</t>
  </si>
  <si>
    <t xml:space="preserve">O000507</t>
  </si>
  <si>
    <t xml:space="preserve">O000508</t>
  </si>
  <si>
    <t xml:space="preserve">O000509</t>
  </si>
  <si>
    <t xml:space="preserve">O000510</t>
  </si>
  <si>
    <t xml:space="preserve">C0060</t>
  </si>
  <si>
    <t xml:space="preserve">O000511</t>
  </si>
  <si>
    <t xml:space="preserve">C0005</t>
  </si>
  <si>
    <t xml:space="preserve">O000512</t>
  </si>
  <si>
    <t xml:space="preserve">O000513</t>
  </si>
  <si>
    <t xml:space="preserve">O000514</t>
  </si>
  <si>
    <t xml:space="preserve">O000515</t>
  </si>
  <si>
    <t xml:space="preserve">C0297</t>
  </si>
  <si>
    <t xml:space="preserve">O000516</t>
  </si>
  <si>
    <t xml:space="preserve">O000517</t>
  </si>
  <si>
    <t xml:space="preserve">O000518</t>
  </si>
  <si>
    <t xml:space="preserve">O000519</t>
  </si>
  <si>
    <t xml:space="preserve">O000520</t>
  </si>
  <si>
    <t xml:space="preserve">O000521</t>
  </si>
  <si>
    <t xml:space="preserve">O000522</t>
  </si>
  <si>
    <t xml:space="preserve">O000523</t>
  </si>
  <si>
    <t xml:space="preserve">O000524</t>
  </si>
  <si>
    <t xml:space="preserve">O000525</t>
  </si>
  <si>
    <t xml:space="preserve">C0152</t>
  </si>
  <si>
    <t xml:space="preserve">O000526</t>
  </si>
  <si>
    <t xml:space="preserve">O000527</t>
  </si>
  <si>
    <t xml:space="preserve">O000528</t>
  </si>
  <si>
    <t xml:space="preserve">O000529</t>
  </si>
  <si>
    <t xml:space="preserve">O000530</t>
  </si>
  <si>
    <t xml:space="preserve">O000531</t>
  </si>
  <si>
    <t xml:space="preserve">O000532</t>
  </si>
  <si>
    <t xml:space="preserve">O000533</t>
  </si>
  <si>
    <t xml:space="preserve">O000534</t>
  </si>
  <si>
    <t xml:space="preserve">O000535</t>
  </si>
  <si>
    <t xml:space="preserve">O000536</t>
  </si>
  <si>
    <t xml:space="preserve">O000537</t>
  </si>
  <si>
    <t xml:space="preserve">O000538</t>
  </si>
  <si>
    <t xml:space="preserve">O000539</t>
  </si>
  <si>
    <t xml:space="preserve">C0069</t>
  </si>
  <si>
    <t xml:space="preserve">O000540</t>
  </si>
  <si>
    <t xml:space="preserve">O000541</t>
  </si>
  <si>
    <t xml:space="preserve">O000542</t>
  </si>
  <si>
    <t xml:space="preserve">O000543</t>
  </si>
  <si>
    <t xml:space="preserve">C0083</t>
  </si>
  <si>
    <t xml:space="preserve">O000544</t>
  </si>
  <si>
    <t xml:space="preserve">O000545</t>
  </si>
  <si>
    <t xml:space="preserve">O000546</t>
  </si>
  <si>
    <t xml:space="preserve">C0035</t>
  </si>
  <si>
    <t xml:space="preserve">O000547</t>
  </si>
  <si>
    <t xml:space="preserve">O000548</t>
  </si>
  <si>
    <t xml:space="preserve">O000549</t>
  </si>
  <si>
    <t xml:space="preserve">O000550</t>
  </si>
  <si>
    <t xml:space="preserve">C0255</t>
  </si>
  <si>
    <t xml:space="preserve">O000551</t>
  </si>
  <si>
    <t xml:space="preserve">O000552</t>
  </si>
  <si>
    <t xml:space="preserve">O000553</t>
  </si>
  <si>
    <t xml:space="preserve">O000554</t>
  </si>
  <si>
    <t xml:space="preserve">O000555</t>
  </si>
  <si>
    <t xml:space="preserve">O000556</t>
  </si>
  <si>
    <t xml:space="preserve">C0270</t>
  </si>
  <si>
    <t xml:space="preserve">O000557</t>
  </si>
  <si>
    <t xml:space="preserve">C0092</t>
  </si>
  <si>
    <t xml:space="preserve">O000558</t>
  </si>
  <si>
    <t xml:space="preserve">O000559</t>
  </si>
  <si>
    <t xml:space="preserve">O000560</t>
  </si>
  <si>
    <t xml:space="preserve">O000561</t>
  </si>
  <si>
    <t xml:space="preserve">O000562</t>
  </si>
  <si>
    <t xml:space="preserve">O000563</t>
  </si>
  <si>
    <t xml:space="preserve">O000564</t>
  </si>
  <si>
    <t xml:space="preserve">O000565</t>
  </si>
  <si>
    <t xml:space="preserve">O000566</t>
  </si>
  <si>
    <t xml:space="preserve">O000567</t>
  </si>
  <si>
    <t xml:space="preserve">O000568</t>
  </si>
  <si>
    <t xml:space="preserve">O000569</t>
  </si>
  <si>
    <t xml:space="preserve">O000570</t>
  </si>
  <si>
    <t xml:space="preserve">O000571</t>
  </si>
  <si>
    <t xml:space="preserve">O000572</t>
  </si>
  <si>
    <t xml:space="preserve">C0199</t>
  </si>
  <si>
    <t xml:space="preserve">O000573</t>
  </si>
  <si>
    <t xml:space="preserve">O000574</t>
  </si>
  <si>
    <t xml:space="preserve">O000575</t>
  </si>
  <si>
    <t xml:space="preserve">C0147</t>
  </si>
  <si>
    <t xml:space="preserve">O000576</t>
  </si>
  <si>
    <t xml:space="preserve">O000577</t>
  </si>
  <si>
    <t xml:space="preserve">C0012</t>
  </si>
  <si>
    <t xml:space="preserve">O000578</t>
  </si>
  <si>
    <t xml:space="preserve">C0216</t>
  </si>
  <si>
    <t xml:space="preserve">O000579</t>
  </si>
  <si>
    <t xml:space="preserve">O000580</t>
  </si>
  <si>
    <t xml:space="preserve">O000581</t>
  </si>
  <si>
    <t xml:space="preserve">O000582</t>
  </si>
  <si>
    <t xml:space="preserve">O000583</t>
  </si>
  <si>
    <t xml:space="preserve">O000584</t>
  </si>
  <si>
    <t xml:space="preserve">P1071</t>
  </si>
  <si>
    <t xml:space="preserve">O000585</t>
  </si>
  <si>
    <t xml:space="preserve">O000586</t>
  </si>
  <si>
    <t xml:space="preserve">C0275</t>
  </si>
  <si>
    <t xml:space="preserve">O000587</t>
  </si>
  <si>
    <t xml:space="preserve">O000588</t>
  </si>
  <si>
    <t xml:space="preserve">C0086</t>
  </si>
  <si>
    <t xml:space="preserve">O000589</t>
  </si>
  <si>
    <t xml:space="preserve">O000590</t>
  </si>
  <si>
    <t xml:space="preserve">O000591</t>
  </si>
  <si>
    <t xml:space="preserve">O000592</t>
  </si>
  <si>
    <t xml:space="preserve">C0113</t>
  </si>
  <si>
    <t xml:space="preserve">O000593</t>
  </si>
  <si>
    <t xml:space="preserve">C0127</t>
  </si>
  <si>
    <t xml:space="preserve">O000594</t>
  </si>
  <si>
    <t xml:space="preserve">O000595</t>
  </si>
  <si>
    <t xml:space="preserve">O000596</t>
  </si>
  <si>
    <t xml:space="preserve">O000597</t>
  </si>
  <si>
    <t xml:space="preserve">O000598</t>
  </si>
  <si>
    <t xml:space="preserve">O000599</t>
  </si>
  <si>
    <t xml:space="preserve">O000600</t>
  </si>
  <si>
    <t xml:space="preserve">O000601</t>
  </si>
  <si>
    <t xml:space="preserve">P1041</t>
  </si>
  <si>
    <t xml:space="preserve">O000602</t>
  </si>
  <si>
    <t xml:space="preserve">O000603</t>
  </si>
  <si>
    <t xml:space="preserve">O000604</t>
  </si>
  <si>
    <t xml:space="preserve">O000605</t>
  </si>
  <si>
    <t xml:space="preserve">O000606</t>
  </si>
  <si>
    <t xml:space="preserve">O000607</t>
  </si>
  <si>
    <t xml:space="preserve">O000608</t>
  </si>
  <si>
    <t xml:space="preserve">O000609</t>
  </si>
  <si>
    <t xml:space="preserve">O000610</t>
  </si>
  <si>
    <t xml:space="preserve">O000611</t>
  </si>
  <si>
    <t xml:space="preserve">O000612</t>
  </si>
  <si>
    <t xml:space="preserve">O000613</t>
  </si>
  <si>
    <t xml:space="preserve">C0109</t>
  </si>
  <si>
    <t xml:space="preserve">O000614</t>
  </si>
  <si>
    <t xml:space="preserve">O000615</t>
  </si>
  <si>
    <t xml:space="preserve">O000616</t>
  </si>
  <si>
    <t xml:space="preserve">O000617</t>
  </si>
  <si>
    <t xml:space="preserve">O000618</t>
  </si>
  <si>
    <t xml:space="preserve">O000619</t>
  </si>
  <si>
    <t xml:space="preserve">O000620</t>
  </si>
  <si>
    <t xml:space="preserve">O000621</t>
  </si>
  <si>
    <t xml:space="preserve">O000622</t>
  </si>
  <si>
    <t xml:space="preserve">O000623</t>
  </si>
  <si>
    <t xml:space="preserve">C0217</t>
  </si>
  <si>
    <t xml:space="preserve">O000624</t>
  </si>
  <si>
    <t xml:space="preserve">C0236</t>
  </si>
  <si>
    <t xml:space="preserve">O000625</t>
  </si>
  <si>
    <t xml:space="preserve">O000626</t>
  </si>
  <si>
    <t xml:space="preserve">O000627</t>
  </si>
  <si>
    <t xml:space="preserve">O000628</t>
  </si>
  <si>
    <t xml:space="preserve">O000629</t>
  </si>
  <si>
    <t xml:space="preserve">O000630</t>
  </si>
  <si>
    <t xml:space="preserve">O000631</t>
  </si>
  <si>
    <t xml:space="preserve">C0100</t>
  </si>
  <si>
    <t xml:space="preserve">O000632</t>
  </si>
  <si>
    <t xml:space="preserve">O000633</t>
  </si>
  <si>
    <t xml:space="preserve">O000634</t>
  </si>
  <si>
    <t xml:space="preserve">O000635</t>
  </si>
  <si>
    <t xml:space="preserve">O000636</t>
  </si>
  <si>
    <t xml:space="preserve">O000637</t>
  </si>
  <si>
    <t xml:space="preserve">O000638</t>
  </si>
  <si>
    <t xml:space="preserve">O000639</t>
  </si>
  <si>
    <t xml:space="preserve">O000640</t>
  </si>
  <si>
    <t xml:space="preserve">O000641</t>
  </si>
  <si>
    <t xml:space="preserve">O000642</t>
  </si>
  <si>
    <t xml:space="preserve">O000643</t>
  </si>
  <si>
    <t xml:space="preserve">O000644</t>
  </si>
  <si>
    <t xml:space="preserve">O000645</t>
  </si>
  <si>
    <t xml:space="preserve">O000646</t>
  </si>
  <si>
    <t xml:space="preserve">O000647</t>
  </si>
  <si>
    <t xml:space="preserve">O000648</t>
  </si>
  <si>
    <t xml:space="preserve">O000649</t>
  </si>
  <si>
    <t xml:space="preserve">O000650</t>
  </si>
  <si>
    <t xml:space="preserve">O000651</t>
  </si>
  <si>
    <t xml:space="preserve">O000652</t>
  </si>
  <si>
    <t xml:space="preserve">O000653</t>
  </si>
  <si>
    <t xml:space="preserve">O000654</t>
  </si>
  <si>
    <t xml:space="preserve">O000655</t>
  </si>
  <si>
    <t xml:space="preserve">O000656</t>
  </si>
  <si>
    <t xml:space="preserve">O000657</t>
  </si>
  <si>
    <t xml:space="preserve">O000658</t>
  </si>
  <si>
    <t xml:space="preserve">O000659</t>
  </si>
  <si>
    <t xml:space="preserve">O000660</t>
  </si>
  <si>
    <t xml:space="preserve">O000661</t>
  </si>
  <si>
    <t xml:space="preserve">O000662</t>
  </si>
  <si>
    <t xml:space="preserve">O000663</t>
  </si>
  <si>
    <t xml:space="preserve">O000664</t>
  </si>
  <si>
    <t xml:space="preserve">O000665</t>
  </si>
  <si>
    <t xml:space="preserve">O000666</t>
  </si>
  <si>
    <t xml:space="preserve">O000667</t>
  </si>
  <si>
    <t xml:space="preserve">C0237</t>
  </si>
  <si>
    <t xml:space="preserve">O000668</t>
  </si>
  <si>
    <t xml:space="preserve">O000669</t>
  </si>
  <si>
    <t xml:space="preserve">O000670</t>
  </si>
  <si>
    <t xml:space="preserve">C0048</t>
  </si>
  <si>
    <t xml:space="preserve">O000671</t>
  </si>
  <si>
    <t xml:space="preserve">O000672</t>
  </si>
  <si>
    <t xml:space="preserve">O000673</t>
  </si>
  <si>
    <t xml:space="preserve">O000674</t>
  </si>
  <si>
    <t xml:space="preserve">O000675</t>
  </si>
  <si>
    <t xml:space="preserve">O000676</t>
  </si>
  <si>
    <t xml:space="preserve">C0095</t>
  </si>
  <si>
    <t xml:space="preserve">O000677</t>
  </si>
  <si>
    <t xml:space="preserve">O000678</t>
  </si>
  <si>
    <t xml:space="preserve">O000679</t>
  </si>
  <si>
    <t xml:space="preserve">O000680</t>
  </si>
  <si>
    <t xml:space="preserve">C0075</t>
  </si>
  <si>
    <t xml:space="preserve">O000681</t>
  </si>
  <si>
    <t xml:space="preserve">O000682</t>
  </si>
  <si>
    <t xml:space="preserve">O000683</t>
  </si>
  <si>
    <t xml:space="preserve">O000684</t>
  </si>
  <si>
    <t xml:space="preserve">O000685</t>
  </si>
  <si>
    <t xml:space="preserve">O000686</t>
  </si>
  <si>
    <t xml:space="preserve">O000687</t>
  </si>
  <si>
    <t xml:space="preserve">O000688</t>
  </si>
  <si>
    <t xml:space="preserve">O000689</t>
  </si>
  <si>
    <t xml:space="preserve">O000690</t>
  </si>
  <si>
    <t xml:space="preserve">O000691</t>
  </si>
  <si>
    <t xml:space="preserve">O000692</t>
  </si>
  <si>
    <t xml:space="preserve">O000693</t>
  </si>
  <si>
    <t xml:space="preserve">O000694</t>
  </si>
  <si>
    <t xml:space="preserve">O000695</t>
  </si>
  <si>
    <t xml:space="preserve">O000696</t>
  </si>
  <si>
    <t xml:space="preserve">O000697</t>
  </si>
  <si>
    <t xml:space="preserve">O000698</t>
  </si>
  <si>
    <t xml:space="preserve">O000699</t>
  </si>
  <si>
    <t xml:space="preserve">O000700</t>
  </si>
  <si>
    <t xml:space="preserve">O000701</t>
  </si>
  <si>
    <t xml:space="preserve">O000702</t>
  </si>
  <si>
    <t xml:space="preserve">O000703</t>
  </si>
  <si>
    <t xml:space="preserve">O000704</t>
  </si>
  <si>
    <t xml:space="preserve">O000705</t>
  </si>
  <si>
    <t xml:space="preserve">O000706</t>
  </si>
  <si>
    <t xml:space="preserve">O000707</t>
  </si>
  <si>
    <t xml:space="preserve">O000708</t>
  </si>
  <si>
    <t xml:space="preserve">O000709</t>
  </si>
  <si>
    <t xml:space="preserve">O000710</t>
  </si>
  <si>
    <t xml:space="preserve">O000711</t>
  </si>
  <si>
    <t xml:space="preserve">O000712</t>
  </si>
  <si>
    <t xml:space="preserve">C0129</t>
  </si>
  <si>
    <t xml:space="preserve">O000713</t>
  </si>
  <si>
    <t xml:space="preserve">C0045</t>
  </si>
  <si>
    <t xml:space="preserve">O000714</t>
  </si>
  <si>
    <t xml:space="preserve">C0204</t>
  </si>
  <si>
    <t xml:space="preserve">O000715</t>
  </si>
  <si>
    <t xml:space="preserve">O000716</t>
  </si>
  <si>
    <t xml:space="preserve">O000717</t>
  </si>
  <si>
    <t xml:space="preserve">O000718</t>
  </si>
  <si>
    <t xml:space="preserve">O000719</t>
  </si>
  <si>
    <t xml:space="preserve">O000720</t>
  </si>
  <si>
    <t xml:space="preserve">O000721</t>
  </si>
  <si>
    <t xml:space="preserve">O000722</t>
  </si>
  <si>
    <t xml:space="preserve">C0106</t>
  </si>
  <si>
    <t xml:space="preserve">O000723</t>
  </si>
  <si>
    <t xml:space="preserve">O000724</t>
  </si>
  <si>
    <t xml:space="preserve">O000725</t>
  </si>
  <si>
    <t xml:space="preserve">O000726</t>
  </si>
  <si>
    <t xml:space="preserve">O000727</t>
  </si>
  <si>
    <t xml:space="preserve">O000728</t>
  </si>
  <si>
    <t xml:space="preserve">O000729</t>
  </si>
  <si>
    <t xml:space="preserve">O000730</t>
  </si>
  <si>
    <t xml:space="preserve">O000731</t>
  </si>
  <si>
    <t xml:space="preserve">C0206</t>
  </si>
  <si>
    <t xml:space="preserve">O000732</t>
  </si>
  <si>
    <t xml:space="preserve">O000733</t>
  </si>
  <si>
    <t xml:space="preserve">O000734</t>
  </si>
  <si>
    <t xml:space="preserve">O000735</t>
  </si>
  <si>
    <t xml:space="preserve">O000736</t>
  </si>
  <si>
    <t xml:space="preserve">O000737</t>
  </si>
  <si>
    <t xml:space="preserve">O000738</t>
  </si>
  <si>
    <t xml:space="preserve">C0277</t>
  </si>
  <si>
    <t xml:space="preserve">O000739</t>
  </si>
  <si>
    <t xml:space="preserve">O000740</t>
  </si>
  <si>
    <t xml:space="preserve">O000741</t>
  </si>
  <si>
    <t xml:space="preserve">O000742</t>
  </si>
  <si>
    <t xml:space="preserve">O000743</t>
  </si>
  <si>
    <t xml:space="preserve">O000744</t>
  </si>
  <si>
    <t xml:space="preserve">O000745</t>
  </si>
  <si>
    <t xml:space="preserve">C0272</t>
  </si>
  <si>
    <t xml:space="preserve">O000746</t>
  </si>
  <si>
    <t xml:space="preserve">C0130</t>
  </si>
  <si>
    <t xml:space="preserve">O000747</t>
  </si>
  <si>
    <t xml:space="preserve">O000748</t>
  </si>
  <si>
    <t xml:space="preserve">O000749</t>
  </si>
  <si>
    <t xml:space="preserve">O000750</t>
  </si>
  <si>
    <t xml:space="preserve">O000751</t>
  </si>
  <si>
    <t xml:space="preserve">O000752</t>
  </si>
  <si>
    <t xml:space="preserve">O000753</t>
  </si>
  <si>
    <t xml:space="preserve">O000754</t>
  </si>
  <si>
    <t xml:space="preserve">O000755</t>
  </si>
  <si>
    <t xml:space="preserve">O000756</t>
  </si>
  <si>
    <t xml:space="preserve">O000757</t>
  </si>
  <si>
    <t xml:space="preserve">O000758</t>
  </si>
  <si>
    <t xml:space="preserve">O000759</t>
  </si>
  <si>
    <t xml:space="preserve">O000760</t>
  </si>
  <si>
    <t xml:space="preserve">O000761</t>
  </si>
  <si>
    <t xml:space="preserve">O000762</t>
  </si>
  <si>
    <t xml:space="preserve">O000763</t>
  </si>
  <si>
    <t xml:space="preserve">O000764</t>
  </si>
  <si>
    <t xml:space="preserve">O000765</t>
  </si>
  <si>
    <t xml:space="preserve">C0107</t>
  </si>
  <si>
    <t xml:space="preserve">O000766</t>
  </si>
  <si>
    <t xml:space="preserve">O000767</t>
  </si>
  <si>
    <t xml:space="preserve">P1033</t>
  </si>
  <si>
    <t xml:space="preserve">O000768</t>
  </si>
  <si>
    <t xml:space="preserve">O000769</t>
  </si>
  <si>
    <t xml:space="preserve">O000770</t>
  </si>
  <si>
    <t xml:space="preserve">O000771</t>
  </si>
  <si>
    <t xml:space="preserve">O000772</t>
  </si>
  <si>
    <t xml:space="preserve">O000773</t>
  </si>
  <si>
    <t xml:space="preserve">O000774</t>
  </si>
  <si>
    <t xml:space="preserve">O000775</t>
  </si>
  <si>
    <t xml:space="preserve">O000776</t>
  </si>
  <si>
    <t xml:space="preserve">O000777</t>
  </si>
  <si>
    <t xml:space="preserve">O000778</t>
  </si>
  <si>
    <t xml:space="preserve">O000779</t>
  </si>
  <si>
    <t xml:space="preserve">O000780</t>
  </si>
  <si>
    <t xml:space="preserve">O000781</t>
  </si>
  <si>
    <t xml:space="preserve">O000782</t>
  </si>
  <si>
    <t xml:space="preserve">O000783</t>
  </si>
  <si>
    <t xml:space="preserve">O000784</t>
  </si>
  <si>
    <t xml:space="preserve">O000785</t>
  </si>
  <si>
    <t xml:space="preserve">O000786</t>
  </si>
  <si>
    <t xml:space="preserve">O000787</t>
  </si>
  <si>
    <t xml:space="preserve">O000788</t>
  </si>
  <si>
    <t xml:space="preserve">O000789</t>
  </si>
  <si>
    <t xml:space="preserve">O000790</t>
  </si>
  <si>
    <t xml:space="preserve">O000791</t>
  </si>
  <si>
    <t xml:space="preserve">O000792</t>
  </si>
  <si>
    <t xml:space="preserve">O000793</t>
  </si>
  <si>
    <t xml:space="preserve">O000794</t>
  </si>
  <si>
    <t xml:space="preserve">O000795</t>
  </si>
  <si>
    <t xml:space="preserve">C0287</t>
  </si>
  <si>
    <t xml:space="preserve">O000796</t>
  </si>
  <si>
    <t xml:space="preserve">O000797</t>
  </si>
  <si>
    <t xml:space="preserve">O000798</t>
  </si>
  <si>
    <t xml:space="preserve">O000799</t>
  </si>
  <si>
    <t xml:space="preserve">O000800</t>
  </si>
  <si>
    <t xml:space="preserve">O000801</t>
  </si>
  <si>
    <t xml:space="preserve">O000802</t>
  </si>
  <si>
    <t xml:space="preserve">O000803</t>
  </si>
  <si>
    <t xml:space="preserve">O000804</t>
  </si>
  <si>
    <t xml:space="preserve">O000805</t>
  </si>
  <si>
    <t xml:space="preserve">O000806</t>
  </si>
  <si>
    <t xml:space="preserve">C0232</t>
  </si>
  <si>
    <t xml:space="preserve">O000807</t>
  </si>
  <si>
    <t xml:space="preserve">O000808</t>
  </si>
  <si>
    <t xml:space="preserve">O000809</t>
  </si>
  <si>
    <t xml:space="preserve">O000810</t>
  </si>
  <si>
    <t xml:space="preserve">O000811</t>
  </si>
  <si>
    <t xml:space="preserve">O000812</t>
  </si>
  <si>
    <t xml:space="preserve">O000813</t>
  </si>
  <si>
    <t xml:space="preserve">C0034</t>
  </si>
  <si>
    <t xml:space="preserve">O000814</t>
  </si>
  <si>
    <t xml:space="preserve">O000815</t>
  </si>
  <si>
    <t xml:space="preserve">O000816</t>
  </si>
  <si>
    <t xml:space="preserve">O000817</t>
  </si>
  <si>
    <t xml:space="preserve">O000818</t>
  </si>
  <si>
    <t xml:space="preserve">O000819</t>
  </si>
  <si>
    <t xml:space="preserve">O000820</t>
  </si>
  <si>
    <t xml:space="preserve">O000821</t>
  </si>
  <si>
    <t xml:space="preserve">C0155</t>
  </si>
  <si>
    <t xml:space="preserve">O000822</t>
  </si>
  <si>
    <t xml:space="preserve">C0228</t>
  </si>
  <si>
    <t xml:space="preserve">O000823</t>
  </si>
  <si>
    <t xml:space="preserve">O000824</t>
  </si>
  <si>
    <t xml:space="preserve">O000825</t>
  </si>
  <si>
    <t xml:space="preserve">C0160</t>
  </si>
  <si>
    <t xml:space="preserve">O000826</t>
  </si>
  <si>
    <t xml:space="preserve">O000827</t>
  </si>
  <si>
    <t xml:space="preserve">O000828</t>
  </si>
  <si>
    <t xml:space="preserve">O000829</t>
  </si>
  <si>
    <t xml:space="preserve">O000830</t>
  </si>
  <si>
    <t xml:space="preserve">O000831</t>
  </si>
  <si>
    <t xml:space="preserve">O000832</t>
  </si>
  <si>
    <t xml:space="preserve">O000833</t>
  </si>
  <si>
    <t xml:space="preserve">O000834</t>
  </si>
  <si>
    <t xml:space="preserve">C0195</t>
  </si>
  <si>
    <t xml:space="preserve">O000835</t>
  </si>
  <si>
    <t xml:space="preserve">O000836</t>
  </si>
  <si>
    <t xml:space="preserve">O000837</t>
  </si>
  <si>
    <t xml:space="preserve">O000838</t>
  </si>
  <si>
    <t xml:space="preserve">O000839</t>
  </si>
  <si>
    <t xml:space="preserve">O000840</t>
  </si>
  <si>
    <t xml:space="preserve">O000841</t>
  </si>
  <si>
    <t xml:space="preserve">O000842</t>
  </si>
  <si>
    <t xml:space="preserve">O000843</t>
  </si>
  <si>
    <t xml:space="preserve">O000844</t>
  </si>
  <si>
    <t xml:space="preserve">O000845</t>
  </si>
  <si>
    <t xml:space="preserve">O000846</t>
  </si>
  <si>
    <t xml:space="preserve">O000847</t>
  </si>
  <si>
    <t xml:space="preserve">O000848</t>
  </si>
  <si>
    <t xml:space="preserve">O000849</t>
  </si>
  <si>
    <t xml:space="preserve">O000850</t>
  </si>
  <si>
    <t xml:space="preserve">O000851</t>
  </si>
  <si>
    <t xml:space="preserve">O000852</t>
  </si>
  <si>
    <t xml:space="preserve">O000853</t>
  </si>
  <si>
    <t xml:space="preserve">O000854</t>
  </si>
  <si>
    <t xml:space="preserve">O000855</t>
  </si>
  <si>
    <t xml:space="preserve">O000856</t>
  </si>
  <si>
    <t xml:space="preserve">O000857</t>
  </si>
  <si>
    <t xml:space="preserve">O000858</t>
  </si>
  <si>
    <t xml:space="preserve">O000859</t>
  </si>
  <si>
    <t xml:space="preserve">O000860</t>
  </si>
  <si>
    <t xml:space="preserve">O000861</t>
  </si>
  <si>
    <t xml:space="preserve">O000862</t>
  </si>
  <si>
    <t xml:space="preserve">O000863</t>
  </si>
  <si>
    <t xml:space="preserve">O000864</t>
  </si>
  <si>
    <t xml:space="preserve">O000865</t>
  </si>
  <si>
    <t xml:space="preserve">O000866</t>
  </si>
  <si>
    <t xml:space="preserve">O000867</t>
  </si>
  <si>
    <t xml:space="preserve">O000868</t>
  </si>
  <si>
    <t xml:space="preserve">O000869</t>
  </si>
  <si>
    <t xml:space="preserve">O000870</t>
  </si>
  <si>
    <t xml:space="preserve">O000871</t>
  </si>
  <si>
    <t xml:space="preserve">O000872</t>
  </si>
  <si>
    <t xml:space="preserve">O000873</t>
  </si>
  <si>
    <t xml:space="preserve">O000874</t>
  </si>
  <si>
    <t xml:space="preserve">C0006</t>
  </si>
  <si>
    <t xml:space="preserve">O000875</t>
  </si>
  <si>
    <t xml:space="preserve">O000876</t>
  </si>
  <si>
    <t xml:space="preserve">O000877</t>
  </si>
  <si>
    <t xml:space="preserve">O000878</t>
  </si>
  <si>
    <t xml:space="preserve">O000879</t>
  </si>
  <si>
    <t xml:space="preserve">O000880</t>
  </si>
  <si>
    <t xml:space="preserve">C0273</t>
  </si>
  <si>
    <t xml:space="preserve">O000881</t>
  </si>
  <si>
    <t xml:space="preserve">O000882</t>
  </si>
  <si>
    <t xml:space="preserve">O000883</t>
  </si>
  <si>
    <t xml:space="preserve">O000884</t>
  </si>
  <si>
    <t xml:space="preserve">O000885</t>
  </si>
  <si>
    <t xml:space="preserve">O000886</t>
  </si>
  <si>
    <t xml:space="preserve">O000887</t>
  </si>
  <si>
    <t xml:space="preserve">O000888</t>
  </si>
  <si>
    <t xml:space="preserve">O000889</t>
  </si>
  <si>
    <t xml:space="preserve">O000890</t>
  </si>
  <si>
    <t xml:space="preserve">O000891</t>
  </si>
  <si>
    <t xml:space="preserve">O000892</t>
  </si>
  <si>
    <t xml:space="preserve">O000893</t>
  </si>
  <si>
    <t xml:space="preserve">O000894</t>
  </si>
  <si>
    <t xml:space="preserve">O000895</t>
  </si>
  <si>
    <t xml:space="preserve">O000896</t>
  </si>
  <si>
    <t xml:space="preserve">O000897</t>
  </si>
  <si>
    <t xml:space="preserve">O000898</t>
  </si>
  <si>
    <t xml:space="preserve">O000899</t>
  </si>
  <si>
    <t xml:space="preserve">O000900</t>
  </si>
  <si>
    <t xml:space="preserve">O000901</t>
  </si>
  <si>
    <t xml:space="preserve">O000902</t>
  </si>
  <si>
    <t xml:space="preserve">O000903</t>
  </si>
  <si>
    <t xml:space="preserve">O000904</t>
  </si>
  <si>
    <t xml:space="preserve">O000905</t>
  </si>
  <si>
    <t xml:space="preserve">O000906</t>
  </si>
  <si>
    <t xml:space="preserve">O000907</t>
  </si>
  <si>
    <t xml:space="preserve">O000908</t>
  </si>
  <si>
    <t xml:space="preserve">O000909</t>
  </si>
  <si>
    <t xml:space="preserve">C0283</t>
  </si>
  <si>
    <t xml:space="preserve">O000910</t>
  </si>
  <si>
    <t xml:space="preserve">O000911</t>
  </si>
  <si>
    <t xml:space="preserve">O000912</t>
  </si>
  <si>
    <t xml:space="preserve">O000913</t>
  </si>
  <si>
    <t xml:space="preserve">O000914</t>
  </si>
  <si>
    <t xml:space="preserve">O000915</t>
  </si>
  <si>
    <t xml:space="preserve">O000916</t>
  </si>
  <si>
    <t xml:space="preserve">O000917</t>
  </si>
  <si>
    <t xml:space="preserve">O000918</t>
  </si>
  <si>
    <t xml:space="preserve">O000919</t>
  </si>
  <si>
    <t xml:space="preserve">O000920</t>
  </si>
  <si>
    <t xml:space="preserve">O000921</t>
  </si>
  <si>
    <t xml:space="preserve">O000922</t>
  </si>
  <si>
    <t xml:space="preserve">O000923</t>
  </si>
  <si>
    <t xml:space="preserve">O000924</t>
  </si>
  <si>
    <t xml:space="preserve">O000925</t>
  </si>
  <si>
    <t xml:space="preserve">O000926</t>
  </si>
  <si>
    <t xml:space="preserve">C0292</t>
  </si>
  <si>
    <t xml:space="preserve">O000927</t>
  </si>
  <si>
    <t xml:space="preserve">O000928</t>
  </si>
  <si>
    <t xml:space="preserve">O000929</t>
  </si>
  <si>
    <t xml:space="preserve">O000930</t>
  </si>
  <si>
    <t xml:space="preserve">O000931</t>
  </si>
  <si>
    <t xml:space="preserve">O000932</t>
  </si>
  <si>
    <t xml:space="preserve">O000933</t>
  </si>
  <si>
    <t xml:space="preserve">O000934</t>
  </si>
  <si>
    <t xml:space="preserve">O000935</t>
  </si>
  <si>
    <t xml:space="preserve">O000936</t>
  </si>
  <si>
    <t xml:space="preserve">O000937</t>
  </si>
  <si>
    <t xml:space="preserve">O000938</t>
  </si>
  <si>
    <t xml:space="preserve">O000939</t>
  </si>
  <si>
    <t xml:space="preserve">O000940</t>
  </si>
  <si>
    <t xml:space="preserve">O000941</t>
  </si>
  <si>
    <t xml:space="preserve">O000942</t>
  </si>
  <si>
    <t xml:space="preserve">O000943</t>
  </si>
  <si>
    <t xml:space="preserve">O000944</t>
  </si>
  <si>
    <t xml:space="preserve">O000945</t>
  </si>
  <si>
    <t xml:space="preserve">O000946</t>
  </si>
  <si>
    <t xml:space="preserve">O000947</t>
  </si>
  <si>
    <t xml:space="preserve">O000948</t>
  </si>
  <si>
    <t xml:space="preserve">O000949</t>
  </si>
  <si>
    <t xml:space="preserve">O000950</t>
  </si>
  <si>
    <t xml:space="preserve">O000951</t>
  </si>
  <si>
    <t xml:space="preserve">O000952</t>
  </si>
  <si>
    <t xml:space="preserve">O000953</t>
  </si>
  <si>
    <t xml:space="preserve">O000954</t>
  </si>
  <si>
    <t xml:space="preserve">O000955</t>
  </si>
  <si>
    <t xml:space="preserve">O000956</t>
  </si>
  <si>
    <t xml:space="preserve">O000957</t>
  </si>
  <si>
    <t xml:space="preserve">O000958</t>
  </si>
  <si>
    <t xml:space="preserve">O000959</t>
  </si>
  <si>
    <t xml:space="preserve">O000960</t>
  </si>
  <si>
    <t xml:space="preserve">O000961</t>
  </si>
  <si>
    <t xml:space="preserve">O000962</t>
  </si>
  <si>
    <t xml:space="preserve">O000963</t>
  </si>
  <si>
    <t xml:space="preserve">O000964</t>
  </si>
  <si>
    <t xml:space="preserve">O000965</t>
  </si>
  <si>
    <t xml:space="preserve">O000966</t>
  </si>
  <si>
    <t xml:space="preserve">O000967</t>
  </si>
  <si>
    <t xml:space="preserve">O000968</t>
  </si>
  <si>
    <t xml:space="preserve">O000969</t>
  </si>
  <si>
    <t xml:space="preserve">O000970</t>
  </si>
  <si>
    <t xml:space="preserve">O000971</t>
  </si>
  <si>
    <t xml:space="preserve">O000972</t>
  </si>
  <si>
    <t xml:space="preserve">O000973</t>
  </si>
  <si>
    <t xml:space="preserve">O000974</t>
  </si>
  <si>
    <t xml:space="preserve">O000975</t>
  </si>
  <si>
    <t xml:space="preserve">O000976</t>
  </si>
  <si>
    <t xml:space="preserve">O000977</t>
  </si>
  <si>
    <t xml:space="preserve">O000978</t>
  </si>
  <si>
    <t xml:space="preserve">O000979</t>
  </si>
  <si>
    <t xml:space="preserve">C0171</t>
  </si>
  <si>
    <t xml:space="preserve">O000980</t>
  </si>
  <si>
    <t xml:space="preserve">O000981</t>
  </si>
  <si>
    <t xml:space="preserve">O000982</t>
  </si>
  <si>
    <t xml:space="preserve">O000983</t>
  </si>
  <si>
    <t xml:space="preserve">O000984</t>
  </si>
  <si>
    <t xml:space="preserve">O000985</t>
  </si>
  <si>
    <t xml:space="preserve">O000986</t>
  </si>
  <si>
    <t xml:space="preserve">O000987</t>
  </si>
  <si>
    <t xml:space="preserve">O000988</t>
  </si>
  <si>
    <t xml:space="preserve">O000989</t>
  </si>
  <si>
    <t xml:space="preserve">O000990</t>
  </si>
  <si>
    <t xml:space="preserve">O000991</t>
  </si>
  <si>
    <t xml:space="preserve">O000992</t>
  </si>
  <si>
    <t xml:space="preserve">O000993</t>
  </si>
  <si>
    <t xml:space="preserve">O000994</t>
  </si>
  <si>
    <t xml:space="preserve">O000995</t>
  </si>
  <si>
    <t xml:space="preserve">O000996</t>
  </si>
  <si>
    <t xml:space="preserve">O000997</t>
  </si>
  <si>
    <t xml:space="preserve">O000998</t>
  </si>
  <si>
    <t xml:space="preserve">O000999</t>
  </si>
  <si>
    <t xml:space="preserve">O001000</t>
  </si>
  <si>
    <t xml:space="preserve">O001001</t>
  </si>
  <si>
    <t xml:space="preserve">O001002</t>
  </si>
  <si>
    <t xml:space="preserve">O001003</t>
  </si>
  <si>
    <t xml:space="preserve">O001004</t>
  </si>
  <si>
    <t xml:space="preserve">O001005</t>
  </si>
  <si>
    <t xml:space="preserve">O001006</t>
  </si>
  <si>
    <t xml:space="preserve">O001007</t>
  </si>
  <si>
    <t xml:space="preserve">O001008</t>
  </si>
  <si>
    <t xml:space="preserve">O001009</t>
  </si>
  <si>
    <t xml:space="preserve">O001010</t>
  </si>
  <si>
    <t xml:space="preserve">O001011</t>
  </si>
  <si>
    <t xml:space="preserve">O001012</t>
  </si>
  <si>
    <t xml:space="preserve">O001013</t>
  </si>
  <si>
    <t xml:space="preserve">O001014</t>
  </si>
  <si>
    <t xml:space="preserve">O001015</t>
  </si>
  <si>
    <t xml:space="preserve">C0213</t>
  </si>
  <si>
    <t xml:space="preserve">O001016</t>
  </si>
  <si>
    <t xml:space="preserve">O001017</t>
  </si>
  <si>
    <t xml:space="preserve">O001018</t>
  </si>
  <si>
    <t xml:space="preserve">O001019</t>
  </si>
  <si>
    <t xml:space="preserve">O001020</t>
  </si>
  <si>
    <t xml:space="preserve">O001021</t>
  </si>
  <si>
    <t xml:space="preserve">O001022</t>
  </si>
  <si>
    <t xml:space="preserve">C0148</t>
  </si>
  <si>
    <t xml:space="preserve">O001023</t>
  </si>
  <si>
    <t xml:space="preserve">O001024</t>
  </si>
  <si>
    <t xml:space="preserve">O001025</t>
  </si>
  <si>
    <t xml:space="preserve">O001026</t>
  </si>
  <si>
    <t xml:space="preserve">O001027</t>
  </si>
  <si>
    <t xml:space="preserve">O001028</t>
  </si>
  <si>
    <t xml:space="preserve">O001029</t>
  </si>
  <si>
    <t xml:space="preserve">O001030</t>
  </si>
  <si>
    <t xml:space="preserve">O001031</t>
  </si>
  <si>
    <t xml:space="preserve">O001032</t>
  </si>
  <si>
    <t xml:space="preserve">O001033</t>
  </si>
  <si>
    <t xml:space="preserve">O001034</t>
  </si>
  <si>
    <t xml:space="preserve">O001035</t>
  </si>
  <si>
    <t xml:space="preserve">O001036</t>
  </si>
  <si>
    <t xml:space="preserve">O001037</t>
  </si>
  <si>
    <t xml:space="preserve">O001038</t>
  </si>
  <si>
    <t xml:space="preserve">O001039</t>
  </si>
  <si>
    <t xml:space="preserve">O001040</t>
  </si>
  <si>
    <t xml:space="preserve">O001041</t>
  </si>
  <si>
    <t xml:space="preserve">O001042</t>
  </si>
  <si>
    <t xml:space="preserve">O001043</t>
  </si>
  <si>
    <t xml:space="preserve">O001044</t>
  </si>
  <si>
    <t xml:space="preserve">O001045</t>
  </si>
  <si>
    <t xml:space="preserve">O001046</t>
  </si>
  <si>
    <t xml:space="preserve">O001047</t>
  </si>
  <si>
    <t xml:space="preserve">O001048</t>
  </si>
  <si>
    <t xml:space="preserve">O001049</t>
  </si>
  <si>
    <t xml:space="preserve">O001050</t>
  </si>
  <si>
    <t xml:space="preserve">O001051</t>
  </si>
  <si>
    <t xml:space="preserve">O001052</t>
  </si>
  <si>
    <t xml:space="preserve">O001053</t>
  </si>
  <si>
    <t xml:space="preserve">O001054</t>
  </si>
  <si>
    <t xml:space="preserve">O001055</t>
  </si>
  <si>
    <t xml:space="preserve">O001056</t>
  </si>
  <si>
    <t xml:space="preserve">O001057</t>
  </si>
  <si>
    <t xml:space="preserve">O001058</t>
  </si>
  <si>
    <t xml:space="preserve">O001059</t>
  </si>
  <si>
    <t xml:space="preserve">O001060</t>
  </si>
  <si>
    <t xml:space="preserve">O001061</t>
  </si>
  <si>
    <t xml:space="preserve">O001062</t>
  </si>
  <si>
    <t xml:space="preserve">O001063</t>
  </si>
  <si>
    <t xml:space="preserve">O001064</t>
  </si>
  <si>
    <t xml:space="preserve">O001065</t>
  </si>
  <si>
    <t xml:space="preserve">O001066</t>
  </si>
  <si>
    <t xml:space="preserve">O001067</t>
  </si>
  <si>
    <t xml:space="preserve">O001068</t>
  </si>
  <si>
    <t xml:space="preserve">O001069</t>
  </si>
  <si>
    <t xml:space="preserve">O001070</t>
  </si>
  <si>
    <t xml:space="preserve">O001071</t>
  </si>
  <si>
    <t xml:space="preserve">O001072</t>
  </si>
  <si>
    <t xml:space="preserve">O001073</t>
  </si>
  <si>
    <t xml:space="preserve">O001074</t>
  </si>
  <si>
    <t xml:space="preserve">O001075</t>
  </si>
  <si>
    <t xml:space="preserve">O001076</t>
  </si>
  <si>
    <t xml:space="preserve">O001077</t>
  </si>
  <si>
    <t xml:space="preserve">O001078</t>
  </si>
  <si>
    <t xml:space="preserve">O001079</t>
  </si>
  <si>
    <t xml:space="preserve">O001080</t>
  </si>
  <si>
    <t xml:space="preserve">O001081</t>
  </si>
  <si>
    <t xml:space="preserve">O001082</t>
  </si>
  <si>
    <t xml:space="preserve">O001083</t>
  </si>
  <si>
    <t xml:space="preserve">O001084</t>
  </si>
  <si>
    <t xml:space="preserve">C0071</t>
  </si>
  <si>
    <t xml:space="preserve">O001085</t>
  </si>
  <si>
    <t xml:space="preserve">O001086</t>
  </si>
  <si>
    <t xml:space="preserve">O001087</t>
  </si>
  <si>
    <t xml:space="preserve">O001088</t>
  </si>
  <si>
    <t xml:space="preserve">O001089</t>
  </si>
  <si>
    <t xml:space="preserve">O001090</t>
  </si>
  <si>
    <t xml:space="preserve">O001091</t>
  </si>
  <si>
    <t xml:space="preserve">O001092</t>
  </si>
  <si>
    <t xml:space="preserve">O001093</t>
  </si>
  <si>
    <t xml:space="preserve">O001094</t>
  </si>
  <si>
    <t xml:space="preserve">O001095</t>
  </si>
  <si>
    <t xml:space="preserve">O001096</t>
  </si>
  <si>
    <t xml:space="preserve">O001097</t>
  </si>
  <si>
    <t xml:space="preserve">O001098</t>
  </si>
  <si>
    <t xml:space="preserve">O001099</t>
  </si>
  <si>
    <t xml:space="preserve">O001100</t>
  </si>
  <si>
    <t xml:space="preserve">O001101</t>
  </si>
  <si>
    <t xml:space="preserve">O001102</t>
  </si>
  <si>
    <t xml:space="preserve">O001103</t>
  </si>
  <si>
    <t xml:space="preserve">O001104</t>
  </si>
  <si>
    <t xml:space="preserve">O001105</t>
  </si>
  <si>
    <t xml:space="preserve">O001106</t>
  </si>
  <si>
    <t xml:space="preserve">O001107</t>
  </si>
  <si>
    <t xml:space="preserve">O001108</t>
  </si>
  <si>
    <t xml:space="preserve">O001109</t>
  </si>
  <si>
    <t xml:space="preserve">O001110</t>
  </si>
  <si>
    <t xml:space="preserve">O001111</t>
  </si>
  <si>
    <t xml:space="preserve">O001112</t>
  </si>
  <si>
    <t xml:space="preserve">O001113</t>
  </si>
  <si>
    <t xml:space="preserve">O001114</t>
  </si>
  <si>
    <t xml:space="preserve">O001115</t>
  </si>
  <si>
    <t xml:space="preserve">O001116</t>
  </si>
  <si>
    <t xml:space="preserve">O001117</t>
  </si>
  <si>
    <t xml:space="preserve">O001118</t>
  </si>
  <si>
    <t xml:space="preserve">C0051</t>
  </si>
  <si>
    <t xml:space="preserve">O001119</t>
  </si>
  <si>
    <t xml:space="preserve">O001120</t>
  </si>
  <si>
    <t xml:space="preserve">O001121</t>
  </si>
  <si>
    <t xml:space="preserve">C0149</t>
  </si>
  <si>
    <t xml:space="preserve">O001122</t>
  </si>
  <si>
    <t xml:space="preserve">O001123</t>
  </si>
  <si>
    <t xml:space="preserve">O001124</t>
  </si>
  <si>
    <t xml:space="preserve">O001125</t>
  </si>
  <si>
    <t xml:space="preserve">O001126</t>
  </si>
  <si>
    <t xml:space="preserve">O001127</t>
  </si>
  <si>
    <t xml:space="preserve">O001128</t>
  </si>
  <si>
    <t xml:space="preserve">O001129</t>
  </si>
  <si>
    <t xml:space="preserve">O001130</t>
  </si>
  <si>
    <t xml:space="preserve">O001131</t>
  </si>
  <si>
    <t xml:space="preserve">O001132</t>
  </si>
  <si>
    <t xml:space="preserve">O001133</t>
  </si>
  <si>
    <t xml:space="preserve">O001134</t>
  </si>
  <si>
    <t xml:space="preserve">O001135</t>
  </si>
  <si>
    <t xml:space="preserve">O001136</t>
  </si>
  <si>
    <t xml:space="preserve">O001137</t>
  </si>
  <si>
    <t xml:space="preserve">O001138</t>
  </si>
  <si>
    <t xml:space="preserve">O001139</t>
  </si>
  <si>
    <t xml:space="preserve">C0093</t>
  </si>
  <si>
    <t xml:space="preserve">O001140</t>
  </si>
  <si>
    <t xml:space="preserve">O001141</t>
  </si>
  <si>
    <t xml:space="preserve">O001142</t>
  </si>
  <si>
    <t xml:space="preserve">O001143</t>
  </si>
  <si>
    <t xml:space="preserve">O001144</t>
  </si>
  <si>
    <t xml:space="preserve">O001145</t>
  </si>
  <si>
    <t xml:space="preserve">O001146</t>
  </si>
  <si>
    <t xml:space="preserve">O001147</t>
  </si>
  <si>
    <t xml:space="preserve">O001148</t>
  </si>
  <si>
    <t xml:space="preserve">O001149</t>
  </si>
  <si>
    <t xml:space="preserve">O001150</t>
  </si>
  <si>
    <t xml:space="preserve">O001151</t>
  </si>
  <si>
    <t xml:space="preserve">O001152</t>
  </si>
  <si>
    <t xml:space="preserve">O001153</t>
  </si>
  <si>
    <t xml:space="preserve">O001154</t>
  </si>
  <si>
    <t xml:space="preserve">O001155</t>
  </si>
  <si>
    <t xml:space="preserve">O001156</t>
  </si>
  <si>
    <t xml:space="preserve">O001157</t>
  </si>
  <si>
    <t xml:space="preserve">O001158</t>
  </si>
  <si>
    <t xml:space="preserve">O001159</t>
  </si>
  <si>
    <t xml:space="preserve">O001160</t>
  </si>
  <si>
    <t xml:space="preserve">O001161</t>
  </si>
  <si>
    <t xml:space="preserve">O001162</t>
  </si>
  <si>
    <t xml:space="preserve">C0156</t>
  </si>
  <si>
    <t xml:space="preserve">O001163</t>
  </si>
  <si>
    <t xml:space="preserve">O001164</t>
  </si>
  <si>
    <t xml:space="preserve">O001165</t>
  </si>
  <si>
    <t xml:space="preserve">O001166</t>
  </si>
  <si>
    <t xml:space="preserve">O001167</t>
  </si>
  <si>
    <t xml:space="preserve">O001168</t>
  </si>
  <si>
    <t xml:space="preserve">O001169</t>
  </si>
  <si>
    <t xml:space="preserve">O001170</t>
  </si>
  <si>
    <t xml:space="preserve">O001171</t>
  </si>
  <si>
    <t xml:space="preserve">O001172</t>
  </si>
  <si>
    <t xml:space="preserve">O001173</t>
  </si>
  <si>
    <t xml:space="preserve">O001174</t>
  </si>
  <si>
    <t xml:space="preserve">O001175</t>
  </si>
  <si>
    <t xml:space="preserve">O001176</t>
  </si>
  <si>
    <t xml:space="preserve">O001177</t>
  </si>
  <si>
    <t xml:space="preserve">O001178</t>
  </si>
  <si>
    <t xml:space="preserve">O001179</t>
  </si>
  <si>
    <t xml:space="preserve">O001180</t>
  </si>
  <si>
    <t xml:space="preserve">O001181</t>
  </si>
  <si>
    <t xml:space="preserve">O001182</t>
  </si>
  <si>
    <t xml:space="preserve">O001183</t>
  </si>
  <si>
    <t xml:space="preserve">O001184</t>
  </si>
  <si>
    <t xml:space="preserve">O001185</t>
  </si>
  <si>
    <t xml:space="preserve">O001186</t>
  </si>
  <si>
    <t xml:space="preserve">O001187</t>
  </si>
  <si>
    <t xml:space="preserve">O001188</t>
  </si>
  <si>
    <t xml:space="preserve">O001189</t>
  </si>
  <si>
    <t xml:space="preserve">O001190</t>
  </si>
  <si>
    <t xml:space="preserve">O001191</t>
  </si>
  <si>
    <t xml:space="preserve">O001192</t>
  </si>
  <si>
    <t xml:space="preserve">O001193</t>
  </si>
  <si>
    <t xml:space="preserve">O001194</t>
  </si>
  <si>
    <t xml:space="preserve">O001195</t>
  </si>
  <si>
    <t xml:space="preserve">O001196</t>
  </si>
  <si>
    <t xml:space="preserve">O001197</t>
  </si>
  <si>
    <t xml:space="preserve">O001198</t>
  </si>
  <si>
    <t xml:space="preserve">O001199</t>
  </si>
  <si>
    <t xml:space="preserve">O001200</t>
  </si>
  <si>
    <t xml:space="preserve">O001201</t>
  </si>
  <si>
    <t xml:space="preserve">O001202</t>
  </si>
  <si>
    <t xml:space="preserve">O001203</t>
  </si>
  <si>
    <t xml:space="preserve">C0203</t>
  </si>
  <si>
    <t xml:space="preserve">O001204</t>
  </si>
  <si>
    <t xml:space="preserve">O001205</t>
  </si>
  <si>
    <t xml:space="preserve">O001206</t>
  </si>
  <si>
    <t xml:space="preserve">O001207</t>
  </si>
  <si>
    <t xml:space="preserve">O001208</t>
  </si>
  <si>
    <t xml:space="preserve">O001209</t>
  </si>
  <si>
    <t xml:space="preserve">O001210</t>
  </si>
  <si>
    <t xml:space="preserve">O001211</t>
  </si>
  <si>
    <t xml:space="preserve">O001212</t>
  </si>
  <si>
    <t xml:space="preserve">O001213</t>
  </si>
  <si>
    <t xml:space="preserve">O001214</t>
  </si>
  <si>
    <t xml:space="preserve">O001215</t>
  </si>
  <si>
    <t xml:space="preserve">O001216</t>
  </si>
  <si>
    <t xml:space="preserve">O001217</t>
  </si>
  <si>
    <t xml:space="preserve">O001218</t>
  </si>
  <si>
    <t xml:space="preserve">O001219</t>
  </si>
  <si>
    <t xml:space="preserve">O001220</t>
  </si>
  <si>
    <t xml:space="preserve">O001221</t>
  </si>
  <si>
    <t xml:space="preserve">O001222</t>
  </si>
  <si>
    <t xml:space="preserve">O001223</t>
  </si>
  <si>
    <t xml:space="preserve">O001224</t>
  </si>
  <si>
    <t xml:space="preserve">O001225</t>
  </si>
  <si>
    <t xml:space="preserve">O001226</t>
  </si>
  <si>
    <t xml:space="preserve">O001227</t>
  </si>
  <si>
    <t xml:space="preserve">O001228</t>
  </si>
  <si>
    <t xml:space="preserve">O001229</t>
  </si>
  <si>
    <t xml:space="preserve">O001230</t>
  </si>
  <si>
    <t xml:space="preserve">O001231</t>
  </si>
  <si>
    <t xml:space="preserve">O001232</t>
  </si>
  <si>
    <t xml:space="preserve">O001233</t>
  </si>
  <si>
    <t xml:space="preserve">O001234</t>
  </si>
  <si>
    <t xml:space="preserve">O001235</t>
  </si>
  <si>
    <t xml:space="preserve">O001236</t>
  </si>
  <si>
    <t xml:space="preserve">O001237</t>
  </si>
  <si>
    <t xml:space="preserve">O001238</t>
  </si>
  <si>
    <t xml:space="preserve">O001239</t>
  </si>
  <si>
    <t xml:space="preserve">O001240</t>
  </si>
  <si>
    <t xml:space="preserve">O001241</t>
  </si>
  <si>
    <t xml:space="preserve">O001242</t>
  </si>
  <si>
    <t xml:space="preserve">O001243</t>
  </si>
  <si>
    <t xml:space="preserve">O001244</t>
  </si>
  <si>
    <t xml:space="preserve">O001245</t>
  </si>
  <si>
    <t xml:space="preserve">O001246</t>
  </si>
  <si>
    <t xml:space="preserve">O001247</t>
  </si>
  <si>
    <t xml:space="preserve">O001248</t>
  </si>
  <si>
    <t xml:space="preserve">O001249</t>
  </si>
  <si>
    <t xml:space="preserve">O001250</t>
  </si>
  <si>
    <t xml:space="preserve">O001251</t>
  </si>
  <si>
    <t xml:space="preserve">O001252</t>
  </si>
  <si>
    <t xml:space="preserve">O001253</t>
  </si>
  <si>
    <t xml:space="preserve">O001254</t>
  </si>
  <si>
    <t xml:space="preserve">O001255</t>
  </si>
  <si>
    <t xml:space="preserve">O001256</t>
  </si>
  <si>
    <t xml:space="preserve">O001257</t>
  </si>
  <si>
    <t xml:space="preserve">O001258</t>
  </si>
  <si>
    <t xml:space="preserve">O001259</t>
  </si>
  <si>
    <t xml:space="preserve">O001260</t>
  </si>
  <si>
    <t xml:space="preserve">O001261</t>
  </si>
  <si>
    <t xml:space="preserve">O001262</t>
  </si>
  <si>
    <t xml:space="preserve">O001263</t>
  </si>
  <si>
    <t xml:space="preserve">O001264</t>
  </si>
  <si>
    <t xml:space="preserve">O001265</t>
  </si>
  <si>
    <t xml:space="preserve">O001266</t>
  </si>
  <si>
    <t xml:space="preserve">O001267</t>
  </si>
  <si>
    <t xml:space="preserve">O001268</t>
  </si>
  <si>
    <t xml:space="preserve">O001269</t>
  </si>
  <si>
    <t xml:space="preserve">O001270</t>
  </si>
  <si>
    <t xml:space="preserve">O001271</t>
  </si>
  <si>
    <t xml:space="preserve">O001272</t>
  </si>
  <si>
    <t xml:space="preserve">O001273</t>
  </si>
  <si>
    <t xml:space="preserve">O001274</t>
  </si>
  <si>
    <t xml:space="preserve">O001275</t>
  </si>
  <si>
    <t xml:space="preserve">O001276</t>
  </si>
  <si>
    <t xml:space="preserve">O001277</t>
  </si>
  <si>
    <t xml:space="preserve">O001278</t>
  </si>
  <si>
    <t xml:space="preserve">O001279</t>
  </si>
  <si>
    <t xml:space="preserve">O001280</t>
  </si>
  <si>
    <t xml:space="preserve">O001281</t>
  </si>
  <si>
    <t xml:space="preserve">O001282</t>
  </si>
  <si>
    <t xml:space="preserve">O001283</t>
  </si>
  <si>
    <t xml:space="preserve">O001284</t>
  </si>
  <si>
    <t xml:space="preserve">O001285</t>
  </si>
  <si>
    <t xml:space="preserve">O001286</t>
  </si>
  <si>
    <t xml:space="preserve">O001287</t>
  </si>
  <si>
    <t xml:space="preserve">O001288</t>
  </si>
  <si>
    <t xml:space="preserve">O001289</t>
  </si>
  <si>
    <t xml:space="preserve">O001290</t>
  </si>
  <si>
    <t xml:space="preserve">O001291</t>
  </si>
  <si>
    <t xml:space="preserve">O001292</t>
  </si>
  <si>
    <t xml:space="preserve">O001293</t>
  </si>
  <si>
    <t xml:space="preserve">O001294</t>
  </si>
  <si>
    <t xml:space="preserve">O001295</t>
  </si>
  <si>
    <t xml:space="preserve">O001296</t>
  </si>
  <si>
    <t xml:space="preserve">O001297</t>
  </si>
  <si>
    <t xml:space="preserve">O001298</t>
  </si>
  <si>
    <t xml:space="preserve">O001299</t>
  </si>
  <si>
    <t xml:space="preserve">O001300</t>
  </si>
  <si>
    <t xml:space="preserve">O001301</t>
  </si>
  <si>
    <t xml:space="preserve">O001302</t>
  </si>
  <si>
    <t xml:space="preserve">O001303</t>
  </si>
  <si>
    <t xml:space="preserve">O001304</t>
  </si>
  <si>
    <t xml:space="preserve">O001305</t>
  </si>
  <si>
    <t xml:space="preserve">O001306</t>
  </si>
  <si>
    <t xml:space="preserve">O001307</t>
  </si>
  <si>
    <t xml:space="preserve">O001308</t>
  </si>
  <si>
    <t xml:space="preserve">O001309</t>
  </si>
  <si>
    <t xml:space="preserve">O001310</t>
  </si>
  <si>
    <t xml:space="preserve">O001311</t>
  </si>
  <si>
    <t xml:space="preserve">O001312</t>
  </si>
  <si>
    <t xml:space="preserve">O001313</t>
  </si>
  <si>
    <t xml:space="preserve">O001314</t>
  </si>
  <si>
    <t xml:space="preserve">O001315</t>
  </si>
  <si>
    <t xml:space="preserve">O001316</t>
  </si>
  <si>
    <t xml:space="preserve">O001317</t>
  </si>
  <si>
    <t xml:space="preserve">O001318</t>
  </si>
  <si>
    <t xml:space="preserve">O001319</t>
  </si>
  <si>
    <t xml:space="preserve">O001320</t>
  </si>
  <si>
    <t xml:space="preserve">O001321</t>
  </si>
  <si>
    <t xml:space="preserve">O001322</t>
  </si>
  <si>
    <t xml:space="preserve">O001323</t>
  </si>
  <si>
    <t xml:space="preserve">O001324</t>
  </si>
  <si>
    <t xml:space="preserve">O001325</t>
  </si>
  <si>
    <t xml:space="preserve">O001326</t>
  </si>
  <si>
    <t xml:space="preserve">O001327</t>
  </si>
  <si>
    <t xml:space="preserve">O001328</t>
  </si>
  <si>
    <t xml:space="preserve">O001329</t>
  </si>
  <si>
    <t xml:space="preserve">O001330</t>
  </si>
  <si>
    <t xml:space="preserve">O001331</t>
  </si>
  <si>
    <t xml:space="preserve">O001332</t>
  </si>
  <si>
    <t xml:space="preserve">O001333</t>
  </si>
  <si>
    <t xml:space="preserve">O001334</t>
  </si>
  <si>
    <t xml:space="preserve">O001335</t>
  </si>
  <si>
    <t xml:space="preserve">O001336</t>
  </si>
  <si>
    <t xml:space="preserve">O001337</t>
  </si>
  <si>
    <t xml:space="preserve">O001338</t>
  </si>
  <si>
    <t xml:space="preserve">O001339</t>
  </si>
  <si>
    <t xml:space="preserve">O001340</t>
  </si>
  <si>
    <t xml:space="preserve">O001341</t>
  </si>
  <si>
    <t xml:space="preserve">O001342</t>
  </si>
  <si>
    <t xml:space="preserve">O001343</t>
  </si>
  <si>
    <t xml:space="preserve">O001344</t>
  </si>
  <si>
    <t xml:space="preserve">O001345</t>
  </si>
  <si>
    <t xml:space="preserve">O001346</t>
  </si>
  <si>
    <t xml:space="preserve">O001347</t>
  </si>
  <si>
    <t xml:space="preserve">O001348</t>
  </si>
  <si>
    <t xml:space="preserve">O001349</t>
  </si>
  <si>
    <t xml:space="preserve">O001350</t>
  </si>
  <si>
    <t xml:space="preserve">O001351</t>
  </si>
  <si>
    <t xml:space="preserve">O001352</t>
  </si>
  <si>
    <t xml:space="preserve">O001353</t>
  </si>
  <si>
    <t xml:space="preserve">O001354</t>
  </si>
  <si>
    <t xml:space="preserve">O001355</t>
  </si>
  <si>
    <t xml:space="preserve">O001356</t>
  </si>
  <si>
    <t xml:space="preserve">O001357</t>
  </si>
  <si>
    <t xml:space="preserve">O001358</t>
  </si>
  <si>
    <t xml:space="preserve">O001359</t>
  </si>
  <si>
    <t xml:space="preserve">O001360</t>
  </si>
  <si>
    <t xml:space="preserve">O001361</t>
  </si>
  <si>
    <t xml:space="preserve">O001362</t>
  </si>
  <si>
    <t xml:space="preserve">O001363</t>
  </si>
  <si>
    <t xml:space="preserve">O001364</t>
  </si>
  <si>
    <t xml:space="preserve">O001365</t>
  </si>
  <si>
    <t xml:space="preserve">O001366</t>
  </si>
  <si>
    <t xml:space="preserve">O001367</t>
  </si>
  <si>
    <t xml:space="preserve">O001368</t>
  </si>
  <si>
    <t xml:space="preserve">O001369</t>
  </si>
  <si>
    <t xml:space="preserve">O001370</t>
  </si>
  <si>
    <t xml:space="preserve">O001371</t>
  </si>
  <si>
    <t xml:space="preserve">O001372</t>
  </si>
  <si>
    <t xml:space="preserve">O001373</t>
  </si>
  <si>
    <t xml:space="preserve">O001374</t>
  </si>
  <si>
    <t xml:space="preserve">O001375</t>
  </si>
  <si>
    <t xml:space="preserve">O001376</t>
  </si>
  <si>
    <t xml:space="preserve">O001377</t>
  </si>
  <si>
    <t xml:space="preserve">O001378</t>
  </si>
  <si>
    <t xml:space="preserve">O001379</t>
  </si>
  <si>
    <t xml:space="preserve">O001380</t>
  </si>
  <si>
    <t xml:space="preserve">O001381</t>
  </si>
  <si>
    <t xml:space="preserve">O001382</t>
  </si>
  <si>
    <t xml:space="preserve">O001383</t>
  </si>
  <si>
    <t xml:space="preserve">O001384</t>
  </si>
  <si>
    <t xml:space="preserve">O001385</t>
  </si>
  <si>
    <t xml:space="preserve">O001386</t>
  </si>
  <si>
    <t xml:space="preserve">O001387</t>
  </si>
  <si>
    <t xml:space="preserve">O001388</t>
  </si>
  <si>
    <t xml:space="preserve">O001389</t>
  </si>
  <si>
    <t xml:space="preserve">O001390</t>
  </si>
  <si>
    <t xml:space="preserve">O001391</t>
  </si>
  <si>
    <t xml:space="preserve">O001392</t>
  </si>
  <si>
    <t xml:space="preserve">O001393</t>
  </si>
  <si>
    <t xml:space="preserve">O001394</t>
  </si>
  <si>
    <t xml:space="preserve">O001395</t>
  </si>
  <si>
    <t xml:space="preserve">O001396</t>
  </si>
  <si>
    <t xml:space="preserve">O001397</t>
  </si>
  <si>
    <t xml:space="preserve">O001398</t>
  </si>
  <si>
    <t xml:space="preserve">O001399</t>
  </si>
  <si>
    <t xml:space="preserve">O001400</t>
  </si>
  <si>
    <t xml:space="preserve">O001401</t>
  </si>
  <si>
    <t xml:space="preserve">O001402</t>
  </si>
  <si>
    <t xml:space="preserve">O001403</t>
  </si>
  <si>
    <t xml:space="preserve">O001404</t>
  </si>
  <si>
    <t xml:space="preserve">O001405</t>
  </si>
  <si>
    <t xml:space="preserve">O001406</t>
  </si>
  <si>
    <t xml:space="preserve">O001407</t>
  </si>
  <si>
    <t xml:space="preserve">O001408</t>
  </si>
  <si>
    <t xml:space="preserve">O001409</t>
  </si>
  <si>
    <t xml:space="preserve">O001410</t>
  </si>
  <si>
    <t xml:space="preserve">O001411</t>
  </si>
  <si>
    <t xml:space="preserve">O001412</t>
  </si>
  <si>
    <t xml:space="preserve">O001413</t>
  </si>
  <si>
    <t xml:space="preserve">O001414</t>
  </si>
  <si>
    <t xml:space="preserve">O001415</t>
  </si>
  <si>
    <t xml:space="preserve">O001416</t>
  </si>
  <si>
    <t xml:space="preserve">O001417</t>
  </si>
  <si>
    <t xml:space="preserve">O001418</t>
  </si>
  <si>
    <t xml:space="preserve">O001419</t>
  </si>
  <si>
    <t xml:space="preserve">O001420</t>
  </si>
  <si>
    <t xml:space="preserve">O001421</t>
  </si>
  <si>
    <t xml:space="preserve">O001422</t>
  </si>
  <si>
    <t xml:space="preserve">O001423</t>
  </si>
  <si>
    <t xml:space="preserve">O001424</t>
  </si>
  <si>
    <t xml:space="preserve">O001425</t>
  </si>
  <si>
    <t xml:space="preserve">O001426</t>
  </si>
  <si>
    <t xml:space="preserve">O001427</t>
  </si>
  <si>
    <t xml:space="preserve">O001428</t>
  </si>
  <si>
    <t xml:space="preserve">O001429</t>
  </si>
  <si>
    <t xml:space="preserve">O001430</t>
  </si>
  <si>
    <t xml:space="preserve">O001431</t>
  </si>
  <si>
    <t xml:space="preserve">O001432</t>
  </si>
  <si>
    <t xml:space="preserve">O001433</t>
  </si>
  <si>
    <t xml:space="preserve">O001434</t>
  </si>
  <si>
    <t xml:space="preserve">O001435</t>
  </si>
  <si>
    <t xml:space="preserve">O001436</t>
  </si>
  <si>
    <t xml:space="preserve">O001437</t>
  </si>
  <si>
    <t xml:space="preserve">O001438</t>
  </si>
  <si>
    <t xml:space="preserve">O001439</t>
  </si>
  <si>
    <t xml:space="preserve">O001440</t>
  </si>
  <si>
    <t xml:space="preserve">O001441</t>
  </si>
  <si>
    <t xml:space="preserve">O001442</t>
  </si>
  <si>
    <t xml:space="preserve">O001443</t>
  </si>
  <si>
    <t xml:space="preserve">O001444</t>
  </si>
  <si>
    <t xml:space="preserve">O001445</t>
  </si>
  <si>
    <t xml:space="preserve">O001446</t>
  </si>
  <si>
    <t xml:space="preserve">O001447</t>
  </si>
  <si>
    <t xml:space="preserve">O001448</t>
  </si>
  <si>
    <t xml:space="preserve">O001449</t>
  </si>
  <si>
    <t xml:space="preserve">O001450</t>
  </si>
  <si>
    <t xml:space="preserve">O001451</t>
  </si>
  <si>
    <t xml:space="preserve">O001452</t>
  </si>
  <si>
    <t xml:space="preserve">O001453</t>
  </si>
  <si>
    <t xml:space="preserve">O001454</t>
  </si>
  <si>
    <t xml:space="preserve">O001455</t>
  </si>
  <si>
    <t xml:space="preserve">O001456</t>
  </si>
  <si>
    <t xml:space="preserve">O001457</t>
  </si>
  <si>
    <t xml:space="preserve">O001458</t>
  </si>
  <si>
    <t xml:space="preserve">O001459</t>
  </si>
  <si>
    <t xml:space="preserve">O001460</t>
  </si>
  <si>
    <t xml:space="preserve">O001461</t>
  </si>
  <si>
    <t xml:space="preserve">O001462</t>
  </si>
  <si>
    <t xml:space="preserve">O001463</t>
  </si>
  <si>
    <t xml:space="preserve">O001464</t>
  </si>
  <si>
    <t xml:space="preserve">O001465</t>
  </si>
  <si>
    <t xml:space="preserve">O001466</t>
  </si>
  <si>
    <t xml:space="preserve">O001467</t>
  </si>
  <si>
    <t xml:space="preserve">O001468</t>
  </si>
  <si>
    <t xml:space="preserve">O001469</t>
  </si>
  <si>
    <t xml:space="preserve">O001470</t>
  </si>
  <si>
    <t xml:space="preserve">O001471</t>
  </si>
  <si>
    <t xml:space="preserve">O001472</t>
  </si>
  <si>
    <t xml:space="preserve">O001473</t>
  </si>
  <si>
    <t xml:space="preserve">O001474</t>
  </si>
  <si>
    <t xml:space="preserve">O001475</t>
  </si>
  <si>
    <t xml:space="preserve">O001476</t>
  </si>
  <si>
    <t xml:space="preserve">O001477</t>
  </si>
  <si>
    <t xml:space="preserve">O001478</t>
  </si>
  <si>
    <t xml:space="preserve">O001479</t>
  </si>
  <si>
    <t xml:space="preserve">O001480</t>
  </si>
  <si>
    <t xml:space="preserve">O001481</t>
  </si>
  <si>
    <t xml:space="preserve">O001482</t>
  </si>
  <si>
    <t xml:space="preserve">O001483</t>
  </si>
  <si>
    <t xml:space="preserve">O001484</t>
  </si>
  <si>
    <t xml:space="preserve">O001485</t>
  </si>
  <si>
    <t xml:space="preserve">O001486</t>
  </si>
  <si>
    <t xml:space="preserve">O001487</t>
  </si>
  <si>
    <t xml:space="preserve">O001488</t>
  </si>
  <si>
    <t xml:space="preserve">O001489</t>
  </si>
  <si>
    <t xml:space="preserve">O001490</t>
  </si>
  <si>
    <t xml:space="preserve">O001491</t>
  </si>
  <si>
    <t xml:space="preserve">O001492</t>
  </si>
  <si>
    <t xml:space="preserve">O001493</t>
  </si>
  <si>
    <t xml:space="preserve">O001494</t>
  </si>
  <si>
    <t xml:space="preserve">O001495</t>
  </si>
  <si>
    <t xml:space="preserve">O001496</t>
  </si>
  <si>
    <t xml:space="preserve">O001497</t>
  </si>
  <si>
    <t xml:space="preserve">O001498</t>
  </si>
  <si>
    <t xml:space="preserve">O001499</t>
  </si>
  <si>
    <t xml:space="preserve">O001500</t>
  </si>
  <si>
    <t xml:space="preserve">Product Name</t>
  </si>
  <si>
    <t xml:space="preserve">Selling Price INR</t>
  </si>
  <si>
    <t xml:space="preserve">Unit Cost INR</t>
  </si>
  <si>
    <t xml:space="preserve">Wireless Earbuds</t>
  </si>
  <si>
    <t xml:space="preserve">Bluetooth Speaker</t>
  </si>
  <si>
    <t xml:space="preserve">Smart Watch</t>
  </si>
  <si>
    <t xml:space="preserve">USB-C Cable</t>
  </si>
  <si>
    <t xml:space="preserve">Power Bank</t>
  </si>
  <si>
    <t xml:space="preserve">Wireless Mouse</t>
  </si>
  <si>
    <t xml:space="preserve">Keyboard</t>
  </si>
  <si>
    <t xml:space="preserve">Phone Stand</t>
  </si>
  <si>
    <t xml:space="preserve">Laptop Sleeve</t>
  </si>
  <si>
    <t xml:space="preserve">Webcam</t>
  </si>
  <si>
    <t xml:space="preserve">Headphones</t>
  </si>
  <si>
    <t xml:space="preserve">Charging Adapter</t>
  </si>
  <si>
    <t xml:space="preserve">Memory Card</t>
  </si>
  <si>
    <t xml:space="preserve">HDMI Cable</t>
  </si>
  <si>
    <t xml:space="preserve">Portable SSD</t>
  </si>
  <si>
    <t xml:space="preserve">Casual T-Shirt</t>
  </si>
  <si>
    <t xml:space="preserve">Denim Jeans</t>
  </si>
  <si>
    <t xml:space="preserve">Cotton Shirt</t>
  </si>
  <si>
    <t xml:space="preserve">Running Shoes</t>
  </si>
  <si>
    <t xml:space="preserve">Backpack</t>
  </si>
  <si>
    <t xml:space="preserve">Handbag</t>
  </si>
  <si>
    <t xml:space="preserve">Sports Cap</t>
  </si>
  <si>
    <t xml:space="preserve">Kurta</t>
  </si>
  <si>
    <t xml:space="preserve">Hoodie</t>
  </si>
  <si>
    <t xml:space="preserve">Sunglasses</t>
  </si>
  <si>
    <t xml:space="preserve">Belt</t>
  </si>
  <si>
    <t xml:space="preserve">Sneakers</t>
  </si>
  <si>
    <t xml:space="preserve">Scarf</t>
  </si>
  <si>
    <t xml:space="preserve">Formal Shoes</t>
  </si>
  <si>
    <t xml:space="preserve">Storage Container Set</t>
  </si>
  <si>
    <t xml:space="preserve">Water Bottle</t>
  </si>
  <si>
    <t xml:space="preserve">Bedsheet Set</t>
  </si>
  <si>
    <t xml:space="preserve">Table Lamp</t>
  </si>
  <si>
    <t xml:space="preserve">Nonstick Pan</t>
  </si>
  <si>
    <t xml:space="preserve">Dinner Set</t>
  </si>
  <si>
    <t xml:space="preserve">Pillow Pair</t>
  </si>
  <si>
    <t xml:space="preserve">Laundry Basket</t>
  </si>
  <si>
    <t xml:space="preserve">Wall Clock</t>
  </si>
  <si>
    <t xml:space="preserve">Curtain Set</t>
  </si>
  <si>
    <t xml:space="preserve">Food Storage Jars</t>
  </si>
  <si>
    <t xml:space="preserve">Bath Towel Set</t>
  </si>
  <si>
    <t xml:space="preserve">Kitchen Rack</t>
  </si>
  <si>
    <t xml:space="preserve">Doormat</t>
  </si>
  <si>
    <t xml:space="preserve">Lunch Box</t>
  </si>
  <si>
    <t xml:space="preserve">Face Moisturizer</t>
  </si>
  <si>
    <t xml:space="preserve">Sunscreen Lotion</t>
  </si>
  <si>
    <t xml:space="preserve">Shampoo</t>
  </si>
  <si>
    <t xml:space="preserve">Face Cleanser</t>
  </si>
  <si>
    <t xml:space="preserve">Hair Serum</t>
  </si>
  <si>
    <t xml:space="preserve">Body Lotion</t>
  </si>
  <si>
    <t xml:space="preserve">Lip Balm Set</t>
  </si>
  <si>
    <t xml:space="preserve">Makeup Brush Set</t>
  </si>
  <si>
    <t xml:space="preserve">Face Mask Pack</t>
  </si>
  <si>
    <t xml:space="preserve">Perfume</t>
  </si>
  <si>
    <t xml:space="preserve">Hair Dryer</t>
  </si>
  <si>
    <t xml:space="preserve">Comb Set</t>
  </si>
  <si>
    <t xml:space="preserve">Nail Care Kit</t>
  </si>
  <si>
    <t xml:space="preserve">Bath Gift Set</t>
  </si>
  <si>
    <t xml:space="preserve">Yoga Mat</t>
  </si>
  <si>
    <t xml:space="preserve">Resistance Bands</t>
  </si>
  <si>
    <t xml:space="preserve">Skipping Rope</t>
  </si>
  <si>
    <t xml:space="preserve">Cricket Bat</t>
  </si>
  <si>
    <t xml:space="preserve">Football</t>
  </si>
  <si>
    <t xml:space="preserve">Badminton Racket</t>
  </si>
  <si>
    <t xml:space="preserve">Gym Gloves</t>
  </si>
  <si>
    <t xml:space="preserve">Camping Torch</t>
  </si>
  <si>
    <t xml:space="preserve">Cycling Bottle</t>
  </si>
  <si>
    <t xml:space="preserve">Sports Duffel Bag</t>
  </si>
  <si>
    <t xml:space="preserve">Knee Support Pair</t>
  </si>
  <si>
    <t xml:space="preserve">Exercise Ball</t>
  </si>
  <si>
    <t xml:space="preserve">Tennis Balls Pack</t>
  </si>
  <si>
    <t xml:space="preserve">Hiking Backpack</t>
  </si>
  <si>
    <t xml:space="preserve">Notebook Pack</t>
  </si>
  <si>
    <t xml:space="preserve">Ball Pen Set</t>
  </si>
  <si>
    <t xml:space="preserve">Desk Organizer</t>
  </si>
  <si>
    <t xml:space="preserve">Planner</t>
  </si>
  <si>
    <t xml:space="preserve">Sketchbook</t>
  </si>
  <si>
    <t xml:space="preserve">Art Supply Kit</t>
  </si>
  <si>
    <t xml:space="preserve">Calculator</t>
  </si>
  <si>
    <t xml:space="preserve">Sticky Notes Pack</t>
  </si>
  <si>
    <t xml:space="preserve">File Folder Set</t>
  </si>
  <si>
    <t xml:space="preserve">Reading Light</t>
  </si>
  <si>
    <t xml:space="preserve">Whiteboard</t>
  </si>
  <si>
    <t xml:space="preserve">Marker Set</t>
  </si>
  <si>
    <t xml:space="preserve">Geometry Box</t>
  </si>
  <si>
    <t xml:space="preserve">Book Stand</t>
  </si>
  <si>
    <t xml:space="preserve">Electric Kettle</t>
  </si>
  <si>
    <t xml:space="preserve">Mixer Grinder</t>
  </si>
  <si>
    <t xml:space="preserve">Toaster</t>
  </si>
  <si>
    <t xml:space="preserve">Rice Cooker</t>
  </si>
  <si>
    <t xml:space="preserve">Hand Blender</t>
  </si>
  <si>
    <t xml:space="preserve">Induction Cooktop</t>
  </si>
  <si>
    <t xml:space="preserve">Room Heater</t>
  </si>
  <si>
    <t xml:space="preserve">Table Fan</t>
  </si>
  <si>
    <t xml:space="preserve">Air Fryer</t>
  </si>
  <si>
    <t xml:space="preserve">Vacuum Cleaner</t>
  </si>
  <si>
    <t xml:space="preserve">Steam Iron</t>
  </si>
  <si>
    <t xml:space="preserve">Sandwich Maker</t>
  </si>
  <si>
    <t xml:space="preserve">Coffee Maker</t>
  </si>
  <si>
    <t xml:space="preserve">Customer Name</t>
  </si>
  <si>
    <t xml:space="preserve">City</t>
  </si>
  <si>
    <t xml:space="preserve">State</t>
  </si>
  <si>
    <t xml:space="preserve">Customer Segment</t>
  </si>
  <si>
    <t xml:space="preserve">Aarav Sharma</t>
  </si>
  <si>
    <t xml:space="preserve">Delhi</t>
  </si>
  <si>
    <t xml:space="preserve">Returning</t>
  </si>
  <si>
    <t xml:space="preserve">Aanya Nair</t>
  </si>
  <si>
    <t xml:space="preserve">Mumbai</t>
  </si>
  <si>
    <t xml:space="preserve">Maharashtra</t>
  </si>
  <si>
    <t xml:space="preserve">New</t>
  </si>
  <si>
    <t xml:space="preserve">Aditya Pillai</t>
  </si>
  <si>
    <t xml:space="preserve">Bengaluru</t>
  </si>
  <si>
    <t xml:space="preserve">Karnataka</t>
  </si>
  <si>
    <t xml:space="preserve">Aisha Saxena</t>
  </si>
  <si>
    <t xml:space="preserve">Hyderabad</t>
  </si>
  <si>
    <t xml:space="preserve">Telangana</t>
  </si>
  <si>
    <t xml:space="preserve">Akash Gupta</t>
  </si>
  <si>
    <t xml:space="preserve">Chennai</t>
  </si>
  <si>
    <t xml:space="preserve">Tamil Nadu</t>
  </si>
  <si>
    <t xml:space="preserve">Ananya Das</t>
  </si>
  <si>
    <t xml:space="preserve">Kolkata</t>
  </si>
  <si>
    <t xml:space="preserve">West Bengal</t>
  </si>
  <si>
    <t xml:space="preserve">Arjun Mishra</t>
  </si>
  <si>
    <t xml:space="preserve">Pune</t>
  </si>
  <si>
    <t xml:space="preserve">Diya Verma</t>
  </si>
  <si>
    <t xml:space="preserve">Jaipur</t>
  </si>
  <si>
    <t xml:space="preserve">Rajasthan</t>
  </si>
  <si>
    <t xml:space="preserve">Ishaan Iyer</t>
  </si>
  <si>
    <t xml:space="preserve">Ahmedabad</t>
  </si>
  <si>
    <t xml:space="preserve">Gujarat</t>
  </si>
  <si>
    <t xml:space="preserve">Kavya Khan</t>
  </si>
  <si>
    <t xml:space="preserve">Lucknow</t>
  </si>
  <si>
    <t xml:space="preserve">Uttar Pradesh</t>
  </si>
  <si>
    <t xml:space="preserve">Krishna Menon</t>
  </si>
  <si>
    <t xml:space="preserve">Gurugram</t>
  </si>
  <si>
    <t xml:space="preserve">Haryana</t>
  </si>
  <si>
    <t xml:space="preserve">Meera Mehta</t>
  </si>
  <si>
    <t xml:space="preserve">Noida</t>
  </si>
  <si>
    <t xml:space="preserve">Neha Malhotra</t>
  </si>
  <si>
    <t xml:space="preserve">Kochi</t>
  </si>
  <si>
    <t xml:space="preserve">Kerala</t>
  </si>
  <si>
    <t xml:space="preserve">Nikhil Kulkarni</t>
  </si>
  <si>
    <t xml:space="preserve">Indore</t>
  </si>
  <si>
    <t xml:space="preserve">Madhya Pradesh</t>
  </si>
  <si>
    <t xml:space="preserve">Priya Patel</t>
  </si>
  <si>
    <t xml:space="preserve">Bhopal</t>
  </si>
  <si>
    <t xml:space="preserve">Rahul Joshi</t>
  </si>
  <si>
    <t xml:space="preserve">Chandigarh</t>
  </si>
  <si>
    <t xml:space="preserve">Riya Rao</t>
  </si>
  <si>
    <t xml:space="preserve">Surat</t>
  </si>
  <si>
    <t xml:space="preserve">Rohan Sethi</t>
  </si>
  <si>
    <t xml:space="preserve">Nagpur</t>
  </si>
  <si>
    <t xml:space="preserve">Saanvi Reddy</t>
  </si>
  <si>
    <t xml:space="preserve">Coimbatore</t>
  </si>
  <si>
    <t xml:space="preserve">Sahil Chauhan</t>
  </si>
  <si>
    <t xml:space="preserve">Visakhapatnam</t>
  </si>
  <si>
    <t xml:space="preserve">Andhra Pradesh</t>
  </si>
  <si>
    <t xml:space="preserve">Shreya Bose</t>
  </si>
  <si>
    <t xml:space="preserve">Tanvi Singh</t>
  </si>
  <si>
    <t xml:space="preserve">Varun Kapoor</t>
  </si>
  <si>
    <t xml:space="preserve">Vikram Jain</t>
  </si>
  <si>
    <t xml:space="preserve">Zoya Sharma</t>
  </si>
  <si>
    <t xml:space="preserve">Dev Nair</t>
  </si>
  <si>
    <t xml:space="preserve">Ira Pillai</t>
  </si>
  <si>
    <t xml:space="preserve">Karan Saxena</t>
  </si>
  <si>
    <t xml:space="preserve">VIP</t>
  </si>
  <si>
    <t xml:space="preserve">Maya Gupta</t>
  </si>
  <si>
    <t xml:space="preserve">Yash Das</t>
  </si>
  <si>
    <t xml:space="preserve">Aarav Mishra</t>
  </si>
  <si>
    <t xml:space="preserve">Aanya Verma</t>
  </si>
  <si>
    <t xml:space="preserve">Aditya Iyer</t>
  </si>
  <si>
    <t xml:space="preserve">Aisha Khan</t>
  </si>
  <si>
    <t xml:space="preserve">Akash Menon</t>
  </si>
  <si>
    <t xml:space="preserve">Ananya Mehta</t>
  </si>
  <si>
    <t xml:space="preserve">Arjun Malhotra</t>
  </si>
  <si>
    <t xml:space="preserve">Diya Kulkarni</t>
  </si>
  <si>
    <t xml:space="preserve">Ishaan Patel</t>
  </si>
  <si>
    <t xml:space="preserve">Kavya Joshi</t>
  </si>
  <si>
    <t xml:space="preserve">Krishna Rao</t>
  </si>
  <si>
    <t xml:space="preserve">Meera Sethi</t>
  </si>
  <si>
    <t xml:space="preserve">Neha Reddy</t>
  </si>
  <si>
    <t xml:space="preserve">Nikhil Chauhan</t>
  </si>
  <si>
    <t xml:space="preserve">Priya Bose</t>
  </si>
  <si>
    <t xml:space="preserve">Rahul Singh</t>
  </si>
  <si>
    <t xml:space="preserve">Riya Kapoor</t>
  </si>
  <si>
    <t xml:space="preserve">Rohan Jain</t>
  </si>
  <si>
    <t xml:space="preserve">Saanvi Sharma</t>
  </si>
  <si>
    <t xml:space="preserve">Sahil Nair</t>
  </si>
  <si>
    <t xml:space="preserve">Shreya Pillai</t>
  </si>
  <si>
    <t xml:space="preserve">Tanvi Saxena</t>
  </si>
  <si>
    <t xml:space="preserve">Varun Gupta</t>
  </si>
  <si>
    <t xml:space="preserve">Vikram Das</t>
  </si>
  <si>
    <t xml:space="preserve">Zoya Mishra</t>
  </si>
  <si>
    <t xml:space="preserve">Dev Verma</t>
  </si>
  <si>
    <t xml:space="preserve">Ira Iyer</t>
  </si>
  <si>
    <t xml:space="preserve">Karan Khan</t>
  </si>
  <si>
    <t xml:space="preserve">Maya Menon</t>
  </si>
  <si>
    <t xml:space="preserve">Yash Mehta</t>
  </si>
  <si>
    <t xml:space="preserve">Aarav Malhotra</t>
  </si>
  <si>
    <t xml:space="preserve">Aanya Kulkarni</t>
  </si>
  <si>
    <t xml:space="preserve">Aditya Patel</t>
  </si>
  <si>
    <t xml:space="preserve">Aisha Joshi</t>
  </si>
  <si>
    <t xml:space="preserve">Akash Rao</t>
  </si>
  <si>
    <t xml:space="preserve">Ananya Sethi</t>
  </si>
  <si>
    <t xml:space="preserve">Arjun Reddy</t>
  </si>
  <si>
    <t xml:space="preserve">Diya Chauhan</t>
  </si>
  <si>
    <t xml:space="preserve">Ishaan Bose</t>
  </si>
  <si>
    <t xml:space="preserve">Kavya Singh</t>
  </si>
  <si>
    <t xml:space="preserve">Krishna Kapoor</t>
  </si>
  <si>
    <t xml:space="preserve">Meera Jain</t>
  </si>
  <si>
    <t xml:space="preserve">Neha Sharma</t>
  </si>
  <si>
    <t xml:space="preserve">Nikhil Nair</t>
  </si>
  <si>
    <t xml:space="preserve">Priya Pillai</t>
  </si>
  <si>
    <t xml:space="preserve">Rahul Saxena</t>
  </si>
  <si>
    <t xml:space="preserve">C0077</t>
  </si>
  <si>
    <t xml:space="preserve">Riya Gupta</t>
  </si>
  <si>
    <t xml:space="preserve">Rohan Das</t>
  </si>
  <si>
    <t xml:space="preserve">Saanvi Mishra</t>
  </si>
  <si>
    <t xml:space="preserve">Sahil Verma</t>
  </si>
  <si>
    <t xml:space="preserve">Shreya Iyer</t>
  </si>
  <si>
    <t xml:space="preserve">Tanvi Khan</t>
  </si>
  <si>
    <t xml:space="preserve">Varun Menon</t>
  </si>
  <si>
    <t xml:space="preserve">Vikram Mehta</t>
  </si>
  <si>
    <t xml:space="preserve">Zoya Malhotra</t>
  </si>
  <si>
    <t xml:space="preserve">Dev Kulkarni</t>
  </si>
  <si>
    <t xml:space="preserve">Ira Patel</t>
  </si>
  <si>
    <t xml:space="preserve">Karan Joshi</t>
  </si>
  <si>
    <t xml:space="preserve">Maya Rao</t>
  </si>
  <si>
    <t xml:space="preserve">Yash Sethi</t>
  </si>
  <si>
    <t xml:space="preserve">Aarav Reddy</t>
  </si>
  <si>
    <t xml:space="preserve">Aanya Chauhan</t>
  </si>
  <si>
    <t xml:space="preserve">Aditya Bose</t>
  </si>
  <si>
    <t xml:space="preserve">Aisha Singh</t>
  </si>
  <si>
    <t xml:space="preserve">Akash Kapoor</t>
  </si>
  <si>
    <t xml:space="preserve">Ananya Jain</t>
  </si>
  <si>
    <t xml:space="preserve">Arjun Sharma</t>
  </si>
  <si>
    <t xml:space="preserve">Diya Nair</t>
  </si>
  <si>
    <t xml:space="preserve">Ishaan Pillai</t>
  </si>
  <si>
    <t xml:space="preserve">Kavya Saxena</t>
  </si>
  <si>
    <t xml:space="preserve">Krishna Gupta</t>
  </si>
  <si>
    <t xml:space="preserve">Meera Das</t>
  </si>
  <si>
    <t xml:space="preserve">Neha Mishra</t>
  </si>
  <si>
    <t xml:space="preserve">Nikhil Verma</t>
  </si>
  <si>
    <t xml:space="preserve">Priya Iyer</t>
  </si>
  <si>
    <t xml:space="preserve">Rahul Khan</t>
  </si>
  <si>
    <t xml:space="preserve">Riya Menon</t>
  </si>
  <si>
    <t xml:space="preserve">Rohan Mehta</t>
  </si>
  <si>
    <t xml:space="preserve">Saanvi Malhotra</t>
  </si>
  <si>
    <t xml:space="preserve">Sahil Kulkarni</t>
  </si>
  <si>
    <t xml:space="preserve">Shreya Patel</t>
  </si>
  <si>
    <t xml:space="preserve">Tanvi Joshi</t>
  </si>
  <si>
    <t xml:space="preserve">Varun Rao</t>
  </si>
  <si>
    <t xml:space="preserve">Vikram Sethi</t>
  </si>
  <si>
    <t xml:space="preserve">Zoya Reddy</t>
  </si>
  <si>
    <t xml:space="preserve">Dev Chauhan</t>
  </si>
  <si>
    <t xml:space="preserve">Ira Bose</t>
  </si>
  <si>
    <t xml:space="preserve">Karan Singh</t>
  </si>
  <si>
    <t xml:space="preserve">Maya Kapoor</t>
  </si>
  <si>
    <t xml:space="preserve">Yash Jain</t>
  </si>
  <si>
    <t xml:space="preserve">C0131</t>
  </si>
  <si>
    <t xml:space="preserve">E-Commerce Data Quality Report</t>
  </si>
  <si>
    <t xml:space="preserve">Check</t>
  </si>
  <si>
    <t xml:space="preserve">Expected Result</t>
  </si>
  <si>
    <t xml:space="preserve">Actual Result</t>
  </si>
  <si>
    <t xml:space="preserve">Status</t>
  </si>
  <si>
    <t xml:space="preserve">Orders Record Count</t>
  </si>
  <si>
    <t xml:space="preserve">Products Record Count</t>
  </si>
  <si>
    <t xml:space="preserve">Customers Record Count </t>
  </si>
  <si>
    <t xml:space="preserve">Orders Column Count</t>
  </si>
  <si>
    <t xml:space="preserve">Products Column Count</t>
  </si>
  <si>
    <t xml:space="preserve">Customers Column Count</t>
  </si>
  <si>
    <t xml:space="preserve">Duplicate Order IDs</t>
  </si>
  <si>
    <t xml:space="preserve">Duplicate Product IDs</t>
  </si>
  <si>
    <t xml:space="preserve">Duplicate Customer IDs</t>
  </si>
  <si>
    <t xml:space="preserve">Missing Order IDs</t>
  </si>
  <si>
    <t xml:space="preserve">Missing Product IDs</t>
  </si>
  <si>
    <t xml:space="preserve">Missing Customer IDs</t>
  </si>
  <si>
    <t xml:space="preserve">Invalid Customer References </t>
  </si>
  <si>
    <t xml:space="preserve">Invalid Product References </t>
  </si>
  <si>
    <t xml:space="preserve">Invalid Order Dates </t>
  </si>
  <si>
    <t xml:space="preserve">Invalid Quantities </t>
  </si>
  <si>
    <t xml:space="preserve">Invalid Discounts </t>
  </si>
  <si>
    <t xml:space="preserve">Invalid Product Prices </t>
  </si>
  <si>
    <t xml:space="preserve">Invalid Product Costs </t>
  </si>
  <si>
    <t xml:space="preserve">Order ID</t>
  </si>
  <si>
    <t xml:space="preserve">Order Date</t>
  </si>
  <si>
    <t xml:space="preserve">Selling Price</t>
  </si>
  <si>
    <t xml:space="preserve">Unit Cost</t>
  </si>
  <si>
    <t xml:space="preserve">Gross Sales</t>
  </si>
  <si>
    <t xml:space="preserve">Discount Amount</t>
  </si>
  <si>
    <t xml:space="preserve">Net Revenue</t>
  </si>
  <si>
    <t xml:space="preserve">Total Cost</t>
  </si>
  <si>
    <t xml:space="preserve">Profit</t>
  </si>
  <si>
    <t xml:space="preserve">Profit Margin</t>
  </si>
  <si>
    <t xml:space="preserve">Customer City</t>
  </si>
  <si>
    <t xml:space="preserve">Order Type</t>
  </si>
  <si>
    <t xml:space="preserve">Revenue  Band</t>
  </si>
  <si>
    <t xml:space="preserve">Profit Status</t>
  </si>
  <si>
    <t xml:space="preserve">Delivery Category</t>
  </si>
  <si>
    <t xml:space="preserve">Net Profit</t>
  </si>
  <si>
    <t xml:space="preserve">Metric</t>
  </si>
  <si>
    <t xml:space="preserve">Value</t>
  </si>
  <si>
    <t xml:space="preserve">Total Orders</t>
  </si>
  <si>
    <t xml:space="preserve">Delivered Orders</t>
  </si>
  <si>
    <t xml:space="preserve">Cancelled Orders</t>
  </si>
  <si>
    <t xml:space="preserve">Returned Orders </t>
  </si>
  <si>
    <t xml:space="preserve">Delivered Revenue</t>
  </si>
  <si>
    <t xml:space="preserve">Delivered Profit</t>
  </si>
  <si>
    <t xml:space="preserve">Average Delivered Order Revenue</t>
  </si>
  <si>
    <t xml:space="preserve">High Value Orders</t>
  </si>
  <si>
    <t xml:space="preserve">Profitable Orders</t>
  </si>
  <si>
    <t xml:space="preserve">Average Delivery Days</t>
  </si>
  <si>
    <t xml:space="preserve">Fast Deliveries</t>
  </si>
  <si>
    <t xml:space="preserve">Sum - Net Revenue</t>
  </si>
  <si>
    <t xml:space="preserve">Count - Order ID</t>
  </si>
  <si>
    <t xml:space="preserve">E-Commerce Sales Analysis Dashboard </t>
  </si>
  <si>
    <t xml:space="preserve">Cancellation Rate </t>
  </si>
  <si>
    <t xml:space="preserve">KEY BUSINESS INSIGHTS</t>
  </si>
  <si>
    <t xml:space="preserve">01- Revenue Leader: Appliances</t>
  </si>
  <si>
    <t xml:space="preserve">Appliances generated the highest category revenue of 589,663.30. </t>
  </si>
  <si>
    <t xml:space="preserve">Recommendation: Maintain availability of best-selling appliance products. </t>
  </si>
  <si>
    <t xml:space="preserve">02- Profit Leader: Fashion</t>
  </si>
  <si>
    <t xml:space="preserve">Fashion generated the highest category profit of 166,824.65. </t>
  </si>
  <si>
    <t xml:space="preserve">Recommendation: Analyse pricing, costs, and discounts to protect margins. </t>
  </si>
  <si>
    <t xml:space="preserve">03- Leading Sales Channel: Mobile App</t>
  </si>
  <si>
    <t xml:space="preserve">The mobile app recorded the highest channel revenue of 1,084,542.65. </t>
  </si>
  <si>
    <t xml:space="preserve">Recommendation: Improve app usability and encourage repeat purchases. </t>
  </si>
  <si>
    <t xml:space="preserve">04- Returning Customers Lead </t>
  </si>
  <si>
    <t xml:space="preserve">Returning customers contributed the highest segment revenue of 1,296,792.50. </t>
  </si>
  <si>
    <t xml:space="preserve">Recommendation: Strengthen customer loyalty through relevant offers and personalised recommendations. </t>
  </si>
  <si>
    <t xml:space="preserve">05- Top Revenue City: Visakhapatnam</t>
  </si>
  <si>
    <t xml:space="preserve">Visakhapatnam generated the highest city revenue of 151,701.05. </t>
  </si>
  <si>
    <t xml:space="preserve">Recommendation: Examine local customer demand and consider targeted promotions in this market.</t>
  </si>
  <si>
    <t xml:space="preserve">06- Order Fulfilment Review</t>
  </si>
  <si>
    <t xml:space="preserve">Of 1,500 orders, 1,078 were delivered, 161 shipped, 99 processing, 89 cancelled, and 73 returned. The cancellation and return rates together account for 10.8% of all orders. </t>
  </si>
  <si>
    <t xml:space="preserve">Recommendation: Monitor pending shipments and investigate cancellation and return reasons to improve fulfilment performance. 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</si>
</sst>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-mmm\-yyyy"/>
    <numFmt numFmtId="166" formatCode="0%"/>
    <numFmt numFmtId="167" formatCode="#,##0.00"/>
    <numFmt numFmtId="168" formatCode="0.00%"/>
    <numFmt numFmtId="169" formatCode="#,##0"/>
    <numFmt numFmtId="170" formatCode="0.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theme="1"/>
      <name val="Cambria"/>
      <family val="1"/>
      <charset val="1"/>
    </font>
    <font>
      <b val="true"/>
      <sz val="16"/>
      <color theme="1"/>
      <name val="Calibri"/>
      <family val="2"/>
      <charset val="1"/>
    </font>
    <font>
      <b val="true"/>
      <sz val="24"/>
      <color rgb="FFFFFFFF"/>
      <name val="Calibri"/>
      <family val="2"/>
      <charset val="1"/>
    </font>
    <font>
      <b val="true"/>
      <sz val="18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b val="true"/>
      <sz val="16"/>
      <color rgb="FFFFFFFF"/>
      <name val="Calibri"/>
      <family val="2"/>
      <charset val="1"/>
    </font>
    <font>
      <b val="true"/>
      <sz val="14"/>
      <color theme="1"/>
      <name val="Calibri"/>
      <family val="2"/>
      <charset val="1"/>
    </font>
    <font>
      <sz val="13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13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4586"/>
      </patternFill>
    </fill>
    <fill>
      <patternFill patternType="solid">
        <fgColor rgb="FF0369A3"/>
        <bgColor rgb="FF008080"/>
      </patternFill>
    </fill>
    <fill>
      <patternFill patternType="solid">
        <fgColor rgb="FFCFD8DC"/>
        <bgColor rgb="FFAADCF7"/>
      </patternFill>
    </fill>
    <fill>
      <patternFill patternType="solid">
        <fgColor rgb="FFAADCF7"/>
        <bgColor rgb="FFCFD8DC"/>
      </patternFill>
    </fill>
    <fill>
      <patternFill patternType="solid">
        <fgColor rgb="FFFDE9A9"/>
        <bgColor rgb="FFF9CFB5"/>
      </patternFill>
    </fill>
    <fill>
      <patternFill patternType="solid">
        <fgColor rgb="FFCCF4C6"/>
        <bgColor rgb="FFCCFFFF"/>
      </patternFill>
    </fill>
    <fill>
      <patternFill patternType="solid">
        <fgColor rgb="FFF2CBF8"/>
        <bgColor rgb="FFF9CFB5"/>
      </patternFill>
    </fill>
    <fill>
      <patternFill patternType="solid">
        <fgColor rgb="FFF9CFB5"/>
        <bgColor rgb="FFFDE9A9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0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8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5" xfId="2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7" xfId="2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2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9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0" xfId="23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9" fillId="6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9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9" fillId="7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8" fontId="9" fillId="8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70" fontId="9" fillId="9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369A3"/>
      <rgbColor rgb="FFCF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4C6"/>
      <rgbColor rgb="FFFDE9A9"/>
      <rgbColor rgb="FFAADCF7"/>
      <rgbColor rgb="FFF2CBF8"/>
      <rgbColor rgb="FFCC99FF"/>
      <rgbColor rgb="FFF9CFB5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<Relationship Id="rId11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2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Revenue by Product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7"/>
                <c:pt idx="0">
                  <c:v>Appliances</c:v>
                </c:pt>
                <c:pt idx="1">
                  <c:v>Beauty</c:v>
                </c:pt>
                <c:pt idx="2">
                  <c:v>Books &amp; Stationery</c:v>
                </c:pt>
                <c:pt idx="3">
                  <c:v>Electronics</c:v>
                </c:pt>
                <c:pt idx="4">
                  <c:v>Fashion</c:v>
                </c:pt>
                <c:pt idx="5">
                  <c:v>Home &amp; Kitchen</c:v>
                </c:pt>
                <c:pt idx="6">
                  <c:v>Sports &amp; Outdoors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7"/>
                <c:pt idx="0">
                  <c:v>589663.3</c:v>
                </c:pt>
                <c:pt idx="1">
                  <c:v>168193.5</c:v>
                </c:pt>
                <c:pt idx="2">
                  <c:v>133622.05</c:v>
                </c:pt>
                <c:pt idx="3">
                  <c:v>460464.05</c:v>
                </c:pt>
                <c:pt idx="4">
                  <c:v>427691.1</c:v>
                </c:pt>
                <c:pt idx="5">
                  <c:v>304282.9</c:v>
                </c:pt>
                <c:pt idx="6">
                  <c:v>250847.05</c:v>
                </c:pt>
              </c:numCache>
            </c:numRef>
          </c:val>
        </c:ser>
        <c:gapWidth val="100"/>
        <c:overlap val="0"/>
        <c:axId val="77103674"/>
        <c:axId val="89683942"/>
      </c:barChart>
      <c:catAx>
        <c:axId val="7710367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Product 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9683942"/>
        <c:crosses val="autoZero"/>
        <c:auto val="1"/>
        <c:lblAlgn val="ctr"/>
        <c:lblOffset val="100"/>
        <c:noMultiLvlLbl val="0"/>
      </c:catAx>
      <c:valAx>
        <c:axId val="8968394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Net Revenue (INR)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7103674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Profit by Product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6226279985678"/>
          <c:y val="0.153452685421995"/>
          <c:w val="0.809452201933405"/>
          <c:h val="0.4189258312020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Analysis '!$B$12</c:f>
              <c:strCache>
                <c:ptCount val="1"/>
                <c:pt idx="0">
                  <c:v>Sum - Net Profit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Analysis '!$A$13:$A$19</c:f>
              <c:strCache>
                <c:ptCount val="7"/>
                <c:pt idx="0">
                  <c:v>Appliances</c:v>
                </c:pt>
                <c:pt idx="1">
                  <c:v>Beauty</c:v>
                </c:pt>
                <c:pt idx="2">
                  <c:v>Books &amp; Stationery</c:v>
                </c:pt>
                <c:pt idx="3">
                  <c:v>Electronics</c:v>
                </c:pt>
                <c:pt idx="4">
                  <c:v>Fashion</c:v>
                </c:pt>
                <c:pt idx="5">
                  <c:v>Home &amp; Kitchen</c:v>
                </c:pt>
                <c:pt idx="6">
                  <c:v>Sports &amp; Outdoors</c:v>
                </c:pt>
              </c:strCache>
            </c:strRef>
          </c:cat>
          <c:val>
            <c:numRef>
              <c:f>'Pivot Analysis '!$B$13:$B$19</c:f>
              <c:numCache>
                <c:formatCode>General</c:formatCode>
                <c:ptCount val="7"/>
                <c:pt idx="0">
                  <c:v>152944.1</c:v>
                </c:pt>
                <c:pt idx="1">
                  <c:v>71643.1</c:v>
                </c:pt>
                <c:pt idx="2">
                  <c:v>63022.75</c:v>
                </c:pt>
                <c:pt idx="3">
                  <c:v>151043</c:v>
                </c:pt>
                <c:pt idx="4">
                  <c:v>166824.65</c:v>
                </c:pt>
                <c:pt idx="5">
                  <c:v>130803.85</c:v>
                </c:pt>
                <c:pt idx="6">
                  <c:v>102658.3</c:v>
                </c:pt>
              </c:numCache>
            </c:numRef>
          </c:val>
        </c:ser>
        <c:gapWidth val="100"/>
        <c:overlap val="0"/>
        <c:axId val="35488084"/>
        <c:axId val="31490300"/>
      </c:barChart>
      <c:catAx>
        <c:axId val="3548808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Product 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1490300"/>
        <c:crosses val="autoZero"/>
        <c:auto val="1"/>
        <c:lblAlgn val="ctr"/>
        <c:lblOffset val="100"/>
        <c:noMultiLvlLbl val="0"/>
      </c:catAx>
      <c:valAx>
        <c:axId val="3149030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Profit (INR)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5488084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Revenue by Customer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Analysis '!$J$1</c:f>
              <c:strCache>
                <c:ptCount val="1"/>
                <c:pt idx="0">
                  <c:v>Sum - Net Revenue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Analysis '!$I$2:$I$21</c:f>
              <c:strCache>
                <c:ptCount val="20"/>
                <c:pt idx="0">
                  <c:v>Ahmedabad</c:v>
                </c:pt>
                <c:pt idx="1">
                  <c:v>Bengaluru</c:v>
                </c:pt>
                <c:pt idx="2">
                  <c:v>Bhopal</c:v>
                </c:pt>
                <c:pt idx="3">
                  <c:v>Chandigarh</c:v>
                </c:pt>
                <c:pt idx="4">
                  <c:v>Chennai</c:v>
                </c:pt>
                <c:pt idx="5">
                  <c:v>Coimbatore</c:v>
                </c:pt>
                <c:pt idx="6">
                  <c:v>Delhi</c:v>
                </c:pt>
                <c:pt idx="7">
                  <c:v>Gurugram</c:v>
                </c:pt>
                <c:pt idx="8">
                  <c:v>Hyderabad</c:v>
                </c:pt>
                <c:pt idx="9">
                  <c:v>Indore</c:v>
                </c:pt>
                <c:pt idx="10">
                  <c:v>Jaipur</c:v>
                </c:pt>
                <c:pt idx="11">
                  <c:v>Kochi</c:v>
                </c:pt>
                <c:pt idx="12">
                  <c:v>Kolkata</c:v>
                </c:pt>
                <c:pt idx="13">
                  <c:v>Lucknow</c:v>
                </c:pt>
                <c:pt idx="14">
                  <c:v>Mumbai</c:v>
                </c:pt>
                <c:pt idx="15">
                  <c:v>Nagpur</c:v>
                </c:pt>
                <c:pt idx="16">
                  <c:v>Noida</c:v>
                </c:pt>
                <c:pt idx="17">
                  <c:v>Pune</c:v>
                </c:pt>
                <c:pt idx="18">
                  <c:v>Surat</c:v>
                </c:pt>
                <c:pt idx="19">
                  <c:v>Visakhapatnam</c:v>
                </c:pt>
              </c:strCache>
            </c:strRef>
          </c:cat>
          <c:val>
            <c:numRef>
              <c:f>'Pivot Analysis '!$J$2:$J$21</c:f>
              <c:numCache>
                <c:formatCode>General</c:formatCode>
                <c:ptCount val="20"/>
                <c:pt idx="0">
                  <c:v>91684.65</c:v>
                </c:pt>
                <c:pt idx="1">
                  <c:v>118757.75</c:v>
                </c:pt>
                <c:pt idx="2">
                  <c:v>95776.4</c:v>
                </c:pt>
                <c:pt idx="3">
                  <c:v>106637.45</c:v>
                </c:pt>
                <c:pt idx="4">
                  <c:v>141129.45</c:v>
                </c:pt>
                <c:pt idx="5">
                  <c:v>134728.5</c:v>
                </c:pt>
                <c:pt idx="6">
                  <c:v>105367.5</c:v>
                </c:pt>
                <c:pt idx="7">
                  <c:v>135453.35</c:v>
                </c:pt>
                <c:pt idx="8">
                  <c:v>134207.4</c:v>
                </c:pt>
                <c:pt idx="9">
                  <c:v>125202.1</c:v>
                </c:pt>
                <c:pt idx="10">
                  <c:v>110543.55</c:v>
                </c:pt>
                <c:pt idx="11">
                  <c:v>114936.25</c:v>
                </c:pt>
                <c:pt idx="12">
                  <c:v>107890.85</c:v>
                </c:pt>
                <c:pt idx="13">
                  <c:v>130604.4</c:v>
                </c:pt>
                <c:pt idx="14">
                  <c:v>105327.25</c:v>
                </c:pt>
                <c:pt idx="15">
                  <c:v>124828.55</c:v>
                </c:pt>
                <c:pt idx="16">
                  <c:v>90450.25</c:v>
                </c:pt>
                <c:pt idx="17">
                  <c:v>124100</c:v>
                </c:pt>
                <c:pt idx="18">
                  <c:v>85437.25</c:v>
                </c:pt>
                <c:pt idx="19">
                  <c:v>151701.05</c:v>
                </c:pt>
              </c:numCache>
            </c:numRef>
          </c:val>
        </c:ser>
        <c:gapWidth val="100"/>
        <c:overlap val="0"/>
        <c:axId val="22980943"/>
        <c:axId val="9742265"/>
      </c:barChart>
      <c:catAx>
        <c:axId val="229809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Customer City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742265"/>
        <c:crosses val="autoZero"/>
        <c:auto val="1"/>
        <c:lblAlgn val="ctr"/>
        <c:lblOffset val="100"/>
        <c:noMultiLvlLbl val="0"/>
      </c:catAx>
      <c:valAx>
        <c:axId val="974226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Net Revenue (INR)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2980943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Revenue by Sales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Analysis '!$F$1</c:f>
              <c:strCache>
                <c:ptCount val="1"/>
                <c:pt idx="0">
                  <c:v>Sum - Net Revenue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Analysis '!$E$2:$E$4</c:f>
              <c:strCache>
                <c:ptCount val="3"/>
                <c:pt idx="0">
                  <c:v>Marketplace</c:v>
                </c:pt>
                <c:pt idx="1">
                  <c:v>Mobile App</c:v>
                </c:pt>
                <c:pt idx="2">
                  <c:v>Website</c:v>
                </c:pt>
              </c:strCache>
            </c:strRef>
          </c:cat>
          <c:val>
            <c:numRef>
              <c:f>'Pivot Analysis '!$F$2:$F$4</c:f>
              <c:numCache>
                <c:formatCode>General</c:formatCode>
                <c:ptCount val="3"/>
                <c:pt idx="0">
                  <c:v>727205.85</c:v>
                </c:pt>
                <c:pt idx="1">
                  <c:v>1084542.65</c:v>
                </c:pt>
                <c:pt idx="2">
                  <c:v>523015.45</c:v>
                </c:pt>
              </c:numCache>
            </c:numRef>
          </c:val>
        </c:ser>
        <c:gapWidth val="100"/>
        <c:overlap val="0"/>
        <c:axId val="5665955"/>
        <c:axId val="2361622"/>
      </c:barChart>
      <c:catAx>
        <c:axId val="56659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Sales Channel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361622"/>
        <c:crosses val="autoZero"/>
        <c:auto val="1"/>
        <c:lblAlgn val="ctr"/>
        <c:lblOffset val="100"/>
        <c:noMultiLvlLbl val="0"/>
      </c:catAx>
      <c:valAx>
        <c:axId val="236162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Net Revenue (INR)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665955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Revenue by Customer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Analysis '!$F$17</c:f>
              <c:strCache>
                <c:ptCount val="1"/>
                <c:pt idx="0">
                  <c:v>Sum - Net Revenue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Analysis '!$E$18:$E$20</c:f>
              <c:strCache>
                <c:ptCount val="3"/>
                <c:pt idx="0">
                  <c:v>New</c:v>
                </c:pt>
                <c:pt idx="1">
                  <c:v>Returning</c:v>
                </c:pt>
                <c:pt idx="2">
                  <c:v>VIP</c:v>
                </c:pt>
              </c:strCache>
            </c:strRef>
          </c:cat>
          <c:val>
            <c:numRef>
              <c:f>'Pivot Analysis '!$F$18:$F$20</c:f>
              <c:numCache>
                <c:formatCode>General</c:formatCode>
                <c:ptCount val="3"/>
                <c:pt idx="0">
                  <c:v>825360.65</c:v>
                </c:pt>
                <c:pt idx="1">
                  <c:v>1296792.5</c:v>
                </c:pt>
                <c:pt idx="2">
                  <c:v>212610.8</c:v>
                </c:pt>
              </c:numCache>
            </c:numRef>
          </c:val>
        </c:ser>
        <c:gapWidth val="100"/>
        <c:overlap val="0"/>
        <c:axId val="36752333"/>
        <c:axId val="86312585"/>
      </c:barChart>
      <c:catAx>
        <c:axId val="367523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Customer Segment 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6312585"/>
        <c:crosses val="autoZero"/>
        <c:auto val="1"/>
        <c:lblAlgn val="ctr"/>
        <c:lblOffset val="100"/>
        <c:noMultiLvlLbl val="0"/>
      </c:catAx>
      <c:valAx>
        <c:axId val="8631258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Net Revenue (INR)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6752333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Order Status Distribution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100" b="0" u="none" strike="noStrike">
                <a:uFillTx/>
                <a:latin typeface="Arial"/>
              </a:rPr>
              <a:t>Order Count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'Pivot Analysis '!$F$8</c:f>
              <c:strCache>
                <c:ptCount val="1"/>
                <c:pt idx="0">
                  <c:v>Count - Order ID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'Pivot Analysis '!$E$9:$E$13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Processing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'Pivot Analysis '!$F$9:$F$13</c:f>
              <c:numCache>
                <c:formatCode>General</c:formatCode>
                <c:ptCount val="5"/>
                <c:pt idx="0">
                  <c:v>89</c:v>
                </c:pt>
                <c:pt idx="1">
                  <c:v>1078</c:v>
                </c:pt>
                <c:pt idx="2">
                  <c:v>99</c:v>
                </c:pt>
                <c:pt idx="3">
                  <c:v>73</c:v>
                </c:pt>
                <c:pt idx="4">
                  <c:v>161</c:v>
                </c:pt>
              </c:numCache>
            </c:numRef>
          </c:val>
        </c:ser>
        <c:firstSliceAng val="0"/>
        <c:holeSize val="50"/>
      </c:doughnutChart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529920</xdr:colOff>
      <xdr:row>11</xdr:row>
      <xdr:rowOff>6120</xdr:rowOff>
    </xdr:from>
    <xdr:to>
      <xdr:col>5</xdr:col>
      <xdr:colOff>255960</xdr:colOff>
      <xdr:row>25</xdr:row>
      <xdr:rowOff>167400</xdr:rowOff>
    </xdr:to>
    <xdr:graphicFrame>
      <xdr:nvGraphicFramePr>
        <xdr:cNvPr id="1" name=""/>
        <xdr:cNvGraphicFramePr/>
      </xdr:nvGraphicFramePr>
      <xdr:xfrm>
        <a:off x="529920" y="2460240"/>
        <a:ext cx="4692960" cy="2828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201600</xdr:colOff>
      <xdr:row>11</xdr:row>
      <xdr:rowOff>4680</xdr:rowOff>
    </xdr:from>
    <xdr:to>
      <xdr:col>12</xdr:col>
      <xdr:colOff>473040</xdr:colOff>
      <xdr:row>25</xdr:row>
      <xdr:rowOff>152280</xdr:rowOff>
    </xdr:to>
    <xdr:graphicFrame>
      <xdr:nvGraphicFramePr>
        <xdr:cNvPr id="2" name=""/>
        <xdr:cNvGraphicFramePr/>
      </xdr:nvGraphicFramePr>
      <xdr:xfrm>
        <a:off x="6391440" y="2458800"/>
        <a:ext cx="4680360" cy="2814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160560</xdr:colOff>
      <xdr:row>29</xdr:row>
      <xdr:rowOff>189000</xdr:rowOff>
    </xdr:from>
    <xdr:to>
      <xdr:col>13</xdr:col>
      <xdr:colOff>561240</xdr:colOff>
      <xdr:row>44</xdr:row>
      <xdr:rowOff>47520</xdr:rowOff>
    </xdr:to>
    <xdr:graphicFrame>
      <xdr:nvGraphicFramePr>
        <xdr:cNvPr id="3" name=""/>
        <xdr:cNvGraphicFramePr/>
      </xdr:nvGraphicFramePr>
      <xdr:xfrm>
        <a:off x="6350400" y="6072120"/>
        <a:ext cx="5421240" cy="2716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339120</xdr:colOff>
      <xdr:row>30</xdr:row>
      <xdr:rowOff>6840</xdr:rowOff>
    </xdr:from>
    <xdr:to>
      <xdr:col>5</xdr:col>
      <xdr:colOff>344880</xdr:colOff>
      <xdr:row>44</xdr:row>
      <xdr:rowOff>159840</xdr:rowOff>
    </xdr:to>
    <xdr:graphicFrame>
      <xdr:nvGraphicFramePr>
        <xdr:cNvPr id="4" name=""/>
        <xdr:cNvGraphicFramePr/>
      </xdr:nvGraphicFramePr>
      <xdr:xfrm>
        <a:off x="339120" y="6080760"/>
        <a:ext cx="4972680" cy="2819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342000</xdr:colOff>
      <xdr:row>49</xdr:row>
      <xdr:rowOff>32760</xdr:rowOff>
    </xdr:from>
    <xdr:to>
      <xdr:col>13</xdr:col>
      <xdr:colOff>383760</xdr:colOff>
      <xdr:row>63</xdr:row>
      <xdr:rowOff>115200</xdr:rowOff>
    </xdr:to>
    <xdr:graphicFrame>
      <xdr:nvGraphicFramePr>
        <xdr:cNvPr id="5" name=""/>
        <xdr:cNvGraphicFramePr/>
      </xdr:nvGraphicFramePr>
      <xdr:xfrm>
        <a:off x="6531840" y="9726120"/>
        <a:ext cx="5062320" cy="2749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524880</xdr:colOff>
      <xdr:row>49</xdr:row>
      <xdr:rowOff>13320</xdr:rowOff>
    </xdr:from>
    <xdr:to>
      <xdr:col>5</xdr:col>
      <xdr:colOff>246240</xdr:colOff>
      <xdr:row>63</xdr:row>
      <xdr:rowOff>47520</xdr:rowOff>
    </xdr:to>
    <xdr:graphicFrame>
      <xdr:nvGraphicFramePr>
        <xdr:cNvPr id="6" name=""/>
        <xdr:cNvGraphicFramePr/>
      </xdr:nvGraphicFramePr>
      <xdr:xfrm>
        <a:off x="524880" y="9706680"/>
        <a:ext cx="4688280" cy="270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500" createdVersion="3">
  <cacheSource type="worksheet">
    <worksheetSource ref="A1:Y1501" sheet="Formula_Analysis"/>
  </cacheSource>
  <cacheFields count="25">
    <cacheField name="Order ID" numFmtId="0">
      <sharedItems count="1500">
        <s v="O000001"/>
        <s v="O000002"/>
        <s v="O000003"/>
        <s v="O000004"/>
        <s v="O000005"/>
        <s v="O000006"/>
        <s v="O000007"/>
        <s v="O000008"/>
        <s v="O000009"/>
        <s v="O000010"/>
        <s v="O000011"/>
        <s v="O000012"/>
        <s v="O000013"/>
        <s v="O000014"/>
        <s v="O000015"/>
        <s v="O000016"/>
        <s v="O000017"/>
        <s v="O000018"/>
        <s v="O000019"/>
        <s v="O000020"/>
        <s v="O000021"/>
        <s v="O000022"/>
        <s v="O000023"/>
        <s v="O000024"/>
        <s v="O000025"/>
        <s v="O000026"/>
        <s v="O000027"/>
        <s v="O000028"/>
        <s v="O000029"/>
        <s v="O000030"/>
        <s v="O000031"/>
        <s v="O000032"/>
        <s v="O000033"/>
        <s v="O000034"/>
        <s v="O000035"/>
        <s v="O000036"/>
        <s v="O000037"/>
        <s v="O000038"/>
        <s v="O000039"/>
        <s v="O000040"/>
        <s v="O000041"/>
        <s v="O000042"/>
        <s v="O000043"/>
        <s v="O000044"/>
        <s v="O000045"/>
        <s v="O000046"/>
        <s v="O000047"/>
        <s v="O000048"/>
        <s v="O000049"/>
        <s v="O000050"/>
        <s v="O000051"/>
        <s v="O000052"/>
        <s v="O000053"/>
        <s v="O000054"/>
        <s v="O000055"/>
        <s v="O000056"/>
        <s v="O000057"/>
        <s v="O000058"/>
        <s v="O000059"/>
        <s v="O000060"/>
        <s v="O000061"/>
        <s v="O000062"/>
        <s v="O000063"/>
        <s v="O000064"/>
        <s v="O000065"/>
        <s v="O000066"/>
        <s v="O000067"/>
        <s v="O000068"/>
        <s v="O000069"/>
        <s v="O000070"/>
        <s v="O000071"/>
        <s v="O000072"/>
        <s v="O000073"/>
        <s v="O000074"/>
        <s v="O000075"/>
        <s v="O000076"/>
        <s v="O000077"/>
        <s v="O000078"/>
        <s v="O000079"/>
        <s v="O000080"/>
        <s v="O000081"/>
        <s v="O000082"/>
        <s v="O000083"/>
        <s v="O000084"/>
        <s v="O000085"/>
        <s v="O000086"/>
        <s v="O000087"/>
        <s v="O000088"/>
        <s v="O000089"/>
        <s v="O000090"/>
        <s v="O000091"/>
        <s v="O000092"/>
        <s v="O000093"/>
        <s v="O000094"/>
        <s v="O000095"/>
        <s v="O000096"/>
        <s v="O000097"/>
        <s v="O000098"/>
        <s v="O000099"/>
        <s v="O000100"/>
        <s v="O000101"/>
        <s v="O000102"/>
        <s v="O000103"/>
        <s v="O000104"/>
        <s v="O000105"/>
        <s v="O000106"/>
        <s v="O000107"/>
        <s v="O000108"/>
        <s v="O000109"/>
        <s v="O000110"/>
        <s v="O000111"/>
        <s v="O000112"/>
        <s v="O000113"/>
        <s v="O000114"/>
        <s v="O000115"/>
        <s v="O000116"/>
        <s v="O000117"/>
        <s v="O000118"/>
        <s v="O000119"/>
        <s v="O000120"/>
        <s v="O000121"/>
        <s v="O000122"/>
        <s v="O000123"/>
        <s v="O000124"/>
        <s v="O000125"/>
        <s v="O000126"/>
        <s v="O000127"/>
        <s v="O000128"/>
        <s v="O000129"/>
        <s v="O000130"/>
        <s v="O000131"/>
        <s v="O000132"/>
        <s v="O000133"/>
        <s v="O000134"/>
        <s v="O000135"/>
        <s v="O000136"/>
        <s v="O000137"/>
        <s v="O000138"/>
        <s v="O000139"/>
        <s v="O000140"/>
        <s v="O000141"/>
        <s v="O000142"/>
        <s v="O000143"/>
        <s v="O000144"/>
        <s v="O000145"/>
        <s v="O000146"/>
        <s v="O000147"/>
        <s v="O000148"/>
        <s v="O000149"/>
        <s v="O000150"/>
        <s v="O000151"/>
        <s v="O000152"/>
        <s v="O000153"/>
        <s v="O000154"/>
        <s v="O000155"/>
        <s v="O000156"/>
        <s v="O000157"/>
        <s v="O000158"/>
        <s v="O000159"/>
        <s v="O000160"/>
        <s v="O000161"/>
        <s v="O000162"/>
        <s v="O000163"/>
        <s v="O000164"/>
        <s v="O000165"/>
        <s v="O000166"/>
        <s v="O000167"/>
        <s v="O000168"/>
        <s v="O000169"/>
        <s v="O000170"/>
        <s v="O000171"/>
        <s v="O000172"/>
        <s v="O000173"/>
        <s v="O000174"/>
        <s v="O000175"/>
        <s v="O000176"/>
        <s v="O000177"/>
        <s v="O000178"/>
        <s v="O000179"/>
        <s v="O000180"/>
        <s v="O000181"/>
        <s v="O000182"/>
        <s v="O000183"/>
        <s v="O000184"/>
        <s v="O000185"/>
        <s v="O000186"/>
        <s v="O000187"/>
        <s v="O000188"/>
        <s v="O000189"/>
        <s v="O000190"/>
        <s v="O000191"/>
        <s v="O000192"/>
        <s v="O000193"/>
        <s v="O000194"/>
        <s v="O000195"/>
        <s v="O000196"/>
        <s v="O000197"/>
        <s v="O000198"/>
        <s v="O000199"/>
        <s v="O000200"/>
        <s v="O000201"/>
        <s v="O000202"/>
        <s v="O000203"/>
        <s v="O000204"/>
        <s v="O000205"/>
        <s v="O000206"/>
        <s v="O000207"/>
        <s v="O000208"/>
        <s v="O000209"/>
        <s v="O000210"/>
        <s v="O000211"/>
        <s v="O000212"/>
        <s v="O000213"/>
        <s v="O000214"/>
        <s v="O000215"/>
        <s v="O000216"/>
        <s v="O000217"/>
        <s v="O000218"/>
        <s v="O000219"/>
        <s v="O000220"/>
        <s v="O000221"/>
        <s v="O000222"/>
        <s v="O000223"/>
        <s v="O000224"/>
        <s v="O000225"/>
        <s v="O000226"/>
        <s v="O000227"/>
        <s v="O000228"/>
        <s v="O000229"/>
        <s v="O000230"/>
        <s v="O000231"/>
        <s v="O000232"/>
        <s v="O000233"/>
        <s v="O000234"/>
        <s v="O000235"/>
        <s v="O000236"/>
        <s v="O000237"/>
        <s v="O000238"/>
        <s v="O000239"/>
        <s v="O000240"/>
        <s v="O000241"/>
        <s v="O000242"/>
        <s v="O000243"/>
        <s v="O000244"/>
        <s v="O000245"/>
        <s v="O000246"/>
        <s v="O000247"/>
        <s v="O000248"/>
        <s v="O000249"/>
        <s v="O000250"/>
        <s v="O000251"/>
        <s v="O000252"/>
        <s v="O000253"/>
        <s v="O000254"/>
        <s v="O000255"/>
        <s v="O000256"/>
        <s v="O000257"/>
        <s v="O000258"/>
        <s v="O000259"/>
        <s v="O000260"/>
        <s v="O000261"/>
        <s v="O000262"/>
        <s v="O000263"/>
        <s v="O000264"/>
        <s v="O000265"/>
        <s v="O000266"/>
        <s v="O000267"/>
        <s v="O000268"/>
        <s v="O000269"/>
        <s v="O000270"/>
        <s v="O000271"/>
        <s v="O000272"/>
        <s v="O000273"/>
        <s v="O000274"/>
        <s v="O000275"/>
        <s v="O000276"/>
        <s v="O000277"/>
        <s v="O000278"/>
        <s v="O000279"/>
        <s v="O000280"/>
        <s v="O000281"/>
        <s v="O000282"/>
        <s v="O000283"/>
        <s v="O000284"/>
        <s v="O000285"/>
        <s v="O000286"/>
        <s v="O000287"/>
        <s v="O000288"/>
        <s v="O000289"/>
        <s v="O000290"/>
        <s v="O000291"/>
        <s v="O000292"/>
        <s v="O000293"/>
        <s v="O000294"/>
        <s v="O000295"/>
        <s v="O000296"/>
        <s v="O000297"/>
        <s v="O000298"/>
        <s v="O000299"/>
        <s v="O000300"/>
        <s v="O000301"/>
        <s v="O000302"/>
        <s v="O000303"/>
        <s v="O000304"/>
        <s v="O000305"/>
        <s v="O000306"/>
        <s v="O000307"/>
        <s v="O000308"/>
        <s v="O000309"/>
        <s v="O000310"/>
        <s v="O000311"/>
        <s v="O000312"/>
        <s v="O000313"/>
        <s v="O000314"/>
        <s v="O000315"/>
        <s v="O000316"/>
        <s v="O000317"/>
        <s v="O000318"/>
        <s v="O000319"/>
        <s v="O000320"/>
        <s v="O000321"/>
        <s v="O000322"/>
        <s v="O000323"/>
        <s v="O000324"/>
        <s v="O000325"/>
        <s v="O000326"/>
        <s v="O000327"/>
        <s v="O000328"/>
        <s v="O000329"/>
        <s v="O000330"/>
        <s v="O000331"/>
        <s v="O000332"/>
        <s v="O000333"/>
        <s v="O000334"/>
        <s v="O000335"/>
        <s v="O000336"/>
        <s v="O000337"/>
        <s v="O000338"/>
        <s v="O000339"/>
        <s v="O000340"/>
        <s v="O000341"/>
        <s v="O000342"/>
        <s v="O000343"/>
        <s v="O000344"/>
        <s v="O000345"/>
        <s v="O000346"/>
        <s v="O000347"/>
        <s v="O000348"/>
        <s v="O000349"/>
        <s v="O000350"/>
        <s v="O000351"/>
        <s v="O000352"/>
        <s v="O000353"/>
        <s v="O000354"/>
        <s v="O000355"/>
        <s v="O000356"/>
        <s v="O000357"/>
        <s v="O000358"/>
        <s v="O000359"/>
        <s v="O000360"/>
        <s v="O000361"/>
        <s v="O000362"/>
        <s v="O000363"/>
        <s v="O000364"/>
        <s v="O000365"/>
        <s v="O000366"/>
        <s v="O000367"/>
        <s v="O000368"/>
        <s v="O000369"/>
        <s v="O000370"/>
        <s v="O000371"/>
        <s v="O000372"/>
        <s v="O000373"/>
        <s v="O000374"/>
        <s v="O000375"/>
        <s v="O000376"/>
        <s v="O000377"/>
        <s v="O000378"/>
        <s v="O000379"/>
        <s v="O000380"/>
        <s v="O000381"/>
        <s v="O000382"/>
        <s v="O000383"/>
        <s v="O000384"/>
        <s v="O000385"/>
        <s v="O000386"/>
        <s v="O000387"/>
        <s v="O000388"/>
        <s v="O000389"/>
        <s v="O000390"/>
        <s v="O000391"/>
        <s v="O000392"/>
        <s v="O000393"/>
        <s v="O000394"/>
        <s v="O000395"/>
        <s v="O000396"/>
        <s v="O000397"/>
        <s v="O000398"/>
        <s v="O000399"/>
        <s v="O000400"/>
        <s v="O000401"/>
        <s v="O000402"/>
        <s v="O000403"/>
        <s v="O000404"/>
        <s v="O000405"/>
        <s v="O000406"/>
        <s v="O000407"/>
        <s v="O000408"/>
        <s v="O000409"/>
        <s v="O000410"/>
        <s v="O000411"/>
        <s v="O000412"/>
        <s v="O000413"/>
        <s v="O000414"/>
        <s v="O000415"/>
        <s v="O000416"/>
        <s v="O000417"/>
        <s v="O000418"/>
        <s v="O000419"/>
        <s v="O000420"/>
        <s v="O000421"/>
        <s v="O000422"/>
        <s v="O000423"/>
        <s v="O000424"/>
        <s v="O000425"/>
        <s v="O000426"/>
        <s v="O000427"/>
        <s v="O000428"/>
        <s v="O000429"/>
        <s v="O000430"/>
        <s v="O000431"/>
        <s v="O000432"/>
        <s v="O000433"/>
        <s v="O000434"/>
        <s v="O000435"/>
        <s v="O000436"/>
        <s v="O000437"/>
        <s v="O000438"/>
        <s v="O000439"/>
        <s v="O000440"/>
        <s v="O000441"/>
        <s v="O000442"/>
        <s v="O000443"/>
        <s v="O000444"/>
        <s v="O000445"/>
        <s v="O000446"/>
        <s v="O000447"/>
        <s v="O000448"/>
        <s v="O000449"/>
        <s v="O000450"/>
        <s v="O000451"/>
        <s v="O000452"/>
        <s v="O000453"/>
        <s v="O000454"/>
        <s v="O000455"/>
        <s v="O000456"/>
        <s v="O000457"/>
        <s v="O000458"/>
        <s v="O000459"/>
        <s v="O000460"/>
        <s v="O000461"/>
        <s v="O000462"/>
        <s v="O000463"/>
        <s v="O000464"/>
        <s v="O000465"/>
        <s v="O000466"/>
        <s v="O000467"/>
        <s v="O000468"/>
        <s v="O000469"/>
        <s v="O000470"/>
        <s v="O000471"/>
        <s v="O000472"/>
        <s v="O000473"/>
        <s v="O000474"/>
        <s v="O000475"/>
        <s v="O000476"/>
        <s v="O000477"/>
        <s v="O000478"/>
        <s v="O000479"/>
        <s v="O000480"/>
        <s v="O000481"/>
        <s v="O000482"/>
        <s v="O000483"/>
        <s v="O000484"/>
        <s v="O000485"/>
        <s v="O000486"/>
        <s v="O000487"/>
        <s v="O000488"/>
        <s v="O000489"/>
        <s v="O000490"/>
        <s v="O000491"/>
        <s v="O000492"/>
        <s v="O000493"/>
        <s v="O000494"/>
        <s v="O000495"/>
        <s v="O000496"/>
        <s v="O000497"/>
        <s v="O000498"/>
        <s v="O000499"/>
        <s v="O000500"/>
        <s v="O000501"/>
        <s v="O000502"/>
        <s v="O000503"/>
        <s v="O000504"/>
        <s v="O000505"/>
        <s v="O000506"/>
        <s v="O000507"/>
        <s v="O000508"/>
        <s v="O000509"/>
        <s v="O000510"/>
        <s v="O000511"/>
        <s v="O000512"/>
        <s v="O000513"/>
        <s v="O000514"/>
        <s v="O000515"/>
        <s v="O000516"/>
        <s v="O000517"/>
        <s v="O000518"/>
        <s v="O000519"/>
        <s v="O000520"/>
        <s v="O000521"/>
        <s v="O000522"/>
        <s v="O000523"/>
        <s v="O000524"/>
        <s v="O000525"/>
        <s v="O000526"/>
        <s v="O000527"/>
        <s v="O000528"/>
        <s v="O000529"/>
        <s v="O000530"/>
        <s v="O000531"/>
        <s v="O000532"/>
        <s v="O000533"/>
        <s v="O000534"/>
        <s v="O000535"/>
        <s v="O000536"/>
        <s v="O000537"/>
        <s v="O000538"/>
        <s v="O000539"/>
        <s v="O000540"/>
        <s v="O000541"/>
        <s v="O000542"/>
        <s v="O000543"/>
        <s v="O000544"/>
        <s v="O000545"/>
        <s v="O000546"/>
        <s v="O000547"/>
        <s v="O000548"/>
        <s v="O000549"/>
        <s v="O000550"/>
        <s v="O000551"/>
        <s v="O000552"/>
        <s v="O000553"/>
        <s v="O000554"/>
        <s v="O000555"/>
        <s v="O000556"/>
        <s v="O000557"/>
        <s v="O000558"/>
        <s v="O000559"/>
        <s v="O000560"/>
        <s v="O000561"/>
        <s v="O000562"/>
        <s v="O000563"/>
        <s v="O000564"/>
        <s v="O000565"/>
        <s v="O000566"/>
        <s v="O000567"/>
        <s v="O000568"/>
        <s v="O000569"/>
        <s v="O000570"/>
        <s v="O000571"/>
        <s v="O000572"/>
        <s v="O000573"/>
        <s v="O000574"/>
        <s v="O000575"/>
        <s v="O000576"/>
        <s v="O000577"/>
        <s v="O000578"/>
        <s v="O000579"/>
        <s v="O000580"/>
        <s v="O000581"/>
        <s v="O000582"/>
        <s v="O000583"/>
        <s v="O000584"/>
        <s v="O000585"/>
        <s v="O000586"/>
        <s v="O000587"/>
        <s v="O000588"/>
        <s v="O000589"/>
        <s v="O000590"/>
        <s v="O000591"/>
        <s v="O000592"/>
        <s v="O000593"/>
        <s v="O000594"/>
        <s v="O000595"/>
        <s v="O000596"/>
        <s v="O000597"/>
        <s v="O000598"/>
        <s v="O000599"/>
        <s v="O000600"/>
        <s v="O000601"/>
        <s v="O000602"/>
        <s v="O000603"/>
        <s v="O000604"/>
        <s v="O000605"/>
        <s v="O000606"/>
        <s v="O000607"/>
        <s v="O000608"/>
        <s v="O000609"/>
        <s v="O000610"/>
        <s v="O000611"/>
        <s v="O000612"/>
        <s v="O000613"/>
        <s v="O000614"/>
        <s v="O000615"/>
        <s v="O000616"/>
        <s v="O000617"/>
        <s v="O000618"/>
        <s v="O000619"/>
        <s v="O000620"/>
        <s v="O000621"/>
        <s v="O000622"/>
        <s v="O000623"/>
        <s v="O000624"/>
        <s v="O000625"/>
        <s v="O000626"/>
        <s v="O000627"/>
        <s v="O000628"/>
        <s v="O000629"/>
        <s v="O000630"/>
        <s v="O000631"/>
        <s v="O000632"/>
        <s v="O000633"/>
        <s v="O000634"/>
        <s v="O000635"/>
        <s v="O000636"/>
        <s v="O000637"/>
        <s v="O000638"/>
        <s v="O000639"/>
        <s v="O000640"/>
        <s v="O000641"/>
        <s v="O000642"/>
        <s v="O000643"/>
        <s v="O000644"/>
        <s v="O000645"/>
        <s v="O000646"/>
        <s v="O000647"/>
        <s v="O000648"/>
        <s v="O000649"/>
        <s v="O000650"/>
        <s v="O000651"/>
        <s v="O000652"/>
        <s v="O000653"/>
        <s v="O000654"/>
        <s v="O000655"/>
        <s v="O000656"/>
        <s v="O000657"/>
        <s v="O000658"/>
        <s v="O000659"/>
        <s v="O000660"/>
        <s v="O000661"/>
        <s v="O000662"/>
        <s v="O000663"/>
        <s v="O000664"/>
        <s v="O000665"/>
        <s v="O000666"/>
        <s v="O000667"/>
        <s v="O000668"/>
        <s v="O000669"/>
        <s v="O000670"/>
        <s v="O000671"/>
        <s v="O000672"/>
        <s v="O000673"/>
        <s v="O000674"/>
        <s v="O000675"/>
        <s v="O000676"/>
        <s v="O000677"/>
        <s v="O000678"/>
        <s v="O000679"/>
        <s v="O000680"/>
        <s v="O000681"/>
        <s v="O000682"/>
        <s v="O000683"/>
        <s v="O000684"/>
        <s v="O000685"/>
        <s v="O000686"/>
        <s v="O000687"/>
        <s v="O000688"/>
        <s v="O000689"/>
        <s v="O000690"/>
        <s v="O000691"/>
        <s v="O000692"/>
        <s v="O000693"/>
        <s v="O000694"/>
        <s v="O000695"/>
        <s v="O000696"/>
        <s v="O000697"/>
        <s v="O000698"/>
        <s v="O000699"/>
        <s v="O000700"/>
        <s v="O000701"/>
        <s v="O000702"/>
        <s v="O000703"/>
        <s v="O000704"/>
        <s v="O000705"/>
        <s v="O000706"/>
        <s v="O000707"/>
        <s v="O000708"/>
        <s v="O000709"/>
        <s v="O000710"/>
        <s v="O000711"/>
        <s v="O000712"/>
        <s v="O000713"/>
        <s v="O000714"/>
        <s v="O000715"/>
        <s v="O000716"/>
        <s v="O000717"/>
        <s v="O000718"/>
        <s v="O000719"/>
        <s v="O000720"/>
        <s v="O000721"/>
        <s v="O000722"/>
        <s v="O000723"/>
        <s v="O000724"/>
        <s v="O000725"/>
        <s v="O000726"/>
        <s v="O000727"/>
        <s v="O000728"/>
        <s v="O000729"/>
        <s v="O000730"/>
        <s v="O000731"/>
        <s v="O000732"/>
        <s v="O000733"/>
        <s v="O000734"/>
        <s v="O000735"/>
        <s v="O000736"/>
        <s v="O000737"/>
        <s v="O000738"/>
        <s v="O000739"/>
        <s v="O000740"/>
        <s v="O000741"/>
        <s v="O000742"/>
        <s v="O000743"/>
        <s v="O000744"/>
        <s v="O000745"/>
        <s v="O000746"/>
        <s v="O000747"/>
        <s v="O000748"/>
        <s v="O000749"/>
        <s v="O000750"/>
        <s v="O000751"/>
        <s v="O000752"/>
        <s v="O000753"/>
        <s v="O000754"/>
        <s v="O000755"/>
        <s v="O000756"/>
        <s v="O000757"/>
        <s v="O000758"/>
        <s v="O000759"/>
        <s v="O000760"/>
        <s v="O000761"/>
        <s v="O000762"/>
        <s v="O000763"/>
        <s v="O000764"/>
        <s v="O000765"/>
        <s v="O000766"/>
        <s v="O000767"/>
        <s v="O000768"/>
        <s v="O000769"/>
        <s v="O000770"/>
        <s v="O000771"/>
        <s v="O000772"/>
        <s v="O000773"/>
        <s v="O000774"/>
        <s v="O000775"/>
        <s v="O000776"/>
        <s v="O000777"/>
        <s v="O000778"/>
        <s v="O000779"/>
        <s v="O000780"/>
        <s v="O000781"/>
        <s v="O000782"/>
        <s v="O000783"/>
        <s v="O000784"/>
        <s v="O000785"/>
        <s v="O000786"/>
        <s v="O000787"/>
        <s v="O000788"/>
        <s v="O000789"/>
        <s v="O000790"/>
        <s v="O000791"/>
        <s v="O000792"/>
        <s v="O000793"/>
        <s v="O000794"/>
        <s v="O000795"/>
        <s v="O000796"/>
        <s v="O000797"/>
        <s v="O000798"/>
        <s v="O000799"/>
        <s v="O000800"/>
        <s v="O000801"/>
        <s v="O000802"/>
        <s v="O000803"/>
        <s v="O000804"/>
        <s v="O000805"/>
        <s v="O000806"/>
        <s v="O000807"/>
        <s v="O000808"/>
        <s v="O000809"/>
        <s v="O000810"/>
        <s v="O000811"/>
        <s v="O000812"/>
        <s v="O000813"/>
        <s v="O000814"/>
        <s v="O000815"/>
        <s v="O000816"/>
        <s v="O000817"/>
        <s v="O000818"/>
        <s v="O000819"/>
        <s v="O000820"/>
        <s v="O000821"/>
        <s v="O000822"/>
        <s v="O000823"/>
        <s v="O000824"/>
        <s v="O000825"/>
        <s v="O000826"/>
        <s v="O000827"/>
        <s v="O000828"/>
        <s v="O000829"/>
        <s v="O000830"/>
        <s v="O000831"/>
        <s v="O000832"/>
        <s v="O000833"/>
        <s v="O000834"/>
        <s v="O000835"/>
        <s v="O000836"/>
        <s v="O000837"/>
        <s v="O000838"/>
        <s v="O000839"/>
        <s v="O000840"/>
        <s v="O000841"/>
        <s v="O000842"/>
        <s v="O000843"/>
        <s v="O000844"/>
        <s v="O000845"/>
        <s v="O000846"/>
        <s v="O000847"/>
        <s v="O000848"/>
        <s v="O000849"/>
        <s v="O000850"/>
        <s v="O000851"/>
        <s v="O000852"/>
        <s v="O000853"/>
        <s v="O000854"/>
        <s v="O000855"/>
        <s v="O000856"/>
        <s v="O000857"/>
        <s v="O000858"/>
        <s v="O000859"/>
        <s v="O000860"/>
        <s v="O000861"/>
        <s v="O000862"/>
        <s v="O000863"/>
        <s v="O000864"/>
        <s v="O000865"/>
        <s v="O000866"/>
        <s v="O000867"/>
        <s v="O000868"/>
        <s v="O000869"/>
        <s v="O000870"/>
        <s v="O000871"/>
        <s v="O000872"/>
        <s v="O000873"/>
        <s v="O000874"/>
        <s v="O000875"/>
        <s v="O000876"/>
        <s v="O000877"/>
        <s v="O000878"/>
        <s v="O000879"/>
        <s v="O000880"/>
        <s v="O000881"/>
        <s v="O000882"/>
        <s v="O000883"/>
        <s v="O000884"/>
        <s v="O000885"/>
        <s v="O000886"/>
        <s v="O000887"/>
        <s v="O000888"/>
        <s v="O000889"/>
        <s v="O000890"/>
        <s v="O000891"/>
        <s v="O000892"/>
        <s v="O000893"/>
        <s v="O000894"/>
        <s v="O000895"/>
        <s v="O000896"/>
        <s v="O000897"/>
        <s v="O000898"/>
        <s v="O000899"/>
        <s v="O000900"/>
        <s v="O000901"/>
        <s v="O000902"/>
        <s v="O000903"/>
        <s v="O000904"/>
        <s v="O000905"/>
        <s v="O000906"/>
        <s v="O000907"/>
        <s v="O000908"/>
        <s v="O000909"/>
        <s v="O000910"/>
        <s v="O000911"/>
        <s v="O000912"/>
        <s v="O000913"/>
        <s v="O000914"/>
        <s v="O000915"/>
        <s v="O000916"/>
        <s v="O000917"/>
        <s v="O000918"/>
        <s v="O000919"/>
        <s v="O000920"/>
        <s v="O000921"/>
        <s v="O000922"/>
        <s v="O000923"/>
        <s v="O000924"/>
        <s v="O000925"/>
        <s v="O000926"/>
        <s v="O000927"/>
        <s v="O000928"/>
        <s v="O000929"/>
        <s v="O000930"/>
        <s v="O000931"/>
        <s v="O000932"/>
        <s v="O000933"/>
        <s v="O000934"/>
        <s v="O000935"/>
        <s v="O000936"/>
        <s v="O000937"/>
        <s v="O000938"/>
        <s v="O000939"/>
        <s v="O000940"/>
        <s v="O000941"/>
        <s v="O000942"/>
        <s v="O000943"/>
        <s v="O000944"/>
        <s v="O000945"/>
        <s v="O000946"/>
        <s v="O000947"/>
        <s v="O000948"/>
        <s v="O000949"/>
        <s v="O000950"/>
        <s v="O000951"/>
        <s v="O000952"/>
        <s v="O000953"/>
        <s v="O000954"/>
        <s v="O000955"/>
        <s v="O000956"/>
        <s v="O000957"/>
        <s v="O000958"/>
        <s v="O000959"/>
        <s v="O000960"/>
        <s v="O000961"/>
        <s v="O000962"/>
        <s v="O000963"/>
        <s v="O000964"/>
        <s v="O000965"/>
        <s v="O000966"/>
        <s v="O000967"/>
        <s v="O000968"/>
        <s v="O000969"/>
        <s v="O000970"/>
        <s v="O000971"/>
        <s v="O000972"/>
        <s v="O000973"/>
        <s v="O000974"/>
        <s v="O000975"/>
        <s v="O000976"/>
        <s v="O000977"/>
        <s v="O000978"/>
        <s v="O000979"/>
        <s v="O000980"/>
        <s v="O000981"/>
        <s v="O000982"/>
        <s v="O000983"/>
        <s v="O000984"/>
        <s v="O000985"/>
        <s v="O000986"/>
        <s v="O000987"/>
        <s v="O000988"/>
        <s v="O000989"/>
        <s v="O000990"/>
        <s v="O000991"/>
        <s v="O000992"/>
        <s v="O000993"/>
        <s v="O000994"/>
        <s v="O000995"/>
        <s v="O000996"/>
        <s v="O000997"/>
        <s v="O000998"/>
        <s v="O000999"/>
        <s v="O001000"/>
        <s v="O001001"/>
        <s v="O001002"/>
        <s v="O001003"/>
        <s v="O001004"/>
        <s v="O001005"/>
        <s v="O001006"/>
        <s v="O001007"/>
        <s v="O001008"/>
        <s v="O001009"/>
        <s v="O001010"/>
        <s v="O001011"/>
        <s v="O001012"/>
        <s v="O001013"/>
        <s v="O001014"/>
        <s v="O001015"/>
        <s v="O001016"/>
        <s v="O001017"/>
        <s v="O001018"/>
        <s v="O001019"/>
        <s v="O001020"/>
        <s v="O001021"/>
        <s v="O001022"/>
        <s v="O001023"/>
        <s v="O001024"/>
        <s v="O001025"/>
        <s v="O001026"/>
        <s v="O001027"/>
        <s v="O001028"/>
        <s v="O001029"/>
        <s v="O001030"/>
        <s v="O001031"/>
        <s v="O001032"/>
        <s v="O001033"/>
        <s v="O001034"/>
        <s v="O001035"/>
        <s v="O001036"/>
        <s v="O001037"/>
        <s v="O001038"/>
        <s v="O001039"/>
        <s v="O001040"/>
        <s v="O001041"/>
        <s v="O001042"/>
        <s v="O001043"/>
        <s v="O001044"/>
        <s v="O001045"/>
        <s v="O001046"/>
        <s v="O001047"/>
        <s v="O001048"/>
        <s v="O001049"/>
        <s v="O001050"/>
        <s v="O001051"/>
        <s v="O001052"/>
        <s v="O001053"/>
        <s v="O001054"/>
        <s v="O001055"/>
        <s v="O001056"/>
        <s v="O001057"/>
        <s v="O001058"/>
        <s v="O001059"/>
        <s v="O001060"/>
        <s v="O001061"/>
        <s v="O001062"/>
        <s v="O001063"/>
        <s v="O001064"/>
        <s v="O001065"/>
        <s v="O001066"/>
        <s v="O001067"/>
        <s v="O001068"/>
        <s v="O001069"/>
        <s v="O001070"/>
        <s v="O001071"/>
        <s v="O001072"/>
        <s v="O001073"/>
        <s v="O001074"/>
        <s v="O001075"/>
        <s v="O001076"/>
        <s v="O001077"/>
        <s v="O001078"/>
        <s v="O001079"/>
        <s v="O001080"/>
        <s v="O001081"/>
        <s v="O001082"/>
        <s v="O001083"/>
        <s v="O001084"/>
        <s v="O001085"/>
        <s v="O001086"/>
        <s v="O001087"/>
        <s v="O001088"/>
        <s v="O001089"/>
        <s v="O001090"/>
        <s v="O001091"/>
        <s v="O001092"/>
        <s v="O001093"/>
        <s v="O001094"/>
        <s v="O001095"/>
        <s v="O001096"/>
        <s v="O001097"/>
        <s v="O001098"/>
        <s v="O001099"/>
        <s v="O001100"/>
        <s v="O001101"/>
        <s v="O001102"/>
        <s v="O001103"/>
        <s v="O001104"/>
        <s v="O001105"/>
        <s v="O001106"/>
        <s v="O001107"/>
        <s v="O001108"/>
        <s v="O001109"/>
        <s v="O001110"/>
        <s v="O001111"/>
        <s v="O001112"/>
        <s v="O001113"/>
        <s v="O001114"/>
        <s v="O001115"/>
        <s v="O001116"/>
        <s v="O001117"/>
        <s v="O001118"/>
        <s v="O001119"/>
        <s v="O001120"/>
        <s v="O001121"/>
        <s v="O001122"/>
        <s v="O001123"/>
        <s v="O001124"/>
        <s v="O001125"/>
        <s v="O001126"/>
        <s v="O001127"/>
        <s v="O001128"/>
        <s v="O001129"/>
        <s v="O001130"/>
        <s v="O001131"/>
        <s v="O001132"/>
        <s v="O001133"/>
        <s v="O001134"/>
        <s v="O001135"/>
        <s v="O001136"/>
        <s v="O001137"/>
        <s v="O001138"/>
        <s v="O001139"/>
        <s v="O001140"/>
        <s v="O001141"/>
        <s v="O001142"/>
        <s v="O001143"/>
        <s v="O001144"/>
        <s v="O001145"/>
        <s v="O001146"/>
        <s v="O001147"/>
        <s v="O001148"/>
        <s v="O001149"/>
        <s v="O001150"/>
        <s v="O001151"/>
        <s v="O001152"/>
        <s v="O001153"/>
        <s v="O001154"/>
        <s v="O001155"/>
        <s v="O001156"/>
        <s v="O001157"/>
        <s v="O001158"/>
        <s v="O001159"/>
        <s v="O001160"/>
        <s v="O001161"/>
        <s v="O001162"/>
        <s v="O001163"/>
        <s v="O001164"/>
        <s v="O001165"/>
        <s v="O001166"/>
        <s v="O001167"/>
        <s v="O001168"/>
        <s v="O001169"/>
        <s v="O001170"/>
        <s v="O001171"/>
        <s v="O001172"/>
        <s v="O001173"/>
        <s v="O001174"/>
        <s v="O001175"/>
        <s v="O001176"/>
        <s v="O001177"/>
        <s v="O001178"/>
        <s v="O001179"/>
        <s v="O001180"/>
        <s v="O001181"/>
        <s v="O001182"/>
        <s v="O001183"/>
        <s v="O001184"/>
        <s v="O001185"/>
        <s v="O001186"/>
        <s v="O001187"/>
        <s v="O001188"/>
        <s v="O001189"/>
        <s v="O001190"/>
        <s v="O001191"/>
        <s v="O001192"/>
        <s v="O001193"/>
        <s v="O001194"/>
        <s v="O001195"/>
        <s v="O001196"/>
        <s v="O001197"/>
        <s v="O001198"/>
        <s v="O001199"/>
        <s v="O001200"/>
        <s v="O001201"/>
        <s v="O001202"/>
        <s v="O001203"/>
        <s v="O001204"/>
        <s v="O001205"/>
        <s v="O001206"/>
        <s v="O001207"/>
        <s v="O001208"/>
        <s v="O001209"/>
        <s v="O001210"/>
        <s v="O001211"/>
        <s v="O001212"/>
        <s v="O001213"/>
        <s v="O001214"/>
        <s v="O001215"/>
        <s v="O001216"/>
        <s v="O001217"/>
        <s v="O001218"/>
        <s v="O001219"/>
        <s v="O001220"/>
        <s v="O001221"/>
        <s v="O001222"/>
        <s v="O001223"/>
        <s v="O001224"/>
        <s v="O001225"/>
        <s v="O001226"/>
        <s v="O001227"/>
        <s v="O001228"/>
        <s v="O001229"/>
        <s v="O001230"/>
        <s v="O001231"/>
        <s v="O001232"/>
        <s v="O001233"/>
        <s v="O001234"/>
        <s v="O001235"/>
        <s v="O001236"/>
        <s v="O001237"/>
        <s v="O001238"/>
        <s v="O001239"/>
        <s v="O001240"/>
        <s v="O001241"/>
        <s v="O001242"/>
        <s v="O001243"/>
        <s v="O001244"/>
        <s v="O001245"/>
        <s v="O001246"/>
        <s v="O001247"/>
        <s v="O001248"/>
        <s v="O001249"/>
        <s v="O001250"/>
        <s v="O001251"/>
        <s v="O001252"/>
        <s v="O001253"/>
        <s v="O001254"/>
        <s v="O001255"/>
        <s v="O001256"/>
        <s v="O001257"/>
        <s v="O001258"/>
        <s v="O001259"/>
        <s v="O001260"/>
        <s v="O001261"/>
        <s v="O001262"/>
        <s v="O001263"/>
        <s v="O001264"/>
        <s v="O001265"/>
        <s v="O001266"/>
        <s v="O001267"/>
        <s v="O001268"/>
        <s v="O001269"/>
        <s v="O001270"/>
        <s v="O001271"/>
        <s v="O001272"/>
        <s v="O001273"/>
        <s v="O001274"/>
        <s v="O001275"/>
        <s v="O001276"/>
        <s v="O001277"/>
        <s v="O001278"/>
        <s v="O001279"/>
        <s v="O001280"/>
        <s v="O001281"/>
        <s v="O001282"/>
        <s v="O001283"/>
        <s v="O001284"/>
        <s v="O001285"/>
        <s v="O001286"/>
        <s v="O001287"/>
        <s v="O001288"/>
        <s v="O001289"/>
        <s v="O001290"/>
        <s v="O001291"/>
        <s v="O001292"/>
        <s v="O001293"/>
        <s v="O001294"/>
        <s v="O001295"/>
        <s v="O001296"/>
        <s v="O001297"/>
        <s v="O001298"/>
        <s v="O001299"/>
        <s v="O001300"/>
        <s v="O001301"/>
        <s v="O001302"/>
        <s v="O001303"/>
        <s v="O001304"/>
        <s v="O001305"/>
        <s v="O001306"/>
        <s v="O001307"/>
        <s v="O001308"/>
        <s v="O001309"/>
        <s v="O001310"/>
        <s v="O001311"/>
        <s v="O001312"/>
        <s v="O001313"/>
        <s v="O001314"/>
        <s v="O001315"/>
        <s v="O001316"/>
        <s v="O001317"/>
        <s v="O001318"/>
        <s v="O001319"/>
        <s v="O001320"/>
        <s v="O001321"/>
        <s v="O001322"/>
        <s v="O001323"/>
        <s v="O001324"/>
        <s v="O001325"/>
        <s v="O001326"/>
        <s v="O001327"/>
        <s v="O001328"/>
        <s v="O001329"/>
        <s v="O001330"/>
        <s v="O001331"/>
        <s v="O001332"/>
        <s v="O001333"/>
        <s v="O001334"/>
        <s v="O001335"/>
        <s v="O001336"/>
        <s v="O001337"/>
        <s v="O001338"/>
        <s v="O001339"/>
        <s v="O001340"/>
        <s v="O001341"/>
        <s v="O001342"/>
        <s v="O001343"/>
        <s v="O001344"/>
        <s v="O001345"/>
        <s v="O001346"/>
        <s v="O001347"/>
        <s v="O001348"/>
        <s v="O001349"/>
        <s v="O001350"/>
        <s v="O001351"/>
        <s v="O001352"/>
        <s v="O001353"/>
        <s v="O001354"/>
        <s v="O001355"/>
        <s v="O001356"/>
        <s v="O001357"/>
        <s v="O001358"/>
        <s v="O001359"/>
        <s v="O001360"/>
        <s v="O001361"/>
        <s v="O001362"/>
        <s v="O001363"/>
        <s v="O001364"/>
        <s v="O001365"/>
        <s v="O001366"/>
        <s v="O001367"/>
        <s v="O001368"/>
        <s v="O001369"/>
        <s v="O001370"/>
        <s v="O001371"/>
        <s v="O001372"/>
        <s v="O001373"/>
        <s v="O001374"/>
        <s v="O001375"/>
        <s v="O001376"/>
        <s v="O001377"/>
        <s v="O001378"/>
        <s v="O001379"/>
        <s v="O001380"/>
        <s v="O001381"/>
        <s v="O001382"/>
        <s v="O001383"/>
        <s v="O001384"/>
        <s v="O001385"/>
        <s v="O001386"/>
        <s v="O001387"/>
        <s v="O001388"/>
        <s v="O001389"/>
        <s v="O001390"/>
        <s v="O001391"/>
        <s v="O001392"/>
        <s v="O001393"/>
        <s v="O001394"/>
        <s v="O001395"/>
        <s v="O001396"/>
        <s v="O001397"/>
        <s v="O001398"/>
        <s v="O001399"/>
        <s v="O001400"/>
        <s v="O001401"/>
        <s v="O001402"/>
        <s v="O001403"/>
        <s v="O001404"/>
        <s v="O001405"/>
        <s v="O001406"/>
        <s v="O001407"/>
        <s v="O001408"/>
        <s v="O001409"/>
        <s v="O001410"/>
        <s v="O001411"/>
        <s v="O001412"/>
        <s v="O001413"/>
        <s v="O001414"/>
        <s v="O001415"/>
        <s v="O001416"/>
        <s v="O001417"/>
        <s v="O001418"/>
        <s v="O001419"/>
        <s v="O001420"/>
        <s v="O001421"/>
        <s v="O001422"/>
        <s v="O001423"/>
        <s v="O001424"/>
        <s v="O001425"/>
        <s v="O001426"/>
        <s v="O001427"/>
        <s v="O001428"/>
        <s v="O001429"/>
        <s v="O001430"/>
        <s v="O001431"/>
        <s v="O001432"/>
        <s v="O001433"/>
        <s v="O001434"/>
        <s v="O001435"/>
        <s v="O001436"/>
        <s v="O001437"/>
        <s v="O001438"/>
        <s v="O001439"/>
        <s v="O001440"/>
        <s v="O001441"/>
        <s v="O001442"/>
        <s v="O001443"/>
        <s v="O001444"/>
        <s v="O001445"/>
        <s v="O001446"/>
        <s v="O001447"/>
        <s v="O001448"/>
        <s v="O001449"/>
        <s v="O001450"/>
        <s v="O001451"/>
        <s v="O001452"/>
        <s v="O001453"/>
        <s v="O001454"/>
        <s v="O001455"/>
        <s v="O001456"/>
        <s v="O001457"/>
        <s v="O001458"/>
        <s v="O001459"/>
        <s v="O001460"/>
        <s v="O001461"/>
        <s v="O001462"/>
        <s v="O001463"/>
        <s v="O001464"/>
        <s v="O001465"/>
        <s v="O001466"/>
        <s v="O001467"/>
        <s v="O001468"/>
        <s v="O001469"/>
        <s v="O001470"/>
        <s v="O001471"/>
        <s v="O001472"/>
        <s v="O001473"/>
        <s v="O001474"/>
        <s v="O001475"/>
        <s v="O001476"/>
        <s v="O001477"/>
        <s v="O001478"/>
        <s v="O001479"/>
        <s v="O001480"/>
        <s v="O001481"/>
        <s v="O001482"/>
        <s v="O001483"/>
        <s v="O001484"/>
        <s v="O001485"/>
        <s v="O001486"/>
        <s v="O001487"/>
        <s v="O001488"/>
        <s v="O001489"/>
        <s v="O001490"/>
        <s v="O001491"/>
        <s v="O001492"/>
        <s v="O001493"/>
        <s v="O001494"/>
        <s v="O001495"/>
        <s v="O001496"/>
        <s v="O001497"/>
        <s v="O001498"/>
        <s v="O001499"/>
        <s v="O001500"/>
      </sharedItems>
    </cacheField>
    <cacheField name="Order Date" numFmtId="0">
      <sharedItems containsSemiMixedTypes="0" containsNonDate="0" containsDate="1" containsString="0" minDate="2025-01-01T00:00:00" maxDate="2025-12-31T00:00:00" count="356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6T00:00:00"/>
        <d v="2025-09-17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8T00:00:00"/>
        <d v="2025-12-30T00:00:00"/>
        <d v="2025-12-31T00:00:00"/>
      </sharedItems>
    </cacheField>
    <cacheField name="Customer ID" numFmtId="0">
      <sharedItems count="298">
        <s v="C0001"/>
        <s v="C0002"/>
        <s v="C0003"/>
        <s v="C0004"/>
        <s v="C0005"/>
        <s v="C0006"/>
        <s v="C0007"/>
        <s v="C0008"/>
        <s v="C0009"/>
        <s v="C0010"/>
        <s v="C0011"/>
        <s v="C0012"/>
        <s v="C0013"/>
        <s v="C0014"/>
        <s v="C0015"/>
        <s v="C0016"/>
        <s v="C0017"/>
        <s v="C0018"/>
        <s v="C0019"/>
        <s v="C0020"/>
        <s v="C0021"/>
        <s v="C0022"/>
        <s v="C0023"/>
        <s v="C0024"/>
        <s v="C0025"/>
        <s v="C0026"/>
        <s v="C0027"/>
        <s v="C0028"/>
        <s v="C0029"/>
        <s v="C0030"/>
        <s v="C0031"/>
        <s v="C0032"/>
        <s v="C0033"/>
        <s v="C0034"/>
        <s v="C0035"/>
        <s v="C0036"/>
        <s v="C0037"/>
        <s v="C0038"/>
        <s v="C0039"/>
        <s v="C0040"/>
        <s v="C0041"/>
        <s v="C0042"/>
        <s v="C0043"/>
        <s v="C0044"/>
        <s v="C0045"/>
        <s v="C0046"/>
        <s v="C0047"/>
        <s v="C0048"/>
        <s v="C0049"/>
        <s v="C0050"/>
        <s v="C0051"/>
        <s v="C0052"/>
        <s v="C0053"/>
        <s v="C0054"/>
        <s v="C0055"/>
        <s v="C0056"/>
        <s v="C0057"/>
        <s v="C0058"/>
        <s v="C0059"/>
        <s v="C0060"/>
        <s v="C0061"/>
        <s v="C0062"/>
        <s v="C0063"/>
        <s v="C0064"/>
        <s v="C0065"/>
        <s v="C0066"/>
        <s v="C0067"/>
        <s v="C0068"/>
        <s v="C0069"/>
        <s v="C0070"/>
        <s v="C0071"/>
        <s v="C0072"/>
        <s v="C0073"/>
        <s v="C0074"/>
        <s v="C0075"/>
        <s v="C0076"/>
        <s v="C0078"/>
        <s v="C0079"/>
        <s v="C0080"/>
        <s v="C0081"/>
        <s v="C0082"/>
        <s v="C0083"/>
        <s v="C0084"/>
        <s v="C0085"/>
        <s v="C0086"/>
        <s v="C0087"/>
        <s v="C0088"/>
        <s v="C0089"/>
        <s v="C0090"/>
        <s v="C0091"/>
        <s v="C0092"/>
        <s v="C0093"/>
        <s v="C0094"/>
        <s v="C0095"/>
        <s v="C0096"/>
        <s v="C0097"/>
        <s v="C0098"/>
        <s v="C0099"/>
        <s v="C0100"/>
        <s v="C0101"/>
        <s v="C0102"/>
        <s v="C0103"/>
        <s v="C0104"/>
        <s v="C0105"/>
        <s v="C0106"/>
        <s v="C0107"/>
        <s v="C0108"/>
        <s v="C0109"/>
        <s v="C0110"/>
        <s v="C0111"/>
        <s v="C0112"/>
        <s v="C0113"/>
        <s v="C0114"/>
        <s v="C0115"/>
        <s v="C0116"/>
        <s v="C0117"/>
        <s v="C0118"/>
        <s v="C0119"/>
        <s v="C0120"/>
        <s v="C0121"/>
        <s v="C0122"/>
        <s v="C0123"/>
        <s v="C0124"/>
        <s v="C0125"/>
        <s v="C0126"/>
        <s v="C0127"/>
        <s v="C0128"/>
        <s v="C0129"/>
        <s v="C0130"/>
        <s v="C0132"/>
        <s v="C0133"/>
        <s v="C0134"/>
        <s v="C0135"/>
        <s v="C0136"/>
        <s v="C0137"/>
        <s v="C0138"/>
        <s v="C0139"/>
        <s v="C0140"/>
        <s v="C0141"/>
        <s v="C0142"/>
        <s v="C0143"/>
        <s v="C0144"/>
        <s v="C0145"/>
        <s v="C0146"/>
        <s v="C0147"/>
        <s v="C0148"/>
        <s v="C0149"/>
        <s v="C0150"/>
        <s v="C0151"/>
        <s v="C0152"/>
        <s v="C0153"/>
        <s v="C0154"/>
        <s v="C0155"/>
        <s v="C0156"/>
        <s v="C0157"/>
        <s v="C0158"/>
        <s v="C0159"/>
        <s v="C0160"/>
        <s v="C0161"/>
        <s v="C0162"/>
        <s v="C0163"/>
        <s v="C0164"/>
        <s v="C0165"/>
        <s v="C0166"/>
        <s v="C0167"/>
        <s v="C0168"/>
        <s v="C0169"/>
        <s v="C0170"/>
        <s v="C0171"/>
        <s v="C0172"/>
        <s v="C0173"/>
        <s v="C0174"/>
        <s v="C0175"/>
        <s v="C0176"/>
        <s v="C0177"/>
        <s v="C0178"/>
        <s v="C0179"/>
        <s v="C0180"/>
        <s v="C0181"/>
        <s v="C0182"/>
        <s v="C0183"/>
        <s v="C0184"/>
        <s v="C0185"/>
        <s v="C0186"/>
        <s v="C0187"/>
        <s v="C0188"/>
        <s v="C0189"/>
        <s v="C0190"/>
        <s v="C0191"/>
        <s v="C0192"/>
        <s v="C0193"/>
        <s v="C0194"/>
        <s v="C0195"/>
        <s v="C0196"/>
        <s v="C0197"/>
        <s v="C0198"/>
        <s v="C0199"/>
        <s v="C0200"/>
        <s v="C0201"/>
        <s v="C0202"/>
        <s v="C0203"/>
        <s v="C0204"/>
        <s v="C0205"/>
        <s v="C0206"/>
        <s v="C0207"/>
        <s v="C0208"/>
        <s v="C0209"/>
        <s v="C0210"/>
        <s v="C0211"/>
        <s v="C0212"/>
        <s v="C0213"/>
        <s v="C0214"/>
        <s v="C0215"/>
        <s v="C0216"/>
        <s v="C0217"/>
        <s v="C0218"/>
        <s v="C0219"/>
        <s v="C0220"/>
        <s v="C0221"/>
        <s v="C0222"/>
        <s v="C0223"/>
        <s v="C0224"/>
        <s v="C0225"/>
        <s v="C0226"/>
        <s v="C0227"/>
        <s v="C0228"/>
        <s v="C0229"/>
        <s v="C0230"/>
        <s v="C0231"/>
        <s v="C0232"/>
        <s v="C0233"/>
        <s v="C0234"/>
        <s v="C0235"/>
        <s v="C0236"/>
        <s v="C0237"/>
        <s v="C0238"/>
        <s v="C0239"/>
        <s v="C0240"/>
        <s v="C0241"/>
        <s v="C0242"/>
        <s v="C0243"/>
        <s v="C0244"/>
        <s v="C0245"/>
        <s v="C0246"/>
        <s v="C0247"/>
        <s v="C0248"/>
        <s v="C0249"/>
        <s v="C0250"/>
        <s v="C0251"/>
        <s v="C0252"/>
        <s v="C0253"/>
        <s v="C0254"/>
        <s v="C0255"/>
        <s v="C0256"/>
        <s v="C0257"/>
        <s v="C0258"/>
        <s v="C0259"/>
        <s v="C0260"/>
        <s v="C0261"/>
        <s v="C0262"/>
        <s v="C0263"/>
        <s v="C0264"/>
        <s v="C0265"/>
        <s v="C0266"/>
        <s v="C0267"/>
        <s v="C0268"/>
        <s v="C0269"/>
        <s v="C0270"/>
        <s v="C0271"/>
        <s v="C0272"/>
        <s v="C0273"/>
        <s v="C0274"/>
        <s v="C0275"/>
        <s v="C0276"/>
        <s v="C0277"/>
        <s v="C0278"/>
        <s v="C0279"/>
        <s v="C0280"/>
        <s v="C0281"/>
        <s v="C0282"/>
        <s v="C0283"/>
        <s v="C0284"/>
        <s v="C0285"/>
        <s v="C0286"/>
        <s v="C0287"/>
        <s v="C0288"/>
        <s v="C0289"/>
        <s v="C0290"/>
        <s v="C0291"/>
        <s v="C0292"/>
        <s v="C0293"/>
        <s v="C0294"/>
        <s v="C0295"/>
        <s v="C0296"/>
        <s v="C0297"/>
        <s v="C0298"/>
        <s v="C0299"/>
        <s v="C0300"/>
      </sharedItems>
    </cacheField>
    <cacheField name="Product ID" numFmtId="0">
      <sharedItems count="100">
        <s v="P1001"/>
        <s v="P1002"/>
        <s v="P1003"/>
        <s v="P1004"/>
        <s v="P1005"/>
        <s v="P1006"/>
        <s v="P1007"/>
        <s v="P1008"/>
        <s v="P1009"/>
        <s v="P1010"/>
        <s v="P1011"/>
        <s v="P1012"/>
        <s v="P1013"/>
        <s v="P1014"/>
        <s v="P1015"/>
        <s v="P1016"/>
        <s v="P1017"/>
        <s v="P1018"/>
        <s v="P1019"/>
        <s v="P1020"/>
        <s v="P1021"/>
        <s v="P1022"/>
        <s v="P1023"/>
        <s v="P1024"/>
        <s v="P1025"/>
        <s v="P1026"/>
        <s v="P1027"/>
        <s v="P1028"/>
        <s v="P1029"/>
        <s v="P1030"/>
        <s v="P1031"/>
        <s v="P1032"/>
        <s v="P1033"/>
        <s v="P1034"/>
        <s v="P1035"/>
        <s v="P1036"/>
        <s v="P1037"/>
        <s v="P1038"/>
        <s v="P1039"/>
        <s v="P1040"/>
        <s v="P1041"/>
        <s v="P1042"/>
        <s v="P1043"/>
        <s v="P1044"/>
        <s v="P1045"/>
        <s v="P1046"/>
        <s v="P1047"/>
        <s v="P1048"/>
        <s v="P1049"/>
        <s v="P1050"/>
        <s v="P1051"/>
        <s v="P1052"/>
        <s v="P1053"/>
        <s v="P1054"/>
        <s v="P1055"/>
        <s v="P1056"/>
        <s v="P1057"/>
        <s v="P1058"/>
        <s v="P1059"/>
        <s v="P1060"/>
        <s v="P1061"/>
        <s v="P1062"/>
        <s v="P1063"/>
        <s v="P1064"/>
        <s v="P1065"/>
        <s v="P1066"/>
        <s v="P1067"/>
        <s v="P1068"/>
        <s v="P1069"/>
        <s v="P1070"/>
        <s v="P1071"/>
        <s v="P1072"/>
        <s v="P1073"/>
        <s v="P1074"/>
        <s v="P1075"/>
        <s v="P1076"/>
        <s v="P1077"/>
        <s v="P1078"/>
        <s v="P1079"/>
        <s v="P1080"/>
        <s v="P1081"/>
        <s v="P1082"/>
        <s v="P1083"/>
        <s v="P1084"/>
        <s v="P1085"/>
        <s v="P1086"/>
        <s v="P1087"/>
        <s v="P1088"/>
        <s v="P1089"/>
        <s v="P1090"/>
        <s v="P1091"/>
        <s v="P1092"/>
        <s v="P1093"/>
        <s v="P1094"/>
        <s v="P1095"/>
        <s v="P1096"/>
        <s v="P1097"/>
        <s v="P1098"/>
        <s v="P1099"/>
        <s v="P1100"/>
      </sharedItems>
    </cacheField>
    <cacheField name="Product Name" numFmtId="0">
      <sharedItems count="100">
        <s v="Air Fryer"/>
        <s v="Art Supply Kit"/>
        <s v="Backpack"/>
        <s v="Badminton Racket"/>
        <s v="Ball Pen Set"/>
        <s v="Bath Gift Set"/>
        <s v="Bath Towel Set"/>
        <s v="Bedsheet Set"/>
        <s v="Belt"/>
        <s v="Bluetooth Speaker"/>
        <s v="Body Lotion"/>
        <s v="Book Stand"/>
        <s v="Calculator"/>
        <s v="Camping Torch"/>
        <s v="Casual T-Shirt"/>
        <s v="Charging Adapter"/>
        <s v="Coffee Maker"/>
        <s v="Comb Set"/>
        <s v="Cotton Shirt"/>
        <s v="Cricket Bat"/>
        <s v="Curtain Set"/>
        <s v="Cycling Bottle"/>
        <s v="Denim Jeans"/>
        <s v="Desk Organizer"/>
        <s v="Dinner Set"/>
        <s v="Doormat"/>
        <s v="Electric Kettle"/>
        <s v="Exercise Ball"/>
        <s v="Face Cleanser"/>
        <s v="Face Mask Pack"/>
        <s v="Face Moisturizer"/>
        <s v="File Folder Set"/>
        <s v="Food Storage Jars"/>
        <s v="Football"/>
        <s v="Formal Shoes"/>
        <s v="Geometry Box"/>
        <s v="Gym Gloves"/>
        <s v="Hair Dryer"/>
        <s v="Hair Serum"/>
        <s v="Hand Blender"/>
        <s v="Handbag"/>
        <s v="HDMI Cable"/>
        <s v="Headphones"/>
        <s v="Hiking Backpack"/>
        <s v="Hoodie"/>
        <s v="Induction Cooktop"/>
        <s v="Keyboard"/>
        <s v="Kitchen Rack"/>
        <s v="Knee Support Pair"/>
        <s v="Kurta"/>
        <s v="Laptop Sleeve"/>
        <s v="Laundry Basket"/>
        <s v="Lip Balm Set"/>
        <s v="Lunch Box"/>
        <s v="Makeup Brush Set"/>
        <s v="Marker Set"/>
        <s v="Memory Card"/>
        <s v="Mixer Grinder"/>
        <s v="Nail Care Kit"/>
        <s v="Nonstick Pan"/>
        <s v="Notebook Pack"/>
        <s v="Perfume"/>
        <s v="Phone Stand"/>
        <s v="Pillow Pair"/>
        <s v="Planner"/>
        <s v="Portable SSD"/>
        <s v="Power Bank"/>
        <s v="Reading Light"/>
        <s v="Resistance Bands"/>
        <s v="Rice Cooker"/>
        <s v="Room Heater"/>
        <s v="Running Shoes"/>
        <s v="Sandwich Maker"/>
        <s v="Scarf"/>
        <s v="Shampoo"/>
        <s v="Sketchbook"/>
        <s v="Skipping Rope"/>
        <s v="Smart Watch"/>
        <s v="Sneakers"/>
        <s v="Sports Cap"/>
        <s v="Sports Duffel Bag"/>
        <s v="Steam Iron"/>
        <s v="Sticky Notes Pack"/>
        <s v="Storage Container Set"/>
        <s v="Sunglasses"/>
        <s v="Sunscreen Lotion"/>
        <s v="Table Fan"/>
        <s v="Table Lamp"/>
        <s v="Tennis Balls Pack"/>
        <s v="Toaster"/>
        <s v="USB-C Cable"/>
        <s v="Vacuum Cleaner"/>
        <s v="Wall Clock"/>
        <s v="Wallet"/>
        <s v="Water Bottle"/>
        <s v="Webcam"/>
        <s v="Whiteboard"/>
        <s v="Wireless Earbuds"/>
        <s v="Wireless Mouse"/>
        <s v="Yoga Mat"/>
      </sharedItems>
    </cacheField>
    <cacheField name="Category" numFmtId="0">
      <sharedItems count="7">
        <s v="Appliances"/>
        <s v="Beauty"/>
        <s v="Books &amp; Stationery"/>
        <s v="Electronics"/>
        <s v="Fashion"/>
        <s v="Home &amp; Kitchen"/>
        <s v="Sports &amp; Outdoors"/>
      </sharedItems>
    </cacheField>
    <cacheField name="Quantity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Selling Price" numFmtId="0">
      <sharedItems containsSemiMixedTypes="0" containsString="0" containsNumber="1" containsInteger="1" minValue="149" maxValue="3999" count="25">
        <n v="149"/>
        <n v="199"/>
        <n v="249"/>
        <n v="299"/>
        <n v="349"/>
        <n v="399"/>
        <n v="449"/>
        <n v="499"/>
        <n v="599"/>
        <n v="699"/>
        <n v="799"/>
        <n v="899"/>
        <n v="999"/>
        <n v="1099"/>
        <n v="1199"/>
        <n v="1299"/>
        <n v="1399"/>
        <n v="1499"/>
        <n v="1599"/>
        <n v="1799"/>
        <n v="1999"/>
        <n v="2299"/>
        <n v="2499"/>
        <n v="3499"/>
        <n v="3999"/>
      </sharedItems>
    </cacheField>
    <cacheField name="Unit Cost" numFmtId="0">
      <sharedItems containsSemiMixedTypes="0" containsString="0" containsNumber="1" containsInteger="1" minValue="45" maxValue="2800" count="50">
        <n v="45"/>
        <n v="65"/>
        <n v="70"/>
        <n v="80"/>
        <n v="90"/>
        <n v="100"/>
        <n v="110"/>
        <n v="120"/>
        <n v="130"/>
        <n v="150"/>
        <n v="160"/>
        <n v="170"/>
        <n v="180"/>
        <n v="190"/>
        <n v="200"/>
        <n v="220"/>
        <n v="250"/>
        <n v="260"/>
        <n v="300"/>
        <n v="320"/>
        <n v="350"/>
        <n v="360"/>
        <n v="400"/>
        <n v="420"/>
        <n v="450"/>
        <n v="480"/>
        <n v="499"/>
        <n v="500"/>
        <n v="520"/>
        <n v="550"/>
        <n v="600"/>
        <n v="650"/>
        <n v="700"/>
        <n v="720"/>
        <n v="750"/>
        <n v="800"/>
        <n v="850"/>
        <n v="900"/>
        <n v="950"/>
        <n v="1050"/>
        <n v="1100"/>
        <n v="1200"/>
        <n v="1250"/>
        <n v="1300"/>
        <n v="1450"/>
        <n v="1550"/>
        <n v="1600"/>
        <n v="2400"/>
        <n v="2700"/>
        <n v="2800"/>
      </sharedItems>
    </cacheField>
    <cacheField name="Discount Rate" numFmtId="0">
      <sharedItems containsSemiMixedTypes="0" containsString="0" containsNumber="1" minValue="0" maxValue="0.25" count="6">
        <n v="0"/>
        <n v="0.05"/>
        <n v="0.1"/>
        <n v="0.15"/>
        <n v="0.2"/>
        <n v="0.25"/>
      </sharedItems>
    </cacheField>
    <cacheField name="Gross Sales" numFmtId="0">
      <sharedItems containsSemiMixedTypes="0" containsString="0" containsNumber="1" containsInteger="1" minValue="149" maxValue="15996" count="115">
        <n v="149"/>
        <n v="199"/>
        <n v="249"/>
        <n v="298"/>
        <n v="299"/>
        <n v="349"/>
        <n v="398"/>
        <n v="399"/>
        <n v="447"/>
        <n v="449"/>
        <n v="498"/>
        <n v="499"/>
        <n v="597"/>
        <n v="598"/>
        <n v="599"/>
        <n v="698"/>
        <n v="699"/>
        <n v="747"/>
        <n v="796"/>
        <n v="798"/>
        <n v="799"/>
        <n v="897"/>
        <n v="898"/>
        <n v="899"/>
        <n v="995"/>
        <n v="996"/>
        <n v="998"/>
        <n v="999"/>
        <n v="1047"/>
        <n v="1099"/>
        <n v="1196"/>
        <n v="1197"/>
        <n v="1198"/>
        <n v="1199"/>
        <n v="1245"/>
        <n v="1299"/>
        <n v="1347"/>
        <n v="1396"/>
        <n v="1398"/>
        <n v="1399"/>
        <n v="1495"/>
        <n v="1497"/>
        <n v="1499"/>
        <n v="1596"/>
        <n v="1598"/>
        <n v="1599"/>
        <n v="1745"/>
        <n v="1796"/>
        <n v="1797"/>
        <n v="1798"/>
        <n v="1799"/>
        <n v="1995"/>
        <n v="1996"/>
        <n v="1998"/>
        <n v="1999"/>
        <n v="2097"/>
        <n v="2198"/>
        <n v="2245"/>
        <n v="2299"/>
        <n v="2396"/>
        <n v="2397"/>
        <n v="2398"/>
        <n v="2495"/>
        <n v="2499"/>
        <n v="2598"/>
        <n v="2697"/>
        <n v="2796"/>
        <n v="2798"/>
        <n v="2995"/>
        <n v="2997"/>
        <n v="2998"/>
        <n v="3196"/>
        <n v="3198"/>
        <n v="3297"/>
        <n v="3495"/>
        <n v="3499"/>
        <n v="3596"/>
        <n v="3597"/>
        <n v="3598"/>
        <n v="3897"/>
        <n v="3995"/>
        <n v="3996"/>
        <n v="3998"/>
        <n v="3999"/>
        <n v="4197"/>
        <n v="4396"/>
        <n v="4495"/>
        <n v="4497"/>
        <n v="4598"/>
        <n v="4797"/>
        <n v="4995"/>
        <n v="4998"/>
        <n v="5196"/>
        <n v="5397"/>
        <n v="5495"/>
        <n v="5596"/>
        <n v="5996"/>
        <n v="5997"/>
        <n v="6396"/>
        <n v="6495"/>
        <n v="6897"/>
        <n v="6998"/>
        <n v="7497"/>
        <n v="7995"/>
        <n v="7996"/>
        <n v="7998"/>
        <n v="8995"/>
        <n v="9196"/>
        <n v="9995"/>
        <n v="9996"/>
        <n v="10497"/>
        <n v="11997"/>
        <n v="12495"/>
        <n v="13996"/>
        <n v="15996"/>
      </sharedItems>
    </cacheField>
    <cacheField name="Discount Amount" numFmtId="0">
      <sharedItems containsSemiMixedTypes="0" containsString="0" containsNumber="1" minValue="0" maxValue="3499" count="254">
        <n v="0"/>
        <n v="7.45"/>
        <n v="9.95"/>
        <n v="12.45"/>
        <n v="14.9"/>
        <n v="14.95"/>
        <n v="17.45"/>
        <n v="19.9"/>
        <n v="19.95"/>
        <n v="22.35"/>
        <n v="22.45"/>
        <n v="24.9"/>
        <n v="24.95"/>
        <n v="29.8"/>
        <n v="29.85"/>
        <n v="29.9"/>
        <n v="29.95"/>
        <n v="34.9"/>
        <n v="34.95"/>
        <n v="37.35"/>
        <n v="39.8"/>
        <n v="39.9"/>
        <n v="39.95"/>
        <n v="44.7"/>
        <n v="44.85"/>
        <n v="44.9"/>
        <n v="44.95"/>
        <n v="49.75"/>
        <n v="49.8"/>
        <n v="49.9"/>
        <n v="49.95"/>
        <n v="52.35"/>
        <n v="59.7"/>
        <n v="59.8"/>
        <n v="59.85"/>
        <n v="59.9"/>
        <n v="59.95"/>
        <n v="62.25"/>
        <n v="64.95"/>
        <n v="67.05"/>
        <n v="67.35"/>
        <n v="69.8"/>
        <n v="69.9"/>
        <n v="69.95"/>
        <n v="74.7"/>
        <n v="74.75"/>
        <n v="74.85"/>
        <n v="74.95"/>
        <n v="79.6"/>
        <n v="79.8"/>
        <n v="79.9"/>
        <n v="79.95"/>
        <n v="87.25"/>
        <n v="89.7"/>
        <n v="89.8"/>
        <n v="89.85"/>
        <n v="89.9"/>
        <n v="89.95"/>
        <n v="99.5"/>
        <n v="99.6"/>
        <n v="99.75"/>
        <n v="99.8"/>
        <n v="99.9"/>
        <n v="99.95"/>
        <n v="104.7"/>
        <n v="104.85"/>
        <n v="109.9"/>
        <n v="112.05"/>
        <n v="112.25"/>
        <n v="114.95"/>
        <n v="119.6"/>
        <n v="119.7"/>
        <n v="119.8"/>
        <n v="119.85"/>
        <n v="119.9"/>
        <n v="124.5"/>
        <n v="124.75"/>
        <n v="124.95"/>
        <n v="129.9"/>
        <n v="134.55"/>
        <n v="134.7"/>
        <n v="134.85"/>
        <n v="139.6"/>
        <n v="139.8"/>
        <n v="139.9"/>
        <n v="149.25"/>
        <n v="149.4"/>
        <n v="149.5"/>
        <n v="149.7"/>
        <n v="149.75"/>
        <n v="149.85"/>
        <n v="149.9"/>
        <n v="157.05"/>
        <n v="159.6"/>
        <n v="159.8"/>
        <n v="159.9"/>
        <n v="164.85"/>
        <n v="174.75"/>
        <n v="174.95"/>
        <n v="179.4"/>
        <n v="179.55"/>
        <n v="179.6"/>
        <n v="179.7"/>
        <n v="179.8"/>
        <n v="179.85"/>
        <n v="179.9"/>
        <n v="194.85"/>
        <n v="199"/>
        <n v="199.2"/>
        <n v="199.5"/>
        <n v="199.6"/>
        <n v="199.75"/>
        <n v="199.8"/>
        <n v="199.9"/>
        <n v="199.95"/>
        <n v="202.05"/>
        <n v="209.4"/>
        <n v="209.7"/>
        <n v="209.85"/>
        <n v="219.8"/>
        <n v="224.25"/>
        <n v="224.5"/>
        <n v="224.55"/>
        <n v="224.75"/>
        <n v="224.85"/>
        <n v="229.9"/>
        <n v="239.2"/>
        <n v="239.4"/>
        <n v="239.7"/>
        <n v="239.8"/>
        <n v="239.85"/>
        <n v="249.5"/>
        <n v="249.75"/>
        <n v="249.9"/>
        <n v="259.8"/>
        <n v="269.4"/>
        <n v="269.55"/>
        <n v="269.7"/>
        <n v="269.85"/>
        <n v="279.6"/>
        <n v="279.8"/>
        <n v="299"/>
        <n v="299.4"/>
        <n v="299.7"/>
        <n v="299.75"/>
        <n v="299.8"/>
        <n v="299.85"/>
        <n v="314.55"/>
        <n v="319.2"/>
        <n v="319.6"/>
        <n v="319.8"/>
        <n v="324.75"/>
        <n v="329.7"/>
        <n v="344.85"/>
        <n v="349.5"/>
        <n v="349.75"/>
        <n v="349.9"/>
        <n v="359.4"/>
        <n v="359.55"/>
        <n v="359.6"/>
        <n v="359.7"/>
        <n v="374.25"/>
        <n v="374.75"/>
        <n v="374.85"/>
        <n v="389.7"/>
        <n v="399"/>
        <n v="399.2"/>
        <n v="399.5"/>
        <n v="399.6"/>
        <n v="399.8"/>
        <n v="399.9"/>
        <n v="439.6"/>
        <n v="449"/>
        <n v="449.25"/>
        <n v="449.5"/>
        <n v="449.55"/>
        <n v="449.7"/>
        <n v="449.75"/>
        <n v="459.8"/>
        <n v="479.2"/>
        <n v="479.4"/>
        <n v="479.6"/>
        <n v="479.7"/>
        <n v="498.75"/>
        <n v="499.5"/>
        <n v="499.75"/>
        <n v="499.8"/>
        <n v="519.6"/>
        <n v="524.25"/>
        <n v="524.85"/>
        <n v="539.4"/>
        <n v="539.55"/>
        <n v="539.7"/>
        <n v="559.2"/>
        <n v="584.55"/>
        <n v="599"/>
        <n v="599.25"/>
        <n v="599.4"/>
        <n v="599.6"/>
        <n v="599.7"/>
        <n v="599.85"/>
        <n v="624.75"/>
        <n v="629.55"/>
        <n v="649.5"/>
        <n v="674.55"/>
        <n v="699"/>
        <n v="699.8"/>
        <n v="719.4"/>
        <n v="719.6"/>
        <n v="749.25"/>
        <n v="749.5"/>
        <n v="749.7"/>
        <n v="779.4"/>
        <n v="799"/>
        <n v="799.2"/>
        <n v="799.5"/>
        <n v="799.6"/>
        <n v="799.8"/>
        <n v="809.55"/>
        <n v="824.25"/>
        <n v="874.75"/>
        <n v="899"/>
        <n v="899.4"/>
        <n v="899.55"/>
        <n v="919.6"/>
        <n v="974.25"/>
        <n v="999.5"/>
        <n v="999.6"/>
        <n v="999.75"/>
        <n v="1034.55"/>
        <n v="1039.2"/>
        <n v="1049.7"/>
        <n v="1124.25"/>
        <n v="1149.5"/>
        <n v="1199.25"/>
        <n v="1199.4"/>
        <n v="1199.7"/>
        <n v="1248.75"/>
        <n v="1249.5"/>
        <n v="1299"/>
        <n v="1399"/>
        <n v="1499.25"/>
        <n v="1499.4"/>
        <n v="1574.55"/>
        <n v="1599.2"/>
        <n v="1599.6"/>
        <n v="1623.75"/>
        <n v="1799.55"/>
        <n v="1874.25"/>
        <n v="2099.4"/>
        <n v="2248.75"/>
        <n v="2498.75"/>
        <n v="2999.25"/>
        <n v="3499"/>
      </sharedItems>
    </cacheField>
    <cacheField name="Net Revenue" numFmtId="0">
      <sharedItems containsSemiMixedTypes="0" containsString="0" containsNumber="1" minValue="119.2" maxValue="15196.2" count="449">
        <n v="119.2"/>
        <n v="126.65"/>
        <n v="134.1"/>
        <n v="141.55"/>
        <n v="149"/>
        <n v="149.25"/>
        <n v="159.2"/>
        <n v="169.15"/>
        <n v="179.1"/>
        <n v="186.75"/>
        <n v="189.05"/>
        <n v="199"/>
        <n v="199.2"/>
        <n v="211.65"/>
        <n v="224.1"/>
        <n v="224.25"/>
        <n v="236.55"/>
        <n v="239.2"/>
        <n v="249"/>
        <n v="253.3"/>
        <n v="254.15"/>
        <n v="261.75"/>
        <n v="268.2"/>
        <n v="269.1"/>
        <n v="279.2"/>
        <n v="284.05"/>
        <n v="296.65"/>
        <n v="298"/>
        <n v="298.5"/>
        <n v="299"/>
        <n v="299.25"/>
        <n v="314.1"/>
        <n v="318.4"/>
        <n v="319.2"/>
        <n v="331.55"/>
        <n v="336.75"/>
        <n v="338.3"/>
        <n v="339.15"/>
        <n v="349"/>
        <n v="358.2"/>
        <n v="359.1"/>
        <n v="359.2"/>
        <n v="373.5"/>
        <n v="374.25"/>
        <n v="378.1"/>
        <n v="379.05"/>
        <n v="379.95"/>
        <n v="381.65"/>
        <n v="398"/>
        <n v="398.4"/>
        <n v="399"/>
        <n v="399.2"/>
        <n v="402.3"/>
        <n v="404.1"/>
        <n v="423.3"/>
        <n v="424.15"/>
        <n v="426.55"/>
        <n v="447.75"/>
        <n v="448.2"/>
        <n v="448.5"/>
        <n v="449"/>
        <n v="449.1"/>
        <n v="449.25"/>
        <n v="473.1"/>
        <n v="474.05"/>
        <n v="478.4"/>
        <n v="479.2"/>
        <n v="498"/>
        <n v="499"/>
        <n v="508.3"/>
        <n v="509.15"/>
        <n v="524.25"/>
        <n v="538.2"/>
        <n v="539.1"/>
        <n v="558.4"/>
        <n v="559.2"/>
        <n v="567.15"/>
        <n v="568.1"/>
        <n v="569.05"/>
        <n v="593.3"/>
        <n v="594.15"/>
        <n v="597"/>
        <n v="597.6"/>
        <n v="598"/>
        <n v="599"/>
        <n v="599.25"/>
        <n v="628.2"/>
        <n v="629.1"/>
        <n v="634.95"/>
        <n v="638.4"/>
        <n v="639.2"/>
        <n v="663.1"/>
        <n v="664.05"/>
        <n v="672.3"/>
        <n v="673.5"/>
        <n v="674.25"/>
        <n v="678.3"/>
        <n v="679.15"/>
        <n v="698"/>
        <n v="699"/>
        <n v="716.4"/>
        <n v="717.6"/>
        <n v="718.2"/>
        <n v="718.4"/>
        <n v="719.1"/>
        <n v="719.2"/>
        <n v="747"/>
        <n v="748.5"/>
        <n v="749.25"/>
        <n v="756.2"/>
        <n v="758.1"/>
        <n v="759.05"/>
        <n v="762.45"/>
        <n v="763.3"/>
        <n v="764.15"/>
        <n v="796"/>
        <n v="796.8"/>
        <n v="798"/>
        <n v="798.4"/>
        <n v="799"/>
        <n v="799.2"/>
        <n v="807.3"/>
        <n v="808.2"/>
        <n v="809.1"/>
        <n v="837.6"/>
        <n v="848.3"/>
        <n v="849.15"/>
        <n v="852.15"/>
        <n v="853.1"/>
        <n v="854.05"/>
        <n v="879.2"/>
        <n v="889.95"/>
        <n v="896.4"/>
        <n v="897"/>
        <n v="898"/>
        <n v="898.2"/>
        <n v="899"/>
        <n v="899.1"/>
        <n v="899.25"/>
        <n v="934.15"/>
        <n v="942.3"/>
        <n v="946.2"/>
        <n v="948.1"/>
        <n v="949.05"/>
        <n v="956.8"/>
        <n v="957.6"/>
        <n v="974.25"/>
        <n v="989.1"/>
        <n v="994.65"/>
        <n v="995"/>
        <n v="998"/>
        <n v="999"/>
        <n v="1017.45"/>
        <n v="1018.3"/>
        <n v="1019.15"/>
        <n v="1039.2"/>
        <n v="1047"/>
        <n v="1048.5"/>
        <n v="1049.25"/>
        <n v="1076.4"/>
        <n v="1077.3"/>
        <n v="1078.2"/>
        <n v="1079.1"/>
        <n v="1099"/>
        <n v="1104.15"/>
        <n v="1118.4"/>
        <n v="1119.2"/>
        <n v="1122.75"/>
        <n v="1124.25"/>
        <n v="1136.2"/>
        <n v="1137.15"/>
        <n v="1138.1"/>
        <n v="1139.05"/>
        <n v="1144.95"/>
        <n v="1169.1"/>
        <n v="1188.3"/>
        <n v="1196"/>
        <n v="1197"/>
        <n v="1197.6"/>
        <n v="1198"/>
        <n v="1198.5"/>
        <n v="1199"/>
        <n v="1199.2"/>
        <n v="1234.05"/>
        <n v="1245"/>
        <n v="1256.4"/>
        <n v="1258.2"/>
        <n v="1259.1"/>
        <n v="1270.75"/>
        <n v="1272.45"/>
        <n v="1274.15"/>
        <n v="1276.8"/>
        <n v="1278.4"/>
        <n v="1279.2"/>
        <n v="1279.65"/>
        <n v="1299"/>
        <n v="1328.1"/>
        <n v="1329.05"/>
        <n v="1345.5"/>
        <n v="1347"/>
        <n v="1347.3"/>
        <n v="1348.5"/>
        <n v="1349.1"/>
        <n v="1349.25"/>
        <n v="1356.6"/>
        <n v="1358.3"/>
        <n v="1359.15"/>
        <n v="1396"/>
        <n v="1398"/>
        <n v="1424.05"/>
        <n v="1436.4"/>
        <n v="1437.6"/>
        <n v="1438.2"/>
        <n v="1438.4"/>
        <n v="1439.1"/>
        <n v="1496.25"/>
        <n v="1498.5"/>
        <n v="1499"/>
        <n v="1499.25"/>
        <n v="1516.2"/>
        <n v="1518.1"/>
        <n v="1519.05"/>
        <n v="1526.6"/>
        <n v="1527.45"/>
        <n v="1528.3"/>
        <n v="1529.15"/>
        <n v="1572.75"/>
        <n v="1596.8"/>
        <n v="1598"/>
        <n v="1598.4"/>
        <n v="1599"/>
        <n v="1599.2"/>
        <n v="1617.3"/>
        <n v="1618.2"/>
        <n v="1619.1"/>
        <n v="1657.75"/>
        <n v="1696.6"/>
        <n v="1698.3"/>
        <n v="1699.15"/>
        <n v="1706.2"/>
        <n v="1707.15"/>
        <n v="1708.1"/>
        <n v="1709.05"/>
        <n v="1758.4"/>
        <n v="1782.45"/>
        <n v="1795.5"/>
        <n v="1796"/>
        <n v="1796.4"/>
        <n v="1797"/>
        <n v="1797.75"/>
        <n v="1798"/>
        <n v="1798.2"/>
        <n v="1799"/>
        <n v="1799.1"/>
        <n v="1839.2"/>
        <n v="1868.3"/>
        <n v="1874.25"/>
        <n v="1887.3"/>
        <n v="1896.2"/>
        <n v="1898.1"/>
        <n v="1899.05"/>
        <n v="1916.8"/>
        <n v="1917.6"/>
        <n v="1918.4"/>
        <n v="1948.5"/>
        <n v="1954.15"/>
        <n v="1978.2"/>
        <n v="1992.15"/>
        <n v="1998"/>
        <n v="1999"/>
        <n v="1999.2"/>
        <n v="2020.5"/>
        <n v="2036.6"/>
        <n v="2037.45"/>
        <n v="2038.3"/>
        <n v="2069.1"/>
        <n v="2078.4"/>
        <n v="2097"/>
        <n v="2124.15"/>
        <n v="2132.75"/>
        <n v="2157.3"/>
        <n v="2157.6"/>
        <n v="2158.2"/>
        <n v="2184.05"/>
        <n v="2208.3"/>
        <n v="2236.8"/>
        <n v="2245.5"/>
        <n v="2247.75"/>
        <n v="2248.5"/>
        <n v="2249.1"/>
        <n v="2277.15"/>
        <n v="2278.1"/>
        <n v="2299"/>
        <n v="2338.2"/>
        <n v="2370.25"/>
        <n v="2374.05"/>
        <n v="2396"/>
        <n v="2397"/>
        <n v="2397.6"/>
        <n v="2398"/>
        <n v="2398.4"/>
        <n v="2398.5"/>
        <n v="2468.1"/>
        <n v="2495"/>
        <n v="2499"/>
        <n v="2516.4"/>
        <n v="2518.2"/>
        <n v="2545.75"/>
        <n v="2547.45"/>
        <n v="2548.3"/>
        <n v="2562.15"/>
        <n v="2598"/>
        <n v="2624.25"/>
        <n v="2656.2"/>
        <n v="2658.1"/>
        <n v="2697"/>
        <n v="2697.3"/>
        <n v="2698.2"/>
        <n v="2716.6"/>
        <n v="2718.3"/>
        <n v="2796"/>
        <n v="2799.2"/>
        <n v="2845.25"/>
        <n v="2847.15"/>
        <n v="2848.1"/>
        <n v="2876.4"/>
        <n v="2877.6"/>
        <n v="2878.2"/>
        <n v="2878.4"/>
        <n v="2922.75"/>
        <n v="2970.75"/>
        <n v="2974.15"/>
        <n v="2998"/>
        <n v="2998.5"/>
        <n v="2999.25"/>
        <n v="3036.2"/>
        <n v="3056.6"/>
        <n v="3057.45"/>
        <n v="3058.3"/>
        <n v="3117.6"/>
        <n v="3132.15"/>
        <n v="3145.5"/>
        <n v="3149.1"/>
        <n v="3196"/>
        <n v="3196.8"/>
        <n v="3199.2"/>
        <n v="3237.3"/>
        <n v="3312.45"/>
        <n v="3324.05"/>
        <n v="3372.75"/>
        <n v="3395.75"/>
        <n v="3396.6"/>
        <n v="3398.3"/>
        <n v="3399.15"/>
        <n v="3416.2"/>
        <n v="3417.15"/>
        <n v="3448.5"/>
        <n v="3495"/>
        <n v="3499"/>
        <n v="3507.3"/>
        <n v="3567.45"/>
        <n v="3595.5"/>
        <n v="3596"/>
        <n v="3596.4"/>
        <n v="3597"/>
        <n v="3597.6"/>
        <n v="3597.75"/>
        <n v="3598"/>
        <n v="3598.2"/>
        <n v="3599.1"/>
        <n v="3678.4"/>
        <n v="3702.15"/>
        <n v="3746.25"/>
        <n v="3748.5"/>
        <n v="3795.25"/>
        <n v="3796.2"/>
        <n v="3798.1"/>
        <n v="3799.05"/>
        <n v="3822.45"/>
        <n v="3897"/>
        <n v="3987.15"/>
        <n v="3996"/>
        <n v="3998"/>
        <n v="3998.4"/>
        <n v="3999"/>
        <n v="4047.3"/>
        <n v="4156.8"/>
        <n v="4176.2"/>
        <n v="4197"/>
        <n v="4248.3"/>
        <n v="4272.15"/>
        <n v="4317.3"/>
        <n v="4368.1"/>
        <n v="4497"/>
        <n v="4497.75"/>
        <n v="4498.2"/>
        <n v="4587.45"/>
        <n v="4598"/>
        <n v="4670.75"/>
        <n v="4748.1"/>
        <n v="4797.6"/>
        <n v="4857.3"/>
        <n v="4871.25"/>
        <n v="4936.2"/>
        <n v="4998"/>
        <n v="5096.6"/>
        <n v="5097.45"/>
        <n v="5127.15"/>
        <n v="5196"/>
        <n v="5396.4"/>
        <n v="5397"/>
        <n v="5397.3"/>
        <n v="5622.75"/>
        <n v="5696.2"/>
        <n v="5697.15"/>
        <n v="5845.5"/>
        <n v="5862.45"/>
        <n v="5948.3"/>
        <n v="5996"/>
        <n v="5997.6"/>
        <n v="6298.2"/>
        <n v="6396"/>
        <n v="6396.8"/>
        <n v="6398.4"/>
        <n v="6552.15"/>
        <n v="6746.25"/>
        <n v="6747.3"/>
        <n v="6796.6"/>
        <n v="6798.3"/>
        <n v="7196.4"/>
        <n v="7198.2"/>
        <n v="7496.25"/>
        <n v="7497"/>
        <n v="7598.1"/>
        <n v="7995"/>
        <n v="8276.4"/>
        <n v="8397.6"/>
        <n v="8496.6"/>
        <n v="8736.2"/>
        <n v="8922.45"/>
        <n v="8995.5"/>
        <n v="8997.75"/>
        <n v="9496.2"/>
        <n v="10197.45"/>
        <n v="10497"/>
        <n v="10797.3"/>
        <n v="11870.25"/>
        <n v="13296.2"/>
        <n v="15196.2"/>
      </sharedItems>
    </cacheField>
    <cacheField name="Total Cost" numFmtId="0">
      <sharedItems containsSemiMixedTypes="0" containsString="0" containsNumber="1" containsInteger="1" minValue="45" maxValue="11200" count="130">
        <n v="45"/>
        <n v="65"/>
        <n v="70"/>
        <n v="80"/>
        <n v="90"/>
        <n v="100"/>
        <n v="110"/>
        <n v="120"/>
        <n v="130"/>
        <n v="135"/>
        <n v="140"/>
        <n v="150"/>
        <n v="160"/>
        <n v="170"/>
        <n v="180"/>
        <n v="190"/>
        <n v="195"/>
        <n v="200"/>
        <n v="220"/>
        <n v="240"/>
        <n v="250"/>
        <n v="260"/>
        <n v="270"/>
        <n v="280"/>
        <n v="300"/>
        <n v="320"/>
        <n v="325"/>
        <n v="330"/>
        <n v="340"/>
        <n v="350"/>
        <n v="360"/>
        <n v="380"/>
        <n v="390"/>
        <n v="400"/>
        <n v="420"/>
        <n v="440"/>
        <n v="450"/>
        <n v="480"/>
        <n v="499"/>
        <n v="500"/>
        <n v="510"/>
        <n v="520"/>
        <n v="540"/>
        <n v="550"/>
        <n v="570"/>
        <n v="600"/>
        <n v="640"/>
        <n v="650"/>
        <n v="660"/>
        <n v="680"/>
        <n v="700"/>
        <n v="720"/>
        <n v="750"/>
        <n v="760"/>
        <n v="780"/>
        <n v="800"/>
        <n v="840"/>
        <n v="850"/>
        <n v="880"/>
        <n v="900"/>
        <n v="950"/>
        <n v="960"/>
        <n v="998"/>
        <n v="1000"/>
        <n v="1040"/>
        <n v="1050"/>
        <n v="1080"/>
        <n v="1100"/>
        <n v="1200"/>
        <n v="1250"/>
        <n v="1260"/>
        <n v="1300"/>
        <n v="1400"/>
        <n v="1440"/>
        <n v="1450"/>
        <n v="1500"/>
        <n v="1550"/>
        <n v="1560"/>
        <n v="1600"/>
        <n v="1650"/>
        <n v="1680"/>
        <n v="1700"/>
        <n v="1750"/>
        <n v="1800"/>
        <n v="1900"/>
        <n v="1920"/>
        <n v="1950"/>
        <n v="2000"/>
        <n v="2080"/>
        <n v="2100"/>
        <n v="2160"/>
        <n v="2200"/>
        <n v="2250"/>
        <n v="2400"/>
        <n v="2500"/>
        <n v="2550"/>
        <n v="2600"/>
        <n v="2700"/>
        <n v="2750"/>
        <n v="2800"/>
        <n v="2880"/>
        <n v="2900"/>
        <n v="3000"/>
        <n v="3100"/>
        <n v="3150"/>
        <n v="3200"/>
        <n v="3250"/>
        <n v="3300"/>
        <n v="3400"/>
        <n v="3600"/>
        <n v="3750"/>
        <n v="3900"/>
        <n v="4350"/>
        <n v="4400"/>
        <n v="4500"/>
        <n v="4800"/>
        <n v="5000"/>
        <n v="5200"/>
        <n v="5250"/>
        <n v="5400"/>
        <n v="5500"/>
        <n v="5600"/>
        <n v="6200"/>
        <n v="6400"/>
        <n v="7200"/>
        <n v="7250"/>
        <n v="8100"/>
        <n v="8400"/>
        <n v="9600"/>
        <n v="11200"/>
      </sharedItems>
    </cacheField>
    <cacheField name="Profit" numFmtId="0">
      <sharedItems containsSemiMixedTypes="0" containsString="0" containsNumber="1" minValue="74.2" maxValue="4620.25" count="676">
        <n v="74.2"/>
        <n v="81.65"/>
        <n v="84.25"/>
        <n v="89.1"/>
        <n v="89.2"/>
        <n v="94.2"/>
        <n v="96.55"/>
        <n v="96.75"/>
        <n v="104"/>
        <n v="104.15"/>
        <n v="109.1"/>
        <n v="109.2"/>
        <n v="114.1"/>
        <n v="114.25"/>
        <n v="119.05"/>
        <n v="119.2"/>
        <n v="121.65"/>
        <n v="124.05"/>
        <n v="124.25"/>
        <n v="129"/>
        <n v="129.2"/>
        <n v="129.25"/>
        <n v="131.65"/>
        <n v="131.75"/>
        <n v="134"/>
        <n v="134.1"/>
        <n v="134.15"/>
        <n v="136.75"/>
        <n v="139.2"/>
        <n v="144.1"/>
        <n v="144.15"/>
        <n v="146.55"/>
        <n v="149.1"/>
        <n v="149.2"/>
        <n v="149.25"/>
        <n v="154.15"/>
        <n v="156.55"/>
        <n v="156.75"/>
        <n v="158.5"/>
        <n v="159"/>
        <n v="159.1"/>
        <n v="159.15"/>
        <n v="159.2"/>
        <n v="163.3"/>
        <n v="164.05"/>
        <n v="164.1"/>
        <n v="166.65"/>
        <n v="169"/>
        <n v="169.1"/>
        <n v="169.15"/>
        <n v="169.2"/>
        <n v="174.05"/>
        <n v="174.25"/>
        <n v="175.25"/>
        <n v="176.65"/>
        <n v="178.2"/>
        <n v="178.4"/>
        <n v="179"/>
        <n v="179.1"/>
        <n v="179.2"/>
        <n v="179.25"/>
        <n v="181.55"/>
        <n v="181.65"/>
        <n v="184.05"/>
        <n v="184.1"/>
        <n v="188.4"/>
        <n v="189"/>
        <n v="189.1"/>
        <n v="189.15"/>
        <n v="189.25"/>
        <n v="193.5"/>
        <n v="194.1"/>
        <n v="194.15"/>
        <n v="198.3"/>
        <n v="199"/>
        <n v="199.05"/>
        <n v="199.1"/>
        <n v="199.25"/>
        <n v="201.65"/>
        <n v="204.1"/>
        <n v="204.15"/>
        <n v="208"/>
        <n v="208.3"/>
        <n v="208.5"/>
        <n v="209.05"/>
        <n v="209.1"/>
        <n v="209.15"/>
        <n v="209.2"/>
        <n v="211.55"/>
        <n v="214.1"/>
        <n v="218.2"/>
        <n v="218.4"/>
        <n v="219"/>
        <n v="219.05"/>
        <n v="219.2"/>
        <n v="224.1"/>
        <n v="224.25"/>
        <n v="229"/>
        <n v="229.05"/>
        <n v="229.1"/>
        <n v="229.2"/>
        <n v="229.25"/>
        <n v="238.1"/>
        <n v="238.4"/>
        <n v="239"/>
        <n v="239.1"/>
        <n v="239.2"/>
        <n v="239.25"/>
        <n v="243.3"/>
        <n v="244.15"/>
        <n v="244.95"/>
        <n v="246.55"/>
        <n v="248.1"/>
        <n v="248.5"/>
        <n v="249"/>
        <n v="249.1"/>
        <n v="249.15"/>
        <n v="249.25"/>
        <n v="252.75"/>
        <n v="254.05"/>
        <n v="254.25"/>
        <n v="258"/>
        <n v="258.4"/>
        <n v="259.15"/>
        <n v="259.2"/>
        <n v="264.05"/>
        <n v="267.3"/>
        <n v="268"/>
        <n v="268.2"/>
        <n v="268.3"/>
        <n v="269"/>
        <n v="269.05"/>
        <n v="274.05"/>
        <n v="274.15"/>
        <n v="274.25"/>
        <n v="278.4"/>
        <n v="279"/>
        <n v="279.1"/>
        <n v="288.2"/>
        <n v="288.3"/>
        <n v="289.1"/>
        <n v="289.2"/>
        <n v="293.1"/>
        <n v="293.3"/>
        <n v="294.15"/>
        <n v="298.2"/>
        <n v="298.4"/>
        <n v="299"/>
        <n v="299.1"/>
        <n v="299.15"/>
        <n v="299.2"/>
        <n v="299.25"/>
        <n v="308.3"/>
        <n v="308.5"/>
        <n v="309.05"/>
        <n v="310.1"/>
        <n v="313.5"/>
        <n v="314.05"/>
        <n v="318"/>
        <n v="318.2"/>
        <n v="318.3"/>
        <n v="318.4"/>
        <n v="319.05"/>
        <n v="319.15"/>
        <n v="324.25"/>
        <n v="327.6"/>
        <n v="328.1"/>
        <n v="329.1"/>
        <n v="329.15"/>
        <n v="329.2"/>
        <n v="329.25"/>
        <n v="338.2"/>
        <n v="338.3"/>
        <n v="338.4"/>
        <n v="339"/>
        <n v="344.15"/>
        <n v="348.1"/>
        <n v="348.5"/>
        <n v="349"/>
        <n v="349.15"/>
        <n v="350.5"/>
        <n v="353.3"/>
        <n v="354.15"/>
        <n v="355.05"/>
        <n v="358"/>
        <n v="358.2"/>
        <n v="358.3"/>
        <n v="358.4"/>
        <n v="359.1"/>
        <n v="363.3"/>
        <n v="364.05"/>
        <n v="364.95"/>
        <n v="368.1"/>
        <n v="369.1"/>
        <n v="369.15"/>
        <n v="372.15"/>
        <n v="374.15"/>
        <n v="378"/>
        <n v="378.2"/>
        <n v="378.3"/>
        <n v="379"/>
        <n v="379.1"/>
        <n v="379.15"/>
        <n v="379.2"/>
        <n v="384.15"/>
        <n v="387.6"/>
        <n v="388.2"/>
        <n v="389.1"/>
        <n v="389.2"/>
        <n v="398.2"/>
        <n v="399"/>
        <n v="399.05"/>
        <n v="399.1"/>
        <n v="399.2"/>
        <n v="399.25"/>
        <n v="400"/>
        <n v="402"/>
        <n v="402.45"/>
        <n v="403.1"/>
        <n v="403.3"/>
        <n v="404.15"/>
        <n v="408.3"/>
        <n v="409.05"/>
        <n v="417.6"/>
        <n v="418.1"/>
        <n v="418.2"/>
        <n v="418.3"/>
        <n v="419.1"/>
        <n v="419.15"/>
        <n v="423.1"/>
        <n v="424.15"/>
        <n v="424.25"/>
        <n v="428.2"/>
        <n v="429.1"/>
        <n v="432.3"/>
        <n v="434.05"/>
        <n v="436.4"/>
        <n v="436.8"/>
        <n v="438"/>
        <n v="438.1"/>
        <n v="438.4"/>
        <n v="439"/>
        <n v="439.1"/>
        <n v="439.95"/>
        <n v="440.4"/>
        <n v="447.3"/>
        <n v="447.6"/>
        <n v="448.2"/>
        <n v="448.3"/>
        <n v="448.5"/>
        <n v="449"/>
        <n v="449.05"/>
        <n v="449.1"/>
        <n v="449.15"/>
        <n v="449.2"/>
        <n v="453.1"/>
        <n v="457"/>
        <n v="458"/>
        <n v="458.1"/>
        <n v="458.2"/>
        <n v="459.05"/>
        <n v="459.15"/>
        <n v="462.45"/>
        <n v="462.75"/>
        <n v="469.05"/>
        <n v="469.1"/>
        <n v="471"/>
        <n v="474.15"/>
        <n v="476.2"/>
        <n v="477"/>
        <n v="477.3"/>
        <n v="477.6"/>
        <n v="478"/>
        <n v="478.2"/>
        <n v="479"/>
        <n v="479.1"/>
        <n v="479.15"/>
        <n v="484.05"/>
        <n v="489.05"/>
        <n v="489.1"/>
        <n v="493.1"/>
        <n v="498"/>
        <n v="498.2"/>
        <n v="498.3"/>
        <n v="498.4"/>
        <n v="498.5"/>
        <n v="499"/>
        <n v="499.05"/>
        <n v="499.1"/>
        <n v="499.15"/>
        <n v="499.2"/>
        <n v="507.3"/>
        <n v="507.45"/>
        <n v="507.6"/>
        <n v="508.1"/>
        <n v="508.5"/>
        <n v="516"/>
        <n v="516.8"/>
        <n v="517"/>
        <n v="518"/>
        <n v="518.3"/>
        <n v="518.4"/>
        <n v="519.1"/>
        <n v="522.75"/>
        <n v="524.05"/>
        <n v="524.15"/>
        <n v="528.1"/>
        <n v="534.05"/>
        <n v="536.4"/>
        <n v="537.3"/>
        <n v="538"/>
        <n v="538.1"/>
        <n v="538.5"/>
        <n v="539.05"/>
        <n v="539.1"/>
        <n v="544.65"/>
        <n v="547"/>
        <n v="548.1"/>
        <n v="548.5"/>
        <n v="549"/>
        <n v="549.1"/>
        <n v="552.15"/>
        <n v="552.3"/>
        <n v="558"/>
        <n v="558.2"/>
        <n v="558.4"/>
        <n v="567"/>
        <n v="567.3"/>
        <n v="567.45"/>
        <n v="569.05"/>
        <n v="569.1"/>
        <n v="574.05"/>
        <n v="574.15"/>
        <n v="578.2"/>
        <n v="578.4"/>
        <n v="579.15"/>
        <n v="582.45"/>
        <n v="584.05"/>
        <n v="586.2"/>
        <n v="588.3"/>
        <n v="596.4"/>
        <n v="597"/>
        <n v="597.15"/>
        <n v="597.6"/>
        <n v="597.75"/>
        <n v="598"/>
        <n v="598.2"/>
        <n v="598.3"/>
        <n v="598.4"/>
        <n v="598.5"/>
        <n v="599"/>
        <n v="599.1"/>
        <n v="599.15"/>
        <n v="604.95"/>
        <n v="609.05"/>
        <n v="618.1"/>
        <n v="619.05"/>
        <n v="619.1"/>
        <n v="620.2"/>
        <n v="624.05"/>
        <n v="627.15"/>
        <n v="627.3"/>
        <n v="627.45"/>
        <n v="628.1"/>
        <n v="634.65"/>
        <n v="636.4"/>
        <n v="638.1"/>
        <n v="638.3"/>
        <n v="646.25"/>
        <n v="648.5"/>
        <n v="649"/>
        <n v="649.1"/>
        <n v="654.15"/>
        <n v="657"/>
        <n v="657.15"/>
        <n v="657.6"/>
        <n v="658.2"/>
        <n v="658.3"/>
        <n v="658.4"/>
        <n v="669.1"/>
        <n v="670"/>
        <n v="672.45"/>
        <n v="672.75"/>
        <n v="674.15"/>
        <n v="676.6"/>
        <n v="676.8"/>
        <n v="678"/>
        <n v="678.4"/>
        <n v="679.65"/>
        <n v="687"/>
        <n v="687.15"/>
        <n v="687.3"/>
        <n v="687.75"/>
        <n v="688.1"/>
        <n v="688.3"/>
        <n v="696.2"/>
        <n v="698"/>
        <n v="698.3"/>
        <n v="699"/>
        <n v="699.05"/>
        <n v="699.1"/>
        <n v="708.3"/>
        <n v="716"/>
        <n v="716.8"/>
        <n v="717"/>
        <n v="717.75"/>
        <n v="718.2"/>
        <n v="718.4"/>
        <n v="720.75"/>
        <n v="724.05"/>
        <n v="726.6"/>
        <n v="728.1"/>
        <n v="734.05"/>
        <n v="736.2"/>
        <n v="738.2"/>
        <n v="738.3"/>
        <n v="739.65"/>
        <n v="747.3"/>
        <n v="747.75"/>
        <n v="749"/>
        <n v="749.1"/>
        <n v="756"/>
        <n v="758"/>
        <n v="758.2"/>
        <n v="759.05"/>
        <n v="768.3"/>
        <n v="769.1"/>
        <n v="776.4"/>
        <n v="777"/>
        <n v="777.45"/>
        <n v="778.2"/>
        <n v="778.4"/>
        <n v="792.15"/>
        <n v="795"/>
        <n v="795.5"/>
        <n v="796"/>
        <n v="796.2"/>
        <n v="796.4"/>
        <n v="796.8"/>
        <n v="798"/>
        <n v="798.1"/>
        <n v="798.4"/>
        <n v="799"/>
        <n v="799.05"/>
        <n v="799.1"/>
        <n v="808.3"/>
        <n v="818.1"/>
        <n v="824.05"/>
        <n v="836.4"/>
        <n v="836.8"/>
        <n v="837.3"/>
        <n v="837.6"/>
        <n v="838.2"/>
        <n v="848.5"/>
        <n v="849"/>
        <n v="858.2"/>
        <n v="867.6"/>
        <n v="868.1"/>
        <n v="876"/>
        <n v="876.2"/>
        <n v="878"/>
        <n v="878.2"/>
        <n v="882.45"/>
        <n v="895.5"/>
        <n v="896.6"/>
        <n v="897"/>
        <n v="897.3"/>
        <n v="897.6"/>
        <n v="897.75"/>
        <n v="898"/>
        <n v="898.1"/>
        <n v="898.2"/>
        <n v="898.3"/>
        <n v="899"/>
        <n v="899.1"/>
        <n v="908.3"/>
        <n v="916.4"/>
        <n v="918.3"/>
        <n v="924.05"/>
        <n v="927.15"/>
        <n v="927.6"/>
        <n v="938.2"/>
        <n v="948.3"/>
        <n v="949"/>
        <n v="957"/>
        <n v="958"/>
        <n v="958.3"/>
        <n v="968.1"/>
        <n v="978.1"/>
        <n v="978.2"/>
        <n v="978.4"/>
        <n v="986.2"/>
        <n v="987.3"/>
        <n v="998"/>
        <n v="998.1"/>
        <n v="998.2"/>
        <n v="998.4"/>
        <n v="999"/>
        <n v="999.05"/>
        <n v="1016.2"/>
        <n v="1017"/>
        <n v="1017.6"/>
        <n v="1036"/>
        <n v="1036.6"/>
        <n v="1036.8"/>
        <n v="1038"/>
        <n v="1038.2"/>
        <n v="1047"/>
        <n v="1047.3"/>
        <n v="1047.45"/>
        <n v="1047.6"/>
        <n v="1048.1"/>
        <n v="1048.3"/>
        <n v="1049"/>
        <n v="1056.2"/>
        <n v="1057.75"/>
        <n v="1062.45"/>
        <n v="1076"/>
        <n v="1078.2"/>
        <n v="1092.15"/>
        <n v="1098"/>
        <n v="1098.2"/>
        <n v="1098.4"/>
        <n v="1099"/>
        <n v="1099.05"/>
        <n v="1107.3"/>
        <n v="1116.8"/>
        <n v="1120.5"/>
        <n v="1121.25"/>
        <n v="1137.3"/>
        <n v="1145.5"/>
        <n v="1146"/>
        <n v="1148.3"/>
        <n v="1156.8"/>
        <n v="1158.3"/>
        <n v="1182.75"/>
        <n v="1196.6"/>
        <n v="1197"/>
        <n v="1197.15"/>
        <n v="1197.3"/>
        <n v="1197.6"/>
        <n v="1197.75"/>
        <n v="1198"/>
        <n v="1198.3"/>
        <n v="1199"/>
        <n v="1218.1"/>
        <n v="1227.15"/>
        <n v="1232.75"/>
        <n v="1245.5"/>
        <n v="1245.75"/>
        <n v="1248.1"/>
        <n v="1257.3"/>
        <n v="1257.45"/>
        <n v="1270.25"/>
        <n v="1272.45"/>
        <n v="1272.75"/>
        <n v="1276.6"/>
        <n v="1287.3"/>
        <n v="1298"/>
        <n v="1298.2"/>
        <n v="1299"/>
        <n v="1302.15"/>
        <n v="1316.4"/>
        <n v="1316.6"/>
        <n v="1317"/>
        <n v="1346.25"/>
        <n v="1347"/>
        <n v="1356"/>
        <n v="1376.6"/>
        <n v="1377.15"/>
        <n v="1395.5"/>
        <n v="1398"/>
        <n v="1398.2"/>
        <n v="1398.3"/>
        <n v="1407.15"/>
        <n v="1407.3"/>
        <n v="1407.45"/>
        <n v="1422.45"/>
        <n v="1437.3"/>
        <n v="1437.45"/>
        <n v="1448.1"/>
        <n v="1452.15"/>
        <n v="1456.2"/>
        <n v="1467.15"/>
        <n v="1468.1"/>
        <n v="1470.75"/>
        <n v="1476.4"/>
        <n v="1476.6"/>
        <n v="1482.15"/>
        <n v="1495"/>
        <n v="1495.5"/>
        <n v="1496"/>
        <n v="1496.25"/>
        <n v="1498"/>
        <n v="1498.2"/>
        <n v="1512.45"/>
        <n v="1516"/>
        <n v="1516.6"/>
        <n v="1545.25"/>
        <n v="1548.1"/>
        <n v="1557.3"/>
        <n v="1596"/>
        <n v="1596.4"/>
        <n v="1598"/>
        <n v="1598.1"/>
        <n v="1598.2"/>
        <n v="1617.3"/>
        <n v="1636.2"/>
        <n v="1645.75"/>
        <n v="1647"/>
        <n v="1647.3"/>
        <n v="1647.6"/>
        <n v="1648.1"/>
        <n v="1695.25"/>
        <n v="1696.6"/>
        <n v="1698"/>
        <n v="1707.3"/>
        <n v="1722.45"/>
        <n v="1736.2"/>
        <n v="1745"/>
        <n v="1752.15"/>
        <n v="1768.1"/>
        <n v="1796"/>
        <n v="1796.2"/>
        <n v="1796.4"/>
        <n v="1796.6"/>
        <n v="1797"/>
        <n v="1797.3"/>
        <n v="1797.45"/>
        <n v="1798"/>
        <n v="1798.2"/>
        <n v="1827.15"/>
        <n v="1836.2"/>
        <n v="1872.15"/>
        <n v="1916"/>
        <n v="1920.75"/>
        <n v="1946"/>
        <n v="1947"/>
        <n v="1947.3"/>
        <n v="1962.45"/>
        <n v="1976.2"/>
        <n v="1977.15"/>
        <n v="1996"/>
        <n v="1996.25"/>
        <n v="1996.4"/>
        <n v="1996.8"/>
        <n v="1998.1"/>
        <n v="2095.5"/>
        <n v="2096.6"/>
        <n v="2097"/>
        <n v="2097.15"/>
        <n v="2097.3"/>
        <n v="2097.45"/>
        <n v="2098"/>
        <n v="2136.2"/>
        <n v="2172.15"/>
        <n v="2198.1"/>
        <n v="2247"/>
        <n v="2296.2"/>
        <n v="2296.6"/>
        <n v="2397.15"/>
        <n v="2596"/>
        <n v="2652.15"/>
        <n v="2697"/>
        <n v="2697.3"/>
        <n v="2796"/>
        <n v="2796.4"/>
        <n v="3076.4"/>
        <n v="3096.2"/>
        <n v="3147"/>
        <n v="3495"/>
        <n v="3495.5"/>
        <n v="3536.2"/>
        <n v="3696.2"/>
        <n v="3996.2"/>
        <n v="4620.25"/>
      </sharedItems>
    </cacheField>
    <cacheField name="Profit Margin" numFmtId="0">
      <sharedItems containsSemiMixedTypes="0" containsString="0" containsNumber="1" minValue="0.0854529865675908" maxValue="0.697986577181208" count="343">
        <n v="0.0854529865675908"/>
        <n v="0.099774943735934"/>
        <n v="0.124781195298825"/>
        <n v="0.142612174907116"/>
        <n v="0.146325196745365"/>
        <n v="0.156039009752438"/>
        <n v="0.166249791562448"/>
        <n v="0.173002534347072"/>
        <n v="0.176264654398894"/>
        <n v="0.193046752853757"/>
        <n v="0.19959979989995"/>
        <n v="0.19967987194878"/>
        <n v="0.205683773884648"/>
        <n v="0.207838232228476"/>
        <n v="0.211613745106568"/>
        <n v="0.218359179589795"/>
        <n v="0.221789883268482"/>
        <n v="0.222027729154511"/>
        <n v="0.22468987595038"/>
        <n v="0.226357209550487"/>
        <n v="0.230177059276366"/>
        <n v="0.237005245588937"/>
        <n v="0.237877488806326"/>
        <n v="0.243940404714254"/>
        <n v="0.246049006814557"/>
        <n v="0.246757526540028"/>
        <n v="0.249499666444296"/>
        <n v="0.24953095684803"/>
        <n v="0.249624812406203"/>
        <n v="0.249812453113278"/>
        <n v="0.257348342714196"/>
        <n v="0.257989407159123"/>
        <n v="0.259918427882833"/>
        <n v="0.262973638146379"/>
        <n v="0.264338051378631"/>
        <n v="0.265932599265933"/>
        <n v="0.266299816574954"/>
        <n v="0.270296353835652"/>
        <n v="0.274709883953581"/>
        <n v="0.274709883953582"/>
        <n v="0.277175423964415"/>
        <n v="0.277989199921782"/>
        <n v="0.278290993071594"/>
        <n v="0.281498588657942"/>
        <n v="0.284692417739628"/>
        <n v="0.288414498554592"/>
        <n v="0.288604330621137"/>
        <n v="0.28929600821258"/>
        <n v="0.293646744888749"/>
        <n v="0.293764529323485"/>
        <n v="0.295905132481008"/>
        <n v="0.296435272045028"/>
        <n v="0.299123904881101"/>
        <n v="0.299212217872505"/>
        <n v="0.29982495623906"/>
        <n v="0.305208159635373"/>
        <n v="0.305972639305973"/>
        <n v="0.306173526140156"/>
        <n v="0.310835445289227"/>
        <n v="0.311811811811812"/>
        <n v="0.31215607803902"/>
        <n v="0.313344014648661"/>
        <n v="0.313795568263045"/>
        <n v="0.314089739925693"/>
        <n v="0.3173740084269"/>
        <n v="0.320744464067382"/>
        <n v="0.322351959966639"/>
        <n v="0.32483120780195"/>
        <n v="0.326046207956867"/>
        <n v="0.326404926866821"/>
        <n v="0.326769334343179"/>
        <n v="0.332220367278798"/>
        <n v="0.33237958989032"/>
        <n v="0.332665999332666"/>
        <n v="0.332777314428691"/>
        <n v="0.332820118039518"/>
        <n v="0.33288859239493"/>
        <n v="0.332999833249958"/>
        <n v="0.334749123659903"/>
        <n v="0.336095785352899"/>
        <n v="0.337821432512968"/>
        <n v="0.33986519352373"/>
        <n v="0.339911061700945"/>
        <n v="0.342928660826033"/>
        <n v="0.347107263958215"/>
        <n v="0.349349349349349"/>
        <n v="0.351491569390402"/>
        <n v="0.352293469940529"/>
        <n v="0.352617485213195"/>
        <n v="0.355297674625406"/>
        <n v="0.356683345246605"/>
        <n v="0.358480882730305"/>
        <n v="0.359359359359359"/>
        <n v="0.359743897559024"/>
        <n v="0.362213609380366"/>
        <n v="0.364171037990781"/>
        <n v="0.36602816646289"/>
        <n v="0.367999719110986"/>
        <n v="0.368105105184171"/>
        <n v="0.369290996085254"/>
        <n v="0.369950337261878"/>
        <n v="0.371707505678798"/>
        <n v="0.372130439901111"/>
        <n v="0.373956594323873"/>
        <n v="0.374105865522175"/>
        <n v="0.374374374374374"/>
        <n v="0.374431301182894"/>
        <n v="0.374478732276897"/>
        <n v="0.374518860662048"/>
        <n v="0.374609130706692"/>
        <n v="0.374687343671836"/>
        <n v="0.377085650723026"/>
        <n v="0.377362686235268"/>
        <n v="0.37873982277736"/>
        <n v="0.379751900760304"/>
        <n v="0.38157991607156"/>
        <n v="0.383265356569027"/>
        <n v="0.385623592054065"/>
        <n v="0.387622917034682"/>
        <n v="0.388277166054944"/>
        <n v="0.388583180479128"/>
        <n v="0.389229375960911"/>
        <n v="0.392245046797131"/>
        <n v="0.394525501408569"/>
        <n v="0.397635720201792"/>
        <n v="0.397646186637012"/>
        <n v="0.399249061326658"/>
        <n v="0.399399399399399"/>
        <n v="0.399599733155437"/>
        <n v="0.399699849924963"/>
        <n v="0.401248823881618"/>
        <n v="0.403110845827043"/>
        <n v="0.404775531695703"/>
        <n v="0.405878674171357"/>
        <n v="0.406087602078693"/>
        <n v="0.407012082128827"/>
        <n v="0.407524439616866"/>
        <n v="0.410782677010704"/>
        <n v="0.410923167550282"/>
        <n v="0.411175881764117"/>
        <n v="0.411229459936841"/>
        <n v="0.411274100966492"/>
        <n v="0.411311868858398"/>
        <n v="0.412157648630595"/>
        <n v="0.413254277067507"/>
        <n v="0.415725074644342"/>
        <n v="0.415936587400918"/>
        <n v="0.416017797552837"/>
        <n v="0.416277518345564"/>
        <n v="0.416342412451362"/>
        <n v="0.419767907162865"/>
        <n v="0.420473104683631"/>
        <n v="0.42076301308549"/>
        <n v="0.421257651641625"/>
        <n v="0.421643866088311"/>
        <n v="0.422632794457275"/>
        <n v="0.427753934191702"/>
        <n v="0.428162973552537"/>
        <n v="0.429349018919275"/>
        <n v="0.431913116123642"/>
        <n v="0.432762043677323"/>
        <n v="0.43295530353569"/>
        <n v="0.434536755110918"/>
        <n v="0.434728846493552"/>
        <n v="0.43609022556391"/>
        <n v="0.436795994993742"/>
        <n v="0.437148217636023"/>
        <n v="0.438221972543099"/>
        <n v="0.443207126948775"/>
        <n v="0.443516972732332"/>
        <n v="0.443649658241933"/>
        <n v="0.443888332777222"/>
        <n v="0.443938934384794"/>
        <n v="0.443981095357242"/>
        <n v="0.444016765032931"/>
        <n v="0.444135630906059"/>
        <n v="0.444938820912125"/>
        <n v="0.446676767011396"/>
        <n v="0.448897795591182"/>
        <n v="0.449449449449449"/>
        <n v="0.449724862431216"/>
        <n v="0.450369691814434"/>
        <n v="0.450614134913472"/>
        <n v="0.452440550688361"/>
        <n v="0.457429048414023"/>
        <n v="0.457881567973311"/>
        <n v="0.458259659155036"/>
        <n v="0.461123941493457"/>
        <n v="0.461415467474543"/>
        <n v="0.462750716332378"/>
        <n v="0.463519313304721"/>
        <n v="0.464882943143813"/>
        <n v="0.465478841870824"/>
        <n v="0.46559786239145"/>
        <n v="0.466132799466133"/>
        <n v="0.466310873915944"/>
        <n v="0.467418546365915"/>
        <n v="0.469261388766033"/>
        <n v="0.469925642347051"/>
        <n v="0.471046770601336"/>
        <n v="0.471928849360756"/>
        <n v="0.47280555311484"/>
        <n v="0.472931255176568"/>
        <n v="0.47315736789421"/>
        <n v="0.473205306259279"/>
        <n v="0.473245248233177"/>
        <n v="0.473279040557514"/>
        <n v="0.474342928660826"/>
        <n v="0.475959648892965"/>
        <n v="0.478297161936561"/>
        <n v="0.47947947947948"/>
        <n v="0.480904708935855"/>
        <n v="0.481135571862723"/>
        <n v="0.481315572321113"/>
        <n v="0.484649930059633"/>
        <n v="0.48934498674261"/>
        <n v="0.494231073178442"/>
        <n v="0.49435361537165"/>
        <n v="0.495077000757385"/>
        <n v="0.498327759197324"/>
        <n v="0.49874686716792"/>
        <n v="0.498886414253898"/>
        <n v="0.498997995991984"/>
        <n v="0.499165275459099"/>
        <n v="0.49928469241774"/>
        <n v="0.499374217772215"/>
        <n v="0.4994994994995"/>
        <n v="0.499545040946315"/>
        <n v="0.499582985821518"/>
        <n v="0.499615088529638"/>
        <n v="0.50334288443171"/>
        <n v="0.505073001732245"/>
        <n v="0.508225513728704"/>
        <n v="0.508444225975212"/>
        <n v="0.508985564175587"/>
        <n v="0.509476031215162"/>
        <n v="0.510131373858829"/>
        <n v="0.513280489500765"/>
        <n v="0.517714709701354"/>
        <n v="0.518072289156627"/>
        <n v="0.518108576161434"/>
        <n v="0.51951951951952"/>
        <n v="0.522445081184336"/>
        <n v="0.523128278493085"/>
        <n v="0.525128611001187"/>
        <n v="0.525722943152625"/>
        <n v="0.525841631104789"/>
        <n v="0.526594263436369"/>
        <n v="0.527837891009247"/>
        <n v="0.528232345569807"/>
        <n v="0.528363684003668"/>
        <n v="0.528468702110103"/>
        <n v="0.529819351645632"/>
        <n v="0.530075187969925"/>
        <n v="0.530663329161452"/>
        <n v="0.530988274706868"/>
        <n v="0.531121791114758"/>
        <n v="0.532814238042269"/>
        <n v="0.533022014676451"/>
        <n v="0.534383954154728"/>
        <n v="0.535913933129417"/>
        <n v="0.53626414394361"/>
        <n v="0.53889730584283"/>
        <n v="0.540133779264214"/>
        <n v="0.542203147353362"/>
        <n v="0.543098146032862"/>
        <n v="0.547579550595687"/>
        <n v="0.548192771084337"/>
        <n v="0.548226790151344"/>
        <n v="0.548872180451128"/>
        <n v="0.549436795994994"/>
        <n v="0.54954954954955"/>
        <n v="0.551510354834455"/>
        <n v="0.554069119286511"/>
        <n v="0.554441659704818"/>
        <n v="0.55456570155902"/>
        <n v="0.554664885326208"/>
        <n v="0.557717823971694"/>
        <n v="0.558271368622543"/>
        <n v="0.559118236472946"/>
        <n v="0.560301507537688"/>
        <n v="0.560671294262367"/>
        <n v="0.561773133322097"/>
        <n v="0.561952440550688"/>
        <n v="0.564489112227806"/>
        <n v="0.565943238731219"/>
        <n v="0.567184733425143"/>
        <n v="0.570200573065903"/>
        <n v="0.570815450643777"/>
        <n v="0.573934837092732"/>
        <n v="0.574769666902906"/>
        <n v="0.576837416481069"/>
        <n v="0.577539165639852"/>
        <n v="0.577892098667722"/>
        <n v="0.578009612003282"/>
        <n v="0.578103575572197"/>
        <n v="0.581939799331104"/>
        <n v="0.582289055973267"/>
        <n v="0.582637729549249"/>
        <n v="0.582811848143513"/>
        <n v="0.586119070359758"/>
        <n v="0.586166124741354"/>
        <n v="0.591230026012635"/>
        <n v="0.591708542713568"/>
        <n v="0.59548289229732"/>
        <n v="0.598393574297189"/>
        <n v="0.59866220735786"/>
        <n v="0.598997493734336"/>
        <n v="0.599109131403118"/>
        <n v="0.599198396793587"/>
        <n v="0.604273842500989"/>
        <n v="0.604769119293854"/>
        <n v="0.606531575841039"/>
        <n v="0.607902277182929"/>
        <n v="0.609156895589056"/>
        <n v="0.612744235169864"/>
        <n v="0.615725687259829"/>
        <n v="0.617956064947469"/>
        <n v="0.619530754597337"/>
        <n v="0.622017481691472"/>
        <n v="0.62248322147651"/>
        <n v="0.62406015037594"/>
        <n v="0.624530663329161"/>
        <n v="0.627507163323782"/>
        <n v="0.628390932738759"/>
        <n v="0.629727585294896"/>
        <n v="0.632107023411371"/>
        <n v="0.637074260189838"/>
        <n v="0.63806364047655"/>
        <n v="0.63855421686747"/>
        <n v="0.64301651048639"/>
        <n v="0.644690090801421"/>
        <n v="0.647949304699877"/>
        <n v="0.648241206030151"/>
        <n v="0.656160458452722"/>
        <n v="0.656175614916689"/>
        <n v="0.661805115197633"/>
        <n v="0.664429530201342"/>
        <n v="0.665551839464883"/>
        <n v="0.673366834170854"/>
        <n v="0.678714859437751"/>
        <n v="0.682091133874956"/>
        <n v="0.697986577181208"/>
      </sharedItems>
    </cacheField>
    <cacheField name="Order Status" numFmtId="0">
      <sharedItems count="5">
        <s v="Cancelled"/>
        <s v="Delivered"/>
        <s v="Processing"/>
        <s v="Returned"/>
        <s v="Shipped"/>
      </sharedItems>
    </cacheField>
    <cacheField name="Customer City" numFmtId="0">
      <sharedItems count="20">
        <s v="Ahmedabad"/>
        <s v="Bengaluru"/>
        <s v="Bhopal"/>
        <s v="Chandigarh"/>
        <s v="Chennai"/>
        <s v="Coimbatore"/>
        <s v="Delhi"/>
        <s v="Gurugram"/>
        <s v="Hyderabad"/>
        <s v="Indore"/>
        <s v="Jaipur"/>
        <s v="Kochi"/>
        <s v="Kolkata"/>
        <s v="Lucknow"/>
        <s v="Mumbai"/>
        <s v="Nagpur"/>
        <s v="Noida"/>
        <s v="Pune"/>
        <s v="Surat"/>
        <s v="Visakhapatnam"/>
      </sharedItems>
    </cacheField>
    <cacheField name="Customer Segment" numFmtId="0">
      <sharedItems count="3">
        <s v="New"/>
        <s v="Returning"/>
        <s v="VIP"/>
      </sharedItems>
    </cacheField>
    <cacheField name="Sales Channel" numFmtId="0">
      <sharedItems count="3">
        <s v="Marketplace"/>
        <s v="Mobile App"/>
        <s v="Website"/>
      </sharedItems>
    </cacheField>
    <cacheField name="Order Type" numFmtId="0">
      <sharedItems count="4">
        <s v="Cancelled"/>
        <s v="Completed"/>
        <s v="In Progress"/>
        <s v="Returned"/>
      </sharedItems>
    </cacheField>
    <cacheField name="Revenue  Band" numFmtId="0">
      <sharedItems count="3">
        <s v="High Value"/>
        <s v="Low Value"/>
        <s v="Medium Value"/>
      </sharedItems>
    </cacheField>
    <cacheField name="Profit Status" numFmtId="0">
      <sharedItems count="1">
        <s v="Profitable"/>
      </sharedItems>
    </cacheField>
    <cacheField name="Delivery Category" numFmtId="0">
      <sharedItems count="5">
        <s v="Fast"/>
        <s v="Not Applicable"/>
        <s v="Pending"/>
        <s v="Slow"/>
        <s v="Standard"/>
      </sharedItems>
    </cacheField>
    <cacheField name="Net Profit" numFmtId="0">
      <sharedItems containsSemiMixedTypes="0" containsString="0" containsNumber="1" minValue="0" maxValue="4620.25" count="638">
        <n v="0"/>
        <n v="74.2"/>
        <n v="81.65"/>
        <n v="84.25"/>
        <n v="89.1"/>
        <n v="89.2"/>
        <n v="94.2"/>
        <n v="96.55"/>
        <n v="96.75"/>
        <n v="104"/>
        <n v="104.15"/>
        <n v="109.1"/>
        <n v="109.2"/>
        <n v="114.1"/>
        <n v="114.25"/>
        <n v="119.05"/>
        <n v="119.2"/>
        <n v="121.65"/>
        <n v="124.05"/>
        <n v="124.25"/>
        <n v="129"/>
        <n v="129.2"/>
        <n v="129.25"/>
        <n v="131.65"/>
        <n v="131.75"/>
        <n v="134"/>
        <n v="134.1"/>
        <n v="134.15"/>
        <n v="136.75"/>
        <n v="139.2"/>
        <n v="144.1"/>
        <n v="144.15"/>
        <n v="146.55"/>
        <n v="149.1"/>
        <n v="149.2"/>
        <n v="149.25"/>
        <n v="154.15"/>
        <n v="156.55"/>
        <n v="156.75"/>
        <n v="158.5"/>
        <n v="159"/>
        <n v="159.1"/>
        <n v="159.15"/>
        <n v="159.2"/>
        <n v="163.3"/>
        <n v="164.05"/>
        <n v="166.65"/>
        <n v="169"/>
        <n v="169.1"/>
        <n v="169.15"/>
        <n v="169.2"/>
        <n v="174.25"/>
        <n v="175.25"/>
        <n v="176.65"/>
        <n v="178.2"/>
        <n v="178.4"/>
        <n v="179"/>
        <n v="179.1"/>
        <n v="179.2"/>
        <n v="179.25"/>
        <n v="181.55"/>
        <n v="181.65"/>
        <n v="184.05"/>
        <n v="184.1"/>
        <n v="188.4"/>
        <n v="189"/>
        <n v="189.1"/>
        <n v="189.15"/>
        <n v="189.25"/>
        <n v="193.5"/>
        <n v="194.1"/>
        <n v="194.15"/>
        <n v="198.3"/>
        <n v="199"/>
        <n v="199.05"/>
        <n v="199.1"/>
        <n v="199.25"/>
        <n v="201.65"/>
        <n v="204.1"/>
        <n v="204.15"/>
        <n v="208"/>
        <n v="208.3"/>
        <n v="208.5"/>
        <n v="209.05"/>
        <n v="209.1"/>
        <n v="209.15"/>
        <n v="209.2"/>
        <n v="211.55"/>
        <n v="214.1"/>
        <n v="218.4"/>
        <n v="219"/>
        <n v="219.05"/>
        <n v="219.2"/>
        <n v="224.1"/>
        <n v="224.25"/>
        <n v="229"/>
        <n v="229.1"/>
        <n v="229.25"/>
        <n v="238.1"/>
        <n v="238.4"/>
        <n v="239"/>
        <n v="239.1"/>
        <n v="239.2"/>
        <n v="239.25"/>
        <n v="243.3"/>
        <n v="244.15"/>
        <n v="244.95"/>
        <n v="246.55"/>
        <n v="248.1"/>
        <n v="248.5"/>
        <n v="249"/>
        <n v="249.1"/>
        <n v="249.15"/>
        <n v="249.25"/>
        <n v="252.75"/>
        <n v="254.05"/>
        <n v="254.25"/>
        <n v="258"/>
        <n v="258.4"/>
        <n v="259.15"/>
        <n v="259.2"/>
        <n v="264.05"/>
        <n v="267.3"/>
        <n v="268"/>
        <n v="268.3"/>
        <n v="269"/>
        <n v="269.05"/>
        <n v="274.05"/>
        <n v="274.25"/>
        <n v="278.4"/>
        <n v="279"/>
        <n v="279.1"/>
        <n v="288.2"/>
        <n v="288.3"/>
        <n v="289.1"/>
        <n v="289.2"/>
        <n v="293.1"/>
        <n v="293.3"/>
        <n v="294.15"/>
        <n v="298.2"/>
        <n v="298.4"/>
        <n v="299"/>
        <n v="299.1"/>
        <n v="299.15"/>
        <n v="299.2"/>
        <n v="299.25"/>
        <n v="308.3"/>
        <n v="308.5"/>
        <n v="309.05"/>
        <n v="310.1"/>
        <n v="313.5"/>
        <n v="314.05"/>
        <n v="318"/>
        <n v="318.2"/>
        <n v="318.3"/>
        <n v="318.4"/>
        <n v="319.05"/>
        <n v="319.15"/>
        <n v="324.25"/>
        <n v="327.6"/>
        <n v="328.1"/>
        <n v="329.1"/>
        <n v="329.15"/>
        <n v="329.2"/>
        <n v="329.25"/>
        <n v="338.2"/>
        <n v="338.3"/>
        <n v="338.4"/>
        <n v="339"/>
        <n v="344.15"/>
        <n v="348.1"/>
        <n v="348.5"/>
        <n v="349"/>
        <n v="349.15"/>
        <n v="350.5"/>
        <n v="353.3"/>
        <n v="354.15"/>
        <n v="355.05"/>
        <n v="358"/>
        <n v="358.2"/>
        <n v="358.3"/>
        <n v="358.4"/>
        <n v="359.1"/>
        <n v="363.3"/>
        <n v="364.05"/>
        <n v="364.95"/>
        <n v="368.1"/>
        <n v="369.1"/>
        <n v="369.15"/>
        <n v="372.15"/>
        <n v="378"/>
        <n v="378.2"/>
        <n v="378.3"/>
        <n v="379"/>
        <n v="379.1"/>
        <n v="379.15"/>
        <n v="379.2"/>
        <n v="384.15"/>
        <n v="387.6"/>
        <n v="388.2"/>
        <n v="389.1"/>
        <n v="389.2"/>
        <n v="398.2"/>
        <n v="399"/>
        <n v="399.05"/>
        <n v="399.1"/>
        <n v="399.2"/>
        <n v="399.25"/>
        <n v="400"/>
        <n v="402.45"/>
        <n v="403.1"/>
        <n v="403.3"/>
        <n v="404.15"/>
        <n v="408.3"/>
        <n v="409.05"/>
        <n v="417.6"/>
        <n v="418.1"/>
        <n v="418.2"/>
        <n v="418.3"/>
        <n v="419.1"/>
        <n v="419.15"/>
        <n v="423.1"/>
        <n v="424.15"/>
        <n v="424.25"/>
        <n v="428.2"/>
        <n v="429.1"/>
        <n v="432.3"/>
        <n v="434.05"/>
        <n v="436.4"/>
        <n v="436.8"/>
        <n v="438"/>
        <n v="438.1"/>
        <n v="438.4"/>
        <n v="439"/>
        <n v="439.1"/>
        <n v="439.95"/>
        <n v="440.4"/>
        <n v="447.3"/>
        <n v="447.6"/>
        <n v="448.2"/>
        <n v="448.3"/>
        <n v="448.5"/>
        <n v="449"/>
        <n v="449.05"/>
        <n v="449.1"/>
        <n v="449.15"/>
        <n v="453.1"/>
        <n v="457"/>
        <n v="458"/>
        <n v="458.1"/>
        <n v="458.2"/>
        <n v="459.05"/>
        <n v="459.15"/>
        <n v="462.45"/>
        <n v="462.75"/>
        <n v="469.05"/>
        <n v="469.1"/>
        <n v="471"/>
        <n v="474.15"/>
        <n v="476.2"/>
        <n v="477"/>
        <n v="477.3"/>
        <n v="477.6"/>
        <n v="478"/>
        <n v="478.2"/>
        <n v="479"/>
        <n v="479.1"/>
        <n v="479.15"/>
        <n v="484.05"/>
        <n v="489.05"/>
        <n v="489.1"/>
        <n v="493.1"/>
        <n v="498"/>
        <n v="498.2"/>
        <n v="498.3"/>
        <n v="498.4"/>
        <n v="498.5"/>
        <n v="499"/>
        <n v="499.05"/>
        <n v="499.1"/>
        <n v="499.15"/>
        <n v="499.2"/>
        <n v="507.45"/>
        <n v="507.6"/>
        <n v="508.1"/>
        <n v="508.5"/>
        <n v="516"/>
        <n v="517"/>
        <n v="518"/>
        <n v="518.3"/>
        <n v="518.4"/>
        <n v="519.1"/>
        <n v="522.75"/>
        <n v="524.05"/>
        <n v="524.15"/>
        <n v="528.1"/>
        <n v="534.05"/>
        <n v="536.4"/>
        <n v="537.3"/>
        <n v="538"/>
        <n v="538.1"/>
        <n v="538.5"/>
        <n v="539.05"/>
        <n v="539.1"/>
        <n v="544.65"/>
        <n v="547"/>
        <n v="548.1"/>
        <n v="549"/>
        <n v="549.1"/>
        <n v="552.15"/>
        <n v="552.3"/>
        <n v="558"/>
        <n v="558.2"/>
        <n v="558.4"/>
        <n v="567"/>
        <n v="567.3"/>
        <n v="567.45"/>
        <n v="569.05"/>
        <n v="569.1"/>
        <n v="574.05"/>
        <n v="574.15"/>
        <n v="578.2"/>
        <n v="578.4"/>
        <n v="579.15"/>
        <n v="584.05"/>
        <n v="586.2"/>
        <n v="588.3"/>
        <n v="596.4"/>
        <n v="597"/>
        <n v="597.15"/>
        <n v="597.6"/>
        <n v="597.75"/>
        <n v="598"/>
        <n v="598.2"/>
        <n v="598.3"/>
        <n v="598.4"/>
        <n v="598.5"/>
        <n v="599"/>
        <n v="599.1"/>
        <n v="599.15"/>
        <n v="604.95"/>
        <n v="609.05"/>
        <n v="618.1"/>
        <n v="619.05"/>
        <n v="620.2"/>
        <n v="624.05"/>
        <n v="627.15"/>
        <n v="627.3"/>
        <n v="627.45"/>
        <n v="628.1"/>
        <n v="634.65"/>
        <n v="636.4"/>
        <n v="638.1"/>
        <n v="638.3"/>
        <n v="646.25"/>
        <n v="648.5"/>
        <n v="649"/>
        <n v="649.1"/>
        <n v="654.15"/>
        <n v="657"/>
        <n v="657.15"/>
        <n v="657.6"/>
        <n v="658.2"/>
        <n v="658.3"/>
        <n v="658.4"/>
        <n v="669.1"/>
        <n v="670"/>
        <n v="672.45"/>
        <n v="672.75"/>
        <n v="674.15"/>
        <n v="676.6"/>
        <n v="676.8"/>
        <n v="678"/>
        <n v="678.4"/>
        <n v="679.65"/>
        <n v="687"/>
        <n v="687.15"/>
        <n v="687.3"/>
        <n v="687.75"/>
        <n v="688.1"/>
        <n v="688.3"/>
        <n v="696.2"/>
        <n v="698"/>
        <n v="698.3"/>
        <n v="699"/>
        <n v="699.05"/>
        <n v="708.3"/>
        <n v="716"/>
        <n v="716.8"/>
        <n v="717"/>
        <n v="717.75"/>
        <n v="718.2"/>
        <n v="718.4"/>
        <n v="720.75"/>
        <n v="724.05"/>
        <n v="726.6"/>
        <n v="728.1"/>
        <n v="734.05"/>
        <n v="736.2"/>
        <n v="738.2"/>
        <n v="738.3"/>
        <n v="739.65"/>
        <n v="747.3"/>
        <n v="747.75"/>
        <n v="749"/>
        <n v="749.1"/>
        <n v="756"/>
        <n v="758"/>
        <n v="758.2"/>
        <n v="759.05"/>
        <n v="768.3"/>
        <n v="769.1"/>
        <n v="776.4"/>
        <n v="777"/>
        <n v="777.45"/>
        <n v="778.2"/>
        <n v="778.4"/>
        <n v="792.15"/>
        <n v="795"/>
        <n v="795.5"/>
        <n v="796"/>
        <n v="796.2"/>
        <n v="796.4"/>
        <n v="796.8"/>
        <n v="798"/>
        <n v="798.1"/>
        <n v="798.4"/>
        <n v="799"/>
        <n v="799.05"/>
        <n v="799.1"/>
        <n v="808.3"/>
        <n v="818.1"/>
        <n v="824.05"/>
        <n v="836.4"/>
        <n v="836.8"/>
        <n v="837.3"/>
        <n v="837.6"/>
        <n v="838.2"/>
        <n v="848.5"/>
        <n v="849"/>
        <n v="858.2"/>
        <n v="867.6"/>
        <n v="868.1"/>
        <n v="878"/>
        <n v="878.2"/>
        <n v="882.45"/>
        <n v="896.6"/>
        <n v="897"/>
        <n v="897.6"/>
        <n v="897.75"/>
        <n v="898"/>
        <n v="898.1"/>
        <n v="898.2"/>
        <n v="898.3"/>
        <n v="899"/>
        <n v="899.1"/>
        <n v="908.3"/>
        <n v="916.4"/>
        <n v="918.3"/>
        <n v="924.05"/>
        <n v="927.15"/>
        <n v="927.6"/>
        <n v="938.2"/>
        <n v="948.3"/>
        <n v="949"/>
        <n v="957"/>
        <n v="958"/>
        <n v="958.3"/>
        <n v="968.1"/>
        <n v="978.1"/>
        <n v="978.2"/>
        <n v="986.2"/>
        <n v="987.3"/>
        <n v="998"/>
        <n v="998.2"/>
        <n v="998.4"/>
        <n v="999"/>
        <n v="999.05"/>
        <n v="1016.2"/>
        <n v="1017"/>
        <n v="1017.6"/>
        <n v="1036"/>
        <n v="1036.6"/>
        <n v="1038"/>
        <n v="1038.2"/>
        <n v="1047"/>
        <n v="1047.3"/>
        <n v="1047.45"/>
        <n v="1047.6"/>
        <n v="1048.1"/>
        <n v="1048.3"/>
        <n v="1049"/>
        <n v="1056.2"/>
        <n v="1062.45"/>
        <n v="1076"/>
        <n v="1078.2"/>
        <n v="1092.15"/>
        <n v="1098"/>
        <n v="1098.2"/>
        <n v="1098.4"/>
        <n v="1099"/>
        <n v="1099.05"/>
        <n v="1107.3"/>
        <n v="1116.8"/>
        <n v="1120.5"/>
        <n v="1121.25"/>
        <n v="1137.3"/>
        <n v="1145.5"/>
        <n v="1146"/>
        <n v="1148.3"/>
        <n v="1156.8"/>
        <n v="1158.3"/>
        <n v="1182.75"/>
        <n v="1196.6"/>
        <n v="1197"/>
        <n v="1197.15"/>
        <n v="1197.3"/>
        <n v="1197.6"/>
        <n v="1197.75"/>
        <n v="1198"/>
        <n v="1198.3"/>
        <n v="1199"/>
        <n v="1218.1"/>
        <n v="1227.15"/>
        <n v="1232.75"/>
        <n v="1245.5"/>
        <n v="1245.75"/>
        <n v="1248.1"/>
        <n v="1257.3"/>
        <n v="1257.45"/>
        <n v="1270.25"/>
        <n v="1272.45"/>
        <n v="1272.75"/>
        <n v="1276.6"/>
        <n v="1287.3"/>
        <n v="1298"/>
        <n v="1298.2"/>
        <n v="1299"/>
        <n v="1302.15"/>
        <n v="1316.4"/>
        <n v="1316.6"/>
        <n v="1317"/>
        <n v="1346.25"/>
        <n v="1347"/>
        <n v="1356"/>
        <n v="1376.6"/>
        <n v="1377.15"/>
        <n v="1395.5"/>
        <n v="1398"/>
        <n v="1398.2"/>
        <n v="1398.3"/>
        <n v="1407.15"/>
        <n v="1407.3"/>
        <n v="1422.45"/>
        <n v="1437.3"/>
        <n v="1437.45"/>
        <n v="1448.1"/>
        <n v="1452.15"/>
        <n v="1456.2"/>
        <n v="1467.15"/>
        <n v="1468.1"/>
        <n v="1470.75"/>
        <n v="1476.6"/>
        <n v="1482.15"/>
        <n v="1495"/>
        <n v="1495.5"/>
        <n v="1496"/>
        <n v="1496.25"/>
        <n v="1498"/>
        <n v="1498.2"/>
        <n v="1512.45"/>
        <n v="1516"/>
        <n v="1516.6"/>
        <n v="1545.25"/>
        <n v="1548.1"/>
        <n v="1557.3"/>
        <n v="1596"/>
        <n v="1598.1"/>
        <n v="1598.2"/>
        <n v="1617.3"/>
        <n v="1636.2"/>
        <n v="1647.3"/>
        <n v="1647.6"/>
        <n v="1648.1"/>
        <n v="1695.25"/>
        <n v="1696.6"/>
        <n v="1698"/>
        <n v="1707.3"/>
        <n v="1722.45"/>
        <n v="1736.2"/>
        <n v="1745"/>
        <n v="1752.15"/>
        <n v="1768.1"/>
        <n v="1796"/>
        <n v="1796.2"/>
        <n v="1796.4"/>
        <n v="1796.6"/>
        <n v="1797"/>
        <n v="1797.3"/>
        <n v="1797.45"/>
        <n v="1798"/>
        <n v="1827.15"/>
        <n v="1836.2"/>
        <n v="1872.15"/>
        <n v="1916"/>
        <n v="1920.75"/>
        <n v="1946"/>
        <n v="1947"/>
        <n v="1947.3"/>
        <n v="1976.2"/>
        <n v="1996"/>
        <n v="1996.25"/>
        <n v="1996.4"/>
        <n v="1996.8"/>
        <n v="2095.5"/>
        <n v="2096.6"/>
        <n v="2097"/>
        <n v="2097.15"/>
        <n v="2097.3"/>
        <n v="2097.45"/>
        <n v="2136.2"/>
        <n v="2172.15"/>
        <n v="2198.1"/>
        <n v="2247"/>
        <n v="2296.6"/>
        <n v="2596"/>
        <n v="2652.15"/>
        <n v="2697"/>
        <n v="2697.3"/>
        <n v="2796"/>
        <n v="2796.4"/>
        <n v="3076.4"/>
        <n v="3147"/>
        <n v="3495"/>
        <n v="3536.2"/>
        <n v="3696.2"/>
        <n v="3996.2"/>
        <n v="4620.25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1500" createdVersion="3">
  <cacheSource type="worksheet">
    <worksheetSource ref="A1:AB1501" sheet="Formula_Analysis"/>
  </cacheSource>
  <cacheFields count="28">
    <cacheField name="Order ID" numFmtId="0">
      <sharedItems count="1500">
        <s v="O000001"/>
        <s v="O000002"/>
        <s v="O000003"/>
        <s v="O000004"/>
        <s v="O000005"/>
        <s v="O000006"/>
        <s v="O000007"/>
        <s v="O000008"/>
        <s v="O000009"/>
        <s v="O000010"/>
        <s v="O000011"/>
        <s v="O000012"/>
        <s v="O000013"/>
        <s v="O000014"/>
        <s v="O000015"/>
        <s v="O000016"/>
        <s v="O000017"/>
        <s v="O000018"/>
        <s v="O000019"/>
        <s v="O000020"/>
        <s v="O000021"/>
        <s v="O000022"/>
        <s v="O000023"/>
        <s v="O000024"/>
        <s v="O000025"/>
        <s v="O000026"/>
        <s v="O000027"/>
        <s v="O000028"/>
        <s v="O000029"/>
        <s v="O000030"/>
        <s v="O000031"/>
        <s v="O000032"/>
        <s v="O000033"/>
        <s v="O000034"/>
        <s v="O000035"/>
        <s v="O000036"/>
        <s v="O000037"/>
        <s v="O000038"/>
        <s v="O000039"/>
        <s v="O000040"/>
        <s v="O000041"/>
        <s v="O000042"/>
        <s v="O000043"/>
        <s v="O000044"/>
        <s v="O000045"/>
        <s v="O000046"/>
        <s v="O000047"/>
        <s v="O000048"/>
        <s v="O000049"/>
        <s v="O000050"/>
        <s v="O000051"/>
        <s v="O000052"/>
        <s v="O000053"/>
        <s v="O000054"/>
        <s v="O000055"/>
        <s v="O000056"/>
        <s v="O000057"/>
        <s v="O000058"/>
        <s v="O000059"/>
        <s v="O000060"/>
        <s v="O000061"/>
        <s v="O000062"/>
        <s v="O000063"/>
        <s v="O000064"/>
        <s v="O000065"/>
        <s v="O000066"/>
        <s v="O000067"/>
        <s v="O000068"/>
        <s v="O000069"/>
        <s v="O000070"/>
        <s v="O000071"/>
        <s v="O000072"/>
        <s v="O000073"/>
        <s v="O000074"/>
        <s v="O000075"/>
        <s v="O000076"/>
        <s v="O000077"/>
        <s v="O000078"/>
        <s v="O000079"/>
        <s v="O000080"/>
        <s v="O000081"/>
        <s v="O000082"/>
        <s v="O000083"/>
        <s v="O000084"/>
        <s v="O000085"/>
        <s v="O000086"/>
        <s v="O000087"/>
        <s v="O000088"/>
        <s v="O000089"/>
        <s v="O000090"/>
        <s v="O000091"/>
        <s v="O000092"/>
        <s v="O000093"/>
        <s v="O000094"/>
        <s v="O000095"/>
        <s v="O000096"/>
        <s v="O000097"/>
        <s v="O000098"/>
        <s v="O000099"/>
        <s v="O000100"/>
        <s v="O000101"/>
        <s v="O000102"/>
        <s v="O000103"/>
        <s v="O000104"/>
        <s v="O000105"/>
        <s v="O000106"/>
        <s v="O000107"/>
        <s v="O000108"/>
        <s v="O000109"/>
        <s v="O000110"/>
        <s v="O000111"/>
        <s v="O000112"/>
        <s v="O000113"/>
        <s v="O000114"/>
        <s v="O000115"/>
        <s v="O000116"/>
        <s v="O000117"/>
        <s v="O000118"/>
        <s v="O000119"/>
        <s v="O000120"/>
        <s v="O000121"/>
        <s v="O000122"/>
        <s v="O000123"/>
        <s v="O000124"/>
        <s v="O000125"/>
        <s v="O000126"/>
        <s v="O000127"/>
        <s v="O000128"/>
        <s v="O000129"/>
        <s v="O000130"/>
        <s v="O000131"/>
        <s v="O000132"/>
        <s v="O000133"/>
        <s v="O000134"/>
        <s v="O000135"/>
        <s v="O000136"/>
        <s v="O000137"/>
        <s v="O000138"/>
        <s v="O000139"/>
        <s v="O000140"/>
        <s v="O000141"/>
        <s v="O000142"/>
        <s v="O000143"/>
        <s v="O000144"/>
        <s v="O000145"/>
        <s v="O000146"/>
        <s v="O000147"/>
        <s v="O000148"/>
        <s v="O000149"/>
        <s v="O000150"/>
        <s v="O000151"/>
        <s v="O000152"/>
        <s v="O000153"/>
        <s v="O000154"/>
        <s v="O000155"/>
        <s v="O000156"/>
        <s v="O000157"/>
        <s v="O000158"/>
        <s v="O000159"/>
        <s v="O000160"/>
        <s v="O000161"/>
        <s v="O000162"/>
        <s v="O000163"/>
        <s v="O000164"/>
        <s v="O000165"/>
        <s v="O000166"/>
        <s v="O000167"/>
        <s v="O000168"/>
        <s v="O000169"/>
        <s v="O000170"/>
        <s v="O000171"/>
        <s v="O000172"/>
        <s v="O000173"/>
        <s v="O000174"/>
        <s v="O000175"/>
        <s v="O000176"/>
        <s v="O000177"/>
        <s v="O000178"/>
        <s v="O000179"/>
        <s v="O000180"/>
        <s v="O000181"/>
        <s v="O000182"/>
        <s v="O000183"/>
        <s v="O000184"/>
        <s v="O000185"/>
        <s v="O000186"/>
        <s v="O000187"/>
        <s v="O000188"/>
        <s v="O000189"/>
        <s v="O000190"/>
        <s v="O000191"/>
        <s v="O000192"/>
        <s v="O000193"/>
        <s v="O000194"/>
        <s v="O000195"/>
        <s v="O000196"/>
        <s v="O000197"/>
        <s v="O000198"/>
        <s v="O000199"/>
        <s v="O000200"/>
        <s v="O000201"/>
        <s v="O000202"/>
        <s v="O000203"/>
        <s v="O000204"/>
        <s v="O000205"/>
        <s v="O000206"/>
        <s v="O000207"/>
        <s v="O000208"/>
        <s v="O000209"/>
        <s v="O000210"/>
        <s v="O000211"/>
        <s v="O000212"/>
        <s v="O000213"/>
        <s v="O000214"/>
        <s v="O000215"/>
        <s v="O000216"/>
        <s v="O000217"/>
        <s v="O000218"/>
        <s v="O000219"/>
        <s v="O000220"/>
        <s v="O000221"/>
        <s v="O000222"/>
        <s v="O000223"/>
        <s v="O000224"/>
        <s v="O000225"/>
        <s v="O000226"/>
        <s v="O000227"/>
        <s v="O000228"/>
        <s v="O000229"/>
        <s v="O000230"/>
        <s v="O000231"/>
        <s v="O000232"/>
        <s v="O000233"/>
        <s v="O000234"/>
        <s v="O000235"/>
        <s v="O000236"/>
        <s v="O000237"/>
        <s v="O000238"/>
        <s v="O000239"/>
        <s v="O000240"/>
        <s v="O000241"/>
        <s v="O000242"/>
        <s v="O000243"/>
        <s v="O000244"/>
        <s v="O000245"/>
        <s v="O000246"/>
        <s v="O000247"/>
        <s v="O000248"/>
        <s v="O000249"/>
        <s v="O000250"/>
        <s v="O000251"/>
        <s v="O000252"/>
        <s v="O000253"/>
        <s v="O000254"/>
        <s v="O000255"/>
        <s v="O000256"/>
        <s v="O000257"/>
        <s v="O000258"/>
        <s v="O000259"/>
        <s v="O000260"/>
        <s v="O000261"/>
        <s v="O000262"/>
        <s v="O000263"/>
        <s v="O000264"/>
        <s v="O000265"/>
        <s v="O000266"/>
        <s v="O000267"/>
        <s v="O000268"/>
        <s v="O000269"/>
        <s v="O000270"/>
        <s v="O000271"/>
        <s v="O000272"/>
        <s v="O000273"/>
        <s v="O000274"/>
        <s v="O000275"/>
        <s v="O000276"/>
        <s v="O000277"/>
        <s v="O000278"/>
        <s v="O000279"/>
        <s v="O000280"/>
        <s v="O000281"/>
        <s v="O000282"/>
        <s v="O000283"/>
        <s v="O000284"/>
        <s v="O000285"/>
        <s v="O000286"/>
        <s v="O000287"/>
        <s v="O000288"/>
        <s v="O000289"/>
        <s v="O000290"/>
        <s v="O000291"/>
        <s v="O000292"/>
        <s v="O000293"/>
        <s v="O000294"/>
        <s v="O000295"/>
        <s v="O000296"/>
        <s v="O000297"/>
        <s v="O000298"/>
        <s v="O000299"/>
        <s v="O000300"/>
        <s v="O000301"/>
        <s v="O000302"/>
        <s v="O000303"/>
        <s v="O000304"/>
        <s v="O000305"/>
        <s v="O000306"/>
        <s v="O000307"/>
        <s v="O000308"/>
        <s v="O000309"/>
        <s v="O000310"/>
        <s v="O000311"/>
        <s v="O000312"/>
        <s v="O000313"/>
        <s v="O000314"/>
        <s v="O000315"/>
        <s v="O000316"/>
        <s v="O000317"/>
        <s v="O000318"/>
        <s v="O000319"/>
        <s v="O000320"/>
        <s v="O000321"/>
        <s v="O000322"/>
        <s v="O000323"/>
        <s v="O000324"/>
        <s v="O000325"/>
        <s v="O000326"/>
        <s v="O000327"/>
        <s v="O000328"/>
        <s v="O000329"/>
        <s v="O000330"/>
        <s v="O000331"/>
        <s v="O000332"/>
        <s v="O000333"/>
        <s v="O000334"/>
        <s v="O000335"/>
        <s v="O000336"/>
        <s v="O000337"/>
        <s v="O000338"/>
        <s v="O000339"/>
        <s v="O000340"/>
        <s v="O000341"/>
        <s v="O000342"/>
        <s v="O000343"/>
        <s v="O000344"/>
        <s v="O000345"/>
        <s v="O000346"/>
        <s v="O000347"/>
        <s v="O000348"/>
        <s v="O000349"/>
        <s v="O000350"/>
        <s v="O000351"/>
        <s v="O000352"/>
        <s v="O000353"/>
        <s v="O000354"/>
        <s v="O000355"/>
        <s v="O000356"/>
        <s v="O000357"/>
        <s v="O000358"/>
        <s v="O000359"/>
        <s v="O000360"/>
        <s v="O000361"/>
        <s v="O000362"/>
        <s v="O000363"/>
        <s v="O000364"/>
        <s v="O000365"/>
        <s v="O000366"/>
        <s v="O000367"/>
        <s v="O000368"/>
        <s v="O000369"/>
        <s v="O000370"/>
        <s v="O000371"/>
        <s v="O000372"/>
        <s v="O000373"/>
        <s v="O000374"/>
        <s v="O000375"/>
        <s v="O000376"/>
        <s v="O000377"/>
        <s v="O000378"/>
        <s v="O000379"/>
        <s v="O000380"/>
        <s v="O000381"/>
        <s v="O000382"/>
        <s v="O000383"/>
        <s v="O000384"/>
        <s v="O000385"/>
        <s v="O000386"/>
        <s v="O000387"/>
        <s v="O000388"/>
        <s v="O000389"/>
        <s v="O000390"/>
        <s v="O000391"/>
        <s v="O000392"/>
        <s v="O000393"/>
        <s v="O000394"/>
        <s v="O000395"/>
        <s v="O000396"/>
        <s v="O000397"/>
        <s v="O000398"/>
        <s v="O000399"/>
        <s v="O000400"/>
        <s v="O000401"/>
        <s v="O000402"/>
        <s v="O000403"/>
        <s v="O000404"/>
        <s v="O000405"/>
        <s v="O000406"/>
        <s v="O000407"/>
        <s v="O000408"/>
        <s v="O000409"/>
        <s v="O000410"/>
        <s v="O000411"/>
        <s v="O000412"/>
        <s v="O000413"/>
        <s v="O000414"/>
        <s v="O000415"/>
        <s v="O000416"/>
        <s v="O000417"/>
        <s v="O000418"/>
        <s v="O000419"/>
        <s v="O000420"/>
        <s v="O000421"/>
        <s v="O000422"/>
        <s v="O000423"/>
        <s v="O000424"/>
        <s v="O000425"/>
        <s v="O000426"/>
        <s v="O000427"/>
        <s v="O000428"/>
        <s v="O000429"/>
        <s v="O000430"/>
        <s v="O000431"/>
        <s v="O000432"/>
        <s v="O000433"/>
        <s v="O000434"/>
        <s v="O000435"/>
        <s v="O000436"/>
        <s v="O000437"/>
        <s v="O000438"/>
        <s v="O000439"/>
        <s v="O000440"/>
        <s v="O000441"/>
        <s v="O000442"/>
        <s v="O000443"/>
        <s v="O000444"/>
        <s v="O000445"/>
        <s v="O000446"/>
        <s v="O000447"/>
        <s v="O000448"/>
        <s v="O000449"/>
        <s v="O000450"/>
        <s v="O000451"/>
        <s v="O000452"/>
        <s v="O000453"/>
        <s v="O000454"/>
        <s v="O000455"/>
        <s v="O000456"/>
        <s v="O000457"/>
        <s v="O000458"/>
        <s v="O000459"/>
        <s v="O000460"/>
        <s v="O000461"/>
        <s v="O000462"/>
        <s v="O000463"/>
        <s v="O000464"/>
        <s v="O000465"/>
        <s v="O000466"/>
        <s v="O000467"/>
        <s v="O000468"/>
        <s v="O000469"/>
        <s v="O000470"/>
        <s v="O000471"/>
        <s v="O000472"/>
        <s v="O000473"/>
        <s v="O000474"/>
        <s v="O000475"/>
        <s v="O000476"/>
        <s v="O000477"/>
        <s v="O000478"/>
        <s v="O000479"/>
        <s v="O000480"/>
        <s v="O000481"/>
        <s v="O000482"/>
        <s v="O000483"/>
        <s v="O000484"/>
        <s v="O000485"/>
        <s v="O000486"/>
        <s v="O000487"/>
        <s v="O000488"/>
        <s v="O000489"/>
        <s v="O000490"/>
        <s v="O000491"/>
        <s v="O000492"/>
        <s v="O000493"/>
        <s v="O000494"/>
        <s v="O000495"/>
        <s v="O000496"/>
        <s v="O000497"/>
        <s v="O000498"/>
        <s v="O000499"/>
        <s v="O000500"/>
        <s v="O000501"/>
        <s v="O000502"/>
        <s v="O000503"/>
        <s v="O000504"/>
        <s v="O000505"/>
        <s v="O000506"/>
        <s v="O000507"/>
        <s v="O000508"/>
        <s v="O000509"/>
        <s v="O000510"/>
        <s v="O000511"/>
        <s v="O000512"/>
        <s v="O000513"/>
        <s v="O000514"/>
        <s v="O000515"/>
        <s v="O000516"/>
        <s v="O000517"/>
        <s v="O000518"/>
        <s v="O000519"/>
        <s v="O000520"/>
        <s v="O000521"/>
        <s v="O000522"/>
        <s v="O000523"/>
        <s v="O000524"/>
        <s v="O000525"/>
        <s v="O000526"/>
        <s v="O000527"/>
        <s v="O000528"/>
        <s v="O000529"/>
        <s v="O000530"/>
        <s v="O000531"/>
        <s v="O000532"/>
        <s v="O000533"/>
        <s v="O000534"/>
        <s v="O000535"/>
        <s v="O000536"/>
        <s v="O000537"/>
        <s v="O000538"/>
        <s v="O000539"/>
        <s v="O000540"/>
        <s v="O000541"/>
        <s v="O000542"/>
        <s v="O000543"/>
        <s v="O000544"/>
        <s v="O000545"/>
        <s v="O000546"/>
        <s v="O000547"/>
        <s v="O000548"/>
        <s v="O000549"/>
        <s v="O000550"/>
        <s v="O000551"/>
        <s v="O000552"/>
        <s v="O000553"/>
        <s v="O000554"/>
        <s v="O000555"/>
        <s v="O000556"/>
        <s v="O000557"/>
        <s v="O000558"/>
        <s v="O000559"/>
        <s v="O000560"/>
        <s v="O000561"/>
        <s v="O000562"/>
        <s v="O000563"/>
        <s v="O000564"/>
        <s v="O000565"/>
        <s v="O000566"/>
        <s v="O000567"/>
        <s v="O000568"/>
        <s v="O000569"/>
        <s v="O000570"/>
        <s v="O000571"/>
        <s v="O000572"/>
        <s v="O000573"/>
        <s v="O000574"/>
        <s v="O000575"/>
        <s v="O000576"/>
        <s v="O000577"/>
        <s v="O000578"/>
        <s v="O000579"/>
        <s v="O000580"/>
        <s v="O000581"/>
        <s v="O000582"/>
        <s v="O000583"/>
        <s v="O000584"/>
        <s v="O000585"/>
        <s v="O000586"/>
        <s v="O000587"/>
        <s v="O000588"/>
        <s v="O000589"/>
        <s v="O000590"/>
        <s v="O000591"/>
        <s v="O000592"/>
        <s v="O000593"/>
        <s v="O000594"/>
        <s v="O000595"/>
        <s v="O000596"/>
        <s v="O000597"/>
        <s v="O000598"/>
        <s v="O000599"/>
        <s v="O000600"/>
        <s v="O000601"/>
        <s v="O000602"/>
        <s v="O000603"/>
        <s v="O000604"/>
        <s v="O000605"/>
        <s v="O000606"/>
        <s v="O000607"/>
        <s v="O000608"/>
        <s v="O000609"/>
        <s v="O000610"/>
        <s v="O000611"/>
        <s v="O000612"/>
        <s v="O000613"/>
        <s v="O000614"/>
        <s v="O000615"/>
        <s v="O000616"/>
        <s v="O000617"/>
        <s v="O000618"/>
        <s v="O000619"/>
        <s v="O000620"/>
        <s v="O000621"/>
        <s v="O000622"/>
        <s v="O000623"/>
        <s v="O000624"/>
        <s v="O000625"/>
        <s v="O000626"/>
        <s v="O000627"/>
        <s v="O000628"/>
        <s v="O000629"/>
        <s v="O000630"/>
        <s v="O000631"/>
        <s v="O000632"/>
        <s v="O000633"/>
        <s v="O000634"/>
        <s v="O000635"/>
        <s v="O000636"/>
        <s v="O000637"/>
        <s v="O000638"/>
        <s v="O000639"/>
        <s v="O000640"/>
        <s v="O000641"/>
        <s v="O000642"/>
        <s v="O000643"/>
        <s v="O000644"/>
        <s v="O000645"/>
        <s v="O000646"/>
        <s v="O000647"/>
        <s v="O000648"/>
        <s v="O000649"/>
        <s v="O000650"/>
        <s v="O000651"/>
        <s v="O000652"/>
        <s v="O000653"/>
        <s v="O000654"/>
        <s v="O000655"/>
        <s v="O000656"/>
        <s v="O000657"/>
        <s v="O000658"/>
        <s v="O000659"/>
        <s v="O000660"/>
        <s v="O000661"/>
        <s v="O000662"/>
        <s v="O000663"/>
        <s v="O000664"/>
        <s v="O000665"/>
        <s v="O000666"/>
        <s v="O000667"/>
        <s v="O000668"/>
        <s v="O000669"/>
        <s v="O000670"/>
        <s v="O000671"/>
        <s v="O000672"/>
        <s v="O000673"/>
        <s v="O000674"/>
        <s v="O000675"/>
        <s v="O000676"/>
        <s v="O000677"/>
        <s v="O000678"/>
        <s v="O000679"/>
        <s v="O000680"/>
        <s v="O000681"/>
        <s v="O000682"/>
        <s v="O000683"/>
        <s v="O000684"/>
        <s v="O000685"/>
        <s v="O000686"/>
        <s v="O000687"/>
        <s v="O000688"/>
        <s v="O000689"/>
        <s v="O000690"/>
        <s v="O000691"/>
        <s v="O000692"/>
        <s v="O000693"/>
        <s v="O000694"/>
        <s v="O000695"/>
        <s v="O000696"/>
        <s v="O000697"/>
        <s v="O000698"/>
        <s v="O000699"/>
        <s v="O000700"/>
        <s v="O000701"/>
        <s v="O000702"/>
        <s v="O000703"/>
        <s v="O000704"/>
        <s v="O000705"/>
        <s v="O000706"/>
        <s v="O000707"/>
        <s v="O000708"/>
        <s v="O000709"/>
        <s v="O000710"/>
        <s v="O000711"/>
        <s v="O000712"/>
        <s v="O000713"/>
        <s v="O000714"/>
        <s v="O000715"/>
        <s v="O000716"/>
        <s v="O000717"/>
        <s v="O000718"/>
        <s v="O000719"/>
        <s v="O000720"/>
        <s v="O000721"/>
        <s v="O000722"/>
        <s v="O000723"/>
        <s v="O000724"/>
        <s v="O000725"/>
        <s v="O000726"/>
        <s v="O000727"/>
        <s v="O000728"/>
        <s v="O000729"/>
        <s v="O000730"/>
        <s v="O000731"/>
        <s v="O000732"/>
        <s v="O000733"/>
        <s v="O000734"/>
        <s v="O000735"/>
        <s v="O000736"/>
        <s v="O000737"/>
        <s v="O000738"/>
        <s v="O000739"/>
        <s v="O000740"/>
        <s v="O000741"/>
        <s v="O000742"/>
        <s v="O000743"/>
        <s v="O000744"/>
        <s v="O000745"/>
        <s v="O000746"/>
        <s v="O000747"/>
        <s v="O000748"/>
        <s v="O000749"/>
        <s v="O000750"/>
        <s v="O000751"/>
        <s v="O000752"/>
        <s v="O000753"/>
        <s v="O000754"/>
        <s v="O000755"/>
        <s v="O000756"/>
        <s v="O000757"/>
        <s v="O000758"/>
        <s v="O000759"/>
        <s v="O000760"/>
        <s v="O000761"/>
        <s v="O000762"/>
        <s v="O000763"/>
        <s v="O000764"/>
        <s v="O000765"/>
        <s v="O000766"/>
        <s v="O000767"/>
        <s v="O000768"/>
        <s v="O000769"/>
        <s v="O000770"/>
        <s v="O000771"/>
        <s v="O000772"/>
        <s v="O000773"/>
        <s v="O000774"/>
        <s v="O000775"/>
        <s v="O000776"/>
        <s v="O000777"/>
        <s v="O000778"/>
        <s v="O000779"/>
        <s v="O000780"/>
        <s v="O000781"/>
        <s v="O000782"/>
        <s v="O000783"/>
        <s v="O000784"/>
        <s v="O000785"/>
        <s v="O000786"/>
        <s v="O000787"/>
        <s v="O000788"/>
        <s v="O000789"/>
        <s v="O000790"/>
        <s v="O000791"/>
        <s v="O000792"/>
        <s v="O000793"/>
        <s v="O000794"/>
        <s v="O000795"/>
        <s v="O000796"/>
        <s v="O000797"/>
        <s v="O000798"/>
        <s v="O000799"/>
        <s v="O000800"/>
        <s v="O000801"/>
        <s v="O000802"/>
        <s v="O000803"/>
        <s v="O000804"/>
        <s v="O000805"/>
        <s v="O000806"/>
        <s v="O000807"/>
        <s v="O000808"/>
        <s v="O000809"/>
        <s v="O000810"/>
        <s v="O000811"/>
        <s v="O000812"/>
        <s v="O000813"/>
        <s v="O000814"/>
        <s v="O000815"/>
        <s v="O000816"/>
        <s v="O000817"/>
        <s v="O000818"/>
        <s v="O000819"/>
        <s v="O000820"/>
        <s v="O000821"/>
        <s v="O000822"/>
        <s v="O000823"/>
        <s v="O000824"/>
        <s v="O000825"/>
        <s v="O000826"/>
        <s v="O000827"/>
        <s v="O000828"/>
        <s v="O000829"/>
        <s v="O000830"/>
        <s v="O000831"/>
        <s v="O000832"/>
        <s v="O000833"/>
        <s v="O000834"/>
        <s v="O000835"/>
        <s v="O000836"/>
        <s v="O000837"/>
        <s v="O000838"/>
        <s v="O000839"/>
        <s v="O000840"/>
        <s v="O000841"/>
        <s v="O000842"/>
        <s v="O000843"/>
        <s v="O000844"/>
        <s v="O000845"/>
        <s v="O000846"/>
        <s v="O000847"/>
        <s v="O000848"/>
        <s v="O000849"/>
        <s v="O000850"/>
        <s v="O000851"/>
        <s v="O000852"/>
        <s v="O000853"/>
        <s v="O000854"/>
        <s v="O000855"/>
        <s v="O000856"/>
        <s v="O000857"/>
        <s v="O000858"/>
        <s v="O000859"/>
        <s v="O000860"/>
        <s v="O000861"/>
        <s v="O000862"/>
        <s v="O000863"/>
        <s v="O000864"/>
        <s v="O000865"/>
        <s v="O000866"/>
        <s v="O000867"/>
        <s v="O000868"/>
        <s v="O000869"/>
        <s v="O000870"/>
        <s v="O000871"/>
        <s v="O000872"/>
        <s v="O000873"/>
        <s v="O000874"/>
        <s v="O000875"/>
        <s v="O000876"/>
        <s v="O000877"/>
        <s v="O000878"/>
        <s v="O000879"/>
        <s v="O000880"/>
        <s v="O000881"/>
        <s v="O000882"/>
        <s v="O000883"/>
        <s v="O000884"/>
        <s v="O000885"/>
        <s v="O000886"/>
        <s v="O000887"/>
        <s v="O000888"/>
        <s v="O000889"/>
        <s v="O000890"/>
        <s v="O000891"/>
        <s v="O000892"/>
        <s v="O000893"/>
        <s v="O000894"/>
        <s v="O000895"/>
        <s v="O000896"/>
        <s v="O000897"/>
        <s v="O000898"/>
        <s v="O000899"/>
        <s v="O000900"/>
        <s v="O000901"/>
        <s v="O000902"/>
        <s v="O000903"/>
        <s v="O000904"/>
        <s v="O000905"/>
        <s v="O000906"/>
        <s v="O000907"/>
        <s v="O000908"/>
        <s v="O000909"/>
        <s v="O000910"/>
        <s v="O000911"/>
        <s v="O000912"/>
        <s v="O000913"/>
        <s v="O000914"/>
        <s v="O000915"/>
        <s v="O000916"/>
        <s v="O000917"/>
        <s v="O000918"/>
        <s v="O000919"/>
        <s v="O000920"/>
        <s v="O000921"/>
        <s v="O000922"/>
        <s v="O000923"/>
        <s v="O000924"/>
        <s v="O000925"/>
        <s v="O000926"/>
        <s v="O000927"/>
        <s v="O000928"/>
        <s v="O000929"/>
        <s v="O000930"/>
        <s v="O000931"/>
        <s v="O000932"/>
        <s v="O000933"/>
        <s v="O000934"/>
        <s v="O000935"/>
        <s v="O000936"/>
        <s v="O000937"/>
        <s v="O000938"/>
        <s v="O000939"/>
        <s v="O000940"/>
        <s v="O000941"/>
        <s v="O000942"/>
        <s v="O000943"/>
        <s v="O000944"/>
        <s v="O000945"/>
        <s v="O000946"/>
        <s v="O000947"/>
        <s v="O000948"/>
        <s v="O000949"/>
        <s v="O000950"/>
        <s v="O000951"/>
        <s v="O000952"/>
        <s v="O000953"/>
        <s v="O000954"/>
        <s v="O000955"/>
        <s v="O000956"/>
        <s v="O000957"/>
        <s v="O000958"/>
        <s v="O000959"/>
        <s v="O000960"/>
        <s v="O000961"/>
        <s v="O000962"/>
        <s v="O000963"/>
        <s v="O000964"/>
        <s v="O000965"/>
        <s v="O000966"/>
        <s v="O000967"/>
        <s v="O000968"/>
        <s v="O000969"/>
        <s v="O000970"/>
        <s v="O000971"/>
        <s v="O000972"/>
        <s v="O000973"/>
        <s v="O000974"/>
        <s v="O000975"/>
        <s v="O000976"/>
        <s v="O000977"/>
        <s v="O000978"/>
        <s v="O000979"/>
        <s v="O000980"/>
        <s v="O000981"/>
        <s v="O000982"/>
        <s v="O000983"/>
        <s v="O000984"/>
        <s v="O000985"/>
        <s v="O000986"/>
        <s v="O000987"/>
        <s v="O000988"/>
        <s v="O000989"/>
        <s v="O000990"/>
        <s v="O000991"/>
        <s v="O000992"/>
        <s v="O000993"/>
        <s v="O000994"/>
        <s v="O000995"/>
        <s v="O000996"/>
        <s v="O000997"/>
        <s v="O000998"/>
        <s v="O000999"/>
        <s v="O001000"/>
        <s v="O001001"/>
        <s v="O001002"/>
        <s v="O001003"/>
        <s v="O001004"/>
        <s v="O001005"/>
        <s v="O001006"/>
        <s v="O001007"/>
        <s v="O001008"/>
        <s v="O001009"/>
        <s v="O001010"/>
        <s v="O001011"/>
        <s v="O001012"/>
        <s v="O001013"/>
        <s v="O001014"/>
        <s v="O001015"/>
        <s v="O001016"/>
        <s v="O001017"/>
        <s v="O001018"/>
        <s v="O001019"/>
        <s v="O001020"/>
        <s v="O001021"/>
        <s v="O001022"/>
        <s v="O001023"/>
        <s v="O001024"/>
        <s v="O001025"/>
        <s v="O001026"/>
        <s v="O001027"/>
        <s v="O001028"/>
        <s v="O001029"/>
        <s v="O001030"/>
        <s v="O001031"/>
        <s v="O001032"/>
        <s v="O001033"/>
        <s v="O001034"/>
        <s v="O001035"/>
        <s v="O001036"/>
        <s v="O001037"/>
        <s v="O001038"/>
        <s v="O001039"/>
        <s v="O001040"/>
        <s v="O001041"/>
        <s v="O001042"/>
        <s v="O001043"/>
        <s v="O001044"/>
        <s v="O001045"/>
        <s v="O001046"/>
        <s v="O001047"/>
        <s v="O001048"/>
        <s v="O001049"/>
        <s v="O001050"/>
        <s v="O001051"/>
        <s v="O001052"/>
        <s v="O001053"/>
        <s v="O001054"/>
        <s v="O001055"/>
        <s v="O001056"/>
        <s v="O001057"/>
        <s v="O001058"/>
        <s v="O001059"/>
        <s v="O001060"/>
        <s v="O001061"/>
        <s v="O001062"/>
        <s v="O001063"/>
        <s v="O001064"/>
        <s v="O001065"/>
        <s v="O001066"/>
        <s v="O001067"/>
        <s v="O001068"/>
        <s v="O001069"/>
        <s v="O001070"/>
        <s v="O001071"/>
        <s v="O001072"/>
        <s v="O001073"/>
        <s v="O001074"/>
        <s v="O001075"/>
        <s v="O001076"/>
        <s v="O001077"/>
        <s v="O001078"/>
        <s v="O001079"/>
        <s v="O001080"/>
        <s v="O001081"/>
        <s v="O001082"/>
        <s v="O001083"/>
        <s v="O001084"/>
        <s v="O001085"/>
        <s v="O001086"/>
        <s v="O001087"/>
        <s v="O001088"/>
        <s v="O001089"/>
        <s v="O001090"/>
        <s v="O001091"/>
        <s v="O001092"/>
        <s v="O001093"/>
        <s v="O001094"/>
        <s v="O001095"/>
        <s v="O001096"/>
        <s v="O001097"/>
        <s v="O001098"/>
        <s v="O001099"/>
        <s v="O001100"/>
        <s v="O001101"/>
        <s v="O001102"/>
        <s v="O001103"/>
        <s v="O001104"/>
        <s v="O001105"/>
        <s v="O001106"/>
        <s v="O001107"/>
        <s v="O001108"/>
        <s v="O001109"/>
        <s v="O001110"/>
        <s v="O001111"/>
        <s v="O001112"/>
        <s v="O001113"/>
        <s v="O001114"/>
        <s v="O001115"/>
        <s v="O001116"/>
        <s v="O001117"/>
        <s v="O001118"/>
        <s v="O001119"/>
        <s v="O001120"/>
        <s v="O001121"/>
        <s v="O001122"/>
        <s v="O001123"/>
        <s v="O001124"/>
        <s v="O001125"/>
        <s v="O001126"/>
        <s v="O001127"/>
        <s v="O001128"/>
        <s v="O001129"/>
        <s v="O001130"/>
        <s v="O001131"/>
        <s v="O001132"/>
        <s v="O001133"/>
        <s v="O001134"/>
        <s v="O001135"/>
        <s v="O001136"/>
        <s v="O001137"/>
        <s v="O001138"/>
        <s v="O001139"/>
        <s v="O001140"/>
        <s v="O001141"/>
        <s v="O001142"/>
        <s v="O001143"/>
        <s v="O001144"/>
        <s v="O001145"/>
        <s v="O001146"/>
        <s v="O001147"/>
        <s v="O001148"/>
        <s v="O001149"/>
        <s v="O001150"/>
        <s v="O001151"/>
        <s v="O001152"/>
        <s v="O001153"/>
        <s v="O001154"/>
        <s v="O001155"/>
        <s v="O001156"/>
        <s v="O001157"/>
        <s v="O001158"/>
        <s v="O001159"/>
        <s v="O001160"/>
        <s v="O001161"/>
        <s v="O001162"/>
        <s v="O001163"/>
        <s v="O001164"/>
        <s v="O001165"/>
        <s v="O001166"/>
        <s v="O001167"/>
        <s v="O001168"/>
        <s v="O001169"/>
        <s v="O001170"/>
        <s v="O001171"/>
        <s v="O001172"/>
        <s v="O001173"/>
        <s v="O001174"/>
        <s v="O001175"/>
        <s v="O001176"/>
        <s v="O001177"/>
        <s v="O001178"/>
        <s v="O001179"/>
        <s v="O001180"/>
        <s v="O001181"/>
        <s v="O001182"/>
        <s v="O001183"/>
        <s v="O001184"/>
        <s v="O001185"/>
        <s v="O001186"/>
        <s v="O001187"/>
        <s v="O001188"/>
        <s v="O001189"/>
        <s v="O001190"/>
        <s v="O001191"/>
        <s v="O001192"/>
        <s v="O001193"/>
        <s v="O001194"/>
        <s v="O001195"/>
        <s v="O001196"/>
        <s v="O001197"/>
        <s v="O001198"/>
        <s v="O001199"/>
        <s v="O001200"/>
        <s v="O001201"/>
        <s v="O001202"/>
        <s v="O001203"/>
        <s v="O001204"/>
        <s v="O001205"/>
        <s v="O001206"/>
        <s v="O001207"/>
        <s v="O001208"/>
        <s v="O001209"/>
        <s v="O001210"/>
        <s v="O001211"/>
        <s v="O001212"/>
        <s v="O001213"/>
        <s v="O001214"/>
        <s v="O001215"/>
        <s v="O001216"/>
        <s v="O001217"/>
        <s v="O001218"/>
        <s v="O001219"/>
        <s v="O001220"/>
        <s v="O001221"/>
        <s v="O001222"/>
        <s v="O001223"/>
        <s v="O001224"/>
        <s v="O001225"/>
        <s v="O001226"/>
        <s v="O001227"/>
        <s v="O001228"/>
        <s v="O001229"/>
        <s v="O001230"/>
        <s v="O001231"/>
        <s v="O001232"/>
        <s v="O001233"/>
        <s v="O001234"/>
        <s v="O001235"/>
        <s v="O001236"/>
        <s v="O001237"/>
        <s v="O001238"/>
        <s v="O001239"/>
        <s v="O001240"/>
        <s v="O001241"/>
        <s v="O001242"/>
        <s v="O001243"/>
        <s v="O001244"/>
        <s v="O001245"/>
        <s v="O001246"/>
        <s v="O001247"/>
        <s v="O001248"/>
        <s v="O001249"/>
        <s v="O001250"/>
        <s v="O001251"/>
        <s v="O001252"/>
        <s v="O001253"/>
        <s v="O001254"/>
        <s v="O001255"/>
        <s v="O001256"/>
        <s v="O001257"/>
        <s v="O001258"/>
        <s v="O001259"/>
        <s v="O001260"/>
        <s v="O001261"/>
        <s v="O001262"/>
        <s v="O001263"/>
        <s v="O001264"/>
        <s v="O001265"/>
        <s v="O001266"/>
        <s v="O001267"/>
        <s v="O001268"/>
        <s v="O001269"/>
        <s v="O001270"/>
        <s v="O001271"/>
        <s v="O001272"/>
        <s v="O001273"/>
        <s v="O001274"/>
        <s v="O001275"/>
        <s v="O001276"/>
        <s v="O001277"/>
        <s v="O001278"/>
        <s v="O001279"/>
        <s v="O001280"/>
        <s v="O001281"/>
        <s v="O001282"/>
        <s v="O001283"/>
        <s v="O001284"/>
        <s v="O001285"/>
        <s v="O001286"/>
        <s v="O001287"/>
        <s v="O001288"/>
        <s v="O001289"/>
        <s v="O001290"/>
        <s v="O001291"/>
        <s v="O001292"/>
        <s v="O001293"/>
        <s v="O001294"/>
        <s v="O001295"/>
        <s v="O001296"/>
        <s v="O001297"/>
        <s v="O001298"/>
        <s v="O001299"/>
        <s v="O001300"/>
        <s v="O001301"/>
        <s v="O001302"/>
        <s v="O001303"/>
        <s v="O001304"/>
        <s v="O001305"/>
        <s v="O001306"/>
        <s v="O001307"/>
        <s v="O001308"/>
        <s v="O001309"/>
        <s v="O001310"/>
        <s v="O001311"/>
        <s v="O001312"/>
        <s v="O001313"/>
        <s v="O001314"/>
        <s v="O001315"/>
        <s v="O001316"/>
        <s v="O001317"/>
        <s v="O001318"/>
        <s v="O001319"/>
        <s v="O001320"/>
        <s v="O001321"/>
        <s v="O001322"/>
        <s v="O001323"/>
        <s v="O001324"/>
        <s v="O001325"/>
        <s v="O001326"/>
        <s v="O001327"/>
        <s v="O001328"/>
        <s v="O001329"/>
        <s v="O001330"/>
        <s v="O001331"/>
        <s v="O001332"/>
        <s v="O001333"/>
        <s v="O001334"/>
        <s v="O001335"/>
        <s v="O001336"/>
        <s v="O001337"/>
        <s v="O001338"/>
        <s v="O001339"/>
        <s v="O001340"/>
        <s v="O001341"/>
        <s v="O001342"/>
        <s v="O001343"/>
        <s v="O001344"/>
        <s v="O001345"/>
        <s v="O001346"/>
        <s v="O001347"/>
        <s v="O001348"/>
        <s v="O001349"/>
        <s v="O001350"/>
        <s v="O001351"/>
        <s v="O001352"/>
        <s v="O001353"/>
        <s v="O001354"/>
        <s v="O001355"/>
        <s v="O001356"/>
        <s v="O001357"/>
        <s v="O001358"/>
        <s v="O001359"/>
        <s v="O001360"/>
        <s v="O001361"/>
        <s v="O001362"/>
        <s v="O001363"/>
        <s v="O001364"/>
        <s v="O001365"/>
        <s v="O001366"/>
        <s v="O001367"/>
        <s v="O001368"/>
        <s v="O001369"/>
        <s v="O001370"/>
        <s v="O001371"/>
        <s v="O001372"/>
        <s v="O001373"/>
        <s v="O001374"/>
        <s v="O001375"/>
        <s v="O001376"/>
        <s v="O001377"/>
        <s v="O001378"/>
        <s v="O001379"/>
        <s v="O001380"/>
        <s v="O001381"/>
        <s v="O001382"/>
        <s v="O001383"/>
        <s v="O001384"/>
        <s v="O001385"/>
        <s v="O001386"/>
        <s v="O001387"/>
        <s v="O001388"/>
        <s v="O001389"/>
        <s v="O001390"/>
        <s v="O001391"/>
        <s v="O001392"/>
        <s v="O001393"/>
        <s v="O001394"/>
        <s v="O001395"/>
        <s v="O001396"/>
        <s v="O001397"/>
        <s v="O001398"/>
        <s v="O001399"/>
        <s v="O001400"/>
        <s v="O001401"/>
        <s v="O001402"/>
        <s v="O001403"/>
        <s v="O001404"/>
        <s v="O001405"/>
        <s v="O001406"/>
        <s v="O001407"/>
        <s v="O001408"/>
        <s v="O001409"/>
        <s v="O001410"/>
        <s v="O001411"/>
        <s v="O001412"/>
        <s v="O001413"/>
        <s v="O001414"/>
        <s v="O001415"/>
        <s v="O001416"/>
        <s v="O001417"/>
        <s v="O001418"/>
        <s v="O001419"/>
        <s v="O001420"/>
        <s v="O001421"/>
        <s v="O001422"/>
        <s v="O001423"/>
        <s v="O001424"/>
        <s v="O001425"/>
        <s v="O001426"/>
        <s v="O001427"/>
        <s v="O001428"/>
        <s v="O001429"/>
        <s v="O001430"/>
        <s v="O001431"/>
        <s v="O001432"/>
        <s v="O001433"/>
        <s v="O001434"/>
        <s v="O001435"/>
        <s v="O001436"/>
        <s v="O001437"/>
        <s v="O001438"/>
        <s v="O001439"/>
        <s v="O001440"/>
        <s v="O001441"/>
        <s v="O001442"/>
        <s v="O001443"/>
        <s v="O001444"/>
        <s v="O001445"/>
        <s v="O001446"/>
        <s v="O001447"/>
        <s v="O001448"/>
        <s v="O001449"/>
        <s v="O001450"/>
        <s v="O001451"/>
        <s v="O001452"/>
        <s v="O001453"/>
        <s v="O001454"/>
        <s v="O001455"/>
        <s v="O001456"/>
        <s v="O001457"/>
        <s v="O001458"/>
        <s v="O001459"/>
        <s v="O001460"/>
        <s v="O001461"/>
        <s v="O001462"/>
        <s v="O001463"/>
        <s v="O001464"/>
        <s v="O001465"/>
        <s v="O001466"/>
        <s v="O001467"/>
        <s v="O001468"/>
        <s v="O001469"/>
        <s v="O001470"/>
        <s v="O001471"/>
        <s v="O001472"/>
        <s v="O001473"/>
        <s v="O001474"/>
        <s v="O001475"/>
        <s v="O001476"/>
        <s v="O001477"/>
        <s v="O001478"/>
        <s v="O001479"/>
        <s v="O001480"/>
        <s v="O001481"/>
        <s v="O001482"/>
        <s v="O001483"/>
        <s v="O001484"/>
        <s v="O001485"/>
        <s v="O001486"/>
        <s v="O001487"/>
        <s v="O001488"/>
        <s v="O001489"/>
        <s v="O001490"/>
        <s v="O001491"/>
        <s v="O001492"/>
        <s v="O001493"/>
        <s v="O001494"/>
        <s v="O001495"/>
        <s v="O001496"/>
        <s v="O001497"/>
        <s v="O001498"/>
        <s v="O001499"/>
        <s v="O001500"/>
      </sharedItems>
    </cacheField>
    <cacheField name="Order Date" numFmtId="0">
      <sharedItems containsSemiMixedTypes="0" containsNonDate="0" containsDate="1" containsString="0" minDate="2025-01-01T00:00:00" maxDate="2025-12-31T00:00:00" count="356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6T00:00:00"/>
        <d v="2025-09-17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8T00:00:00"/>
        <d v="2025-12-30T00:00:00"/>
        <d v="2025-12-31T00:00:00"/>
      </sharedItems>
    </cacheField>
    <cacheField name="Customer ID" numFmtId="0">
      <sharedItems count="298">
        <s v="C0001"/>
        <s v="C0002"/>
        <s v="C0003"/>
        <s v="C0004"/>
        <s v="C0005"/>
        <s v="C0006"/>
        <s v="C0007"/>
        <s v="C0008"/>
        <s v="C0009"/>
        <s v="C0010"/>
        <s v="C0011"/>
        <s v="C0012"/>
        <s v="C0013"/>
        <s v="C0014"/>
        <s v="C0015"/>
        <s v="C0016"/>
        <s v="C0017"/>
        <s v="C0018"/>
        <s v="C0019"/>
        <s v="C0020"/>
        <s v="C0021"/>
        <s v="C0022"/>
        <s v="C0023"/>
        <s v="C0024"/>
        <s v="C0025"/>
        <s v="C0026"/>
        <s v="C0027"/>
        <s v="C0028"/>
        <s v="C0029"/>
        <s v="C0030"/>
        <s v="C0031"/>
        <s v="C0032"/>
        <s v="C0033"/>
        <s v="C0034"/>
        <s v="C0035"/>
        <s v="C0036"/>
        <s v="C0037"/>
        <s v="C0038"/>
        <s v="C0039"/>
        <s v="C0040"/>
        <s v="C0041"/>
        <s v="C0042"/>
        <s v="C0043"/>
        <s v="C0044"/>
        <s v="C0045"/>
        <s v="C0046"/>
        <s v="C0047"/>
        <s v="C0048"/>
        <s v="C0049"/>
        <s v="C0050"/>
        <s v="C0051"/>
        <s v="C0052"/>
        <s v="C0053"/>
        <s v="C0054"/>
        <s v="C0055"/>
        <s v="C0056"/>
        <s v="C0057"/>
        <s v="C0058"/>
        <s v="C0059"/>
        <s v="C0060"/>
        <s v="C0061"/>
        <s v="C0062"/>
        <s v="C0063"/>
        <s v="C0064"/>
        <s v="C0065"/>
        <s v="C0066"/>
        <s v="C0067"/>
        <s v="C0068"/>
        <s v="C0069"/>
        <s v="C0070"/>
        <s v="C0071"/>
        <s v="C0072"/>
        <s v="C0073"/>
        <s v="C0074"/>
        <s v="C0075"/>
        <s v="C0076"/>
        <s v="C0078"/>
        <s v="C0079"/>
        <s v="C0080"/>
        <s v="C0081"/>
        <s v="C0082"/>
        <s v="C0083"/>
        <s v="C0084"/>
        <s v="C0085"/>
        <s v="C0086"/>
        <s v="C0087"/>
        <s v="C0088"/>
        <s v="C0089"/>
        <s v="C0090"/>
        <s v="C0091"/>
        <s v="C0092"/>
        <s v="C0093"/>
        <s v="C0094"/>
        <s v="C0095"/>
        <s v="C0096"/>
        <s v="C0097"/>
        <s v="C0098"/>
        <s v="C0099"/>
        <s v="C0100"/>
        <s v="C0101"/>
        <s v="C0102"/>
        <s v="C0103"/>
        <s v="C0104"/>
        <s v="C0105"/>
        <s v="C0106"/>
        <s v="C0107"/>
        <s v="C0108"/>
        <s v="C0109"/>
        <s v="C0110"/>
        <s v="C0111"/>
        <s v="C0112"/>
        <s v="C0113"/>
        <s v="C0114"/>
        <s v="C0115"/>
        <s v="C0116"/>
        <s v="C0117"/>
        <s v="C0118"/>
        <s v="C0119"/>
        <s v="C0120"/>
        <s v="C0121"/>
        <s v="C0122"/>
        <s v="C0123"/>
        <s v="C0124"/>
        <s v="C0125"/>
        <s v="C0126"/>
        <s v="C0127"/>
        <s v="C0128"/>
        <s v="C0129"/>
        <s v="C0130"/>
        <s v="C0132"/>
        <s v="C0133"/>
        <s v="C0134"/>
        <s v="C0135"/>
        <s v="C0136"/>
        <s v="C0137"/>
        <s v="C0138"/>
        <s v="C0139"/>
        <s v="C0140"/>
        <s v="C0141"/>
        <s v="C0142"/>
        <s v="C0143"/>
        <s v="C0144"/>
        <s v="C0145"/>
        <s v="C0146"/>
        <s v="C0147"/>
        <s v="C0148"/>
        <s v="C0149"/>
        <s v="C0150"/>
        <s v="C0151"/>
        <s v="C0152"/>
        <s v="C0153"/>
        <s v="C0154"/>
        <s v="C0155"/>
        <s v="C0156"/>
        <s v="C0157"/>
        <s v="C0158"/>
        <s v="C0159"/>
        <s v="C0160"/>
        <s v="C0161"/>
        <s v="C0162"/>
        <s v="C0163"/>
        <s v="C0164"/>
        <s v="C0165"/>
        <s v="C0166"/>
        <s v="C0167"/>
        <s v="C0168"/>
        <s v="C0169"/>
        <s v="C0170"/>
        <s v="C0171"/>
        <s v="C0172"/>
        <s v="C0173"/>
        <s v="C0174"/>
        <s v="C0175"/>
        <s v="C0176"/>
        <s v="C0177"/>
        <s v="C0178"/>
        <s v="C0179"/>
        <s v="C0180"/>
        <s v="C0181"/>
        <s v="C0182"/>
        <s v="C0183"/>
        <s v="C0184"/>
        <s v="C0185"/>
        <s v="C0186"/>
        <s v="C0187"/>
        <s v="C0188"/>
        <s v="C0189"/>
        <s v="C0190"/>
        <s v="C0191"/>
        <s v="C0192"/>
        <s v="C0193"/>
        <s v="C0194"/>
        <s v="C0195"/>
        <s v="C0196"/>
        <s v="C0197"/>
        <s v="C0198"/>
        <s v="C0199"/>
        <s v="C0200"/>
        <s v="C0201"/>
        <s v="C0202"/>
        <s v="C0203"/>
        <s v="C0204"/>
        <s v="C0205"/>
        <s v="C0206"/>
        <s v="C0207"/>
        <s v="C0208"/>
        <s v="C0209"/>
        <s v="C0210"/>
        <s v="C0211"/>
        <s v="C0212"/>
        <s v="C0213"/>
        <s v="C0214"/>
        <s v="C0215"/>
        <s v="C0216"/>
        <s v="C0217"/>
        <s v="C0218"/>
        <s v="C0219"/>
        <s v="C0220"/>
        <s v="C0221"/>
        <s v="C0222"/>
        <s v="C0223"/>
        <s v="C0224"/>
        <s v="C0225"/>
        <s v="C0226"/>
        <s v="C0227"/>
        <s v="C0228"/>
        <s v="C0229"/>
        <s v="C0230"/>
        <s v="C0231"/>
        <s v="C0232"/>
        <s v="C0233"/>
        <s v="C0234"/>
        <s v="C0235"/>
        <s v="C0236"/>
        <s v="C0237"/>
        <s v="C0238"/>
        <s v="C0239"/>
        <s v="C0240"/>
        <s v="C0241"/>
        <s v="C0242"/>
        <s v="C0243"/>
        <s v="C0244"/>
        <s v="C0245"/>
        <s v="C0246"/>
        <s v="C0247"/>
        <s v="C0248"/>
        <s v="C0249"/>
        <s v="C0250"/>
        <s v="C0251"/>
        <s v="C0252"/>
        <s v="C0253"/>
        <s v="C0254"/>
        <s v="C0255"/>
        <s v="C0256"/>
        <s v="C0257"/>
        <s v="C0258"/>
        <s v="C0259"/>
        <s v="C0260"/>
        <s v="C0261"/>
        <s v="C0262"/>
        <s v="C0263"/>
        <s v="C0264"/>
        <s v="C0265"/>
        <s v="C0266"/>
        <s v="C0267"/>
        <s v="C0268"/>
        <s v="C0269"/>
        <s v="C0270"/>
        <s v="C0271"/>
        <s v="C0272"/>
        <s v="C0273"/>
        <s v="C0274"/>
        <s v="C0275"/>
        <s v="C0276"/>
        <s v="C0277"/>
        <s v="C0278"/>
        <s v="C0279"/>
        <s v="C0280"/>
        <s v="C0281"/>
        <s v="C0282"/>
        <s v="C0283"/>
        <s v="C0284"/>
        <s v="C0285"/>
        <s v="C0286"/>
        <s v="C0287"/>
        <s v="C0288"/>
        <s v="C0289"/>
        <s v="C0290"/>
        <s v="C0291"/>
        <s v="C0292"/>
        <s v="C0293"/>
        <s v="C0294"/>
        <s v="C0295"/>
        <s v="C0296"/>
        <s v="C0297"/>
        <s v="C0298"/>
        <s v="C0299"/>
        <s v="C0300"/>
      </sharedItems>
    </cacheField>
    <cacheField name="Product ID" numFmtId="0">
      <sharedItems count="100">
        <s v="P1001"/>
        <s v="P1002"/>
        <s v="P1003"/>
        <s v="P1004"/>
        <s v="P1005"/>
        <s v="P1006"/>
        <s v="P1007"/>
        <s v="P1008"/>
        <s v="P1009"/>
        <s v="P1010"/>
        <s v="P1011"/>
        <s v="P1012"/>
        <s v="P1013"/>
        <s v="P1014"/>
        <s v="P1015"/>
        <s v="P1016"/>
        <s v="P1017"/>
        <s v="P1018"/>
        <s v="P1019"/>
        <s v="P1020"/>
        <s v="P1021"/>
        <s v="P1022"/>
        <s v="P1023"/>
        <s v="P1024"/>
        <s v="P1025"/>
        <s v="P1026"/>
        <s v="P1027"/>
        <s v="P1028"/>
        <s v="P1029"/>
        <s v="P1030"/>
        <s v="P1031"/>
        <s v="P1032"/>
        <s v="P1033"/>
        <s v="P1034"/>
        <s v="P1035"/>
        <s v="P1036"/>
        <s v="P1037"/>
        <s v="P1038"/>
        <s v="P1039"/>
        <s v="P1040"/>
        <s v="P1041"/>
        <s v="P1042"/>
        <s v="P1043"/>
        <s v="P1044"/>
        <s v="P1045"/>
        <s v="P1046"/>
        <s v="P1047"/>
        <s v="P1048"/>
        <s v="P1049"/>
        <s v="P1050"/>
        <s v="P1051"/>
        <s v="P1052"/>
        <s v="P1053"/>
        <s v="P1054"/>
        <s v="P1055"/>
        <s v="P1056"/>
        <s v="P1057"/>
        <s v="P1058"/>
        <s v="P1059"/>
        <s v="P1060"/>
        <s v="P1061"/>
        <s v="P1062"/>
        <s v="P1063"/>
        <s v="P1064"/>
        <s v="P1065"/>
        <s v="P1066"/>
        <s v="P1067"/>
        <s v="P1068"/>
        <s v="P1069"/>
        <s v="P1070"/>
        <s v="P1071"/>
        <s v="P1072"/>
        <s v="P1073"/>
        <s v="P1074"/>
        <s v="P1075"/>
        <s v="P1076"/>
        <s v="P1077"/>
        <s v="P1078"/>
        <s v="P1079"/>
        <s v="P1080"/>
        <s v="P1081"/>
        <s v="P1082"/>
        <s v="P1083"/>
        <s v="P1084"/>
        <s v="P1085"/>
        <s v="P1086"/>
        <s v="P1087"/>
        <s v="P1088"/>
        <s v="P1089"/>
        <s v="P1090"/>
        <s v="P1091"/>
        <s v="P1092"/>
        <s v="P1093"/>
        <s v="P1094"/>
        <s v="P1095"/>
        <s v="P1096"/>
        <s v="P1097"/>
        <s v="P1098"/>
        <s v="P1099"/>
        <s v="P1100"/>
      </sharedItems>
    </cacheField>
    <cacheField name="Product Name" numFmtId="0">
      <sharedItems count="100">
        <s v="Air Fryer"/>
        <s v="Art Supply Kit"/>
        <s v="Backpack"/>
        <s v="Badminton Racket"/>
        <s v="Ball Pen Set"/>
        <s v="Bath Gift Set"/>
        <s v="Bath Towel Set"/>
        <s v="Bedsheet Set"/>
        <s v="Belt"/>
        <s v="Bluetooth Speaker"/>
        <s v="Body Lotion"/>
        <s v="Book Stand"/>
        <s v="Calculator"/>
        <s v="Camping Torch"/>
        <s v="Casual T-Shirt"/>
        <s v="Charging Adapter"/>
        <s v="Coffee Maker"/>
        <s v="Comb Set"/>
        <s v="Cotton Shirt"/>
        <s v="Cricket Bat"/>
        <s v="Curtain Set"/>
        <s v="Cycling Bottle"/>
        <s v="Denim Jeans"/>
        <s v="Desk Organizer"/>
        <s v="Dinner Set"/>
        <s v="Doormat"/>
        <s v="Electric Kettle"/>
        <s v="Exercise Ball"/>
        <s v="Face Cleanser"/>
        <s v="Face Mask Pack"/>
        <s v="Face Moisturizer"/>
        <s v="File Folder Set"/>
        <s v="Food Storage Jars"/>
        <s v="Football"/>
        <s v="Formal Shoes"/>
        <s v="Geometry Box"/>
        <s v="Gym Gloves"/>
        <s v="Hair Dryer"/>
        <s v="Hair Serum"/>
        <s v="Hand Blender"/>
        <s v="Handbag"/>
        <s v="HDMI Cable"/>
        <s v="Headphones"/>
        <s v="Hiking Backpack"/>
        <s v="Hoodie"/>
        <s v="Induction Cooktop"/>
        <s v="Keyboard"/>
        <s v="Kitchen Rack"/>
        <s v="Knee Support Pair"/>
        <s v="Kurta"/>
        <s v="Laptop Sleeve"/>
        <s v="Laundry Basket"/>
        <s v="Lip Balm Set"/>
        <s v="Lunch Box"/>
        <s v="Makeup Brush Set"/>
        <s v="Marker Set"/>
        <s v="Memory Card"/>
        <s v="Mixer Grinder"/>
        <s v="Nail Care Kit"/>
        <s v="Nonstick Pan"/>
        <s v="Notebook Pack"/>
        <s v="Perfume"/>
        <s v="Phone Stand"/>
        <s v="Pillow Pair"/>
        <s v="Planner"/>
        <s v="Portable SSD"/>
        <s v="Power Bank"/>
        <s v="Reading Light"/>
        <s v="Resistance Bands"/>
        <s v="Rice Cooker"/>
        <s v="Room Heater"/>
        <s v="Running Shoes"/>
        <s v="Sandwich Maker"/>
        <s v="Scarf"/>
        <s v="Shampoo"/>
        <s v="Sketchbook"/>
        <s v="Skipping Rope"/>
        <s v="Smart Watch"/>
        <s v="Sneakers"/>
        <s v="Sports Cap"/>
        <s v="Sports Duffel Bag"/>
        <s v="Steam Iron"/>
        <s v="Sticky Notes Pack"/>
        <s v="Storage Container Set"/>
        <s v="Sunglasses"/>
        <s v="Sunscreen Lotion"/>
        <s v="Table Fan"/>
        <s v="Table Lamp"/>
        <s v="Tennis Balls Pack"/>
        <s v="Toaster"/>
        <s v="USB-C Cable"/>
        <s v="Vacuum Cleaner"/>
        <s v="Wall Clock"/>
        <s v="Wallet"/>
        <s v="Water Bottle"/>
        <s v="Webcam"/>
        <s v="Whiteboard"/>
        <s v="Wireless Earbuds"/>
        <s v="Wireless Mouse"/>
        <s v="Yoga Mat"/>
      </sharedItems>
    </cacheField>
    <cacheField name="Category" numFmtId="0">
      <sharedItems count="7">
        <s v="Appliances"/>
        <s v="Beauty"/>
        <s v="Books &amp; Stationery"/>
        <s v="Electronics"/>
        <s v="Fashion"/>
        <s v="Home &amp; Kitchen"/>
        <s v="Sports &amp; Outdoors"/>
      </sharedItems>
    </cacheField>
    <cacheField name="Quantity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Selling Price" numFmtId="0">
      <sharedItems containsSemiMixedTypes="0" containsString="0" containsNumber="1" containsInteger="1" minValue="149" maxValue="3999" count="25">
        <n v="149"/>
        <n v="199"/>
        <n v="249"/>
        <n v="299"/>
        <n v="349"/>
        <n v="399"/>
        <n v="449"/>
        <n v="499"/>
        <n v="599"/>
        <n v="699"/>
        <n v="799"/>
        <n v="899"/>
        <n v="999"/>
        <n v="1099"/>
        <n v="1199"/>
        <n v="1299"/>
        <n v="1399"/>
        <n v="1499"/>
        <n v="1599"/>
        <n v="1799"/>
        <n v="1999"/>
        <n v="2299"/>
        <n v="2499"/>
        <n v="3499"/>
        <n v="3999"/>
      </sharedItems>
    </cacheField>
    <cacheField name="Unit Cost" numFmtId="0">
      <sharedItems containsSemiMixedTypes="0" containsString="0" containsNumber="1" containsInteger="1" minValue="45" maxValue="2800" count="50">
        <n v="45"/>
        <n v="65"/>
        <n v="70"/>
        <n v="80"/>
        <n v="90"/>
        <n v="100"/>
        <n v="110"/>
        <n v="120"/>
        <n v="130"/>
        <n v="150"/>
        <n v="160"/>
        <n v="170"/>
        <n v="180"/>
        <n v="190"/>
        <n v="200"/>
        <n v="220"/>
        <n v="250"/>
        <n v="260"/>
        <n v="300"/>
        <n v="320"/>
        <n v="350"/>
        <n v="360"/>
        <n v="400"/>
        <n v="420"/>
        <n v="450"/>
        <n v="480"/>
        <n v="499"/>
        <n v="500"/>
        <n v="520"/>
        <n v="550"/>
        <n v="600"/>
        <n v="650"/>
        <n v="700"/>
        <n v="720"/>
        <n v="750"/>
        <n v="800"/>
        <n v="850"/>
        <n v="900"/>
        <n v="950"/>
        <n v="1050"/>
        <n v="1100"/>
        <n v="1200"/>
        <n v="1250"/>
        <n v="1300"/>
        <n v="1450"/>
        <n v="1550"/>
        <n v="1600"/>
        <n v="2400"/>
        <n v="2700"/>
        <n v="2800"/>
      </sharedItems>
    </cacheField>
    <cacheField name="Discount Rate" numFmtId="0">
      <sharedItems containsSemiMixedTypes="0" containsString="0" containsNumber="1" minValue="0" maxValue="0.25" count="6">
        <n v="0"/>
        <n v="0.05"/>
        <n v="0.1"/>
        <n v="0.15"/>
        <n v="0.2"/>
        <n v="0.25"/>
      </sharedItems>
    </cacheField>
    <cacheField name="Gross Sales" numFmtId="0">
      <sharedItems containsSemiMixedTypes="0" containsString="0" containsNumber="1" containsInteger="1" minValue="149" maxValue="15996" count="115">
        <n v="149"/>
        <n v="199"/>
        <n v="249"/>
        <n v="298"/>
        <n v="299"/>
        <n v="349"/>
        <n v="398"/>
        <n v="399"/>
        <n v="447"/>
        <n v="449"/>
        <n v="498"/>
        <n v="499"/>
        <n v="597"/>
        <n v="598"/>
        <n v="599"/>
        <n v="698"/>
        <n v="699"/>
        <n v="747"/>
        <n v="796"/>
        <n v="798"/>
        <n v="799"/>
        <n v="897"/>
        <n v="898"/>
        <n v="899"/>
        <n v="995"/>
        <n v="996"/>
        <n v="998"/>
        <n v="999"/>
        <n v="1047"/>
        <n v="1099"/>
        <n v="1196"/>
        <n v="1197"/>
        <n v="1198"/>
        <n v="1199"/>
        <n v="1245"/>
        <n v="1299"/>
        <n v="1347"/>
        <n v="1396"/>
        <n v="1398"/>
        <n v="1399"/>
        <n v="1495"/>
        <n v="1497"/>
        <n v="1499"/>
        <n v="1596"/>
        <n v="1598"/>
        <n v="1599"/>
        <n v="1745"/>
        <n v="1796"/>
        <n v="1797"/>
        <n v="1798"/>
        <n v="1799"/>
        <n v="1995"/>
        <n v="1996"/>
        <n v="1998"/>
        <n v="1999"/>
        <n v="2097"/>
        <n v="2198"/>
        <n v="2245"/>
        <n v="2299"/>
        <n v="2396"/>
        <n v="2397"/>
        <n v="2398"/>
        <n v="2495"/>
        <n v="2499"/>
        <n v="2598"/>
        <n v="2697"/>
        <n v="2796"/>
        <n v="2798"/>
        <n v="2995"/>
        <n v="2997"/>
        <n v="2998"/>
        <n v="3196"/>
        <n v="3198"/>
        <n v="3297"/>
        <n v="3495"/>
        <n v="3499"/>
        <n v="3596"/>
        <n v="3597"/>
        <n v="3598"/>
        <n v="3897"/>
        <n v="3995"/>
        <n v="3996"/>
        <n v="3998"/>
        <n v="3999"/>
        <n v="4197"/>
        <n v="4396"/>
        <n v="4495"/>
        <n v="4497"/>
        <n v="4598"/>
        <n v="4797"/>
        <n v="4995"/>
        <n v="4998"/>
        <n v="5196"/>
        <n v="5397"/>
        <n v="5495"/>
        <n v="5596"/>
        <n v="5996"/>
        <n v="5997"/>
        <n v="6396"/>
        <n v="6495"/>
        <n v="6897"/>
        <n v="6998"/>
        <n v="7497"/>
        <n v="7995"/>
        <n v="7996"/>
        <n v="7998"/>
        <n v="8995"/>
        <n v="9196"/>
        <n v="9995"/>
        <n v="9996"/>
        <n v="10497"/>
        <n v="11997"/>
        <n v="12495"/>
        <n v="13996"/>
        <n v="15996"/>
      </sharedItems>
    </cacheField>
    <cacheField name="Discount Amount" numFmtId="0">
      <sharedItems containsSemiMixedTypes="0" containsString="0" containsNumber="1" minValue="0" maxValue="3499" count="254">
        <n v="0"/>
        <n v="7.45"/>
        <n v="9.95"/>
        <n v="12.45"/>
        <n v="14.9"/>
        <n v="14.95"/>
        <n v="17.45"/>
        <n v="19.9"/>
        <n v="19.95"/>
        <n v="22.35"/>
        <n v="22.45"/>
        <n v="24.9"/>
        <n v="24.95"/>
        <n v="29.8"/>
        <n v="29.85"/>
        <n v="29.9"/>
        <n v="29.95"/>
        <n v="34.9"/>
        <n v="34.95"/>
        <n v="37.35"/>
        <n v="39.8"/>
        <n v="39.9"/>
        <n v="39.95"/>
        <n v="44.7"/>
        <n v="44.85"/>
        <n v="44.9"/>
        <n v="44.95"/>
        <n v="49.75"/>
        <n v="49.8"/>
        <n v="49.9"/>
        <n v="49.95"/>
        <n v="52.35"/>
        <n v="59.7"/>
        <n v="59.8"/>
        <n v="59.85"/>
        <n v="59.9"/>
        <n v="59.95"/>
        <n v="62.25"/>
        <n v="64.95"/>
        <n v="67.05"/>
        <n v="67.35"/>
        <n v="69.8"/>
        <n v="69.9"/>
        <n v="69.95"/>
        <n v="74.7"/>
        <n v="74.75"/>
        <n v="74.85"/>
        <n v="74.95"/>
        <n v="79.6"/>
        <n v="79.8"/>
        <n v="79.9"/>
        <n v="79.95"/>
        <n v="87.25"/>
        <n v="89.7"/>
        <n v="89.8"/>
        <n v="89.85"/>
        <n v="89.9"/>
        <n v="89.95"/>
        <n v="99.5"/>
        <n v="99.6"/>
        <n v="99.75"/>
        <n v="99.8"/>
        <n v="99.9"/>
        <n v="99.95"/>
        <n v="104.7"/>
        <n v="104.85"/>
        <n v="109.9"/>
        <n v="112.05"/>
        <n v="112.25"/>
        <n v="114.95"/>
        <n v="119.6"/>
        <n v="119.7"/>
        <n v="119.8"/>
        <n v="119.85"/>
        <n v="119.9"/>
        <n v="124.5"/>
        <n v="124.75"/>
        <n v="124.95"/>
        <n v="129.9"/>
        <n v="134.55"/>
        <n v="134.7"/>
        <n v="134.85"/>
        <n v="139.6"/>
        <n v="139.8"/>
        <n v="139.9"/>
        <n v="149.25"/>
        <n v="149.4"/>
        <n v="149.5"/>
        <n v="149.7"/>
        <n v="149.75"/>
        <n v="149.85"/>
        <n v="149.9"/>
        <n v="157.05"/>
        <n v="159.6"/>
        <n v="159.8"/>
        <n v="159.9"/>
        <n v="164.85"/>
        <n v="174.75"/>
        <n v="174.95"/>
        <n v="179.4"/>
        <n v="179.55"/>
        <n v="179.6"/>
        <n v="179.7"/>
        <n v="179.8"/>
        <n v="179.85"/>
        <n v="179.9"/>
        <n v="194.85"/>
        <n v="199"/>
        <n v="199.2"/>
        <n v="199.5"/>
        <n v="199.6"/>
        <n v="199.75"/>
        <n v="199.8"/>
        <n v="199.9"/>
        <n v="199.95"/>
        <n v="202.05"/>
        <n v="209.4"/>
        <n v="209.7"/>
        <n v="209.85"/>
        <n v="219.8"/>
        <n v="224.25"/>
        <n v="224.5"/>
        <n v="224.55"/>
        <n v="224.75"/>
        <n v="224.85"/>
        <n v="229.9"/>
        <n v="239.2"/>
        <n v="239.4"/>
        <n v="239.7"/>
        <n v="239.8"/>
        <n v="239.85"/>
        <n v="249.5"/>
        <n v="249.75"/>
        <n v="249.9"/>
        <n v="259.8"/>
        <n v="269.4"/>
        <n v="269.55"/>
        <n v="269.7"/>
        <n v="269.85"/>
        <n v="279.6"/>
        <n v="279.8"/>
        <n v="299"/>
        <n v="299.4"/>
        <n v="299.7"/>
        <n v="299.75"/>
        <n v="299.8"/>
        <n v="299.85"/>
        <n v="314.55"/>
        <n v="319.2"/>
        <n v="319.6"/>
        <n v="319.8"/>
        <n v="324.75"/>
        <n v="329.7"/>
        <n v="344.85"/>
        <n v="349.5"/>
        <n v="349.75"/>
        <n v="349.9"/>
        <n v="359.4"/>
        <n v="359.55"/>
        <n v="359.6"/>
        <n v="359.7"/>
        <n v="374.25"/>
        <n v="374.75"/>
        <n v="374.85"/>
        <n v="389.7"/>
        <n v="399"/>
        <n v="399.2"/>
        <n v="399.5"/>
        <n v="399.6"/>
        <n v="399.8"/>
        <n v="399.9"/>
        <n v="439.6"/>
        <n v="449"/>
        <n v="449.25"/>
        <n v="449.5"/>
        <n v="449.55"/>
        <n v="449.7"/>
        <n v="449.75"/>
        <n v="459.8"/>
        <n v="479.2"/>
        <n v="479.4"/>
        <n v="479.6"/>
        <n v="479.7"/>
        <n v="498.75"/>
        <n v="499.5"/>
        <n v="499.75"/>
        <n v="499.8"/>
        <n v="519.6"/>
        <n v="524.25"/>
        <n v="524.85"/>
        <n v="539.4"/>
        <n v="539.55"/>
        <n v="539.7"/>
        <n v="559.2"/>
        <n v="584.55"/>
        <n v="599"/>
        <n v="599.25"/>
        <n v="599.4"/>
        <n v="599.6"/>
        <n v="599.7"/>
        <n v="599.85"/>
        <n v="624.75"/>
        <n v="629.55"/>
        <n v="649.5"/>
        <n v="674.55"/>
        <n v="699"/>
        <n v="699.8"/>
        <n v="719.4"/>
        <n v="719.6"/>
        <n v="749.25"/>
        <n v="749.5"/>
        <n v="749.7"/>
        <n v="779.4"/>
        <n v="799"/>
        <n v="799.2"/>
        <n v="799.5"/>
        <n v="799.6"/>
        <n v="799.8"/>
        <n v="809.55"/>
        <n v="824.25"/>
        <n v="874.75"/>
        <n v="899"/>
        <n v="899.4"/>
        <n v="899.55"/>
        <n v="919.6"/>
        <n v="974.25"/>
        <n v="999.5"/>
        <n v="999.6"/>
        <n v="999.75"/>
        <n v="1034.55"/>
        <n v="1039.2"/>
        <n v="1049.7"/>
        <n v="1124.25"/>
        <n v="1149.5"/>
        <n v="1199.25"/>
        <n v="1199.4"/>
        <n v="1199.7"/>
        <n v="1248.75"/>
        <n v="1249.5"/>
        <n v="1299"/>
        <n v="1399"/>
        <n v="1499.25"/>
        <n v="1499.4"/>
        <n v="1574.55"/>
        <n v="1599.2"/>
        <n v="1599.6"/>
        <n v="1623.75"/>
        <n v="1799.55"/>
        <n v="1874.25"/>
        <n v="2099.4"/>
        <n v="2248.75"/>
        <n v="2498.75"/>
        <n v="2999.25"/>
        <n v="3499"/>
      </sharedItems>
    </cacheField>
    <cacheField name="Net Revenue" numFmtId="0">
      <sharedItems containsSemiMixedTypes="0" containsString="0" containsNumber="1" minValue="119.2" maxValue="15196.2" count="449">
        <n v="119.2"/>
        <n v="126.65"/>
        <n v="134.1"/>
        <n v="141.55"/>
        <n v="149"/>
        <n v="149.25"/>
        <n v="159.2"/>
        <n v="169.15"/>
        <n v="179.1"/>
        <n v="186.75"/>
        <n v="189.05"/>
        <n v="199"/>
        <n v="199.2"/>
        <n v="211.65"/>
        <n v="224.1"/>
        <n v="224.25"/>
        <n v="236.55"/>
        <n v="239.2"/>
        <n v="249"/>
        <n v="253.3"/>
        <n v="254.15"/>
        <n v="261.75"/>
        <n v="268.2"/>
        <n v="269.1"/>
        <n v="279.2"/>
        <n v="284.05"/>
        <n v="296.65"/>
        <n v="298"/>
        <n v="298.5"/>
        <n v="299"/>
        <n v="299.25"/>
        <n v="314.1"/>
        <n v="318.4"/>
        <n v="319.2"/>
        <n v="331.55"/>
        <n v="336.75"/>
        <n v="338.3"/>
        <n v="339.15"/>
        <n v="349"/>
        <n v="358.2"/>
        <n v="359.1"/>
        <n v="359.2"/>
        <n v="373.5"/>
        <n v="374.25"/>
        <n v="378.1"/>
        <n v="379.05"/>
        <n v="379.95"/>
        <n v="381.65"/>
        <n v="398"/>
        <n v="398.4"/>
        <n v="399"/>
        <n v="399.2"/>
        <n v="402.3"/>
        <n v="404.1"/>
        <n v="423.3"/>
        <n v="424.15"/>
        <n v="426.55"/>
        <n v="447.75"/>
        <n v="448.2"/>
        <n v="448.5"/>
        <n v="449"/>
        <n v="449.1"/>
        <n v="449.25"/>
        <n v="473.1"/>
        <n v="474.05"/>
        <n v="478.4"/>
        <n v="479.2"/>
        <n v="498"/>
        <n v="499"/>
        <n v="508.3"/>
        <n v="509.15"/>
        <n v="524.25"/>
        <n v="538.2"/>
        <n v="539.1"/>
        <n v="558.4"/>
        <n v="559.2"/>
        <n v="567.15"/>
        <n v="568.1"/>
        <n v="569.05"/>
        <n v="593.3"/>
        <n v="594.15"/>
        <n v="597"/>
        <n v="597.6"/>
        <n v="598"/>
        <n v="599"/>
        <n v="599.25"/>
        <n v="628.2"/>
        <n v="629.1"/>
        <n v="634.95"/>
        <n v="638.4"/>
        <n v="639.2"/>
        <n v="663.1"/>
        <n v="664.05"/>
        <n v="672.3"/>
        <n v="673.5"/>
        <n v="674.25"/>
        <n v="678.3"/>
        <n v="679.15"/>
        <n v="698"/>
        <n v="699"/>
        <n v="716.4"/>
        <n v="717.6"/>
        <n v="718.2"/>
        <n v="718.4"/>
        <n v="719.1"/>
        <n v="719.2"/>
        <n v="747"/>
        <n v="748.5"/>
        <n v="749.25"/>
        <n v="756.2"/>
        <n v="758.1"/>
        <n v="759.05"/>
        <n v="762.45"/>
        <n v="763.3"/>
        <n v="764.15"/>
        <n v="796"/>
        <n v="796.8"/>
        <n v="798"/>
        <n v="798.4"/>
        <n v="799"/>
        <n v="799.2"/>
        <n v="807.3"/>
        <n v="808.2"/>
        <n v="809.1"/>
        <n v="837.6"/>
        <n v="848.3"/>
        <n v="849.15"/>
        <n v="852.15"/>
        <n v="853.1"/>
        <n v="854.05"/>
        <n v="879.2"/>
        <n v="889.95"/>
        <n v="896.4"/>
        <n v="897"/>
        <n v="898"/>
        <n v="898.2"/>
        <n v="899"/>
        <n v="899.1"/>
        <n v="899.25"/>
        <n v="934.15"/>
        <n v="942.3"/>
        <n v="946.2"/>
        <n v="948.1"/>
        <n v="949.05"/>
        <n v="956.8"/>
        <n v="957.6"/>
        <n v="974.25"/>
        <n v="989.1"/>
        <n v="994.65"/>
        <n v="995"/>
        <n v="998"/>
        <n v="999"/>
        <n v="1017.45"/>
        <n v="1018.3"/>
        <n v="1019.15"/>
        <n v="1039.2"/>
        <n v="1047"/>
        <n v="1048.5"/>
        <n v="1049.25"/>
        <n v="1076.4"/>
        <n v="1077.3"/>
        <n v="1078.2"/>
        <n v="1079.1"/>
        <n v="1099"/>
        <n v="1104.15"/>
        <n v="1118.4"/>
        <n v="1119.2"/>
        <n v="1122.75"/>
        <n v="1124.25"/>
        <n v="1136.2"/>
        <n v="1137.15"/>
        <n v="1138.1"/>
        <n v="1139.05"/>
        <n v="1144.95"/>
        <n v="1169.1"/>
        <n v="1188.3"/>
        <n v="1196"/>
        <n v="1197"/>
        <n v="1197.6"/>
        <n v="1198"/>
        <n v="1198.5"/>
        <n v="1199"/>
        <n v="1199.2"/>
        <n v="1234.05"/>
        <n v="1245"/>
        <n v="1256.4"/>
        <n v="1258.2"/>
        <n v="1259.1"/>
        <n v="1270.75"/>
        <n v="1272.45"/>
        <n v="1274.15"/>
        <n v="1276.8"/>
        <n v="1278.4"/>
        <n v="1279.2"/>
        <n v="1279.65"/>
        <n v="1299"/>
        <n v="1328.1"/>
        <n v="1329.05"/>
        <n v="1345.5"/>
        <n v="1347"/>
        <n v="1347.3"/>
        <n v="1348.5"/>
        <n v="1349.1"/>
        <n v="1349.25"/>
        <n v="1356.6"/>
        <n v="1358.3"/>
        <n v="1359.15"/>
        <n v="1396"/>
        <n v="1398"/>
        <n v="1424.05"/>
        <n v="1436.4"/>
        <n v="1437.6"/>
        <n v="1438.2"/>
        <n v="1438.4"/>
        <n v="1439.1"/>
        <n v="1496.25"/>
        <n v="1498.5"/>
        <n v="1499"/>
        <n v="1499.25"/>
        <n v="1516.2"/>
        <n v="1518.1"/>
        <n v="1519.05"/>
        <n v="1526.6"/>
        <n v="1527.45"/>
        <n v="1528.3"/>
        <n v="1529.15"/>
        <n v="1572.75"/>
        <n v="1596.8"/>
        <n v="1598"/>
        <n v="1598.4"/>
        <n v="1599"/>
        <n v="1599.2"/>
        <n v="1617.3"/>
        <n v="1618.2"/>
        <n v="1619.1"/>
        <n v="1657.75"/>
        <n v="1696.6"/>
        <n v="1698.3"/>
        <n v="1699.15"/>
        <n v="1706.2"/>
        <n v="1707.15"/>
        <n v="1708.1"/>
        <n v="1709.05"/>
        <n v="1758.4"/>
        <n v="1782.45"/>
        <n v="1795.5"/>
        <n v="1796"/>
        <n v="1796.4"/>
        <n v="1797"/>
        <n v="1797.75"/>
        <n v="1798"/>
        <n v="1798.2"/>
        <n v="1799"/>
        <n v="1799.1"/>
        <n v="1839.2"/>
        <n v="1868.3"/>
        <n v="1874.25"/>
        <n v="1887.3"/>
        <n v="1896.2"/>
        <n v="1898.1"/>
        <n v="1899.05"/>
        <n v="1916.8"/>
        <n v="1917.6"/>
        <n v="1918.4"/>
        <n v="1948.5"/>
        <n v="1954.15"/>
        <n v="1978.2"/>
        <n v="1992.15"/>
        <n v="1998"/>
        <n v="1999"/>
        <n v="1999.2"/>
        <n v="2020.5"/>
        <n v="2036.6"/>
        <n v="2037.45"/>
        <n v="2038.3"/>
        <n v="2069.1"/>
        <n v="2078.4"/>
        <n v="2097"/>
        <n v="2124.15"/>
        <n v="2132.75"/>
        <n v="2157.3"/>
        <n v="2157.6"/>
        <n v="2158.2"/>
        <n v="2184.05"/>
        <n v="2208.3"/>
        <n v="2236.8"/>
        <n v="2245.5"/>
        <n v="2247.75"/>
        <n v="2248.5"/>
        <n v="2249.1"/>
        <n v="2277.15"/>
        <n v="2278.1"/>
        <n v="2299"/>
        <n v="2338.2"/>
        <n v="2370.25"/>
        <n v="2374.05"/>
        <n v="2396"/>
        <n v="2397"/>
        <n v="2397.6"/>
        <n v="2398"/>
        <n v="2398.4"/>
        <n v="2398.5"/>
        <n v="2468.1"/>
        <n v="2495"/>
        <n v="2499"/>
        <n v="2516.4"/>
        <n v="2518.2"/>
        <n v="2545.75"/>
        <n v="2547.45"/>
        <n v="2548.3"/>
        <n v="2562.15"/>
        <n v="2598"/>
        <n v="2624.25"/>
        <n v="2656.2"/>
        <n v="2658.1"/>
        <n v="2697"/>
        <n v="2697.3"/>
        <n v="2698.2"/>
        <n v="2716.6"/>
        <n v="2718.3"/>
        <n v="2796"/>
        <n v="2799.2"/>
        <n v="2845.25"/>
        <n v="2847.15"/>
        <n v="2848.1"/>
        <n v="2876.4"/>
        <n v="2877.6"/>
        <n v="2878.2"/>
        <n v="2878.4"/>
        <n v="2922.75"/>
        <n v="2970.75"/>
        <n v="2974.15"/>
        <n v="2998"/>
        <n v="2998.5"/>
        <n v="2999.25"/>
        <n v="3036.2"/>
        <n v="3056.6"/>
        <n v="3057.45"/>
        <n v="3058.3"/>
        <n v="3117.6"/>
        <n v="3132.15"/>
        <n v="3145.5"/>
        <n v="3149.1"/>
        <n v="3196"/>
        <n v="3196.8"/>
        <n v="3199.2"/>
        <n v="3237.3"/>
        <n v="3312.45"/>
        <n v="3324.05"/>
        <n v="3372.75"/>
        <n v="3395.75"/>
        <n v="3396.6"/>
        <n v="3398.3"/>
        <n v="3399.15"/>
        <n v="3416.2"/>
        <n v="3417.15"/>
        <n v="3448.5"/>
        <n v="3495"/>
        <n v="3499"/>
        <n v="3507.3"/>
        <n v="3567.45"/>
        <n v="3595.5"/>
        <n v="3596"/>
        <n v="3596.4"/>
        <n v="3597"/>
        <n v="3597.6"/>
        <n v="3597.75"/>
        <n v="3598"/>
        <n v="3598.2"/>
        <n v="3599.1"/>
        <n v="3678.4"/>
        <n v="3702.15"/>
        <n v="3746.25"/>
        <n v="3748.5"/>
        <n v="3795.25"/>
        <n v="3796.2"/>
        <n v="3798.1"/>
        <n v="3799.05"/>
        <n v="3822.45"/>
        <n v="3897"/>
        <n v="3987.15"/>
        <n v="3996"/>
        <n v="3998"/>
        <n v="3998.4"/>
        <n v="3999"/>
        <n v="4047.3"/>
        <n v="4156.8"/>
        <n v="4176.2"/>
        <n v="4197"/>
        <n v="4248.3"/>
        <n v="4272.15"/>
        <n v="4317.3"/>
        <n v="4368.1"/>
        <n v="4497"/>
        <n v="4497.75"/>
        <n v="4498.2"/>
        <n v="4587.45"/>
        <n v="4598"/>
        <n v="4670.75"/>
        <n v="4748.1"/>
        <n v="4797.6"/>
        <n v="4857.3"/>
        <n v="4871.25"/>
        <n v="4936.2"/>
        <n v="4998"/>
        <n v="5096.6"/>
        <n v="5097.45"/>
        <n v="5127.15"/>
        <n v="5196"/>
        <n v="5396.4"/>
        <n v="5397"/>
        <n v="5397.3"/>
        <n v="5622.75"/>
        <n v="5696.2"/>
        <n v="5697.15"/>
        <n v="5845.5"/>
        <n v="5862.45"/>
        <n v="5948.3"/>
        <n v="5996"/>
        <n v="5997.6"/>
        <n v="6298.2"/>
        <n v="6396"/>
        <n v="6396.8"/>
        <n v="6398.4"/>
        <n v="6552.15"/>
        <n v="6746.25"/>
        <n v="6747.3"/>
        <n v="6796.6"/>
        <n v="6798.3"/>
        <n v="7196.4"/>
        <n v="7198.2"/>
        <n v="7496.25"/>
        <n v="7497"/>
        <n v="7598.1"/>
        <n v="7995"/>
        <n v="8276.4"/>
        <n v="8397.6"/>
        <n v="8496.6"/>
        <n v="8736.2"/>
        <n v="8922.45"/>
        <n v="8995.5"/>
        <n v="8997.75"/>
        <n v="9496.2"/>
        <n v="10197.45"/>
        <n v="10497"/>
        <n v="10797.3"/>
        <n v="11870.25"/>
        <n v="13296.2"/>
        <n v="15196.2"/>
      </sharedItems>
    </cacheField>
    <cacheField name="Total Cost" numFmtId="0">
      <sharedItems containsSemiMixedTypes="0" containsString="0" containsNumber="1" containsInteger="1" minValue="45" maxValue="11200" count="130">
        <n v="45"/>
        <n v="65"/>
        <n v="70"/>
        <n v="80"/>
        <n v="90"/>
        <n v="100"/>
        <n v="110"/>
        <n v="120"/>
        <n v="130"/>
        <n v="135"/>
        <n v="140"/>
        <n v="150"/>
        <n v="160"/>
        <n v="170"/>
        <n v="180"/>
        <n v="190"/>
        <n v="195"/>
        <n v="200"/>
        <n v="220"/>
        <n v="240"/>
        <n v="250"/>
        <n v="260"/>
        <n v="270"/>
        <n v="280"/>
        <n v="300"/>
        <n v="320"/>
        <n v="325"/>
        <n v="330"/>
        <n v="340"/>
        <n v="350"/>
        <n v="360"/>
        <n v="380"/>
        <n v="390"/>
        <n v="400"/>
        <n v="420"/>
        <n v="440"/>
        <n v="450"/>
        <n v="480"/>
        <n v="499"/>
        <n v="500"/>
        <n v="510"/>
        <n v="520"/>
        <n v="540"/>
        <n v="550"/>
        <n v="570"/>
        <n v="600"/>
        <n v="640"/>
        <n v="650"/>
        <n v="660"/>
        <n v="680"/>
        <n v="700"/>
        <n v="720"/>
        <n v="750"/>
        <n v="760"/>
        <n v="780"/>
        <n v="800"/>
        <n v="840"/>
        <n v="850"/>
        <n v="880"/>
        <n v="900"/>
        <n v="950"/>
        <n v="960"/>
        <n v="998"/>
        <n v="1000"/>
        <n v="1040"/>
        <n v="1050"/>
        <n v="1080"/>
        <n v="1100"/>
        <n v="1200"/>
        <n v="1250"/>
        <n v="1260"/>
        <n v="1300"/>
        <n v="1400"/>
        <n v="1440"/>
        <n v="1450"/>
        <n v="1500"/>
        <n v="1550"/>
        <n v="1560"/>
        <n v="1600"/>
        <n v="1650"/>
        <n v="1680"/>
        <n v="1700"/>
        <n v="1750"/>
        <n v="1800"/>
        <n v="1900"/>
        <n v="1920"/>
        <n v="1950"/>
        <n v="2000"/>
        <n v="2080"/>
        <n v="2100"/>
        <n v="2160"/>
        <n v="2200"/>
        <n v="2250"/>
        <n v="2400"/>
        <n v="2500"/>
        <n v="2550"/>
        <n v="2600"/>
        <n v="2700"/>
        <n v="2750"/>
        <n v="2800"/>
        <n v="2880"/>
        <n v="2900"/>
        <n v="3000"/>
        <n v="3100"/>
        <n v="3150"/>
        <n v="3200"/>
        <n v="3250"/>
        <n v="3300"/>
        <n v="3400"/>
        <n v="3600"/>
        <n v="3750"/>
        <n v="3900"/>
        <n v="4350"/>
        <n v="4400"/>
        <n v="4500"/>
        <n v="4800"/>
        <n v="5000"/>
        <n v="5200"/>
        <n v="5250"/>
        <n v="5400"/>
        <n v="5500"/>
        <n v="5600"/>
        <n v="6200"/>
        <n v="6400"/>
        <n v="7200"/>
        <n v="7250"/>
        <n v="8100"/>
        <n v="8400"/>
        <n v="9600"/>
        <n v="11200"/>
      </sharedItems>
    </cacheField>
    <cacheField name="Profit" numFmtId="0">
      <sharedItems containsSemiMixedTypes="0" containsString="0" containsNumber="1" minValue="74.2" maxValue="4620.25" count="676">
        <n v="74.2"/>
        <n v="81.65"/>
        <n v="84.25"/>
        <n v="89.1"/>
        <n v="89.2"/>
        <n v="94.2"/>
        <n v="96.55"/>
        <n v="96.75"/>
        <n v="104"/>
        <n v="104.15"/>
        <n v="109.1"/>
        <n v="109.2"/>
        <n v="114.1"/>
        <n v="114.25"/>
        <n v="119.05"/>
        <n v="119.2"/>
        <n v="121.65"/>
        <n v="124.05"/>
        <n v="124.25"/>
        <n v="129"/>
        <n v="129.2"/>
        <n v="129.25"/>
        <n v="131.65"/>
        <n v="131.75"/>
        <n v="134"/>
        <n v="134.1"/>
        <n v="134.15"/>
        <n v="136.75"/>
        <n v="139.2"/>
        <n v="144.1"/>
        <n v="144.15"/>
        <n v="146.55"/>
        <n v="149.1"/>
        <n v="149.2"/>
        <n v="149.25"/>
        <n v="154.15"/>
        <n v="156.55"/>
        <n v="156.75"/>
        <n v="158.5"/>
        <n v="159"/>
        <n v="159.1"/>
        <n v="159.15"/>
        <n v="159.2"/>
        <n v="163.3"/>
        <n v="164.05"/>
        <n v="164.1"/>
        <n v="166.65"/>
        <n v="169"/>
        <n v="169.1"/>
        <n v="169.15"/>
        <n v="169.2"/>
        <n v="174.05"/>
        <n v="174.25"/>
        <n v="175.25"/>
        <n v="176.65"/>
        <n v="178.2"/>
        <n v="178.4"/>
        <n v="179"/>
        <n v="179.1"/>
        <n v="179.2"/>
        <n v="179.25"/>
        <n v="181.55"/>
        <n v="181.65"/>
        <n v="184.05"/>
        <n v="184.1"/>
        <n v="188.4"/>
        <n v="189"/>
        <n v="189.1"/>
        <n v="189.15"/>
        <n v="189.25"/>
        <n v="193.5"/>
        <n v="194.1"/>
        <n v="194.15"/>
        <n v="198.3"/>
        <n v="199"/>
        <n v="199.05"/>
        <n v="199.1"/>
        <n v="199.25"/>
        <n v="201.65"/>
        <n v="204.1"/>
        <n v="204.15"/>
        <n v="208"/>
        <n v="208.3"/>
        <n v="208.5"/>
        <n v="209.05"/>
        <n v="209.1"/>
        <n v="209.15"/>
        <n v="209.2"/>
        <n v="211.55"/>
        <n v="214.1"/>
        <n v="218.2"/>
        <n v="218.4"/>
        <n v="219"/>
        <n v="219.05"/>
        <n v="219.2"/>
        <n v="224.1"/>
        <n v="224.25"/>
        <n v="229"/>
        <n v="229.05"/>
        <n v="229.1"/>
        <n v="229.2"/>
        <n v="229.25"/>
        <n v="238.1"/>
        <n v="238.4"/>
        <n v="239"/>
        <n v="239.1"/>
        <n v="239.2"/>
        <n v="239.25"/>
        <n v="243.3"/>
        <n v="244.15"/>
        <n v="244.95"/>
        <n v="246.55"/>
        <n v="248.1"/>
        <n v="248.5"/>
        <n v="249"/>
        <n v="249.1"/>
        <n v="249.15"/>
        <n v="249.25"/>
        <n v="252.75"/>
        <n v="254.05"/>
        <n v="254.25"/>
        <n v="258"/>
        <n v="258.4"/>
        <n v="259.15"/>
        <n v="259.2"/>
        <n v="264.05"/>
        <n v="267.3"/>
        <n v="268"/>
        <n v="268.2"/>
        <n v="268.3"/>
        <n v="269"/>
        <n v="269.05"/>
        <n v="274.05"/>
        <n v="274.15"/>
        <n v="274.25"/>
        <n v="278.4"/>
        <n v="279"/>
        <n v="279.1"/>
        <n v="288.2"/>
        <n v="288.3"/>
        <n v="289.1"/>
        <n v="289.2"/>
        <n v="293.1"/>
        <n v="293.3"/>
        <n v="294.15"/>
        <n v="298.2"/>
        <n v="298.4"/>
        <n v="299"/>
        <n v="299.1"/>
        <n v="299.15"/>
        <n v="299.2"/>
        <n v="299.25"/>
        <n v="308.3"/>
        <n v="308.5"/>
        <n v="309.05"/>
        <n v="310.1"/>
        <n v="313.5"/>
        <n v="314.05"/>
        <n v="318"/>
        <n v="318.2"/>
        <n v="318.3"/>
        <n v="318.4"/>
        <n v="319.05"/>
        <n v="319.15"/>
        <n v="324.25"/>
        <n v="327.6"/>
        <n v="328.1"/>
        <n v="329.1"/>
        <n v="329.15"/>
        <n v="329.2"/>
        <n v="329.25"/>
        <n v="338.2"/>
        <n v="338.3"/>
        <n v="338.4"/>
        <n v="339"/>
        <n v="344.15"/>
        <n v="348.1"/>
        <n v="348.5"/>
        <n v="349"/>
        <n v="349.15"/>
        <n v="350.5"/>
        <n v="353.3"/>
        <n v="354.15"/>
        <n v="355.05"/>
        <n v="358"/>
        <n v="358.2"/>
        <n v="358.3"/>
        <n v="358.4"/>
        <n v="359.1"/>
        <n v="363.3"/>
        <n v="364.05"/>
        <n v="364.95"/>
        <n v="368.1"/>
        <n v="369.1"/>
        <n v="369.15"/>
        <n v="372.15"/>
        <n v="374.15"/>
        <n v="378"/>
        <n v="378.2"/>
        <n v="378.3"/>
        <n v="379"/>
        <n v="379.1"/>
        <n v="379.15"/>
        <n v="379.2"/>
        <n v="384.15"/>
        <n v="387.6"/>
        <n v="388.2"/>
        <n v="389.1"/>
        <n v="389.2"/>
        <n v="398.2"/>
        <n v="399"/>
        <n v="399.05"/>
        <n v="399.1"/>
        <n v="399.2"/>
        <n v="399.25"/>
        <n v="400"/>
        <n v="402"/>
        <n v="402.45"/>
        <n v="403.1"/>
        <n v="403.3"/>
        <n v="404.15"/>
        <n v="408.3"/>
        <n v="409.05"/>
        <n v="417.6"/>
        <n v="418.1"/>
        <n v="418.2"/>
        <n v="418.3"/>
        <n v="419.1"/>
        <n v="419.15"/>
        <n v="423.1"/>
        <n v="424.15"/>
        <n v="424.25"/>
        <n v="428.2"/>
        <n v="429.1"/>
        <n v="432.3"/>
        <n v="434.05"/>
        <n v="436.4"/>
        <n v="436.8"/>
        <n v="438"/>
        <n v="438.1"/>
        <n v="438.4"/>
        <n v="439"/>
        <n v="439.1"/>
        <n v="439.95"/>
        <n v="440.4"/>
        <n v="447.3"/>
        <n v="447.6"/>
        <n v="448.2"/>
        <n v="448.3"/>
        <n v="448.5"/>
        <n v="449"/>
        <n v="449.05"/>
        <n v="449.1"/>
        <n v="449.15"/>
        <n v="449.2"/>
        <n v="453.1"/>
        <n v="457"/>
        <n v="458"/>
        <n v="458.1"/>
        <n v="458.2"/>
        <n v="459.05"/>
        <n v="459.15"/>
        <n v="462.45"/>
        <n v="462.75"/>
        <n v="469.05"/>
        <n v="469.1"/>
        <n v="471"/>
        <n v="474.15"/>
        <n v="476.2"/>
        <n v="477"/>
        <n v="477.3"/>
        <n v="477.6"/>
        <n v="478"/>
        <n v="478.2"/>
        <n v="479"/>
        <n v="479.1"/>
        <n v="479.15"/>
        <n v="484.05"/>
        <n v="489.05"/>
        <n v="489.1"/>
        <n v="493.1"/>
        <n v="498"/>
        <n v="498.2"/>
        <n v="498.3"/>
        <n v="498.4"/>
        <n v="498.5"/>
        <n v="499"/>
        <n v="499.05"/>
        <n v="499.1"/>
        <n v="499.15"/>
        <n v="499.2"/>
        <n v="507.3"/>
        <n v="507.45"/>
        <n v="507.6"/>
        <n v="508.1"/>
        <n v="508.5"/>
        <n v="516"/>
        <n v="516.8"/>
        <n v="517"/>
        <n v="518"/>
        <n v="518.3"/>
        <n v="518.4"/>
        <n v="519.1"/>
        <n v="522.75"/>
        <n v="524.05"/>
        <n v="524.15"/>
        <n v="528.1"/>
        <n v="534.05"/>
        <n v="536.4"/>
        <n v="537.3"/>
        <n v="538"/>
        <n v="538.1"/>
        <n v="538.5"/>
        <n v="539.05"/>
        <n v="539.1"/>
        <n v="544.65"/>
        <n v="547"/>
        <n v="548.1"/>
        <n v="548.5"/>
        <n v="549"/>
        <n v="549.1"/>
        <n v="552.15"/>
        <n v="552.3"/>
        <n v="558"/>
        <n v="558.2"/>
        <n v="558.4"/>
        <n v="567"/>
        <n v="567.3"/>
        <n v="567.45"/>
        <n v="569.05"/>
        <n v="569.1"/>
        <n v="574.05"/>
        <n v="574.15"/>
        <n v="578.2"/>
        <n v="578.4"/>
        <n v="579.15"/>
        <n v="582.45"/>
        <n v="584.05"/>
        <n v="586.2"/>
        <n v="588.3"/>
        <n v="596.4"/>
        <n v="597"/>
        <n v="597.15"/>
        <n v="597.6"/>
        <n v="597.75"/>
        <n v="598"/>
        <n v="598.2"/>
        <n v="598.3"/>
        <n v="598.4"/>
        <n v="598.5"/>
        <n v="599"/>
        <n v="599.1"/>
        <n v="599.15"/>
        <n v="604.95"/>
        <n v="609.05"/>
        <n v="618.1"/>
        <n v="619.05"/>
        <n v="619.1"/>
        <n v="620.2"/>
        <n v="624.05"/>
        <n v="627.15"/>
        <n v="627.3"/>
        <n v="627.45"/>
        <n v="628.1"/>
        <n v="634.65"/>
        <n v="636.4"/>
        <n v="638.1"/>
        <n v="638.3"/>
        <n v="646.25"/>
        <n v="648.5"/>
        <n v="649"/>
        <n v="649.1"/>
        <n v="654.15"/>
        <n v="657"/>
        <n v="657.15"/>
        <n v="657.6"/>
        <n v="658.2"/>
        <n v="658.3"/>
        <n v="658.4"/>
        <n v="669.1"/>
        <n v="670"/>
        <n v="672.45"/>
        <n v="672.75"/>
        <n v="674.15"/>
        <n v="676.6"/>
        <n v="676.8"/>
        <n v="678"/>
        <n v="678.4"/>
        <n v="679.65"/>
        <n v="687"/>
        <n v="687.15"/>
        <n v="687.3"/>
        <n v="687.75"/>
        <n v="688.1"/>
        <n v="688.3"/>
        <n v="696.2"/>
        <n v="698"/>
        <n v="698.3"/>
        <n v="699"/>
        <n v="699.05"/>
        <n v="699.1"/>
        <n v="708.3"/>
        <n v="716"/>
        <n v="716.8"/>
        <n v="717"/>
        <n v="717.75"/>
        <n v="718.2"/>
        <n v="718.4"/>
        <n v="720.75"/>
        <n v="724.05"/>
        <n v="726.6"/>
        <n v="728.1"/>
        <n v="734.05"/>
        <n v="736.2"/>
        <n v="738.2"/>
        <n v="738.3"/>
        <n v="739.65"/>
        <n v="747.3"/>
        <n v="747.75"/>
        <n v="749"/>
        <n v="749.1"/>
        <n v="756"/>
        <n v="758"/>
        <n v="758.2"/>
        <n v="759.05"/>
        <n v="768.3"/>
        <n v="769.1"/>
        <n v="776.4"/>
        <n v="777"/>
        <n v="777.45"/>
        <n v="778.2"/>
        <n v="778.4"/>
        <n v="792.15"/>
        <n v="795"/>
        <n v="795.5"/>
        <n v="796"/>
        <n v="796.2"/>
        <n v="796.4"/>
        <n v="796.8"/>
        <n v="798"/>
        <n v="798.1"/>
        <n v="798.4"/>
        <n v="799"/>
        <n v="799.05"/>
        <n v="799.1"/>
        <n v="808.3"/>
        <n v="818.1"/>
        <n v="824.05"/>
        <n v="836.4"/>
        <n v="836.8"/>
        <n v="837.3"/>
        <n v="837.6"/>
        <n v="838.2"/>
        <n v="848.5"/>
        <n v="849"/>
        <n v="858.2"/>
        <n v="867.6"/>
        <n v="868.1"/>
        <n v="876"/>
        <n v="876.2"/>
        <n v="878"/>
        <n v="878.2"/>
        <n v="882.45"/>
        <n v="895.5"/>
        <n v="896.6"/>
        <n v="897"/>
        <n v="897.3"/>
        <n v="897.6"/>
        <n v="897.75"/>
        <n v="898"/>
        <n v="898.1"/>
        <n v="898.2"/>
        <n v="898.3"/>
        <n v="899"/>
        <n v="899.1"/>
        <n v="908.3"/>
        <n v="916.4"/>
        <n v="918.3"/>
        <n v="924.05"/>
        <n v="927.15"/>
        <n v="927.6"/>
        <n v="938.2"/>
        <n v="948.3"/>
        <n v="949"/>
        <n v="957"/>
        <n v="958"/>
        <n v="958.3"/>
        <n v="968.1"/>
        <n v="978.1"/>
        <n v="978.2"/>
        <n v="978.4"/>
        <n v="986.2"/>
        <n v="987.3"/>
        <n v="998"/>
        <n v="998.1"/>
        <n v="998.2"/>
        <n v="998.4"/>
        <n v="999"/>
        <n v="999.05"/>
        <n v="1016.2"/>
        <n v="1017"/>
        <n v="1017.6"/>
        <n v="1036"/>
        <n v="1036.6"/>
        <n v="1036.8"/>
        <n v="1038"/>
        <n v="1038.2"/>
        <n v="1047"/>
        <n v="1047.3"/>
        <n v="1047.45"/>
        <n v="1047.6"/>
        <n v="1048.1"/>
        <n v="1048.3"/>
        <n v="1049"/>
        <n v="1056.2"/>
        <n v="1057.75"/>
        <n v="1062.45"/>
        <n v="1076"/>
        <n v="1078.2"/>
        <n v="1092.15"/>
        <n v="1098"/>
        <n v="1098.2"/>
        <n v="1098.4"/>
        <n v="1099"/>
        <n v="1099.05"/>
        <n v="1107.3"/>
        <n v="1116.8"/>
        <n v="1120.5"/>
        <n v="1121.25"/>
        <n v="1137.3"/>
        <n v="1145.5"/>
        <n v="1146"/>
        <n v="1148.3"/>
        <n v="1156.8"/>
        <n v="1158.3"/>
        <n v="1182.75"/>
        <n v="1196.6"/>
        <n v="1197"/>
        <n v="1197.15"/>
        <n v="1197.3"/>
        <n v="1197.6"/>
        <n v="1197.75"/>
        <n v="1198"/>
        <n v="1198.3"/>
        <n v="1199"/>
        <n v="1218.1"/>
        <n v="1227.15"/>
        <n v="1232.75"/>
        <n v="1245.5"/>
        <n v="1245.75"/>
        <n v="1248.1"/>
        <n v="1257.3"/>
        <n v="1257.45"/>
        <n v="1270.25"/>
        <n v="1272.45"/>
        <n v="1272.75"/>
        <n v="1276.6"/>
        <n v="1287.3"/>
        <n v="1298"/>
        <n v="1298.2"/>
        <n v="1299"/>
        <n v="1302.15"/>
        <n v="1316.4"/>
        <n v="1316.6"/>
        <n v="1317"/>
        <n v="1346.25"/>
        <n v="1347"/>
        <n v="1356"/>
        <n v="1376.6"/>
        <n v="1377.15"/>
        <n v="1395.5"/>
        <n v="1398"/>
        <n v="1398.2"/>
        <n v="1398.3"/>
        <n v="1407.15"/>
        <n v="1407.3"/>
        <n v="1407.45"/>
        <n v="1422.45"/>
        <n v="1437.3"/>
        <n v="1437.45"/>
        <n v="1448.1"/>
        <n v="1452.15"/>
        <n v="1456.2"/>
        <n v="1467.15"/>
        <n v="1468.1"/>
        <n v="1470.75"/>
        <n v="1476.4"/>
        <n v="1476.6"/>
        <n v="1482.15"/>
        <n v="1495"/>
        <n v="1495.5"/>
        <n v="1496"/>
        <n v="1496.25"/>
        <n v="1498"/>
        <n v="1498.2"/>
        <n v="1512.45"/>
        <n v="1516"/>
        <n v="1516.6"/>
        <n v="1545.25"/>
        <n v="1548.1"/>
        <n v="1557.3"/>
        <n v="1596"/>
        <n v="1596.4"/>
        <n v="1598"/>
        <n v="1598.1"/>
        <n v="1598.2"/>
        <n v="1617.3"/>
        <n v="1636.2"/>
        <n v="1645.75"/>
        <n v="1647"/>
        <n v="1647.3"/>
        <n v="1647.6"/>
        <n v="1648.1"/>
        <n v="1695.25"/>
        <n v="1696.6"/>
        <n v="1698"/>
        <n v="1707.3"/>
        <n v="1722.45"/>
        <n v="1736.2"/>
        <n v="1745"/>
        <n v="1752.15"/>
        <n v="1768.1"/>
        <n v="1796"/>
        <n v="1796.2"/>
        <n v="1796.4"/>
        <n v="1796.6"/>
        <n v="1797"/>
        <n v="1797.3"/>
        <n v="1797.45"/>
        <n v="1798"/>
        <n v="1798.2"/>
        <n v="1827.15"/>
        <n v="1836.2"/>
        <n v="1872.15"/>
        <n v="1916"/>
        <n v="1920.75"/>
        <n v="1946"/>
        <n v="1947"/>
        <n v="1947.3"/>
        <n v="1962.45"/>
        <n v="1976.2"/>
        <n v="1977.15"/>
        <n v="1996"/>
        <n v="1996.25"/>
        <n v="1996.4"/>
        <n v="1996.8"/>
        <n v="1998.1"/>
        <n v="2095.5"/>
        <n v="2096.6"/>
        <n v="2097"/>
        <n v="2097.15"/>
        <n v="2097.3"/>
        <n v="2097.45"/>
        <n v="2098"/>
        <n v="2136.2"/>
        <n v="2172.15"/>
        <n v="2198.1"/>
        <n v="2247"/>
        <n v="2296.2"/>
        <n v="2296.6"/>
        <n v="2397.15"/>
        <n v="2596"/>
        <n v="2652.15"/>
        <n v="2697"/>
        <n v="2697.3"/>
        <n v="2796"/>
        <n v="2796.4"/>
        <n v="3076.4"/>
        <n v="3096.2"/>
        <n v="3147"/>
        <n v="3495"/>
        <n v="3495.5"/>
        <n v="3536.2"/>
        <n v="3696.2"/>
        <n v="3996.2"/>
        <n v="4620.25"/>
      </sharedItems>
    </cacheField>
    <cacheField name="Profit Margin" numFmtId="0">
      <sharedItems containsSemiMixedTypes="0" containsString="0" containsNumber="1" minValue="0.0854529865675908" maxValue="0.697986577181208" count="343">
        <n v="0.0854529865675908"/>
        <n v="0.099774943735934"/>
        <n v="0.124781195298825"/>
        <n v="0.142612174907116"/>
        <n v="0.146325196745365"/>
        <n v="0.156039009752438"/>
        <n v="0.166249791562448"/>
        <n v="0.173002534347072"/>
        <n v="0.176264654398894"/>
        <n v="0.193046752853757"/>
        <n v="0.19959979989995"/>
        <n v="0.19967987194878"/>
        <n v="0.205683773884648"/>
        <n v="0.207838232228476"/>
        <n v="0.211613745106568"/>
        <n v="0.218359179589795"/>
        <n v="0.221789883268482"/>
        <n v="0.222027729154511"/>
        <n v="0.22468987595038"/>
        <n v="0.226357209550487"/>
        <n v="0.230177059276366"/>
        <n v="0.237005245588937"/>
        <n v="0.237877488806326"/>
        <n v="0.243940404714254"/>
        <n v="0.246049006814557"/>
        <n v="0.246757526540028"/>
        <n v="0.249499666444296"/>
        <n v="0.24953095684803"/>
        <n v="0.249624812406203"/>
        <n v="0.249812453113278"/>
        <n v="0.257348342714196"/>
        <n v="0.257989407159123"/>
        <n v="0.259918427882833"/>
        <n v="0.262973638146379"/>
        <n v="0.264338051378631"/>
        <n v="0.265932599265933"/>
        <n v="0.266299816574954"/>
        <n v="0.270296353835652"/>
        <n v="0.274709883953581"/>
        <n v="0.274709883953582"/>
        <n v="0.277175423964415"/>
        <n v="0.277989199921782"/>
        <n v="0.278290993071594"/>
        <n v="0.281498588657942"/>
        <n v="0.284692417739628"/>
        <n v="0.288414498554592"/>
        <n v="0.288604330621137"/>
        <n v="0.28929600821258"/>
        <n v="0.293646744888749"/>
        <n v="0.293764529323485"/>
        <n v="0.295905132481008"/>
        <n v="0.296435272045028"/>
        <n v="0.299123904881101"/>
        <n v="0.299212217872505"/>
        <n v="0.29982495623906"/>
        <n v="0.305208159635373"/>
        <n v="0.305972639305973"/>
        <n v="0.306173526140156"/>
        <n v="0.310835445289227"/>
        <n v="0.311811811811812"/>
        <n v="0.31215607803902"/>
        <n v="0.313344014648661"/>
        <n v="0.313795568263045"/>
        <n v="0.314089739925693"/>
        <n v="0.3173740084269"/>
        <n v="0.320744464067382"/>
        <n v="0.322351959966639"/>
        <n v="0.32483120780195"/>
        <n v="0.326046207956867"/>
        <n v="0.326404926866821"/>
        <n v="0.326769334343179"/>
        <n v="0.332220367278798"/>
        <n v="0.33237958989032"/>
        <n v="0.332665999332666"/>
        <n v="0.332777314428691"/>
        <n v="0.332820118039518"/>
        <n v="0.33288859239493"/>
        <n v="0.332999833249958"/>
        <n v="0.334749123659903"/>
        <n v="0.336095785352899"/>
        <n v="0.337821432512968"/>
        <n v="0.33986519352373"/>
        <n v="0.339911061700945"/>
        <n v="0.342928660826033"/>
        <n v="0.347107263958215"/>
        <n v="0.349349349349349"/>
        <n v="0.351491569390402"/>
        <n v="0.352293469940529"/>
        <n v="0.352617485213195"/>
        <n v="0.355297674625406"/>
        <n v="0.356683345246605"/>
        <n v="0.358480882730305"/>
        <n v="0.359359359359359"/>
        <n v="0.359743897559024"/>
        <n v="0.362213609380366"/>
        <n v="0.364171037990781"/>
        <n v="0.36602816646289"/>
        <n v="0.367999719110986"/>
        <n v="0.368105105184171"/>
        <n v="0.369290996085254"/>
        <n v="0.369950337261878"/>
        <n v="0.371707505678798"/>
        <n v="0.372130439901111"/>
        <n v="0.373956594323873"/>
        <n v="0.374105865522175"/>
        <n v="0.374374374374374"/>
        <n v="0.374431301182894"/>
        <n v="0.374478732276897"/>
        <n v="0.374518860662048"/>
        <n v="0.374609130706692"/>
        <n v="0.374687343671836"/>
        <n v="0.377085650723026"/>
        <n v="0.377362686235268"/>
        <n v="0.37873982277736"/>
        <n v="0.379751900760304"/>
        <n v="0.38157991607156"/>
        <n v="0.383265356569027"/>
        <n v="0.385623592054065"/>
        <n v="0.387622917034682"/>
        <n v="0.388277166054944"/>
        <n v="0.388583180479128"/>
        <n v="0.389229375960911"/>
        <n v="0.392245046797131"/>
        <n v="0.394525501408569"/>
        <n v="0.397635720201792"/>
        <n v="0.397646186637012"/>
        <n v="0.399249061326658"/>
        <n v="0.399399399399399"/>
        <n v="0.399599733155437"/>
        <n v="0.399699849924963"/>
        <n v="0.401248823881618"/>
        <n v="0.403110845827043"/>
        <n v="0.404775531695703"/>
        <n v="0.405878674171357"/>
        <n v="0.406087602078693"/>
        <n v="0.407012082128827"/>
        <n v="0.407524439616866"/>
        <n v="0.410782677010704"/>
        <n v="0.410923167550282"/>
        <n v="0.411175881764117"/>
        <n v="0.411229459936841"/>
        <n v="0.411274100966492"/>
        <n v="0.411311868858398"/>
        <n v="0.412157648630595"/>
        <n v="0.413254277067507"/>
        <n v="0.415725074644342"/>
        <n v="0.415936587400918"/>
        <n v="0.416017797552837"/>
        <n v="0.416277518345564"/>
        <n v="0.416342412451362"/>
        <n v="0.419767907162865"/>
        <n v="0.420473104683631"/>
        <n v="0.42076301308549"/>
        <n v="0.421257651641625"/>
        <n v="0.421643866088311"/>
        <n v="0.422632794457275"/>
        <n v="0.427753934191702"/>
        <n v="0.428162973552537"/>
        <n v="0.429349018919275"/>
        <n v="0.431913116123642"/>
        <n v="0.432762043677323"/>
        <n v="0.43295530353569"/>
        <n v="0.434536755110918"/>
        <n v="0.434728846493552"/>
        <n v="0.43609022556391"/>
        <n v="0.436795994993742"/>
        <n v="0.437148217636023"/>
        <n v="0.438221972543099"/>
        <n v="0.443207126948775"/>
        <n v="0.443516972732332"/>
        <n v="0.443649658241933"/>
        <n v="0.443888332777222"/>
        <n v="0.443938934384794"/>
        <n v="0.443981095357242"/>
        <n v="0.444016765032931"/>
        <n v="0.444135630906059"/>
        <n v="0.444938820912125"/>
        <n v="0.446676767011396"/>
        <n v="0.448897795591182"/>
        <n v="0.449449449449449"/>
        <n v="0.449724862431216"/>
        <n v="0.450369691814434"/>
        <n v="0.450614134913472"/>
        <n v="0.452440550688361"/>
        <n v="0.457429048414023"/>
        <n v="0.457881567973311"/>
        <n v="0.458259659155036"/>
        <n v="0.461123941493457"/>
        <n v="0.461415467474543"/>
        <n v="0.462750716332378"/>
        <n v="0.463519313304721"/>
        <n v="0.464882943143813"/>
        <n v="0.465478841870824"/>
        <n v="0.46559786239145"/>
        <n v="0.466132799466133"/>
        <n v="0.466310873915944"/>
        <n v="0.467418546365915"/>
        <n v="0.469261388766033"/>
        <n v="0.469925642347051"/>
        <n v="0.471046770601336"/>
        <n v="0.471928849360756"/>
        <n v="0.47280555311484"/>
        <n v="0.472931255176568"/>
        <n v="0.47315736789421"/>
        <n v="0.473205306259279"/>
        <n v="0.473245248233177"/>
        <n v="0.473279040557514"/>
        <n v="0.474342928660826"/>
        <n v="0.475959648892965"/>
        <n v="0.478297161936561"/>
        <n v="0.47947947947948"/>
        <n v="0.480904708935855"/>
        <n v="0.481135571862723"/>
        <n v="0.481315572321113"/>
        <n v="0.484649930059633"/>
        <n v="0.48934498674261"/>
        <n v="0.494231073178442"/>
        <n v="0.49435361537165"/>
        <n v="0.495077000757385"/>
        <n v="0.498327759197324"/>
        <n v="0.49874686716792"/>
        <n v="0.498886414253898"/>
        <n v="0.498997995991984"/>
        <n v="0.499165275459099"/>
        <n v="0.49928469241774"/>
        <n v="0.499374217772215"/>
        <n v="0.4994994994995"/>
        <n v="0.499545040946315"/>
        <n v="0.499582985821518"/>
        <n v="0.499615088529638"/>
        <n v="0.50334288443171"/>
        <n v="0.505073001732245"/>
        <n v="0.508225513728704"/>
        <n v="0.508444225975212"/>
        <n v="0.508985564175587"/>
        <n v="0.509476031215162"/>
        <n v="0.510131373858829"/>
        <n v="0.513280489500765"/>
        <n v="0.517714709701354"/>
        <n v="0.518072289156627"/>
        <n v="0.518108576161434"/>
        <n v="0.51951951951952"/>
        <n v="0.522445081184336"/>
        <n v="0.523128278493085"/>
        <n v="0.525128611001187"/>
        <n v="0.525722943152625"/>
        <n v="0.525841631104789"/>
        <n v="0.526594263436369"/>
        <n v="0.527837891009247"/>
        <n v="0.528232345569807"/>
        <n v="0.528363684003668"/>
        <n v="0.528468702110103"/>
        <n v="0.529819351645632"/>
        <n v="0.530075187969925"/>
        <n v="0.530663329161452"/>
        <n v="0.530988274706868"/>
        <n v="0.531121791114758"/>
        <n v="0.532814238042269"/>
        <n v="0.533022014676451"/>
        <n v="0.534383954154728"/>
        <n v="0.535913933129417"/>
        <n v="0.53626414394361"/>
        <n v="0.53889730584283"/>
        <n v="0.540133779264214"/>
        <n v="0.542203147353362"/>
        <n v="0.543098146032862"/>
        <n v="0.547579550595687"/>
        <n v="0.548192771084337"/>
        <n v="0.548226790151344"/>
        <n v="0.548872180451128"/>
        <n v="0.549436795994994"/>
        <n v="0.54954954954955"/>
        <n v="0.551510354834455"/>
        <n v="0.554069119286511"/>
        <n v="0.554441659704818"/>
        <n v="0.55456570155902"/>
        <n v="0.554664885326208"/>
        <n v="0.557717823971694"/>
        <n v="0.558271368622543"/>
        <n v="0.559118236472946"/>
        <n v="0.560301507537688"/>
        <n v="0.560671294262367"/>
        <n v="0.561773133322097"/>
        <n v="0.561952440550688"/>
        <n v="0.564489112227806"/>
        <n v="0.565943238731219"/>
        <n v="0.567184733425143"/>
        <n v="0.570200573065903"/>
        <n v="0.570815450643777"/>
        <n v="0.573934837092732"/>
        <n v="0.574769666902906"/>
        <n v="0.576837416481069"/>
        <n v="0.577539165639852"/>
        <n v="0.577892098667722"/>
        <n v="0.578009612003282"/>
        <n v="0.578103575572197"/>
        <n v="0.581939799331104"/>
        <n v="0.582289055973267"/>
        <n v="0.582637729549249"/>
        <n v="0.582811848143513"/>
        <n v="0.586119070359758"/>
        <n v="0.586166124741354"/>
        <n v="0.591230026012635"/>
        <n v="0.591708542713568"/>
        <n v="0.59548289229732"/>
        <n v="0.598393574297189"/>
        <n v="0.59866220735786"/>
        <n v="0.598997493734336"/>
        <n v="0.599109131403118"/>
        <n v="0.599198396793587"/>
        <n v="0.604273842500989"/>
        <n v="0.604769119293854"/>
        <n v="0.606531575841039"/>
        <n v="0.607902277182929"/>
        <n v="0.609156895589056"/>
        <n v="0.612744235169864"/>
        <n v="0.615725687259829"/>
        <n v="0.617956064947469"/>
        <n v="0.619530754597337"/>
        <n v="0.622017481691472"/>
        <n v="0.62248322147651"/>
        <n v="0.62406015037594"/>
        <n v="0.624530663329161"/>
        <n v="0.627507163323782"/>
        <n v="0.628390932738759"/>
        <n v="0.629727585294896"/>
        <n v="0.632107023411371"/>
        <n v="0.637074260189838"/>
        <n v="0.63806364047655"/>
        <n v="0.63855421686747"/>
        <n v="0.64301651048639"/>
        <n v="0.644690090801421"/>
        <n v="0.647949304699877"/>
        <n v="0.648241206030151"/>
        <n v="0.656160458452722"/>
        <n v="0.656175614916689"/>
        <n v="0.661805115197633"/>
        <n v="0.664429530201342"/>
        <n v="0.665551839464883"/>
        <n v="0.673366834170854"/>
        <n v="0.678714859437751"/>
        <n v="0.682091133874956"/>
        <n v="0.697986577181208"/>
      </sharedItems>
    </cacheField>
    <cacheField name="Order Status" numFmtId="0">
      <sharedItems count="5">
        <s v="Cancelled"/>
        <s v="Delivered"/>
        <s v="Processing"/>
        <s v="Returned"/>
        <s v="Shipped"/>
      </sharedItems>
    </cacheField>
    <cacheField name="Customer City" numFmtId="0">
      <sharedItems count="20">
        <s v="Ahmedabad"/>
        <s v="Bengaluru"/>
        <s v="Bhopal"/>
        <s v="Chandigarh"/>
        <s v="Chennai"/>
        <s v="Coimbatore"/>
        <s v="Delhi"/>
        <s v="Gurugram"/>
        <s v="Hyderabad"/>
        <s v="Indore"/>
        <s v="Jaipur"/>
        <s v="Kochi"/>
        <s v="Kolkata"/>
        <s v="Lucknow"/>
        <s v="Mumbai"/>
        <s v="Nagpur"/>
        <s v="Noida"/>
        <s v="Pune"/>
        <s v="Surat"/>
        <s v="Visakhapatnam"/>
      </sharedItems>
    </cacheField>
    <cacheField name="Customer Segment" numFmtId="0">
      <sharedItems count="3">
        <s v="New"/>
        <s v="Returning"/>
        <s v="VIP"/>
      </sharedItems>
    </cacheField>
    <cacheField name="Sales Channel" numFmtId="0">
      <sharedItems count="3">
        <s v="Marketplace"/>
        <s v="Mobile App"/>
        <s v="Website"/>
      </sharedItems>
    </cacheField>
    <cacheField name="Order Type" numFmtId="0">
      <sharedItems count="4">
        <s v="Cancelled"/>
        <s v="Completed"/>
        <s v="In Progress"/>
        <s v="Returned"/>
      </sharedItems>
    </cacheField>
    <cacheField name="Revenue  Band" numFmtId="0">
      <sharedItems count="3">
        <s v="High Value"/>
        <s v="Low Value"/>
        <s v="Medium Value"/>
      </sharedItems>
    </cacheField>
    <cacheField name="Profit Status" numFmtId="0">
      <sharedItems count="1">
        <s v="Profitable"/>
      </sharedItems>
    </cacheField>
    <cacheField name="Delivery Category" numFmtId="0">
      <sharedItems count="5">
        <s v="Fast"/>
        <s v="Not Applicable"/>
        <s v="Pending"/>
        <s v="Slow"/>
        <s v="Standard"/>
      </sharedItems>
    </cacheField>
    <cacheField name="Net Profit" numFmtId="0">
      <sharedItems containsSemiMixedTypes="0" containsString="0" containsNumber="1" minValue="0" maxValue="4620.25" count="638">
        <n v="0"/>
        <n v="74.2"/>
        <n v="81.65"/>
        <n v="84.25"/>
        <n v="89.1"/>
        <n v="89.2"/>
        <n v="94.2"/>
        <n v="96.55"/>
        <n v="96.75"/>
        <n v="104"/>
        <n v="104.15"/>
        <n v="109.1"/>
        <n v="109.2"/>
        <n v="114.1"/>
        <n v="114.25"/>
        <n v="119.05"/>
        <n v="119.2"/>
        <n v="121.65"/>
        <n v="124.05"/>
        <n v="124.25"/>
        <n v="129"/>
        <n v="129.2"/>
        <n v="129.25"/>
        <n v="131.65"/>
        <n v="131.75"/>
        <n v="134"/>
        <n v="134.1"/>
        <n v="134.15"/>
        <n v="136.75"/>
        <n v="139.2"/>
        <n v="144.1"/>
        <n v="144.15"/>
        <n v="146.55"/>
        <n v="149.1"/>
        <n v="149.2"/>
        <n v="149.25"/>
        <n v="154.15"/>
        <n v="156.55"/>
        <n v="156.75"/>
        <n v="158.5"/>
        <n v="159"/>
        <n v="159.1"/>
        <n v="159.15"/>
        <n v="159.2"/>
        <n v="163.3"/>
        <n v="164.05"/>
        <n v="166.65"/>
        <n v="169"/>
        <n v="169.1"/>
        <n v="169.15"/>
        <n v="169.2"/>
        <n v="174.25"/>
        <n v="175.25"/>
        <n v="176.65"/>
        <n v="178.2"/>
        <n v="178.4"/>
        <n v="179"/>
        <n v="179.1"/>
        <n v="179.2"/>
        <n v="179.25"/>
        <n v="181.55"/>
        <n v="181.65"/>
        <n v="184.05"/>
        <n v="184.1"/>
        <n v="188.4"/>
        <n v="189"/>
        <n v="189.1"/>
        <n v="189.15"/>
        <n v="189.25"/>
        <n v="193.5"/>
        <n v="194.1"/>
        <n v="194.15"/>
        <n v="198.3"/>
        <n v="199"/>
        <n v="199.05"/>
        <n v="199.1"/>
        <n v="199.25"/>
        <n v="201.65"/>
        <n v="204.1"/>
        <n v="204.15"/>
        <n v="208"/>
        <n v="208.3"/>
        <n v="208.5"/>
        <n v="209.05"/>
        <n v="209.1"/>
        <n v="209.15"/>
        <n v="209.2"/>
        <n v="211.55"/>
        <n v="214.1"/>
        <n v="218.4"/>
        <n v="219"/>
        <n v="219.05"/>
        <n v="219.2"/>
        <n v="224.1"/>
        <n v="224.25"/>
        <n v="229"/>
        <n v="229.1"/>
        <n v="229.25"/>
        <n v="238.1"/>
        <n v="238.4"/>
        <n v="239"/>
        <n v="239.1"/>
        <n v="239.2"/>
        <n v="239.25"/>
        <n v="243.3"/>
        <n v="244.15"/>
        <n v="244.95"/>
        <n v="246.55"/>
        <n v="248.1"/>
        <n v="248.5"/>
        <n v="249"/>
        <n v="249.1"/>
        <n v="249.15"/>
        <n v="249.25"/>
        <n v="252.75"/>
        <n v="254.05"/>
        <n v="254.25"/>
        <n v="258"/>
        <n v="258.4"/>
        <n v="259.15"/>
        <n v="259.2"/>
        <n v="264.05"/>
        <n v="267.3"/>
        <n v="268"/>
        <n v="268.3"/>
        <n v="269"/>
        <n v="269.05"/>
        <n v="274.05"/>
        <n v="274.25"/>
        <n v="278.4"/>
        <n v="279"/>
        <n v="279.1"/>
        <n v="288.2"/>
        <n v="288.3"/>
        <n v="289.1"/>
        <n v="289.2"/>
        <n v="293.1"/>
        <n v="293.3"/>
        <n v="294.15"/>
        <n v="298.2"/>
        <n v="298.4"/>
        <n v="299"/>
        <n v="299.1"/>
        <n v="299.15"/>
        <n v="299.2"/>
        <n v="299.25"/>
        <n v="308.3"/>
        <n v="308.5"/>
        <n v="309.05"/>
        <n v="310.1"/>
        <n v="313.5"/>
        <n v="314.05"/>
        <n v="318"/>
        <n v="318.2"/>
        <n v="318.3"/>
        <n v="318.4"/>
        <n v="319.05"/>
        <n v="319.15"/>
        <n v="324.25"/>
        <n v="327.6"/>
        <n v="328.1"/>
        <n v="329.1"/>
        <n v="329.15"/>
        <n v="329.2"/>
        <n v="329.25"/>
        <n v="338.2"/>
        <n v="338.3"/>
        <n v="338.4"/>
        <n v="339"/>
        <n v="344.15"/>
        <n v="348.1"/>
        <n v="348.5"/>
        <n v="349"/>
        <n v="349.15"/>
        <n v="350.5"/>
        <n v="353.3"/>
        <n v="354.15"/>
        <n v="355.05"/>
        <n v="358"/>
        <n v="358.2"/>
        <n v="358.3"/>
        <n v="358.4"/>
        <n v="359.1"/>
        <n v="363.3"/>
        <n v="364.05"/>
        <n v="364.95"/>
        <n v="368.1"/>
        <n v="369.1"/>
        <n v="369.15"/>
        <n v="372.15"/>
        <n v="378"/>
        <n v="378.2"/>
        <n v="378.3"/>
        <n v="379"/>
        <n v="379.1"/>
        <n v="379.15"/>
        <n v="379.2"/>
        <n v="384.15"/>
        <n v="387.6"/>
        <n v="388.2"/>
        <n v="389.1"/>
        <n v="389.2"/>
        <n v="398.2"/>
        <n v="399"/>
        <n v="399.05"/>
        <n v="399.1"/>
        <n v="399.2"/>
        <n v="399.25"/>
        <n v="400"/>
        <n v="402.45"/>
        <n v="403.1"/>
        <n v="403.3"/>
        <n v="404.15"/>
        <n v="408.3"/>
        <n v="409.05"/>
        <n v="417.6"/>
        <n v="418.1"/>
        <n v="418.2"/>
        <n v="418.3"/>
        <n v="419.1"/>
        <n v="419.15"/>
        <n v="423.1"/>
        <n v="424.15"/>
        <n v="424.25"/>
        <n v="428.2"/>
        <n v="429.1"/>
        <n v="432.3"/>
        <n v="434.05"/>
        <n v="436.4"/>
        <n v="436.8"/>
        <n v="438"/>
        <n v="438.1"/>
        <n v="438.4"/>
        <n v="439"/>
        <n v="439.1"/>
        <n v="439.95"/>
        <n v="440.4"/>
        <n v="447.3"/>
        <n v="447.6"/>
        <n v="448.2"/>
        <n v="448.3"/>
        <n v="448.5"/>
        <n v="449"/>
        <n v="449.05"/>
        <n v="449.1"/>
        <n v="449.15"/>
        <n v="453.1"/>
        <n v="457"/>
        <n v="458"/>
        <n v="458.1"/>
        <n v="458.2"/>
        <n v="459.05"/>
        <n v="459.15"/>
        <n v="462.45"/>
        <n v="462.75"/>
        <n v="469.05"/>
        <n v="469.1"/>
        <n v="471"/>
        <n v="474.15"/>
        <n v="476.2"/>
        <n v="477"/>
        <n v="477.3"/>
        <n v="477.6"/>
        <n v="478"/>
        <n v="478.2"/>
        <n v="479"/>
        <n v="479.1"/>
        <n v="479.15"/>
        <n v="484.05"/>
        <n v="489.05"/>
        <n v="489.1"/>
        <n v="493.1"/>
        <n v="498"/>
        <n v="498.2"/>
        <n v="498.3"/>
        <n v="498.4"/>
        <n v="498.5"/>
        <n v="499"/>
        <n v="499.05"/>
        <n v="499.1"/>
        <n v="499.15"/>
        <n v="499.2"/>
        <n v="507.45"/>
        <n v="507.6"/>
        <n v="508.1"/>
        <n v="508.5"/>
        <n v="516"/>
        <n v="517"/>
        <n v="518"/>
        <n v="518.3"/>
        <n v="518.4"/>
        <n v="519.1"/>
        <n v="522.75"/>
        <n v="524.05"/>
        <n v="524.15"/>
        <n v="528.1"/>
        <n v="534.05"/>
        <n v="536.4"/>
        <n v="537.3"/>
        <n v="538"/>
        <n v="538.1"/>
        <n v="538.5"/>
        <n v="539.05"/>
        <n v="539.1"/>
        <n v="544.65"/>
        <n v="547"/>
        <n v="548.1"/>
        <n v="549"/>
        <n v="549.1"/>
        <n v="552.15"/>
        <n v="552.3"/>
        <n v="558"/>
        <n v="558.2"/>
        <n v="558.4"/>
        <n v="567"/>
        <n v="567.3"/>
        <n v="567.45"/>
        <n v="569.05"/>
        <n v="569.1"/>
        <n v="574.05"/>
        <n v="574.15"/>
        <n v="578.2"/>
        <n v="578.4"/>
        <n v="579.15"/>
        <n v="584.05"/>
        <n v="586.2"/>
        <n v="588.3"/>
        <n v="596.4"/>
        <n v="597"/>
        <n v="597.15"/>
        <n v="597.6"/>
        <n v="597.75"/>
        <n v="598"/>
        <n v="598.2"/>
        <n v="598.3"/>
        <n v="598.4"/>
        <n v="598.5"/>
        <n v="599"/>
        <n v="599.1"/>
        <n v="599.15"/>
        <n v="604.95"/>
        <n v="609.05"/>
        <n v="618.1"/>
        <n v="619.05"/>
        <n v="620.2"/>
        <n v="624.05"/>
        <n v="627.15"/>
        <n v="627.3"/>
        <n v="627.45"/>
        <n v="628.1"/>
        <n v="634.65"/>
        <n v="636.4"/>
        <n v="638.1"/>
        <n v="638.3"/>
        <n v="646.25"/>
        <n v="648.5"/>
        <n v="649"/>
        <n v="649.1"/>
        <n v="654.15"/>
        <n v="657"/>
        <n v="657.15"/>
        <n v="657.6"/>
        <n v="658.2"/>
        <n v="658.3"/>
        <n v="658.4"/>
        <n v="669.1"/>
        <n v="670"/>
        <n v="672.45"/>
        <n v="672.75"/>
        <n v="674.15"/>
        <n v="676.6"/>
        <n v="676.8"/>
        <n v="678"/>
        <n v="678.4"/>
        <n v="679.65"/>
        <n v="687"/>
        <n v="687.15"/>
        <n v="687.3"/>
        <n v="687.75"/>
        <n v="688.1"/>
        <n v="688.3"/>
        <n v="696.2"/>
        <n v="698"/>
        <n v="698.3"/>
        <n v="699"/>
        <n v="699.05"/>
        <n v="708.3"/>
        <n v="716"/>
        <n v="716.8"/>
        <n v="717"/>
        <n v="717.75"/>
        <n v="718.2"/>
        <n v="718.4"/>
        <n v="720.75"/>
        <n v="724.05"/>
        <n v="726.6"/>
        <n v="728.1"/>
        <n v="734.05"/>
        <n v="736.2"/>
        <n v="738.2"/>
        <n v="738.3"/>
        <n v="739.65"/>
        <n v="747.3"/>
        <n v="747.75"/>
        <n v="749"/>
        <n v="749.1"/>
        <n v="756"/>
        <n v="758"/>
        <n v="758.2"/>
        <n v="759.05"/>
        <n v="768.3"/>
        <n v="769.1"/>
        <n v="776.4"/>
        <n v="777"/>
        <n v="777.45"/>
        <n v="778.2"/>
        <n v="778.4"/>
        <n v="792.15"/>
        <n v="795"/>
        <n v="795.5"/>
        <n v="796"/>
        <n v="796.2"/>
        <n v="796.4"/>
        <n v="796.8"/>
        <n v="798"/>
        <n v="798.1"/>
        <n v="798.4"/>
        <n v="799"/>
        <n v="799.05"/>
        <n v="799.1"/>
        <n v="808.3"/>
        <n v="818.1"/>
        <n v="824.05"/>
        <n v="836.4"/>
        <n v="836.8"/>
        <n v="837.3"/>
        <n v="837.6"/>
        <n v="838.2"/>
        <n v="848.5"/>
        <n v="849"/>
        <n v="858.2"/>
        <n v="867.6"/>
        <n v="868.1"/>
        <n v="878"/>
        <n v="878.2"/>
        <n v="882.45"/>
        <n v="896.6"/>
        <n v="897"/>
        <n v="897.6"/>
        <n v="897.75"/>
        <n v="898"/>
        <n v="898.1"/>
        <n v="898.2"/>
        <n v="898.3"/>
        <n v="899"/>
        <n v="899.1"/>
        <n v="908.3"/>
        <n v="916.4"/>
        <n v="918.3"/>
        <n v="924.05"/>
        <n v="927.15"/>
        <n v="927.6"/>
        <n v="938.2"/>
        <n v="948.3"/>
        <n v="949"/>
        <n v="957"/>
        <n v="958"/>
        <n v="958.3"/>
        <n v="968.1"/>
        <n v="978.1"/>
        <n v="978.2"/>
        <n v="986.2"/>
        <n v="987.3"/>
        <n v="998"/>
        <n v="998.2"/>
        <n v="998.4"/>
        <n v="999"/>
        <n v="999.05"/>
        <n v="1016.2"/>
        <n v="1017"/>
        <n v="1017.6"/>
        <n v="1036"/>
        <n v="1036.6"/>
        <n v="1038"/>
        <n v="1038.2"/>
        <n v="1047"/>
        <n v="1047.3"/>
        <n v="1047.45"/>
        <n v="1047.6"/>
        <n v="1048.1"/>
        <n v="1048.3"/>
        <n v="1049"/>
        <n v="1056.2"/>
        <n v="1062.45"/>
        <n v="1076"/>
        <n v="1078.2"/>
        <n v="1092.15"/>
        <n v="1098"/>
        <n v="1098.2"/>
        <n v="1098.4"/>
        <n v="1099"/>
        <n v="1099.05"/>
        <n v="1107.3"/>
        <n v="1116.8"/>
        <n v="1120.5"/>
        <n v="1121.25"/>
        <n v="1137.3"/>
        <n v="1145.5"/>
        <n v="1146"/>
        <n v="1148.3"/>
        <n v="1156.8"/>
        <n v="1158.3"/>
        <n v="1182.75"/>
        <n v="1196.6"/>
        <n v="1197"/>
        <n v="1197.15"/>
        <n v="1197.3"/>
        <n v="1197.6"/>
        <n v="1197.75"/>
        <n v="1198"/>
        <n v="1198.3"/>
        <n v="1199"/>
        <n v="1218.1"/>
        <n v="1227.15"/>
        <n v="1232.75"/>
        <n v="1245.5"/>
        <n v="1245.75"/>
        <n v="1248.1"/>
        <n v="1257.3"/>
        <n v="1257.45"/>
        <n v="1270.25"/>
        <n v="1272.45"/>
        <n v="1272.75"/>
        <n v="1276.6"/>
        <n v="1287.3"/>
        <n v="1298"/>
        <n v="1298.2"/>
        <n v="1299"/>
        <n v="1302.15"/>
        <n v="1316.4"/>
        <n v="1316.6"/>
        <n v="1317"/>
        <n v="1346.25"/>
        <n v="1347"/>
        <n v="1356"/>
        <n v="1376.6"/>
        <n v="1377.15"/>
        <n v="1395.5"/>
        <n v="1398"/>
        <n v="1398.2"/>
        <n v="1398.3"/>
        <n v="1407.15"/>
        <n v="1407.3"/>
        <n v="1422.45"/>
        <n v="1437.3"/>
        <n v="1437.45"/>
        <n v="1448.1"/>
        <n v="1452.15"/>
        <n v="1456.2"/>
        <n v="1467.15"/>
        <n v="1468.1"/>
        <n v="1470.75"/>
        <n v="1476.6"/>
        <n v="1482.15"/>
        <n v="1495"/>
        <n v="1495.5"/>
        <n v="1496"/>
        <n v="1496.25"/>
        <n v="1498"/>
        <n v="1498.2"/>
        <n v="1512.45"/>
        <n v="1516"/>
        <n v="1516.6"/>
        <n v="1545.25"/>
        <n v="1548.1"/>
        <n v="1557.3"/>
        <n v="1596"/>
        <n v="1598.1"/>
        <n v="1598.2"/>
        <n v="1617.3"/>
        <n v="1636.2"/>
        <n v="1647.3"/>
        <n v="1647.6"/>
        <n v="1648.1"/>
        <n v="1695.25"/>
        <n v="1696.6"/>
        <n v="1698"/>
        <n v="1707.3"/>
        <n v="1722.45"/>
        <n v="1736.2"/>
        <n v="1745"/>
        <n v="1752.15"/>
        <n v="1768.1"/>
        <n v="1796"/>
        <n v="1796.2"/>
        <n v="1796.4"/>
        <n v="1796.6"/>
        <n v="1797"/>
        <n v="1797.3"/>
        <n v="1797.45"/>
        <n v="1798"/>
        <n v="1827.15"/>
        <n v="1836.2"/>
        <n v="1872.15"/>
        <n v="1916"/>
        <n v="1920.75"/>
        <n v="1946"/>
        <n v="1947"/>
        <n v="1947.3"/>
        <n v="1976.2"/>
        <n v="1996"/>
        <n v="1996.25"/>
        <n v="1996.4"/>
        <n v="1996.8"/>
        <n v="2095.5"/>
        <n v="2096.6"/>
        <n v="2097"/>
        <n v="2097.15"/>
        <n v="2097.3"/>
        <n v="2097.45"/>
        <n v="2136.2"/>
        <n v="2172.15"/>
        <n v="2198.1"/>
        <n v="2247"/>
        <n v="2296.6"/>
        <n v="2596"/>
        <n v="2652.15"/>
        <n v="2697"/>
        <n v="2697.3"/>
        <n v="2796"/>
        <n v="2796.4"/>
        <n v="3076.4"/>
        <n v="3147"/>
        <n v="3495"/>
        <n v="3536.2"/>
        <n v="3696.2"/>
        <n v="3996.2"/>
        <n v="4620.25"/>
      </sharedItems>
    </cacheField>
    <cacheField name="Column Z" numFmtId="0">
      <sharedItems containsString="0" containsBlank="1" count="1">
        <m/>
      </sharedItems>
    </cacheField>
    <cacheField name="Metric" numFmtId="0">
      <sharedItems containsBlank="1" count="12">
        <s v="Average Delivered Order Revenue"/>
        <s v="Average Delivery Days"/>
        <s v="Cancelled Orders"/>
        <s v="Delivered Orders"/>
        <s v="Delivered Profit"/>
        <s v="Delivered Revenue"/>
        <s v="Fast Deliveries"/>
        <s v="High Value Orders"/>
        <s v="Profitable Orders"/>
        <s v="Returned Orders "/>
        <s v="Total Orders"/>
        <m/>
      </sharedItems>
    </cacheField>
    <cacheField name="Value" numFmtId="0">
      <sharedItems containsString="0" containsBlank="1" containsNumber="1" minValue="4.56864564007421" maxValue="1682287.25" count="11">
        <n v="4.56864564007421"/>
        <n v="8"/>
        <n v="73"/>
        <n v="89"/>
        <n v="485"/>
        <n v="1078"/>
        <n v="1500"/>
        <n v="1560.56331168831"/>
        <n v="683645.25"/>
        <n v="1682287.25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00">
  <r>
    <x v="0"/>
    <x v="285"/>
    <x v="207"/>
    <x v="96"/>
    <x v="91"/>
    <x v="0"/>
    <x v="0"/>
    <x v="23"/>
    <x v="47"/>
    <x v="3"/>
    <x v="75"/>
    <x v="189"/>
    <x v="331"/>
    <x v="93"/>
    <x v="332"/>
    <x v="9"/>
    <x v="1"/>
    <x v="13"/>
    <x v="1"/>
    <x v="1"/>
    <x v="1"/>
    <x v="1"/>
    <x v="0"/>
    <x v="4"/>
    <x v="320"/>
  </r>
  <r>
    <x v="1"/>
    <x v="326"/>
    <x v="27"/>
    <x v="77"/>
    <x v="75"/>
    <x v="2"/>
    <x v="3"/>
    <x v="2"/>
    <x v="4"/>
    <x v="4"/>
    <x v="25"/>
    <x v="108"/>
    <x v="116"/>
    <x v="30"/>
    <x v="237"/>
    <x v="267"/>
    <x v="1"/>
    <x v="10"/>
    <x v="2"/>
    <x v="0"/>
    <x v="1"/>
    <x v="1"/>
    <x v="0"/>
    <x v="0"/>
    <x v="229"/>
  </r>
  <r>
    <x v="2"/>
    <x v="151"/>
    <x v="95"/>
    <x v="82"/>
    <x v="67"/>
    <x v="2"/>
    <x v="1"/>
    <x v="5"/>
    <x v="12"/>
    <x v="3"/>
    <x v="19"/>
    <x v="71"/>
    <x v="96"/>
    <x v="30"/>
    <x v="160"/>
    <x v="197"/>
    <x v="1"/>
    <x v="18"/>
    <x v="1"/>
    <x v="1"/>
    <x v="1"/>
    <x v="1"/>
    <x v="0"/>
    <x v="3"/>
    <x v="154"/>
  </r>
  <r>
    <x v="3"/>
    <x v="236"/>
    <x v="255"/>
    <x v="46"/>
    <x v="85"/>
    <x v="1"/>
    <x v="2"/>
    <x v="5"/>
    <x v="11"/>
    <x v="4"/>
    <x v="31"/>
    <x v="127"/>
    <x v="145"/>
    <x v="40"/>
    <x v="246"/>
    <x v="196"/>
    <x v="1"/>
    <x v="15"/>
    <x v="0"/>
    <x v="1"/>
    <x v="1"/>
    <x v="1"/>
    <x v="0"/>
    <x v="0"/>
    <x v="238"/>
  </r>
  <r>
    <x v="4"/>
    <x v="261"/>
    <x v="117"/>
    <x v="17"/>
    <x v="18"/>
    <x v="4"/>
    <x v="0"/>
    <x v="11"/>
    <x v="23"/>
    <x v="0"/>
    <x v="23"/>
    <x v="0"/>
    <x v="136"/>
    <x v="34"/>
    <x v="274"/>
    <x v="257"/>
    <x v="1"/>
    <x v="5"/>
    <x v="2"/>
    <x v="0"/>
    <x v="1"/>
    <x v="1"/>
    <x v="0"/>
    <x v="0"/>
    <x v="265"/>
  </r>
  <r>
    <x v="5"/>
    <x v="54"/>
    <x v="161"/>
    <x v="85"/>
    <x v="35"/>
    <x v="2"/>
    <x v="3"/>
    <x v="1"/>
    <x v="2"/>
    <x v="2"/>
    <x v="18"/>
    <x v="48"/>
    <x v="100"/>
    <x v="23"/>
    <x v="236"/>
    <x v="314"/>
    <x v="1"/>
    <x v="8"/>
    <x v="1"/>
    <x v="0"/>
    <x v="1"/>
    <x v="1"/>
    <x v="0"/>
    <x v="0"/>
    <x v="228"/>
  </r>
  <r>
    <x v="6"/>
    <x v="9"/>
    <x v="276"/>
    <x v="99"/>
    <x v="16"/>
    <x v="0"/>
    <x v="2"/>
    <x v="22"/>
    <x v="46"/>
    <x v="0"/>
    <x v="102"/>
    <x v="0"/>
    <x v="432"/>
    <x v="115"/>
    <x v="663"/>
    <x v="93"/>
    <x v="1"/>
    <x v="5"/>
    <x v="1"/>
    <x v="2"/>
    <x v="1"/>
    <x v="2"/>
    <x v="0"/>
    <x v="0"/>
    <x v="627"/>
  </r>
  <r>
    <x v="7"/>
    <x v="43"/>
    <x v="138"/>
    <x v="26"/>
    <x v="8"/>
    <x v="4"/>
    <x v="0"/>
    <x v="5"/>
    <x v="10"/>
    <x v="1"/>
    <x v="7"/>
    <x v="8"/>
    <x v="45"/>
    <x v="12"/>
    <x v="93"/>
    <x v="293"/>
    <x v="1"/>
    <x v="6"/>
    <x v="1"/>
    <x v="0"/>
    <x v="1"/>
    <x v="1"/>
    <x v="0"/>
    <x v="4"/>
    <x v="91"/>
  </r>
  <r>
    <x v="8"/>
    <x v="116"/>
    <x v="175"/>
    <x v="25"/>
    <x v="84"/>
    <x v="4"/>
    <x v="0"/>
    <x v="10"/>
    <x v="18"/>
    <x v="1"/>
    <x v="20"/>
    <x v="22"/>
    <x v="111"/>
    <x v="24"/>
    <x v="260"/>
    <x v="311"/>
    <x v="0"/>
    <x v="15"/>
    <x v="2"/>
    <x v="0"/>
    <x v="0"/>
    <x v="1"/>
    <x v="0"/>
    <x v="1"/>
    <x v="0"/>
  </r>
  <r>
    <x v="9"/>
    <x v="160"/>
    <x v="236"/>
    <x v="28"/>
    <x v="73"/>
    <x v="4"/>
    <x v="3"/>
    <x v="3"/>
    <x v="5"/>
    <x v="0"/>
    <x v="30"/>
    <x v="0"/>
    <x v="176"/>
    <x v="33"/>
    <x v="435"/>
    <x v="338"/>
    <x v="1"/>
    <x v="5"/>
    <x v="0"/>
    <x v="0"/>
    <x v="1"/>
    <x v="1"/>
    <x v="0"/>
    <x v="4"/>
    <x v="420"/>
  </r>
  <r>
    <x v="10"/>
    <x v="210"/>
    <x v="199"/>
    <x v="51"/>
    <x v="52"/>
    <x v="1"/>
    <x v="2"/>
    <x v="2"/>
    <x v="4"/>
    <x v="0"/>
    <x v="17"/>
    <x v="0"/>
    <x v="106"/>
    <x v="22"/>
    <x v="269"/>
    <x v="329"/>
    <x v="4"/>
    <x v="14"/>
    <x v="0"/>
    <x v="0"/>
    <x v="2"/>
    <x v="1"/>
    <x v="0"/>
    <x v="3"/>
    <x v="260"/>
  </r>
  <r>
    <x v="11"/>
    <x v="81"/>
    <x v="24"/>
    <x v="77"/>
    <x v="75"/>
    <x v="2"/>
    <x v="0"/>
    <x v="2"/>
    <x v="4"/>
    <x v="4"/>
    <x v="2"/>
    <x v="28"/>
    <x v="12"/>
    <x v="4"/>
    <x v="11"/>
    <x v="267"/>
    <x v="1"/>
    <x v="4"/>
    <x v="1"/>
    <x v="2"/>
    <x v="1"/>
    <x v="1"/>
    <x v="0"/>
    <x v="3"/>
    <x v="12"/>
  </r>
  <r>
    <x v="12"/>
    <x v="177"/>
    <x v="291"/>
    <x v="83"/>
    <x v="96"/>
    <x v="2"/>
    <x v="0"/>
    <x v="10"/>
    <x v="23"/>
    <x v="0"/>
    <x v="20"/>
    <x v="0"/>
    <x v="119"/>
    <x v="34"/>
    <x v="200"/>
    <x v="207"/>
    <x v="1"/>
    <x v="9"/>
    <x v="1"/>
    <x v="2"/>
    <x v="1"/>
    <x v="1"/>
    <x v="0"/>
    <x v="0"/>
    <x v="193"/>
  </r>
  <r>
    <x v="13"/>
    <x v="54"/>
    <x v="184"/>
    <x v="82"/>
    <x v="67"/>
    <x v="2"/>
    <x v="0"/>
    <x v="5"/>
    <x v="12"/>
    <x v="2"/>
    <x v="7"/>
    <x v="21"/>
    <x v="40"/>
    <x v="14"/>
    <x v="58"/>
    <x v="220"/>
    <x v="4"/>
    <x v="17"/>
    <x v="1"/>
    <x v="1"/>
    <x v="2"/>
    <x v="1"/>
    <x v="0"/>
    <x v="3"/>
    <x v="57"/>
  </r>
  <r>
    <x v="14"/>
    <x v="310"/>
    <x v="237"/>
    <x v="52"/>
    <x v="54"/>
    <x v="1"/>
    <x v="0"/>
    <x v="8"/>
    <x v="16"/>
    <x v="0"/>
    <x v="14"/>
    <x v="0"/>
    <x v="84"/>
    <x v="20"/>
    <x v="178"/>
    <x v="298"/>
    <x v="1"/>
    <x v="19"/>
    <x v="1"/>
    <x v="1"/>
    <x v="1"/>
    <x v="1"/>
    <x v="0"/>
    <x v="0"/>
    <x v="172"/>
  </r>
  <r>
    <x v="15"/>
    <x v="70"/>
    <x v="173"/>
    <x v="65"/>
    <x v="36"/>
    <x v="6"/>
    <x v="0"/>
    <x v="7"/>
    <x v="14"/>
    <x v="1"/>
    <x v="11"/>
    <x v="12"/>
    <x v="64"/>
    <x v="17"/>
    <x v="132"/>
    <x v="295"/>
    <x v="0"/>
    <x v="3"/>
    <x v="0"/>
    <x v="0"/>
    <x v="0"/>
    <x v="1"/>
    <x v="0"/>
    <x v="1"/>
    <x v="0"/>
  </r>
  <r>
    <x v="16"/>
    <x v="189"/>
    <x v="217"/>
    <x v="9"/>
    <x v="95"/>
    <x v="3"/>
    <x v="2"/>
    <x v="19"/>
    <x v="39"/>
    <x v="3"/>
    <x v="93"/>
    <x v="218"/>
    <x v="396"/>
    <x v="104"/>
    <x v="579"/>
    <x v="61"/>
    <x v="1"/>
    <x v="19"/>
    <x v="0"/>
    <x v="2"/>
    <x v="1"/>
    <x v="1"/>
    <x v="0"/>
    <x v="4"/>
    <x v="555"/>
  </r>
  <r>
    <x v="17"/>
    <x v="15"/>
    <x v="206"/>
    <x v="49"/>
    <x v="38"/>
    <x v="1"/>
    <x v="0"/>
    <x v="6"/>
    <x v="13"/>
    <x v="2"/>
    <x v="9"/>
    <x v="25"/>
    <x v="53"/>
    <x v="15"/>
    <x v="89"/>
    <x v="252"/>
    <x v="1"/>
    <x v="0"/>
    <x v="1"/>
    <x v="2"/>
    <x v="1"/>
    <x v="1"/>
    <x v="0"/>
    <x v="3"/>
    <x v="88"/>
  </r>
  <r>
    <x v="18"/>
    <x v="131"/>
    <x v="143"/>
    <x v="27"/>
    <x v="78"/>
    <x v="4"/>
    <x v="1"/>
    <x v="19"/>
    <x v="38"/>
    <x v="4"/>
    <x v="78"/>
    <x v="208"/>
    <x v="328"/>
    <x v="84"/>
    <x v="490"/>
    <x v="82"/>
    <x v="3"/>
    <x v="12"/>
    <x v="0"/>
    <x v="1"/>
    <x v="3"/>
    <x v="1"/>
    <x v="0"/>
    <x v="4"/>
    <x v="0"/>
  </r>
  <r>
    <x v="19"/>
    <x v="230"/>
    <x v="165"/>
    <x v="39"/>
    <x v="20"/>
    <x v="5"/>
    <x v="0"/>
    <x v="13"/>
    <x v="29"/>
    <x v="4"/>
    <x v="29"/>
    <x v="119"/>
    <x v="130"/>
    <x v="43"/>
    <x v="169"/>
    <x v="106"/>
    <x v="1"/>
    <x v="10"/>
    <x v="1"/>
    <x v="1"/>
    <x v="1"/>
    <x v="1"/>
    <x v="0"/>
    <x v="0"/>
    <x v="163"/>
  </r>
  <r>
    <x v="20"/>
    <x v="153"/>
    <x v="228"/>
    <x v="18"/>
    <x v="71"/>
    <x v="4"/>
    <x v="4"/>
    <x v="20"/>
    <x v="40"/>
    <x v="2"/>
    <x v="108"/>
    <x v="226"/>
    <x v="440"/>
    <x v="120"/>
    <x v="671"/>
    <x v="120"/>
    <x v="3"/>
    <x v="7"/>
    <x v="0"/>
    <x v="1"/>
    <x v="3"/>
    <x v="2"/>
    <x v="0"/>
    <x v="0"/>
    <x v="0"/>
  </r>
  <r>
    <x v="21"/>
    <x v="49"/>
    <x v="36"/>
    <x v="49"/>
    <x v="38"/>
    <x v="1"/>
    <x v="1"/>
    <x v="6"/>
    <x v="13"/>
    <x v="0"/>
    <x v="22"/>
    <x v="0"/>
    <x v="134"/>
    <x v="31"/>
    <x v="299"/>
    <x v="291"/>
    <x v="1"/>
    <x v="18"/>
    <x v="1"/>
    <x v="1"/>
    <x v="1"/>
    <x v="1"/>
    <x v="0"/>
    <x v="3"/>
    <x v="288"/>
  </r>
  <r>
    <x v="22"/>
    <x v="3"/>
    <x v="115"/>
    <x v="57"/>
    <x v="58"/>
    <x v="1"/>
    <x v="1"/>
    <x v="5"/>
    <x v="11"/>
    <x v="4"/>
    <x v="19"/>
    <x v="93"/>
    <x v="89"/>
    <x v="28"/>
    <x v="146"/>
    <x v="196"/>
    <x v="1"/>
    <x v="18"/>
    <x v="1"/>
    <x v="2"/>
    <x v="1"/>
    <x v="1"/>
    <x v="0"/>
    <x v="4"/>
    <x v="140"/>
  </r>
  <r>
    <x v="23"/>
    <x v="265"/>
    <x v="26"/>
    <x v="25"/>
    <x v="84"/>
    <x v="4"/>
    <x v="0"/>
    <x v="10"/>
    <x v="18"/>
    <x v="3"/>
    <x v="20"/>
    <x v="73"/>
    <x v="97"/>
    <x v="24"/>
    <x v="202"/>
    <x v="278"/>
    <x v="2"/>
    <x v="17"/>
    <x v="1"/>
    <x v="1"/>
    <x v="2"/>
    <x v="1"/>
    <x v="0"/>
    <x v="2"/>
    <x v="195"/>
  </r>
  <r>
    <x v="24"/>
    <x v="322"/>
    <x v="26"/>
    <x v="88"/>
    <x v="57"/>
    <x v="0"/>
    <x v="0"/>
    <x v="22"/>
    <x v="45"/>
    <x v="0"/>
    <x v="63"/>
    <x v="0"/>
    <x v="304"/>
    <x v="76"/>
    <x v="483"/>
    <x v="114"/>
    <x v="1"/>
    <x v="17"/>
    <x v="1"/>
    <x v="2"/>
    <x v="1"/>
    <x v="1"/>
    <x v="0"/>
    <x v="3"/>
    <x v="464"/>
  </r>
  <r>
    <x v="25"/>
    <x v="233"/>
    <x v="75"/>
    <x v="35"/>
    <x v="24"/>
    <x v="5"/>
    <x v="0"/>
    <x v="17"/>
    <x v="35"/>
    <x v="4"/>
    <x v="42"/>
    <x v="145"/>
    <x v="182"/>
    <x v="55"/>
    <x v="213"/>
    <x v="76"/>
    <x v="1"/>
    <x v="3"/>
    <x v="1"/>
    <x v="2"/>
    <x v="1"/>
    <x v="1"/>
    <x v="0"/>
    <x v="4"/>
    <x v="206"/>
  </r>
  <r>
    <x v="26"/>
    <x v="92"/>
    <x v="248"/>
    <x v="43"/>
    <x v="25"/>
    <x v="5"/>
    <x v="2"/>
    <x v="3"/>
    <x v="5"/>
    <x v="2"/>
    <x v="21"/>
    <x v="53"/>
    <x v="121"/>
    <x v="24"/>
    <x v="291"/>
    <x v="324"/>
    <x v="0"/>
    <x v="7"/>
    <x v="1"/>
    <x v="2"/>
    <x v="0"/>
    <x v="1"/>
    <x v="0"/>
    <x v="1"/>
    <x v="0"/>
  </r>
  <r>
    <x v="27"/>
    <x v="226"/>
    <x v="122"/>
    <x v="21"/>
    <x v="93"/>
    <x v="4"/>
    <x v="1"/>
    <x v="7"/>
    <x v="14"/>
    <x v="5"/>
    <x v="26"/>
    <x v="131"/>
    <x v="107"/>
    <x v="33"/>
    <x v="177"/>
    <x v="193"/>
    <x v="4"/>
    <x v="8"/>
    <x v="1"/>
    <x v="1"/>
    <x v="2"/>
    <x v="1"/>
    <x v="0"/>
    <x v="0"/>
    <x v="171"/>
  </r>
  <r>
    <x v="28"/>
    <x v="35"/>
    <x v="235"/>
    <x v="22"/>
    <x v="79"/>
    <x v="4"/>
    <x v="1"/>
    <x v="4"/>
    <x v="7"/>
    <x v="0"/>
    <x v="15"/>
    <x v="0"/>
    <x v="98"/>
    <x v="19"/>
    <x v="257"/>
    <x v="334"/>
    <x v="1"/>
    <x v="15"/>
    <x v="1"/>
    <x v="1"/>
    <x v="1"/>
    <x v="1"/>
    <x v="0"/>
    <x v="3"/>
    <x v="248"/>
  </r>
  <r>
    <x v="29"/>
    <x v="231"/>
    <x v="65"/>
    <x v="71"/>
    <x v="88"/>
    <x v="6"/>
    <x v="0"/>
    <x v="5"/>
    <x v="10"/>
    <x v="1"/>
    <x v="7"/>
    <x v="8"/>
    <x v="45"/>
    <x v="12"/>
    <x v="93"/>
    <x v="293"/>
    <x v="0"/>
    <x v="12"/>
    <x v="0"/>
    <x v="2"/>
    <x v="0"/>
    <x v="1"/>
    <x v="0"/>
    <x v="1"/>
    <x v="0"/>
  </r>
  <r>
    <x v="30"/>
    <x v="186"/>
    <x v="32"/>
    <x v="41"/>
    <x v="6"/>
    <x v="5"/>
    <x v="0"/>
    <x v="10"/>
    <x v="21"/>
    <x v="0"/>
    <x v="20"/>
    <x v="0"/>
    <x v="119"/>
    <x v="30"/>
    <x v="241"/>
    <x v="270"/>
    <x v="1"/>
    <x v="11"/>
    <x v="2"/>
    <x v="1"/>
    <x v="1"/>
    <x v="1"/>
    <x v="0"/>
    <x v="0"/>
    <x v="233"/>
  </r>
  <r>
    <x v="31"/>
    <x v="46"/>
    <x v="122"/>
    <x v="5"/>
    <x v="98"/>
    <x v="3"/>
    <x v="1"/>
    <x v="9"/>
    <x v="18"/>
    <x v="4"/>
    <x v="38"/>
    <x v="139"/>
    <x v="165"/>
    <x v="45"/>
    <x v="301"/>
    <x v="190"/>
    <x v="0"/>
    <x v="8"/>
    <x v="1"/>
    <x v="1"/>
    <x v="0"/>
    <x v="1"/>
    <x v="0"/>
    <x v="1"/>
    <x v="0"/>
  </r>
  <r>
    <x v="32"/>
    <x v="168"/>
    <x v="56"/>
    <x v="23"/>
    <x v="49"/>
    <x v="4"/>
    <x v="0"/>
    <x v="12"/>
    <x v="24"/>
    <x v="1"/>
    <x v="27"/>
    <x v="30"/>
    <x v="143"/>
    <x v="36"/>
    <x v="287"/>
    <x v="246"/>
    <x v="1"/>
    <x v="18"/>
    <x v="1"/>
    <x v="2"/>
    <x v="1"/>
    <x v="1"/>
    <x v="0"/>
    <x v="3"/>
    <x v="278"/>
  </r>
  <r>
    <x v="33"/>
    <x v="51"/>
    <x v="154"/>
    <x v="26"/>
    <x v="8"/>
    <x v="4"/>
    <x v="3"/>
    <x v="5"/>
    <x v="10"/>
    <x v="2"/>
    <x v="43"/>
    <x v="93"/>
    <x v="210"/>
    <x v="46"/>
    <x v="437"/>
    <x v="274"/>
    <x v="1"/>
    <x v="18"/>
    <x v="2"/>
    <x v="2"/>
    <x v="1"/>
    <x v="1"/>
    <x v="0"/>
    <x v="3"/>
    <x v="422"/>
  </r>
  <r>
    <x v="34"/>
    <x v="206"/>
    <x v="60"/>
    <x v="19"/>
    <x v="2"/>
    <x v="4"/>
    <x v="0"/>
    <x v="14"/>
    <x v="30"/>
    <x v="3"/>
    <x v="33"/>
    <x v="104"/>
    <x v="154"/>
    <x v="45"/>
    <x v="228"/>
    <x v="141"/>
    <x v="1"/>
    <x v="6"/>
    <x v="0"/>
    <x v="1"/>
    <x v="1"/>
    <x v="1"/>
    <x v="0"/>
    <x v="4"/>
    <x v="220"/>
  </r>
  <r>
    <x v="35"/>
    <x v="5"/>
    <x v="268"/>
    <x v="2"/>
    <x v="77"/>
    <x v="3"/>
    <x v="2"/>
    <x v="22"/>
    <x v="44"/>
    <x v="4"/>
    <x v="102"/>
    <x v="242"/>
    <x v="419"/>
    <x v="112"/>
    <x v="611"/>
    <x v="39"/>
    <x v="1"/>
    <x v="7"/>
    <x v="0"/>
    <x v="1"/>
    <x v="1"/>
    <x v="2"/>
    <x v="0"/>
    <x v="0"/>
    <x v="582"/>
  </r>
  <r>
    <x v="36"/>
    <x v="65"/>
    <x v="191"/>
    <x v="46"/>
    <x v="85"/>
    <x v="1"/>
    <x v="4"/>
    <x v="5"/>
    <x v="11"/>
    <x v="5"/>
    <x v="51"/>
    <x v="183"/>
    <x v="215"/>
    <x v="57"/>
    <x v="368"/>
    <x v="159"/>
    <x v="4"/>
    <x v="9"/>
    <x v="1"/>
    <x v="1"/>
    <x v="2"/>
    <x v="1"/>
    <x v="0"/>
    <x v="3"/>
    <x v="354"/>
  </r>
  <r>
    <x v="37"/>
    <x v="283"/>
    <x v="142"/>
    <x v="37"/>
    <x v="51"/>
    <x v="5"/>
    <x v="0"/>
    <x v="8"/>
    <x v="17"/>
    <x v="2"/>
    <x v="14"/>
    <x v="35"/>
    <x v="73"/>
    <x v="21"/>
    <x v="137"/>
    <x v="238"/>
    <x v="1"/>
    <x v="4"/>
    <x v="0"/>
    <x v="0"/>
    <x v="1"/>
    <x v="1"/>
    <x v="0"/>
    <x v="0"/>
    <x v="131"/>
  </r>
  <r>
    <x v="38"/>
    <x v="186"/>
    <x v="184"/>
    <x v="71"/>
    <x v="88"/>
    <x v="6"/>
    <x v="0"/>
    <x v="5"/>
    <x v="10"/>
    <x v="1"/>
    <x v="7"/>
    <x v="8"/>
    <x v="45"/>
    <x v="12"/>
    <x v="93"/>
    <x v="293"/>
    <x v="1"/>
    <x v="17"/>
    <x v="1"/>
    <x v="0"/>
    <x v="1"/>
    <x v="1"/>
    <x v="0"/>
    <x v="4"/>
    <x v="91"/>
  </r>
  <r>
    <x v="39"/>
    <x v="323"/>
    <x v="51"/>
    <x v="97"/>
    <x v="81"/>
    <x v="0"/>
    <x v="0"/>
    <x v="12"/>
    <x v="29"/>
    <x v="3"/>
    <x v="27"/>
    <x v="90"/>
    <x v="126"/>
    <x v="43"/>
    <x v="149"/>
    <x v="87"/>
    <x v="1"/>
    <x v="16"/>
    <x v="1"/>
    <x v="0"/>
    <x v="1"/>
    <x v="1"/>
    <x v="0"/>
    <x v="4"/>
    <x v="143"/>
  </r>
  <r>
    <x v="40"/>
    <x v="214"/>
    <x v="277"/>
    <x v="45"/>
    <x v="30"/>
    <x v="1"/>
    <x v="0"/>
    <x v="7"/>
    <x v="15"/>
    <x v="1"/>
    <x v="11"/>
    <x v="12"/>
    <x v="64"/>
    <x v="18"/>
    <x v="119"/>
    <x v="260"/>
    <x v="3"/>
    <x v="19"/>
    <x v="0"/>
    <x v="0"/>
    <x v="3"/>
    <x v="1"/>
    <x v="0"/>
    <x v="0"/>
    <x v="0"/>
  </r>
  <r>
    <x v="41"/>
    <x v="85"/>
    <x v="112"/>
    <x v="24"/>
    <x v="44"/>
    <x v="4"/>
    <x v="0"/>
    <x v="16"/>
    <x v="33"/>
    <x v="5"/>
    <x v="39"/>
    <x v="155"/>
    <x v="158"/>
    <x v="51"/>
    <x v="170"/>
    <x v="62"/>
    <x v="1"/>
    <x v="9"/>
    <x v="2"/>
    <x v="1"/>
    <x v="1"/>
    <x v="1"/>
    <x v="0"/>
    <x v="0"/>
    <x v="164"/>
  </r>
  <r>
    <x v="42"/>
    <x v="328"/>
    <x v="240"/>
    <x v="93"/>
    <x v="70"/>
    <x v="0"/>
    <x v="2"/>
    <x v="20"/>
    <x v="42"/>
    <x v="2"/>
    <x v="97"/>
    <x v="199"/>
    <x v="411"/>
    <x v="110"/>
    <x v="610"/>
    <x v="55"/>
    <x v="1"/>
    <x v="1"/>
    <x v="0"/>
    <x v="0"/>
    <x v="1"/>
    <x v="2"/>
    <x v="0"/>
    <x v="0"/>
    <x v="581"/>
  </r>
  <r>
    <x v="43"/>
    <x v="136"/>
    <x v="89"/>
    <x v="97"/>
    <x v="81"/>
    <x v="0"/>
    <x v="1"/>
    <x v="12"/>
    <x v="29"/>
    <x v="4"/>
    <x v="53"/>
    <x v="168"/>
    <x v="229"/>
    <x v="67"/>
    <x v="284"/>
    <x v="59"/>
    <x v="1"/>
    <x v="7"/>
    <x v="1"/>
    <x v="1"/>
    <x v="1"/>
    <x v="1"/>
    <x v="0"/>
    <x v="0"/>
    <x v="275"/>
  </r>
  <r>
    <x v="44"/>
    <x v="3"/>
    <x v="204"/>
    <x v="95"/>
    <x v="0"/>
    <x v="0"/>
    <x v="2"/>
    <x v="24"/>
    <x v="48"/>
    <x v="2"/>
    <x v="111"/>
    <x v="236"/>
    <x v="445"/>
    <x v="126"/>
    <x v="664"/>
    <x v="29"/>
    <x v="1"/>
    <x v="17"/>
    <x v="1"/>
    <x v="1"/>
    <x v="1"/>
    <x v="0"/>
    <x v="0"/>
    <x v="4"/>
    <x v="628"/>
  </r>
  <r>
    <x v="45"/>
    <x v="164"/>
    <x v="164"/>
    <x v="28"/>
    <x v="73"/>
    <x v="4"/>
    <x v="1"/>
    <x v="3"/>
    <x v="5"/>
    <x v="1"/>
    <x v="13"/>
    <x v="15"/>
    <x v="77"/>
    <x v="17"/>
    <x v="192"/>
    <x v="332"/>
    <x v="1"/>
    <x v="17"/>
    <x v="1"/>
    <x v="1"/>
    <x v="1"/>
    <x v="1"/>
    <x v="0"/>
    <x v="0"/>
    <x v="186"/>
  </r>
  <r>
    <x v="46"/>
    <x v="144"/>
    <x v="173"/>
    <x v="37"/>
    <x v="51"/>
    <x v="5"/>
    <x v="1"/>
    <x v="8"/>
    <x v="17"/>
    <x v="2"/>
    <x v="32"/>
    <x v="72"/>
    <x v="161"/>
    <x v="41"/>
    <x v="324"/>
    <x v="238"/>
    <x v="1"/>
    <x v="3"/>
    <x v="0"/>
    <x v="1"/>
    <x v="1"/>
    <x v="1"/>
    <x v="0"/>
    <x v="4"/>
    <x v="312"/>
  </r>
  <r>
    <x v="47"/>
    <x v="182"/>
    <x v="54"/>
    <x v="6"/>
    <x v="46"/>
    <x v="3"/>
    <x v="1"/>
    <x v="12"/>
    <x v="25"/>
    <x v="2"/>
    <x v="53"/>
    <x v="112"/>
    <x v="251"/>
    <x v="61"/>
    <x v="452"/>
    <x v="194"/>
    <x v="1"/>
    <x v="2"/>
    <x v="1"/>
    <x v="2"/>
    <x v="1"/>
    <x v="1"/>
    <x v="0"/>
    <x v="0"/>
    <x v="437"/>
  </r>
  <r>
    <x v="48"/>
    <x v="40"/>
    <x v="154"/>
    <x v="22"/>
    <x v="79"/>
    <x v="4"/>
    <x v="1"/>
    <x v="4"/>
    <x v="7"/>
    <x v="4"/>
    <x v="15"/>
    <x v="82"/>
    <x v="74"/>
    <x v="19"/>
    <x v="161"/>
    <x v="287"/>
    <x v="4"/>
    <x v="18"/>
    <x v="2"/>
    <x v="0"/>
    <x v="2"/>
    <x v="1"/>
    <x v="0"/>
    <x v="4"/>
    <x v="155"/>
  </r>
  <r>
    <x v="49"/>
    <x v="93"/>
    <x v="132"/>
    <x v="99"/>
    <x v="16"/>
    <x v="0"/>
    <x v="0"/>
    <x v="22"/>
    <x v="46"/>
    <x v="0"/>
    <x v="63"/>
    <x v="0"/>
    <x v="304"/>
    <x v="78"/>
    <x v="473"/>
    <x v="93"/>
    <x v="1"/>
    <x v="2"/>
    <x v="0"/>
    <x v="0"/>
    <x v="1"/>
    <x v="1"/>
    <x v="0"/>
    <x v="4"/>
    <x v="454"/>
  </r>
  <r>
    <x v="50"/>
    <x v="50"/>
    <x v="20"/>
    <x v="94"/>
    <x v="86"/>
    <x v="0"/>
    <x v="0"/>
    <x v="18"/>
    <x v="38"/>
    <x v="2"/>
    <x v="45"/>
    <x v="95"/>
    <x v="214"/>
    <x v="60"/>
    <x v="279"/>
    <x v="81"/>
    <x v="0"/>
    <x v="6"/>
    <x v="1"/>
    <x v="1"/>
    <x v="0"/>
    <x v="1"/>
    <x v="0"/>
    <x v="1"/>
    <x v="0"/>
  </r>
  <r>
    <x v="51"/>
    <x v="187"/>
    <x v="165"/>
    <x v="59"/>
    <x v="99"/>
    <x v="6"/>
    <x v="0"/>
    <x v="10"/>
    <x v="20"/>
    <x v="3"/>
    <x v="20"/>
    <x v="73"/>
    <x v="97"/>
    <x v="29"/>
    <x v="168"/>
    <x v="214"/>
    <x v="2"/>
    <x v="10"/>
    <x v="1"/>
    <x v="0"/>
    <x v="2"/>
    <x v="1"/>
    <x v="0"/>
    <x v="2"/>
    <x v="162"/>
  </r>
  <r>
    <x v="52"/>
    <x v="214"/>
    <x v="116"/>
    <x v="44"/>
    <x v="53"/>
    <x v="5"/>
    <x v="0"/>
    <x v="6"/>
    <x v="12"/>
    <x v="0"/>
    <x v="9"/>
    <x v="0"/>
    <x v="60"/>
    <x v="14"/>
    <x v="130"/>
    <x v="308"/>
    <x v="1"/>
    <x v="15"/>
    <x v="1"/>
    <x v="1"/>
    <x v="1"/>
    <x v="1"/>
    <x v="0"/>
    <x v="0"/>
    <x v="125"/>
  </r>
  <r>
    <x v="53"/>
    <x v="232"/>
    <x v="52"/>
    <x v="54"/>
    <x v="61"/>
    <x v="1"/>
    <x v="3"/>
    <x v="12"/>
    <x v="27"/>
    <x v="2"/>
    <x v="81"/>
    <x v="168"/>
    <x v="363"/>
    <x v="87"/>
    <x v="602"/>
    <x v="171"/>
    <x v="0"/>
    <x v="11"/>
    <x v="1"/>
    <x v="1"/>
    <x v="0"/>
    <x v="1"/>
    <x v="0"/>
    <x v="1"/>
    <x v="0"/>
  </r>
  <r>
    <x v="54"/>
    <x v="298"/>
    <x v="171"/>
    <x v="81"/>
    <x v="31"/>
    <x v="2"/>
    <x v="2"/>
    <x v="2"/>
    <x v="4"/>
    <x v="3"/>
    <x v="17"/>
    <x v="67"/>
    <x v="88"/>
    <x v="22"/>
    <x v="191"/>
    <x v="290"/>
    <x v="4"/>
    <x v="9"/>
    <x v="2"/>
    <x v="0"/>
    <x v="2"/>
    <x v="1"/>
    <x v="0"/>
    <x v="4"/>
    <x v="185"/>
  </r>
  <r>
    <x v="55"/>
    <x v="258"/>
    <x v="37"/>
    <x v="52"/>
    <x v="54"/>
    <x v="1"/>
    <x v="0"/>
    <x v="8"/>
    <x v="16"/>
    <x v="3"/>
    <x v="14"/>
    <x v="55"/>
    <x v="70"/>
    <x v="20"/>
    <x v="123"/>
    <x v="234"/>
    <x v="1"/>
    <x v="15"/>
    <x v="1"/>
    <x v="0"/>
    <x v="1"/>
    <x v="1"/>
    <x v="0"/>
    <x v="0"/>
    <x v="119"/>
  </r>
  <r>
    <x v="56"/>
    <x v="292"/>
    <x v="156"/>
    <x v="20"/>
    <x v="40"/>
    <x v="4"/>
    <x v="0"/>
    <x v="17"/>
    <x v="32"/>
    <x v="2"/>
    <x v="42"/>
    <x v="91"/>
    <x v="202"/>
    <x v="50"/>
    <x v="371"/>
    <x v="212"/>
    <x v="1"/>
    <x v="5"/>
    <x v="0"/>
    <x v="0"/>
    <x v="1"/>
    <x v="1"/>
    <x v="0"/>
    <x v="4"/>
    <x v="357"/>
  </r>
  <r>
    <x v="57"/>
    <x v="342"/>
    <x v="126"/>
    <x v="34"/>
    <x v="59"/>
    <x v="5"/>
    <x v="1"/>
    <x v="12"/>
    <x v="28"/>
    <x v="3"/>
    <x v="53"/>
    <x v="143"/>
    <x v="237"/>
    <x v="64"/>
    <x v="377"/>
    <x v="118"/>
    <x v="1"/>
    <x v="10"/>
    <x v="1"/>
    <x v="1"/>
    <x v="1"/>
    <x v="1"/>
    <x v="0"/>
    <x v="0"/>
    <x v="363"/>
  </r>
  <r>
    <x v="58"/>
    <x v="36"/>
    <x v="198"/>
    <x v="26"/>
    <x v="8"/>
    <x v="4"/>
    <x v="0"/>
    <x v="5"/>
    <x v="10"/>
    <x v="2"/>
    <x v="7"/>
    <x v="21"/>
    <x v="40"/>
    <x v="12"/>
    <x v="76"/>
    <x v="274"/>
    <x v="1"/>
    <x v="6"/>
    <x v="2"/>
    <x v="1"/>
    <x v="1"/>
    <x v="1"/>
    <x v="0"/>
    <x v="4"/>
    <x v="75"/>
  </r>
  <r>
    <x v="59"/>
    <x v="212"/>
    <x v="178"/>
    <x v="2"/>
    <x v="77"/>
    <x v="3"/>
    <x v="0"/>
    <x v="22"/>
    <x v="44"/>
    <x v="1"/>
    <x v="63"/>
    <x v="77"/>
    <x v="295"/>
    <x v="74"/>
    <x v="478"/>
    <x v="121"/>
    <x v="1"/>
    <x v="6"/>
    <x v="0"/>
    <x v="1"/>
    <x v="1"/>
    <x v="1"/>
    <x v="0"/>
    <x v="4"/>
    <x v="459"/>
  </r>
  <r>
    <x v="60"/>
    <x v="136"/>
    <x v="211"/>
    <x v="58"/>
    <x v="5"/>
    <x v="1"/>
    <x v="4"/>
    <x v="9"/>
    <x v="20"/>
    <x v="2"/>
    <x v="74"/>
    <x v="154"/>
    <x v="341"/>
    <x v="82"/>
    <x v="570"/>
    <x v="170"/>
    <x v="1"/>
    <x v="9"/>
    <x v="1"/>
    <x v="2"/>
    <x v="1"/>
    <x v="1"/>
    <x v="0"/>
    <x v="3"/>
    <x v="547"/>
  </r>
  <r>
    <x v="61"/>
    <x v="165"/>
    <x v="23"/>
    <x v="22"/>
    <x v="79"/>
    <x v="4"/>
    <x v="0"/>
    <x v="4"/>
    <x v="7"/>
    <x v="3"/>
    <x v="5"/>
    <x v="31"/>
    <x v="26"/>
    <x v="7"/>
    <x v="54"/>
    <x v="304"/>
    <x v="1"/>
    <x v="8"/>
    <x v="1"/>
    <x v="1"/>
    <x v="1"/>
    <x v="1"/>
    <x v="0"/>
    <x v="4"/>
    <x v="53"/>
  </r>
  <r>
    <x v="62"/>
    <x v="150"/>
    <x v="116"/>
    <x v="23"/>
    <x v="49"/>
    <x v="4"/>
    <x v="3"/>
    <x v="12"/>
    <x v="24"/>
    <x v="2"/>
    <x v="81"/>
    <x v="168"/>
    <x v="363"/>
    <x v="83"/>
    <x v="624"/>
    <x v="226"/>
    <x v="1"/>
    <x v="15"/>
    <x v="1"/>
    <x v="1"/>
    <x v="1"/>
    <x v="1"/>
    <x v="0"/>
    <x v="0"/>
    <x v="595"/>
  </r>
  <r>
    <x v="63"/>
    <x v="280"/>
    <x v="286"/>
    <x v="10"/>
    <x v="42"/>
    <x v="3"/>
    <x v="2"/>
    <x v="18"/>
    <x v="37"/>
    <x v="5"/>
    <x v="89"/>
    <x v="234"/>
    <x v="366"/>
    <x v="97"/>
    <x v="468"/>
    <x v="27"/>
    <x v="3"/>
    <x v="0"/>
    <x v="1"/>
    <x v="0"/>
    <x v="3"/>
    <x v="1"/>
    <x v="0"/>
    <x v="0"/>
    <x v="0"/>
  </r>
  <r>
    <x v="64"/>
    <x v="120"/>
    <x v="87"/>
    <x v="17"/>
    <x v="18"/>
    <x v="4"/>
    <x v="0"/>
    <x v="11"/>
    <x v="23"/>
    <x v="3"/>
    <x v="23"/>
    <x v="81"/>
    <x v="114"/>
    <x v="34"/>
    <x v="175"/>
    <x v="181"/>
    <x v="1"/>
    <x v="0"/>
    <x v="0"/>
    <x v="1"/>
    <x v="1"/>
    <x v="1"/>
    <x v="0"/>
    <x v="4"/>
    <x v="169"/>
  </r>
  <r>
    <x v="65"/>
    <x v="254"/>
    <x v="131"/>
    <x v="1"/>
    <x v="9"/>
    <x v="3"/>
    <x v="0"/>
    <x v="17"/>
    <x v="36"/>
    <x v="2"/>
    <x v="42"/>
    <x v="91"/>
    <x v="202"/>
    <x v="57"/>
    <x v="288"/>
    <x v="100"/>
    <x v="0"/>
    <x v="9"/>
    <x v="0"/>
    <x v="1"/>
    <x v="0"/>
    <x v="1"/>
    <x v="0"/>
    <x v="1"/>
    <x v="0"/>
  </r>
  <r>
    <x v="66"/>
    <x v="101"/>
    <x v="296"/>
    <x v="28"/>
    <x v="73"/>
    <x v="4"/>
    <x v="1"/>
    <x v="3"/>
    <x v="5"/>
    <x v="4"/>
    <x v="13"/>
    <x v="70"/>
    <x v="65"/>
    <x v="17"/>
    <x v="135"/>
    <x v="296"/>
    <x v="1"/>
    <x v="5"/>
    <x v="1"/>
    <x v="0"/>
    <x v="1"/>
    <x v="1"/>
    <x v="0"/>
    <x v="0"/>
    <x v="129"/>
  </r>
  <r>
    <x v="67"/>
    <x v="296"/>
    <x v="40"/>
    <x v="83"/>
    <x v="96"/>
    <x v="2"/>
    <x v="0"/>
    <x v="10"/>
    <x v="23"/>
    <x v="5"/>
    <x v="20"/>
    <x v="111"/>
    <x v="85"/>
    <x v="34"/>
    <x v="60"/>
    <x v="52"/>
    <x v="1"/>
    <x v="6"/>
    <x v="0"/>
    <x v="1"/>
    <x v="1"/>
    <x v="1"/>
    <x v="0"/>
    <x v="4"/>
    <x v="59"/>
  </r>
  <r>
    <x v="68"/>
    <x v="349"/>
    <x v="73"/>
    <x v="95"/>
    <x v="0"/>
    <x v="0"/>
    <x v="2"/>
    <x v="24"/>
    <x v="48"/>
    <x v="3"/>
    <x v="111"/>
    <x v="247"/>
    <x v="443"/>
    <x v="126"/>
    <x v="652"/>
    <x v="12"/>
    <x v="1"/>
    <x v="9"/>
    <x v="0"/>
    <x v="2"/>
    <x v="1"/>
    <x v="0"/>
    <x v="0"/>
    <x v="0"/>
    <x v="619"/>
  </r>
  <r>
    <x v="69"/>
    <x v="253"/>
    <x v="83"/>
    <x v="20"/>
    <x v="40"/>
    <x v="4"/>
    <x v="2"/>
    <x v="17"/>
    <x v="32"/>
    <x v="5"/>
    <x v="87"/>
    <x v="232"/>
    <x v="349"/>
    <x v="89"/>
    <x v="555"/>
    <x v="112"/>
    <x v="1"/>
    <x v="4"/>
    <x v="2"/>
    <x v="0"/>
    <x v="1"/>
    <x v="1"/>
    <x v="0"/>
    <x v="4"/>
    <x v="532"/>
  </r>
  <r>
    <x v="70"/>
    <x v="254"/>
    <x v="219"/>
    <x v="94"/>
    <x v="86"/>
    <x v="0"/>
    <x v="0"/>
    <x v="18"/>
    <x v="38"/>
    <x v="1"/>
    <x v="45"/>
    <x v="51"/>
    <x v="221"/>
    <x v="60"/>
    <x v="329"/>
    <x v="109"/>
    <x v="1"/>
    <x v="14"/>
    <x v="1"/>
    <x v="1"/>
    <x v="1"/>
    <x v="1"/>
    <x v="0"/>
    <x v="0"/>
    <x v="317"/>
  </r>
  <r>
    <x v="71"/>
    <x v="183"/>
    <x v="124"/>
    <x v="33"/>
    <x v="87"/>
    <x v="5"/>
    <x v="0"/>
    <x v="11"/>
    <x v="23"/>
    <x v="0"/>
    <x v="23"/>
    <x v="0"/>
    <x v="136"/>
    <x v="34"/>
    <x v="274"/>
    <x v="257"/>
    <x v="1"/>
    <x v="12"/>
    <x v="0"/>
    <x v="1"/>
    <x v="1"/>
    <x v="1"/>
    <x v="0"/>
    <x v="0"/>
    <x v="265"/>
  </r>
  <r>
    <x v="72"/>
    <x v="120"/>
    <x v="8"/>
    <x v="36"/>
    <x v="63"/>
    <x v="5"/>
    <x v="0"/>
    <x v="10"/>
    <x v="20"/>
    <x v="0"/>
    <x v="20"/>
    <x v="0"/>
    <x v="119"/>
    <x v="29"/>
    <x v="250"/>
    <x v="283"/>
    <x v="0"/>
    <x v="0"/>
    <x v="0"/>
    <x v="2"/>
    <x v="0"/>
    <x v="1"/>
    <x v="0"/>
    <x v="1"/>
    <x v="0"/>
  </r>
  <r>
    <x v="73"/>
    <x v="270"/>
    <x v="263"/>
    <x v="69"/>
    <x v="48"/>
    <x v="6"/>
    <x v="0"/>
    <x v="6"/>
    <x v="12"/>
    <x v="0"/>
    <x v="9"/>
    <x v="0"/>
    <x v="60"/>
    <x v="14"/>
    <x v="130"/>
    <x v="308"/>
    <x v="3"/>
    <x v="12"/>
    <x v="1"/>
    <x v="0"/>
    <x v="3"/>
    <x v="1"/>
    <x v="0"/>
    <x v="3"/>
    <x v="0"/>
  </r>
  <r>
    <x v="74"/>
    <x v="253"/>
    <x v="255"/>
    <x v="94"/>
    <x v="86"/>
    <x v="0"/>
    <x v="1"/>
    <x v="18"/>
    <x v="38"/>
    <x v="2"/>
    <x v="72"/>
    <x v="150"/>
    <x v="327"/>
    <x v="84"/>
    <x v="489"/>
    <x v="81"/>
    <x v="1"/>
    <x v="15"/>
    <x v="0"/>
    <x v="1"/>
    <x v="1"/>
    <x v="1"/>
    <x v="0"/>
    <x v="0"/>
    <x v="470"/>
  </r>
  <r>
    <x v="75"/>
    <x v="297"/>
    <x v="88"/>
    <x v="13"/>
    <x v="41"/>
    <x v="3"/>
    <x v="0"/>
    <x v="6"/>
    <x v="12"/>
    <x v="5"/>
    <x v="9"/>
    <x v="68"/>
    <x v="35"/>
    <x v="14"/>
    <x v="37"/>
    <x v="192"/>
    <x v="1"/>
    <x v="13"/>
    <x v="0"/>
    <x v="1"/>
    <x v="1"/>
    <x v="1"/>
    <x v="0"/>
    <x v="3"/>
    <x v="38"/>
  </r>
  <r>
    <x v="76"/>
    <x v="188"/>
    <x v="217"/>
    <x v="62"/>
    <x v="19"/>
    <x v="6"/>
    <x v="2"/>
    <x v="17"/>
    <x v="35"/>
    <x v="4"/>
    <x v="87"/>
    <x v="222"/>
    <x v="365"/>
    <x v="93"/>
    <x v="540"/>
    <x v="76"/>
    <x v="2"/>
    <x v="19"/>
    <x v="0"/>
    <x v="1"/>
    <x v="2"/>
    <x v="1"/>
    <x v="0"/>
    <x v="2"/>
    <x v="517"/>
  </r>
  <r>
    <x v="77"/>
    <x v="195"/>
    <x v="164"/>
    <x v="57"/>
    <x v="58"/>
    <x v="1"/>
    <x v="1"/>
    <x v="5"/>
    <x v="11"/>
    <x v="0"/>
    <x v="19"/>
    <x v="0"/>
    <x v="117"/>
    <x v="28"/>
    <x v="257"/>
    <x v="289"/>
    <x v="1"/>
    <x v="17"/>
    <x v="1"/>
    <x v="0"/>
    <x v="1"/>
    <x v="1"/>
    <x v="0"/>
    <x v="3"/>
    <x v="248"/>
  </r>
  <r>
    <x v="78"/>
    <x v="123"/>
    <x v="86"/>
    <x v="96"/>
    <x v="91"/>
    <x v="0"/>
    <x v="0"/>
    <x v="23"/>
    <x v="47"/>
    <x v="2"/>
    <x v="75"/>
    <x v="156"/>
    <x v="342"/>
    <x v="93"/>
    <x v="420"/>
    <x v="22"/>
    <x v="1"/>
    <x v="10"/>
    <x v="1"/>
    <x v="1"/>
    <x v="1"/>
    <x v="1"/>
    <x v="0"/>
    <x v="4"/>
    <x v="405"/>
  </r>
  <r>
    <x v="79"/>
    <x v="262"/>
    <x v="254"/>
    <x v="5"/>
    <x v="98"/>
    <x v="3"/>
    <x v="0"/>
    <x v="9"/>
    <x v="18"/>
    <x v="2"/>
    <x v="16"/>
    <x v="42"/>
    <x v="87"/>
    <x v="24"/>
    <x v="167"/>
    <x v="243"/>
    <x v="1"/>
    <x v="18"/>
    <x v="0"/>
    <x v="1"/>
    <x v="1"/>
    <x v="1"/>
    <x v="0"/>
    <x v="4"/>
    <x v="161"/>
  </r>
  <r>
    <x v="80"/>
    <x v="168"/>
    <x v="6"/>
    <x v="76"/>
    <x v="64"/>
    <x v="2"/>
    <x v="1"/>
    <x v="4"/>
    <x v="8"/>
    <x v="4"/>
    <x v="15"/>
    <x v="82"/>
    <x v="74"/>
    <x v="21"/>
    <x v="146"/>
    <x v="259"/>
    <x v="1"/>
    <x v="17"/>
    <x v="1"/>
    <x v="0"/>
    <x v="1"/>
    <x v="1"/>
    <x v="0"/>
    <x v="0"/>
    <x v="140"/>
  </r>
  <r>
    <x v="81"/>
    <x v="224"/>
    <x v="176"/>
    <x v="35"/>
    <x v="24"/>
    <x v="5"/>
    <x v="2"/>
    <x v="17"/>
    <x v="35"/>
    <x v="1"/>
    <x v="87"/>
    <x v="124"/>
    <x v="390"/>
    <x v="93"/>
    <x v="633"/>
    <x v="167"/>
    <x v="1"/>
    <x v="5"/>
    <x v="0"/>
    <x v="1"/>
    <x v="1"/>
    <x v="1"/>
    <x v="0"/>
    <x v="4"/>
    <x v="603"/>
  </r>
  <r>
    <x v="82"/>
    <x v="319"/>
    <x v="106"/>
    <x v="71"/>
    <x v="88"/>
    <x v="6"/>
    <x v="1"/>
    <x v="5"/>
    <x v="10"/>
    <x v="3"/>
    <x v="19"/>
    <x v="71"/>
    <x v="96"/>
    <x v="25"/>
    <x v="186"/>
    <x v="249"/>
    <x v="4"/>
    <x v="10"/>
    <x v="1"/>
    <x v="1"/>
    <x v="2"/>
    <x v="1"/>
    <x v="0"/>
    <x v="0"/>
    <x v="180"/>
  </r>
  <r>
    <x v="83"/>
    <x v="77"/>
    <x v="118"/>
    <x v="47"/>
    <x v="74"/>
    <x v="1"/>
    <x v="2"/>
    <x v="4"/>
    <x v="9"/>
    <x v="3"/>
    <x v="28"/>
    <x v="92"/>
    <x v="131"/>
    <x v="36"/>
    <x v="243"/>
    <x v="217"/>
    <x v="4"/>
    <x v="19"/>
    <x v="1"/>
    <x v="2"/>
    <x v="2"/>
    <x v="1"/>
    <x v="0"/>
    <x v="3"/>
    <x v="235"/>
  </r>
  <r>
    <x v="84"/>
    <x v="188"/>
    <x v="259"/>
    <x v="3"/>
    <x v="90"/>
    <x v="3"/>
    <x v="3"/>
    <x v="3"/>
    <x v="7"/>
    <x v="0"/>
    <x v="30"/>
    <x v="0"/>
    <x v="176"/>
    <x v="37"/>
    <x v="402"/>
    <x v="306"/>
    <x v="1"/>
    <x v="14"/>
    <x v="1"/>
    <x v="2"/>
    <x v="1"/>
    <x v="1"/>
    <x v="0"/>
    <x v="0"/>
    <x v="387"/>
  </r>
  <r>
    <x v="85"/>
    <x v="117"/>
    <x v="171"/>
    <x v="54"/>
    <x v="61"/>
    <x v="1"/>
    <x v="0"/>
    <x v="12"/>
    <x v="27"/>
    <x v="1"/>
    <x v="27"/>
    <x v="30"/>
    <x v="143"/>
    <x v="39"/>
    <x v="251"/>
    <x v="203"/>
    <x v="3"/>
    <x v="9"/>
    <x v="2"/>
    <x v="2"/>
    <x v="3"/>
    <x v="1"/>
    <x v="0"/>
    <x v="4"/>
    <x v="0"/>
  </r>
  <r>
    <x v="86"/>
    <x v="323"/>
    <x v="51"/>
    <x v="62"/>
    <x v="19"/>
    <x v="6"/>
    <x v="1"/>
    <x v="17"/>
    <x v="35"/>
    <x v="1"/>
    <x v="70"/>
    <x v="91"/>
    <x v="324"/>
    <x v="78"/>
    <x v="550"/>
    <x v="167"/>
    <x v="1"/>
    <x v="16"/>
    <x v="1"/>
    <x v="2"/>
    <x v="1"/>
    <x v="1"/>
    <x v="0"/>
    <x v="4"/>
    <x v="527"/>
  </r>
  <r>
    <x v="87"/>
    <x v="82"/>
    <x v="130"/>
    <x v="75"/>
    <x v="23"/>
    <x v="2"/>
    <x v="0"/>
    <x v="5"/>
    <x v="11"/>
    <x v="3"/>
    <x v="7"/>
    <x v="34"/>
    <x v="37"/>
    <x v="13"/>
    <x v="49"/>
    <x v="220"/>
    <x v="2"/>
    <x v="11"/>
    <x v="1"/>
    <x v="2"/>
    <x v="2"/>
    <x v="1"/>
    <x v="0"/>
    <x v="2"/>
    <x v="49"/>
  </r>
  <r>
    <x v="88"/>
    <x v="139"/>
    <x v="150"/>
    <x v="37"/>
    <x v="51"/>
    <x v="5"/>
    <x v="2"/>
    <x v="8"/>
    <x v="17"/>
    <x v="4"/>
    <x v="48"/>
    <x v="157"/>
    <x v="211"/>
    <x v="54"/>
    <x v="375"/>
    <x v="184"/>
    <x v="1"/>
    <x v="11"/>
    <x v="1"/>
    <x v="1"/>
    <x v="1"/>
    <x v="1"/>
    <x v="0"/>
    <x v="0"/>
    <x v="361"/>
  </r>
  <r>
    <x v="89"/>
    <x v="277"/>
    <x v="181"/>
    <x v="82"/>
    <x v="67"/>
    <x v="2"/>
    <x v="0"/>
    <x v="5"/>
    <x v="12"/>
    <x v="2"/>
    <x v="7"/>
    <x v="21"/>
    <x v="40"/>
    <x v="14"/>
    <x v="58"/>
    <x v="220"/>
    <x v="4"/>
    <x v="8"/>
    <x v="1"/>
    <x v="0"/>
    <x v="2"/>
    <x v="1"/>
    <x v="0"/>
    <x v="0"/>
    <x v="57"/>
  </r>
  <r>
    <x v="90"/>
    <x v="9"/>
    <x v="191"/>
    <x v="96"/>
    <x v="91"/>
    <x v="0"/>
    <x v="2"/>
    <x v="23"/>
    <x v="47"/>
    <x v="4"/>
    <x v="110"/>
    <x v="249"/>
    <x v="436"/>
    <x v="124"/>
    <x v="540"/>
    <x v="3"/>
    <x v="1"/>
    <x v="9"/>
    <x v="1"/>
    <x v="1"/>
    <x v="1"/>
    <x v="2"/>
    <x v="0"/>
    <x v="0"/>
    <x v="517"/>
  </r>
  <r>
    <x v="91"/>
    <x v="245"/>
    <x v="232"/>
    <x v="68"/>
    <x v="80"/>
    <x v="6"/>
    <x v="1"/>
    <x v="12"/>
    <x v="27"/>
    <x v="1"/>
    <x v="53"/>
    <x v="62"/>
    <x v="259"/>
    <x v="63"/>
    <x v="470"/>
    <x v="203"/>
    <x v="1"/>
    <x v="2"/>
    <x v="0"/>
    <x v="0"/>
    <x v="1"/>
    <x v="1"/>
    <x v="0"/>
    <x v="4"/>
    <x v="451"/>
  </r>
  <r>
    <x v="92"/>
    <x v="82"/>
    <x v="296"/>
    <x v="4"/>
    <x v="66"/>
    <x v="3"/>
    <x v="2"/>
    <x v="14"/>
    <x v="31"/>
    <x v="1"/>
    <x v="77"/>
    <x v="104"/>
    <x v="355"/>
    <x v="86"/>
    <x v="583"/>
    <x v="158"/>
    <x v="4"/>
    <x v="5"/>
    <x v="1"/>
    <x v="0"/>
    <x v="2"/>
    <x v="1"/>
    <x v="0"/>
    <x v="0"/>
    <x v="559"/>
  </r>
  <r>
    <x v="93"/>
    <x v="151"/>
    <x v="86"/>
    <x v="7"/>
    <x v="62"/>
    <x v="3"/>
    <x v="0"/>
    <x v="5"/>
    <x v="9"/>
    <x v="2"/>
    <x v="7"/>
    <x v="21"/>
    <x v="40"/>
    <x v="11"/>
    <x v="85"/>
    <x v="297"/>
    <x v="1"/>
    <x v="10"/>
    <x v="1"/>
    <x v="0"/>
    <x v="1"/>
    <x v="1"/>
    <x v="0"/>
    <x v="4"/>
    <x v="84"/>
  </r>
  <r>
    <x v="94"/>
    <x v="23"/>
    <x v="218"/>
    <x v="20"/>
    <x v="40"/>
    <x v="4"/>
    <x v="2"/>
    <x v="17"/>
    <x v="32"/>
    <x v="1"/>
    <x v="87"/>
    <x v="124"/>
    <x v="390"/>
    <x v="89"/>
    <x v="655"/>
    <x v="233"/>
    <x v="1"/>
    <x v="6"/>
    <x v="0"/>
    <x v="1"/>
    <x v="1"/>
    <x v="1"/>
    <x v="0"/>
    <x v="0"/>
    <x v="621"/>
  </r>
  <r>
    <x v="95"/>
    <x v="231"/>
    <x v="25"/>
    <x v="83"/>
    <x v="96"/>
    <x v="2"/>
    <x v="4"/>
    <x v="10"/>
    <x v="23"/>
    <x v="1"/>
    <x v="80"/>
    <x v="111"/>
    <x v="374"/>
    <x v="89"/>
    <x v="613"/>
    <x v="177"/>
    <x v="1"/>
    <x v="12"/>
    <x v="1"/>
    <x v="0"/>
    <x v="1"/>
    <x v="1"/>
    <x v="0"/>
    <x v="0"/>
    <x v="584"/>
  </r>
  <r>
    <x v="96"/>
    <x v="160"/>
    <x v="261"/>
    <x v="80"/>
    <x v="82"/>
    <x v="2"/>
    <x v="0"/>
    <x v="0"/>
    <x v="0"/>
    <x v="4"/>
    <x v="0"/>
    <x v="13"/>
    <x v="0"/>
    <x v="0"/>
    <x v="0"/>
    <x v="320"/>
    <x v="2"/>
    <x v="8"/>
    <x v="2"/>
    <x v="2"/>
    <x v="2"/>
    <x v="1"/>
    <x v="0"/>
    <x v="2"/>
    <x v="1"/>
  </r>
  <r>
    <x v="97"/>
    <x v="192"/>
    <x v="113"/>
    <x v="3"/>
    <x v="90"/>
    <x v="3"/>
    <x v="0"/>
    <x v="3"/>
    <x v="7"/>
    <x v="1"/>
    <x v="4"/>
    <x v="5"/>
    <x v="25"/>
    <x v="7"/>
    <x v="44"/>
    <x v="292"/>
    <x v="1"/>
    <x v="2"/>
    <x v="1"/>
    <x v="1"/>
    <x v="1"/>
    <x v="1"/>
    <x v="0"/>
    <x v="4"/>
    <x v="45"/>
  </r>
  <r>
    <x v="98"/>
    <x v="30"/>
    <x v="64"/>
    <x v="68"/>
    <x v="80"/>
    <x v="6"/>
    <x v="1"/>
    <x v="12"/>
    <x v="27"/>
    <x v="3"/>
    <x v="53"/>
    <x v="143"/>
    <x v="237"/>
    <x v="63"/>
    <x v="397"/>
    <x v="139"/>
    <x v="3"/>
    <x v="4"/>
    <x v="1"/>
    <x v="1"/>
    <x v="3"/>
    <x v="1"/>
    <x v="0"/>
    <x v="4"/>
    <x v="0"/>
  </r>
  <r>
    <x v="99"/>
    <x v="124"/>
    <x v="164"/>
    <x v="60"/>
    <x v="68"/>
    <x v="6"/>
    <x v="1"/>
    <x v="5"/>
    <x v="9"/>
    <x v="1"/>
    <x v="19"/>
    <x v="21"/>
    <x v="110"/>
    <x v="24"/>
    <x v="258"/>
    <x v="310"/>
    <x v="1"/>
    <x v="17"/>
    <x v="1"/>
    <x v="2"/>
    <x v="1"/>
    <x v="1"/>
    <x v="0"/>
    <x v="4"/>
    <x v="249"/>
  </r>
  <r>
    <x v="100"/>
    <x v="230"/>
    <x v="56"/>
    <x v="28"/>
    <x v="73"/>
    <x v="4"/>
    <x v="0"/>
    <x v="3"/>
    <x v="5"/>
    <x v="2"/>
    <x v="4"/>
    <x v="15"/>
    <x v="23"/>
    <x v="5"/>
    <x v="48"/>
    <x v="324"/>
    <x v="1"/>
    <x v="18"/>
    <x v="1"/>
    <x v="1"/>
    <x v="1"/>
    <x v="1"/>
    <x v="0"/>
    <x v="0"/>
    <x v="48"/>
  </r>
  <r>
    <x v="101"/>
    <x v="275"/>
    <x v="3"/>
    <x v="60"/>
    <x v="68"/>
    <x v="6"/>
    <x v="1"/>
    <x v="5"/>
    <x v="9"/>
    <x v="3"/>
    <x v="19"/>
    <x v="71"/>
    <x v="96"/>
    <x v="24"/>
    <x v="199"/>
    <x v="277"/>
    <x v="2"/>
    <x v="8"/>
    <x v="1"/>
    <x v="1"/>
    <x v="2"/>
    <x v="1"/>
    <x v="0"/>
    <x v="2"/>
    <x v="192"/>
  </r>
  <r>
    <x v="102"/>
    <x v="65"/>
    <x v="253"/>
    <x v="50"/>
    <x v="10"/>
    <x v="1"/>
    <x v="0"/>
    <x v="5"/>
    <x v="11"/>
    <x v="2"/>
    <x v="7"/>
    <x v="21"/>
    <x v="40"/>
    <x v="13"/>
    <x v="67"/>
    <x v="247"/>
    <x v="1"/>
    <x v="3"/>
    <x v="2"/>
    <x v="2"/>
    <x v="1"/>
    <x v="1"/>
    <x v="0"/>
    <x v="0"/>
    <x v="66"/>
  </r>
  <r>
    <x v="103"/>
    <x v="120"/>
    <x v="133"/>
    <x v="81"/>
    <x v="31"/>
    <x v="2"/>
    <x v="3"/>
    <x v="2"/>
    <x v="4"/>
    <x v="1"/>
    <x v="25"/>
    <x v="28"/>
    <x v="141"/>
    <x v="30"/>
    <x v="338"/>
    <x v="318"/>
    <x v="1"/>
    <x v="3"/>
    <x v="0"/>
    <x v="1"/>
    <x v="1"/>
    <x v="1"/>
    <x v="0"/>
    <x v="3"/>
    <x v="325"/>
  </r>
  <r>
    <x v="104"/>
    <x v="339"/>
    <x v="71"/>
    <x v="95"/>
    <x v="0"/>
    <x v="0"/>
    <x v="0"/>
    <x v="24"/>
    <x v="48"/>
    <x v="0"/>
    <x v="83"/>
    <x v="0"/>
    <x v="384"/>
    <x v="97"/>
    <x v="560"/>
    <x v="67"/>
    <x v="1"/>
    <x v="16"/>
    <x v="1"/>
    <x v="1"/>
    <x v="1"/>
    <x v="1"/>
    <x v="0"/>
    <x v="4"/>
    <x v="537"/>
  </r>
  <r>
    <x v="105"/>
    <x v="342"/>
    <x v="24"/>
    <x v="7"/>
    <x v="62"/>
    <x v="3"/>
    <x v="0"/>
    <x v="5"/>
    <x v="9"/>
    <x v="5"/>
    <x v="7"/>
    <x v="60"/>
    <x v="30"/>
    <x v="11"/>
    <x v="34"/>
    <x v="220"/>
    <x v="3"/>
    <x v="4"/>
    <x v="1"/>
    <x v="1"/>
    <x v="3"/>
    <x v="1"/>
    <x v="0"/>
    <x v="4"/>
    <x v="0"/>
  </r>
  <r>
    <x v="106"/>
    <x v="115"/>
    <x v="238"/>
    <x v="34"/>
    <x v="59"/>
    <x v="5"/>
    <x v="3"/>
    <x v="12"/>
    <x v="28"/>
    <x v="0"/>
    <x v="81"/>
    <x v="0"/>
    <x v="381"/>
    <x v="88"/>
    <x v="634"/>
    <x v="210"/>
    <x v="1"/>
    <x v="6"/>
    <x v="1"/>
    <x v="1"/>
    <x v="1"/>
    <x v="1"/>
    <x v="0"/>
    <x v="0"/>
    <x v="604"/>
  </r>
  <r>
    <x v="107"/>
    <x v="186"/>
    <x v="1"/>
    <x v="11"/>
    <x v="15"/>
    <x v="3"/>
    <x v="1"/>
    <x v="8"/>
    <x v="17"/>
    <x v="1"/>
    <x v="32"/>
    <x v="35"/>
    <x v="171"/>
    <x v="41"/>
    <x v="355"/>
    <x v="265"/>
    <x v="1"/>
    <x v="14"/>
    <x v="0"/>
    <x v="0"/>
    <x v="1"/>
    <x v="1"/>
    <x v="0"/>
    <x v="3"/>
    <x v="342"/>
  </r>
  <r>
    <x v="108"/>
    <x v="26"/>
    <x v="18"/>
    <x v="98"/>
    <x v="72"/>
    <x v="0"/>
    <x v="1"/>
    <x v="15"/>
    <x v="34"/>
    <x v="1"/>
    <x v="64"/>
    <x v="78"/>
    <x v="302"/>
    <x v="75"/>
    <x v="487"/>
    <x v="122"/>
    <x v="1"/>
    <x v="5"/>
    <x v="0"/>
    <x v="1"/>
    <x v="1"/>
    <x v="1"/>
    <x v="0"/>
    <x v="3"/>
    <x v="468"/>
  </r>
  <r>
    <x v="109"/>
    <x v="260"/>
    <x v="53"/>
    <x v="69"/>
    <x v="48"/>
    <x v="6"/>
    <x v="1"/>
    <x v="6"/>
    <x v="12"/>
    <x v="0"/>
    <x v="22"/>
    <x v="0"/>
    <x v="134"/>
    <x v="30"/>
    <x v="310"/>
    <x v="308"/>
    <x v="1"/>
    <x v="9"/>
    <x v="0"/>
    <x v="0"/>
    <x v="1"/>
    <x v="1"/>
    <x v="0"/>
    <x v="0"/>
    <x v="299"/>
  </r>
  <r>
    <x v="110"/>
    <x v="253"/>
    <x v="0"/>
    <x v="61"/>
    <x v="76"/>
    <x v="6"/>
    <x v="0"/>
    <x v="2"/>
    <x v="3"/>
    <x v="1"/>
    <x v="2"/>
    <x v="3"/>
    <x v="16"/>
    <x v="3"/>
    <x v="36"/>
    <x v="336"/>
    <x v="1"/>
    <x v="6"/>
    <x v="1"/>
    <x v="0"/>
    <x v="1"/>
    <x v="1"/>
    <x v="0"/>
    <x v="0"/>
    <x v="37"/>
  </r>
  <r>
    <x v="111"/>
    <x v="259"/>
    <x v="37"/>
    <x v="21"/>
    <x v="93"/>
    <x v="4"/>
    <x v="1"/>
    <x v="7"/>
    <x v="14"/>
    <x v="0"/>
    <x v="26"/>
    <x v="0"/>
    <x v="150"/>
    <x v="33"/>
    <x v="345"/>
    <x v="309"/>
    <x v="1"/>
    <x v="15"/>
    <x v="1"/>
    <x v="2"/>
    <x v="1"/>
    <x v="1"/>
    <x v="0"/>
    <x v="4"/>
    <x v="332"/>
  </r>
  <r>
    <x v="112"/>
    <x v="1"/>
    <x v="131"/>
    <x v="24"/>
    <x v="44"/>
    <x v="4"/>
    <x v="0"/>
    <x v="16"/>
    <x v="33"/>
    <x v="2"/>
    <x v="39"/>
    <x v="84"/>
    <x v="187"/>
    <x v="51"/>
    <x v="314"/>
    <x v="157"/>
    <x v="0"/>
    <x v="9"/>
    <x v="0"/>
    <x v="2"/>
    <x v="0"/>
    <x v="1"/>
    <x v="0"/>
    <x v="1"/>
    <x v="0"/>
  </r>
  <r>
    <x v="113"/>
    <x v="0"/>
    <x v="100"/>
    <x v="28"/>
    <x v="73"/>
    <x v="4"/>
    <x v="0"/>
    <x v="3"/>
    <x v="5"/>
    <x v="1"/>
    <x v="4"/>
    <x v="5"/>
    <x v="25"/>
    <x v="5"/>
    <x v="63"/>
    <x v="332"/>
    <x v="1"/>
    <x v="14"/>
    <x v="1"/>
    <x v="1"/>
    <x v="1"/>
    <x v="1"/>
    <x v="0"/>
    <x v="0"/>
    <x v="62"/>
  </r>
  <r>
    <x v="114"/>
    <x v="254"/>
    <x v="275"/>
    <x v="68"/>
    <x v="80"/>
    <x v="6"/>
    <x v="1"/>
    <x v="12"/>
    <x v="27"/>
    <x v="5"/>
    <x v="53"/>
    <x v="184"/>
    <x v="216"/>
    <x v="63"/>
    <x v="285"/>
    <x v="73"/>
    <x v="1"/>
    <x v="15"/>
    <x v="1"/>
    <x v="0"/>
    <x v="1"/>
    <x v="1"/>
    <x v="0"/>
    <x v="3"/>
    <x v="276"/>
  </r>
  <r>
    <x v="115"/>
    <x v="6"/>
    <x v="172"/>
    <x v="64"/>
    <x v="3"/>
    <x v="6"/>
    <x v="0"/>
    <x v="12"/>
    <x v="28"/>
    <x v="5"/>
    <x v="27"/>
    <x v="132"/>
    <x v="108"/>
    <x v="41"/>
    <x v="101"/>
    <x v="56"/>
    <x v="1"/>
    <x v="2"/>
    <x v="1"/>
    <x v="2"/>
    <x v="1"/>
    <x v="1"/>
    <x v="0"/>
    <x v="0"/>
    <x v="97"/>
  </r>
  <r>
    <x v="116"/>
    <x v="62"/>
    <x v="83"/>
    <x v="33"/>
    <x v="87"/>
    <x v="5"/>
    <x v="0"/>
    <x v="11"/>
    <x v="23"/>
    <x v="5"/>
    <x v="23"/>
    <x v="123"/>
    <x v="95"/>
    <x v="34"/>
    <x v="120"/>
    <x v="111"/>
    <x v="4"/>
    <x v="4"/>
    <x v="2"/>
    <x v="1"/>
    <x v="2"/>
    <x v="1"/>
    <x v="0"/>
    <x v="4"/>
    <x v="116"/>
  </r>
  <r>
    <x v="117"/>
    <x v="98"/>
    <x v="2"/>
    <x v="69"/>
    <x v="48"/>
    <x v="6"/>
    <x v="0"/>
    <x v="6"/>
    <x v="12"/>
    <x v="3"/>
    <x v="9"/>
    <x v="40"/>
    <x v="47"/>
    <x v="14"/>
    <x v="78"/>
    <x v="250"/>
    <x v="1"/>
    <x v="1"/>
    <x v="1"/>
    <x v="1"/>
    <x v="1"/>
    <x v="1"/>
    <x v="0"/>
    <x v="4"/>
    <x v="77"/>
  </r>
  <r>
    <x v="118"/>
    <x v="223"/>
    <x v="165"/>
    <x v="99"/>
    <x v="16"/>
    <x v="0"/>
    <x v="0"/>
    <x v="22"/>
    <x v="46"/>
    <x v="5"/>
    <x v="63"/>
    <x v="201"/>
    <x v="256"/>
    <x v="78"/>
    <x v="134"/>
    <x v="4"/>
    <x v="0"/>
    <x v="10"/>
    <x v="1"/>
    <x v="2"/>
    <x v="0"/>
    <x v="1"/>
    <x v="0"/>
    <x v="1"/>
    <x v="0"/>
  </r>
  <r>
    <x v="119"/>
    <x v="216"/>
    <x v="246"/>
    <x v="88"/>
    <x v="57"/>
    <x v="0"/>
    <x v="1"/>
    <x v="22"/>
    <x v="45"/>
    <x v="2"/>
    <x v="91"/>
    <x v="186"/>
    <x v="395"/>
    <x v="103"/>
    <x v="572"/>
    <x v="58"/>
    <x v="0"/>
    <x v="0"/>
    <x v="0"/>
    <x v="0"/>
    <x v="0"/>
    <x v="1"/>
    <x v="0"/>
    <x v="1"/>
    <x v="0"/>
  </r>
  <r>
    <x v="120"/>
    <x v="268"/>
    <x v="2"/>
    <x v="62"/>
    <x v="19"/>
    <x v="6"/>
    <x v="1"/>
    <x v="17"/>
    <x v="35"/>
    <x v="2"/>
    <x v="70"/>
    <x v="145"/>
    <x v="317"/>
    <x v="78"/>
    <x v="521"/>
    <x v="135"/>
    <x v="4"/>
    <x v="1"/>
    <x v="1"/>
    <x v="2"/>
    <x v="2"/>
    <x v="1"/>
    <x v="0"/>
    <x v="4"/>
    <x v="498"/>
  </r>
  <r>
    <x v="121"/>
    <x v="47"/>
    <x v="135"/>
    <x v="49"/>
    <x v="38"/>
    <x v="1"/>
    <x v="1"/>
    <x v="6"/>
    <x v="13"/>
    <x v="2"/>
    <x v="22"/>
    <x v="54"/>
    <x v="122"/>
    <x v="31"/>
    <x v="232"/>
    <x v="252"/>
    <x v="1"/>
    <x v="15"/>
    <x v="1"/>
    <x v="0"/>
    <x v="1"/>
    <x v="1"/>
    <x v="0"/>
    <x v="0"/>
    <x v="224"/>
  </r>
  <r>
    <x v="122"/>
    <x v="184"/>
    <x v="197"/>
    <x v="78"/>
    <x v="1"/>
    <x v="2"/>
    <x v="0"/>
    <x v="9"/>
    <x v="20"/>
    <x v="3"/>
    <x v="16"/>
    <x v="65"/>
    <x v="80"/>
    <x v="29"/>
    <x v="109"/>
    <x v="138"/>
    <x v="4"/>
    <x v="19"/>
    <x v="0"/>
    <x v="0"/>
    <x v="2"/>
    <x v="1"/>
    <x v="0"/>
    <x v="4"/>
    <x v="105"/>
  </r>
  <r>
    <x v="123"/>
    <x v="52"/>
    <x v="257"/>
    <x v="25"/>
    <x v="84"/>
    <x v="4"/>
    <x v="3"/>
    <x v="10"/>
    <x v="18"/>
    <x v="3"/>
    <x v="71"/>
    <x v="180"/>
    <x v="318"/>
    <x v="68"/>
    <x v="597"/>
    <x v="278"/>
    <x v="1"/>
    <x v="19"/>
    <x v="1"/>
    <x v="0"/>
    <x v="1"/>
    <x v="1"/>
    <x v="0"/>
    <x v="0"/>
    <x v="572"/>
  </r>
  <r>
    <x v="124"/>
    <x v="351"/>
    <x v="288"/>
    <x v="33"/>
    <x v="87"/>
    <x v="5"/>
    <x v="1"/>
    <x v="11"/>
    <x v="23"/>
    <x v="3"/>
    <x v="49"/>
    <x v="137"/>
    <x v="224"/>
    <x v="56"/>
    <x v="394"/>
    <x v="181"/>
    <x v="1"/>
    <x v="7"/>
    <x v="1"/>
    <x v="1"/>
    <x v="1"/>
    <x v="1"/>
    <x v="0"/>
    <x v="3"/>
    <x v="380"/>
  </r>
  <r>
    <x v="125"/>
    <x v="219"/>
    <x v="174"/>
    <x v="5"/>
    <x v="98"/>
    <x v="3"/>
    <x v="0"/>
    <x v="9"/>
    <x v="18"/>
    <x v="3"/>
    <x v="16"/>
    <x v="65"/>
    <x v="80"/>
    <x v="24"/>
    <x v="144"/>
    <x v="218"/>
    <x v="1"/>
    <x v="18"/>
    <x v="0"/>
    <x v="1"/>
    <x v="1"/>
    <x v="1"/>
    <x v="0"/>
    <x v="0"/>
    <x v="138"/>
  </r>
  <r>
    <x v="126"/>
    <x v="265"/>
    <x v="124"/>
    <x v="63"/>
    <x v="33"/>
    <x v="6"/>
    <x v="1"/>
    <x v="9"/>
    <x v="18"/>
    <x v="4"/>
    <x v="38"/>
    <x v="139"/>
    <x v="165"/>
    <x v="45"/>
    <x v="301"/>
    <x v="190"/>
    <x v="1"/>
    <x v="12"/>
    <x v="0"/>
    <x v="0"/>
    <x v="1"/>
    <x v="1"/>
    <x v="0"/>
    <x v="0"/>
    <x v="290"/>
  </r>
  <r>
    <x v="127"/>
    <x v="222"/>
    <x v="261"/>
    <x v="31"/>
    <x v="94"/>
    <x v="5"/>
    <x v="0"/>
    <x v="5"/>
    <x v="9"/>
    <x v="0"/>
    <x v="7"/>
    <x v="0"/>
    <x v="50"/>
    <x v="11"/>
    <x v="114"/>
    <x v="321"/>
    <x v="1"/>
    <x v="8"/>
    <x v="2"/>
    <x v="1"/>
    <x v="1"/>
    <x v="1"/>
    <x v="0"/>
    <x v="0"/>
    <x v="110"/>
  </r>
  <r>
    <x v="128"/>
    <x v="116"/>
    <x v="13"/>
    <x v="42"/>
    <x v="47"/>
    <x v="5"/>
    <x v="0"/>
    <x v="15"/>
    <x v="32"/>
    <x v="2"/>
    <x v="35"/>
    <x v="78"/>
    <x v="174"/>
    <x v="50"/>
    <x v="265"/>
    <x v="130"/>
    <x v="1"/>
    <x v="9"/>
    <x v="1"/>
    <x v="1"/>
    <x v="1"/>
    <x v="1"/>
    <x v="0"/>
    <x v="0"/>
    <x v="256"/>
  </r>
  <r>
    <x v="129"/>
    <x v="337"/>
    <x v="65"/>
    <x v="83"/>
    <x v="96"/>
    <x v="2"/>
    <x v="4"/>
    <x v="10"/>
    <x v="23"/>
    <x v="2"/>
    <x v="80"/>
    <x v="167"/>
    <x v="361"/>
    <x v="89"/>
    <x v="590"/>
    <x v="146"/>
    <x v="1"/>
    <x v="12"/>
    <x v="0"/>
    <x v="1"/>
    <x v="1"/>
    <x v="1"/>
    <x v="0"/>
    <x v="4"/>
    <x v="565"/>
  </r>
  <r>
    <x v="130"/>
    <x v="162"/>
    <x v="69"/>
    <x v="20"/>
    <x v="40"/>
    <x v="4"/>
    <x v="0"/>
    <x v="17"/>
    <x v="32"/>
    <x v="1"/>
    <x v="42"/>
    <x v="47"/>
    <x v="209"/>
    <x v="50"/>
    <x v="409"/>
    <x v="233"/>
    <x v="1"/>
    <x v="13"/>
    <x v="1"/>
    <x v="0"/>
    <x v="1"/>
    <x v="1"/>
    <x v="0"/>
    <x v="4"/>
    <x v="394"/>
  </r>
  <r>
    <x v="131"/>
    <x v="170"/>
    <x v="219"/>
    <x v="52"/>
    <x v="54"/>
    <x v="1"/>
    <x v="0"/>
    <x v="8"/>
    <x v="16"/>
    <x v="1"/>
    <x v="14"/>
    <x v="16"/>
    <x v="78"/>
    <x v="20"/>
    <x v="162"/>
    <x v="281"/>
    <x v="1"/>
    <x v="14"/>
    <x v="1"/>
    <x v="1"/>
    <x v="1"/>
    <x v="1"/>
    <x v="0"/>
    <x v="3"/>
    <x v="156"/>
  </r>
  <r>
    <x v="132"/>
    <x v="125"/>
    <x v="208"/>
    <x v="29"/>
    <x v="34"/>
    <x v="4"/>
    <x v="3"/>
    <x v="21"/>
    <x v="43"/>
    <x v="2"/>
    <x v="107"/>
    <x v="224"/>
    <x v="435"/>
    <x v="117"/>
    <x v="667"/>
    <x v="101"/>
    <x v="1"/>
    <x v="7"/>
    <x v="1"/>
    <x v="1"/>
    <x v="1"/>
    <x v="2"/>
    <x v="0"/>
    <x v="0"/>
    <x v="631"/>
  </r>
  <r>
    <x v="133"/>
    <x v="258"/>
    <x v="254"/>
    <x v="97"/>
    <x v="81"/>
    <x v="0"/>
    <x v="0"/>
    <x v="12"/>
    <x v="29"/>
    <x v="1"/>
    <x v="27"/>
    <x v="30"/>
    <x v="143"/>
    <x v="43"/>
    <x v="211"/>
    <x v="151"/>
    <x v="1"/>
    <x v="18"/>
    <x v="0"/>
    <x v="1"/>
    <x v="1"/>
    <x v="1"/>
    <x v="0"/>
    <x v="0"/>
    <x v="204"/>
  </r>
  <r>
    <x v="134"/>
    <x v="298"/>
    <x v="77"/>
    <x v="54"/>
    <x v="61"/>
    <x v="1"/>
    <x v="0"/>
    <x v="12"/>
    <x v="27"/>
    <x v="0"/>
    <x v="27"/>
    <x v="0"/>
    <x v="151"/>
    <x v="39"/>
    <x v="286"/>
    <x v="226"/>
    <x v="1"/>
    <x v="5"/>
    <x v="1"/>
    <x v="1"/>
    <x v="1"/>
    <x v="1"/>
    <x v="0"/>
    <x v="4"/>
    <x v="277"/>
  </r>
  <r>
    <x v="135"/>
    <x v="81"/>
    <x v="292"/>
    <x v="30"/>
    <x v="83"/>
    <x v="5"/>
    <x v="1"/>
    <x v="9"/>
    <x v="18"/>
    <x v="4"/>
    <x v="38"/>
    <x v="139"/>
    <x v="165"/>
    <x v="45"/>
    <x v="301"/>
    <x v="190"/>
    <x v="2"/>
    <x v="2"/>
    <x v="1"/>
    <x v="0"/>
    <x v="2"/>
    <x v="1"/>
    <x v="0"/>
    <x v="2"/>
    <x v="290"/>
  </r>
  <r>
    <x v="136"/>
    <x v="0"/>
    <x v="273"/>
    <x v="11"/>
    <x v="15"/>
    <x v="3"/>
    <x v="0"/>
    <x v="8"/>
    <x v="17"/>
    <x v="5"/>
    <x v="14"/>
    <x v="89"/>
    <x v="62"/>
    <x v="21"/>
    <x v="69"/>
    <x v="153"/>
    <x v="2"/>
    <x v="3"/>
    <x v="0"/>
    <x v="2"/>
    <x v="2"/>
    <x v="1"/>
    <x v="0"/>
    <x v="2"/>
    <x v="68"/>
  </r>
  <r>
    <x v="137"/>
    <x v="258"/>
    <x v="282"/>
    <x v="81"/>
    <x v="31"/>
    <x v="2"/>
    <x v="0"/>
    <x v="2"/>
    <x v="4"/>
    <x v="0"/>
    <x v="2"/>
    <x v="0"/>
    <x v="18"/>
    <x v="4"/>
    <x v="39"/>
    <x v="329"/>
    <x v="1"/>
    <x v="4"/>
    <x v="0"/>
    <x v="1"/>
    <x v="1"/>
    <x v="1"/>
    <x v="0"/>
    <x v="4"/>
    <x v="40"/>
  </r>
  <r>
    <x v="138"/>
    <x v="274"/>
    <x v="224"/>
    <x v="85"/>
    <x v="35"/>
    <x v="2"/>
    <x v="0"/>
    <x v="1"/>
    <x v="2"/>
    <x v="4"/>
    <x v="1"/>
    <x v="20"/>
    <x v="6"/>
    <x v="2"/>
    <x v="4"/>
    <x v="280"/>
    <x v="1"/>
    <x v="17"/>
    <x v="1"/>
    <x v="0"/>
    <x v="1"/>
    <x v="1"/>
    <x v="0"/>
    <x v="0"/>
    <x v="5"/>
  </r>
  <r>
    <x v="139"/>
    <x v="68"/>
    <x v="275"/>
    <x v="63"/>
    <x v="33"/>
    <x v="6"/>
    <x v="0"/>
    <x v="9"/>
    <x v="18"/>
    <x v="4"/>
    <x v="16"/>
    <x v="83"/>
    <x v="75"/>
    <x v="24"/>
    <x v="124"/>
    <x v="190"/>
    <x v="1"/>
    <x v="15"/>
    <x v="1"/>
    <x v="2"/>
    <x v="1"/>
    <x v="1"/>
    <x v="0"/>
    <x v="0"/>
    <x v="120"/>
  </r>
  <r>
    <x v="140"/>
    <x v="125"/>
    <x v="222"/>
    <x v="63"/>
    <x v="33"/>
    <x v="6"/>
    <x v="0"/>
    <x v="9"/>
    <x v="18"/>
    <x v="1"/>
    <x v="16"/>
    <x v="18"/>
    <x v="92"/>
    <x v="24"/>
    <x v="190"/>
    <x v="268"/>
    <x v="1"/>
    <x v="4"/>
    <x v="1"/>
    <x v="1"/>
    <x v="1"/>
    <x v="1"/>
    <x v="0"/>
    <x v="0"/>
    <x v="184"/>
  </r>
  <r>
    <x v="141"/>
    <x v="275"/>
    <x v="227"/>
    <x v="72"/>
    <x v="43"/>
    <x v="6"/>
    <x v="0"/>
    <x v="20"/>
    <x v="40"/>
    <x v="0"/>
    <x v="54"/>
    <x v="0"/>
    <x v="269"/>
    <x v="67"/>
    <x v="473"/>
    <x v="180"/>
    <x v="1"/>
    <x v="13"/>
    <x v="0"/>
    <x v="0"/>
    <x v="1"/>
    <x v="1"/>
    <x v="0"/>
    <x v="0"/>
    <x v="454"/>
  </r>
  <r>
    <x v="142"/>
    <x v="134"/>
    <x v="195"/>
    <x v="34"/>
    <x v="59"/>
    <x v="5"/>
    <x v="1"/>
    <x v="12"/>
    <x v="28"/>
    <x v="0"/>
    <x v="53"/>
    <x v="0"/>
    <x v="268"/>
    <x v="64"/>
    <x v="485"/>
    <x v="210"/>
    <x v="1"/>
    <x v="15"/>
    <x v="1"/>
    <x v="1"/>
    <x v="1"/>
    <x v="1"/>
    <x v="0"/>
    <x v="3"/>
    <x v="466"/>
  </r>
  <r>
    <x v="143"/>
    <x v="141"/>
    <x v="85"/>
    <x v="30"/>
    <x v="83"/>
    <x v="5"/>
    <x v="0"/>
    <x v="9"/>
    <x v="18"/>
    <x v="5"/>
    <x v="16"/>
    <x v="97"/>
    <x v="71"/>
    <x v="24"/>
    <x v="96"/>
    <x v="156"/>
    <x v="1"/>
    <x v="17"/>
    <x v="0"/>
    <x v="0"/>
    <x v="1"/>
    <x v="1"/>
    <x v="0"/>
    <x v="0"/>
    <x v="94"/>
  </r>
  <r>
    <x v="144"/>
    <x v="263"/>
    <x v="76"/>
    <x v="68"/>
    <x v="80"/>
    <x v="6"/>
    <x v="1"/>
    <x v="12"/>
    <x v="27"/>
    <x v="3"/>
    <x v="53"/>
    <x v="143"/>
    <x v="237"/>
    <x v="63"/>
    <x v="397"/>
    <x v="139"/>
    <x v="1"/>
    <x v="15"/>
    <x v="0"/>
    <x v="1"/>
    <x v="1"/>
    <x v="1"/>
    <x v="0"/>
    <x v="4"/>
    <x v="383"/>
  </r>
  <r>
    <x v="145"/>
    <x v="254"/>
    <x v="102"/>
    <x v="84"/>
    <x v="55"/>
    <x v="2"/>
    <x v="0"/>
    <x v="3"/>
    <x v="6"/>
    <x v="4"/>
    <x v="4"/>
    <x v="33"/>
    <x v="17"/>
    <x v="6"/>
    <x v="20"/>
    <x v="263"/>
    <x v="1"/>
    <x v="8"/>
    <x v="0"/>
    <x v="1"/>
    <x v="1"/>
    <x v="1"/>
    <x v="0"/>
    <x v="0"/>
    <x v="21"/>
  </r>
  <r>
    <x v="146"/>
    <x v="124"/>
    <x v="29"/>
    <x v="35"/>
    <x v="24"/>
    <x v="5"/>
    <x v="0"/>
    <x v="17"/>
    <x v="35"/>
    <x v="2"/>
    <x v="42"/>
    <x v="91"/>
    <x v="202"/>
    <x v="55"/>
    <x v="320"/>
    <x v="135"/>
    <x v="0"/>
    <x v="13"/>
    <x v="1"/>
    <x v="1"/>
    <x v="0"/>
    <x v="1"/>
    <x v="0"/>
    <x v="1"/>
    <x v="0"/>
  </r>
  <r>
    <x v="147"/>
    <x v="129"/>
    <x v="75"/>
    <x v="76"/>
    <x v="64"/>
    <x v="2"/>
    <x v="1"/>
    <x v="4"/>
    <x v="8"/>
    <x v="1"/>
    <x v="15"/>
    <x v="17"/>
    <x v="91"/>
    <x v="21"/>
    <x v="218"/>
    <x v="313"/>
    <x v="1"/>
    <x v="3"/>
    <x v="1"/>
    <x v="2"/>
    <x v="1"/>
    <x v="1"/>
    <x v="0"/>
    <x v="4"/>
    <x v="210"/>
  </r>
  <r>
    <x v="148"/>
    <x v="103"/>
    <x v="106"/>
    <x v="34"/>
    <x v="59"/>
    <x v="5"/>
    <x v="0"/>
    <x v="12"/>
    <x v="28"/>
    <x v="3"/>
    <x v="27"/>
    <x v="90"/>
    <x v="126"/>
    <x v="41"/>
    <x v="168"/>
    <x v="118"/>
    <x v="1"/>
    <x v="10"/>
    <x v="1"/>
    <x v="1"/>
    <x v="1"/>
    <x v="1"/>
    <x v="0"/>
    <x v="0"/>
    <x v="162"/>
  </r>
  <r>
    <x v="149"/>
    <x v="318"/>
    <x v="242"/>
    <x v="80"/>
    <x v="82"/>
    <x v="2"/>
    <x v="1"/>
    <x v="0"/>
    <x v="0"/>
    <x v="0"/>
    <x v="3"/>
    <x v="0"/>
    <x v="27"/>
    <x v="4"/>
    <x v="81"/>
    <x v="342"/>
    <x v="1"/>
    <x v="4"/>
    <x v="0"/>
    <x v="2"/>
    <x v="1"/>
    <x v="1"/>
    <x v="0"/>
    <x v="3"/>
    <x v="80"/>
  </r>
  <r>
    <x v="150"/>
    <x v="95"/>
    <x v="134"/>
    <x v="66"/>
    <x v="13"/>
    <x v="6"/>
    <x v="2"/>
    <x v="8"/>
    <x v="16"/>
    <x v="3"/>
    <x v="48"/>
    <x v="136"/>
    <x v="223"/>
    <x v="52"/>
    <x v="429"/>
    <x v="234"/>
    <x v="3"/>
    <x v="18"/>
    <x v="0"/>
    <x v="1"/>
    <x v="3"/>
    <x v="1"/>
    <x v="0"/>
    <x v="0"/>
    <x v="0"/>
  </r>
  <r>
    <x v="151"/>
    <x v="31"/>
    <x v="27"/>
    <x v="65"/>
    <x v="36"/>
    <x v="6"/>
    <x v="1"/>
    <x v="7"/>
    <x v="14"/>
    <x v="5"/>
    <x v="26"/>
    <x v="131"/>
    <x v="107"/>
    <x v="33"/>
    <x v="177"/>
    <x v="193"/>
    <x v="1"/>
    <x v="10"/>
    <x v="2"/>
    <x v="1"/>
    <x v="1"/>
    <x v="1"/>
    <x v="0"/>
    <x v="4"/>
    <x v="171"/>
  </r>
  <r>
    <x v="152"/>
    <x v="2"/>
    <x v="3"/>
    <x v="83"/>
    <x v="96"/>
    <x v="2"/>
    <x v="0"/>
    <x v="10"/>
    <x v="23"/>
    <x v="0"/>
    <x v="20"/>
    <x v="0"/>
    <x v="119"/>
    <x v="34"/>
    <x v="200"/>
    <x v="207"/>
    <x v="1"/>
    <x v="8"/>
    <x v="1"/>
    <x v="2"/>
    <x v="1"/>
    <x v="1"/>
    <x v="0"/>
    <x v="0"/>
    <x v="193"/>
  </r>
  <r>
    <x v="153"/>
    <x v="110"/>
    <x v="25"/>
    <x v="74"/>
    <x v="4"/>
    <x v="2"/>
    <x v="2"/>
    <x v="1"/>
    <x v="1"/>
    <x v="0"/>
    <x v="12"/>
    <x v="0"/>
    <x v="81"/>
    <x v="16"/>
    <x v="216"/>
    <x v="339"/>
    <x v="3"/>
    <x v="12"/>
    <x v="1"/>
    <x v="0"/>
    <x v="3"/>
    <x v="1"/>
    <x v="0"/>
    <x v="4"/>
    <x v="0"/>
  </r>
  <r>
    <x v="154"/>
    <x v="144"/>
    <x v="60"/>
    <x v="47"/>
    <x v="74"/>
    <x v="1"/>
    <x v="1"/>
    <x v="4"/>
    <x v="9"/>
    <x v="4"/>
    <x v="15"/>
    <x v="82"/>
    <x v="74"/>
    <x v="24"/>
    <x v="122"/>
    <x v="189"/>
    <x v="0"/>
    <x v="6"/>
    <x v="0"/>
    <x v="0"/>
    <x v="0"/>
    <x v="1"/>
    <x v="0"/>
    <x v="1"/>
    <x v="0"/>
  </r>
  <r>
    <x v="155"/>
    <x v="80"/>
    <x v="262"/>
    <x v="31"/>
    <x v="94"/>
    <x v="5"/>
    <x v="3"/>
    <x v="5"/>
    <x v="9"/>
    <x v="4"/>
    <x v="43"/>
    <x v="148"/>
    <x v="191"/>
    <x v="45"/>
    <x v="385"/>
    <x v="253"/>
    <x v="1"/>
    <x v="4"/>
    <x v="2"/>
    <x v="1"/>
    <x v="1"/>
    <x v="1"/>
    <x v="0"/>
    <x v="3"/>
    <x v="371"/>
  </r>
  <r>
    <x v="156"/>
    <x v="175"/>
    <x v="7"/>
    <x v="21"/>
    <x v="93"/>
    <x v="4"/>
    <x v="4"/>
    <x v="7"/>
    <x v="14"/>
    <x v="0"/>
    <x v="62"/>
    <x v="0"/>
    <x v="303"/>
    <x v="63"/>
    <x v="589"/>
    <x v="309"/>
    <x v="1"/>
    <x v="10"/>
    <x v="0"/>
    <x v="2"/>
    <x v="1"/>
    <x v="1"/>
    <x v="0"/>
    <x v="0"/>
    <x v="564"/>
  </r>
  <r>
    <x v="157"/>
    <x v="234"/>
    <x v="121"/>
    <x v="61"/>
    <x v="76"/>
    <x v="6"/>
    <x v="1"/>
    <x v="2"/>
    <x v="3"/>
    <x v="2"/>
    <x v="10"/>
    <x v="28"/>
    <x v="58"/>
    <x v="12"/>
    <x v="138"/>
    <x v="330"/>
    <x v="1"/>
    <x v="1"/>
    <x v="1"/>
    <x v="0"/>
    <x v="1"/>
    <x v="1"/>
    <x v="0"/>
    <x v="4"/>
    <x v="132"/>
  </r>
  <r>
    <x v="158"/>
    <x v="87"/>
    <x v="48"/>
    <x v="17"/>
    <x v="18"/>
    <x v="4"/>
    <x v="0"/>
    <x v="11"/>
    <x v="23"/>
    <x v="0"/>
    <x v="23"/>
    <x v="0"/>
    <x v="136"/>
    <x v="34"/>
    <x v="274"/>
    <x v="257"/>
    <x v="3"/>
    <x v="0"/>
    <x v="1"/>
    <x v="1"/>
    <x v="3"/>
    <x v="1"/>
    <x v="0"/>
    <x v="0"/>
    <x v="0"/>
  </r>
  <r>
    <x v="159"/>
    <x v="16"/>
    <x v="138"/>
    <x v="46"/>
    <x v="85"/>
    <x v="1"/>
    <x v="0"/>
    <x v="5"/>
    <x v="11"/>
    <x v="2"/>
    <x v="7"/>
    <x v="21"/>
    <x v="40"/>
    <x v="13"/>
    <x v="67"/>
    <x v="247"/>
    <x v="1"/>
    <x v="6"/>
    <x v="1"/>
    <x v="1"/>
    <x v="1"/>
    <x v="1"/>
    <x v="0"/>
    <x v="0"/>
    <x v="66"/>
  </r>
  <r>
    <x v="160"/>
    <x v="96"/>
    <x v="15"/>
    <x v="98"/>
    <x v="72"/>
    <x v="0"/>
    <x v="3"/>
    <x v="15"/>
    <x v="34"/>
    <x v="4"/>
    <x v="92"/>
    <x v="230"/>
    <x v="386"/>
    <x v="102"/>
    <x v="533"/>
    <x v="42"/>
    <x v="2"/>
    <x v="3"/>
    <x v="0"/>
    <x v="0"/>
    <x v="2"/>
    <x v="1"/>
    <x v="0"/>
    <x v="2"/>
    <x v="510"/>
  </r>
  <r>
    <x v="161"/>
    <x v="348"/>
    <x v="32"/>
    <x v="93"/>
    <x v="70"/>
    <x v="0"/>
    <x v="2"/>
    <x v="20"/>
    <x v="42"/>
    <x v="4"/>
    <x v="97"/>
    <x v="235"/>
    <x v="400"/>
    <x v="110"/>
    <x v="510"/>
    <x v="15"/>
    <x v="1"/>
    <x v="11"/>
    <x v="2"/>
    <x v="1"/>
    <x v="1"/>
    <x v="1"/>
    <x v="0"/>
    <x v="3"/>
    <x v="488"/>
  </r>
  <r>
    <x v="162"/>
    <x v="228"/>
    <x v="178"/>
    <x v="1"/>
    <x v="9"/>
    <x v="3"/>
    <x v="3"/>
    <x v="17"/>
    <x v="36"/>
    <x v="2"/>
    <x v="96"/>
    <x v="198"/>
    <x v="409"/>
    <x v="108"/>
    <x v="644"/>
    <x v="100"/>
    <x v="1"/>
    <x v="6"/>
    <x v="0"/>
    <x v="1"/>
    <x v="1"/>
    <x v="2"/>
    <x v="0"/>
    <x v="4"/>
    <x v="612"/>
  </r>
  <r>
    <x v="163"/>
    <x v="317"/>
    <x v="49"/>
    <x v="95"/>
    <x v="0"/>
    <x v="0"/>
    <x v="0"/>
    <x v="24"/>
    <x v="48"/>
    <x v="2"/>
    <x v="83"/>
    <x v="170"/>
    <x v="369"/>
    <x v="97"/>
    <x v="474"/>
    <x v="29"/>
    <x v="1"/>
    <x v="13"/>
    <x v="0"/>
    <x v="0"/>
    <x v="1"/>
    <x v="1"/>
    <x v="0"/>
    <x v="4"/>
    <x v="455"/>
  </r>
  <r>
    <x v="164"/>
    <x v="244"/>
    <x v="95"/>
    <x v="83"/>
    <x v="96"/>
    <x v="2"/>
    <x v="3"/>
    <x v="10"/>
    <x v="23"/>
    <x v="0"/>
    <x v="71"/>
    <x v="0"/>
    <x v="343"/>
    <x v="80"/>
    <x v="596"/>
    <x v="207"/>
    <x v="1"/>
    <x v="18"/>
    <x v="1"/>
    <x v="1"/>
    <x v="1"/>
    <x v="1"/>
    <x v="0"/>
    <x v="3"/>
    <x v="571"/>
  </r>
  <r>
    <x v="165"/>
    <x v="71"/>
    <x v="191"/>
    <x v="9"/>
    <x v="95"/>
    <x v="3"/>
    <x v="0"/>
    <x v="19"/>
    <x v="39"/>
    <x v="3"/>
    <x v="50"/>
    <x v="138"/>
    <x v="225"/>
    <x v="65"/>
    <x v="276"/>
    <x v="61"/>
    <x v="1"/>
    <x v="9"/>
    <x v="1"/>
    <x v="0"/>
    <x v="1"/>
    <x v="1"/>
    <x v="0"/>
    <x v="0"/>
    <x v="267"/>
  </r>
  <r>
    <x v="166"/>
    <x v="315"/>
    <x v="18"/>
    <x v="46"/>
    <x v="85"/>
    <x v="1"/>
    <x v="3"/>
    <x v="5"/>
    <x v="11"/>
    <x v="3"/>
    <x v="43"/>
    <x v="127"/>
    <x v="204"/>
    <x v="49"/>
    <x v="384"/>
    <x v="220"/>
    <x v="1"/>
    <x v="5"/>
    <x v="0"/>
    <x v="0"/>
    <x v="1"/>
    <x v="1"/>
    <x v="0"/>
    <x v="0"/>
    <x v="370"/>
  </r>
  <r>
    <x v="167"/>
    <x v="146"/>
    <x v="129"/>
    <x v="69"/>
    <x v="48"/>
    <x v="6"/>
    <x v="0"/>
    <x v="6"/>
    <x v="12"/>
    <x v="4"/>
    <x v="9"/>
    <x v="54"/>
    <x v="41"/>
    <x v="14"/>
    <x v="59"/>
    <x v="221"/>
    <x v="1"/>
    <x v="16"/>
    <x v="1"/>
    <x v="2"/>
    <x v="1"/>
    <x v="1"/>
    <x v="0"/>
    <x v="3"/>
    <x v="58"/>
  </r>
  <r>
    <x v="168"/>
    <x v="13"/>
    <x v="277"/>
    <x v="6"/>
    <x v="46"/>
    <x v="3"/>
    <x v="1"/>
    <x v="12"/>
    <x v="25"/>
    <x v="5"/>
    <x v="53"/>
    <x v="184"/>
    <x v="216"/>
    <x v="61"/>
    <x v="312"/>
    <x v="92"/>
    <x v="1"/>
    <x v="19"/>
    <x v="0"/>
    <x v="0"/>
    <x v="1"/>
    <x v="1"/>
    <x v="0"/>
    <x v="0"/>
    <x v="301"/>
  </r>
  <r>
    <x v="169"/>
    <x v="345"/>
    <x v="118"/>
    <x v="79"/>
    <x v="12"/>
    <x v="2"/>
    <x v="0"/>
    <x v="8"/>
    <x v="18"/>
    <x v="3"/>
    <x v="14"/>
    <x v="55"/>
    <x v="70"/>
    <x v="24"/>
    <x v="86"/>
    <x v="137"/>
    <x v="1"/>
    <x v="19"/>
    <x v="1"/>
    <x v="0"/>
    <x v="1"/>
    <x v="1"/>
    <x v="0"/>
    <x v="0"/>
    <x v="85"/>
  </r>
  <r>
    <x v="170"/>
    <x v="18"/>
    <x v="31"/>
    <x v="5"/>
    <x v="98"/>
    <x v="3"/>
    <x v="1"/>
    <x v="9"/>
    <x v="18"/>
    <x v="3"/>
    <x v="38"/>
    <x v="117"/>
    <x v="175"/>
    <x v="45"/>
    <x v="339"/>
    <x v="218"/>
    <x v="1"/>
    <x v="16"/>
    <x v="1"/>
    <x v="2"/>
    <x v="1"/>
    <x v="1"/>
    <x v="0"/>
    <x v="3"/>
    <x v="326"/>
  </r>
  <r>
    <x v="171"/>
    <x v="113"/>
    <x v="37"/>
    <x v="69"/>
    <x v="48"/>
    <x v="6"/>
    <x v="0"/>
    <x v="6"/>
    <x v="12"/>
    <x v="3"/>
    <x v="9"/>
    <x v="40"/>
    <x v="47"/>
    <x v="14"/>
    <x v="78"/>
    <x v="250"/>
    <x v="1"/>
    <x v="15"/>
    <x v="1"/>
    <x v="1"/>
    <x v="1"/>
    <x v="1"/>
    <x v="0"/>
    <x v="4"/>
    <x v="77"/>
  </r>
  <r>
    <x v="172"/>
    <x v="12"/>
    <x v="220"/>
    <x v="56"/>
    <x v="17"/>
    <x v="1"/>
    <x v="1"/>
    <x v="1"/>
    <x v="1"/>
    <x v="0"/>
    <x v="6"/>
    <x v="0"/>
    <x v="48"/>
    <x v="8"/>
    <x v="127"/>
    <x v="339"/>
    <x v="1"/>
    <x v="1"/>
    <x v="2"/>
    <x v="1"/>
    <x v="1"/>
    <x v="1"/>
    <x v="0"/>
    <x v="3"/>
    <x v="123"/>
  </r>
  <r>
    <x v="173"/>
    <x v="301"/>
    <x v="27"/>
    <x v="85"/>
    <x v="35"/>
    <x v="2"/>
    <x v="1"/>
    <x v="1"/>
    <x v="2"/>
    <x v="5"/>
    <x v="6"/>
    <x v="58"/>
    <x v="28"/>
    <x v="10"/>
    <x v="38"/>
    <x v="255"/>
    <x v="1"/>
    <x v="10"/>
    <x v="2"/>
    <x v="0"/>
    <x v="1"/>
    <x v="1"/>
    <x v="0"/>
    <x v="4"/>
    <x v="39"/>
  </r>
  <r>
    <x v="174"/>
    <x v="320"/>
    <x v="66"/>
    <x v="25"/>
    <x v="84"/>
    <x v="4"/>
    <x v="1"/>
    <x v="10"/>
    <x v="18"/>
    <x v="5"/>
    <x v="44"/>
    <x v="167"/>
    <x v="180"/>
    <x v="45"/>
    <x v="349"/>
    <x v="225"/>
    <x v="1"/>
    <x v="17"/>
    <x v="2"/>
    <x v="2"/>
    <x v="1"/>
    <x v="1"/>
    <x v="0"/>
    <x v="3"/>
    <x v="336"/>
  </r>
  <r>
    <x v="175"/>
    <x v="136"/>
    <x v="167"/>
    <x v="23"/>
    <x v="49"/>
    <x v="4"/>
    <x v="0"/>
    <x v="12"/>
    <x v="24"/>
    <x v="0"/>
    <x v="27"/>
    <x v="0"/>
    <x v="151"/>
    <x v="36"/>
    <x v="319"/>
    <x v="271"/>
    <x v="1"/>
    <x v="13"/>
    <x v="1"/>
    <x v="1"/>
    <x v="1"/>
    <x v="1"/>
    <x v="0"/>
    <x v="4"/>
    <x v="307"/>
  </r>
  <r>
    <x v="176"/>
    <x v="51"/>
    <x v="40"/>
    <x v="22"/>
    <x v="79"/>
    <x v="4"/>
    <x v="0"/>
    <x v="4"/>
    <x v="7"/>
    <x v="2"/>
    <x v="5"/>
    <x v="17"/>
    <x v="31"/>
    <x v="7"/>
    <x v="71"/>
    <x v="317"/>
    <x v="4"/>
    <x v="6"/>
    <x v="0"/>
    <x v="0"/>
    <x v="2"/>
    <x v="1"/>
    <x v="0"/>
    <x v="3"/>
    <x v="70"/>
  </r>
  <r>
    <x v="177"/>
    <x v="101"/>
    <x v="61"/>
    <x v="42"/>
    <x v="47"/>
    <x v="5"/>
    <x v="0"/>
    <x v="15"/>
    <x v="32"/>
    <x v="2"/>
    <x v="35"/>
    <x v="78"/>
    <x v="174"/>
    <x v="50"/>
    <x v="265"/>
    <x v="130"/>
    <x v="1"/>
    <x v="14"/>
    <x v="2"/>
    <x v="2"/>
    <x v="1"/>
    <x v="1"/>
    <x v="0"/>
    <x v="0"/>
    <x v="256"/>
  </r>
  <r>
    <x v="178"/>
    <x v="136"/>
    <x v="290"/>
    <x v="54"/>
    <x v="61"/>
    <x v="1"/>
    <x v="1"/>
    <x v="12"/>
    <x v="27"/>
    <x v="0"/>
    <x v="53"/>
    <x v="0"/>
    <x v="268"/>
    <x v="63"/>
    <x v="493"/>
    <x v="226"/>
    <x v="1"/>
    <x v="11"/>
    <x v="2"/>
    <x v="1"/>
    <x v="1"/>
    <x v="1"/>
    <x v="0"/>
    <x v="3"/>
    <x v="473"/>
  </r>
  <r>
    <x v="179"/>
    <x v="56"/>
    <x v="293"/>
    <x v="92"/>
    <x v="45"/>
    <x v="0"/>
    <x v="0"/>
    <x v="21"/>
    <x v="44"/>
    <x v="0"/>
    <x v="58"/>
    <x v="0"/>
    <x v="292"/>
    <x v="74"/>
    <x v="454"/>
    <x v="99"/>
    <x v="1"/>
    <x v="3"/>
    <x v="0"/>
    <x v="1"/>
    <x v="1"/>
    <x v="1"/>
    <x v="0"/>
    <x v="0"/>
    <x v="439"/>
  </r>
  <r>
    <x v="180"/>
    <x v="138"/>
    <x v="178"/>
    <x v="1"/>
    <x v="9"/>
    <x v="3"/>
    <x v="1"/>
    <x v="17"/>
    <x v="36"/>
    <x v="2"/>
    <x v="70"/>
    <x v="145"/>
    <x v="317"/>
    <x v="81"/>
    <x v="495"/>
    <x v="100"/>
    <x v="1"/>
    <x v="6"/>
    <x v="0"/>
    <x v="1"/>
    <x v="1"/>
    <x v="1"/>
    <x v="0"/>
    <x v="4"/>
    <x v="474"/>
  </r>
  <r>
    <x v="181"/>
    <x v="43"/>
    <x v="100"/>
    <x v="33"/>
    <x v="87"/>
    <x v="5"/>
    <x v="3"/>
    <x v="11"/>
    <x v="23"/>
    <x v="1"/>
    <x v="76"/>
    <x v="103"/>
    <x v="354"/>
    <x v="80"/>
    <x v="618"/>
    <x v="232"/>
    <x v="1"/>
    <x v="14"/>
    <x v="1"/>
    <x v="1"/>
    <x v="1"/>
    <x v="1"/>
    <x v="0"/>
    <x v="4"/>
    <x v="589"/>
  </r>
  <r>
    <x v="182"/>
    <x v="14"/>
    <x v="162"/>
    <x v="89"/>
    <x v="89"/>
    <x v="0"/>
    <x v="0"/>
    <x v="17"/>
    <x v="37"/>
    <x v="1"/>
    <x v="42"/>
    <x v="47"/>
    <x v="209"/>
    <x v="59"/>
    <x v="304"/>
    <x v="97"/>
    <x v="1"/>
    <x v="4"/>
    <x v="1"/>
    <x v="1"/>
    <x v="1"/>
    <x v="1"/>
    <x v="0"/>
    <x v="0"/>
    <x v="293"/>
  </r>
  <r>
    <x v="183"/>
    <x v="225"/>
    <x v="295"/>
    <x v="56"/>
    <x v="17"/>
    <x v="1"/>
    <x v="0"/>
    <x v="1"/>
    <x v="1"/>
    <x v="4"/>
    <x v="1"/>
    <x v="20"/>
    <x v="6"/>
    <x v="1"/>
    <x v="5"/>
    <x v="303"/>
    <x v="1"/>
    <x v="15"/>
    <x v="1"/>
    <x v="0"/>
    <x v="1"/>
    <x v="1"/>
    <x v="0"/>
    <x v="4"/>
    <x v="6"/>
  </r>
  <r>
    <x v="184"/>
    <x v="346"/>
    <x v="8"/>
    <x v="66"/>
    <x v="13"/>
    <x v="6"/>
    <x v="0"/>
    <x v="8"/>
    <x v="16"/>
    <x v="2"/>
    <x v="14"/>
    <x v="35"/>
    <x v="73"/>
    <x v="20"/>
    <x v="140"/>
    <x v="261"/>
    <x v="4"/>
    <x v="0"/>
    <x v="0"/>
    <x v="2"/>
    <x v="2"/>
    <x v="1"/>
    <x v="0"/>
    <x v="4"/>
    <x v="134"/>
  </r>
  <r>
    <x v="185"/>
    <x v="205"/>
    <x v="250"/>
    <x v="16"/>
    <x v="22"/>
    <x v="4"/>
    <x v="0"/>
    <x v="15"/>
    <x v="31"/>
    <x v="1"/>
    <x v="35"/>
    <x v="38"/>
    <x v="183"/>
    <x v="47"/>
    <x v="337"/>
    <x v="206"/>
    <x v="1"/>
    <x v="11"/>
    <x v="0"/>
    <x v="0"/>
    <x v="1"/>
    <x v="1"/>
    <x v="0"/>
    <x v="0"/>
    <x v="324"/>
  </r>
  <r>
    <x v="186"/>
    <x v="319"/>
    <x v="187"/>
    <x v="79"/>
    <x v="12"/>
    <x v="2"/>
    <x v="0"/>
    <x v="8"/>
    <x v="18"/>
    <x v="5"/>
    <x v="14"/>
    <x v="89"/>
    <x v="62"/>
    <x v="24"/>
    <x v="34"/>
    <x v="71"/>
    <x v="1"/>
    <x v="13"/>
    <x v="1"/>
    <x v="0"/>
    <x v="1"/>
    <x v="1"/>
    <x v="0"/>
    <x v="0"/>
    <x v="35"/>
  </r>
  <r>
    <x v="187"/>
    <x v="134"/>
    <x v="1"/>
    <x v="80"/>
    <x v="82"/>
    <x v="2"/>
    <x v="0"/>
    <x v="0"/>
    <x v="0"/>
    <x v="0"/>
    <x v="0"/>
    <x v="0"/>
    <x v="4"/>
    <x v="0"/>
    <x v="8"/>
    <x v="342"/>
    <x v="1"/>
    <x v="14"/>
    <x v="0"/>
    <x v="0"/>
    <x v="1"/>
    <x v="1"/>
    <x v="0"/>
    <x v="4"/>
    <x v="9"/>
  </r>
  <r>
    <x v="188"/>
    <x v="331"/>
    <x v="268"/>
    <x v="98"/>
    <x v="72"/>
    <x v="0"/>
    <x v="2"/>
    <x v="15"/>
    <x v="34"/>
    <x v="4"/>
    <x v="79"/>
    <x v="212"/>
    <x v="339"/>
    <x v="92"/>
    <x v="456"/>
    <x v="42"/>
    <x v="1"/>
    <x v="7"/>
    <x v="0"/>
    <x v="1"/>
    <x v="1"/>
    <x v="1"/>
    <x v="0"/>
    <x v="3"/>
    <x v="441"/>
  </r>
  <r>
    <x v="189"/>
    <x v="316"/>
    <x v="193"/>
    <x v="14"/>
    <x v="65"/>
    <x v="3"/>
    <x v="0"/>
    <x v="24"/>
    <x v="49"/>
    <x v="0"/>
    <x v="83"/>
    <x v="0"/>
    <x v="384"/>
    <x v="99"/>
    <x v="544"/>
    <x v="54"/>
    <x v="1"/>
    <x v="3"/>
    <x v="1"/>
    <x v="2"/>
    <x v="1"/>
    <x v="1"/>
    <x v="0"/>
    <x v="4"/>
    <x v="521"/>
  </r>
  <r>
    <x v="190"/>
    <x v="316"/>
    <x v="223"/>
    <x v="78"/>
    <x v="1"/>
    <x v="2"/>
    <x v="0"/>
    <x v="9"/>
    <x v="20"/>
    <x v="4"/>
    <x v="16"/>
    <x v="83"/>
    <x v="75"/>
    <x v="29"/>
    <x v="87"/>
    <x v="104"/>
    <x v="1"/>
    <x v="12"/>
    <x v="1"/>
    <x v="0"/>
    <x v="1"/>
    <x v="1"/>
    <x v="0"/>
    <x v="4"/>
    <x v="86"/>
  </r>
  <r>
    <x v="191"/>
    <x v="224"/>
    <x v="38"/>
    <x v="90"/>
    <x v="69"/>
    <x v="0"/>
    <x v="0"/>
    <x v="20"/>
    <x v="41"/>
    <x v="1"/>
    <x v="54"/>
    <x v="63"/>
    <x v="260"/>
    <x v="68"/>
    <x v="399"/>
    <x v="98"/>
    <x v="1"/>
    <x v="5"/>
    <x v="1"/>
    <x v="1"/>
    <x v="1"/>
    <x v="1"/>
    <x v="0"/>
    <x v="4"/>
    <x v="385"/>
  </r>
  <r>
    <x v="192"/>
    <x v="240"/>
    <x v="194"/>
    <x v="8"/>
    <x v="50"/>
    <x v="3"/>
    <x v="0"/>
    <x v="10"/>
    <x v="20"/>
    <x v="3"/>
    <x v="20"/>
    <x v="73"/>
    <x v="97"/>
    <x v="29"/>
    <x v="168"/>
    <x v="214"/>
    <x v="4"/>
    <x v="18"/>
    <x v="1"/>
    <x v="1"/>
    <x v="2"/>
    <x v="1"/>
    <x v="0"/>
    <x v="3"/>
    <x v="162"/>
  </r>
  <r>
    <x v="193"/>
    <x v="275"/>
    <x v="199"/>
    <x v="12"/>
    <x v="56"/>
    <x v="3"/>
    <x v="1"/>
    <x v="9"/>
    <x v="22"/>
    <x v="1"/>
    <x v="38"/>
    <x v="42"/>
    <x v="196"/>
    <x v="55"/>
    <x v="306"/>
    <x v="124"/>
    <x v="1"/>
    <x v="14"/>
    <x v="0"/>
    <x v="1"/>
    <x v="1"/>
    <x v="1"/>
    <x v="0"/>
    <x v="4"/>
    <x v="295"/>
  </r>
  <r>
    <x v="194"/>
    <x v="222"/>
    <x v="88"/>
    <x v="6"/>
    <x v="46"/>
    <x v="3"/>
    <x v="0"/>
    <x v="12"/>
    <x v="25"/>
    <x v="1"/>
    <x v="27"/>
    <x v="30"/>
    <x v="143"/>
    <x v="37"/>
    <x v="264"/>
    <x v="216"/>
    <x v="1"/>
    <x v="13"/>
    <x v="0"/>
    <x v="0"/>
    <x v="1"/>
    <x v="1"/>
    <x v="0"/>
    <x v="3"/>
    <x v="255"/>
  </r>
  <r>
    <x v="195"/>
    <x v="142"/>
    <x v="246"/>
    <x v="4"/>
    <x v="66"/>
    <x v="3"/>
    <x v="0"/>
    <x v="14"/>
    <x v="31"/>
    <x v="3"/>
    <x v="33"/>
    <x v="104"/>
    <x v="154"/>
    <x v="47"/>
    <x v="194"/>
    <x v="94"/>
    <x v="4"/>
    <x v="0"/>
    <x v="0"/>
    <x v="2"/>
    <x v="2"/>
    <x v="1"/>
    <x v="0"/>
    <x v="3"/>
    <x v="188"/>
  </r>
  <r>
    <x v="196"/>
    <x v="86"/>
    <x v="136"/>
    <x v="29"/>
    <x v="34"/>
    <x v="4"/>
    <x v="3"/>
    <x v="21"/>
    <x v="43"/>
    <x v="2"/>
    <x v="107"/>
    <x v="224"/>
    <x v="435"/>
    <x v="117"/>
    <x v="667"/>
    <x v="101"/>
    <x v="0"/>
    <x v="5"/>
    <x v="1"/>
    <x v="1"/>
    <x v="0"/>
    <x v="2"/>
    <x v="0"/>
    <x v="1"/>
    <x v="0"/>
  </r>
  <r>
    <x v="197"/>
    <x v="14"/>
    <x v="12"/>
    <x v="84"/>
    <x v="55"/>
    <x v="2"/>
    <x v="0"/>
    <x v="3"/>
    <x v="6"/>
    <x v="0"/>
    <x v="4"/>
    <x v="0"/>
    <x v="29"/>
    <x v="6"/>
    <x v="66"/>
    <x v="326"/>
    <x v="1"/>
    <x v="11"/>
    <x v="1"/>
    <x v="1"/>
    <x v="1"/>
    <x v="1"/>
    <x v="0"/>
    <x v="4"/>
    <x v="65"/>
  </r>
  <r>
    <x v="198"/>
    <x v="228"/>
    <x v="238"/>
    <x v="22"/>
    <x v="79"/>
    <x v="4"/>
    <x v="1"/>
    <x v="4"/>
    <x v="7"/>
    <x v="1"/>
    <x v="15"/>
    <x v="17"/>
    <x v="91"/>
    <x v="19"/>
    <x v="229"/>
    <x v="328"/>
    <x v="4"/>
    <x v="6"/>
    <x v="1"/>
    <x v="2"/>
    <x v="2"/>
    <x v="1"/>
    <x v="0"/>
    <x v="3"/>
    <x v="221"/>
  </r>
  <r>
    <x v="199"/>
    <x v="119"/>
    <x v="222"/>
    <x v="0"/>
    <x v="97"/>
    <x v="3"/>
    <x v="0"/>
    <x v="11"/>
    <x v="26"/>
    <x v="1"/>
    <x v="23"/>
    <x v="26"/>
    <x v="129"/>
    <x v="38"/>
    <x v="183"/>
    <x v="145"/>
    <x v="0"/>
    <x v="4"/>
    <x v="1"/>
    <x v="2"/>
    <x v="0"/>
    <x v="1"/>
    <x v="0"/>
    <x v="1"/>
    <x v="0"/>
  </r>
  <r>
    <x v="200"/>
    <x v="239"/>
    <x v="180"/>
    <x v="84"/>
    <x v="55"/>
    <x v="2"/>
    <x v="2"/>
    <x v="3"/>
    <x v="6"/>
    <x v="4"/>
    <x v="21"/>
    <x v="99"/>
    <x v="101"/>
    <x v="27"/>
    <x v="205"/>
    <x v="263"/>
    <x v="1"/>
    <x v="1"/>
    <x v="0"/>
    <x v="1"/>
    <x v="1"/>
    <x v="1"/>
    <x v="0"/>
    <x v="4"/>
    <x v="198"/>
  </r>
  <r>
    <x v="201"/>
    <x v="194"/>
    <x v="28"/>
    <x v="31"/>
    <x v="94"/>
    <x v="5"/>
    <x v="1"/>
    <x v="5"/>
    <x v="9"/>
    <x v="1"/>
    <x v="19"/>
    <x v="21"/>
    <x v="110"/>
    <x v="24"/>
    <x v="258"/>
    <x v="310"/>
    <x v="1"/>
    <x v="0"/>
    <x v="1"/>
    <x v="2"/>
    <x v="1"/>
    <x v="1"/>
    <x v="0"/>
    <x v="4"/>
    <x v="249"/>
  </r>
  <r>
    <x v="202"/>
    <x v="328"/>
    <x v="46"/>
    <x v="86"/>
    <x v="11"/>
    <x v="2"/>
    <x v="0"/>
    <x v="6"/>
    <x v="14"/>
    <x v="3"/>
    <x v="9"/>
    <x v="40"/>
    <x v="47"/>
    <x v="17"/>
    <x v="62"/>
    <x v="208"/>
    <x v="4"/>
    <x v="17"/>
    <x v="2"/>
    <x v="0"/>
    <x v="2"/>
    <x v="1"/>
    <x v="0"/>
    <x v="0"/>
    <x v="61"/>
  </r>
  <r>
    <x v="203"/>
    <x v="188"/>
    <x v="193"/>
    <x v="16"/>
    <x v="22"/>
    <x v="4"/>
    <x v="0"/>
    <x v="15"/>
    <x v="31"/>
    <x v="2"/>
    <x v="35"/>
    <x v="78"/>
    <x v="174"/>
    <x v="47"/>
    <x v="302"/>
    <x v="174"/>
    <x v="4"/>
    <x v="3"/>
    <x v="1"/>
    <x v="1"/>
    <x v="2"/>
    <x v="1"/>
    <x v="0"/>
    <x v="3"/>
    <x v="291"/>
  </r>
  <r>
    <x v="204"/>
    <x v="152"/>
    <x v="194"/>
    <x v="28"/>
    <x v="73"/>
    <x v="4"/>
    <x v="0"/>
    <x v="3"/>
    <x v="5"/>
    <x v="3"/>
    <x v="4"/>
    <x v="24"/>
    <x v="20"/>
    <x v="5"/>
    <x v="35"/>
    <x v="312"/>
    <x v="1"/>
    <x v="18"/>
    <x v="1"/>
    <x v="0"/>
    <x v="1"/>
    <x v="1"/>
    <x v="0"/>
    <x v="3"/>
    <x v="36"/>
  </r>
  <r>
    <x v="205"/>
    <x v="120"/>
    <x v="57"/>
    <x v="3"/>
    <x v="90"/>
    <x v="3"/>
    <x v="2"/>
    <x v="3"/>
    <x v="7"/>
    <x v="3"/>
    <x v="21"/>
    <x v="79"/>
    <x v="112"/>
    <x v="30"/>
    <x v="217"/>
    <x v="248"/>
    <x v="1"/>
    <x v="15"/>
    <x v="0"/>
    <x v="0"/>
    <x v="1"/>
    <x v="1"/>
    <x v="0"/>
    <x v="0"/>
    <x v="209"/>
  </r>
  <r>
    <x v="206"/>
    <x v="6"/>
    <x v="2"/>
    <x v="16"/>
    <x v="22"/>
    <x v="4"/>
    <x v="0"/>
    <x v="15"/>
    <x v="31"/>
    <x v="2"/>
    <x v="35"/>
    <x v="78"/>
    <x v="174"/>
    <x v="47"/>
    <x v="302"/>
    <x v="174"/>
    <x v="1"/>
    <x v="1"/>
    <x v="1"/>
    <x v="1"/>
    <x v="1"/>
    <x v="1"/>
    <x v="0"/>
    <x v="4"/>
    <x v="291"/>
  </r>
  <r>
    <x v="207"/>
    <x v="125"/>
    <x v="220"/>
    <x v="68"/>
    <x v="80"/>
    <x v="6"/>
    <x v="0"/>
    <x v="12"/>
    <x v="27"/>
    <x v="0"/>
    <x v="27"/>
    <x v="0"/>
    <x v="151"/>
    <x v="39"/>
    <x v="286"/>
    <x v="226"/>
    <x v="1"/>
    <x v="1"/>
    <x v="2"/>
    <x v="1"/>
    <x v="1"/>
    <x v="1"/>
    <x v="0"/>
    <x v="3"/>
    <x v="277"/>
  </r>
  <r>
    <x v="208"/>
    <x v="72"/>
    <x v="286"/>
    <x v="86"/>
    <x v="11"/>
    <x v="2"/>
    <x v="0"/>
    <x v="6"/>
    <x v="14"/>
    <x v="3"/>
    <x v="9"/>
    <x v="40"/>
    <x v="47"/>
    <x v="17"/>
    <x v="62"/>
    <x v="208"/>
    <x v="1"/>
    <x v="0"/>
    <x v="1"/>
    <x v="1"/>
    <x v="1"/>
    <x v="1"/>
    <x v="0"/>
    <x v="0"/>
    <x v="61"/>
  </r>
  <r>
    <x v="209"/>
    <x v="124"/>
    <x v="191"/>
    <x v="82"/>
    <x v="67"/>
    <x v="2"/>
    <x v="0"/>
    <x v="5"/>
    <x v="12"/>
    <x v="2"/>
    <x v="7"/>
    <x v="21"/>
    <x v="40"/>
    <x v="14"/>
    <x v="58"/>
    <x v="220"/>
    <x v="1"/>
    <x v="9"/>
    <x v="1"/>
    <x v="2"/>
    <x v="1"/>
    <x v="1"/>
    <x v="0"/>
    <x v="4"/>
    <x v="57"/>
  </r>
  <r>
    <x v="210"/>
    <x v="346"/>
    <x v="256"/>
    <x v="85"/>
    <x v="35"/>
    <x v="2"/>
    <x v="0"/>
    <x v="1"/>
    <x v="2"/>
    <x v="0"/>
    <x v="1"/>
    <x v="0"/>
    <x v="11"/>
    <x v="2"/>
    <x v="19"/>
    <x v="333"/>
    <x v="1"/>
    <x v="5"/>
    <x v="0"/>
    <x v="1"/>
    <x v="1"/>
    <x v="1"/>
    <x v="0"/>
    <x v="3"/>
    <x v="20"/>
  </r>
  <r>
    <x v="211"/>
    <x v="240"/>
    <x v="260"/>
    <x v="72"/>
    <x v="43"/>
    <x v="6"/>
    <x v="4"/>
    <x v="20"/>
    <x v="40"/>
    <x v="5"/>
    <x v="108"/>
    <x v="251"/>
    <x v="431"/>
    <x v="120"/>
    <x v="643"/>
    <x v="36"/>
    <x v="1"/>
    <x v="1"/>
    <x v="2"/>
    <x v="1"/>
    <x v="1"/>
    <x v="2"/>
    <x v="0"/>
    <x v="0"/>
    <x v="611"/>
  </r>
  <r>
    <x v="212"/>
    <x v="344"/>
    <x v="52"/>
    <x v="22"/>
    <x v="79"/>
    <x v="4"/>
    <x v="0"/>
    <x v="4"/>
    <x v="7"/>
    <x v="4"/>
    <x v="5"/>
    <x v="41"/>
    <x v="24"/>
    <x v="7"/>
    <x v="42"/>
    <x v="287"/>
    <x v="4"/>
    <x v="11"/>
    <x v="1"/>
    <x v="1"/>
    <x v="2"/>
    <x v="1"/>
    <x v="0"/>
    <x v="3"/>
    <x v="43"/>
  </r>
  <r>
    <x v="213"/>
    <x v="118"/>
    <x v="226"/>
    <x v="69"/>
    <x v="48"/>
    <x v="6"/>
    <x v="0"/>
    <x v="6"/>
    <x v="12"/>
    <x v="2"/>
    <x v="9"/>
    <x v="25"/>
    <x v="53"/>
    <x v="14"/>
    <x v="95"/>
    <x v="275"/>
    <x v="1"/>
    <x v="0"/>
    <x v="1"/>
    <x v="0"/>
    <x v="1"/>
    <x v="1"/>
    <x v="0"/>
    <x v="3"/>
    <x v="93"/>
  </r>
  <r>
    <x v="214"/>
    <x v="262"/>
    <x v="258"/>
    <x v="16"/>
    <x v="22"/>
    <x v="4"/>
    <x v="0"/>
    <x v="15"/>
    <x v="31"/>
    <x v="4"/>
    <x v="35"/>
    <x v="134"/>
    <x v="155"/>
    <x v="47"/>
    <x v="208"/>
    <x v="108"/>
    <x v="1"/>
    <x v="6"/>
    <x v="1"/>
    <x v="0"/>
    <x v="1"/>
    <x v="1"/>
    <x v="0"/>
    <x v="4"/>
    <x v="201"/>
  </r>
  <r>
    <x v="215"/>
    <x v="51"/>
    <x v="87"/>
    <x v="77"/>
    <x v="75"/>
    <x v="2"/>
    <x v="2"/>
    <x v="2"/>
    <x v="4"/>
    <x v="0"/>
    <x v="17"/>
    <x v="0"/>
    <x v="106"/>
    <x v="22"/>
    <x v="269"/>
    <x v="329"/>
    <x v="1"/>
    <x v="0"/>
    <x v="0"/>
    <x v="2"/>
    <x v="1"/>
    <x v="1"/>
    <x v="0"/>
    <x v="3"/>
    <x v="260"/>
  </r>
  <r>
    <x v="216"/>
    <x v="223"/>
    <x v="71"/>
    <x v="27"/>
    <x v="78"/>
    <x v="4"/>
    <x v="0"/>
    <x v="19"/>
    <x v="38"/>
    <x v="5"/>
    <x v="50"/>
    <x v="177"/>
    <x v="203"/>
    <x v="60"/>
    <x v="214"/>
    <x v="50"/>
    <x v="4"/>
    <x v="16"/>
    <x v="1"/>
    <x v="2"/>
    <x v="2"/>
    <x v="1"/>
    <x v="0"/>
    <x v="0"/>
    <x v="207"/>
  </r>
  <r>
    <x v="217"/>
    <x v="104"/>
    <x v="9"/>
    <x v="38"/>
    <x v="92"/>
    <x v="5"/>
    <x v="0"/>
    <x v="9"/>
    <x v="18"/>
    <x v="4"/>
    <x v="16"/>
    <x v="83"/>
    <x v="75"/>
    <x v="24"/>
    <x v="124"/>
    <x v="190"/>
    <x v="2"/>
    <x v="13"/>
    <x v="1"/>
    <x v="0"/>
    <x v="2"/>
    <x v="1"/>
    <x v="0"/>
    <x v="2"/>
    <x v="120"/>
  </r>
  <r>
    <x v="218"/>
    <x v="148"/>
    <x v="135"/>
    <x v="85"/>
    <x v="35"/>
    <x v="2"/>
    <x v="1"/>
    <x v="1"/>
    <x v="2"/>
    <x v="2"/>
    <x v="6"/>
    <x v="20"/>
    <x v="39"/>
    <x v="10"/>
    <x v="90"/>
    <x v="314"/>
    <x v="3"/>
    <x v="15"/>
    <x v="1"/>
    <x v="0"/>
    <x v="3"/>
    <x v="1"/>
    <x v="0"/>
    <x v="3"/>
    <x v="0"/>
  </r>
  <r>
    <x v="219"/>
    <x v="282"/>
    <x v="113"/>
    <x v="53"/>
    <x v="29"/>
    <x v="1"/>
    <x v="4"/>
    <x v="3"/>
    <x v="6"/>
    <x v="2"/>
    <x v="40"/>
    <x v="87"/>
    <x v="198"/>
    <x v="43"/>
    <x v="434"/>
    <x v="302"/>
    <x v="4"/>
    <x v="2"/>
    <x v="1"/>
    <x v="2"/>
    <x v="2"/>
    <x v="1"/>
    <x v="0"/>
    <x v="0"/>
    <x v="419"/>
  </r>
  <r>
    <x v="220"/>
    <x v="141"/>
    <x v="211"/>
    <x v="44"/>
    <x v="53"/>
    <x v="5"/>
    <x v="1"/>
    <x v="6"/>
    <x v="12"/>
    <x v="5"/>
    <x v="22"/>
    <x v="121"/>
    <x v="94"/>
    <x v="30"/>
    <x v="156"/>
    <x v="192"/>
    <x v="1"/>
    <x v="9"/>
    <x v="1"/>
    <x v="0"/>
    <x v="1"/>
    <x v="1"/>
    <x v="0"/>
    <x v="0"/>
    <x v="150"/>
  </r>
  <r>
    <x v="221"/>
    <x v="184"/>
    <x v="109"/>
    <x v="12"/>
    <x v="56"/>
    <x v="3"/>
    <x v="0"/>
    <x v="9"/>
    <x v="22"/>
    <x v="1"/>
    <x v="16"/>
    <x v="18"/>
    <x v="92"/>
    <x v="33"/>
    <x v="125"/>
    <x v="124"/>
    <x v="4"/>
    <x v="7"/>
    <x v="1"/>
    <x v="0"/>
    <x v="2"/>
    <x v="1"/>
    <x v="0"/>
    <x v="3"/>
    <x v="121"/>
  </r>
  <r>
    <x v="222"/>
    <x v="119"/>
    <x v="83"/>
    <x v="82"/>
    <x v="67"/>
    <x v="2"/>
    <x v="1"/>
    <x v="5"/>
    <x v="12"/>
    <x v="0"/>
    <x v="19"/>
    <x v="0"/>
    <x v="117"/>
    <x v="30"/>
    <x v="238"/>
    <x v="269"/>
    <x v="1"/>
    <x v="4"/>
    <x v="2"/>
    <x v="2"/>
    <x v="1"/>
    <x v="1"/>
    <x v="0"/>
    <x v="4"/>
    <x v="230"/>
  </r>
  <r>
    <x v="223"/>
    <x v="334"/>
    <x v="49"/>
    <x v="73"/>
    <x v="60"/>
    <x v="2"/>
    <x v="1"/>
    <x v="3"/>
    <x v="6"/>
    <x v="1"/>
    <x v="13"/>
    <x v="15"/>
    <x v="77"/>
    <x v="18"/>
    <x v="176"/>
    <x v="315"/>
    <x v="1"/>
    <x v="13"/>
    <x v="0"/>
    <x v="0"/>
    <x v="1"/>
    <x v="1"/>
    <x v="0"/>
    <x v="0"/>
    <x v="170"/>
  </r>
  <r>
    <x v="224"/>
    <x v="161"/>
    <x v="39"/>
    <x v="18"/>
    <x v="71"/>
    <x v="4"/>
    <x v="1"/>
    <x v="20"/>
    <x v="40"/>
    <x v="3"/>
    <x v="82"/>
    <x v="199"/>
    <x v="352"/>
    <x v="91"/>
    <x v="543"/>
    <x v="88"/>
    <x v="2"/>
    <x v="19"/>
    <x v="1"/>
    <x v="0"/>
    <x v="2"/>
    <x v="1"/>
    <x v="0"/>
    <x v="2"/>
    <x v="520"/>
  </r>
  <r>
    <x v="225"/>
    <x v="246"/>
    <x v="259"/>
    <x v="42"/>
    <x v="47"/>
    <x v="5"/>
    <x v="0"/>
    <x v="15"/>
    <x v="32"/>
    <x v="3"/>
    <x v="35"/>
    <x v="106"/>
    <x v="164"/>
    <x v="50"/>
    <x v="220"/>
    <x v="96"/>
    <x v="1"/>
    <x v="14"/>
    <x v="1"/>
    <x v="2"/>
    <x v="1"/>
    <x v="1"/>
    <x v="0"/>
    <x v="3"/>
    <x v="212"/>
  </r>
  <r>
    <x v="226"/>
    <x v="316"/>
    <x v="73"/>
    <x v="56"/>
    <x v="17"/>
    <x v="1"/>
    <x v="1"/>
    <x v="1"/>
    <x v="1"/>
    <x v="3"/>
    <x v="6"/>
    <x v="32"/>
    <x v="36"/>
    <x v="8"/>
    <x v="82"/>
    <x v="316"/>
    <x v="1"/>
    <x v="9"/>
    <x v="0"/>
    <x v="2"/>
    <x v="1"/>
    <x v="1"/>
    <x v="0"/>
    <x v="0"/>
    <x v="81"/>
  </r>
  <r>
    <x v="227"/>
    <x v="33"/>
    <x v="35"/>
    <x v="38"/>
    <x v="92"/>
    <x v="5"/>
    <x v="0"/>
    <x v="9"/>
    <x v="18"/>
    <x v="2"/>
    <x v="16"/>
    <x v="42"/>
    <x v="87"/>
    <x v="24"/>
    <x v="167"/>
    <x v="243"/>
    <x v="1"/>
    <x v="3"/>
    <x v="0"/>
    <x v="2"/>
    <x v="1"/>
    <x v="1"/>
    <x v="0"/>
    <x v="0"/>
    <x v="161"/>
  </r>
  <r>
    <x v="228"/>
    <x v="6"/>
    <x v="163"/>
    <x v="51"/>
    <x v="52"/>
    <x v="1"/>
    <x v="0"/>
    <x v="2"/>
    <x v="4"/>
    <x v="3"/>
    <x v="2"/>
    <x v="19"/>
    <x v="13"/>
    <x v="4"/>
    <x v="16"/>
    <x v="290"/>
    <x v="1"/>
    <x v="12"/>
    <x v="0"/>
    <x v="0"/>
    <x v="1"/>
    <x v="1"/>
    <x v="0"/>
    <x v="4"/>
    <x v="17"/>
  </r>
  <r>
    <x v="229"/>
    <x v="272"/>
    <x v="212"/>
    <x v="14"/>
    <x v="65"/>
    <x v="3"/>
    <x v="0"/>
    <x v="24"/>
    <x v="49"/>
    <x v="1"/>
    <x v="83"/>
    <x v="114"/>
    <x v="377"/>
    <x v="99"/>
    <x v="498"/>
    <x v="33"/>
    <x v="0"/>
    <x v="2"/>
    <x v="1"/>
    <x v="1"/>
    <x v="0"/>
    <x v="1"/>
    <x v="0"/>
    <x v="1"/>
    <x v="0"/>
  </r>
  <r>
    <x v="230"/>
    <x v="296"/>
    <x v="216"/>
    <x v="69"/>
    <x v="48"/>
    <x v="6"/>
    <x v="0"/>
    <x v="6"/>
    <x v="12"/>
    <x v="3"/>
    <x v="9"/>
    <x v="40"/>
    <x v="47"/>
    <x v="14"/>
    <x v="78"/>
    <x v="250"/>
    <x v="2"/>
    <x v="5"/>
    <x v="0"/>
    <x v="1"/>
    <x v="2"/>
    <x v="1"/>
    <x v="0"/>
    <x v="2"/>
    <x v="77"/>
  </r>
  <r>
    <x v="231"/>
    <x v="6"/>
    <x v="148"/>
    <x v="43"/>
    <x v="25"/>
    <x v="5"/>
    <x v="0"/>
    <x v="3"/>
    <x v="5"/>
    <x v="2"/>
    <x v="4"/>
    <x v="15"/>
    <x v="23"/>
    <x v="5"/>
    <x v="48"/>
    <x v="324"/>
    <x v="4"/>
    <x v="7"/>
    <x v="0"/>
    <x v="1"/>
    <x v="2"/>
    <x v="1"/>
    <x v="0"/>
    <x v="4"/>
    <x v="48"/>
  </r>
  <r>
    <x v="232"/>
    <x v="196"/>
    <x v="7"/>
    <x v="27"/>
    <x v="78"/>
    <x v="4"/>
    <x v="0"/>
    <x v="19"/>
    <x v="38"/>
    <x v="1"/>
    <x v="50"/>
    <x v="57"/>
    <x v="242"/>
    <x v="60"/>
    <x v="424"/>
    <x v="175"/>
    <x v="1"/>
    <x v="10"/>
    <x v="0"/>
    <x v="1"/>
    <x v="1"/>
    <x v="1"/>
    <x v="0"/>
    <x v="4"/>
    <x v="409"/>
  </r>
  <r>
    <x v="233"/>
    <x v="212"/>
    <x v="116"/>
    <x v="86"/>
    <x v="11"/>
    <x v="2"/>
    <x v="1"/>
    <x v="6"/>
    <x v="14"/>
    <x v="3"/>
    <x v="22"/>
    <x v="80"/>
    <x v="113"/>
    <x v="33"/>
    <x v="189"/>
    <x v="208"/>
    <x v="4"/>
    <x v="15"/>
    <x v="1"/>
    <x v="2"/>
    <x v="2"/>
    <x v="1"/>
    <x v="0"/>
    <x v="3"/>
    <x v="183"/>
  </r>
  <r>
    <x v="234"/>
    <x v="151"/>
    <x v="106"/>
    <x v="84"/>
    <x v="55"/>
    <x v="2"/>
    <x v="0"/>
    <x v="3"/>
    <x v="6"/>
    <x v="0"/>
    <x v="4"/>
    <x v="0"/>
    <x v="29"/>
    <x v="6"/>
    <x v="66"/>
    <x v="326"/>
    <x v="1"/>
    <x v="10"/>
    <x v="1"/>
    <x v="0"/>
    <x v="1"/>
    <x v="1"/>
    <x v="0"/>
    <x v="4"/>
    <x v="65"/>
  </r>
  <r>
    <x v="235"/>
    <x v="28"/>
    <x v="78"/>
    <x v="14"/>
    <x v="65"/>
    <x v="3"/>
    <x v="0"/>
    <x v="24"/>
    <x v="49"/>
    <x v="1"/>
    <x v="83"/>
    <x v="114"/>
    <x v="377"/>
    <x v="99"/>
    <x v="498"/>
    <x v="33"/>
    <x v="1"/>
    <x v="19"/>
    <x v="0"/>
    <x v="1"/>
    <x v="1"/>
    <x v="1"/>
    <x v="0"/>
    <x v="3"/>
    <x v="477"/>
  </r>
  <r>
    <x v="236"/>
    <x v="259"/>
    <x v="263"/>
    <x v="66"/>
    <x v="13"/>
    <x v="6"/>
    <x v="4"/>
    <x v="8"/>
    <x v="16"/>
    <x v="4"/>
    <x v="68"/>
    <x v="195"/>
    <x v="296"/>
    <x v="69"/>
    <x v="531"/>
    <x v="209"/>
    <x v="1"/>
    <x v="12"/>
    <x v="1"/>
    <x v="1"/>
    <x v="1"/>
    <x v="1"/>
    <x v="0"/>
    <x v="4"/>
    <x v="508"/>
  </r>
  <r>
    <x v="237"/>
    <x v="39"/>
    <x v="178"/>
    <x v="69"/>
    <x v="48"/>
    <x v="6"/>
    <x v="2"/>
    <x v="6"/>
    <x v="12"/>
    <x v="3"/>
    <x v="36"/>
    <x v="115"/>
    <x v="173"/>
    <x v="42"/>
    <x v="353"/>
    <x v="250"/>
    <x v="2"/>
    <x v="6"/>
    <x v="0"/>
    <x v="1"/>
    <x v="2"/>
    <x v="1"/>
    <x v="0"/>
    <x v="2"/>
    <x v="340"/>
  </r>
  <r>
    <x v="238"/>
    <x v="151"/>
    <x v="115"/>
    <x v="21"/>
    <x v="93"/>
    <x v="4"/>
    <x v="0"/>
    <x v="7"/>
    <x v="14"/>
    <x v="2"/>
    <x v="11"/>
    <x v="29"/>
    <x v="61"/>
    <x v="17"/>
    <x v="115"/>
    <x v="276"/>
    <x v="1"/>
    <x v="18"/>
    <x v="1"/>
    <x v="0"/>
    <x v="1"/>
    <x v="1"/>
    <x v="0"/>
    <x v="4"/>
    <x v="111"/>
  </r>
  <r>
    <x v="239"/>
    <x v="320"/>
    <x v="2"/>
    <x v="29"/>
    <x v="34"/>
    <x v="4"/>
    <x v="2"/>
    <x v="21"/>
    <x v="43"/>
    <x v="3"/>
    <x v="100"/>
    <x v="229"/>
    <x v="416"/>
    <x v="111"/>
    <x v="639"/>
    <x v="78"/>
    <x v="3"/>
    <x v="1"/>
    <x v="1"/>
    <x v="0"/>
    <x v="3"/>
    <x v="2"/>
    <x v="0"/>
    <x v="3"/>
    <x v="0"/>
  </r>
  <r>
    <x v="240"/>
    <x v="263"/>
    <x v="17"/>
    <x v="45"/>
    <x v="30"/>
    <x v="1"/>
    <x v="1"/>
    <x v="7"/>
    <x v="15"/>
    <x v="2"/>
    <x v="26"/>
    <x v="61"/>
    <x v="135"/>
    <x v="35"/>
    <x v="259"/>
    <x v="236"/>
    <x v="1"/>
    <x v="15"/>
    <x v="0"/>
    <x v="1"/>
    <x v="1"/>
    <x v="1"/>
    <x v="0"/>
    <x v="3"/>
    <x v="250"/>
  </r>
  <r>
    <x v="241"/>
    <x v="335"/>
    <x v="140"/>
    <x v="93"/>
    <x v="70"/>
    <x v="0"/>
    <x v="0"/>
    <x v="20"/>
    <x v="42"/>
    <x v="2"/>
    <x v="54"/>
    <x v="113"/>
    <x v="253"/>
    <x v="69"/>
    <x v="320"/>
    <x v="55"/>
    <x v="1"/>
    <x v="1"/>
    <x v="1"/>
    <x v="0"/>
    <x v="1"/>
    <x v="1"/>
    <x v="0"/>
    <x v="4"/>
    <x v="308"/>
  </r>
  <r>
    <x v="242"/>
    <x v="201"/>
    <x v="181"/>
    <x v="52"/>
    <x v="54"/>
    <x v="1"/>
    <x v="1"/>
    <x v="8"/>
    <x v="16"/>
    <x v="2"/>
    <x v="32"/>
    <x v="72"/>
    <x v="161"/>
    <x v="39"/>
    <x v="333"/>
    <x v="261"/>
    <x v="2"/>
    <x v="8"/>
    <x v="1"/>
    <x v="0"/>
    <x v="2"/>
    <x v="1"/>
    <x v="0"/>
    <x v="2"/>
    <x v="321"/>
  </r>
  <r>
    <x v="243"/>
    <x v="249"/>
    <x v="133"/>
    <x v="42"/>
    <x v="47"/>
    <x v="5"/>
    <x v="1"/>
    <x v="15"/>
    <x v="32"/>
    <x v="2"/>
    <x v="64"/>
    <x v="134"/>
    <x v="293"/>
    <x v="72"/>
    <x v="481"/>
    <x v="130"/>
    <x v="1"/>
    <x v="3"/>
    <x v="0"/>
    <x v="1"/>
    <x v="1"/>
    <x v="1"/>
    <x v="0"/>
    <x v="0"/>
    <x v="462"/>
  </r>
  <r>
    <x v="244"/>
    <x v="33"/>
    <x v="228"/>
    <x v="19"/>
    <x v="2"/>
    <x v="4"/>
    <x v="2"/>
    <x v="14"/>
    <x v="30"/>
    <x v="2"/>
    <x v="77"/>
    <x v="160"/>
    <x v="346"/>
    <x v="83"/>
    <x v="578"/>
    <x v="173"/>
    <x v="1"/>
    <x v="7"/>
    <x v="0"/>
    <x v="1"/>
    <x v="1"/>
    <x v="1"/>
    <x v="0"/>
    <x v="0"/>
    <x v="554"/>
  </r>
  <r>
    <x v="245"/>
    <x v="269"/>
    <x v="296"/>
    <x v="83"/>
    <x v="96"/>
    <x v="2"/>
    <x v="0"/>
    <x v="10"/>
    <x v="23"/>
    <x v="0"/>
    <x v="20"/>
    <x v="0"/>
    <x v="119"/>
    <x v="34"/>
    <x v="200"/>
    <x v="207"/>
    <x v="0"/>
    <x v="5"/>
    <x v="1"/>
    <x v="2"/>
    <x v="0"/>
    <x v="1"/>
    <x v="0"/>
    <x v="1"/>
    <x v="0"/>
  </r>
  <r>
    <x v="246"/>
    <x v="288"/>
    <x v="193"/>
    <x v="77"/>
    <x v="75"/>
    <x v="2"/>
    <x v="0"/>
    <x v="2"/>
    <x v="4"/>
    <x v="3"/>
    <x v="2"/>
    <x v="19"/>
    <x v="13"/>
    <x v="4"/>
    <x v="16"/>
    <x v="290"/>
    <x v="1"/>
    <x v="3"/>
    <x v="1"/>
    <x v="1"/>
    <x v="1"/>
    <x v="1"/>
    <x v="0"/>
    <x v="4"/>
    <x v="17"/>
  </r>
  <r>
    <x v="247"/>
    <x v="40"/>
    <x v="140"/>
    <x v="88"/>
    <x v="57"/>
    <x v="0"/>
    <x v="1"/>
    <x v="22"/>
    <x v="45"/>
    <x v="1"/>
    <x v="91"/>
    <x v="133"/>
    <x v="399"/>
    <x v="103"/>
    <x v="612"/>
    <x v="84"/>
    <x v="2"/>
    <x v="1"/>
    <x v="1"/>
    <x v="2"/>
    <x v="2"/>
    <x v="1"/>
    <x v="0"/>
    <x v="2"/>
    <x v="583"/>
  </r>
  <r>
    <x v="248"/>
    <x v="336"/>
    <x v="110"/>
    <x v="65"/>
    <x v="36"/>
    <x v="6"/>
    <x v="0"/>
    <x v="7"/>
    <x v="14"/>
    <x v="5"/>
    <x v="11"/>
    <x v="76"/>
    <x v="43"/>
    <x v="17"/>
    <x v="52"/>
    <x v="193"/>
    <x v="1"/>
    <x v="16"/>
    <x v="0"/>
    <x v="2"/>
    <x v="1"/>
    <x v="1"/>
    <x v="0"/>
    <x v="3"/>
    <x v="51"/>
  </r>
  <r>
    <x v="249"/>
    <x v="136"/>
    <x v="30"/>
    <x v="19"/>
    <x v="2"/>
    <x v="4"/>
    <x v="0"/>
    <x v="14"/>
    <x v="30"/>
    <x v="0"/>
    <x v="33"/>
    <x v="0"/>
    <x v="181"/>
    <x v="45"/>
    <x v="350"/>
    <x v="228"/>
    <x v="1"/>
    <x v="7"/>
    <x v="1"/>
    <x v="2"/>
    <x v="1"/>
    <x v="1"/>
    <x v="0"/>
    <x v="3"/>
    <x v="337"/>
  </r>
  <r>
    <x v="250"/>
    <x v="313"/>
    <x v="16"/>
    <x v="3"/>
    <x v="90"/>
    <x v="3"/>
    <x v="0"/>
    <x v="3"/>
    <x v="7"/>
    <x v="1"/>
    <x v="4"/>
    <x v="5"/>
    <x v="25"/>
    <x v="7"/>
    <x v="44"/>
    <x v="292"/>
    <x v="1"/>
    <x v="18"/>
    <x v="1"/>
    <x v="2"/>
    <x v="1"/>
    <x v="1"/>
    <x v="0"/>
    <x v="4"/>
    <x v="45"/>
  </r>
  <r>
    <x v="251"/>
    <x v="327"/>
    <x v="215"/>
    <x v="66"/>
    <x v="13"/>
    <x v="6"/>
    <x v="1"/>
    <x v="8"/>
    <x v="16"/>
    <x v="0"/>
    <x v="32"/>
    <x v="0"/>
    <x v="179"/>
    <x v="39"/>
    <x v="396"/>
    <x v="298"/>
    <x v="1"/>
    <x v="15"/>
    <x v="2"/>
    <x v="1"/>
    <x v="1"/>
    <x v="1"/>
    <x v="0"/>
    <x v="4"/>
    <x v="382"/>
  </r>
  <r>
    <x v="252"/>
    <x v="43"/>
    <x v="10"/>
    <x v="55"/>
    <x v="37"/>
    <x v="1"/>
    <x v="0"/>
    <x v="15"/>
    <x v="34"/>
    <x v="0"/>
    <x v="35"/>
    <x v="0"/>
    <x v="195"/>
    <x v="52"/>
    <x v="319"/>
    <x v="155"/>
    <x v="1"/>
    <x v="7"/>
    <x v="0"/>
    <x v="1"/>
    <x v="1"/>
    <x v="1"/>
    <x v="0"/>
    <x v="3"/>
    <x v="307"/>
  </r>
  <r>
    <x v="253"/>
    <x v="286"/>
    <x v="238"/>
    <x v="74"/>
    <x v="4"/>
    <x v="2"/>
    <x v="1"/>
    <x v="1"/>
    <x v="1"/>
    <x v="0"/>
    <x v="6"/>
    <x v="0"/>
    <x v="48"/>
    <x v="8"/>
    <x v="127"/>
    <x v="339"/>
    <x v="1"/>
    <x v="6"/>
    <x v="1"/>
    <x v="2"/>
    <x v="1"/>
    <x v="1"/>
    <x v="0"/>
    <x v="0"/>
    <x v="123"/>
  </r>
  <r>
    <x v="254"/>
    <x v="36"/>
    <x v="122"/>
    <x v="72"/>
    <x v="43"/>
    <x v="6"/>
    <x v="1"/>
    <x v="20"/>
    <x v="40"/>
    <x v="1"/>
    <x v="82"/>
    <x v="113"/>
    <x v="376"/>
    <x v="91"/>
    <x v="604"/>
    <x v="152"/>
    <x v="1"/>
    <x v="8"/>
    <x v="1"/>
    <x v="1"/>
    <x v="1"/>
    <x v="1"/>
    <x v="0"/>
    <x v="4"/>
    <x v="577"/>
  </r>
  <r>
    <x v="255"/>
    <x v="253"/>
    <x v="92"/>
    <x v="39"/>
    <x v="20"/>
    <x v="5"/>
    <x v="0"/>
    <x v="13"/>
    <x v="29"/>
    <x v="3"/>
    <x v="29"/>
    <x v="96"/>
    <x v="139"/>
    <x v="43"/>
    <x v="204"/>
    <x v="140"/>
    <x v="3"/>
    <x v="9"/>
    <x v="2"/>
    <x v="2"/>
    <x v="3"/>
    <x v="1"/>
    <x v="0"/>
    <x v="4"/>
    <x v="0"/>
  </r>
  <r>
    <x v="256"/>
    <x v="221"/>
    <x v="244"/>
    <x v="58"/>
    <x v="5"/>
    <x v="1"/>
    <x v="0"/>
    <x v="9"/>
    <x v="20"/>
    <x v="3"/>
    <x v="16"/>
    <x v="65"/>
    <x v="80"/>
    <x v="29"/>
    <x v="109"/>
    <x v="138"/>
    <x v="1"/>
    <x v="17"/>
    <x v="1"/>
    <x v="0"/>
    <x v="1"/>
    <x v="1"/>
    <x v="0"/>
    <x v="4"/>
    <x v="105"/>
  </r>
  <r>
    <x v="257"/>
    <x v="188"/>
    <x v="212"/>
    <x v="99"/>
    <x v="16"/>
    <x v="0"/>
    <x v="0"/>
    <x v="22"/>
    <x v="46"/>
    <x v="4"/>
    <x v="63"/>
    <x v="186"/>
    <x v="270"/>
    <x v="78"/>
    <x v="213"/>
    <x v="11"/>
    <x v="1"/>
    <x v="2"/>
    <x v="1"/>
    <x v="1"/>
    <x v="1"/>
    <x v="1"/>
    <x v="0"/>
    <x v="3"/>
    <x v="206"/>
  </r>
  <r>
    <x v="258"/>
    <x v="298"/>
    <x v="279"/>
    <x v="59"/>
    <x v="99"/>
    <x v="6"/>
    <x v="0"/>
    <x v="10"/>
    <x v="20"/>
    <x v="0"/>
    <x v="20"/>
    <x v="0"/>
    <x v="119"/>
    <x v="29"/>
    <x v="250"/>
    <x v="283"/>
    <x v="1"/>
    <x v="14"/>
    <x v="1"/>
    <x v="1"/>
    <x v="1"/>
    <x v="1"/>
    <x v="0"/>
    <x v="4"/>
    <x v="242"/>
  </r>
  <r>
    <x v="259"/>
    <x v="171"/>
    <x v="94"/>
    <x v="20"/>
    <x v="40"/>
    <x v="4"/>
    <x v="1"/>
    <x v="17"/>
    <x v="32"/>
    <x v="4"/>
    <x v="70"/>
    <x v="198"/>
    <x v="300"/>
    <x v="72"/>
    <x v="496"/>
    <x v="148"/>
    <x v="1"/>
    <x v="3"/>
    <x v="2"/>
    <x v="1"/>
    <x v="1"/>
    <x v="1"/>
    <x v="0"/>
    <x v="4"/>
    <x v="475"/>
  </r>
  <r>
    <x v="260"/>
    <x v="283"/>
    <x v="175"/>
    <x v="19"/>
    <x v="2"/>
    <x v="4"/>
    <x v="2"/>
    <x v="14"/>
    <x v="30"/>
    <x v="0"/>
    <x v="77"/>
    <x v="0"/>
    <x v="364"/>
    <x v="83"/>
    <x v="626"/>
    <x v="228"/>
    <x v="1"/>
    <x v="15"/>
    <x v="2"/>
    <x v="2"/>
    <x v="1"/>
    <x v="1"/>
    <x v="0"/>
    <x v="0"/>
    <x v="597"/>
  </r>
  <r>
    <x v="261"/>
    <x v="303"/>
    <x v="186"/>
    <x v="22"/>
    <x v="79"/>
    <x v="4"/>
    <x v="0"/>
    <x v="4"/>
    <x v="7"/>
    <x v="2"/>
    <x v="5"/>
    <x v="17"/>
    <x v="31"/>
    <x v="7"/>
    <x v="71"/>
    <x v="317"/>
    <x v="1"/>
    <x v="0"/>
    <x v="0"/>
    <x v="1"/>
    <x v="1"/>
    <x v="1"/>
    <x v="0"/>
    <x v="3"/>
    <x v="70"/>
  </r>
  <r>
    <x v="262"/>
    <x v="186"/>
    <x v="142"/>
    <x v="18"/>
    <x v="71"/>
    <x v="4"/>
    <x v="2"/>
    <x v="20"/>
    <x v="40"/>
    <x v="3"/>
    <x v="97"/>
    <x v="223"/>
    <x v="406"/>
    <x v="107"/>
    <x v="628"/>
    <x v="88"/>
    <x v="3"/>
    <x v="4"/>
    <x v="0"/>
    <x v="2"/>
    <x v="3"/>
    <x v="2"/>
    <x v="0"/>
    <x v="0"/>
    <x v="0"/>
  </r>
  <r>
    <x v="263"/>
    <x v="37"/>
    <x v="76"/>
    <x v="67"/>
    <x v="21"/>
    <x v="6"/>
    <x v="1"/>
    <x v="4"/>
    <x v="7"/>
    <x v="0"/>
    <x v="15"/>
    <x v="0"/>
    <x v="98"/>
    <x v="19"/>
    <x v="257"/>
    <x v="334"/>
    <x v="0"/>
    <x v="15"/>
    <x v="0"/>
    <x v="0"/>
    <x v="0"/>
    <x v="1"/>
    <x v="0"/>
    <x v="1"/>
    <x v="0"/>
  </r>
  <r>
    <x v="264"/>
    <x v="251"/>
    <x v="292"/>
    <x v="16"/>
    <x v="22"/>
    <x v="4"/>
    <x v="2"/>
    <x v="15"/>
    <x v="31"/>
    <x v="2"/>
    <x v="79"/>
    <x v="164"/>
    <x v="359"/>
    <x v="86"/>
    <x v="600"/>
    <x v="174"/>
    <x v="1"/>
    <x v="2"/>
    <x v="1"/>
    <x v="1"/>
    <x v="1"/>
    <x v="1"/>
    <x v="0"/>
    <x v="3"/>
    <x v="575"/>
  </r>
  <r>
    <x v="265"/>
    <x v="67"/>
    <x v="262"/>
    <x v="18"/>
    <x v="71"/>
    <x v="4"/>
    <x v="3"/>
    <x v="20"/>
    <x v="40"/>
    <x v="4"/>
    <x v="104"/>
    <x v="244"/>
    <x v="422"/>
    <x v="113"/>
    <x v="645"/>
    <x v="60"/>
    <x v="1"/>
    <x v="4"/>
    <x v="2"/>
    <x v="1"/>
    <x v="1"/>
    <x v="2"/>
    <x v="0"/>
    <x v="4"/>
    <x v="613"/>
  </r>
  <r>
    <x v="266"/>
    <x v="101"/>
    <x v="243"/>
    <x v="66"/>
    <x v="13"/>
    <x v="6"/>
    <x v="2"/>
    <x v="8"/>
    <x v="16"/>
    <x v="3"/>
    <x v="48"/>
    <x v="136"/>
    <x v="223"/>
    <x v="52"/>
    <x v="429"/>
    <x v="234"/>
    <x v="1"/>
    <x v="12"/>
    <x v="0"/>
    <x v="2"/>
    <x v="1"/>
    <x v="1"/>
    <x v="0"/>
    <x v="0"/>
    <x v="414"/>
  </r>
  <r>
    <x v="267"/>
    <x v="327"/>
    <x v="189"/>
    <x v="43"/>
    <x v="25"/>
    <x v="5"/>
    <x v="1"/>
    <x v="3"/>
    <x v="5"/>
    <x v="2"/>
    <x v="13"/>
    <x v="33"/>
    <x v="72"/>
    <x v="17"/>
    <x v="171"/>
    <x v="324"/>
    <x v="2"/>
    <x v="16"/>
    <x v="1"/>
    <x v="1"/>
    <x v="2"/>
    <x v="1"/>
    <x v="0"/>
    <x v="2"/>
    <x v="165"/>
  </r>
  <r>
    <x v="268"/>
    <x v="166"/>
    <x v="209"/>
    <x v="73"/>
    <x v="60"/>
    <x v="2"/>
    <x v="0"/>
    <x v="3"/>
    <x v="6"/>
    <x v="5"/>
    <x v="4"/>
    <x v="45"/>
    <x v="15"/>
    <x v="6"/>
    <x v="13"/>
    <x v="235"/>
    <x v="1"/>
    <x v="16"/>
    <x v="1"/>
    <x v="1"/>
    <x v="1"/>
    <x v="1"/>
    <x v="0"/>
    <x v="3"/>
    <x v="14"/>
  </r>
  <r>
    <x v="269"/>
    <x v="187"/>
    <x v="193"/>
    <x v="36"/>
    <x v="63"/>
    <x v="5"/>
    <x v="2"/>
    <x v="10"/>
    <x v="20"/>
    <x v="2"/>
    <x v="60"/>
    <x v="128"/>
    <x v="280"/>
    <x v="65"/>
    <x v="525"/>
    <x v="237"/>
    <x v="1"/>
    <x v="3"/>
    <x v="1"/>
    <x v="2"/>
    <x v="1"/>
    <x v="1"/>
    <x v="0"/>
    <x v="0"/>
    <x v="502"/>
  </r>
  <r>
    <x v="270"/>
    <x v="132"/>
    <x v="159"/>
    <x v="4"/>
    <x v="66"/>
    <x v="3"/>
    <x v="1"/>
    <x v="14"/>
    <x v="31"/>
    <x v="3"/>
    <x v="61"/>
    <x v="160"/>
    <x v="274"/>
    <x v="71"/>
    <x v="415"/>
    <x v="94"/>
    <x v="2"/>
    <x v="14"/>
    <x v="0"/>
    <x v="1"/>
    <x v="2"/>
    <x v="1"/>
    <x v="0"/>
    <x v="2"/>
    <x v="400"/>
  </r>
  <r>
    <x v="271"/>
    <x v="150"/>
    <x v="212"/>
    <x v="95"/>
    <x v="0"/>
    <x v="0"/>
    <x v="0"/>
    <x v="24"/>
    <x v="48"/>
    <x v="0"/>
    <x v="83"/>
    <x v="0"/>
    <x v="384"/>
    <x v="97"/>
    <x v="560"/>
    <x v="67"/>
    <x v="1"/>
    <x v="2"/>
    <x v="1"/>
    <x v="0"/>
    <x v="1"/>
    <x v="1"/>
    <x v="0"/>
    <x v="0"/>
    <x v="537"/>
  </r>
  <r>
    <x v="272"/>
    <x v="159"/>
    <x v="19"/>
    <x v="4"/>
    <x v="66"/>
    <x v="3"/>
    <x v="2"/>
    <x v="14"/>
    <x v="31"/>
    <x v="2"/>
    <x v="77"/>
    <x v="160"/>
    <x v="346"/>
    <x v="86"/>
    <x v="557"/>
    <x v="125"/>
    <x v="1"/>
    <x v="19"/>
    <x v="1"/>
    <x v="1"/>
    <x v="1"/>
    <x v="1"/>
    <x v="0"/>
    <x v="0"/>
    <x v="534"/>
  </r>
  <r>
    <x v="273"/>
    <x v="68"/>
    <x v="177"/>
    <x v="96"/>
    <x v="91"/>
    <x v="0"/>
    <x v="3"/>
    <x v="23"/>
    <x v="47"/>
    <x v="5"/>
    <x v="113"/>
    <x v="253"/>
    <x v="444"/>
    <x v="128"/>
    <x v="465"/>
    <x v="0"/>
    <x v="1"/>
    <x v="19"/>
    <x v="0"/>
    <x v="0"/>
    <x v="1"/>
    <x v="0"/>
    <x v="0"/>
    <x v="3"/>
    <x v="447"/>
  </r>
  <r>
    <x v="274"/>
    <x v="74"/>
    <x v="285"/>
    <x v="54"/>
    <x v="61"/>
    <x v="1"/>
    <x v="1"/>
    <x v="12"/>
    <x v="27"/>
    <x v="5"/>
    <x v="53"/>
    <x v="184"/>
    <x v="216"/>
    <x v="63"/>
    <x v="285"/>
    <x v="73"/>
    <x v="4"/>
    <x v="10"/>
    <x v="0"/>
    <x v="1"/>
    <x v="2"/>
    <x v="1"/>
    <x v="0"/>
    <x v="0"/>
    <x v="276"/>
  </r>
  <r>
    <x v="275"/>
    <x v="65"/>
    <x v="276"/>
    <x v="90"/>
    <x v="69"/>
    <x v="0"/>
    <x v="0"/>
    <x v="20"/>
    <x v="41"/>
    <x v="1"/>
    <x v="54"/>
    <x v="63"/>
    <x v="260"/>
    <x v="68"/>
    <x v="399"/>
    <x v="98"/>
    <x v="1"/>
    <x v="5"/>
    <x v="1"/>
    <x v="0"/>
    <x v="1"/>
    <x v="1"/>
    <x v="0"/>
    <x v="0"/>
    <x v="385"/>
  </r>
  <r>
    <x v="276"/>
    <x v="330"/>
    <x v="66"/>
    <x v="41"/>
    <x v="6"/>
    <x v="5"/>
    <x v="1"/>
    <x v="10"/>
    <x v="21"/>
    <x v="4"/>
    <x v="44"/>
    <x v="149"/>
    <x v="192"/>
    <x v="51"/>
    <x v="325"/>
    <x v="165"/>
    <x v="2"/>
    <x v="17"/>
    <x v="2"/>
    <x v="1"/>
    <x v="2"/>
    <x v="1"/>
    <x v="0"/>
    <x v="2"/>
    <x v="313"/>
  </r>
  <r>
    <x v="277"/>
    <x v="69"/>
    <x v="123"/>
    <x v="27"/>
    <x v="78"/>
    <x v="4"/>
    <x v="0"/>
    <x v="19"/>
    <x v="38"/>
    <x v="0"/>
    <x v="50"/>
    <x v="0"/>
    <x v="252"/>
    <x v="60"/>
    <x v="454"/>
    <x v="200"/>
    <x v="1"/>
    <x v="4"/>
    <x v="1"/>
    <x v="2"/>
    <x v="1"/>
    <x v="1"/>
    <x v="0"/>
    <x v="0"/>
    <x v="439"/>
  </r>
  <r>
    <x v="278"/>
    <x v="75"/>
    <x v="65"/>
    <x v="91"/>
    <x v="39"/>
    <x v="0"/>
    <x v="0"/>
    <x v="12"/>
    <x v="29"/>
    <x v="3"/>
    <x v="27"/>
    <x v="90"/>
    <x v="126"/>
    <x v="43"/>
    <x v="149"/>
    <x v="87"/>
    <x v="1"/>
    <x v="12"/>
    <x v="0"/>
    <x v="1"/>
    <x v="1"/>
    <x v="1"/>
    <x v="0"/>
    <x v="4"/>
    <x v="143"/>
  </r>
  <r>
    <x v="279"/>
    <x v="354"/>
    <x v="246"/>
    <x v="80"/>
    <x v="82"/>
    <x v="2"/>
    <x v="0"/>
    <x v="0"/>
    <x v="0"/>
    <x v="1"/>
    <x v="0"/>
    <x v="1"/>
    <x v="3"/>
    <x v="0"/>
    <x v="6"/>
    <x v="341"/>
    <x v="1"/>
    <x v="0"/>
    <x v="0"/>
    <x v="0"/>
    <x v="1"/>
    <x v="1"/>
    <x v="0"/>
    <x v="0"/>
    <x v="7"/>
  </r>
  <r>
    <x v="280"/>
    <x v="105"/>
    <x v="223"/>
    <x v="37"/>
    <x v="51"/>
    <x v="5"/>
    <x v="2"/>
    <x v="8"/>
    <x v="17"/>
    <x v="2"/>
    <x v="48"/>
    <x v="102"/>
    <x v="232"/>
    <x v="54"/>
    <x v="450"/>
    <x v="238"/>
    <x v="1"/>
    <x v="12"/>
    <x v="1"/>
    <x v="1"/>
    <x v="1"/>
    <x v="1"/>
    <x v="0"/>
    <x v="0"/>
    <x v="435"/>
  </r>
  <r>
    <x v="281"/>
    <x v="211"/>
    <x v="176"/>
    <x v="91"/>
    <x v="39"/>
    <x v="0"/>
    <x v="0"/>
    <x v="12"/>
    <x v="29"/>
    <x v="3"/>
    <x v="27"/>
    <x v="90"/>
    <x v="126"/>
    <x v="43"/>
    <x v="149"/>
    <x v="87"/>
    <x v="0"/>
    <x v="5"/>
    <x v="0"/>
    <x v="1"/>
    <x v="0"/>
    <x v="1"/>
    <x v="0"/>
    <x v="1"/>
    <x v="0"/>
  </r>
  <r>
    <x v="282"/>
    <x v="14"/>
    <x v="76"/>
    <x v="4"/>
    <x v="66"/>
    <x v="3"/>
    <x v="0"/>
    <x v="14"/>
    <x v="31"/>
    <x v="0"/>
    <x v="33"/>
    <x v="0"/>
    <x v="181"/>
    <x v="47"/>
    <x v="319"/>
    <x v="185"/>
    <x v="3"/>
    <x v="15"/>
    <x v="0"/>
    <x v="1"/>
    <x v="3"/>
    <x v="1"/>
    <x v="0"/>
    <x v="0"/>
    <x v="0"/>
  </r>
  <r>
    <x v="283"/>
    <x v="35"/>
    <x v="26"/>
    <x v="36"/>
    <x v="63"/>
    <x v="5"/>
    <x v="0"/>
    <x v="10"/>
    <x v="20"/>
    <x v="2"/>
    <x v="20"/>
    <x v="50"/>
    <x v="104"/>
    <x v="29"/>
    <x v="193"/>
    <x v="237"/>
    <x v="1"/>
    <x v="17"/>
    <x v="1"/>
    <x v="1"/>
    <x v="1"/>
    <x v="1"/>
    <x v="0"/>
    <x v="3"/>
    <x v="187"/>
  </r>
  <r>
    <x v="284"/>
    <x v="100"/>
    <x v="29"/>
    <x v="78"/>
    <x v="1"/>
    <x v="2"/>
    <x v="0"/>
    <x v="9"/>
    <x v="20"/>
    <x v="1"/>
    <x v="16"/>
    <x v="18"/>
    <x v="92"/>
    <x v="29"/>
    <x v="157"/>
    <x v="202"/>
    <x v="2"/>
    <x v="13"/>
    <x v="1"/>
    <x v="0"/>
    <x v="2"/>
    <x v="1"/>
    <x v="0"/>
    <x v="2"/>
    <x v="151"/>
  </r>
  <r>
    <x v="285"/>
    <x v="167"/>
    <x v="79"/>
    <x v="27"/>
    <x v="78"/>
    <x v="4"/>
    <x v="1"/>
    <x v="19"/>
    <x v="38"/>
    <x v="3"/>
    <x v="78"/>
    <x v="192"/>
    <x v="338"/>
    <x v="84"/>
    <x v="534"/>
    <x v="113"/>
    <x v="4"/>
    <x v="6"/>
    <x v="1"/>
    <x v="2"/>
    <x v="2"/>
    <x v="1"/>
    <x v="0"/>
    <x v="3"/>
    <x v="511"/>
  </r>
  <r>
    <x v="286"/>
    <x v="164"/>
    <x v="208"/>
    <x v="18"/>
    <x v="71"/>
    <x v="4"/>
    <x v="0"/>
    <x v="20"/>
    <x v="40"/>
    <x v="3"/>
    <x v="54"/>
    <x v="146"/>
    <x v="238"/>
    <x v="67"/>
    <x v="352"/>
    <x v="88"/>
    <x v="3"/>
    <x v="7"/>
    <x v="1"/>
    <x v="2"/>
    <x v="3"/>
    <x v="1"/>
    <x v="0"/>
    <x v="4"/>
    <x v="0"/>
  </r>
  <r>
    <x v="287"/>
    <x v="186"/>
    <x v="159"/>
    <x v="28"/>
    <x v="73"/>
    <x v="4"/>
    <x v="1"/>
    <x v="3"/>
    <x v="5"/>
    <x v="1"/>
    <x v="13"/>
    <x v="15"/>
    <x v="77"/>
    <x v="17"/>
    <x v="192"/>
    <x v="332"/>
    <x v="1"/>
    <x v="14"/>
    <x v="0"/>
    <x v="1"/>
    <x v="1"/>
    <x v="1"/>
    <x v="0"/>
    <x v="4"/>
    <x v="186"/>
  </r>
  <r>
    <x v="288"/>
    <x v="145"/>
    <x v="66"/>
    <x v="58"/>
    <x v="5"/>
    <x v="1"/>
    <x v="0"/>
    <x v="9"/>
    <x v="20"/>
    <x v="4"/>
    <x v="16"/>
    <x v="83"/>
    <x v="75"/>
    <x v="29"/>
    <x v="87"/>
    <x v="104"/>
    <x v="2"/>
    <x v="17"/>
    <x v="2"/>
    <x v="1"/>
    <x v="2"/>
    <x v="1"/>
    <x v="0"/>
    <x v="2"/>
    <x v="86"/>
  </r>
  <r>
    <x v="289"/>
    <x v="154"/>
    <x v="63"/>
    <x v="37"/>
    <x v="51"/>
    <x v="5"/>
    <x v="4"/>
    <x v="8"/>
    <x v="17"/>
    <x v="1"/>
    <x v="68"/>
    <x v="89"/>
    <x v="322"/>
    <x v="71"/>
    <x v="598"/>
    <x v="265"/>
    <x v="4"/>
    <x v="8"/>
    <x v="1"/>
    <x v="2"/>
    <x v="2"/>
    <x v="1"/>
    <x v="0"/>
    <x v="0"/>
    <x v="573"/>
  </r>
  <r>
    <x v="290"/>
    <x v="16"/>
    <x v="197"/>
    <x v="1"/>
    <x v="9"/>
    <x v="3"/>
    <x v="3"/>
    <x v="17"/>
    <x v="36"/>
    <x v="1"/>
    <x v="96"/>
    <x v="145"/>
    <x v="413"/>
    <x v="108"/>
    <x v="658"/>
    <x v="131"/>
    <x v="3"/>
    <x v="19"/>
    <x v="0"/>
    <x v="1"/>
    <x v="3"/>
    <x v="2"/>
    <x v="0"/>
    <x v="0"/>
    <x v="0"/>
  </r>
  <r>
    <x v="291"/>
    <x v="146"/>
    <x v="141"/>
    <x v="33"/>
    <x v="87"/>
    <x v="5"/>
    <x v="3"/>
    <x v="11"/>
    <x v="23"/>
    <x v="5"/>
    <x v="76"/>
    <x v="221"/>
    <x v="315"/>
    <x v="80"/>
    <x v="500"/>
    <x v="111"/>
    <x v="1"/>
    <x v="8"/>
    <x v="1"/>
    <x v="1"/>
    <x v="1"/>
    <x v="1"/>
    <x v="0"/>
    <x v="0"/>
    <x v="479"/>
  </r>
  <r>
    <x v="292"/>
    <x v="294"/>
    <x v="292"/>
    <x v="1"/>
    <x v="9"/>
    <x v="3"/>
    <x v="0"/>
    <x v="17"/>
    <x v="36"/>
    <x v="0"/>
    <x v="42"/>
    <x v="0"/>
    <x v="217"/>
    <x v="57"/>
    <x v="370"/>
    <x v="161"/>
    <x v="4"/>
    <x v="2"/>
    <x v="1"/>
    <x v="2"/>
    <x v="2"/>
    <x v="1"/>
    <x v="0"/>
    <x v="4"/>
    <x v="356"/>
  </r>
  <r>
    <x v="293"/>
    <x v="254"/>
    <x v="291"/>
    <x v="33"/>
    <x v="87"/>
    <x v="5"/>
    <x v="1"/>
    <x v="11"/>
    <x v="23"/>
    <x v="3"/>
    <x v="49"/>
    <x v="137"/>
    <x v="224"/>
    <x v="56"/>
    <x v="394"/>
    <x v="181"/>
    <x v="1"/>
    <x v="9"/>
    <x v="1"/>
    <x v="1"/>
    <x v="1"/>
    <x v="1"/>
    <x v="0"/>
    <x v="0"/>
    <x v="380"/>
  </r>
  <r>
    <x v="294"/>
    <x v="102"/>
    <x v="165"/>
    <x v="76"/>
    <x v="64"/>
    <x v="2"/>
    <x v="1"/>
    <x v="4"/>
    <x v="8"/>
    <x v="4"/>
    <x v="15"/>
    <x v="82"/>
    <x v="74"/>
    <x v="21"/>
    <x v="146"/>
    <x v="259"/>
    <x v="1"/>
    <x v="10"/>
    <x v="1"/>
    <x v="0"/>
    <x v="1"/>
    <x v="1"/>
    <x v="0"/>
    <x v="3"/>
    <x v="140"/>
  </r>
  <r>
    <x v="295"/>
    <x v="121"/>
    <x v="122"/>
    <x v="61"/>
    <x v="76"/>
    <x v="6"/>
    <x v="0"/>
    <x v="2"/>
    <x v="3"/>
    <x v="0"/>
    <x v="2"/>
    <x v="0"/>
    <x v="18"/>
    <x v="3"/>
    <x v="47"/>
    <x v="340"/>
    <x v="1"/>
    <x v="8"/>
    <x v="1"/>
    <x v="0"/>
    <x v="1"/>
    <x v="1"/>
    <x v="0"/>
    <x v="0"/>
    <x v="47"/>
  </r>
  <r>
    <x v="296"/>
    <x v="141"/>
    <x v="72"/>
    <x v="42"/>
    <x v="47"/>
    <x v="5"/>
    <x v="0"/>
    <x v="15"/>
    <x v="32"/>
    <x v="0"/>
    <x v="35"/>
    <x v="0"/>
    <x v="195"/>
    <x v="50"/>
    <x v="350"/>
    <x v="187"/>
    <x v="1"/>
    <x v="11"/>
    <x v="1"/>
    <x v="2"/>
    <x v="1"/>
    <x v="1"/>
    <x v="0"/>
    <x v="4"/>
    <x v="337"/>
  </r>
  <r>
    <x v="297"/>
    <x v="196"/>
    <x v="259"/>
    <x v="99"/>
    <x v="16"/>
    <x v="0"/>
    <x v="0"/>
    <x v="22"/>
    <x v="46"/>
    <x v="2"/>
    <x v="63"/>
    <x v="133"/>
    <x v="289"/>
    <x v="78"/>
    <x v="371"/>
    <x v="46"/>
    <x v="4"/>
    <x v="14"/>
    <x v="1"/>
    <x v="1"/>
    <x v="2"/>
    <x v="1"/>
    <x v="0"/>
    <x v="3"/>
    <x v="357"/>
  </r>
  <r>
    <x v="298"/>
    <x v="101"/>
    <x v="37"/>
    <x v="15"/>
    <x v="14"/>
    <x v="4"/>
    <x v="1"/>
    <x v="7"/>
    <x v="15"/>
    <x v="4"/>
    <x v="26"/>
    <x v="110"/>
    <x v="118"/>
    <x v="35"/>
    <x v="187"/>
    <x v="178"/>
    <x v="1"/>
    <x v="15"/>
    <x v="1"/>
    <x v="1"/>
    <x v="1"/>
    <x v="1"/>
    <x v="0"/>
    <x v="3"/>
    <x v="181"/>
  </r>
  <r>
    <x v="299"/>
    <x v="254"/>
    <x v="237"/>
    <x v="93"/>
    <x v="70"/>
    <x v="0"/>
    <x v="0"/>
    <x v="20"/>
    <x v="42"/>
    <x v="0"/>
    <x v="54"/>
    <x v="0"/>
    <x v="269"/>
    <x v="69"/>
    <x v="419"/>
    <x v="110"/>
    <x v="1"/>
    <x v="19"/>
    <x v="1"/>
    <x v="2"/>
    <x v="1"/>
    <x v="1"/>
    <x v="0"/>
    <x v="0"/>
    <x v="404"/>
  </r>
  <r>
    <x v="300"/>
    <x v="176"/>
    <x v="257"/>
    <x v="25"/>
    <x v="84"/>
    <x v="4"/>
    <x v="0"/>
    <x v="10"/>
    <x v="18"/>
    <x v="3"/>
    <x v="20"/>
    <x v="73"/>
    <x v="97"/>
    <x v="24"/>
    <x v="202"/>
    <x v="278"/>
    <x v="1"/>
    <x v="19"/>
    <x v="1"/>
    <x v="1"/>
    <x v="1"/>
    <x v="1"/>
    <x v="0"/>
    <x v="0"/>
    <x v="195"/>
  </r>
  <r>
    <x v="301"/>
    <x v="71"/>
    <x v="60"/>
    <x v="42"/>
    <x v="47"/>
    <x v="5"/>
    <x v="0"/>
    <x v="15"/>
    <x v="32"/>
    <x v="0"/>
    <x v="35"/>
    <x v="0"/>
    <x v="195"/>
    <x v="50"/>
    <x v="350"/>
    <x v="187"/>
    <x v="1"/>
    <x v="6"/>
    <x v="0"/>
    <x v="0"/>
    <x v="1"/>
    <x v="1"/>
    <x v="0"/>
    <x v="0"/>
    <x v="337"/>
  </r>
  <r>
    <x v="302"/>
    <x v="16"/>
    <x v="151"/>
    <x v="37"/>
    <x v="51"/>
    <x v="5"/>
    <x v="0"/>
    <x v="8"/>
    <x v="17"/>
    <x v="3"/>
    <x v="14"/>
    <x v="55"/>
    <x v="70"/>
    <x v="21"/>
    <x v="116"/>
    <x v="215"/>
    <x v="3"/>
    <x v="9"/>
    <x v="1"/>
    <x v="1"/>
    <x v="3"/>
    <x v="1"/>
    <x v="0"/>
    <x v="0"/>
    <x v="0"/>
  </r>
  <r>
    <x v="303"/>
    <x v="118"/>
    <x v="207"/>
    <x v="88"/>
    <x v="57"/>
    <x v="0"/>
    <x v="0"/>
    <x v="22"/>
    <x v="45"/>
    <x v="3"/>
    <x v="63"/>
    <x v="163"/>
    <x v="278"/>
    <x v="76"/>
    <x v="332"/>
    <x v="37"/>
    <x v="0"/>
    <x v="13"/>
    <x v="1"/>
    <x v="1"/>
    <x v="0"/>
    <x v="1"/>
    <x v="0"/>
    <x v="1"/>
    <x v="0"/>
  </r>
  <r>
    <x v="304"/>
    <x v="109"/>
    <x v="77"/>
    <x v="66"/>
    <x v="13"/>
    <x v="6"/>
    <x v="0"/>
    <x v="8"/>
    <x v="16"/>
    <x v="1"/>
    <x v="14"/>
    <x v="16"/>
    <x v="78"/>
    <x v="20"/>
    <x v="162"/>
    <x v="281"/>
    <x v="1"/>
    <x v="5"/>
    <x v="1"/>
    <x v="0"/>
    <x v="1"/>
    <x v="1"/>
    <x v="0"/>
    <x v="0"/>
    <x v="156"/>
  </r>
  <r>
    <x v="305"/>
    <x v="189"/>
    <x v="35"/>
    <x v="86"/>
    <x v="11"/>
    <x v="2"/>
    <x v="0"/>
    <x v="6"/>
    <x v="14"/>
    <x v="2"/>
    <x v="9"/>
    <x v="25"/>
    <x v="53"/>
    <x v="17"/>
    <x v="79"/>
    <x v="231"/>
    <x v="4"/>
    <x v="3"/>
    <x v="0"/>
    <x v="1"/>
    <x v="2"/>
    <x v="1"/>
    <x v="0"/>
    <x v="3"/>
    <x v="78"/>
  </r>
  <r>
    <x v="306"/>
    <x v="316"/>
    <x v="156"/>
    <x v="76"/>
    <x v="64"/>
    <x v="2"/>
    <x v="2"/>
    <x v="4"/>
    <x v="8"/>
    <x v="2"/>
    <x v="28"/>
    <x v="64"/>
    <x v="140"/>
    <x v="32"/>
    <x v="322"/>
    <x v="300"/>
    <x v="1"/>
    <x v="5"/>
    <x v="0"/>
    <x v="0"/>
    <x v="1"/>
    <x v="1"/>
    <x v="0"/>
    <x v="0"/>
    <x v="310"/>
  </r>
  <r>
    <x v="307"/>
    <x v="187"/>
    <x v="130"/>
    <x v="54"/>
    <x v="61"/>
    <x v="1"/>
    <x v="2"/>
    <x v="12"/>
    <x v="27"/>
    <x v="3"/>
    <x v="69"/>
    <x v="175"/>
    <x v="308"/>
    <x v="75"/>
    <x v="509"/>
    <x v="139"/>
    <x v="1"/>
    <x v="11"/>
    <x v="1"/>
    <x v="1"/>
    <x v="1"/>
    <x v="1"/>
    <x v="0"/>
    <x v="3"/>
    <x v="487"/>
  </r>
  <r>
    <x v="308"/>
    <x v="214"/>
    <x v="183"/>
    <x v="12"/>
    <x v="56"/>
    <x v="3"/>
    <x v="4"/>
    <x v="9"/>
    <x v="22"/>
    <x v="2"/>
    <x v="74"/>
    <x v="154"/>
    <x v="341"/>
    <x v="87"/>
    <x v="530"/>
    <x v="95"/>
    <x v="1"/>
    <x v="12"/>
    <x v="0"/>
    <x v="0"/>
    <x v="1"/>
    <x v="1"/>
    <x v="0"/>
    <x v="0"/>
    <x v="507"/>
  </r>
  <r>
    <x v="309"/>
    <x v="103"/>
    <x v="261"/>
    <x v="11"/>
    <x v="15"/>
    <x v="3"/>
    <x v="0"/>
    <x v="8"/>
    <x v="17"/>
    <x v="4"/>
    <x v="14"/>
    <x v="72"/>
    <x v="66"/>
    <x v="21"/>
    <x v="94"/>
    <x v="184"/>
    <x v="1"/>
    <x v="8"/>
    <x v="2"/>
    <x v="0"/>
    <x v="1"/>
    <x v="1"/>
    <x v="0"/>
    <x v="0"/>
    <x v="92"/>
  </r>
  <r>
    <x v="310"/>
    <x v="145"/>
    <x v="227"/>
    <x v="55"/>
    <x v="37"/>
    <x v="1"/>
    <x v="1"/>
    <x v="15"/>
    <x v="34"/>
    <x v="4"/>
    <x v="64"/>
    <x v="187"/>
    <x v="276"/>
    <x v="75"/>
    <x v="334"/>
    <x v="42"/>
    <x v="1"/>
    <x v="13"/>
    <x v="0"/>
    <x v="2"/>
    <x v="1"/>
    <x v="1"/>
    <x v="0"/>
    <x v="3"/>
    <x v="322"/>
  </r>
  <r>
    <x v="311"/>
    <x v="181"/>
    <x v="282"/>
    <x v="43"/>
    <x v="25"/>
    <x v="5"/>
    <x v="3"/>
    <x v="3"/>
    <x v="5"/>
    <x v="1"/>
    <x v="30"/>
    <x v="33"/>
    <x v="169"/>
    <x v="33"/>
    <x v="413"/>
    <x v="332"/>
    <x v="1"/>
    <x v="4"/>
    <x v="0"/>
    <x v="1"/>
    <x v="1"/>
    <x v="1"/>
    <x v="0"/>
    <x v="4"/>
    <x v="398"/>
  </r>
  <r>
    <x v="312"/>
    <x v="112"/>
    <x v="106"/>
    <x v="41"/>
    <x v="6"/>
    <x v="5"/>
    <x v="3"/>
    <x v="10"/>
    <x v="21"/>
    <x v="3"/>
    <x v="71"/>
    <x v="180"/>
    <x v="318"/>
    <x v="73"/>
    <x v="556"/>
    <x v="198"/>
    <x v="1"/>
    <x v="10"/>
    <x v="1"/>
    <x v="1"/>
    <x v="1"/>
    <x v="1"/>
    <x v="0"/>
    <x v="0"/>
    <x v="533"/>
  </r>
  <r>
    <x v="313"/>
    <x v="319"/>
    <x v="271"/>
    <x v="58"/>
    <x v="5"/>
    <x v="1"/>
    <x v="0"/>
    <x v="9"/>
    <x v="20"/>
    <x v="0"/>
    <x v="16"/>
    <x v="0"/>
    <x v="99"/>
    <x v="29"/>
    <x v="178"/>
    <x v="224"/>
    <x v="1"/>
    <x v="9"/>
    <x v="0"/>
    <x v="1"/>
    <x v="1"/>
    <x v="1"/>
    <x v="0"/>
    <x v="0"/>
    <x v="172"/>
  </r>
  <r>
    <x v="314"/>
    <x v="67"/>
    <x v="242"/>
    <x v="20"/>
    <x v="40"/>
    <x v="4"/>
    <x v="0"/>
    <x v="17"/>
    <x v="32"/>
    <x v="2"/>
    <x v="42"/>
    <x v="91"/>
    <x v="202"/>
    <x v="50"/>
    <x v="371"/>
    <x v="212"/>
    <x v="4"/>
    <x v="4"/>
    <x v="0"/>
    <x v="1"/>
    <x v="2"/>
    <x v="1"/>
    <x v="0"/>
    <x v="0"/>
    <x v="357"/>
  </r>
  <r>
    <x v="315"/>
    <x v="41"/>
    <x v="167"/>
    <x v="87"/>
    <x v="26"/>
    <x v="0"/>
    <x v="2"/>
    <x v="15"/>
    <x v="34"/>
    <x v="2"/>
    <x v="79"/>
    <x v="164"/>
    <x v="359"/>
    <x v="92"/>
    <x v="551"/>
    <x v="91"/>
    <x v="4"/>
    <x v="13"/>
    <x v="1"/>
    <x v="1"/>
    <x v="2"/>
    <x v="1"/>
    <x v="0"/>
    <x v="4"/>
    <x v="528"/>
  </r>
  <r>
    <x v="316"/>
    <x v="296"/>
    <x v="147"/>
    <x v="25"/>
    <x v="84"/>
    <x v="4"/>
    <x v="0"/>
    <x v="10"/>
    <x v="18"/>
    <x v="1"/>
    <x v="20"/>
    <x v="22"/>
    <x v="111"/>
    <x v="24"/>
    <x v="260"/>
    <x v="311"/>
    <x v="3"/>
    <x v="13"/>
    <x v="1"/>
    <x v="1"/>
    <x v="3"/>
    <x v="1"/>
    <x v="0"/>
    <x v="0"/>
    <x v="0"/>
  </r>
  <r>
    <x v="317"/>
    <x v="185"/>
    <x v="12"/>
    <x v="83"/>
    <x v="96"/>
    <x v="2"/>
    <x v="1"/>
    <x v="10"/>
    <x v="23"/>
    <x v="2"/>
    <x v="44"/>
    <x v="94"/>
    <x v="212"/>
    <x v="56"/>
    <x v="346"/>
    <x v="146"/>
    <x v="1"/>
    <x v="11"/>
    <x v="1"/>
    <x v="0"/>
    <x v="1"/>
    <x v="1"/>
    <x v="0"/>
    <x v="3"/>
    <x v="333"/>
  </r>
  <r>
    <x v="318"/>
    <x v="83"/>
    <x v="138"/>
    <x v="81"/>
    <x v="31"/>
    <x v="2"/>
    <x v="1"/>
    <x v="2"/>
    <x v="4"/>
    <x v="2"/>
    <x v="10"/>
    <x v="28"/>
    <x v="58"/>
    <x v="14"/>
    <x v="128"/>
    <x v="305"/>
    <x v="0"/>
    <x v="6"/>
    <x v="1"/>
    <x v="0"/>
    <x v="0"/>
    <x v="1"/>
    <x v="0"/>
    <x v="1"/>
    <x v="0"/>
  </r>
  <r>
    <x v="319"/>
    <x v="17"/>
    <x v="208"/>
    <x v="80"/>
    <x v="82"/>
    <x v="2"/>
    <x v="2"/>
    <x v="0"/>
    <x v="0"/>
    <x v="3"/>
    <x v="8"/>
    <x v="39"/>
    <x v="46"/>
    <x v="9"/>
    <x v="110"/>
    <x v="331"/>
    <x v="2"/>
    <x v="7"/>
    <x v="1"/>
    <x v="0"/>
    <x v="2"/>
    <x v="1"/>
    <x v="0"/>
    <x v="2"/>
    <x v="106"/>
  </r>
  <r>
    <x v="320"/>
    <x v="129"/>
    <x v="222"/>
    <x v="21"/>
    <x v="93"/>
    <x v="4"/>
    <x v="0"/>
    <x v="7"/>
    <x v="14"/>
    <x v="1"/>
    <x v="11"/>
    <x v="12"/>
    <x v="64"/>
    <x v="17"/>
    <x v="132"/>
    <x v="295"/>
    <x v="1"/>
    <x v="4"/>
    <x v="1"/>
    <x v="2"/>
    <x v="1"/>
    <x v="1"/>
    <x v="0"/>
    <x v="3"/>
    <x v="127"/>
  </r>
  <r>
    <x v="321"/>
    <x v="108"/>
    <x v="235"/>
    <x v="98"/>
    <x v="72"/>
    <x v="0"/>
    <x v="0"/>
    <x v="15"/>
    <x v="34"/>
    <x v="2"/>
    <x v="35"/>
    <x v="78"/>
    <x v="174"/>
    <x v="52"/>
    <x v="227"/>
    <x v="91"/>
    <x v="1"/>
    <x v="15"/>
    <x v="1"/>
    <x v="2"/>
    <x v="1"/>
    <x v="1"/>
    <x v="0"/>
    <x v="4"/>
    <x v="219"/>
  </r>
  <r>
    <x v="322"/>
    <x v="324"/>
    <x v="97"/>
    <x v="54"/>
    <x v="61"/>
    <x v="1"/>
    <x v="0"/>
    <x v="12"/>
    <x v="27"/>
    <x v="4"/>
    <x v="27"/>
    <x v="112"/>
    <x v="120"/>
    <x v="39"/>
    <x v="150"/>
    <x v="105"/>
    <x v="1"/>
    <x v="5"/>
    <x v="2"/>
    <x v="0"/>
    <x v="1"/>
    <x v="1"/>
    <x v="0"/>
    <x v="4"/>
    <x v="144"/>
  </r>
  <r>
    <x v="323"/>
    <x v="4"/>
    <x v="39"/>
    <x v="11"/>
    <x v="15"/>
    <x v="3"/>
    <x v="0"/>
    <x v="8"/>
    <x v="17"/>
    <x v="1"/>
    <x v="14"/>
    <x v="16"/>
    <x v="78"/>
    <x v="21"/>
    <x v="154"/>
    <x v="265"/>
    <x v="1"/>
    <x v="19"/>
    <x v="1"/>
    <x v="2"/>
    <x v="1"/>
    <x v="1"/>
    <x v="0"/>
    <x v="0"/>
    <x v="148"/>
  </r>
  <r>
    <x v="324"/>
    <x v="354"/>
    <x v="71"/>
    <x v="29"/>
    <x v="34"/>
    <x v="4"/>
    <x v="1"/>
    <x v="21"/>
    <x v="43"/>
    <x v="5"/>
    <x v="88"/>
    <x v="233"/>
    <x v="356"/>
    <x v="96"/>
    <x v="453"/>
    <x v="24"/>
    <x v="1"/>
    <x v="16"/>
    <x v="1"/>
    <x v="1"/>
    <x v="1"/>
    <x v="1"/>
    <x v="0"/>
    <x v="4"/>
    <x v="438"/>
  </r>
  <r>
    <x v="325"/>
    <x v="99"/>
    <x v="190"/>
    <x v="71"/>
    <x v="88"/>
    <x v="6"/>
    <x v="2"/>
    <x v="5"/>
    <x v="10"/>
    <x v="1"/>
    <x v="31"/>
    <x v="34"/>
    <x v="170"/>
    <x v="37"/>
    <x v="374"/>
    <x v="293"/>
    <x v="1"/>
    <x v="11"/>
    <x v="0"/>
    <x v="0"/>
    <x v="1"/>
    <x v="1"/>
    <x v="0"/>
    <x v="4"/>
    <x v="360"/>
  </r>
  <r>
    <x v="326"/>
    <x v="150"/>
    <x v="73"/>
    <x v="75"/>
    <x v="23"/>
    <x v="2"/>
    <x v="0"/>
    <x v="5"/>
    <x v="11"/>
    <x v="0"/>
    <x v="7"/>
    <x v="0"/>
    <x v="50"/>
    <x v="13"/>
    <x v="97"/>
    <x v="289"/>
    <x v="1"/>
    <x v="9"/>
    <x v="0"/>
    <x v="0"/>
    <x v="1"/>
    <x v="1"/>
    <x v="0"/>
    <x v="4"/>
    <x v="95"/>
  </r>
  <r>
    <x v="327"/>
    <x v="213"/>
    <x v="139"/>
    <x v="48"/>
    <x v="28"/>
    <x v="1"/>
    <x v="0"/>
    <x v="3"/>
    <x v="7"/>
    <x v="2"/>
    <x v="4"/>
    <x v="15"/>
    <x v="23"/>
    <x v="7"/>
    <x v="32"/>
    <x v="273"/>
    <x v="1"/>
    <x v="14"/>
    <x v="2"/>
    <x v="2"/>
    <x v="1"/>
    <x v="1"/>
    <x v="0"/>
    <x v="4"/>
    <x v="33"/>
  </r>
  <r>
    <x v="328"/>
    <x v="130"/>
    <x v="221"/>
    <x v="55"/>
    <x v="37"/>
    <x v="1"/>
    <x v="1"/>
    <x v="15"/>
    <x v="34"/>
    <x v="2"/>
    <x v="64"/>
    <x v="134"/>
    <x v="293"/>
    <x v="75"/>
    <x v="452"/>
    <x v="91"/>
    <x v="1"/>
    <x v="8"/>
    <x v="1"/>
    <x v="2"/>
    <x v="1"/>
    <x v="1"/>
    <x v="0"/>
    <x v="0"/>
    <x v="437"/>
  </r>
  <r>
    <x v="329"/>
    <x v="235"/>
    <x v="88"/>
    <x v="29"/>
    <x v="34"/>
    <x v="4"/>
    <x v="2"/>
    <x v="21"/>
    <x v="43"/>
    <x v="1"/>
    <x v="100"/>
    <x v="153"/>
    <x v="424"/>
    <x v="111"/>
    <x v="662"/>
    <x v="132"/>
    <x v="1"/>
    <x v="13"/>
    <x v="0"/>
    <x v="1"/>
    <x v="1"/>
    <x v="2"/>
    <x v="0"/>
    <x v="3"/>
    <x v="626"/>
  </r>
  <r>
    <x v="330"/>
    <x v="204"/>
    <x v="216"/>
    <x v="53"/>
    <x v="29"/>
    <x v="1"/>
    <x v="2"/>
    <x v="3"/>
    <x v="6"/>
    <x v="0"/>
    <x v="21"/>
    <x v="0"/>
    <x v="133"/>
    <x v="27"/>
    <x v="326"/>
    <x v="326"/>
    <x v="4"/>
    <x v="5"/>
    <x v="0"/>
    <x v="0"/>
    <x v="2"/>
    <x v="1"/>
    <x v="0"/>
    <x v="0"/>
    <x v="314"/>
  </r>
  <r>
    <x v="331"/>
    <x v="39"/>
    <x v="287"/>
    <x v="9"/>
    <x v="95"/>
    <x v="3"/>
    <x v="2"/>
    <x v="19"/>
    <x v="39"/>
    <x v="0"/>
    <x v="93"/>
    <x v="0"/>
    <x v="410"/>
    <x v="104"/>
    <x v="657"/>
    <x v="149"/>
    <x v="1"/>
    <x v="13"/>
    <x v="1"/>
    <x v="1"/>
    <x v="1"/>
    <x v="2"/>
    <x v="0"/>
    <x v="4"/>
    <x v="623"/>
  </r>
  <r>
    <x v="332"/>
    <x v="89"/>
    <x v="95"/>
    <x v="57"/>
    <x v="58"/>
    <x v="1"/>
    <x v="1"/>
    <x v="5"/>
    <x v="11"/>
    <x v="0"/>
    <x v="19"/>
    <x v="0"/>
    <x v="117"/>
    <x v="28"/>
    <x v="257"/>
    <x v="289"/>
    <x v="1"/>
    <x v="18"/>
    <x v="1"/>
    <x v="1"/>
    <x v="1"/>
    <x v="1"/>
    <x v="0"/>
    <x v="4"/>
    <x v="248"/>
  </r>
  <r>
    <x v="333"/>
    <x v="240"/>
    <x v="181"/>
    <x v="71"/>
    <x v="88"/>
    <x v="6"/>
    <x v="0"/>
    <x v="5"/>
    <x v="10"/>
    <x v="1"/>
    <x v="7"/>
    <x v="8"/>
    <x v="45"/>
    <x v="12"/>
    <x v="93"/>
    <x v="293"/>
    <x v="4"/>
    <x v="8"/>
    <x v="1"/>
    <x v="2"/>
    <x v="2"/>
    <x v="1"/>
    <x v="0"/>
    <x v="4"/>
    <x v="91"/>
  </r>
  <r>
    <x v="334"/>
    <x v="337"/>
    <x v="58"/>
    <x v="9"/>
    <x v="95"/>
    <x v="3"/>
    <x v="0"/>
    <x v="19"/>
    <x v="39"/>
    <x v="5"/>
    <x v="50"/>
    <x v="177"/>
    <x v="203"/>
    <x v="65"/>
    <x v="151"/>
    <x v="16"/>
    <x v="1"/>
    <x v="5"/>
    <x v="1"/>
    <x v="1"/>
    <x v="1"/>
    <x v="1"/>
    <x v="0"/>
    <x v="0"/>
    <x v="145"/>
  </r>
  <r>
    <x v="335"/>
    <x v="125"/>
    <x v="287"/>
    <x v="79"/>
    <x v="12"/>
    <x v="2"/>
    <x v="0"/>
    <x v="8"/>
    <x v="18"/>
    <x v="1"/>
    <x v="14"/>
    <x v="16"/>
    <x v="78"/>
    <x v="24"/>
    <x v="131"/>
    <x v="201"/>
    <x v="1"/>
    <x v="13"/>
    <x v="1"/>
    <x v="0"/>
    <x v="1"/>
    <x v="1"/>
    <x v="0"/>
    <x v="3"/>
    <x v="126"/>
  </r>
  <r>
    <x v="336"/>
    <x v="226"/>
    <x v="241"/>
    <x v="16"/>
    <x v="22"/>
    <x v="4"/>
    <x v="2"/>
    <x v="15"/>
    <x v="31"/>
    <x v="2"/>
    <x v="79"/>
    <x v="164"/>
    <x v="359"/>
    <x v="86"/>
    <x v="600"/>
    <x v="174"/>
    <x v="1"/>
    <x v="8"/>
    <x v="0"/>
    <x v="1"/>
    <x v="1"/>
    <x v="1"/>
    <x v="0"/>
    <x v="0"/>
    <x v="575"/>
  </r>
  <r>
    <x v="337"/>
    <x v="212"/>
    <x v="73"/>
    <x v="13"/>
    <x v="41"/>
    <x v="3"/>
    <x v="1"/>
    <x v="6"/>
    <x v="12"/>
    <x v="3"/>
    <x v="22"/>
    <x v="80"/>
    <x v="113"/>
    <x v="30"/>
    <x v="219"/>
    <x v="250"/>
    <x v="1"/>
    <x v="9"/>
    <x v="0"/>
    <x v="2"/>
    <x v="1"/>
    <x v="1"/>
    <x v="0"/>
    <x v="4"/>
    <x v="211"/>
  </r>
  <r>
    <x v="338"/>
    <x v="128"/>
    <x v="278"/>
    <x v="44"/>
    <x v="53"/>
    <x v="5"/>
    <x v="2"/>
    <x v="6"/>
    <x v="12"/>
    <x v="1"/>
    <x v="36"/>
    <x v="40"/>
    <x v="194"/>
    <x v="42"/>
    <x v="416"/>
    <x v="294"/>
    <x v="1"/>
    <x v="6"/>
    <x v="2"/>
    <x v="2"/>
    <x v="1"/>
    <x v="1"/>
    <x v="0"/>
    <x v="4"/>
    <x v="401"/>
  </r>
  <r>
    <x v="339"/>
    <x v="120"/>
    <x v="179"/>
    <x v="94"/>
    <x v="86"/>
    <x v="0"/>
    <x v="0"/>
    <x v="18"/>
    <x v="38"/>
    <x v="2"/>
    <x v="45"/>
    <x v="95"/>
    <x v="214"/>
    <x v="60"/>
    <x v="279"/>
    <x v="81"/>
    <x v="1"/>
    <x v="14"/>
    <x v="0"/>
    <x v="1"/>
    <x v="1"/>
    <x v="1"/>
    <x v="0"/>
    <x v="3"/>
    <x v="270"/>
  </r>
  <r>
    <x v="340"/>
    <x v="68"/>
    <x v="264"/>
    <x v="2"/>
    <x v="77"/>
    <x v="3"/>
    <x v="0"/>
    <x v="22"/>
    <x v="44"/>
    <x v="3"/>
    <x v="63"/>
    <x v="163"/>
    <x v="278"/>
    <x v="74"/>
    <x v="383"/>
    <x v="64"/>
    <x v="1"/>
    <x v="17"/>
    <x v="1"/>
    <x v="1"/>
    <x v="1"/>
    <x v="1"/>
    <x v="0"/>
    <x v="3"/>
    <x v="369"/>
  </r>
  <r>
    <x v="341"/>
    <x v="157"/>
    <x v="78"/>
    <x v="92"/>
    <x v="45"/>
    <x v="0"/>
    <x v="1"/>
    <x v="21"/>
    <x v="44"/>
    <x v="1"/>
    <x v="88"/>
    <x v="125"/>
    <x v="392"/>
    <x v="101"/>
    <x v="584"/>
    <x v="79"/>
    <x v="1"/>
    <x v="19"/>
    <x v="0"/>
    <x v="0"/>
    <x v="1"/>
    <x v="1"/>
    <x v="0"/>
    <x v="3"/>
    <x v="560"/>
  </r>
  <r>
    <x v="342"/>
    <x v="72"/>
    <x v="166"/>
    <x v="55"/>
    <x v="37"/>
    <x v="1"/>
    <x v="0"/>
    <x v="15"/>
    <x v="34"/>
    <x v="2"/>
    <x v="35"/>
    <x v="78"/>
    <x v="174"/>
    <x v="52"/>
    <x v="227"/>
    <x v="91"/>
    <x v="1"/>
    <x v="0"/>
    <x v="1"/>
    <x v="2"/>
    <x v="1"/>
    <x v="1"/>
    <x v="0"/>
    <x v="3"/>
    <x v="219"/>
  </r>
  <r>
    <x v="343"/>
    <x v="61"/>
    <x v="155"/>
    <x v="92"/>
    <x v="45"/>
    <x v="0"/>
    <x v="0"/>
    <x v="21"/>
    <x v="44"/>
    <x v="2"/>
    <x v="58"/>
    <x v="125"/>
    <x v="275"/>
    <x v="74"/>
    <x v="357"/>
    <x v="53"/>
    <x v="0"/>
    <x v="15"/>
    <x v="1"/>
    <x v="0"/>
    <x v="0"/>
    <x v="1"/>
    <x v="0"/>
    <x v="1"/>
    <x v="0"/>
  </r>
  <r>
    <x v="344"/>
    <x v="85"/>
    <x v="32"/>
    <x v="81"/>
    <x v="31"/>
    <x v="2"/>
    <x v="1"/>
    <x v="2"/>
    <x v="4"/>
    <x v="1"/>
    <x v="10"/>
    <x v="11"/>
    <x v="63"/>
    <x v="14"/>
    <x v="142"/>
    <x v="318"/>
    <x v="4"/>
    <x v="11"/>
    <x v="2"/>
    <x v="1"/>
    <x v="2"/>
    <x v="1"/>
    <x v="0"/>
    <x v="0"/>
    <x v="136"/>
  </r>
  <r>
    <x v="345"/>
    <x v="168"/>
    <x v="109"/>
    <x v="39"/>
    <x v="20"/>
    <x v="5"/>
    <x v="4"/>
    <x v="13"/>
    <x v="29"/>
    <x v="3"/>
    <x v="94"/>
    <x v="219"/>
    <x v="398"/>
    <x v="98"/>
    <x v="635"/>
    <x v="140"/>
    <x v="1"/>
    <x v="7"/>
    <x v="1"/>
    <x v="1"/>
    <x v="1"/>
    <x v="1"/>
    <x v="0"/>
    <x v="3"/>
    <x v="605"/>
  </r>
  <r>
    <x v="346"/>
    <x v="282"/>
    <x v="52"/>
    <x v="38"/>
    <x v="92"/>
    <x v="5"/>
    <x v="0"/>
    <x v="9"/>
    <x v="18"/>
    <x v="1"/>
    <x v="16"/>
    <x v="18"/>
    <x v="92"/>
    <x v="24"/>
    <x v="190"/>
    <x v="268"/>
    <x v="1"/>
    <x v="11"/>
    <x v="1"/>
    <x v="0"/>
    <x v="1"/>
    <x v="1"/>
    <x v="0"/>
    <x v="4"/>
    <x v="184"/>
  </r>
  <r>
    <x v="347"/>
    <x v="235"/>
    <x v="264"/>
    <x v="88"/>
    <x v="57"/>
    <x v="0"/>
    <x v="1"/>
    <x v="22"/>
    <x v="45"/>
    <x v="5"/>
    <x v="91"/>
    <x v="238"/>
    <x v="373"/>
    <x v="103"/>
    <x v="369"/>
    <x v="7"/>
    <x v="4"/>
    <x v="17"/>
    <x v="1"/>
    <x v="0"/>
    <x v="2"/>
    <x v="1"/>
    <x v="0"/>
    <x v="3"/>
    <x v="355"/>
  </r>
  <r>
    <x v="348"/>
    <x v="334"/>
    <x v="115"/>
    <x v="65"/>
    <x v="36"/>
    <x v="6"/>
    <x v="1"/>
    <x v="7"/>
    <x v="14"/>
    <x v="2"/>
    <x v="26"/>
    <x v="61"/>
    <x v="135"/>
    <x v="33"/>
    <x v="282"/>
    <x v="276"/>
    <x v="1"/>
    <x v="18"/>
    <x v="1"/>
    <x v="2"/>
    <x v="1"/>
    <x v="1"/>
    <x v="0"/>
    <x v="0"/>
    <x v="273"/>
  </r>
  <r>
    <x v="349"/>
    <x v="186"/>
    <x v="173"/>
    <x v="59"/>
    <x v="99"/>
    <x v="6"/>
    <x v="0"/>
    <x v="10"/>
    <x v="20"/>
    <x v="1"/>
    <x v="20"/>
    <x v="22"/>
    <x v="111"/>
    <x v="29"/>
    <x v="222"/>
    <x v="262"/>
    <x v="1"/>
    <x v="3"/>
    <x v="0"/>
    <x v="2"/>
    <x v="1"/>
    <x v="1"/>
    <x v="0"/>
    <x v="3"/>
    <x v="214"/>
  </r>
  <r>
    <x v="350"/>
    <x v="102"/>
    <x v="118"/>
    <x v="88"/>
    <x v="57"/>
    <x v="0"/>
    <x v="0"/>
    <x v="22"/>
    <x v="45"/>
    <x v="0"/>
    <x v="63"/>
    <x v="0"/>
    <x v="304"/>
    <x v="76"/>
    <x v="483"/>
    <x v="114"/>
    <x v="1"/>
    <x v="19"/>
    <x v="1"/>
    <x v="0"/>
    <x v="1"/>
    <x v="1"/>
    <x v="0"/>
    <x v="4"/>
    <x v="464"/>
  </r>
  <r>
    <x v="351"/>
    <x v="157"/>
    <x v="268"/>
    <x v="85"/>
    <x v="35"/>
    <x v="2"/>
    <x v="0"/>
    <x v="1"/>
    <x v="2"/>
    <x v="1"/>
    <x v="1"/>
    <x v="2"/>
    <x v="10"/>
    <x v="2"/>
    <x v="14"/>
    <x v="325"/>
    <x v="1"/>
    <x v="7"/>
    <x v="0"/>
    <x v="2"/>
    <x v="1"/>
    <x v="1"/>
    <x v="0"/>
    <x v="4"/>
    <x v="15"/>
  </r>
  <r>
    <x v="352"/>
    <x v="53"/>
    <x v="83"/>
    <x v="93"/>
    <x v="70"/>
    <x v="0"/>
    <x v="0"/>
    <x v="20"/>
    <x v="42"/>
    <x v="2"/>
    <x v="54"/>
    <x v="113"/>
    <x v="253"/>
    <x v="69"/>
    <x v="320"/>
    <x v="55"/>
    <x v="1"/>
    <x v="4"/>
    <x v="2"/>
    <x v="2"/>
    <x v="1"/>
    <x v="1"/>
    <x v="0"/>
    <x v="4"/>
    <x v="308"/>
  </r>
  <r>
    <x v="353"/>
    <x v="252"/>
    <x v="187"/>
    <x v="25"/>
    <x v="84"/>
    <x v="4"/>
    <x v="0"/>
    <x v="10"/>
    <x v="18"/>
    <x v="3"/>
    <x v="20"/>
    <x v="73"/>
    <x v="97"/>
    <x v="24"/>
    <x v="202"/>
    <x v="278"/>
    <x v="1"/>
    <x v="13"/>
    <x v="1"/>
    <x v="1"/>
    <x v="1"/>
    <x v="1"/>
    <x v="0"/>
    <x v="3"/>
    <x v="195"/>
  </r>
  <r>
    <x v="354"/>
    <x v="343"/>
    <x v="87"/>
    <x v="3"/>
    <x v="90"/>
    <x v="3"/>
    <x v="0"/>
    <x v="3"/>
    <x v="7"/>
    <x v="2"/>
    <x v="4"/>
    <x v="15"/>
    <x v="23"/>
    <x v="7"/>
    <x v="32"/>
    <x v="273"/>
    <x v="1"/>
    <x v="0"/>
    <x v="0"/>
    <x v="2"/>
    <x v="1"/>
    <x v="1"/>
    <x v="0"/>
    <x v="3"/>
    <x v="33"/>
  </r>
  <r>
    <x v="355"/>
    <x v="25"/>
    <x v="83"/>
    <x v="75"/>
    <x v="23"/>
    <x v="2"/>
    <x v="0"/>
    <x v="5"/>
    <x v="11"/>
    <x v="0"/>
    <x v="7"/>
    <x v="0"/>
    <x v="50"/>
    <x v="13"/>
    <x v="97"/>
    <x v="289"/>
    <x v="1"/>
    <x v="4"/>
    <x v="2"/>
    <x v="0"/>
    <x v="1"/>
    <x v="1"/>
    <x v="0"/>
    <x v="0"/>
    <x v="95"/>
  </r>
  <r>
    <x v="356"/>
    <x v="115"/>
    <x v="73"/>
    <x v="71"/>
    <x v="88"/>
    <x v="6"/>
    <x v="0"/>
    <x v="5"/>
    <x v="10"/>
    <x v="0"/>
    <x v="7"/>
    <x v="0"/>
    <x v="50"/>
    <x v="12"/>
    <x v="104"/>
    <x v="307"/>
    <x v="4"/>
    <x v="9"/>
    <x v="0"/>
    <x v="0"/>
    <x v="2"/>
    <x v="1"/>
    <x v="0"/>
    <x v="3"/>
    <x v="100"/>
  </r>
  <r>
    <x v="357"/>
    <x v="163"/>
    <x v="87"/>
    <x v="29"/>
    <x v="34"/>
    <x v="4"/>
    <x v="0"/>
    <x v="21"/>
    <x v="43"/>
    <x v="2"/>
    <x v="58"/>
    <x v="125"/>
    <x v="275"/>
    <x v="71"/>
    <x v="426"/>
    <x v="101"/>
    <x v="1"/>
    <x v="0"/>
    <x v="0"/>
    <x v="0"/>
    <x v="1"/>
    <x v="1"/>
    <x v="0"/>
    <x v="3"/>
    <x v="411"/>
  </r>
  <r>
    <x v="358"/>
    <x v="107"/>
    <x v="223"/>
    <x v="58"/>
    <x v="5"/>
    <x v="1"/>
    <x v="0"/>
    <x v="9"/>
    <x v="20"/>
    <x v="5"/>
    <x v="16"/>
    <x v="97"/>
    <x v="71"/>
    <x v="29"/>
    <x v="52"/>
    <x v="72"/>
    <x v="1"/>
    <x v="12"/>
    <x v="1"/>
    <x v="0"/>
    <x v="1"/>
    <x v="1"/>
    <x v="0"/>
    <x v="0"/>
    <x v="51"/>
  </r>
  <r>
    <x v="359"/>
    <x v="121"/>
    <x v="165"/>
    <x v="1"/>
    <x v="9"/>
    <x v="3"/>
    <x v="0"/>
    <x v="17"/>
    <x v="36"/>
    <x v="3"/>
    <x v="42"/>
    <x v="124"/>
    <x v="190"/>
    <x v="57"/>
    <x v="230"/>
    <x v="76"/>
    <x v="4"/>
    <x v="10"/>
    <x v="1"/>
    <x v="0"/>
    <x v="2"/>
    <x v="1"/>
    <x v="0"/>
    <x v="0"/>
    <x v="222"/>
  </r>
  <r>
    <x v="360"/>
    <x v="252"/>
    <x v="251"/>
    <x v="42"/>
    <x v="47"/>
    <x v="5"/>
    <x v="0"/>
    <x v="15"/>
    <x v="32"/>
    <x v="0"/>
    <x v="35"/>
    <x v="0"/>
    <x v="195"/>
    <x v="50"/>
    <x v="350"/>
    <x v="187"/>
    <x v="2"/>
    <x v="9"/>
    <x v="1"/>
    <x v="0"/>
    <x v="2"/>
    <x v="1"/>
    <x v="0"/>
    <x v="2"/>
    <x v="337"/>
  </r>
  <r>
    <x v="361"/>
    <x v="148"/>
    <x v="172"/>
    <x v="42"/>
    <x v="47"/>
    <x v="5"/>
    <x v="3"/>
    <x v="15"/>
    <x v="32"/>
    <x v="1"/>
    <x v="92"/>
    <x v="134"/>
    <x v="403"/>
    <x v="99"/>
    <x v="654"/>
    <x v="160"/>
    <x v="4"/>
    <x v="2"/>
    <x v="1"/>
    <x v="1"/>
    <x v="2"/>
    <x v="1"/>
    <x v="0"/>
    <x v="0"/>
    <x v="620"/>
  </r>
  <r>
    <x v="362"/>
    <x v="126"/>
    <x v="290"/>
    <x v="21"/>
    <x v="93"/>
    <x v="4"/>
    <x v="1"/>
    <x v="7"/>
    <x v="14"/>
    <x v="0"/>
    <x v="26"/>
    <x v="0"/>
    <x v="150"/>
    <x v="33"/>
    <x v="345"/>
    <x v="309"/>
    <x v="1"/>
    <x v="11"/>
    <x v="2"/>
    <x v="2"/>
    <x v="1"/>
    <x v="1"/>
    <x v="0"/>
    <x v="3"/>
    <x v="332"/>
  </r>
  <r>
    <x v="363"/>
    <x v="37"/>
    <x v="21"/>
    <x v="93"/>
    <x v="70"/>
    <x v="0"/>
    <x v="3"/>
    <x v="20"/>
    <x v="42"/>
    <x v="3"/>
    <x v="104"/>
    <x v="235"/>
    <x v="427"/>
    <x v="116"/>
    <x v="625"/>
    <x v="34"/>
    <x v="1"/>
    <x v="14"/>
    <x v="1"/>
    <x v="0"/>
    <x v="1"/>
    <x v="2"/>
    <x v="0"/>
    <x v="3"/>
    <x v="596"/>
  </r>
  <r>
    <x v="364"/>
    <x v="86"/>
    <x v="94"/>
    <x v="63"/>
    <x v="33"/>
    <x v="6"/>
    <x v="0"/>
    <x v="9"/>
    <x v="18"/>
    <x v="0"/>
    <x v="16"/>
    <x v="0"/>
    <x v="99"/>
    <x v="24"/>
    <x v="210"/>
    <x v="288"/>
    <x v="4"/>
    <x v="3"/>
    <x v="2"/>
    <x v="1"/>
    <x v="2"/>
    <x v="1"/>
    <x v="0"/>
    <x v="0"/>
    <x v="203"/>
  </r>
  <r>
    <x v="365"/>
    <x v="97"/>
    <x v="185"/>
    <x v="19"/>
    <x v="2"/>
    <x v="4"/>
    <x v="2"/>
    <x v="14"/>
    <x v="30"/>
    <x v="3"/>
    <x v="77"/>
    <x v="191"/>
    <x v="337"/>
    <x v="83"/>
    <x v="552"/>
    <x v="141"/>
    <x v="1"/>
    <x v="10"/>
    <x v="1"/>
    <x v="1"/>
    <x v="1"/>
    <x v="1"/>
    <x v="0"/>
    <x v="3"/>
    <x v="529"/>
  </r>
  <r>
    <x v="366"/>
    <x v="267"/>
    <x v="41"/>
    <x v="13"/>
    <x v="41"/>
    <x v="3"/>
    <x v="0"/>
    <x v="6"/>
    <x v="12"/>
    <x v="1"/>
    <x v="9"/>
    <x v="10"/>
    <x v="56"/>
    <x v="14"/>
    <x v="111"/>
    <x v="294"/>
    <x v="1"/>
    <x v="14"/>
    <x v="1"/>
    <x v="1"/>
    <x v="1"/>
    <x v="1"/>
    <x v="0"/>
    <x v="4"/>
    <x v="107"/>
  </r>
  <r>
    <x v="367"/>
    <x v="208"/>
    <x v="26"/>
    <x v="84"/>
    <x v="55"/>
    <x v="2"/>
    <x v="3"/>
    <x v="3"/>
    <x v="6"/>
    <x v="0"/>
    <x v="30"/>
    <x v="0"/>
    <x v="176"/>
    <x v="35"/>
    <x v="421"/>
    <x v="326"/>
    <x v="1"/>
    <x v="17"/>
    <x v="1"/>
    <x v="1"/>
    <x v="1"/>
    <x v="1"/>
    <x v="0"/>
    <x v="4"/>
    <x v="406"/>
  </r>
  <r>
    <x v="368"/>
    <x v="34"/>
    <x v="108"/>
    <x v="23"/>
    <x v="49"/>
    <x v="4"/>
    <x v="0"/>
    <x v="12"/>
    <x v="24"/>
    <x v="0"/>
    <x v="27"/>
    <x v="0"/>
    <x v="151"/>
    <x v="36"/>
    <x v="319"/>
    <x v="271"/>
    <x v="1"/>
    <x v="13"/>
    <x v="0"/>
    <x v="0"/>
    <x v="1"/>
    <x v="1"/>
    <x v="0"/>
    <x v="0"/>
    <x v="307"/>
  </r>
  <r>
    <x v="369"/>
    <x v="346"/>
    <x v="87"/>
    <x v="22"/>
    <x v="79"/>
    <x v="4"/>
    <x v="0"/>
    <x v="4"/>
    <x v="7"/>
    <x v="3"/>
    <x v="5"/>
    <x v="31"/>
    <x v="26"/>
    <x v="7"/>
    <x v="54"/>
    <x v="304"/>
    <x v="0"/>
    <x v="0"/>
    <x v="0"/>
    <x v="0"/>
    <x v="0"/>
    <x v="1"/>
    <x v="0"/>
    <x v="1"/>
    <x v="0"/>
  </r>
  <r>
    <x v="370"/>
    <x v="176"/>
    <x v="23"/>
    <x v="87"/>
    <x v="26"/>
    <x v="0"/>
    <x v="1"/>
    <x v="15"/>
    <x v="34"/>
    <x v="1"/>
    <x v="64"/>
    <x v="78"/>
    <x v="302"/>
    <x v="75"/>
    <x v="487"/>
    <x v="122"/>
    <x v="1"/>
    <x v="8"/>
    <x v="1"/>
    <x v="2"/>
    <x v="1"/>
    <x v="1"/>
    <x v="0"/>
    <x v="4"/>
    <x v="468"/>
  </r>
  <r>
    <x v="371"/>
    <x v="237"/>
    <x v="218"/>
    <x v="61"/>
    <x v="76"/>
    <x v="6"/>
    <x v="0"/>
    <x v="2"/>
    <x v="3"/>
    <x v="2"/>
    <x v="2"/>
    <x v="11"/>
    <x v="14"/>
    <x v="3"/>
    <x v="29"/>
    <x v="330"/>
    <x v="1"/>
    <x v="6"/>
    <x v="0"/>
    <x v="2"/>
    <x v="1"/>
    <x v="1"/>
    <x v="0"/>
    <x v="3"/>
    <x v="30"/>
  </r>
  <r>
    <x v="372"/>
    <x v="281"/>
    <x v="184"/>
    <x v="43"/>
    <x v="25"/>
    <x v="5"/>
    <x v="0"/>
    <x v="3"/>
    <x v="5"/>
    <x v="4"/>
    <x v="4"/>
    <x v="33"/>
    <x v="17"/>
    <x v="5"/>
    <x v="28"/>
    <x v="296"/>
    <x v="1"/>
    <x v="17"/>
    <x v="1"/>
    <x v="0"/>
    <x v="1"/>
    <x v="1"/>
    <x v="0"/>
    <x v="0"/>
    <x v="29"/>
  </r>
  <r>
    <x v="373"/>
    <x v="197"/>
    <x v="247"/>
    <x v="73"/>
    <x v="60"/>
    <x v="2"/>
    <x v="0"/>
    <x v="3"/>
    <x v="6"/>
    <x v="4"/>
    <x v="4"/>
    <x v="33"/>
    <x v="17"/>
    <x v="6"/>
    <x v="20"/>
    <x v="263"/>
    <x v="2"/>
    <x v="13"/>
    <x v="1"/>
    <x v="1"/>
    <x v="2"/>
    <x v="1"/>
    <x v="0"/>
    <x v="2"/>
    <x v="21"/>
  </r>
  <r>
    <x v="374"/>
    <x v="199"/>
    <x v="163"/>
    <x v="91"/>
    <x v="39"/>
    <x v="0"/>
    <x v="0"/>
    <x v="12"/>
    <x v="29"/>
    <x v="3"/>
    <x v="27"/>
    <x v="90"/>
    <x v="126"/>
    <x v="43"/>
    <x v="149"/>
    <x v="87"/>
    <x v="1"/>
    <x v="12"/>
    <x v="0"/>
    <x v="0"/>
    <x v="1"/>
    <x v="1"/>
    <x v="0"/>
    <x v="4"/>
    <x v="143"/>
  </r>
  <r>
    <x v="375"/>
    <x v="105"/>
    <x v="58"/>
    <x v="49"/>
    <x v="38"/>
    <x v="1"/>
    <x v="0"/>
    <x v="6"/>
    <x v="13"/>
    <x v="2"/>
    <x v="9"/>
    <x v="25"/>
    <x v="53"/>
    <x v="15"/>
    <x v="89"/>
    <x v="252"/>
    <x v="1"/>
    <x v="5"/>
    <x v="1"/>
    <x v="0"/>
    <x v="1"/>
    <x v="1"/>
    <x v="0"/>
    <x v="4"/>
    <x v="88"/>
  </r>
  <r>
    <x v="376"/>
    <x v="9"/>
    <x v="231"/>
    <x v="49"/>
    <x v="38"/>
    <x v="1"/>
    <x v="4"/>
    <x v="6"/>
    <x v="13"/>
    <x v="1"/>
    <x v="57"/>
    <x v="68"/>
    <x v="279"/>
    <x v="60"/>
    <x v="535"/>
    <x v="275"/>
    <x v="4"/>
    <x v="9"/>
    <x v="0"/>
    <x v="2"/>
    <x v="2"/>
    <x v="1"/>
    <x v="0"/>
    <x v="4"/>
    <x v="512"/>
  </r>
  <r>
    <x v="377"/>
    <x v="135"/>
    <x v="12"/>
    <x v="63"/>
    <x v="33"/>
    <x v="6"/>
    <x v="2"/>
    <x v="9"/>
    <x v="18"/>
    <x v="1"/>
    <x v="55"/>
    <x v="65"/>
    <x v="267"/>
    <x v="59"/>
    <x v="519"/>
    <x v="268"/>
    <x v="1"/>
    <x v="11"/>
    <x v="1"/>
    <x v="1"/>
    <x v="1"/>
    <x v="1"/>
    <x v="0"/>
    <x v="4"/>
    <x v="496"/>
  </r>
  <r>
    <x v="378"/>
    <x v="141"/>
    <x v="148"/>
    <x v="20"/>
    <x v="40"/>
    <x v="4"/>
    <x v="1"/>
    <x v="17"/>
    <x v="32"/>
    <x v="4"/>
    <x v="70"/>
    <x v="198"/>
    <x v="300"/>
    <x v="72"/>
    <x v="496"/>
    <x v="148"/>
    <x v="1"/>
    <x v="7"/>
    <x v="0"/>
    <x v="1"/>
    <x v="1"/>
    <x v="1"/>
    <x v="0"/>
    <x v="0"/>
    <x v="475"/>
  </r>
  <r>
    <x v="379"/>
    <x v="320"/>
    <x v="151"/>
    <x v="51"/>
    <x v="52"/>
    <x v="1"/>
    <x v="0"/>
    <x v="2"/>
    <x v="4"/>
    <x v="0"/>
    <x v="2"/>
    <x v="0"/>
    <x v="18"/>
    <x v="4"/>
    <x v="39"/>
    <x v="329"/>
    <x v="1"/>
    <x v="9"/>
    <x v="1"/>
    <x v="1"/>
    <x v="1"/>
    <x v="1"/>
    <x v="0"/>
    <x v="0"/>
    <x v="40"/>
  </r>
  <r>
    <x v="380"/>
    <x v="213"/>
    <x v="37"/>
    <x v="9"/>
    <x v="95"/>
    <x v="3"/>
    <x v="4"/>
    <x v="19"/>
    <x v="39"/>
    <x v="5"/>
    <x v="106"/>
    <x v="250"/>
    <x v="425"/>
    <x v="118"/>
    <x v="592"/>
    <x v="16"/>
    <x v="2"/>
    <x v="15"/>
    <x v="1"/>
    <x v="1"/>
    <x v="2"/>
    <x v="2"/>
    <x v="0"/>
    <x v="2"/>
    <x v="567"/>
  </r>
  <r>
    <x v="381"/>
    <x v="235"/>
    <x v="275"/>
    <x v="60"/>
    <x v="68"/>
    <x v="6"/>
    <x v="0"/>
    <x v="5"/>
    <x v="9"/>
    <x v="1"/>
    <x v="7"/>
    <x v="8"/>
    <x v="45"/>
    <x v="11"/>
    <x v="98"/>
    <x v="310"/>
    <x v="0"/>
    <x v="15"/>
    <x v="1"/>
    <x v="0"/>
    <x v="0"/>
    <x v="1"/>
    <x v="0"/>
    <x v="1"/>
    <x v="0"/>
  </r>
  <r>
    <x v="382"/>
    <x v="337"/>
    <x v="249"/>
    <x v="74"/>
    <x v="4"/>
    <x v="2"/>
    <x v="1"/>
    <x v="1"/>
    <x v="1"/>
    <x v="1"/>
    <x v="6"/>
    <x v="7"/>
    <x v="44"/>
    <x v="8"/>
    <x v="112"/>
    <x v="335"/>
    <x v="1"/>
    <x v="16"/>
    <x v="1"/>
    <x v="1"/>
    <x v="1"/>
    <x v="1"/>
    <x v="0"/>
    <x v="3"/>
    <x v="108"/>
  </r>
  <r>
    <x v="383"/>
    <x v="236"/>
    <x v="259"/>
    <x v="11"/>
    <x v="15"/>
    <x v="3"/>
    <x v="4"/>
    <x v="8"/>
    <x v="17"/>
    <x v="3"/>
    <x v="68"/>
    <x v="173"/>
    <x v="307"/>
    <x v="71"/>
    <x v="549"/>
    <x v="215"/>
    <x v="1"/>
    <x v="14"/>
    <x v="1"/>
    <x v="1"/>
    <x v="1"/>
    <x v="1"/>
    <x v="0"/>
    <x v="3"/>
    <x v="526"/>
  </r>
  <r>
    <x v="384"/>
    <x v="175"/>
    <x v="63"/>
    <x v="17"/>
    <x v="18"/>
    <x v="4"/>
    <x v="0"/>
    <x v="11"/>
    <x v="23"/>
    <x v="2"/>
    <x v="23"/>
    <x v="56"/>
    <x v="123"/>
    <x v="34"/>
    <x v="207"/>
    <x v="211"/>
    <x v="0"/>
    <x v="8"/>
    <x v="1"/>
    <x v="0"/>
    <x v="0"/>
    <x v="1"/>
    <x v="0"/>
    <x v="1"/>
    <x v="0"/>
  </r>
  <r>
    <x v="385"/>
    <x v="170"/>
    <x v="69"/>
    <x v="53"/>
    <x v="29"/>
    <x v="1"/>
    <x v="3"/>
    <x v="3"/>
    <x v="6"/>
    <x v="1"/>
    <x v="30"/>
    <x v="33"/>
    <x v="169"/>
    <x v="35"/>
    <x v="395"/>
    <x v="315"/>
    <x v="1"/>
    <x v="13"/>
    <x v="1"/>
    <x v="0"/>
    <x v="1"/>
    <x v="1"/>
    <x v="0"/>
    <x v="0"/>
    <x v="381"/>
  </r>
  <r>
    <x v="386"/>
    <x v="162"/>
    <x v="248"/>
    <x v="83"/>
    <x v="96"/>
    <x v="2"/>
    <x v="1"/>
    <x v="10"/>
    <x v="23"/>
    <x v="3"/>
    <x v="44"/>
    <x v="128"/>
    <x v="205"/>
    <x v="56"/>
    <x v="300"/>
    <x v="115"/>
    <x v="1"/>
    <x v="7"/>
    <x v="1"/>
    <x v="1"/>
    <x v="1"/>
    <x v="1"/>
    <x v="0"/>
    <x v="0"/>
    <x v="289"/>
  </r>
  <r>
    <x v="387"/>
    <x v="300"/>
    <x v="29"/>
    <x v="66"/>
    <x v="13"/>
    <x v="6"/>
    <x v="0"/>
    <x v="8"/>
    <x v="16"/>
    <x v="5"/>
    <x v="14"/>
    <x v="89"/>
    <x v="62"/>
    <x v="20"/>
    <x v="77"/>
    <x v="169"/>
    <x v="4"/>
    <x v="13"/>
    <x v="1"/>
    <x v="1"/>
    <x v="2"/>
    <x v="1"/>
    <x v="0"/>
    <x v="4"/>
    <x v="76"/>
  </r>
  <r>
    <x v="388"/>
    <x v="306"/>
    <x v="18"/>
    <x v="25"/>
    <x v="84"/>
    <x v="4"/>
    <x v="2"/>
    <x v="10"/>
    <x v="18"/>
    <x v="1"/>
    <x v="60"/>
    <x v="73"/>
    <x v="290"/>
    <x v="59"/>
    <x v="569"/>
    <x v="311"/>
    <x v="1"/>
    <x v="5"/>
    <x v="0"/>
    <x v="2"/>
    <x v="1"/>
    <x v="1"/>
    <x v="0"/>
    <x v="4"/>
    <x v="546"/>
  </r>
  <r>
    <x v="389"/>
    <x v="271"/>
    <x v="14"/>
    <x v="79"/>
    <x v="12"/>
    <x v="2"/>
    <x v="1"/>
    <x v="8"/>
    <x v="18"/>
    <x v="3"/>
    <x v="32"/>
    <x v="102"/>
    <x v="153"/>
    <x v="45"/>
    <x v="226"/>
    <x v="137"/>
    <x v="2"/>
    <x v="2"/>
    <x v="1"/>
    <x v="0"/>
    <x v="2"/>
    <x v="1"/>
    <x v="0"/>
    <x v="2"/>
    <x v="218"/>
  </r>
  <r>
    <x v="390"/>
    <x v="249"/>
    <x v="276"/>
    <x v="11"/>
    <x v="15"/>
    <x v="3"/>
    <x v="0"/>
    <x v="8"/>
    <x v="17"/>
    <x v="2"/>
    <x v="14"/>
    <x v="35"/>
    <x v="73"/>
    <x v="21"/>
    <x v="137"/>
    <x v="238"/>
    <x v="1"/>
    <x v="5"/>
    <x v="1"/>
    <x v="1"/>
    <x v="1"/>
    <x v="1"/>
    <x v="0"/>
    <x v="0"/>
    <x v="131"/>
  </r>
  <r>
    <x v="391"/>
    <x v="295"/>
    <x v="108"/>
    <x v="67"/>
    <x v="21"/>
    <x v="6"/>
    <x v="1"/>
    <x v="4"/>
    <x v="7"/>
    <x v="4"/>
    <x v="15"/>
    <x v="82"/>
    <x v="74"/>
    <x v="19"/>
    <x v="161"/>
    <x v="287"/>
    <x v="1"/>
    <x v="13"/>
    <x v="0"/>
    <x v="0"/>
    <x v="1"/>
    <x v="1"/>
    <x v="0"/>
    <x v="4"/>
    <x v="155"/>
  </r>
  <r>
    <x v="392"/>
    <x v="29"/>
    <x v="246"/>
    <x v="20"/>
    <x v="40"/>
    <x v="4"/>
    <x v="1"/>
    <x v="17"/>
    <x v="32"/>
    <x v="2"/>
    <x v="70"/>
    <x v="145"/>
    <x v="317"/>
    <x v="72"/>
    <x v="559"/>
    <x v="212"/>
    <x v="4"/>
    <x v="0"/>
    <x v="0"/>
    <x v="1"/>
    <x v="2"/>
    <x v="1"/>
    <x v="0"/>
    <x v="0"/>
    <x v="536"/>
  </r>
  <r>
    <x v="393"/>
    <x v="78"/>
    <x v="103"/>
    <x v="86"/>
    <x v="11"/>
    <x v="2"/>
    <x v="1"/>
    <x v="6"/>
    <x v="14"/>
    <x v="3"/>
    <x v="22"/>
    <x v="80"/>
    <x v="113"/>
    <x v="33"/>
    <x v="189"/>
    <x v="208"/>
    <x v="1"/>
    <x v="4"/>
    <x v="1"/>
    <x v="0"/>
    <x v="1"/>
    <x v="1"/>
    <x v="0"/>
    <x v="3"/>
    <x v="183"/>
  </r>
  <r>
    <x v="394"/>
    <x v="350"/>
    <x v="182"/>
    <x v="26"/>
    <x v="8"/>
    <x v="4"/>
    <x v="0"/>
    <x v="5"/>
    <x v="10"/>
    <x v="0"/>
    <x v="7"/>
    <x v="0"/>
    <x v="50"/>
    <x v="12"/>
    <x v="104"/>
    <x v="307"/>
    <x v="0"/>
    <x v="4"/>
    <x v="0"/>
    <x v="2"/>
    <x v="0"/>
    <x v="1"/>
    <x v="0"/>
    <x v="1"/>
    <x v="0"/>
  </r>
  <r>
    <x v="395"/>
    <x v="350"/>
    <x v="169"/>
    <x v="11"/>
    <x v="15"/>
    <x v="3"/>
    <x v="0"/>
    <x v="8"/>
    <x v="17"/>
    <x v="4"/>
    <x v="14"/>
    <x v="72"/>
    <x v="66"/>
    <x v="21"/>
    <x v="94"/>
    <x v="184"/>
    <x v="1"/>
    <x v="16"/>
    <x v="1"/>
    <x v="0"/>
    <x v="1"/>
    <x v="1"/>
    <x v="0"/>
    <x v="0"/>
    <x v="92"/>
  </r>
  <r>
    <x v="396"/>
    <x v="201"/>
    <x v="224"/>
    <x v="44"/>
    <x v="53"/>
    <x v="5"/>
    <x v="0"/>
    <x v="6"/>
    <x v="12"/>
    <x v="3"/>
    <x v="9"/>
    <x v="40"/>
    <x v="47"/>
    <x v="14"/>
    <x v="78"/>
    <x v="250"/>
    <x v="3"/>
    <x v="17"/>
    <x v="1"/>
    <x v="2"/>
    <x v="3"/>
    <x v="1"/>
    <x v="0"/>
    <x v="0"/>
    <x v="0"/>
  </r>
  <r>
    <x v="397"/>
    <x v="246"/>
    <x v="99"/>
    <x v="38"/>
    <x v="92"/>
    <x v="5"/>
    <x v="1"/>
    <x v="9"/>
    <x v="18"/>
    <x v="5"/>
    <x v="38"/>
    <x v="154"/>
    <x v="157"/>
    <x v="45"/>
    <x v="249"/>
    <x v="156"/>
    <x v="1"/>
    <x v="6"/>
    <x v="1"/>
    <x v="1"/>
    <x v="1"/>
    <x v="1"/>
    <x v="0"/>
    <x v="3"/>
    <x v="241"/>
  </r>
  <r>
    <x v="398"/>
    <x v="244"/>
    <x v="239"/>
    <x v="3"/>
    <x v="90"/>
    <x v="3"/>
    <x v="0"/>
    <x v="3"/>
    <x v="7"/>
    <x v="1"/>
    <x v="4"/>
    <x v="5"/>
    <x v="25"/>
    <x v="7"/>
    <x v="44"/>
    <x v="292"/>
    <x v="4"/>
    <x v="14"/>
    <x v="0"/>
    <x v="1"/>
    <x v="2"/>
    <x v="1"/>
    <x v="0"/>
    <x v="3"/>
    <x v="45"/>
  </r>
  <r>
    <x v="399"/>
    <x v="116"/>
    <x v="129"/>
    <x v="0"/>
    <x v="97"/>
    <x v="3"/>
    <x v="1"/>
    <x v="11"/>
    <x v="26"/>
    <x v="2"/>
    <x v="49"/>
    <x v="103"/>
    <x v="233"/>
    <x v="62"/>
    <x v="358"/>
    <x v="116"/>
    <x v="4"/>
    <x v="16"/>
    <x v="1"/>
    <x v="2"/>
    <x v="2"/>
    <x v="1"/>
    <x v="0"/>
    <x v="3"/>
    <x v="344"/>
  </r>
  <r>
    <x v="400"/>
    <x v="70"/>
    <x v="9"/>
    <x v="59"/>
    <x v="99"/>
    <x v="6"/>
    <x v="1"/>
    <x v="10"/>
    <x v="20"/>
    <x v="2"/>
    <x v="44"/>
    <x v="94"/>
    <x v="212"/>
    <x v="50"/>
    <x v="414"/>
    <x v="237"/>
    <x v="1"/>
    <x v="13"/>
    <x v="1"/>
    <x v="2"/>
    <x v="1"/>
    <x v="1"/>
    <x v="0"/>
    <x v="4"/>
    <x v="399"/>
  </r>
  <r>
    <x v="401"/>
    <x v="88"/>
    <x v="62"/>
    <x v="87"/>
    <x v="26"/>
    <x v="0"/>
    <x v="1"/>
    <x v="15"/>
    <x v="34"/>
    <x v="4"/>
    <x v="64"/>
    <x v="187"/>
    <x v="276"/>
    <x v="75"/>
    <x v="334"/>
    <x v="42"/>
    <x v="4"/>
    <x v="1"/>
    <x v="0"/>
    <x v="1"/>
    <x v="2"/>
    <x v="1"/>
    <x v="0"/>
    <x v="0"/>
    <x v="322"/>
  </r>
  <r>
    <x v="402"/>
    <x v="167"/>
    <x v="273"/>
    <x v="76"/>
    <x v="64"/>
    <x v="2"/>
    <x v="3"/>
    <x v="4"/>
    <x v="8"/>
    <x v="0"/>
    <x v="37"/>
    <x v="0"/>
    <x v="207"/>
    <x v="41"/>
    <x v="458"/>
    <x v="323"/>
    <x v="3"/>
    <x v="3"/>
    <x v="0"/>
    <x v="1"/>
    <x v="3"/>
    <x v="1"/>
    <x v="0"/>
    <x v="3"/>
    <x v="0"/>
  </r>
  <r>
    <x v="403"/>
    <x v="201"/>
    <x v="230"/>
    <x v="87"/>
    <x v="26"/>
    <x v="0"/>
    <x v="2"/>
    <x v="15"/>
    <x v="34"/>
    <x v="4"/>
    <x v="79"/>
    <x v="212"/>
    <x v="339"/>
    <x v="92"/>
    <x v="456"/>
    <x v="42"/>
    <x v="1"/>
    <x v="11"/>
    <x v="0"/>
    <x v="0"/>
    <x v="1"/>
    <x v="1"/>
    <x v="0"/>
    <x v="4"/>
    <x v="441"/>
  </r>
  <r>
    <x v="404"/>
    <x v="44"/>
    <x v="101"/>
    <x v="69"/>
    <x v="48"/>
    <x v="6"/>
    <x v="0"/>
    <x v="6"/>
    <x v="12"/>
    <x v="1"/>
    <x v="9"/>
    <x v="10"/>
    <x v="56"/>
    <x v="14"/>
    <x v="111"/>
    <x v="294"/>
    <x v="1"/>
    <x v="1"/>
    <x v="1"/>
    <x v="1"/>
    <x v="1"/>
    <x v="1"/>
    <x v="0"/>
    <x v="0"/>
    <x v="107"/>
  </r>
  <r>
    <x v="405"/>
    <x v="166"/>
    <x v="258"/>
    <x v="15"/>
    <x v="14"/>
    <x v="4"/>
    <x v="4"/>
    <x v="7"/>
    <x v="15"/>
    <x v="2"/>
    <x v="62"/>
    <x v="131"/>
    <x v="286"/>
    <x v="67"/>
    <x v="530"/>
    <x v="236"/>
    <x v="1"/>
    <x v="6"/>
    <x v="1"/>
    <x v="2"/>
    <x v="1"/>
    <x v="1"/>
    <x v="0"/>
    <x v="4"/>
    <x v="507"/>
  </r>
  <r>
    <x v="406"/>
    <x v="88"/>
    <x v="137"/>
    <x v="18"/>
    <x v="71"/>
    <x v="4"/>
    <x v="0"/>
    <x v="20"/>
    <x v="40"/>
    <x v="0"/>
    <x v="54"/>
    <x v="0"/>
    <x v="269"/>
    <x v="67"/>
    <x v="473"/>
    <x v="180"/>
    <x v="1"/>
    <x v="19"/>
    <x v="0"/>
    <x v="0"/>
    <x v="1"/>
    <x v="1"/>
    <x v="0"/>
    <x v="4"/>
    <x v="454"/>
  </r>
  <r>
    <x v="407"/>
    <x v="162"/>
    <x v="253"/>
    <x v="17"/>
    <x v="18"/>
    <x v="4"/>
    <x v="1"/>
    <x v="11"/>
    <x v="23"/>
    <x v="2"/>
    <x v="49"/>
    <x v="103"/>
    <x v="233"/>
    <x v="56"/>
    <x v="430"/>
    <x v="211"/>
    <x v="1"/>
    <x v="3"/>
    <x v="2"/>
    <x v="1"/>
    <x v="1"/>
    <x v="1"/>
    <x v="0"/>
    <x v="3"/>
    <x v="415"/>
  </r>
  <r>
    <x v="408"/>
    <x v="99"/>
    <x v="131"/>
    <x v="26"/>
    <x v="8"/>
    <x v="4"/>
    <x v="1"/>
    <x v="5"/>
    <x v="10"/>
    <x v="1"/>
    <x v="19"/>
    <x v="21"/>
    <x v="110"/>
    <x v="25"/>
    <x v="239"/>
    <x v="293"/>
    <x v="1"/>
    <x v="9"/>
    <x v="0"/>
    <x v="1"/>
    <x v="1"/>
    <x v="1"/>
    <x v="0"/>
    <x v="4"/>
    <x v="231"/>
  </r>
  <r>
    <x v="409"/>
    <x v="299"/>
    <x v="56"/>
    <x v="51"/>
    <x v="52"/>
    <x v="1"/>
    <x v="2"/>
    <x v="2"/>
    <x v="4"/>
    <x v="4"/>
    <x v="17"/>
    <x v="86"/>
    <x v="82"/>
    <x v="22"/>
    <x v="165"/>
    <x v="267"/>
    <x v="1"/>
    <x v="18"/>
    <x v="1"/>
    <x v="2"/>
    <x v="1"/>
    <x v="1"/>
    <x v="0"/>
    <x v="0"/>
    <x v="159"/>
  </r>
  <r>
    <x v="410"/>
    <x v="27"/>
    <x v="183"/>
    <x v="54"/>
    <x v="61"/>
    <x v="1"/>
    <x v="0"/>
    <x v="12"/>
    <x v="27"/>
    <x v="0"/>
    <x v="27"/>
    <x v="0"/>
    <x v="151"/>
    <x v="39"/>
    <x v="286"/>
    <x v="226"/>
    <x v="1"/>
    <x v="12"/>
    <x v="0"/>
    <x v="1"/>
    <x v="1"/>
    <x v="1"/>
    <x v="0"/>
    <x v="4"/>
    <x v="277"/>
  </r>
  <r>
    <x v="411"/>
    <x v="288"/>
    <x v="281"/>
    <x v="63"/>
    <x v="33"/>
    <x v="6"/>
    <x v="3"/>
    <x v="9"/>
    <x v="18"/>
    <x v="4"/>
    <x v="66"/>
    <x v="193"/>
    <x v="285"/>
    <x v="68"/>
    <x v="504"/>
    <x v="190"/>
    <x v="3"/>
    <x v="8"/>
    <x v="1"/>
    <x v="0"/>
    <x v="3"/>
    <x v="1"/>
    <x v="0"/>
    <x v="0"/>
    <x v="0"/>
  </r>
  <r>
    <x v="412"/>
    <x v="319"/>
    <x v="112"/>
    <x v="99"/>
    <x v="16"/>
    <x v="0"/>
    <x v="0"/>
    <x v="22"/>
    <x v="46"/>
    <x v="2"/>
    <x v="63"/>
    <x v="133"/>
    <x v="289"/>
    <x v="78"/>
    <x v="371"/>
    <x v="46"/>
    <x v="1"/>
    <x v="9"/>
    <x v="2"/>
    <x v="0"/>
    <x v="1"/>
    <x v="1"/>
    <x v="0"/>
    <x v="0"/>
    <x v="357"/>
  </r>
  <r>
    <x v="413"/>
    <x v="133"/>
    <x v="254"/>
    <x v="38"/>
    <x v="92"/>
    <x v="5"/>
    <x v="1"/>
    <x v="9"/>
    <x v="18"/>
    <x v="2"/>
    <x v="38"/>
    <x v="83"/>
    <x v="186"/>
    <x v="45"/>
    <x v="376"/>
    <x v="243"/>
    <x v="4"/>
    <x v="18"/>
    <x v="0"/>
    <x v="1"/>
    <x v="2"/>
    <x v="1"/>
    <x v="0"/>
    <x v="4"/>
    <x v="362"/>
  </r>
  <r>
    <x v="414"/>
    <x v="236"/>
    <x v="282"/>
    <x v="26"/>
    <x v="8"/>
    <x v="4"/>
    <x v="0"/>
    <x v="5"/>
    <x v="10"/>
    <x v="0"/>
    <x v="7"/>
    <x v="0"/>
    <x v="50"/>
    <x v="12"/>
    <x v="104"/>
    <x v="307"/>
    <x v="4"/>
    <x v="4"/>
    <x v="0"/>
    <x v="0"/>
    <x v="2"/>
    <x v="1"/>
    <x v="0"/>
    <x v="0"/>
    <x v="100"/>
  </r>
  <r>
    <x v="415"/>
    <x v="332"/>
    <x v="169"/>
    <x v="91"/>
    <x v="39"/>
    <x v="0"/>
    <x v="0"/>
    <x v="12"/>
    <x v="29"/>
    <x v="1"/>
    <x v="27"/>
    <x v="30"/>
    <x v="143"/>
    <x v="43"/>
    <x v="211"/>
    <x v="151"/>
    <x v="1"/>
    <x v="16"/>
    <x v="1"/>
    <x v="2"/>
    <x v="1"/>
    <x v="1"/>
    <x v="0"/>
    <x v="3"/>
    <x v="204"/>
  </r>
  <r>
    <x v="416"/>
    <x v="230"/>
    <x v="167"/>
    <x v="52"/>
    <x v="54"/>
    <x v="1"/>
    <x v="0"/>
    <x v="8"/>
    <x v="16"/>
    <x v="5"/>
    <x v="14"/>
    <x v="89"/>
    <x v="62"/>
    <x v="20"/>
    <x v="77"/>
    <x v="169"/>
    <x v="1"/>
    <x v="13"/>
    <x v="1"/>
    <x v="1"/>
    <x v="1"/>
    <x v="1"/>
    <x v="0"/>
    <x v="0"/>
    <x v="76"/>
  </r>
  <r>
    <x v="417"/>
    <x v="228"/>
    <x v="9"/>
    <x v="39"/>
    <x v="20"/>
    <x v="5"/>
    <x v="0"/>
    <x v="13"/>
    <x v="29"/>
    <x v="2"/>
    <x v="29"/>
    <x v="66"/>
    <x v="147"/>
    <x v="43"/>
    <x v="242"/>
    <x v="172"/>
    <x v="1"/>
    <x v="13"/>
    <x v="1"/>
    <x v="2"/>
    <x v="1"/>
    <x v="1"/>
    <x v="0"/>
    <x v="0"/>
    <x v="234"/>
  </r>
  <r>
    <x v="418"/>
    <x v="346"/>
    <x v="154"/>
    <x v="89"/>
    <x v="89"/>
    <x v="0"/>
    <x v="0"/>
    <x v="17"/>
    <x v="37"/>
    <x v="0"/>
    <x v="42"/>
    <x v="0"/>
    <x v="217"/>
    <x v="59"/>
    <x v="350"/>
    <x v="128"/>
    <x v="1"/>
    <x v="18"/>
    <x v="2"/>
    <x v="1"/>
    <x v="1"/>
    <x v="1"/>
    <x v="0"/>
    <x v="3"/>
    <x v="337"/>
  </r>
  <r>
    <x v="419"/>
    <x v="177"/>
    <x v="85"/>
    <x v="62"/>
    <x v="19"/>
    <x v="6"/>
    <x v="0"/>
    <x v="17"/>
    <x v="35"/>
    <x v="0"/>
    <x v="42"/>
    <x v="0"/>
    <x v="217"/>
    <x v="55"/>
    <x v="398"/>
    <x v="195"/>
    <x v="1"/>
    <x v="17"/>
    <x v="0"/>
    <x v="2"/>
    <x v="1"/>
    <x v="1"/>
    <x v="0"/>
    <x v="3"/>
    <x v="384"/>
  </r>
  <r>
    <x v="420"/>
    <x v="273"/>
    <x v="265"/>
    <x v="85"/>
    <x v="35"/>
    <x v="2"/>
    <x v="0"/>
    <x v="1"/>
    <x v="2"/>
    <x v="1"/>
    <x v="1"/>
    <x v="2"/>
    <x v="10"/>
    <x v="2"/>
    <x v="14"/>
    <x v="325"/>
    <x v="1"/>
    <x v="10"/>
    <x v="0"/>
    <x v="0"/>
    <x v="1"/>
    <x v="1"/>
    <x v="0"/>
    <x v="0"/>
    <x v="15"/>
  </r>
  <r>
    <x v="421"/>
    <x v="321"/>
    <x v="160"/>
    <x v="41"/>
    <x v="6"/>
    <x v="5"/>
    <x v="2"/>
    <x v="10"/>
    <x v="21"/>
    <x v="4"/>
    <x v="60"/>
    <x v="180"/>
    <x v="262"/>
    <x v="66"/>
    <x v="451"/>
    <x v="165"/>
    <x v="1"/>
    <x v="1"/>
    <x v="1"/>
    <x v="0"/>
    <x v="1"/>
    <x v="1"/>
    <x v="0"/>
    <x v="0"/>
    <x v="436"/>
  </r>
  <r>
    <x v="422"/>
    <x v="4"/>
    <x v="19"/>
    <x v="93"/>
    <x v="70"/>
    <x v="0"/>
    <x v="0"/>
    <x v="20"/>
    <x v="42"/>
    <x v="5"/>
    <x v="54"/>
    <x v="185"/>
    <x v="218"/>
    <x v="69"/>
    <x v="117"/>
    <x v="6"/>
    <x v="1"/>
    <x v="19"/>
    <x v="1"/>
    <x v="2"/>
    <x v="1"/>
    <x v="1"/>
    <x v="0"/>
    <x v="4"/>
    <x v="113"/>
  </r>
  <r>
    <x v="423"/>
    <x v="223"/>
    <x v="67"/>
    <x v="96"/>
    <x v="91"/>
    <x v="0"/>
    <x v="1"/>
    <x v="23"/>
    <x v="47"/>
    <x v="3"/>
    <x v="101"/>
    <x v="231"/>
    <x v="417"/>
    <x v="115"/>
    <x v="532"/>
    <x v="9"/>
    <x v="2"/>
    <x v="10"/>
    <x v="1"/>
    <x v="1"/>
    <x v="2"/>
    <x v="2"/>
    <x v="0"/>
    <x v="2"/>
    <x v="509"/>
  </r>
  <r>
    <x v="424"/>
    <x v="203"/>
    <x v="126"/>
    <x v="16"/>
    <x v="22"/>
    <x v="4"/>
    <x v="0"/>
    <x v="15"/>
    <x v="31"/>
    <x v="2"/>
    <x v="35"/>
    <x v="78"/>
    <x v="174"/>
    <x v="47"/>
    <x v="302"/>
    <x v="174"/>
    <x v="1"/>
    <x v="10"/>
    <x v="1"/>
    <x v="2"/>
    <x v="1"/>
    <x v="1"/>
    <x v="0"/>
    <x v="4"/>
    <x v="291"/>
  </r>
  <r>
    <x v="425"/>
    <x v="114"/>
    <x v="293"/>
    <x v="73"/>
    <x v="60"/>
    <x v="2"/>
    <x v="1"/>
    <x v="3"/>
    <x v="6"/>
    <x v="0"/>
    <x v="13"/>
    <x v="0"/>
    <x v="83"/>
    <x v="18"/>
    <x v="197"/>
    <x v="326"/>
    <x v="1"/>
    <x v="3"/>
    <x v="0"/>
    <x v="0"/>
    <x v="1"/>
    <x v="1"/>
    <x v="0"/>
    <x v="0"/>
    <x v="190"/>
  </r>
  <r>
    <x v="426"/>
    <x v="112"/>
    <x v="174"/>
    <x v="41"/>
    <x v="6"/>
    <x v="5"/>
    <x v="0"/>
    <x v="10"/>
    <x v="21"/>
    <x v="2"/>
    <x v="20"/>
    <x v="50"/>
    <x v="104"/>
    <x v="30"/>
    <x v="188"/>
    <x v="225"/>
    <x v="1"/>
    <x v="18"/>
    <x v="0"/>
    <x v="2"/>
    <x v="1"/>
    <x v="1"/>
    <x v="0"/>
    <x v="3"/>
    <x v="182"/>
  </r>
  <r>
    <x v="427"/>
    <x v="156"/>
    <x v="58"/>
    <x v="4"/>
    <x v="66"/>
    <x v="3"/>
    <x v="0"/>
    <x v="14"/>
    <x v="31"/>
    <x v="2"/>
    <x v="33"/>
    <x v="74"/>
    <x v="162"/>
    <x v="47"/>
    <x v="233"/>
    <x v="125"/>
    <x v="1"/>
    <x v="5"/>
    <x v="1"/>
    <x v="2"/>
    <x v="1"/>
    <x v="1"/>
    <x v="0"/>
    <x v="0"/>
    <x v="225"/>
  </r>
  <r>
    <x v="428"/>
    <x v="73"/>
    <x v="36"/>
    <x v="53"/>
    <x v="29"/>
    <x v="1"/>
    <x v="0"/>
    <x v="3"/>
    <x v="6"/>
    <x v="0"/>
    <x v="4"/>
    <x v="0"/>
    <x v="29"/>
    <x v="6"/>
    <x v="66"/>
    <x v="326"/>
    <x v="1"/>
    <x v="18"/>
    <x v="1"/>
    <x v="2"/>
    <x v="1"/>
    <x v="1"/>
    <x v="0"/>
    <x v="4"/>
    <x v="65"/>
  </r>
  <r>
    <x v="429"/>
    <x v="275"/>
    <x v="15"/>
    <x v="16"/>
    <x v="22"/>
    <x v="4"/>
    <x v="0"/>
    <x v="15"/>
    <x v="31"/>
    <x v="0"/>
    <x v="35"/>
    <x v="0"/>
    <x v="195"/>
    <x v="47"/>
    <x v="370"/>
    <x v="229"/>
    <x v="0"/>
    <x v="3"/>
    <x v="0"/>
    <x v="1"/>
    <x v="0"/>
    <x v="1"/>
    <x v="0"/>
    <x v="1"/>
    <x v="0"/>
  </r>
  <r>
    <x v="430"/>
    <x v="301"/>
    <x v="231"/>
    <x v="6"/>
    <x v="46"/>
    <x v="3"/>
    <x v="1"/>
    <x v="12"/>
    <x v="25"/>
    <x v="3"/>
    <x v="53"/>
    <x v="143"/>
    <x v="237"/>
    <x v="61"/>
    <x v="415"/>
    <x v="163"/>
    <x v="0"/>
    <x v="9"/>
    <x v="0"/>
    <x v="0"/>
    <x v="0"/>
    <x v="1"/>
    <x v="0"/>
    <x v="1"/>
    <x v="0"/>
  </r>
  <r>
    <x v="431"/>
    <x v="16"/>
    <x v="96"/>
    <x v="59"/>
    <x v="99"/>
    <x v="6"/>
    <x v="1"/>
    <x v="10"/>
    <x v="20"/>
    <x v="3"/>
    <x v="44"/>
    <x v="128"/>
    <x v="205"/>
    <x v="50"/>
    <x v="377"/>
    <x v="214"/>
    <x v="1"/>
    <x v="15"/>
    <x v="1"/>
    <x v="0"/>
    <x v="1"/>
    <x v="1"/>
    <x v="0"/>
    <x v="4"/>
    <x v="363"/>
  </r>
  <r>
    <x v="432"/>
    <x v="42"/>
    <x v="117"/>
    <x v="13"/>
    <x v="41"/>
    <x v="3"/>
    <x v="3"/>
    <x v="6"/>
    <x v="12"/>
    <x v="0"/>
    <x v="47"/>
    <x v="0"/>
    <x v="246"/>
    <x v="51"/>
    <x v="517"/>
    <x v="308"/>
    <x v="1"/>
    <x v="5"/>
    <x v="2"/>
    <x v="1"/>
    <x v="1"/>
    <x v="1"/>
    <x v="0"/>
    <x v="4"/>
    <x v="494"/>
  </r>
  <r>
    <x v="433"/>
    <x v="183"/>
    <x v="273"/>
    <x v="1"/>
    <x v="9"/>
    <x v="3"/>
    <x v="0"/>
    <x v="17"/>
    <x v="36"/>
    <x v="2"/>
    <x v="42"/>
    <x v="91"/>
    <x v="202"/>
    <x v="57"/>
    <x v="288"/>
    <x v="100"/>
    <x v="1"/>
    <x v="3"/>
    <x v="0"/>
    <x v="1"/>
    <x v="1"/>
    <x v="1"/>
    <x v="0"/>
    <x v="3"/>
    <x v="279"/>
  </r>
  <r>
    <x v="434"/>
    <x v="189"/>
    <x v="15"/>
    <x v="24"/>
    <x v="44"/>
    <x v="4"/>
    <x v="1"/>
    <x v="16"/>
    <x v="33"/>
    <x v="2"/>
    <x v="67"/>
    <x v="140"/>
    <x v="306"/>
    <x v="73"/>
    <x v="518"/>
    <x v="157"/>
    <x v="1"/>
    <x v="3"/>
    <x v="0"/>
    <x v="2"/>
    <x v="1"/>
    <x v="1"/>
    <x v="0"/>
    <x v="3"/>
    <x v="495"/>
  </r>
  <r>
    <x v="435"/>
    <x v="67"/>
    <x v="183"/>
    <x v="25"/>
    <x v="84"/>
    <x v="4"/>
    <x v="3"/>
    <x v="10"/>
    <x v="18"/>
    <x v="1"/>
    <x v="71"/>
    <x v="94"/>
    <x v="335"/>
    <x v="68"/>
    <x v="632"/>
    <x v="311"/>
    <x v="1"/>
    <x v="12"/>
    <x v="0"/>
    <x v="1"/>
    <x v="1"/>
    <x v="1"/>
    <x v="0"/>
    <x v="3"/>
    <x v="602"/>
  </r>
  <r>
    <x v="436"/>
    <x v="76"/>
    <x v="202"/>
    <x v="67"/>
    <x v="21"/>
    <x v="6"/>
    <x v="0"/>
    <x v="4"/>
    <x v="7"/>
    <x v="3"/>
    <x v="5"/>
    <x v="31"/>
    <x v="26"/>
    <x v="7"/>
    <x v="54"/>
    <x v="304"/>
    <x v="1"/>
    <x v="4"/>
    <x v="1"/>
    <x v="1"/>
    <x v="1"/>
    <x v="1"/>
    <x v="0"/>
    <x v="3"/>
    <x v="53"/>
  </r>
  <r>
    <x v="437"/>
    <x v="282"/>
    <x v="21"/>
    <x v="58"/>
    <x v="5"/>
    <x v="1"/>
    <x v="0"/>
    <x v="9"/>
    <x v="20"/>
    <x v="3"/>
    <x v="16"/>
    <x v="65"/>
    <x v="80"/>
    <x v="29"/>
    <x v="109"/>
    <x v="138"/>
    <x v="1"/>
    <x v="14"/>
    <x v="1"/>
    <x v="1"/>
    <x v="1"/>
    <x v="1"/>
    <x v="0"/>
    <x v="4"/>
    <x v="105"/>
  </r>
  <r>
    <x v="438"/>
    <x v="342"/>
    <x v="19"/>
    <x v="36"/>
    <x v="63"/>
    <x v="5"/>
    <x v="1"/>
    <x v="10"/>
    <x v="20"/>
    <x v="0"/>
    <x v="44"/>
    <x v="0"/>
    <x v="228"/>
    <x v="50"/>
    <x v="469"/>
    <x v="283"/>
    <x v="1"/>
    <x v="19"/>
    <x v="1"/>
    <x v="2"/>
    <x v="1"/>
    <x v="1"/>
    <x v="0"/>
    <x v="0"/>
    <x v="450"/>
  </r>
  <r>
    <x v="439"/>
    <x v="5"/>
    <x v="31"/>
    <x v="38"/>
    <x v="92"/>
    <x v="5"/>
    <x v="3"/>
    <x v="9"/>
    <x v="18"/>
    <x v="1"/>
    <x v="66"/>
    <x v="83"/>
    <x v="313"/>
    <x v="68"/>
    <x v="582"/>
    <x v="268"/>
    <x v="4"/>
    <x v="16"/>
    <x v="1"/>
    <x v="2"/>
    <x v="2"/>
    <x v="1"/>
    <x v="0"/>
    <x v="3"/>
    <x v="558"/>
  </r>
  <r>
    <x v="440"/>
    <x v="257"/>
    <x v="297"/>
    <x v="33"/>
    <x v="87"/>
    <x v="5"/>
    <x v="1"/>
    <x v="11"/>
    <x v="23"/>
    <x v="1"/>
    <x v="49"/>
    <x v="56"/>
    <x v="241"/>
    <x v="56"/>
    <x v="457"/>
    <x v="232"/>
    <x v="4"/>
    <x v="19"/>
    <x v="1"/>
    <x v="1"/>
    <x v="2"/>
    <x v="1"/>
    <x v="0"/>
    <x v="0"/>
    <x v="442"/>
  </r>
  <r>
    <x v="441"/>
    <x v="213"/>
    <x v="151"/>
    <x v="17"/>
    <x v="18"/>
    <x v="4"/>
    <x v="3"/>
    <x v="11"/>
    <x v="23"/>
    <x v="3"/>
    <x v="76"/>
    <x v="190"/>
    <x v="336"/>
    <x v="80"/>
    <x v="568"/>
    <x v="181"/>
    <x v="1"/>
    <x v="9"/>
    <x v="1"/>
    <x v="0"/>
    <x v="1"/>
    <x v="1"/>
    <x v="0"/>
    <x v="4"/>
    <x v="545"/>
  </r>
  <r>
    <x v="442"/>
    <x v="264"/>
    <x v="83"/>
    <x v="65"/>
    <x v="36"/>
    <x v="6"/>
    <x v="2"/>
    <x v="7"/>
    <x v="14"/>
    <x v="3"/>
    <x v="41"/>
    <x v="122"/>
    <x v="189"/>
    <x v="45"/>
    <x v="381"/>
    <x v="251"/>
    <x v="1"/>
    <x v="4"/>
    <x v="2"/>
    <x v="1"/>
    <x v="1"/>
    <x v="1"/>
    <x v="0"/>
    <x v="3"/>
    <x v="367"/>
  </r>
  <r>
    <x v="443"/>
    <x v="199"/>
    <x v="52"/>
    <x v="65"/>
    <x v="36"/>
    <x v="6"/>
    <x v="1"/>
    <x v="7"/>
    <x v="14"/>
    <x v="2"/>
    <x v="26"/>
    <x v="61"/>
    <x v="135"/>
    <x v="33"/>
    <x v="282"/>
    <x v="276"/>
    <x v="1"/>
    <x v="11"/>
    <x v="1"/>
    <x v="1"/>
    <x v="1"/>
    <x v="1"/>
    <x v="0"/>
    <x v="4"/>
    <x v="273"/>
  </r>
  <r>
    <x v="444"/>
    <x v="334"/>
    <x v="86"/>
    <x v="46"/>
    <x v="85"/>
    <x v="1"/>
    <x v="0"/>
    <x v="5"/>
    <x v="11"/>
    <x v="3"/>
    <x v="7"/>
    <x v="34"/>
    <x v="37"/>
    <x v="13"/>
    <x v="49"/>
    <x v="220"/>
    <x v="1"/>
    <x v="10"/>
    <x v="1"/>
    <x v="2"/>
    <x v="1"/>
    <x v="1"/>
    <x v="0"/>
    <x v="0"/>
    <x v="49"/>
  </r>
  <r>
    <x v="445"/>
    <x v="176"/>
    <x v="80"/>
    <x v="57"/>
    <x v="58"/>
    <x v="1"/>
    <x v="3"/>
    <x v="5"/>
    <x v="11"/>
    <x v="5"/>
    <x v="43"/>
    <x v="165"/>
    <x v="177"/>
    <x v="49"/>
    <x v="298"/>
    <x v="159"/>
    <x v="1"/>
    <x v="14"/>
    <x v="1"/>
    <x v="0"/>
    <x v="1"/>
    <x v="1"/>
    <x v="0"/>
    <x v="3"/>
    <x v="287"/>
  </r>
  <r>
    <x v="446"/>
    <x v="170"/>
    <x v="121"/>
    <x v="49"/>
    <x v="38"/>
    <x v="1"/>
    <x v="1"/>
    <x v="6"/>
    <x v="13"/>
    <x v="4"/>
    <x v="22"/>
    <x v="101"/>
    <x v="103"/>
    <x v="31"/>
    <x v="173"/>
    <x v="199"/>
    <x v="1"/>
    <x v="1"/>
    <x v="1"/>
    <x v="1"/>
    <x v="1"/>
    <x v="1"/>
    <x v="0"/>
    <x v="4"/>
    <x v="167"/>
  </r>
  <r>
    <x v="447"/>
    <x v="236"/>
    <x v="174"/>
    <x v="61"/>
    <x v="76"/>
    <x v="6"/>
    <x v="0"/>
    <x v="2"/>
    <x v="3"/>
    <x v="1"/>
    <x v="2"/>
    <x v="3"/>
    <x v="16"/>
    <x v="3"/>
    <x v="36"/>
    <x v="336"/>
    <x v="1"/>
    <x v="18"/>
    <x v="0"/>
    <x v="2"/>
    <x v="1"/>
    <x v="1"/>
    <x v="0"/>
    <x v="4"/>
    <x v="37"/>
  </r>
  <r>
    <x v="448"/>
    <x v="105"/>
    <x v="28"/>
    <x v="33"/>
    <x v="87"/>
    <x v="5"/>
    <x v="1"/>
    <x v="11"/>
    <x v="23"/>
    <x v="2"/>
    <x v="49"/>
    <x v="103"/>
    <x v="233"/>
    <x v="56"/>
    <x v="430"/>
    <x v="211"/>
    <x v="1"/>
    <x v="0"/>
    <x v="1"/>
    <x v="0"/>
    <x v="1"/>
    <x v="1"/>
    <x v="0"/>
    <x v="0"/>
    <x v="415"/>
  </r>
  <r>
    <x v="449"/>
    <x v="259"/>
    <x v="156"/>
    <x v="26"/>
    <x v="8"/>
    <x v="4"/>
    <x v="1"/>
    <x v="5"/>
    <x v="10"/>
    <x v="2"/>
    <x v="19"/>
    <x v="49"/>
    <x v="102"/>
    <x v="25"/>
    <x v="209"/>
    <x v="274"/>
    <x v="4"/>
    <x v="5"/>
    <x v="0"/>
    <x v="1"/>
    <x v="2"/>
    <x v="1"/>
    <x v="0"/>
    <x v="0"/>
    <x v="202"/>
  </r>
  <r>
    <x v="450"/>
    <x v="64"/>
    <x v="177"/>
    <x v="4"/>
    <x v="66"/>
    <x v="3"/>
    <x v="0"/>
    <x v="14"/>
    <x v="31"/>
    <x v="0"/>
    <x v="33"/>
    <x v="0"/>
    <x v="181"/>
    <x v="47"/>
    <x v="319"/>
    <x v="185"/>
    <x v="0"/>
    <x v="19"/>
    <x v="0"/>
    <x v="0"/>
    <x v="0"/>
    <x v="1"/>
    <x v="0"/>
    <x v="1"/>
    <x v="0"/>
  </r>
  <r>
    <x v="451"/>
    <x v="183"/>
    <x v="123"/>
    <x v="97"/>
    <x v="81"/>
    <x v="0"/>
    <x v="0"/>
    <x v="12"/>
    <x v="29"/>
    <x v="3"/>
    <x v="27"/>
    <x v="90"/>
    <x v="126"/>
    <x v="43"/>
    <x v="149"/>
    <x v="87"/>
    <x v="1"/>
    <x v="4"/>
    <x v="1"/>
    <x v="1"/>
    <x v="1"/>
    <x v="1"/>
    <x v="0"/>
    <x v="3"/>
    <x v="143"/>
  </r>
  <r>
    <x v="452"/>
    <x v="20"/>
    <x v="120"/>
    <x v="35"/>
    <x v="24"/>
    <x v="5"/>
    <x v="1"/>
    <x v="17"/>
    <x v="35"/>
    <x v="1"/>
    <x v="70"/>
    <x v="91"/>
    <x v="324"/>
    <x v="78"/>
    <x v="550"/>
    <x v="167"/>
    <x v="1"/>
    <x v="14"/>
    <x v="0"/>
    <x v="1"/>
    <x v="1"/>
    <x v="1"/>
    <x v="0"/>
    <x v="3"/>
    <x v="527"/>
  </r>
  <r>
    <x v="453"/>
    <x v="265"/>
    <x v="261"/>
    <x v="60"/>
    <x v="68"/>
    <x v="6"/>
    <x v="0"/>
    <x v="5"/>
    <x v="9"/>
    <x v="2"/>
    <x v="7"/>
    <x v="21"/>
    <x v="40"/>
    <x v="11"/>
    <x v="85"/>
    <x v="297"/>
    <x v="1"/>
    <x v="8"/>
    <x v="2"/>
    <x v="0"/>
    <x v="1"/>
    <x v="1"/>
    <x v="0"/>
    <x v="3"/>
    <x v="84"/>
  </r>
  <r>
    <x v="454"/>
    <x v="166"/>
    <x v="170"/>
    <x v="56"/>
    <x v="17"/>
    <x v="1"/>
    <x v="0"/>
    <x v="1"/>
    <x v="1"/>
    <x v="4"/>
    <x v="1"/>
    <x v="20"/>
    <x v="6"/>
    <x v="1"/>
    <x v="5"/>
    <x v="303"/>
    <x v="1"/>
    <x v="11"/>
    <x v="0"/>
    <x v="1"/>
    <x v="1"/>
    <x v="1"/>
    <x v="0"/>
    <x v="4"/>
    <x v="6"/>
  </r>
  <r>
    <x v="455"/>
    <x v="102"/>
    <x v="189"/>
    <x v="90"/>
    <x v="69"/>
    <x v="0"/>
    <x v="0"/>
    <x v="20"/>
    <x v="41"/>
    <x v="1"/>
    <x v="54"/>
    <x v="63"/>
    <x v="260"/>
    <x v="68"/>
    <x v="399"/>
    <x v="98"/>
    <x v="4"/>
    <x v="16"/>
    <x v="1"/>
    <x v="1"/>
    <x v="2"/>
    <x v="1"/>
    <x v="0"/>
    <x v="3"/>
    <x v="385"/>
  </r>
  <r>
    <x v="456"/>
    <x v="334"/>
    <x v="122"/>
    <x v="38"/>
    <x v="92"/>
    <x v="5"/>
    <x v="2"/>
    <x v="9"/>
    <x v="18"/>
    <x v="1"/>
    <x v="55"/>
    <x v="65"/>
    <x v="267"/>
    <x v="59"/>
    <x v="519"/>
    <x v="268"/>
    <x v="1"/>
    <x v="8"/>
    <x v="1"/>
    <x v="1"/>
    <x v="1"/>
    <x v="1"/>
    <x v="0"/>
    <x v="0"/>
    <x v="496"/>
  </r>
  <r>
    <x v="457"/>
    <x v="194"/>
    <x v="118"/>
    <x v="98"/>
    <x v="72"/>
    <x v="0"/>
    <x v="1"/>
    <x v="15"/>
    <x v="34"/>
    <x v="1"/>
    <x v="64"/>
    <x v="78"/>
    <x v="302"/>
    <x v="75"/>
    <x v="487"/>
    <x v="122"/>
    <x v="1"/>
    <x v="19"/>
    <x v="1"/>
    <x v="1"/>
    <x v="1"/>
    <x v="1"/>
    <x v="0"/>
    <x v="4"/>
    <x v="468"/>
  </r>
  <r>
    <x v="458"/>
    <x v="168"/>
    <x v="79"/>
    <x v="73"/>
    <x v="60"/>
    <x v="2"/>
    <x v="1"/>
    <x v="3"/>
    <x v="6"/>
    <x v="4"/>
    <x v="13"/>
    <x v="70"/>
    <x v="65"/>
    <x v="18"/>
    <x v="122"/>
    <x v="263"/>
    <x v="1"/>
    <x v="6"/>
    <x v="1"/>
    <x v="0"/>
    <x v="1"/>
    <x v="1"/>
    <x v="0"/>
    <x v="0"/>
    <x v="118"/>
  </r>
  <r>
    <x v="459"/>
    <x v="42"/>
    <x v="278"/>
    <x v="37"/>
    <x v="51"/>
    <x v="5"/>
    <x v="0"/>
    <x v="8"/>
    <x v="17"/>
    <x v="1"/>
    <x v="14"/>
    <x v="16"/>
    <x v="78"/>
    <x v="21"/>
    <x v="154"/>
    <x v="265"/>
    <x v="1"/>
    <x v="6"/>
    <x v="2"/>
    <x v="2"/>
    <x v="1"/>
    <x v="1"/>
    <x v="0"/>
    <x v="4"/>
    <x v="148"/>
  </r>
  <r>
    <x v="460"/>
    <x v="338"/>
    <x v="131"/>
    <x v="23"/>
    <x v="49"/>
    <x v="4"/>
    <x v="1"/>
    <x v="12"/>
    <x v="24"/>
    <x v="0"/>
    <x v="53"/>
    <x v="0"/>
    <x v="268"/>
    <x v="59"/>
    <x v="520"/>
    <x v="271"/>
    <x v="4"/>
    <x v="9"/>
    <x v="0"/>
    <x v="1"/>
    <x v="2"/>
    <x v="1"/>
    <x v="0"/>
    <x v="0"/>
    <x v="497"/>
  </r>
  <r>
    <x v="461"/>
    <x v="246"/>
    <x v="238"/>
    <x v="5"/>
    <x v="98"/>
    <x v="3"/>
    <x v="2"/>
    <x v="9"/>
    <x v="18"/>
    <x v="0"/>
    <x v="55"/>
    <x v="0"/>
    <x v="277"/>
    <x v="59"/>
    <x v="537"/>
    <x v="288"/>
    <x v="1"/>
    <x v="6"/>
    <x v="1"/>
    <x v="2"/>
    <x v="1"/>
    <x v="1"/>
    <x v="0"/>
    <x v="4"/>
    <x v="514"/>
  </r>
  <r>
    <x v="462"/>
    <x v="49"/>
    <x v="161"/>
    <x v="64"/>
    <x v="3"/>
    <x v="6"/>
    <x v="3"/>
    <x v="12"/>
    <x v="28"/>
    <x v="4"/>
    <x v="81"/>
    <x v="214"/>
    <x v="344"/>
    <x v="88"/>
    <x v="526"/>
    <x v="85"/>
    <x v="1"/>
    <x v="8"/>
    <x v="1"/>
    <x v="0"/>
    <x v="1"/>
    <x v="1"/>
    <x v="0"/>
    <x v="3"/>
    <x v="503"/>
  </r>
  <r>
    <x v="463"/>
    <x v="262"/>
    <x v="158"/>
    <x v="87"/>
    <x v="26"/>
    <x v="0"/>
    <x v="2"/>
    <x v="15"/>
    <x v="34"/>
    <x v="3"/>
    <x v="79"/>
    <x v="194"/>
    <x v="347"/>
    <x v="92"/>
    <x v="516"/>
    <x v="65"/>
    <x v="1"/>
    <x v="6"/>
    <x v="0"/>
    <x v="2"/>
    <x v="1"/>
    <x v="1"/>
    <x v="0"/>
    <x v="0"/>
    <x v="493"/>
  </r>
  <r>
    <x v="464"/>
    <x v="71"/>
    <x v="150"/>
    <x v="95"/>
    <x v="0"/>
    <x v="0"/>
    <x v="1"/>
    <x v="24"/>
    <x v="48"/>
    <x v="3"/>
    <x v="105"/>
    <x v="236"/>
    <x v="428"/>
    <x v="119"/>
    <x v="573"/>
    <x v="12"/>
    <x v="1"/>
    <x v="11"/>
    <x v="1"/>
    <x v="1"/>
    <x v="1"/>
    <x v="2"/>
    <x v="0"/>
    <x v="4"/>
    <x v="550"/>
  </r>
  <r>
    <x v="465"/>
    <x v="302"/>
    <x v="24"/>
    <x v="8"/>
    <x v="50"/>
    <x v="3"/>
    <x v="0"/>
    <x v="10"/>
    <x v="20"/>
    <x v="2"/>
    <x v="20"/>
    <x v="50"/>
    <x v="104"/>
    <x v="29"/>
    <x v="193"/>
    <x v="237"/>
    <x v="1"/>
    <x v="4"/>
    <x v="1"/>
    <x v="1"/>
    <x v="1"/>
    <x v="1"/>
    <x v="0"/>
    <x v="0"/>
    <x v="187"/>
  </r>
  <r>
    <x v="466"/>
    <x v="67"/>
    <x v="155"/>
    <x v="85"/>
    <x v="35"/>
    <x v="2"/>
    <x v="0"/>
    <x v="1"/>
    <x v="2"/>
    <x v="2"/>
    <x v="1"/>
    <x v="7"/>
    <x v="8"/>
    <x v="2"/>
    <x v="10"/>
    <x v="314"/>
    <x v="1"/>
    <x v="15"/>
    <x v="1"/>
    <x v="1"/>
    <x v="1"/>
    <x v="1"/>
    <x v="0"/>
    <x v="0"/>
    <x v="11"/>
  </r>
  <r>
    <x v="467"/>
    <x v="174"/>
    <x v="114"/>
    <x v="10"/>
    <x v="42"/>
    <x v="3"/>
    <x v="0"/>
    <x v="18"/>
    <x v="37"/>
    <x v="1"/>
    <x v="45"/>
    <x v="51"/>
    <x v="221"/>
    <x v="59"/>
    <x v="356"/>
    <x v="136"/>
    <x v="1"/>
    <x v="3"/>
    <x v="0"/>
    <x v="0"/>
    <x v="1"/>
    <x v="1"/>
    <x v="0"/>
    <x v="3"/>
    <x v="343"/>
  </r>
  <r>
    <x v="468"/>
    <x v="240"/>
    <x v="55"/>
    <x v="22"/>
    <x v="79"/>
    <x v="4"/>
    <x v="2"/>
    <x v="4"/>
    <x v="7"/>
    <x v="1"/>
    <x v="28"/>
    <x v="31"/>
    <x v="148"/>
    <x v="30"/>
    <x v="364"/>
    <x v="328"/>
    <x v="4"/>
    <x v="3"/>
    <x v="1"/>
    <x v="0"/>
    <x v="2"/>
    <x v="1"/>
    <x v="0"/>
    <x v="4"/>
    <x v="350"/>
  </r>
  <r>
    <x v="469"/>
    <x v="199"/>
    <x v="216"/>
    <x v="46"/>
    <x v="85"/>
    <x v="1"/>
    <x v="0"/>
    <x v="5"/>
    <x v="11"/>
    <x v="1"/>
    <x v="7"/>
    <x v="8"/>
    <x v="45"/>
    <x v="13"/>
    <x v="84"/>
    <x v="272"/>
    <x v="1"/>
    <x v="5"/>
    <x v="0"/>
    <x v="1"/>
    <x v="1"/>
    <x v="1"/>
    <x v="0"/>
    <x v="4"/>
    <x v="83"/>
  </r>
  <r>
    <x v="470"/>
    <x v="32"/>
    <x v="24"/>
    <x v="9"/>
    <x v="95"/>
    <x v="3"/>
    <x v="1"/>
    <x v="19"/>
    <x v="39"/>
    <x v="3"/>
    <x v="78"/>
    <x v="192"/>
    <x v="338"/>
    <x v="89"/>
    <x v="486"/>
    <x v="61"/>
    <x v="2"/>
    <x v="4"/>
    <x v="1"/>
    <x v="1"/>
    <x v="2"/>
    <x v="1"/>
    <x v="0"/>
    <x v="2"/>
    <x v="467"/>
  </r>
  <r>
    <x v="471"/>
    <x v="318"/>
    <x v="286"/>
    <x v="94"/>
    <x v="86"/>
    <x v="0"/>
    <x v="0"/>
    <x v="18"/>
    <x v="38"/>
    <x v="2"/>
    <x v="45"/>
    <x v="95"/>
    <x v="214"/>
    <x v="60"/>
    <x v="279"/>
    <x v="81"/>
    <x v="1"/>
    <x v="0"/>
    <x v="1"/>
    <x v="1"/>
    <x v="1"/>
    <x v="1"/>
    <x v="0"/>
    <x v="4"/>
    <x v="270"/>
  </r>
  <r>
    <x v="472"/>
    <x v="63"/>
    <x v="82"/>
    <x v="60"/>
    <x v="68"/>
    <x v="6"/>
    <x v="2"/>
    <x v="5"/>
    <x v="9"/>
    <x v="2"/>
    <x v="31"/>
    <x v="71"/>
    <x v="160"/>
    <x v="36"/>
    <x v="361"/>
    <x v="297"/>
    <x v="1"/>
    <x v="8"/>
    <x v="1"/>
    <x v="0"/>
    <x v="1"/>
    <x v="1"/>
    <x v="0"/>
    <x v="4"/>
    <x v="347"/>
  </r>
  <r>
    <x v="473"/>
    <x v="190"/>
    <x v="131"/>
    <x v="77"/>
    <x v="75"/>
    <x v="2"/>
    <x v="0"/>
    <x v="2"/>
    <x v="4"/>
    <x v="3"/>
    <x v="2"/>
    <x v="19"/>
    <x v="13"/>
    <x v="4"/>
    <x v="16"/>
    <x v="290"/>
    <x v="1"/>
    <x v="9"/>
    <x v="0"/>
    <x v="0"/>
    <x v="1"/>
    <x v="1"/>
    <x v="0"/>
    <x v="0"/>
    <x v="17"/>
  </r>
  <r>
    <x v="474"/>
    <x v="306"/>
    <x v="205"/>
    <x v="5"/>
    <x v="98"/>
    <x v="3"/>
    <x v="0"/>
    <x v="9"/>
    <x v="18"/>
    <x v="5"/>
    <x v="16"/>
    <x v="97"/>
    <x v="71"/>
    <x v="24"/>
    <x v="96"/>
    <x v="156"/>
    <x v="1"/>
    <x v="10"/>
    <x v="1"/>
    <x v="0"/>
    <x v="1"/>
    <x v="1"/>
    <x v="0"/>
    <x v="4"/>
    <x v="94"/>
  </r>
  <r>
    <x v="475"/>
    <x v="181"/>
    <x v="148"/>
    <x v="96"/>
    <x v="91"/>
    <x v="0"/>
    <x v="0"/>
    <x v="23"/>
    <x v="47"/>
    <x v="0"/>
    <x v="75"/>
    <x v="0"/>
    <x v="358"/>
    <x v="93"/>
    <x v="523"/>
    <x v="63"/>
    <x v="1"/>
    <x v="7"/>
    <x v="0"/>
    <x v="1"/>
    <x v="1"/>
    <x v="1"/>
    <x v="0"/>
    <x v="4"/>
    <x v="500"/>
  </r>
  <r>
    <x v="476"/>
    <x v="136"/>
    <x v="188"/>
    <x v="87"/>
    <x v="26"/>
    <x v="0"/>
    <x v="0"/>
    <x v="15"/>
    <x v="34"/>
    <x v="2"/>
    <x v="35"/>
    <x v="78"/>
    <x v="174"/>
    <x v="52"/>
    <x v="227"/>
    <x v="91"/>
    <x v="1"/>
    <x v="7"/>
    <x v="1"/>
    <x v="1"/>
    <x v="1"/>
    <x v="1"/>
    <x v="0"/>
    <x v="4"/>
    <x v="219"/>
  </r>
  <r>
    <x v="477"/>
    <x v="9"/>
    <x v="94"/>
    <x v="89"/>
    <x v="89"/>
    <x v="0"/>
    <x v="0"/>
    <x v="17"/>
    <x v="37"/>
    <x v="3"/>
    <x v="42"/>
    <x v="124"/>
    <x v="190"/>
    <x v="59"/>
    <x v="196"/>
    <x v="48"/>
    <x v="3"/>
    <x v="3"/>
    <x v="2"/>
    <x v="1"/>
    <x v="3"/>
    <x v="1"/>
    <x v="0"/>
    <x v="0"/>
    <x v="0"/>
  </r>
  <r>
    <x v="478"/>
    <x v="111"/>
    <x v="42"/>
    <x v="9"/>
    <x v="95"/>
    <x v="3"/>
    <x v="0"/>
    <x v="19"/>
    <x v="39"/>
    <x v="2"/>
    <x v="50"/>
    <x v="105"/>
    <x v="234"/>
    <x v="65"/>
    <x v="330"/>
    <x v="86"/>
    <x v="1"/>
    <x v="1"/>
    <x v="0"/>
    <x v="1"/>
    <x v="1"/>
    <x v="1"/>
    <x v="0"/>
    <x v="4"/>
    <x v="318"/>
  </r>
  <r>
    <x v="479"/>
    <x v="154"/>
    <x v="88"/>
    <x v="43"/>
    <x v="25"/>
    <x v="5"/>
    <x v="1"/>
    <x v="3"/>
    <x v="5"/>
    <x v="5"/>
    <x v="13"/>
    <x v="87"/>
    <x v="59"/>
    <x v="17"/>
    <x v="113"/>
    <x v="273"/>
    <x v="1"/>
    <x v="13"/>
    <x v="0"/>
    <x v="1"/>
    <x v="1"/>
    <x v="1"/>
    <x v="0"/>
    <x v="4"/>
    <x v="109"/>
  </r>
  <r>
    <x v="480"/>
    <x v="253"/>
    <x v="245"/>
    <x v="16"/>
    <x v="22"/>
    <x v="4"/>
    <x v="1"/>
    <x v="15"/>
    <x v="31"/>
    <x v="4"/>
    <x v="64"/>
    <x v="187"/>
    <x v="276"/>
    <x v="71"/>
    <x v="431"/>
    <x v="108"/>
    <x v="3"/>
    <x v="10"/>
    <x v="1"/>
    <x v="1"/>
    <x v="3"/>
    <x v="1"/>
    <x v="0"/>
    <x v="0"/>
    <x v="0"/>
  </r>
  <r>
    <x v="481"/>
    <x v="303"/>
    <x v="119"/>
    <x v="11"/>
    <x v="15"/>
    <x v="3"/>
    <x v="2"/>
    <x v="8"/>
    <x v="17"/>
    <x v="1"/>
    <x v="48"/>
    <x v="55"/>
    <x v="240"/>
    <x v="54"/>
    <x v="479"/>
    <x v="265"/>
    <x v="1"/>
    <x v="6"/>
    <x v="1"/>
    <x v="0"/>
    <x v="1"/>
    <x v="1"/>
    <x v="0"/>
    <x v="3"/>
    <x v="460"/>
  </r>
  <r>
    <x v="482"/>
    <x v="196"/>
    <x v="218"/>
    <x v="52"/>
    <x v="54"/>
    <x v="1"/>
    <x v="1"/>
    <x v="8"/>
    <x v="16"/>
    <x v="3"/>
    <x v="32"/>
    <x v="102"/>
    <x v="153"/>
    <x v="39"/>
    <x v="300"/>
    <x v="234"/>
    <x v="1"/>
    <x v="6"/>
    <x v="0"/>
    <x v="1"/>
    <x v="1"/>
    <x v="1"/>
    <x v="0"/>
    <x v="4"/>
    <x v="289"/>
  </r>
  <r>
    <x v="483"/>
    <x v="105"/>
    <x v="32"/>
    <x v="52"/>
    <x v="54"/>
    <x v="1"/>
    <x v="1"/>
    <x v="8"/>
    <x v="16"/>
    <x v="1"/>
    <x v="32"/>
    <x v="35"/>
    <x v="171"/>
    <x v="39"/>
    <x v="366"/>
    <x v="281"/>
    <x v="1"/>
    <x v="11"/>
    <x v="2"/>
    <x v="0"/>
    <x v="1"/>
    <x v="1"/>
    <x v="0"/>
    <x v="4"/>
    <x v="352"/>
  </r>
  <r>
    <x v="484"/>
    <x v="175"/>
    <x v="106"/>
    <x v="44"/>
    <x v="53"/>
    <x v="5"/>
    <x v="2"/>
    <x v="6"/>
    <x v="12"/>
    <x v="1"/>
    <x v="36"/>
    <x v="40"/>
    <x v="194"/>
    <x v="42"/>
    <x v="416"/>
    <x v="294"/>
    <x v="2"/>
    <x v="10"/>
    <x v="1"/>
    <x v="1"/>
    <x v="2"/>
    <x v="1"/>
    <x v="0"/>
    <x v="2"/>
    <x v="401"/>
  </r>
  <r>
    <x v="485"/>
    <x v="125"/>
    <x v="45"/>
    <x v="93"/>
    <x v="70"/>
    <x v="0"/>
    <x v="0"/>
    <x v="20"/>
    <x v="42"/>
    <x v="5"/>
    <x v="54"/>
    <x v="185"/>
    <x v="218"/>
    <x v="69"/>
    <x v="117"/>
    <x v="6"/>
    <x v="2"/>
    <x v="12"/>
    <x v="0"/>
    <x v="2"/>
    <x v="2"/>
    <x v="1"/>
    <x v="0"/>
    <x v="2"/>
    <x v="113"/>
  </r>
  <r>
    <x v="486"/>
    <x v="245"/>
    <x v="266"/>
    <x v="8"/>
    <x v="50"/>
    <x v="3"/>
    <x v="1"/>
    <x v="10"/>
    <x v="20"/>
    <x v="1"/>
    <x v="44"/>
    <x v="50"/>
    <x v="220"/>
    <x v="50"/>
    <x v="446"/>
    <x v="262"/>
    <x v="1"/>
    <x v="0"/>
    <x v="0"/>
    <x v="1"/>
    <x v="1"/>
    <x v="1"/>
    <x v="0"/>
    <x v="3"/>
    <x v="431"/>
  </r>
  <r>
    <x v="487"/>
    <x v="5"/>
    <x v="77"/>
    <x v="55"/>
    <x v="37"/>
    <x v="1"/>
    <x v="1"/>
    <x v="15"/>
    <x v="34"/>
    <x v="0"/>
    <x v="64"/>
    <x v="0"/>
    <x v="311"/>
    <x v="75"/>
    <x v="520"/>
    <x v="155"/>
    <x v="4"/>
    <x v="5"/>
    <x v="1"/>
    <x v="0"/>
    <x v="2"/>
    <x v="1"/>
    <x v="0"/>
    <x v="0"/>
    <x v="497"/>
  </r>
  <r>
    <x v="488"/>
    <x v="310"/>
    <x v="255"/>
    <x v="68"/>
    <x v="80"/>
    <x v="6"/>
    <x v="1"/>
    <x v="12"/>
    <x v="27"/>
    <x v="1"/>
    <x v="53"/>
    <x v="62"/>
    <x v="259"/>
    <x v="63"/>
    <x v="470"/>
    <x v="203"/>
    <x v="1"/>
    <x v="15"/>
    <x v="0"/>
    <x v="1"/>
    <x v="1"/>
    <x v="1"/>
    <x v="0"/>
    <x v="0"/>
    <x v="451"/>
  </r>
  <r>
    <x v="489"/>
    <x v="40"/>
    <x v="199"/>
    <x v="61"/>
    <x v="76"/>
    <x v="6"/>
    <x v="0"/>
    <x v="2"/>
    <x v="3"/>
    <x v="3"/>
    <x v="2"/>
    <x v="19"/>
    <x v="13"/>
    <x v="3"/>
    <x v="22"/>
    <x v="319"/>
    <x v="1"/>
    <x v="14"/>
    <x v="0"/>
    <x v="2"/>
    <x v="1"/>
    <x v="1"/>
    <x v="0"/>
    <x v="3"/>
    <x v="23"/>
  </r>
  <r>
    <x v="490"/>
    <x v="51"/>
    <x v="176"/>
    <x v="13"/>
    <x v="41"/>
    <x v="3"/>
    <x v="0"/>
    <x v="6"/>
    <x v="12"/>
    <x v="1"/>
    <x v="9"/>
    <x v="10"/>
    <x v="56"/>
    <x v="14"/>
    <x v="111"/>
    <x v="294"/>
    <x v="1"/>
    <x v="5"/>
    <x v="0"/>
    <x v="1"/>
    <x v="1"/>
    <x v="1"/>
    <x v="0"/>
    <x v="4"/>
    <x v="107"/>
  </r>
  <r>
    <x v="491"/>
    <x v="8"/>
    <x v="22"/>
    <x v="85"/>
    <x v="35"/>
    <x v="2"/>
    <x v="1"/>
    <x v="1"/>
    <x v="2"/>
    <x v="4"/>
    <x v="6"/>
    <x v="48"/>
    <x v="32"/>
    <x v="10"/>
    <x v="56"/>
    <x v="280"/>
    <x v="1"/>
    <x v="1"/>
    <x v="1"/>
    <x v="1"/>
    <x v="1"/>
    <x v="1"/>
    <x v="0"/>
    <x v="4"/>
    <x v="55"/>
  </r>
  <r>
    <x v="492"/>
    <x v="117"/>
    <x v="48"/>
    <x v="87"/>
    <x v="26"/>
    <x v="0"/>
    <x v="0"/>
    <x v="15"/>
    <x v="34"/>
    <x v="0"/>
    <x v="35"/>
    <x v="0"/>
    <x v="195"/>
    <x v="52"/>
    <x v="319"/>
    <x v="155"/>
    <x v="1"/>
    <x v="0"/>
    <x v="1"/>
    <x v="1"/>
    <x v="1"/>
    <x v="1"/>
    <x v="0"/>
    <x v="0"/>
    <x v="307"/>
  </r>
  <r>
    <x v="493"/>
    <x v="32"/>
    <x v="142"/>
    <x v="45"/>
    <x v="30"/>
    <x v="1"/>
    <x v="0"/>
    <x v="7"/>
    <x v="15"/>
    <x v="3"/>
    <x v="11"/>
    <x v="46"/>
    <x v="55"/>
    <x v="18"/>
    <x v="80"/>
    <x v="213"/>
    <x v="4"/>
    <x v="4"/>
    <x v="0"/>
    <x v="0"/>
    <x v="2"/>
    <x v="1"/>
    <x v="0"/>
    <x v="0"/>
    <x v="79"/>
  </r>
  <r>
    <x v="494"/>
    <x v="292"/>
    <x v="82"/>
    <x v="0"/>
    <x v="97"/>
    <x v="3"/>
    <x v="1"/>
    <x v="11"/>
    <x v="26"/>
    <x v="4"/>
    <x v="49"/>
    <x v="159"/>
    <x v="213"/>
    <x v="62"/>
    <x v="244"/>
    <x v="57"/>
    <x v="1"/>
    <x v="8"/>
    <x v="1"/>
    <x v="1"/>
    <x v="1"/>
    <x v="1"/>
    <x v="0"/>
    <x v="4"/>
    <x v="236"/>
  </r>
  <r>
    <x v="495"/>
    <x v="322"/>
    <x v="166"/>
    <x v="95"/>
    <x v="0"/>
    <x v="0"/>
    <x v="1"/>
    <x v="24"/>
    <x v="48"/>
    <x v="2"/>
    <x v="105"/>
    <x v="217"/>
    <x v="430"/>
    <x v="119"/>
    <x v="630"/>
    <x v="29"/>
    <x v="0"/>
    <x v="0"/>
    <x v="1"/>
    <x v="0"/>
    <x v="0"/>
    <x v="2"/>
    <x v="0"/>
    <x v="1"/>
    <x v="0"/>
  </r>
  <r>
    <x v="496"/>
    <x v="163"/>
    <x v="176"/>
    <x v="76"/>
    <x v="64"/>
    <x v="2"/>
    <x v="1"/>
    <x v="4"/>
    <x v="8"/>
    <x v="1"/>
    <x v="15"/>
    <x v="17"/>
    <x v="91"/>
    <x v="21"/>
    <x v="218"/>
    <x v="313"/>
    <x v="1"/>
    <x v="5"/>
    <x v="0"/>
    <x v="0"/>
    <x v="1"/>
    <x v="1"/>
    <x v="0"/>
    <x v="4"/>
    <x v="210"/>
  </r>
  <r>
    <x v="497"/>
    <x v="14"/>
    <x v="242"/>
    <x v="29"/>
    <x v="34"/>
    <x v="4"/>
    <x v="3"/>
    <x v="21"/>
    <x v="43"/>
    <x v="1"/>
    <x v="107"/>
    <x v="178"/>
    <x v="438"/>
    <x v="117"/>
    <x v="672"/>
    <x v="132"/>
    <x v="1"/>
    <x v="4"/>
    <x v="0"/>
    <x v="1"/>
    <x v="1"/>
    <x v="2"/>
    <x v="0"/>
    <x v="4"/>
    <x v="634"/>
  </r>
  <r>
    <x v="498"/>
    <x v="262"/>
    <x v="120"/>
    <x v="87"/>
    <x v="26"/>
    <x v="0"/>
    <x v="2"/>
    <x v="15"/>
    <x v="34"/>
    <x v="0"/>
    <x v="79"/>
    <x v="0"/>
    <x v="379"/>
    <x v="92"/>
    <x v="609"/>
    <x v="155"/>
    <x v="3"/>
    <x v="14"/>
    <x v="0"/>
    <x v="1"/>
    <x v="3"/>
    <x v="1"/>
    <x v="0"/>
    <x v="0"/>
    <x v="0"/>
  </r>
  <r>
    <x v="499"/>
    <x v="240"/>
    <x v="141"/>
    <x v="16"/>
    <x v="22"/>
    <x v="4"/>
    <x v="1"/>
    <x v="15"/>
    <x v="31"/>
    <x v="2"/>
    <x v="64"/>
    <x v="134"/>
    <x v="293"/>
    <x v="71"/>
    <x v="506"/>
    <x v="174"/>
    <x v="1"/>
    <x v="8"/>
    <x v="1"/>
    <x v="0"/>
    <x v="1"/>
    <x v="1"/>
    <x v="0"/>
    <x v="4"/>
    <x v="484"/>
  </r>
  <r>
    <x v="500"/>
    <x v="160"/>
    <x v="79"/>
    <x v="24"/>
    <x v="44"/>
    <x v="4"/>
    <x v="3"/>
    <x v="16"/>
    <x v="33"/>
    <x v="5"/>
    <x v="95"/>
    <x v="240"/>
    <x v="388"/>
    <x v="100"/>
    <x v="564"/>
    <x v="62"/>
    <x v="1"/>
    <x v="6"/>
    <x v="1"/>
    <x v="0"/>
    <x v="1"/>
    <x v="1"/>
    <x v="0"/>
    <x v="3"/>
    <x v="541"/>
  </r>
  <r>
    <x v="501"/>
    <x v="42"/>
    <x v="180"/>
    <x v="66"/>
    <x v="13"/>
    <x v="6"/>
    <x v="0"/>
    <x v="8"/>
    <x v="16"/>
    <x v="0"/>
    <x v="14"/>
    <x v="0"/>
    <x v="84"/>
    <x v="20"/>
    <x v="178"/>
    <x v="298"/>
    <x v="2"/>
    <x v="1"/>
    <x v="0"/>
    <x v="0"/>
    <x v="2"/>
    <x v="1"/>
    <x v="0"/>
    <x v="2"/>
    <x v="172"/>
  </r>
  <r>
    <x v="502"/>
    <x v="22"/>
    <x v="245"/>
    <x v="20"/>
    <x v="40"/>
    <x v="4"/>
    <x v="1"/>
    <x v="17"/>
    <x v="32"/>
    <x v="1"/>
    <x v="70"/>
    <x v="91"/>
    <x v="324"/>
    <x v="72"/>
    <x v="580"/>
    <x v="233"/>
    <x v="4"/>
    <x v="10"/>
    <x v="1"/>
    <x v="2"/>
    <x v="2"/>
    <x v="1"/>
    <x v="0"/>
    <x v="4"/>
    <x v="556"/>
  </r>
  <r>
    <x v="503"/>
    <x v="112"/>
    <x v="43"/>
    <x v="59"/>
    <x v="99"/>
    <x v="6"/>
    <x v="1"/>
    <x v="10"/>
    <x v="20"/>
    <x v="1"/>
    <x v="44"/>
    <x v="50"/>
    <x v="220"/>
    <x v="50"/>
    <x v="446"/>
    <x v="262"/>
    <x v="3"/>
    <x v="8"/>
    <x v="1"/>
    <x v="2"/>
    <x v="3"/>
    <x v="1"/>
    <x v="0"/>
    <x v="3"/>
    <x v="0"/>
  </r>
  <r>
    <x v="504"/>
    <x v="221"/>
    <x v="296"/>
    <x v="22"/>
    <x v="79"/>
    <x v="4"/>
    <x v="0"/>
    <x v="4"/>
    <x v="7"/>
    <x v="1"/>
    <x v="5"/>
    <x v="6"/>
    <x v="34"/>
    <x v="7"/>
    <x v="88"/>
    <x v="328"/>
    <x v="1"/>
    <x v="5"/>
    <x v="1"/>
    <x v="0"/>
    <x v="1"/>
    <x v="1"/>
    <x v="0"/>
    <x v="4"/>
    <x v="87"/>
  </r>
  <r>
    <x v="505"/>
    <x v="261"/>
    <x v="283"/>
    <x v="38"/>
    <x v="92"/>
    <x v="5"/>
    <x v="3"/>
    <x v="9"/>
    <x v="18"/>
    <x v="2"/>
    <x v="66"/>
    <x v="139"/>
    <x v="305"/>
    <x v="68"/>
    <x v="562"/>
    <x v="243"/>
    <x v="1"/>
    <x v="12"/>
    <x v="0"/>
    <x v="2"/>
    <x v="1"/>
    <x v="1"/>
    <x v="0"/>
    <x v="3"/>
    <x v="539"/>
  </r>
  <r>
    <x v="506"/>
    <x v="246"/>
    <x v="16"/>
    <x v="74"/>
    <x v="4"/>
    <x v="2"/>
    <x v="0"/>
    <x v="1"/>
    <x v="1"/>
    <x v="2"/>
    <x v="1"/>
    <x v="7"/>
    <x v="8"/>
    <x v="1"/>
    <x v="12"/>
    <x v="327"/>
    <x v="1"/>
    <x v="18"/>
    <x v="1"/>
    <x v="2"/>
    <x v="1"/>
    <x v="1"/>
    <x v="0"/>
    <x v="0"/>
    <x v="13"/>
  </r>
  <r>
    <x v="507"/>
    <x v="234"/>
    <x v="72"/>
    <x v="66"/>
    <x v="13"/>
    <x v="6"/>
    <x v="0"/>
    <x v="8"/>
    <x v="16"/>
    <x v="3"/>
    <x v="14"/>
    <x v="55"/>
    <x v="70"/>
    <x v="20"/>
    <x v="123"/>
    <x v="234"/>
    <x v="1"/>
    <x v="11"/>
    <x v="1"/>
    <x v="2"/>
    <x v="1"/>
    <x v="1"/>
    <x v="0"/>
    <x v="4"/>
    <x v="119"/>
  </r>
  <r>
    <x v="508"/>
    <x v="305"/>
    <x v="19"/>
    <x v="78"/>
    <x v="1"/>
    <x v="2"/>
    <x v="1"/>
    <x v="9"/>
    <x v="20"/>
    <x v="5"/>
    <x v="38"/>
    <x v="154"/>
    <x v="157"/>
    <x v="50"/>
    <x v="177"/>
    <x v="72"/>
    <x v="1"/>
    <x v="19"/>
    <x v="1"/>
    <x v="2"/>
    <x v="1"/>
    <x v="1"/>
    <x v="0"/>
    <x v="0"/>
    <x v="171"/>
  </r>
  <r>
    <x v="509"/>
    <x v="139"/>
    <x v="59"/>
    <x v="57"/>
    <x v="58"/>
    <x v="1"/>
    <x v="2"/>
    <x v="5"/>
    <x v="11"/>
    <x v="4"/>
    <x v="31"/>
    <x v="127"/>
    <x v="145"/>
    <x v="40"/>
    <x v="246"/>
    <x v="196"/>
    <x v="1"/>
    <x v="19"/>
    <x v="0"/>
    <x v="1"/>
    <x v="1"/>
    <x v="1"/>
    <x v="0"/>
    <x v="0"/>
    <x v="238"/>
  </r>
  <r>
    <x v="510"/>
    <x v="290"/>
    <x v="4"/>
    <x v="28"/>
    <x v="73"/>
    <x v="4"/>
    <x v="0"/>
    <x v="3"/>
    <x v="5"/>
    <x v="5"/>
    <x v="4"/>
    <x v="45"/>
    <x v="15"/>
    <x v="5"/>
    <x v="18"/>
    <x v="273"/>
    <x v="1"/>
    <x v="4"/>
    <x v="1"/>
    <x v="2"/>
    <x v="1"/>
    <x v="1"/>
    <x v="0"/>
    <x v="4"/>
    <x v="19"/>
  </r>
  <r>
    <x v="511"/>
    <x v="44"/>
    <x v="29"/>
    <x v="42"/>
    <x v="47"/>
    <x v="5"/>
    <x v="1"/>
    <x v="15"/>
    <x v="32"/>
    <x v="5"/>
    <x v="64"/>
    <x v="203"/>
    <x v="264"/>
    <x v="72"/>
    <x v="318"/>
    <x v="43"/>
    <x v="0"/>
    <x v="13"/>
    <x v="1"/>
    <x v="1"/>
    <x v="0"/>
    <x v="1"/>
    <x v="0"/>
    <x v="1"/>
    <x v="0"/>
  </r>
  <r>
    <x v="512"/>
    <x v="279"/>
    <x v="230"/>
    <x v="33"/>
    <x v="87"/>
    <x v="5"/>
    <x v="1"/>
    <x v="11"/>
    <x v="23"/>
    <x v="4"/>
    <x v="49"/>
    <x v="159"/>
    <x v="213"/>
    <x v="56"/>
    <x v="348"/>
    <x v="147"/>
    <x v="4"/>
    <x v="11"/>
    <x v="0"/>
    <x v="2"/>
    <x v="2"/>
    <x v="1"/>
    <x v="0"/>
    <x v="4"/>
    <x v="335"/>
  </r>
  <r>
    <x v="513"/>
    <x v="270"/>
    <x v="191"/>
    <x v="84"/>
    <x v="55"/>
    <x v="2"/>
    <x v="2"/>
    <x v="3"/>
    <x v="6"/>
    <x v="4"/>
    <x v="21"/>
    <x v="99"/>
    <x v="101"/>
    <x v="27"/>
    <x v="205"/>
    <x v="263"/>
    <x v="1"/>
    <x v="9"/>
    <x v="1"/>
    <x v="1"/>
    <x v="1"/>
    <x v="1"/>
    <x v="0"/>
    <x v="0"/>
    <x v="198"/>
  </r>
  <r>
    <x v="514"/>
    <x v="244"/>
    <x v="294"/>
    <x v="26"/>
    <x v="8"/>
    <x v="4"/>
    <x v="1"/>
    <x v="5"/>
    <x v="10"/>
    <x v="0"/>
    <x v="19"/>
    <x v="0"/>
    <x v="117"/>
    <x v="25"/>
    <x v="272"/>
    <x v="307"/>
    <x v="1"/>
    <x v="18"/>
    <x v="0"/>
    <x v="0"/>
    <x v="1"/>
    <x v="1"/>
    <x v="0"/>
    <x v="0"/>
    <x v="263"/>
  </r>
  <r>
    <x v="515"/>
    <x v="24"/>
    <x v="69"/>
    <x v="75"/>
    <x v="23"/>
    <x v="2"/>
    <x v="0"/>
    <x v="5"/>
    <x v="11"/>
    <x v="3"/>
    <x v="7"/>
    <x v="34"/>
    <x v="37"/>
    <x v="13"/>
    <x v="49"/>
    <x v="220"/>
    <x v="1"/>
    <x v="13"/>
    <x v="1"/>
    <x v="1"/>
    <x v="1"/>
    <x v="1"/>
    <x v="0"/>
    <x v="0"/>
    <x v="49"/>
  </r>
  <r>
    <x v="516"/>
    <x v="33"/>
    <x v="156"/>
    <x v="81"/>
    <x v="31"/>
    <x v="2"/>
    <x v="0"/>
    <x v="2"/>
    <x v="4"/>
    <x v="5"/>
    <x v="2"/>
    <x v="37"/>
    <x v="9"/>
    <x v="4"/>
    <x v="7"/>
    <x v="239"/>
    <x v="4"/>
    <x v="5"/>
    <x v="0"/>
    <x v="1"/>
    <x v="2"/>
    <x v="1"/>
    <x v="0"/>
    <x v="0"/>
    <x v="8"/>
  </r>
  <r>
    <x v="517"/>
    <x v="55"/>
    <x v="123"/>
    <x v="58"/>
    <x v="5"/>
    <x v="1"/>
    <x v="0"/>
    <x v="9"/>
    <x v="20"/>
    <x v="2"/>
    <x v="16"/>
    <x v="42"/>
    <x v="87"/>
    <x v="29"/>
    <x v="137"/>
    <x v="170"/>
    <x v="4"/>
    <x v="4"/>
    <x v="1"/>
    <x v="1"/>
    <x v="2"/>
    <x v="1"/>
    <x v="0"/>
    <x v="0"/>
    <x v="131"/>
  </r>
  <r>
    <x v="518"/>
    <x v="257"/>
    <x v="258"/>
    <x v="23"/>
    <x v="49"/>
    <x v="4"/>
    <x v="0"/>
    <x v="12"/>
    <x v="24"/>
    <x v="2"/>
    <x v="27"/>
    <x v="62"/>
    <x v="137"/>
    <x v="36"/>
    <x v="252"/>
    <x v="226"/>
    <x v="1"/>
    <x v="6"/>
    <x v="1"/>
    <x v="1"/>
    <x v="1"/>
    <x v="1"/>
    <x v="0"/>
    <x v="4"/>
    <x v="244"/>
  </r>
  <r>
    <x v="519"/>
    <x v="23"/>
    <x v="15"/>
    <x v="10"/>
    <x v="42"/>
    <x v="3"/>
    <x v="0"/>
    <x v="18"/>
    <x v="37"/>
    <x v="4"/>
    <x v="45"/>
    <x v="150"/>
    <x v="193"/>
    <x v="59"/>
    <x v="203"/>
    <x v="51"/>
    <x v="1"/>
    <x v="3"/>
    <x v="0"/>
    <x v="0"/>
    <x v="1"/>
    <x v="1"/>
    <x v="0"/>
    <x v="4"/>
    <x v="196"/>
  </r>
  <r>
    <x v="520"/>
    <x v="144"/>
    <x v="245"/>
    <x v="66"/>
    <x v="13"/>
    <x v="6"/>
    <x v="0"/>
    <x v="8"/>
    <x v="16"/>
    <x v="5"/>
    <x v="14"/>
    <x v="89"/>
    <x v="62"/>
    <x v="20"/>
    <x v="77"/>
    <x v="169"/>
    <x v="1"/>
    <x v="10"/>
    <x v="1"/>
    <x v="2"/>
    <x v="1"/>
    <x v="1"/>
    <x v="0"/>
    <x v="3"/>
    <x v="76"/>
  </r>
  <r>
    <x v="521"/>
    <x v="249"/>
    <x v="136"/>
    <x v="19"/>
    <x v="2"/>
    <x v="4"/>
    <x v="0"/>
    <x v="14"/>
    <x v="30"/>
    <x v="3"/>
    <x v="33"/>
    <x v="104"/>
    <x v="154"/>
    <x v="45"/>
    <x v="228"/>
    <x v="141"/>
    <x v="1"/>
    <x v="5"/>
    <x v="1"/>
    <x v="0"/>
    <x v="1"/>
    <x v="1"/>
    <x v="0"/>
    <x v="0"/>
    <x v="220"/>
  </r>
  <r>
    <x v="522"/>
    <x v="73"/>
    <x v="244"/>
    <x v="82"/>
    <x v="67"/>
    <x v="2"/>
    <x v="0"/>
    <x v="5"/>
    <x v="12"/>
    <x v="2"/>
    <x v="7"/>
    <x v="21"/>
    <x v="40"/>
    <x v="14"/>
    <x v="58"/>
    <x v="220"/>
    <x v="1"/>
    <x v="17"/>
    <x v="1"/>
    <x v="1"/>
    <x v="1"/>
    <x v="1"/>
    <x v="0"/>
    <x v="3"/>
    <x v="57"/>
  </r>
  <r>
    <x v="523"/>
    <x v="60"/>
    <x v="48"/>
    <x v="13"/>
    <x v="41"/>
    <x v="3"/>
    <x v="0"/>
    <x v="6"/>
    <x v="12"/>
    <x v="1"/>
    <x v="9"/>
    <x v="10"/>
    <x v="56"/>
    <x v="14"/>
    <x v="111"/>
    <x v="294"/>
    <x v="2"/>
    <x v="0"/>
    <x v="1"/>
    <x v="0"/>
    <x v="2"/>
    <x v="1"/>
    <x v="0"/>
    <x v="2"/>
    <x v="107"/>
  </r>
  <r>
    <x v="524"/>
    <x v="23"/>
    <x v="149"/>
    <x v="56"/>
    <x v="17"/>
    <x v="1"/>
    <x v="0"/>
    <x v="1"/>
    <x v="1"/>
    <x v="5"/>
    <x v="1"/>
    <x v="27"/>
    <x v="5"/>
    <x v="1"/>
    <x v="2"/>
    <x v="284"/>
    <x v="1"/>
    <x v="16"/>
    <x v="1"/>
    <x v="2"/>
    <x v="1"/>
    <x v="1"/>
    <x v="0"/>
    <x v="4"/>
    <x v="3"/>
  </r>
  <r>
    <x v="525"/>
    <x v="137"/>
    <x v="8"/>
    <x v="82"/>
    <x v="67"/>
    <x v="2"/>
    <x v="2"/>
    <x v="5"/>
    <x v="12"/>
    <x v="2"/>
    <x v="31"/>
    <x v="71"/>
    <x v="160"/>
    <x v="42"/>
    <x v="309"/>
    <x v="220"/>
    <x v="1"/>
    <x v="0"/>
    <x v="0"/>
    <x v="0"/>
    <x v="1"/>
    <x v="1"/>
    <x v="0"/>
    <x v="0"/>
    <x v="298"/>
  </r>
  <r>
    <x v="526"/>
    <x v="40"/>
    <x v="180"/>
    <x v="54"/>
    <x v="61"/>
    <x v="1"/>
    <x v="0"/>
    <x v="12"/>
    <x v="27"/>
    <x v="0"/>
    <x v="27"/>
    <x v="0"/>
    <x v="151"/>
    <x v="39"/>
    <x v="286"/>
    <x v="226"/>
    <x v="1"/>
    <x v="1"/>
    <x v="0"/>
    <x v="1"/>
    <x v="1"/>
    <x v="1"/>
    <x v="0"/>
    <x v="4"/>
    <x v="277"/>
  </r>
  <r>
    <x v="527"/>
    <x v="50"/>
    <x v="293"/>
    <x v="1"/>
    <x v="9"/>
    <x v="3"/>
    <x v="3"/>
    <x v="17"/>
    <x v="36"/>
    <x v="3"/>
    <x v="96"/>
    <x v="222"/>
    <x v="405"/>
    <x v="108"/>
    <x v="614"/>
    <x v="76"/>
    <x v="2"/>
    <x v="3"/>
    <x v="0"/>
    <x v="1"/>
    <x v="2"/>
    <x v="2"/>
    <x v="0"/>
    <x v="2"/>
    <x v="585"/>
  </r>
  <r>
    <x v="528"/>
    <x v="100"/>
    <x v="59"/>
    <x v="15"/>
    <x v="14"/>
    <x v="4"/>
    <x v="1"/>
    <x v="7"/>
    <x v="15"/>
    <x v="2"/>
    <x v="26"/>
    <x v="61"/>
    <x v="135"/>
    <x v="35"/>
    <x v="259"/>
    <x v="236"/>
    <x v="1"/>
    <x v="19"/>
    <x v="0"/>
    <x v="2"/>
    <x v="1"/>
    <x v="1"/>
    <x v="0"/>
    <x v="3"/>
    <x v="250"/>
  </r>
  <r>
    <x v="529"/>
    <x v="349"/>
    <x v="297"/>
    <x v="81"/>
    <x v="31"/>
    <x v="2"/>
    <x v="0"/>
    <x v="2"/>
    <x v="4"/>
    <x v="0"/>
    <x v="2"/>
    <x v="0"/>
    <x v="18"/>
    <x v="4"/>
    <x v="39"/>
    <x v="329"/>
    <x v="4"/>
    <x v="19"/>
    <x v="1"/>
    <x v="1"/>
    <x v="2"/>
    <x v="1"/>
    <x v="0"/>
    <x v="0"/>
    <x v="40"/>
  </r>
  <r>
    <x v="530"/>
    <x v="104"/>
    <x v="174"/>
    <x v="63"/>
    <x v="33"/>
    <x v="6"/>
    <x v="1"/>
    <x v="9"/>
    <x v="18"/>
    <x v="3"/>
    <x v="38"/>
    <x v="117"/>
    <x v="175"/>
    <x v="45"/>
    <x v="339"/>
    <x v="218"/>
    <x v="1"/>
    <x v="18"/>
    <x v="0"/>
    <x v="1"/>
    <x v="1"/>
    <x v="1"/>
    <x v="0"/>
    <x v="4"/>
    <x v="326"/>
  </r>
  <r>
    <x v="531"/>
    <x v="277"/>
    <x v="261"/>
    <x v="30"/>
    <x v="83"/>
    <x v="5"/>
    <x v="4"/>
    <x v="9"/>
    <x v="18"/>
    <x v="3"/>
    <x v="74"/>
    <x v="188"/>
    <x v="330"/>
    <x v="75"/>
    <x v="585"/>
    <x v="218"/>
    <x v="1"/>
    <x v="8"/>
    <x v="2"/>
    <x v="2"/>
    <x v="1"/>
    <x v="1"/>
    <x v="0"/>
    <x v="3"/>
    <x v="561"/>
  </r>
  <r>
    <x v="532"/>
    <x v="315"/>
    <x v="193"/>
    <x v="12"/>
    <x v="56"/>
    <x v="3"/>
    <x v="0"/>
    <x v="9"/>
    <x v="22"/>
    <x v="1"/>
    <x v="16"/>
    <x v="18"/>
    <x v="92"/>
    <x v="33"/>
    <x v="125"/>
    <x v="124"/>
    <x v="1"/>
    <x v="3"/>
    <x v="1"/>
    <x v="1"/>
    <x v="1"/>
    <x v="1"/>
    <x v="0"/>
    <x v="4"/>
    <x v="121"/>
  </r>
  <r>
    <x v="533"/>
    <x v="244"/>
    <x v="180"/>
    <x v="81"/>
    <x v="31"/>
    <x v="2"/>
    <x v="2"/>
    <x v="2"/>
    <x v="4"/>
    <x v="0"/>
    <x v="17"/>
    <x v="0"/>
    <x v="106"/>
    <x v="22"/>
    <x v="269"/>
    <x v="329"/>
    <x v="1"/>
    <x v="1"/>
    <x v="0"/>
    <x v="0"/>
    <x v="1"/>
    <x v="1"/>
    <x v="0"/>
    <x v="4"/>
    <x v="260"/>
  </r>
  <r>
    <x v="534"/>
    <x v="5"/>
    <x v="119"/>
    <x v="82"/>
    <x v="67"/>
    <x v="2"/>
    <x v="1"/>
    <x v="5"/>
    <x v="12"/>
    <x v="2"/>
    <x v="19"/>
    <x v="49"/>
    <x v="102"/>
    <x v="30"/>
    <x v="185"/>
    <x v="220"/>
    <x v="1"/>
    <x v="6"/>
    <x v="1"/>
    <x v="1"/>
    <x v="1"/>
    <x v="1"/>
    <x v="0"/>
    <x v="4"/>
    <x v="179"/>
  </r>
  <r>
    <x v="535"/>
    <x v="223"/>
    <x v="24"/>
    <x v="10"/>
    <x v="42"/>
    <x v="3"/>
    <x v="4"/>
    <x v="18"/>
    <x v="37"/>
    <x v="0"/>
    <x v="103"/>
    <x v="0"/>
    <x v="434"/>
    <x v="114"/>
    <x v="670"/>
    <x v="166"/>
    <x v="1"/>
    <x v="4"/>
    <x v="1"/>
    <x v="0"/>
    <x v="1"/>
    <x v="2"/>
    <x v="0"/>
    <x v="3"/>
    <x v="633"/>
  </r>
  <r>
    <x v="536"/>
    <x v="85"/>
    <x v="180"/>
    <x v="12"/>
    <x v="56"/>
    <x v="3"/>
    <x v="0"/>
    <x v="9"/>
    <x v="22"/>
    <x v="2"/>
    <x v="16"/>
    <x v="42"/>
    <x v="87"/>
    <x v="33"/>
    <x v="99"/>
    <x v="95"/>
    <x v="1"/>
    <x v="1"/>
    <x v="0"/>
    <x v="1"/>
    <x v="1"/>
    <x v="1"/>
    <x v="0"/>
    <x v="0"/>
    <x v="96"/>
  </r>
  <r>
    <x v="537"/>
    <x v="284"/>
    <x v="25"/>
    <x v="14"/>
    <x v="65"/>
    <x v="3"/>
    <x v="1"/>
    <x v="24"/>
    <x v="49"/>
    <x v="4"/>
    <x v="105"/>
    <x v="245"/>
    <x v="423"/>
    <x v="121"/>
    <x v="441"/>
    <x v="2"/>
    <x v="1"/>
    <x v="12"/>
    <x v="1"/>
    <x v="1"/>
    <x v="1"/>
    <x v="2"/>
    <x v="0"/>
    <x v="0"/>
    <x v="426"/>
  </r>
  <r>
    <x v="538"/>
    <x v="23"/>
    <x v="68"/>
    <x v="9"/>
    <x v="95"/>
    <x v="3"/>
    <x v="1"/>
    <x v="19"/>
    <x v="39"/>
    <x v="3"/>
    <x v="78"/>
    <x v="192"/>
    <x v="338"/>
    <x v="89"/>
    <x v="486"/>
    <x v="61"/>
    <x v="1"/>
    <x v="0"/>
    <x v="0"/>
    <x v="0"/>
    <x v="1"/>
    <x v="1"/>
    <x v="0"/>
    <x v="3"/>
    <x v="467"/>
  </r>
  <r>
    <x v="539"/>
    <x v="342"/>
    <x v="235"/>
    <x v="1"/>
    <x v="9"/>
    <x v="3"/>
    <x v="2"/>
    <x v="17"/>
    <x v="36"/>
    <x v="3"/>
    <x v="87"/>
    <x v="204"/>
    <x v="378"/>
    <x v="95"/>
    <x v="554"/>
    <x v="76"/>
    <x v="1"/>
    <x v="15"/>
    <x v="1"/>
    <x v="0"/>
    <x v="1"/>
    <x v="1"/>
    <x v="0"/>
    <x v="0"/>
    <x v="531"/>
  </r>
  <r>
    <x v="540"/>
    <x v="355"/>
    <x v="139"/>
    <x v="69"/>
    <x v="48"/>
    <x v="6"/>
    <x v="0"/>
    <x v="6"/>
    <x v="12"/>
    <x v="0"/>
    <x v="9"/>
    <x v="0"/>
    <x v="60"/>
    <x v="14"/>
    <x v="130"/>
    <x v="308"/>
    <x v="1"/>
    <x v="14"/>
    <x v="2"/>
    <x v="1"/>
    <x v="1"/>
    <x v="1"/>
    <x v="0"/>
    <x v="0"/>
    <x v="125"/>
  </r>
  <r>
    <x v="541"/>
    <x v="136"/>
    <x v="88"/>
    <x v="16"/>
    <x v="22"/>
    <x v="4"/>
    <x v="0"/>
    <x v="15"/>
    <x v="31"/>
    <x v="1"/>
    <x v="35"/>
    <x v="38"/>
    <x v="183"/>
    <x v="47"/>
    <x v="337"/>
    <x v="206"/>
    <x v="1"/>
    <x v="13"/>
    <x v="0"/>
    <x v="2"/>
    <x v="1"/>
    <x v="1"/>
    <x v="0"/>
    <x v="4"/>
    <x v="324"/>
  </r>
  <r>
    <x v="542"/>
    <x v="151"/>
    <x v="81"/>
    <x v="23"/>
    <x v="49"/>
    <x v="4"/>
    <x v="1"/>
    <x v="12"/>
    <x v="24"/>
    <x v="0"/>
    <x v="53"/>
    <x v="0"/>
    <x v="268"/>
    <x v="59"/>
    <x v="520"/>
    <x v="271"/>
    <x v="1"/>
    <x v="1"/>
    <x v="2"/>
    <x v="1"/>
    <x v="1"/>
    <x v="1"/>
    <x v="0"/>
    <x v="0"/>
    <x v="497"/>
  </r>
  <r>
    <x v="543"/>
    <x v="61"/>
    <x v="83"/>
    <x v="66"/>
    <x v="13"/>
    <x v="6"/>
    <x v="1"/>
    <x v="8"/>
    <x v="16"/>
    <x v="3"/>
    <x v="32"/>
    <x v="102"/>
    <x v="153"/>
    <x v="39"/>
    <x v="300"/>
    <x v="234"/>
    <x v="3"/>
    <x v="4"/>
    <x v="2"/>
    <x v="1"/>
    <x v="3"/>
    <x v="1"/>
    <x v="0"/>
    <x v="4"/>
    <x v="0"/>
  </r>
  <r>
    <x v="544"/>
    <x v="158"/>
    <x v="255"/>
    <x v="92"/>
    <x v="45"/>
    <x v="0"/>
    <x v="0"/>
    <x v="21"/>
    <x v="44"/>
    <x v="0"/>
    <x v="58"/>
    <x v="0"/>
    <x v="292"/>
    <x v="74"/>
    <x v="454"/>
    <x v="99"/>
    <x v="1"/>
    <x v="15"/>
    <x v="0"/>
    <x v="1"/>
    <x v="1"/>
    <x v="1"/>
    <x v="0"/>
    <x v="0"/>
    <x v="439"/>
  </r>
  <r>
    <x v="545"/>
    <x v="90"/>
    <x v="34"/>
    <x v="63"/>
    <x v="33"/>
    <x v="6"/>
    <x v="3"/>
    <x v="9"/>
    <x v="18"/>
    <x v="1"/>
    <x v="66"/>
    <x v="83"/>
    <x v="313"/>
    <x v="68"/>
    <x v="582"/>
    <x v="268"/>
    <x v="1"/>
    <x v="2"/>
    <x v="1"/>
    <x v="1"/>
    <x v="1"/>
    <x v="1"/>
    <x v="0"/>
    <x v="0"/>
    <x v="558"/>
  </r>
  <r>
    <x v="546"/>
    <x v="320"/>
    <x v="4"/>
    <x v="35"/>
    <x v="24"/>
    <x v="5"/>
    <x v="0"/>
    <x v="17"/>
    <x v="35"/>
    <x v="0"/>
    <x v="42"/>
    <x v="0"/>
    <x v="217"/>
    <x v="55"/>
    <x v="398"/>
    <x v="195"/>
    <x v="1"/>
    <x v="4"/>
    <x v="1"/>
    <x v="1"/>
    <x v="1"/>
    <x v="1"/>
    <x v="0"/>
    <x v="4"/>
    <x v="384"/>
  </r>
  <r>
    <x v="547"/>
    <x v="43"/>
    <x v="64"/>
    <x v="89"/>
    <x v="89"/>
    <x v="0"/>
    <x v="1"/>
    <x v="17"/>
    <x v="37"/>
    <x v="1"/>
    <x v="70"/>
    <x v="91"/>
    <x v="324"/>
    <x v="83"/>
    <x v="511"/>
    <x v="97"/>
    <x v="1"/>
    <x v="4"/>
    <x v="1"/>
    <x v="0"/>
    <x v="1"/>
    <x v="1"/>
    <x v="0"/>
    <x v="3"/>
    <x v="489"/>
  </r>
  <r>
    <x v="548"/>
    <x v="177"/>
    <x v="275"/>
    <x v="34"/>
    <x v="59"/>
    <x v="5"/>
    <x v="1"/>
    <x v="12"/>
    <x v="28"/>
    <x v="3"/>
    <x v="53"/>
    <x v="143"/>
    <x v="237"/>
    <x v="64"/>
    <x v="377"/>
    <x v="118"/>
    <x v="1"/>
    <x v="15"/>
    <x v="1"/>
    <x v="1"/>
    <x v="1"/>
    <x v="1"/>
    <x v="0"/>
    <x v="3"/>
    <x v="363"/>
  </r>
  <r>
    <x v="549"/>
    <x v="278"/>
    <x v="252"/>
    <x v="90"/>
    <x v="69"/>
    <x v="0"/>
    <x v="0"/>
    <x v="20"/>
    <x v="41"/>
    <x v="4"/>
    <x v="54"/>
    <x v="169"/>
    <x v="231"/>
    <x v="68"/>
    <x v="213"/>
    <x v="28"/>
    <x v="1"/>
    <x v="2"/>
    <x v="1"/>
    <x v="0"/>
    <x v="1"/>
    <x v="1"/>
    <x v="0"/>
    <x v="3"/>
    <x v="206"/>
  </r>
  <r>
    <x v="550"/>
    <x v="139"/>
    <x v="63"/>
    <x v="16"/>
    <x v="22"/>
    <x v="4"/>
    <x v="1"/>
    <x v="15"/>
    <x v="31"/>
    <x v="0"/>
    <x v="64"/>
    <x v="0"/>
    <x v="311"/>
    <x v="71"/>
    <x v="558"/>
    <x v="229"/>
    <x v="2"/>
    <x v="8"/>
    <x v="1"/>
    <x v="0"/>
    <x v="2"/>
    <x v="1"/>
    <x v="0"/>
    <x v="2"/>
    <x v="535"/>
  </r>
  <r>
    <x v="551"/>
    <x v="162"/>
    <x v="78"/>
    <x v="39"/>
    <x v="20"/>
    <x v="5"/>
    <x v="2"/>
    <x v="13"/>
    <x v="29"/>
    <x v="1"/>
    <x v="73"/>
    <x v="96"/>
    <x v="340"/>
    <x v="79"/>
    <x v="588"/>
    <x v="204"/>
    <x v="1"/>
    <x v="19"/>
    <x v="0"/>
    <x v="1"/>
    <x v="1"/>
    <x v="1"/>
    <x v="0"/>
    <x v="0"/>
    <x v="563"/>
  </r>
  <r>
    <x v="552"/>
    <x v="282"/>
    <x v="258"/>
    <x v="38"/>
    <x v="92"/>
    <x v="5"/>
    <x v="0"/>
    <x v="9"/>
    <x v="18"/>
    <x v="1"/>
    <x v="16"/>
    <x v="18"/>
    <x v="92"/>
    <x v="24"/>
    <x v="190"/>
    <x v="268"/>
    <x v="1"/>
    <x v="6"/>
    <x v="1"/>
    <x v="2"/>
    <x v="1"/>
    <x v="1"/>
    <x v="0"/>
    <x v="3"/>
    <x v="184"/>
  </r>
  <r>
    <x v="553"/>
    <x v="23"/>
    <x v="75"/>
    <x v="47"/>
    <x v="74"/>
    <x v="1"/>
    <x v="1"/>
    <x v="4"/>
    <x v="9"/>
    <x v="3"/>
    <x v="15"/>
    <x v="64"/>
    <x v="79"/>
    <x v="24"/>
    <x v="143"/>
    <x v="217"/>
    <x v="1"/>
    <x v="3"/>
    <x v="1"/>
    <x v="1"/>
    <x v="1"/>
    <x v="1"/>
    <x v="0"/>
    <x v="0"/>
    <x v="137"/>
  </r>
  <r>
    <x v="554"/>
    <x v="254"/>
    <x v="155"/>
    <x v="54"/>
    <x v="61"/>
    <x v="1"/>
    <x v="1"/>
    <x v="12"/>
    <x v="27"/>
    <x v="1"/>
    <x v="53"/>
    <x v="62"/>
    <x v="259"/>
    <x v="63"/>
    <x v="470"/>
    <x v="203"/>
    <x v="1"/>
    <x v="15"/>
    <x v="1"/>
    <x v="0"/>
    <x v="1"/>
    <x v="1"/>
    <x v="0"/>
    <x v="4"/>
    <x v="451"/>
  </r>
  <r>
    <x v="555"/>
    <x v="354"/>
    <x v="267"/>
    <x v="55"/>
    <x v="37"/>
    <x v="1"/>
    <x v="1"/>
    <x v="15"/>
    <x v="34"/>
    <x v="3"/>
    <x v="64"/>
    <x v="164"/>
    <x v="284"/>
    <x v="75"/>
    <x v="401"/>
    <x v="65"/>
    <x v="1"/>
    <x v="13"/>
    <x v="1"/>
    <x v="1"/>
    <x v="1"/>
    <x v="1"/>
    <x v="0"/>
    <x v="4"/>
    <x v="386"/>
  </r>
  <r>
    <x v="556"/>
    <x v="308"/>
    <x v="90"/>
    <x v="34"/>
    <x v="59"/>
    <x v="5"/>
    <x v="2"/>
    <x v="12"/>
    <x v="28"/>
    <x v="5"/>
    <x v="69"/>
    <x v="209"/>
    <x v="287"/>
    <x v="77"/>
    <x v="392"/>
    <x v="56"/>
    <x v="1"/>
    <x v="16"/>
    <x v="0"/>
    <x v="1"/>
    <x v="1"/>
    <x v="1"/>
    <x v="0"/>
    <x v="3"/>
    <x v="378"/>
  </r>
  <r>
    <x v="557"/>
    <x v="121"/>
    <x v="9"/>
    <x v="83"/>
    <x v="96"/>
    <x v="2"/>
    <x v="1"/>
    <x v="10"/>
    <x v="23"/>
    <x v="4"/>
    <x v="44"/>
    <x v="149"/>
    <x v="192"/>
    <x v="56"/>
    <x v="240"/>
    <x v="83"/>
    <x v="1"/>
    <x v="13"/>
    <x v="1"/>
    <x v="0"/>
    <x v="1"/>
    <x v="1"/>
    <x v="0"/>
    <x v="4"/>
    <x v="232"/>
  </r>
  <r>
    <x v="558"/>
    <x v="111"/>
    <x v="172"/>
    <x v="92"/>
    <x v="45"/>
    <x v="0"/>
    <x v="0"/>
    <x v="21"/>
    <x v="44"/>
    <x v="4"/>
    <x v="58"/>
    <x v="178"/>
    <x v="254"/>
    <x v="74"/>
    <x v="208"/>
    <x v="14"/>
    <x v="1"/>
    <x v="2"/>
    <x v="1"/>
    <x v="1"/>
    <x v="1"/>
    <x v="1"/>
    <x v="0"/>
    <x v="4"/>
    <x v="201"/>
  </r>
  <r>
    <x v="559"/>
    <x v="139"/>
    <x v="6"/>
    <x v="82"/>
    <x v="67"/>
    <x v="2"/>
    <x v="0"/>
    <x v="5"/>
    <x v="12"/>
    <x v="1"/>
    <x v="7"/>
    <x v="8"/>
    <x v="45"/>
    <x v="14"/>
    <x v="75"/>
    <x v="244"/>
    <x v="4"/>
    <x v="17"/>
    <x v="1"/>
    <x v="1"/>
    <x v="2"/>
    <x v="1"/>
    <x v="0"/>
    <x v="4"/>
    <x v="74"/>
  </r>
  <r>
    <x v="560"/>
    <x v="355"/>
    <x v="14"/>
    <x v="39"/>
    <x v="20"/>
    <x v="5"/>
    <x v="0"/>
    <x v="13"/>
    <x v="29"/>
    <x v="4"/>
    <x v="29"/>
    <x v="119"/>
    <x v="130"/>
    <x v="43"/>
    <x v="169"/>
    <x v="106"/>
    <x v="1"/>
    <x v="2"/>
    <x v="1"/>
    <x v="1"/>
    <x v="1"/>
    <x v="1"/>
    <x v="0"/>
    <x v="3"/>
    <x v="163"/>
  </r>
  <r>
    <x v="561"/>
    <x v="50"/>
    <x v="243"/>
    <x v="11"/>
    <x v="15"/>
    <x v="3"/>
    <x v="0"/>
    <x v="8"/>
    <x v="17"/>
    <x v="1"/>
    <x v="14"/>
    <x v="16"/>
    <x v="78"/>
    <x v="21"/>
    <x v="154"/>
    <x v="265"/>
    <x v="1"/>
    <x v="12"/>
    <x v="0"/>
    <x v="0"/>
    <x v="1"/>
    <x v="1"/>
    <x v="0"/>
    <x v="0"/>
    <x v="148"/>
  </r>
  <r>
    <x v="562"/>
    <x v="51"/>
    <x v="7"/>
    <x v="59"/>
    <x v="99"/>
    <x v="6"/>
    <x v="1"/>
    <x v="10"/>
    <x v="20"/>
    <x v="3"/>
    <x v="44"/>
    <x v="128"/>
    <x v="205"/>
    <x v="50"/>
    <x v="377"/>
    <x v="214"/>
    <x v="4"/>
    <x v="10"/>
    <x v="0"/>
    <x v="0"/>
    <x v="2"/>
    <x v="1"/>
    <x v="0"/>
    <x v="0"/>
    <x v="363"/>
  </r>
  <r>
    <x v="563"/>
    <x v="122"/>
    <x v="159"/>
    <x v="16"/>
    <x v="22"/>
    <x v="4"/>
    <x v="0"/>
    <x v="15"/>
    <x v="31"/>
    <x v="4"/>
    <x v="35"/>
    <x v="134"/>
    <x v="155"/>
    <x v="47"/>
    <x v="208"/>
    <x v="108"/>
    <x v="1"/>
    <x v="14"/>
    <x v="0"/>
    <x v="1"/>
    <x v="1"/>
    <x v="1"/>
    <x v="0"/>
    <x v="4"/>
    <x v="201"/>
  </r>
  <r>
    <x v="564"/>
    <x v="47"/>
    <x v="235"/>
    <x v="44"/>
    <x v="53"/>
    <x v="5"/>
    <x v="4"/>
    <x v="6"/>
    <x v="12"/>
    <x v="1"/>
    <x v="57"/>
    <x v="68"/>
    <x v="279"/>
    <x v="59"/>
    <x v="547"/>
    <x v="294"/>
    <x v="1"/>
    <x v="15"/>
    <x v="1"/>
    <x v="1"/>
    <x v="1"/>
    <x v="1"/>
    <x v="0"/>
    <x v="0"/>
    <x v="524"/>
  </r>
  <r>
    <x v="565"/>
    <x v="81"/>
    <x v="9"/>
    <x v="0"/>
    <x v="97"/>
    <x v="3"/>
    <x v="0"/>
    <x v="11"/>
    <x v="26"/>
    <x v="2"/>
    <x v="23"/>
    <x v="56"/>
    <x v="123"/>
    <x v="38"/>
    <x v="155"/>
    <x v="116"/>
    <x v="1"/>
    <x v="13"/>
    <x v="1"/>
    <x v="2"/>
    <x v="1"/>
    <x v="1"/>
    <x v="0"/>
    <x v="0"/>
    <x v="149"/>
  </r>
  <r>
    <x v="566"/>
    <x v="188"/>
    <x v="189"/>
    <x v="73"/>
    <x v="60"/>
    <x v="2"/>
    <x v="0"/>
    <x v="3"/>
    <x v="6"/>
    <x v="5"/>
    <x v="4"/>
    <x v="45"/>
    <x v="15"/>
    <x v="6"/>
    <x v="13"/>
    <x v="235"/>
    <x v="0"/>
    <x v="16"/>
    <x v="1"/>
    <x v="1"/>
    <x v="0"/>
    <x v="1"/>
    <x v="0"/>
    <x v="1"/>
    <x v="0"/>
  </r>
  <r>
    <x v="567"/>
    <x v="256"/>
    <x v="139"/>
    <x v="41"/>
    <x v="6"/>
    <x v="5"/>
    <x v="1"/>
    <x v="10"/>
    <x v="21"/>
    <x v="1"/>
    <x v="44"/>
    <x v="50"/>
    <x v="220"/>
    <x v="51"/>
    <x v="440"/>
    <x v="245"/>
    <x v="3"/>
    <x v="14"/>
    <x v="2"/>
    <x v="1"/>
    <x v="3"/>
    <x v="1"/>
    <x v="0"/>
    <x v="0"/>
    <x v="0"/>
  </r>
  <r>
    <x v="568"/>
    <x v="38"/>
    <x v="68"/>
    <x v="43"/>
    <x v="25"/>
    <x v="5"/>
    <x v="0"/>
    <x v="3"/>
    <x v="5"/>
    <x v="3"/>
    <x v="4"/>
    <x v="24"/>
    <x v="20"/>
    <x v="5"/>
    <x v="35"/>
    <x v="312"/>
    <x v="1"/>
    <x v="0"/>
    <x v="0"/>
    <x v="1"/>
    <x v="1"/>
    <x v="1"/>
    <x v="0"/>
    <x v="0"/>
    <x v="36"/>
  </r>
  <r>
    <x v="569"/>
    <x v="10"/>
    <x v="76"/>
    <x v="79"/>
    <x v="12"/>
    <x v="2"/>
    <x v="1"/>
    <x v="8"/>
    <x v="18"/>
    <x v="1"/>
    <x v="32"/>
    <x v="35"/>
    <x v="171"/>
    <x v="45"/>
    <x v="311"/>
    <x v="201"/>
    <x v="1"/>
    <x v="15"/>
    <x v="0"/>
    <x v="0"/>
    <x v="1"/>
    <x v="1"/>
    <x v="0"/>
    <x v="4"/>
    <x v="300"/>
  </r>
  <r>
    <x v="570"/>
    <x v="211"/>
    <x v="19"/>
    <x v="10"/>
    <x v="42"/>
    <x v="3"/>
    <x v="1"/>
    <x v="18"/>
    <x v="37"/>
    <x v="3"/>
    <x v="72"/>
    <x v="182"/>
    <x v="319"/>
    <x v="83"/>
    <x v="477"/>
    <x v="80"/>
    <x v="1"/>
    <x v="19"/>
    <x v="1"/>
    <x v="1"/>
    <x v="1"/>
    <x v="1"/>
    <x v="0"/>
    <x v="3"/>
    <x v="458"/>
  </r>
  <r>
    <x v="571"/>
    <x v="130"/>
    <x v="196"/>
    <x v="61"/>
    <x v="76"/>
    <x v="6"/>
    <x v="0"/>
    <x v="2"/>
    <x v="3"/>
    <x v="3"/>
    <x v="2"/>
    <x v="19"/>
    <x v="13"/>
    <x v="3"/>
    <x v="22"/>
    <x v="319"/>
    <x v="1"/>
    <x v="5"/>
    <x v="1"/>
    <x v="2"/>
    <x v="1"/>
    <x v="1"/>
    <x v="0"/>
    <x v="0"/>
    <x v="23"/>
  </r>
  <r>
    <x v="572"/>
    <x v="250"/>
    <x v="8"/>
    <x v="0"/>
    <x v="97"/>
    <x v="3"/>
    <x v="0"/>
    <x v="11"/>
    <x v="26"/>
    <x v="5"/>
    <x v="23"/>
    <x v="123"/>
    <x v="95"/>
    <x v="38"/>
    <x v="53"/>
    <x v="32"/>
    <x v="4"/>
    <x v="0"/>
    <x v="0"/>
    <x v="1"/>
    <x v="2"/>
    <x v="1"/>
    <x v="0"/>
    <x v="3"/>
    <x v="52"/>
  </r>
  <r>
    <x v="573"/>
    <x v="148"/>
    <x v="36"/>
    <x v="35"/>
    <x v="24"/>
    <x v="5"/>
    <x v="0"/>
    <x v="17"/>
    <x v="35"/>
    <x v="2"/>
    <x v="42"/>
    <x v="91"/>
    <x v="202"/>
    <x v="55"/>
    <x v="320"/>
    <x v="135"/>
    <x v="0"/>
    <x v="18"/>
    <x v="1"/>
    <x v="0"/>
    <x v="0"/>
    <x v="1"/>
    <x v="0"/>
    <x v="1"/>
    <x v="0"/>
  </r>
  <r>
    <x v="574"/>
    <x v="25"/>
    <x v="144"/>
    <x v="10"/>
    <x v="42"/>
    <x v="3"/>
    <x v="0"/>
    <x v="18"/>
    <x v="37"/>
    <x v="4"/>
    <x v="45"/>
    <x v="150"/>
    <x v="193"/>
    <x v="59"/>
    <x v="203"/>
    <x v="51"/>
    <x v="2"/>
    <x v="17"/>
    <x v="1"/>
    <x v="1"/>
    <x v="2"/>
    <x v="1"/>
    <x v="0"/>
    <x v="2"/>
    <x v="196"/>
  </r>
  <r>
    <x v="575"/>
    <x v="74"/>
    <x v="251"/>
    <x v="10"/>
    <x v="42"/>
    <x v="3"/>
    <x v="0"/>
    <x v="18"/>
    <x v="37"/>
    <x v="2"/>
    <x v="45"/>
    <x v="95"/>
    <x v="214"/>
    <x v="59"/>
    <x v="314"/>
    <x v="109"/>
    <x v="1"/>
    <x v="9"/>
    <x v="1"/>
    <x v="2"/>
    <x v="1"/>
    <x v="1"/>
    <x v="0"/>
    <x v="3"/>
    <x v="303"/>
  </r>
  <r>
    <x v="576"/>
    <x v="337"/>
    <x v="11"/>
    <x v="27"/>
    <x v="78"/>
    <x v="4"/>
    <x v="0"/>
    <x v="19"/>
    <x v="38"/>
    <x v="2"/>
    <x v="50"/>
    <x v="105"/>
    <x v="234"/>
    <x v="60"/>
    <x v="379"/>
    <x v="144"/>
    <x v="1"/>
    <x v="16"/>
    <x v="1"/>
    <x v="0"/>
    <x v="1"/>
    <x v="1"/>
    <x v="0"/>
    <x v="4"/>
    <x v="365"/>
  </r>
  <r>
    <x v="577"/>
    <x v="148"/>
    <x v="213"/>
    <x v="92"/>
    <x v="45"/>
    <x v="0"/>
    <x v="1"/>
    <x v="21"/>
    <x v="44"/>
    <x v="4"/>
    <x v="88"/>
    <x v="224"/>
    <x v="370"/>
    <x v="101"/>
    <x v="431"/>
    <x v="14"/>
    <x v="3"/>
    <x v="3"/>
    <x v="1"/>
    <x v="2"/>
    <x v="3"/>
    <x v="1"/>
    <x v="0"/>
    <x v="0"/>
    <x v="0"/>
  </r>
  <r>
    <x v="578"/>
    <x v="159"/>
    <x v="244"/>
    <x v="22"/>
    <x v="79"/>
    <x v="4"/>
    <x v="1"/>
    <x v="4"/>
    <x v="7"/>
    <x v="3"/>
    <x v="15"/>
    <x v="64"/>
    <x v="79"/>
    <x v="19"/>
    <x v="181"/>
    <x v="304"/>
    <x v="2"/>
    <x v="17"/>
    <x v="1"/>
    <x v="1"/>
    <x v="2"/>
    <x v="1"/>
    <x v="0"/>
    <x v="2"/>
    <x v="175"/>
  </r>
  <r>
    <x v="579"/>
    <x v="299"/>
    <x v="49"/>
    <x v="46"/>
    <x v="85"/>
    <x v="1"/>
    <x v="1"/>
    <x v="5"/>
    <x v="11"/>
    <x v="3"/>
    <x v="19"/>
    <x v="71"/>
    <x v="96"/>
    <x v="28"/>
    <x v="172"/>
    <x v="220"/>
    <x v="1"/>
    <x v="13"/>
    <x v="0"/>
    <x v="1"/>
    <x v="1"/>
    <x v="1"/>
    <x v="0"/>
    <x v="3"/>
    <x v="166"/>
  </r>
  <r>
    <x v="580"/>
    <x v="203"/>
    <x v="251"/>
    <x v="35"/>
    <x v="24"/>
    <x v="5"/>
    <x v="1"/>
    <x v="17"/>
    <x v="35"/>
    <x v="0"/>
    <x v="70"/>
    <x v="0"/>
    <x v="332"/>
    <x v="78"/>
    <x v="571"/>
    <x v="195"/>
    <x v="1"/>
    <x v="9"/>
    <x v="1"/>
    <x v="1"/>
    <x v="1"/>
    <x v="1"/>
    <x v="0"/>
    <x v="0"/>
    <x v="548"/>
  </r>
  <r>
    <x v="581"/>
    <x v="152"/>
    <x v="254"/>
    <x v="58"/>
    <x v="5"/>
    <x v="1"/>
    <x v="4"/>
    <x v="9"/>
    <x v="20"/>
    <x v="0"/>
    <x v="74"/>
    <x v="0"/>
    <x v="357"/>
    <x v="82"/>
    <x v="619"/>
    <x v="224"/>
    <x v="1"/>
    <x v="18"/>
    <x v="0"/>
    <x v="1"/>
    <x v="1"/>
    <x v="1"/>
    <x v="0"/>
    <x v="3"/>
    <x v="590"/>
  </r>
  <r>
    <x v="582"/>
    <x v="191"/>
    <x v="243"/>
    <x v="12"/>
    <x v="56"/>
    <x v="3"/>
    <x v="0"/>
    <x v="9"/>
    <x v="22"/>
    <x v="4"/>
    <x v="16"/>
    <x v="83"/>
    <x v="75"/>
    <x v="33"/>
    <x v="42"/>
    <x v="44"/>
    <x v="1"/>
    <x v="12"/>
    <x v="0"/>
    <x v="1"/>
    <x v="1"/>
    <x v="1"/>
    <x v="0"/>
    <x v="0"/>
    <x v="43"/>
  </r>
  <r>
    <x v="583"/>
    <x v="282"/>
    <x v="245"/>
    <x v="70"/>
    <x v="27"/>
    <x v="6"/>
    <x v="0"/>
    <x v="9"/>
    <x v="19"/>
    <x v="0"/>
    <x v="16"/>
    <x v="0"/>
    <x v="99"/>
    <x v="25"/>
    <x v="200"/>
    <x v="264"/>
    <x v="1"/>
    <x v="10"/>
    <x v="1"/>
    <x v="1"/>
    <x v="1"/>
    <x v="1"/>
    <x v="0"/>
    <x v="3"/>
    <x v="193"/>
  </r>
  <r>
    <x v="584"/>
    <x v="227"/>
    <x v="83"/>
    <x v="43"/>
    <x v="25"/>
    <x v="5"/>
    <x v="0"/>
    <x v="3"/>
    <x v="5"/>
    <x v="3"/>
    <x v="4"/>
    <x v="24"/>
    <x v="20"/>
    <x v="5"/>
    <x v="35"/>
    <x v="312"/>
    <x v="1"/>
    <x v="4"/>
    <x v="2"/>
    <x v="1"/>
    <x v="1"/>
    <x v="1"/>
    <x v="0"/>
    <x v="0"/>
    <x v="36"/>
  </r>
  <r>
    <x v="585"/>
    <x v="100"/>
    <x v="272"/>
    <x v="36"/>
    <x v="63"/>
    <x v="5"/>
    <x v="0"/>
    <x v="10"/>
    <x v="20"/>
    <x v="0"/>
    <x v="20"/>
    <x v="0"/>
    <x v="119"/>
    <x v="29"/>
    <x v="250"/>
    <x v="283"/>
    <x v="1"/>
    <x v="2"/>
    <x v="2"/>
    <x v="0"/>
    <x v="1"/>
    <x v="1"/>
    <x v="0"/>
    <x v="4"/>
    <x v="242"/>
  </r>
  <r>
    <x v="586"/>
    <x v="14"/>
    <x v="151"/>
    <x v="24"/>
    <x v="44"/>
    <x v="4"/>
    <x v="2"/>
    <x v="16"/>
    <x v="33"/>
    <x v="3"/>
    <x v="84"/>
    <x v="202"/>
    <x v="360"/>
    <x v="90"/>
    <x v="576"/>
    <x v="123"/>
    <x v="3"/>
    <x v="9"/>
    <x v="1"/>
    <x v="2"/>
    <x v="3"/>
    <x v="1"/>
    <x v="0"/>
    <x v="0"/>
    <x v="0"/>
  </r>
  <r>
    <x v="587"/>
    <x v="267"/>
    <x v="84"/>
    <x v="79"/>
    <x v="12"/>
    <x v="2"/>
    <x v="1"/>
    <x v="8"/>
    <x v="18"/>
    <x v="2"/>
    <x v="32"/>
    <x v="72"/>
    <x v="161"/>
    <x v="45"/>
    <x v="273"/>
    <x v="169"/>
    <x v="1"/>
    <x v="12"/>
    <x v="1"/>
    <x v="1"/>
    <x v="1"/>
    <x v="1"/>
    <x v="0"/>
    <x v="4"/>
    <x v="264"/>
  </r>
  <r>
    <x v="588"/>
    <x v="75"/>
    <x v="272"/>
    <x v="44"/>
    <x v="53"/>
    <x v="5"/>
    <x v="0"/>
    <x v="6"/>
    <x v="12"/>
    <x v="0"/>
    <x v="9"/>
    <x v="0"/>
    <x v="60"/>
    <x v="14"/>
    <x v="130"/>
    <x v="308"/>
    <x v="1"/>
    <x v="2"/>
    <x v="2"/>
    <x v="2"/>
    <x v="1"/>
    <x v="1"/>
    <x v="0"/>
    <x v="4"/>
    <x v="125"/>
  </r>
  <r>
    <x v="589"/>
    <x v="107"/>
    <x v="173"/>
    <x v="75"/>
    <x v="23"/>
    <x v="2"/>
    <x v="0"/>
    <x v="5"/>
    <x v="11"/>
    <x v="1"/>
    <x v="7"/>
    <x v="8"/>
    <x v="45"/>
    <x v="13"/>
    <x v="84"/>
    <x v="272"/>
    <x v="1"/>
    <x v="3"/>
    <x v="0"/>
    <x v="1"/>
    <x v="1"/>
    <x v="1"/>
    <x v="0"/>
    <x v="4"/>
    <x v="83"/>
  </r>
  <r>
    <x v="590"/>
    <x v="214"/>
    <x v="35"/>
    <x v="19"/>
    <x v="2"/>
    <x v="4"/>
    <x v="0"/>
    <x v="14"/>
    <x v="30"/>
    <x v="5"/>
    <x v="33"/>
    <x v="144"/>
    <x v="138"/>
    <x v="45"/>
    <x v="151"/>
    <x v="74"/>
    <x v="1"/>
    <x v="3"/>
    <x v="0"/>
    <x v="2"/>
    <x v="1"/>
    <x v="1"/>
    <x v="0"/>
    <x v="0"/>
    <x v="145"/>
  </r>
  <r>
    <x v="591"/>
    <x v="29"/>
    <x v="111"/>
    <x v="18"/>
    <x v="71"/>
    <x v="4"/>
    <x v="2"/>
    <x v="20"/>
    <x v="40"/>
    <x v="5"/>
    <x v="97"/>
    <x v="241"/>
    <x v="394"/>
    <x v="107"/>
    <x v="541"/>
    <x v="36"/>
    <x v="1"/>
    <x v="11"/>
    <x v="0"/>
    <x v="1"/>
    <x v="1"/>
    <x v="1"/>
    <x v="0"/>
    <x v="0"/>
    <x v="518"/>
  </r>
  <r>
    <x v="592"/>
    <x v="168"/>
    <x v="125"/>
    <x v="14"/>
    <x v="65"/>
    <x v="3"/>
    <x v="1"/>
    <x v="24"/>
    <x v="49"/>
    <x v="1"/>
    <x v="105"/>
    <x v="170"/>
    <x v="433"/>
    <x v="121"/>
    <x v="646"/>
    <x v="33"/>
    <x v="0"/>
    <x v="17"/>
    <x v="0"/>
    <x v="1"/>
    <x v="0"/>
    <x v="2"/>
    <x v="0"/>
    <x v="1"/>
    <x v="0"/>
  </r>
  <r>
    <x v="593"/>
    <x v="118"/>
    <x v="171"/>
    <x v="62"/>
    <x v="19"/>
    <x v="6"/>
    <x v="0"/>
    <x v="17"/>
    <x v="35"/>
    <x v="0"/>
    <x v="42"/>
    <x v="0"/>
    <x v="217"/>
    <x v="55"/>
    <x v="398"/>
    <x v="195"/>
    <x v="1"/>
    <x v="9"/>
    <x v="2"/>
    <x v="1"/>
    <x v="1"/>
    <x v="1"/>
    <x v="0"/>
    <x v="0"/>
    <x v="384"/>
  </r>
  <r>
    <x v="594"/>
    <x v="130"/>
    <x v="282"/>
    <x v="82"/>
    <x v="67"/>
    <x v="2"/>
    <x v="2"/>
    <x v="5"/>
    <x v="12"/>
    <x v="4"/>
    <x v="31"/>
    <x v="127"/>
    <x v="145"/>
    <x v="42"/>
    <x v="223"/>
    <x v="164"/>
    <x v="1"/>
    <x v="4"/>
    <x v="0"/>
    <x v="0"/>
    <x v="1"/>
    <x v="1"/>
    <x v="0"/>
    <x v="4"/>
    <x v="215"/>
  </r>
  <r>
    <x v="595"/>
    <x v="135"/>
    <x v="56"/>
    <x v="87"/>
    <x v="26"/>
    <x v="0"/>
    <x v="0"/>
    <x v="15"/>
    <x v="34"/>
    <x v="0"/>
    <x v="35"/>
    <x v="0"/>
    <x v="195"/>
    <x v="52"/>
    <x v="319"/>
    <x v="155"/>
    <x v="1"/>
    <x v="18"/>
    <x v="1"/>
    <x v="2"/>
    <x v="1"/>
    <x v="1"/>
    <x v="0"/>
    <x v="4"/>
    <x v="307"/>
  </r>
  <r>
    <x v="596"/>
    <x v="346"/>
    <x v="64"/>
    <x v="68"/>
    <x v="80"/>
    <x v="6"/>
    <x v="2"/>
    <x v="12"/>
    <x v="27"/>
    <x v="2"/>
    <x v="69"/>
    <x v="143"/>
    <x v="316"/>
    <x v="75"/>
    <x v="539"/>
    <x v="171"/>
    <x v="3"/>
    <x v="4"/>
    <x v="1"/>
    <x v="1"/>
    <x v="3"/>
    <x v="1"/>
    <x v="0"/>
    <x v="0"/>
    <x v="0"/>
  </r>
  <r>
    <x v="597"/>
    <x v="92"/>
    <x v="57"/>
    <x v="17"/>
    <x v="18"/>
    <x v="4"/>
    <x v="1"/>
    <x v="11"/>
    <x v="23"/>
    <x v="0"/>
    <x v="49"/>
    <x v="0"/>
    <x v="250"/>
    <x v="56"/>
    <x v="485"/>
    <x v="257"/>
    <x v="1"/>
    <x v="15"/>
    <x v="0"/>
    <x v="2"/>
    <x v="1"/>
    <x v="1"/>
    <x v="0"/>
    <x v="0"/>
    <x v="466"/>
  </r>
  <r>
    <x v="598"/>
    <x v="319"/>
    <x v="271"/>
    <x v="9"/>
    <x v="95"/>
    <x v="3"/>
    <x v="1"/>
    <x v="19"/>
    <x v="39"/>
    <x v="3"/>
    <x v="78"/>
    <x v="192"/>
    <x v="338"/>
    <x v="89"/>
    <x v="486"/>
    <x v="61"/>
    <x v="1"/>
    <x v="9"/>
    <x v="0"/>
    <x v="0"/>
    <x v="1"/>
    <x v="1"/>
    <x v="0"/>
    <x v="4"/>
    <x v="467"/>
  </r>
  <r>
    <x v="599"/>
    <x v="173"/>
    <x v="101"/>
    <x v="31"/>
    <x v="94"/>
    <x v="5"/>
    <x v="0"/>
    <x v="5"/>
    <x v="9"/>
    <x v="2"/>
    <x v="7"/>
    <x v="21"/>
    <x v="40"/>
    <x v="11"/>
    <x v="85"/>
    <x v="297"/>
    <x v="1"/>
    <x v="1"/>
    <x v="1"/>
    <x v="1"/>
    <x v="1"/>
    <x v="1"/>
    <x v="0"/>
    <x v="0"/>
    <x v="84"/>
  </r>
  <r>
    <x v="600"/>
    <x v="38"/>
    <x v="174"/>
    <x v="40"/>
    <x v="32"/>
    <x v="5"/>
    <x v="0"/>
    <x v="7"/>
    <x v="15"/>
    <x v="3"/>
    <x v="11"/>
    <x v="46"/>
    <x v="55"/>
    <x v="18"/>
    <x v="80"/>
    <x v="213"/>
    <x v="1"/>
    <x v="18"/>
    <x v="0"/>
    <x v="0"/>
    <x v="1"/>
    <x v="1"/>
    <x v="0"/>
    <x v="0"/>
    <x v="79"/>
  </r>
  <r>
    <x v="601"/>
    <x v="7"/>
    <x v="232"/>
    <x v="79"/>
    <x v="12"/>
    <x v="2"/>
    <x v="2"/>
    <x v="8"/>
    <x v="18"/>
    <x v="3"/>
    <x v="48"/>
    <x v="136"/>
    <x v="223"/>
    <x v="59"/>
    <x v="362"/>
    <x v="137"/>
    <x v="1"/>
    <x v="2"/>
    <x v="0"/>
    <x v="0"/>
    <x v="1"/>
    <x v="1"/>
    <x v="0"/>
    <x v="0"/>
    <x v="348"/>
  </r>
  <r>
    <x v="602"/>
    <x v="84"/>
    <x v="190"/>
    <x v="8"/>
    <x v="50"/>
    <x v="3"/>
    <x v="1"/>
    <x v="10"/>
    <x v="20"/>
    <x v="4"/>
    <x v="44"/>
    <x v="149"/>
    <x v="192"/>
    <x v="50"/>
    <x v="334"/>
    <x v="183"/>
    <x v="1"/>
    <x v="11"/>
    <x v="0"/>
    <x v="1"/>
    <x v="1"/>
    <x v="1"/>
    <x v="0"/>
    <x v="3"/>
    <x v="322"/>
  </r>
  <r>
    <x v="603"/>
    <x v="166"/>
    <x v="218"/>
    <x v="24"/>
    <x v="44"/>
    <x v="4"/>
    <x v="0"/>
    <x v="16"/>
    <x v="33"/>
    <x v="2"/>
    <x v="39"/>
    <x v="84"/>
    <x v="187"/>
    <x v="51"/>
    <x v="314"/>
    <x v="157"/>
    <x v="4"/>
    <x v="6"/>
    <x v="0"/>
    <x v="1"/>
    <x v="2"/>
    <x v="1"/>
    <x v="0"/>
    <x v="0"/>
    <x v="303"/>
  </r>
  <r>
    <x v="604"/>
    <x v="288"/>
    <x v="248"/>
    <x v="96"/>
    <x v="91"/>
    <x v="0"/>
    <x v="0"/>
    <x v="23"/>
    <x v="47"/>
    <x v="4"/>
    <x v="75"/>
    <x v="206"/>
    <x v="321"/>
    <x v="93"/>
    <x v="213"/>
    <x v="3"/>
    <x v="1"/>
    <x v="7"/>
    <x v="1"/>
    <x v="1"/>
    <x v="1"/>
    <x v="1"/>
    <x v="0"/>
    <x v="0"/>
    <x v="206"/>
  </r>
  <r>
    <x v="605"/>
    <x v="341"/>
    <x v="49"/>
    <x v="90"/>
    <x v="69"/>
    <x v="0"/>
    <x v="0"/>
    <x v="20"/>
    <x v="41"/>
    <x v="1"/>
    <x v="54"/>
    <x v="63"/>
    <x v="260"/>
    <x v="68"/>
    <x v="399"/>
    <x v="98"/>
    <x v="4"/>
    <x v="13"/>
    <x v="0"/>
    <x v="2"/>
    <x v="2"/>
    <x v="1"/>
    <x v="0"/>
    <x v="0"/>
    <x v="385"/>
  </r>
  <r>
    <x v="606"/>
    <x v="174"/>
    <x v="8"/>
    <x v="56"/>
    <x v="17"/>
    <x v="1"/>
    <x v="4"/>
    <x v="1"/>
    <x v="1"/>
    <x v="0"/>
    <x v="24"/>
    <x v="0"/>
    <x v="149"/>
    <x v="26"/>
    <x v="380"/>
    <x v="339"/>
    <x v="1"/>
    <x v="0"/>
    <x v="0"/>
    <x v="2"/>
    <x v="1"/>
    <x v="1"/>
    <x v="0"/>
    <x v="0"/>
    <x v="366"/>
  </r>
  <r>
    <x v="607"/>
    <x v="22"/>
    <x v="190"/>
    <x v="63"/>
    <x v="33"/>
    <x v="6"/>
    <x v="1"/>
    <x v="9"/>
    <x v="18"/>
    <x v="0"/>
    <x v="38"/>
    <x v="0"/>
    <x v="208"/>
    <x v="45"/>
    <x v="439"/>
    <x v="288"/>
    <x v="1"/>
    <x v="11"/>
    <x v="0"/>
    <x v="0"/>
    <x v="1"/>
    <x v="1"/>
    <x v="0"/>
    <x v="4"/>
    <x v="424"/>
  </r>
  <r>
    <x v="608"/>
    <x v="210"/>
    <x v="73"/>
    <x v="76"/>
    <x v="64"/>
    <x v="2"/>
    <x v="1"/>
    <x v="4"/>
    <x v="8"/>
    <x v="4"/>
    <x v="15"/>
    <x v="82"/>
    <x v="74"/>
    <x v="21"/>
    <x v="146"/>
    <x v="259"/>
    <x v="1"/>
    <x v="9"/>
    <x v="0"/>
    <x v="0"/>
    <x v="1"/>
    <x v="1"/>
    <x v="0"/>
    <x v="4"/>
    <x v="140"/>
  </r>
  <r>
    <x v="609"/>
    <x v="179"/>
    <x v="166"/>
    <x v="57"/>
    <x v="58"/>
    <x v="1"/>
    <x v="0"/>
    <x v="5"/>
    <x v="11"/>
    <x v="5"/>
    <x v="7"/>
    <x v="60"/>
    <x v="30"/>
    <x v="13"/>
    <x v="21"/>
    <x v="159"/>
    <x v="4"/>
    <x v="0"/>
    <x v="1"/>
    <x v="2"/>
    <x v="2"/>
    <x v="1"/>
    <x v="0"/>
    <x v="0"/>
    <x v="22"/>
  </r>
  <r>
    <x v="610"/>
    <x v="271"/>
    <x v="221"/>
    <x v="91"/>
    <x v="39"/>
    <x v="0"/>
    <x v="2"/>
    <x v="12"/>
    <x v="29"/>
    <x v="5"/>
    <x v="69"/>
    <x v="209"/>
    <x v="287"/>
    <x v="79"/>
    <x v="344"/>
    <x v="35"/>
    <x v="1"/>
    <x v="8"/>
    <x v="1"/>
    <x v="0"/>
    <x v="1"/>
    <x v="1"/>
    <x v="0"/>
    <x v="0"/>
    <x v="331"/>
  </r>
  <r>
    <x v="611"/>
    <x v="149"/>
    <x v="171"/>
    <x v="91"/>
    <x v="39"/>
    <x v="0"/>
    <x v="1"/>
    <x v="12"/>
    <x v="29"/>
    <x v="3"/>
    <x v="53"/>
    <x v="143"/>
    <x v="237"/>
    <x v="67"/>
    <x v="347"/>
    <x v="87"/>
    <x v="1"/>
    <x v="9"/>
    <x v="2"/>
    <x v="1"/>
    <x v="1"/>
    <x v="1"/>
    <x v="0"/>
    <x v="3"/>
    <x v="334"/>
  </r>
  <r>
    <x v="612"/>
    <x v="161"/>
    <x v="107"/>
    <x v="14"/>
    <x v="65"/>
    <x v="3"/>
    <x v="0"/>
    <x v="24"/>
    <x v="49"/>
    <x v="4"/>
    <x v="83"/>
    <x v="217"/>
    <x v="345"/>
    <x v="99"/>
    <x v="213"/>
    <x v="2"/>
    <x v="1"/>
    <x v="0"/>
    <x v="0"/>
    <x v="0"/>
    <x v="1"/>
    <x v="1"/>
    <x v="0"/>
    <x v="0"/>
    <x v="206"/>
  </r>
  <r>
    <x v="613"/>
    <x v="299"/>
    <x v="254"/>
    <x v="22"/>
    <x v="79"/>
    <x v="4"/>
    <x v="2"/>
    <x v="4"/>
    <x v="7"/>
    <x v="4"/>
    <x v="28"/>
    <x v="116"/>
    <x v="124"/>
    <x v="30"/>
    <x v="271"/>
    <x v="287"/>
    <x v="1"/>
    <x v="18"/>
    <x v="0"/>
    <x v="2"/>
    <x v="1"/>
    <x v="1"/>
    <x v="0"/>
    <x v="4"/>
    <x v="262"/>
  </r>
  <r>
    <x v="614"/>
    <x v="278"/>
    <x v="56"/>
    <x v="60"/>
    <x v="68"/>
    <x v="6"/>
    <x v="1"/>
    <x v="5"/>
    <x v="9"/>
    <x v="3"/>
    <x v="19"/>
    <x v="71"/>
    <x v="96"/>
    <x v="24"/>
    <x v="199"/>
    <x v="277"/>
    <x v="0"/>
    <x v="18"/>
    <x v="1"/>
    <x v="1"/>
    <x v="0"/>
    <x v="1"/>
    <x v="0"/>
    <x v="1"/>
    <x v="0"/>
  </r>
  <r>
    <x v="615"/>
    <x v="293"/>
    <x v="237"/>
    <x v="99"/>
    <x v="16"/>
    <x v="0"/>
    <x v="0"/>
    <x v="22"/>
    <x v="46"/>
    <x v="2"/>
    <x v="63"/>
    <x v="133"/>
    <x v="289"/>
    <x v="78"/>
    <x v="371"/>
    <x v="46"/>
    <x v="1"/>
    <x v="19"/>
    <x v="1"/>
    <x v="0"/>
    <x v="1"/>
    <x v="1"/>
    <x v="0"/>
    <x v="4"/>
    <x v="357"/>
  </r>
  <r>
    <x v="616"/>
    <x v="334"/>
    <x v="283"/>
    <x v="65"/>
    <x v="36"/>
    <x v="6"/>
    <x v="2"/>
    <x v="7"/>
    <x v="14"/>
    <x v="4"/>
    <x v="41"/>
    <x v="142"/>
    <x v="178"/>
    <x v="45"/>
    <x v="343"/>
    <x v="222"/>
    <x v="1"/>
    <x v="12"/>
    <x v="0"/>
    <x v="0"/>
    <x v="1"/>
    <x v="1"/>
    <x v="0"/>
    <x v="0"/>
    <x v="330"/>
  </r>
  <r>
    <x v="617"/>
    <x v="198"/>
    <x v="122"/>
    <x v="41"/>
    <x v="6"/>
    <x v="5"/>
    <x v="0"/>
    <x v="10"/>
    <x v="21"/>
    <x v="3"/>
    <x v="20"/>
    <x v="73"/>
    <x v="97"/>
    <x v="30"/>
    <x v="163"/>
    <x v="198"/>
    <x v="1"/>
    <x v="8"/>
    <x v="1"/>
    <x v="2"/>
    <x v="1"/>
    <x v="1"/>
    <x v="0"/>
    <x v="4"/>
    <x v="157"/>
  </r>
  <r>
    <x v="618"/>
    <x v="342"/>
    <x v="184"/>
    <x v="46"/>
    <x v="85"/>
    <x v="1"/>
    <x v="0"/>
    <x v="5"/>
    <x v="11"/>
    <x v="2"/>
    <x v="7"/>
    <x v="21"/>
    <x v="40"/>
    <x v="13"/>
    <x v="67"/>
    <x v="247"/>
    <x v="2"/>
    <x v="17"/>
    <x v="1"/>
    <x v="1"/>
    <x v="2"/>
    <x v="1"/>
    <x v="0"/>
    <x v="2"/>
    <x v="66"/>
  </r>
  <r>
    <x v="619"/>
    <x v="265"/>
    <x v="43"/>
    <x v="46"/>
    <x v="85"/>
    <x v="1"/>
    <x v="0"/>
    <x v="5"/>
    <x v="11"/>
    <x v="5"/>
    <x v="7"/>
    <x v="60"/>
    <x v="30"/>
    <x v="13"/>
    <x v="21"/>
    <x v="159"/>
    <x v="4"/>
    <x v="8"/>
    <x v="1"/>
    <x v="0"/>
    <x v="2"/>
    <x v="1"/>
    <x v="0"/>
    <x v="0"/>
    <x v="22"/>
  </r>
  <r>
    <x v="620"/>
    <x v="237"/>
    <x v="114"/>
    <x v="71"/>
    <x v="88"/>
    <x v="6"/>
    <x v="2"/>
    <x v="5"/>
    <x v="10"/>
    <x v="0"/>
    <x v="31"/>
    <x v="0"/>
    <x v="177"/>
    <x v="37"/>
    <x v="404"/>
    <x v="307"/>
    <x v="1"/>
    <x v="3"/>
    <x v="0"/>
    <x v="1"/>
    <x v="1"/>
    <x v="1"/>
    <x v="0"/>
    <x v="4"/>
    <x v="389"/>
  </r>
  <r>
    <x v="621"/>
    <x v="173"/>
    <x v="107"/>
    <x v="76"/>
    <x v="64"/>
    <x v="2"/>
    <x v="0"/>
    <x v="4"/>
    <x v="8"/>
    <x v="0"/>
    <x v="5"/>
    <x v="0"/>
    <x v="38"/>
    <x v="8"/>
    <x v="92"/>
    <x v="323"/>
    <x v="1"/>
    <x v="0"/>
    <x v="0"/>
    <x v="2"/>
    <x v="1"/>
    <x v="1"/>
    <x v="0"/>
    <x v="0"/>
    <x v="90"/>
  </r>
  <r>
    <x v="622"/>
    <x v="18"/>
    <x v="214"/>
    <x v="97"/>
    <x v="81"/>
    <x v="0"/>
    <x v="0"/>
    <x v="12"/>
    <x v="29"/>
    <x v="5"/>
    <x v="27"/>
    <x v="132"/>
    <x v="108"/>
    <x v="43"/>
    <x v="77"/>
    <x v="35"/>
    <x v="1"/>
    <x v="18"/>
    <x v="1"/>
    <x v="1"/>
    <x v="1"/>
    <x v="1"/>
    <x v="0"/>
    <x v="4"/>
    <x v="76"/>
  </r>
  <r>
    <x v="623"/>
    <x v="117"/>
    <x v="233"/>
    <x v="52"/>
    <x v="54"/>
    <x v="1"/>
    <x v="0"/>
    <x v="8"/>
    <x v="16"/>
    <x v="0"/>
    <x v="14"/>
    <x v="0"/>
    <x v="84"/>
    <x v="20"/>
    <x v="178"/>
    <x v="298"/>
    <x v="1"/>
    <x v="3"/>
    <x v="1"/>
    <x v="1"/>
    <x v="1"/>
    <x v="1"/>
    <x v="0"/>
    <x v="0"/>
    <x v="172"/>
  </r>
  <r>
    <x v="624"/>
    <x v="2"/>
    <x v="129"/>
    <x v="80"/>
    <x v="82"/>
    <x v="2"/>
    <x v="1"/>
    <x v="0"/>
    <x v="0"/>
    <x v="3"/>
    <x v="3"/>
    <x v="23"/>
    <x v="19"/>
    <x v="4"/>
    <x v="43"/>
    <x v="331"/>
    <x v="1"/>
    <x v="16"/>
    <x v="1"/>
    <x v="1"/>
    <x v="1"/>
    <x v="1"/>
    <x v="0"/>
    <x v="3"/>
    <x v="44"/>
  </r>
  <r>
    <x v="625"/>
    <x v="37"/>
    <x v="121"/>
    <x v="59"/>
    <x v="99"/>
    <x v="6"/>
    <x v="1"/>
    <x v="10"/>
    <x v="20"/>
    <x v="2"/>
    <x v="44"/>
    <x v="94"/>
    <x v="212"/>
    <x v="50"/>
    <x v="414"/>
    <x v="237"/>
    <x v="1"/>
    <x v="1"/>
    <x v="1"/>
    <x v="1"/>
    <x v="1"/>
    <x v="1"/>
    <x v="0"/>
    <x v="4"/>
    <x v="399"/>
  </r>
  <r>
    <x v="626"/>
    <x v="137"/>
    <x v="116"/>
    <x v="77"/>
    <x v="75"/>
    <x v="2"/>
    <x v="0"/>
    <x v="2"/>
    <x v="4"/>
    <x v="2"/>
    <x v="2"/>
    <x v="11"/>
    <x v="14"/>
    <x v="4"/>
    <x v="25"/>
    <x v="305"/>
    <x v="1"/>
    <x v="15"/>
    <x v="1"/>
    <x v="1"/>
    <x v="1"/>
    <x v="1"/>
    <x v="0"/>
    <x v="4"/>
    <x v="26"/>
  </r>
  <r>
    <x v="627"/>
    <x v="237"/>
    <x v="27"/>
    <x v="91"/>
    <x v="39"/>
    <x v="0"/>
    <x v="0"/>
    <x v="12"/>
    <x v="29"/>
    <x v="5"/>
    <x v="27"/>
    <x v="132"/>
    <x v="108"/>
    <x v="43"/>
    <x v="77"/>
    <x v="35"/>
    <x v="1"/>
    <x v="10"/>
    <x v="2"/>
    <x v="1"/>
    <x v="1"/>
    <x v="1"/>
    <x v="0"/>
    <x v="3"/>
    <x v="76"/>
  </r>
  <r>
    <x v="628"/>
    <x v="12"/>
    <x v="46"/>
    <x v="97"/>
    <x v="81"/>
    <x v="0"/>
    <x v="0"/>
    <x v="12"/>
    <x v="29"/>
    <x v="0"/>
    <x v="27"/>
    <x v="0"/>
    <x v="151"/>
    <x v="43"/>
    <x v="250"/>
    <x v="179"/>
    <x v="2"/>
    <x v="17"/>
    <x v="2"/>
    <x v="2"/>
    <x v="2"/>
    <x v="1"/>
    <x v="0"/>
    <x v="2"/>
    <x v="242"/>
  </r>
  <r>
    <x v="629"/>
    <x v="180"/>
    <x v="102"/>
    <x v="75"/>
    <x v="23"/>
    <x v="2"/>
    <x v="0"/>
    <x v="5"/>
    <x v="11"/>
    <x v="0"/>
    <x v="7"/>
    <x v="0"/>
    <x v="50"/>
    <x v="13"/>
    <x v="97"/>
    <x v="289"/>
    <x v="1"/>
    <x v="8"/>
    <x v="0"/>
    <x v="1"/>
    <x v="1"/>
    <x v="1"/>
    <x v="0"/>
    <x v="4"/>
    <x v="95"/>
  </r>
  <r>
    <x v="630"/>
    <x v="347"/>
    <x v="98"/>
    <x v="47"/>
    <x v="74"/>
    <x v="1"/>
    <x v="0"/>
    <x v="4"/>
    <x v="9"/>
    <x v="2"/>
    <x v="5"/>
    <x v="17"/>
    <x v="31"/>
    <x v="11"/>
    <x v="45"/>
    <x v="242"/>
    <x v="0"/>
    <x v="19"/>
    <x v="0"/>
    <x v="1"/>
    <x v="0"/>
    <x v="1"/>
    <x v="0"/>
    <x v="1"/>
    <x v="0"/>
  </r>
  <r>
    <x v="631"/>
    <x v="267"/>
    <x v="171"/>
    <x v="9"/>
    <x v="95"/>
    <x v="3"/>
    <x v="0"/>
    <x v="19"/>
    <x v="39"/>
    <x v="5"/>
    <x v="50"/>
    <x v="177"/>
    <x v="203"/>
    <x v="65"/>
    <x v="151"/>
    <x v="16"/>
    <x v="1"/>
    <x v="9"/>
    <x v="2"/>
    <x v="2"/>
    <x v="1"/>
    <x v="1"/>
    <x v="0"/>
    <x v="3"/>
    <x v="145"/>
  </r>
  <r>
    <x v="632"/>
    <x v="120"/>
    <x v="103"/>
    <x v="9"/>
    <x v="95"/>
    <x v="3"/>
    <x v="0"/>
    <x v="19"/>
    <x v="39"/>
    <x v="2"/>
    <x v="50"/>
    <x v="105"/>
    <x v="234"/>
    <x v="65"/>
    <x v="330"/>
    <x v="86"/>
    <x v="1"/>
    <x v="4"/>
    <x v="1"/>
    <x v="2"/>
    <x v="1"/>
    <x v="1"/>
    <x v="0"/>
    <x v="0"/>
    <x v="318"/>
  </r>
  <r>
    <x v="633"/>
    <x v="69"/>
    <x v="21"/>
    <x v="55"/>
    <x v="37"/>
    <x v="1"/>
    <x v="1"/>
    <x v="15"/>
    <x v="34"/>
    <x v="2"/>
    <x v="64"/>
    <x v="134"/>
    <x v="293"/>
    <x v="75"/>
    <x v="452"/>
    <x v="91"/>
    <x v="1"/>
    <x v="14"/>
    <x v="1"/>
    <x v="1"/>
    <x v="1"/>
    <x v="1"/>
    <x v="0"/>
    <x v="4"/>
    <x v="437"/>
  </r>
  <r>
    <x v="634"/>
    <x v="203"/>
    <x v="77"/>
    <x v="97"/>
    <x v="81"/>
    <x v="0"/>
    <x v="3"/>
    <x v="12"/>
    <x v="29"/>
    <x v="3"/>
    <x v="81"/>
    <x v="197"/>
    <x v="351"/>
    <x v="91"/>
    <x v="536"/>
    <x v="87"/>
    <x v="1"/>
    <x v="5"/>
    <x v="1"/>
    <x v="2"/>
    <x v="1"/>
    <x v="1"/>
    <x v="0"/>
    <x v="3"/>
    <x v="513"/>
  </r>
  <r>
    <x v="635"/>
    <x v="238"/>
    <x v="290"/>
    <x v="57"/>
    <x v="58"/>
    <x v="1"/>
    <x v="2"/>
    <x v="5"/>
    <x v="11"/>
    <x v="4"/>
    <x v="31"/>
    <x v="127"/>
    <x v="145"/>
    <x v="40"/>
    <x v="246"/>
    <x v="196"/>
    <x v="1"/>
    <x v="11"/>
    <x v="2"/>
    <x v="2"/>
    <x v="1"/>
    <x v="1"/>
    <x v="0"/>
    <x v="4"/>
    <x v="238"/>
  </r>
  <r>
    <x v="636"/>
    <x v="126"/>
    <x v="131"/>
    <x v="31"/>
    <x v="94"/>
    <x v="5"/>
    <x v="0"/>
    <x v="5"/>
    <x v="9"/>
    <x v="3"/>
    <x v="7"/>
    <x v="34"/>
    <x v="37"/>
    <x v="11"/>
    <x v="68"/>
    <x v="277"/>
    <x v="1"/>
    <x v="9"/>
    <x v="0"/>
    <x v="0"/>
    <x v="1"/>
    <x v="1"/>
    <x v="0"/>
    <x v="4"/>
    <x v="67"/>
  </r>
  <r>
    <x v="637"/>
    <x v="165"/>
    <x v="100"/>
    <x v="4"/>
    <x v="66"/>
    <x v="3"/>
    <x v="1"/>
    <x v="14"/>
    <x v="31"/>
    <x v="0"/>
    <x v="61"/>
    <x v="0"/>
    <x v="299"/>
    <x v="71"/>
    <x v="520"/>
    <x v="185"/>
    <x v="1"/>
    <x v="14"/>
    <x v="1"/>
    <x v="0"/>
    <x v="1"/>
    <x v="1"/>
    <x v="0"/>
    <x v="0"/>
    <x v="497"/>
  </r>
  <r>
    <x v="638"/>
    <x v="94"/>
    <x v="17"/>
    <x v="85"/>
    <x v="35"/>
    <x v="2"/>
    <x v="1"/>
    <x v="1"/>
    <x v="2"/>
    <x v="3"/>
    <x v="6"/>
    <x v="32"/>
    <x v="36"/>
    <x v="10"/>
    <x v="73"/>
    <x v="301"/>
    <x v="2"/>
    <x v="15"/>
    <x v="0"/>
    <x v="1"/>
    <x v="2"/>
    <x v="1"/>
    <x v="0"/>
    <x v="2"/>
    <x v="72"/>
  </r>
  <r>
    <x v="639"/>
    <x v="283"/>
    <x v="84"/>
    <x v="3"/>
    <x v="90"/>
    <x v="3"/>
    <x v="3"/>
    <x v="3"/>
    <x v="7"/>
    <x v="2"/>
    <x v="30"/>
    <x v="70"/>
    <x v="159"/>
    <x v="37"/>
    <x v="340"/>
    <x v="273"/>
    <x v="4"/>
    <x v="12"/>
    <x v="1"/>
    <x v="0"/>
    <x v="2"/>
    <x v="1"/>
    <x v="0"/>
    <x v="0"/>
    <x v="327"/>
  </r>
  <r>
    <x v="640"/>
    <x v="320"/>
    <x v="151"/>
    <x v="44"/>
    <x v="53"/>
    <x v="5"/>
    <x v="1"/>
    <x v="6"/>
    <x v="12"/>
    <x v="0"/>
    <x v="22"/>
    <x v="0"/>
    <x v="134"/>
    <x v="30"/>
    <x v="310"/>
    <x v="308"/>
    <x v="1"/>
    <x v="9"/>
    <x v="1"/>
    <x v="0"/>
    <x v="1"/>
    <x v="1"/>
    <x v="0"/>
    <x v="0"/>
    <x v="299"/>
  </r>
  <r>
    <x v="641"/>
    <x v="176"/>
    <x v="126"/>
    <x v="62"/>
    <x v="19"/>
    <x v="6"/>
    <x v="2"/>
    <x v="17"/>
    <x v="35"/>
    <x v="1"/>
    <x v="87"/>
    <x v="124"/>
    <x v="390"/>
    <x v="93"/>
    <x v="633"/>
    <x v="167"/>
    <x v="1"/>
    <x v="10"/>
    <x v="1"/>
    <x v="1"/>
    <x v="1"/>
    <x v="1"/>
    <x v="0"/>
    <x v="0"/>
    <x v="603"/>
  </r>
  <r>
    <x v="642"/>
    <x v="167"/>
    <x v="165"/>
    <x v="62"/>
    <x v="19"/>
    <x v="6"/>
    <x v="2"/>
    <x v="17"/>
    <x v="35"/>
    <x v="2"/>
    <x v="87"/>
    <x v="176"/>
    <x v="385"/>
    <x v="93"/>
    <x v="610"/>
    <x v="135"/>
    <x v="1"/>
    <x v="10"/>
    <x v="1"/>
    <x v="2"/>
    <x v="1"/>
    <x v="1"/>
    <x v="0"/>
    <x v="0"/>
    <x v="581"/>
  </r>
  <r>
    <x v="643"/>
    <x v="330"/>
    <x v="258"/>
    <x v="38"/>
    <x v="92"/>
    <x v="5"/>
    <x v="1"/>
    <x v="9"/>
    <x v="18"/>
    <x v="4"/>
    <x v="38"/>
    <x v="139"/>
    <x v="165"/>
    <x v="45"/>
    <x v="301"/>
    <x v="190"/>
    <x v="1"/>
    <x v="6"/>
    <x v="1"/>
    <x v="0"/>
    <x v="1"/>
    <x v="1"/>
    <x v="0"/>
    <x v="4"/>
    <x v="290"/>
  </r>
  <r>
    <x v="644"/>
    <x v="300"/>
    <x v="191"/>
    <x v="55"/>
    <x v="37"/>
    <x v="1"/>
    <x v="2"/>
    <x v="15"/>
    <x v="34"/>
    <x v="1"/>
    <x v="79"/>
    <x v="106"/>
    <x v="371"/>
    <x v="92"/>
    <x v="581"/>
    <x v="122"/>
    <x v="1"/>
    <x v="9"/>
    <x v="1"/>
    <x v="2"/>
    <x v="1"/>
    <x v="1"/>
    <x v="0"/>
    <x v="4"/>
    <x v="557"/>
  </r>
  <r>
    <x v="645"/>
    <x v="64"/>
    <x v="139"/>
    <x v="42"/>
    <x v="47"/>
    <x v="5"/>
    <x v="2"/>
    <x v="15"/>
    <x v="32"/>
    <x v="4"/>
    <x v="79"/>
    <x v="212"/>
    <x v="339"/>
    <x v="89"/>
    <x v="501"/>
    <x v="69"/>
    <x v="2"/>
    <x v="14"/>
    <x v="2"/>
    <x v="0"/>
    <x v="2"/>
    <x v="1"/>
    <x v="0"/>
    <x v="2"/>
    <x v="480"/>
  </r>
  <r>
    <x v="646"/>
    <x v="10"/>
    <x v="111"/>
    <x v="57"/>
    <x v="58"/>
    <x v="1"/>
    <x v="0"/>
    <x v="5"/>
    <x v="11"/>
    <x v="5"/>
    <x v="7"/>
    <x v="60"/>
    <x v="30"/>
    <x v="13"/>
    <x v="21"/>
    <x v="159"/>
    <x v="1"/>
    <x v="11"/>
    <x v="0"/>
    <x v="0"/>
    <x v="1"/>
    <x v="1"/>
    <x v="0"/>
    <x v="4"/>
    <x v="22"/>
  </r>
  <r>
    <x v="647"/>
    <x v="147"/>
    <x v="63"/>
    <x v="54"/>
    <x v="61"/>
    <x v="1"/>
    <x v="0"/>
    <x v="12"/>
    <x v="27"/>
    <x v="3"/>
    <x v="27"/>
    <x v="90"/>
    <x v="126"/>
    <x v="39"/>
    <x v="179"/>
    <x v="139"/>
    <x v="4"/>
    <x v="8"/>
    <x v="1"/>
    <x v="1"/>
    <x v="2"/>
    <x v="1"/>
    <x v="0"/>
    <x v="0"/>
    <x v="173"/>
  </r>
  <r>
    <x v="648"/>
    <x v="184"/>
    <x v="114"/>
    <x v="37"/>
    <x v="51"/>
    <x v="5"/>
    <x v="2"/>
    <x v="8"/>
    <x v="17"/>
    <x v="2"/>
    <x v="48"/>
    <x v="102"/>
    <x v="232"/>
    <x v="54"/>
    <x v="450"/>
    <x v="238"/>
    <x v="1"/>
    <x v="3"/>
    <x v="0"/>
    <x v="0"/>
    <x v="1"/>
    <x v="1"/>
    <x v="0"/>
    <x v="0"/>
    <x v="435"/>
  </r>
  <r>
    <x v="649"/>
    <x v="328"/>
    <x v="103"/>
    <x v="95"/>
    <x v="0"/>
    <x v="0"/>
    <x v="0"/>
    <x v="24"/>
    <x v="48"/>
    <x v="5"/>
    <x v="83"/>
    <x v="228"/>
    <x v="334"/>
    <x v="97"/>
    <x v="151"/>
    <x v="1"/>
    <x v="1"/>
    <x v="4"/>
    <x v="1"/>
    <x v="2"/>
    <x v="1"/>
    <x v="1"/>
    <x v="0"/>
    <x v="4"/>
    <x v="145"/>
  </r>
  <r>
    <x v="650"/>
    <x v="336"/>
    <x v="179"/>
    <x v="68"/>
    <x v="80"/>
    <x v="6"/>
    <x v="3"/>
    <x v="12"/>
    <x v="27"/>
    <x v="1"/>
    <x v="81"/>
    <x v="112"/>
    <x v="375"/>
    <x v="87"/>
    <x v="623"/>
    <x v="203"/>
    <x v="1"/>
    <x v="14"/>
    <x v="0"/>
    <x v="1"/>
    <x v="1"/>
    <x v="1"/>
    <x v="0"/>
    <x v="0"/>
    <x v="594"/>
  </r>
  <r>
    <x v="651"/>
    <x v="139"/>
    <x v="142"/>
    <x v="83"/>
    <x v="96"/>
    <x v="2"/>
    <x v="0"/>
    <x v="10"/>
    <x v="23"/>
    <x v="2"/>
    <x v="20"/>
    <x v="50"/>
    <x v="104"/>
    <x v="34"/>
    <x v="148"/>
    <x v="146"/>
    <x v="1"/>
    <x v="4"/>
    <x v="0"/>
    <x v="1"/>
    <x v="1"/>
    <x v="1"/>
    <x v="0"/>
    <x v="3"/>
    <x v="142"/>
  </r>
  <r>
    <x v="652"/>
    <x v="81"/>
    <x v="236"/>
    <x v="28"/>
    <x v="73"/>
    <x v="4"/>
    <x v="2"/>
    <x v="3"/>
    <x v="5"/>
    <x v="3"/>
    <x v="21"/>
    <x v="79"/>
    <x v="112"/>
    <x v="24"/>
    <x v="262"/>
    <x v="312"/>
    <x v="1"/>
    <x v="5"/>
    <x v="0"/>
    <x v="2"/>
    <x v="1"/>
    <x v="1"/>
    <x v="0"/>
    <x v="3"/>
    <x v="253"/>
  </r>
  <r>
    <x v="653"/>
    <x v="62"/>
    <x v="21"/>
    <x v="64"/>
    <x v="3"/>
    <x v="6"/>
    <x v="1"/>
    <x v="12"/>
    <x v="28"/>
    <x v="0"/>
    <x v="53"/>
    <x v="0"/>
    <x v="268"/>
    <x v="64"/>
    <x v="485"/>
    <x v="210"/>
    <x v="1"/>
    <x v="14"/>
    <x v="1"/>
    <x v="0"/>
    <x v="1"/>
    <x v="1"/>
    <x v="0"/>
    <x v="4"/>
    <x v="466"/>
  </r>
  <r>
    <x v="654"/>
    <x v="198"/>
    <x v="224"/>
    <x v="40"/>
    <x v="32"/>
    <x v="5"/>
    <x v="0"/>
    <x v="7"/>
    <x v="15"/>
    <x v="2"/>
    <x v="11"/>
    <x v="29"/>
    <x v="61"/>
    <x v="18"/>
    <x v="99"/>
    <x v="236"/>
    <x v="1"/>
    <x v="17"/>
    <x v="1"/>
    <x v="1"/>
    <x v="1"/>
    <x v="1"/>
    <x v="0"/>
    <x v="0"/>
    <x v="96"/>
  </r>
  <r>
    <x v="655"/>
    <x v="102"/>
    <x v="255"/>
    <x v="63"/>
    <x v="33"/>
    <x v="6"/>
    <x v="1"/>
    <x v="9"/>
    <x v="18"/>
    <x v="1"/>
    <x v="38"/>
    <x v="42"/>
    <x v="196"/>
    <x v="45"/>
    <x v="411"/>
    <x v="268"/>
    <x v="1"/>
    <x v="15"/>
    <x v="0"/>
    <x v="0"/>
    <x v="1"/>
    <x v="1"/>
    <x v="0"/>
    <x v="0"/>
    <x v="396"/>
  </r>
  <r>
    <x v="656"/>
    <x v="221"/>
    <x v="129"/>
    <x v="93"/>
    <x v="70"/>
    <x v="0"/>
    <x v="2"/>
    <x v="20"/>
    <x v="42"/>
    <x v="5"/>
    <x v="97"/>
    <x v="241"/>
    <x v="394"/>
    <x v="110"/>
    <x v="418"/>
    <x v="6"/>
    <x v="1"/>
    <x v="16"/>
    <x v="1"/>
    <x v="2"/>
    <x v="1"/>
    <x v="1"/>
    <x v="0"/>
    <x v="3"/>
    <x v="403"/>
  </r>
  <r>
    <x v="657"/>
    <x v="334"/>
    <x v="134"/>
    <x v="81"/>
    <x v="31"/>
    <x v="2"/>
    <x v="0"/>
    <x v="2"/>
    <x v="4"/>
    <x v="3"/>
    <x v="2"/>
    <x v="19"/>
    <x v="13"/>
    <x v="4"/>
    <x v="16"/>
    <x v="290"/>
    <x v="0"/>
    <x v="18"/>
    <x v="0"/>
    <x v="1"/>
    <x v="0"/>
    <x v="1"/>
    <x v="0"/>
    <x v="1"/>
    <x v="0"/>
  </r>
  <r>
    <x v="658"/>
    <x v="283"/>
    <x v="18"/>
    <x v="92"/>
    <x v="45"/>
    <x v="0"/>
    <x v="1"/>
    <x v="21"/>
    <x v="44"/>
    <x v="0"/>
    <x v="88"/>
    <x v="0"/>
    <x v="397"/>
    <x v="101"/>
    <x v="615"/>
    <x v="99"/>
    <x v="1"/>
    <x v="5"/>
    <x v="0"/>
    <x v="0"/>
    <x v="1"/>
    <x v="1"/>
    <x v="0"/>
    <x v="0"/>
    <x v="586"/>
  </r>
  <r>
    <x v="659"/>
    <x v="333"/>
    <x v="169"/>
    <x v="12"/>
    <x v="56"/>
    <x v="3"/>
    <x v="0"/>
    <x v="9"/>
    <x v="22"/>
    <x v="2"/>
    <x v="16"/>
    <x v="42"/>
    <x v="87"/>
    <x v="33"/>
    <x v="99"/>
    <x v="95"/>
    <x v="1"/>
    <x v="16"/>
    <x v="1"/>
    <x v="2"/>
    <x v="1"/>
    <x v="1"/>
    <x v="0"/>
    <x v="4"/>
    <x v="96"/>
  </r>
  <r>
    <x v="660"/>
    <x v="301"/>
    <x v="248"/>
    <x v="56"/>
    <x v="17"/>
    <x v="1"/>
    <x v="1"/>
    <x v="1"/>
    <x v="1"/>
    <x v="4"/>
    <x v="6"/>
    <x v="48"/>
    <x v="32"/>
    <x v="8"/>
    <x v="65"/>
    <x v="303"/>
    <x v="4"/>
    <x v="7"/>
    <x v="1"/>
    <x v="0"/>
    <x v="2"/>
    <x v="1"/>
    <x v="0"/>
    <x v="0"/>
    <x v="64"/>
  </r>
  <r>
    <x v="661"/>
    <x v="81"/>
    <x v="4"/>
    <x v="21"/>
    <x v="93"/>
    <x v="4"/>
    <x v="0"/>
    <x v="7"/>
    <x v="14"/>
    <x v="1"/>
    <x v="11"/>
    <x v="12"/>
    <x v="64"/>
    <x v="17"/>
    <x v="132"/>
    <x v="295"/>
    <x v="4"/>
    <x v="4"/>
    <x v="1"/>
    <x v="0"/>
    <x v="2"/>
    <x v="1"/>
    <x v="0"/>
    <x v="0"/>
    <x v="127"/>
  </r>
  <r>
    <x v="662"/>
    <x v="33"/>
    <x v="268"/>
    <x v="80"/>
    <x v="82"/>
    <x v="2"/>
    <x v="2"/>
    <x v="0"/>
    <x v="0"/>
    <x v="2"/>
    <x v="8"/>
    <x v="23"/>
    <x v="52"/>
    <x v="9"/>
    <x v="126"/>
    <x v="337"/>
    <x v="1"/>
    <x v="7"/>
    <x v="0"/>
    <x v="2"/>
    <x v="1"/>
    <x v="1"/>
    <x v="0"/>
    <x v="4"/>
    <x v="122"/>
  </r>
  <r>
    <x v="663"/>
    <x v="212"/>
    <x v="90"/>
    <x v="98"/>
    <x v="72"/>
    <x v="0"/>
    <x v="0"/>
    <x v="15"/>
    <x v="34"/>
    <x v="0"/>
    <x v="35"/>
    <x v="0"/>
    <x v="195"/>
    <x v="52"/>
    <x v="319"/>
    <x v="155"/>
    <x v="1"/>
    <x v="16"/>
    <x v="0"/>
    <x v="0"/>
    <x v="1"/>
    <x v="1"/>
    <x v="0"/>
    <x v="3"/>
    <x v="307"/>
  </r>
  <r>
    <x v="664"/>
    <x v="4"/>
    <x v="80"/>
    <x v="68"/>
    <x v="80"/>
    <x v="6"/>
    <x v="1"/>
    <x v="12"/>
    <x v="27"/>
    <x v="1"/>
    <x v="53"/>
    <x v="62"/>
    <x v="259"/>
    <x v="63"/>
    <x v="470"/>
    <x v="203"/>
    <x v="1"/>
    <x v="14"/>
    <x v="1"/>
    <x v="1"/>
    <x v="1"/>
    <x v="1"/>
    <x v="0"/>
    <x v="0"/>
    <x v="451"/>
  </r>
  <r>
    <x v="665"/>
    <x v="212"/>
    <x v="207"/>
    <x v="68"/>
    <x v="80"/>
    <x v="6"/>
    <x v="0"/>
    <x v="12"/>
    <x v="27"/>
    <x v="2"/>
    <x v="27"/>
    <x v="62"/>
    <x v="137"/>
    <x v="39"/>
    <x v="212"/>
    <x v="171"/>
    <x v="1"/>
    <x v="13"/>
    <x v="1"/>
    <x v="1"/>
    <x v="1"/>
    <x v="1"/>
    <x v="0"/>
    <x v="3"/>
    <x v="205"/>
  </r>
  <r>
    <x v="666"/>
    <x v="69"/>
    <x v="234"/>
    <x v="27"/>
    <x v="78"/>
    <x v="4"/>
    <x v="0"/>
    <x v="19"/>
    <x v="38"/>
    <x v="0"/>
    <x v="50"/>
    <x v="0"/>
    <x v="252"/>
    <x v="60"/>
    <x v="454"/>
    <x v="200"/>
    <x v="1"/>
    <x v="18"/>
    <x v="1"/>
    <x v="1"/>
    <x v="1"/>
    <x v="1"/>
    <x v="0"/>
    <x v="0"/>
    <x v="439"/>
  </r>
  <r>
    <x v="667"/>
    <x v="218"/>
    <x v="141"/>
    <x v="75"/>
    <x v="23"/>
    <x v="2"/>
    <x v="0"/>
    <x v="5"/>
    <x v="11"/>
    <x v="1"/>
    <x v="7"/>
    <x v="8"/>
    <x v="45"/>
    <x v="13"/>
    <x v="84"/>
    <x v="272"/>
    <x v="1"/>
    <x v="8"/>
    <x v="1"/>
    <x v="0"/>
    <x v="1"/>
    <x v="1"/>
    <x v="0"/>
    <x v="4"/>
    <x v="83"/>
  </r>
  <r>
    <x v="668"/>
    <x v="101"/>
    <x v="89"/>
    <x v="83"/>
    <x v="96"/>
    <x v="2"/>
    <x v="0"/>
    <x v="10"/>
    <x v="23"/>
    <x v="0"/>
    <x v="20"/>
    <x v="0"/>
    <x v="119"/>
    <x v="34"/>
    <x v="200"/>
    <x v="207"/>
    <x v="2"/>
    <x v="7"/>
    <x v="1"/>
    <x v="1"/>
    <x v="2"/>
    <x v="1"/>
    <x v="0"/>
    <x v="2"/>
    <x v="193"/>
  </r>
  <r>
    <x v="669"/>
    <x v="56"/>
    <x v="47"/>
    <x v="97"/>
    <x v="81"/>
    <x v="0"/>
    <x v="1"/>
    <x v="12"/>
    <x v="29"/>
    <x v="0"/>
    <x v="53"/>
    <x v="0"/>
    <x v="268"/>
    <x v="67"/>
    <x v="469"/>
    <x v="179"/>
    <x v="1"/>
    <x v="10"/>
    <x v="0"/>
    <x v="1"/>
    <x v="1"/>
    <x v="1"/>
    <x v="0"/>
    <x v="3"/>
    <x v="450"/>
  </r>
  <r>
    <x v="670"/>
    <x v="36"/>
    <x v="266"/>
    <x v="72"/>
    <x v="43"/>
    <x v="6"/>
    <x v="2"/>
    <x v="20"/>
    <x v="40"/>
    <x v="1"/>
    <x v="97"/>
    <x v="146"/>
    <x v="414"/>
    <x v="107"/>
    <x v="660"/>
    <x v="152"/>
    <x v="3"/>
    <x v="0"/>
    <x v="0"/>
    <x v="0"/>
    <x v="3"/>
    <x v="2"/>
    <x v="0"/>
    <x v="3"/>
    <x v="0"/>
  </r>
  <r>
    <x v="671"/>
    <x v="339"/>
    <x v="161"/>
    <x v="27"/>
    <x v="78"/>
    <x v="4"/>
    <x v="0"/>
    <x v="19"/>
    <x v="38"/>
    <x v="0"/>
    <x v="50"/>
    <x v="0"/>
    <x v="252"/>
    <x v="60"/>
    <x v="454"/>
    <x v="200"/>
    <x v="1"/>
    <x v="8"/>
    <x v="1"/>
    <x v="0"/>
    <x v="1"/>
    <x v="1"/>
    <x v="0"/>
    <x v="0"/>
    <x v="439"/>
  </r>
  <r>
    <x v="672"/>
    <x v="339"/>
    <x v="193"/>
    <x v="8"/>
    <x v="50"/>
    <x v="3"/>
    <x v="1"/>
    <x v="10"/>
    <x v="20"/>
    <x v="5"/>
    <x v="44"/>
    <x v="167"/>
    <x v="180"/>
    <x v="50"/>
    <x v="285"/>
    <x v="146"/>
    <x v="1"/>
    <x v="3"/>
    <x v="1"/>
    <x v="2"/>
    <x v="1"/>
    <x v="1"/>
    <x v="0"/>
    <x v="4"/>
    <x v="276"/>
  </r>
  <r>
    <x v="673"/>
    <x v="32"/>
    <x v="206"/>
    <x v="2"/>
    <x v="77"/>
    <x v="3"/>
    <x v="0"/>
    <x v="22"/>
    <x v="44"/>
    <x v="5"/>
    <x v="63"/>
    <x v="201"/>
    <x v="256"/>
    <x v="74"/>
    <x v="231"/>
    <x v="19"/>
    <x v="1"/>
    <x v="0"/>
    <x v="1"/>
    <x v="0"/>
    <x v="1"/>
    <x v="1"/>
    <x v="0"/>
    <x v="3"/>
    <x v="223"/>
  </r>
  <r>
    <x v="674"/>
    <x v="19"/>
    <x v="151"/>
    <x v="51"/>
    <x v="52"/>
    <x v="1"/>
    <x v="0"/>
    <x v="2"/>
    <x v="4"/>
    <x v="0"/>
    <x v="2"/>
    <x v="0"/>
    <x v="18"/>
    <x v="4"/>
    <x v="39"/>
    <x v="329"/>
    <x v="1"/>
    <x v="9"/>
    <x v="1"/>
    <x v="0"/>
    <x v="1"/>
    <x v="1"/>
    <x v="0"/>
    <x v="4"/>
    <x v="40"/>
  </r>
  <r>
    <x v="675"/>
    <x v="117"/>
    <x v="93"/>
    <x v="50"/>
    <x v="10"/>
    <x v="1"/>
    <x v="1"/>
    <x v="5"/>
    <x v="11"/>
    <x v="1"/>
    <x v="19"/>
    <x v="21"/>
    <x v="110"/>
    <x v="28"/>
    <x v="224"/>
    <x v="272"/>
    <x v="1"/>
    <x v="2"/>
    <x v="1"/>
    <x v="0"/>
    <x v="1"/>
    <x v="1"/>
    <x v="0"/>
    <x v="0"/>
    <x v="216"/>
  </r>
  <r>
    <x v="676"/>
    <x v="248"/>
    <x v="119"/>
    <x v="56"/>
    <x v="17"/>
    <x v="1"/>
    <x v="0"/>
    <x v="1"/>
    <x v="1"/>
    <x v="0"/>
    <x v="1"/>
    <x v="0"/>
    <x v="11"/>
    <x v="1"/>
    <x v="24"/>
    <x v="339"/>
    <x v="4"/>
    <x v="6"/>
    <x v="1"/>
    <x v="1"/>
    <x v="2"/>
    <x v="1"/>
    <x v="0"/>
    <x v="4"/>
    <x v="25"/>
  </r>
  <r>
    <x v="677"/>
    <x v="229"/>
    <x v="281"/>
    <x v="13"/>
    <x v="41"/>
    <x v="3"/>
    <x v="0"/>
    <x v="6"/>
    <x v="12"/>
    <x v="5"/>
    <x v="9"/>
    <x v="68"/>
    <x v="35"/>
    <x v="14"/>
    <x v="37"/>
    <x v="192"/>
    <x v="1"/>
    <x v="8"/>
    <x v="1"/>
    <x v="1"/>
    <x v="1"/>
    <x v="1"/>
    <x v="0"/>
    <x v="4"/>
    <x v="38"/>
  </r>
  <r>
    <x v="678"/>
    <x v="29"/>
    <x v="186"/>
    <x v="48"/>
    <x v="28"/>
    <x v="1"/>
    <x v="1"/>
    <x v="3"/>
    <x v="7"/>
    <x v="3"/>
    <x v="13"/>
    <x v="53"/>
    <x v="69"/>
    <x v="19"/>
    <x v="129"/>
    <x v="248"/>
    <x v="1"/>
    <x v="0"/>
    <x v="0"/>
    <x v="1"/>
    <x v="1"/>
    <x v="1"/>
    <x v="0"/>
    <x v="3"/>
    <x v="124"/>
  </r>
  <r>
    <x v="679"/>
    <x v="78"/>
    <x v="74"/>
    <x v="73"/>
    <x v="60"/>
    <x v="2"/>
    <x v="3"/>
    <x v="3"/>
    <x v="6"/>
    <x v="2"/>
    <x v="30"/>
    <x v="70"/>
    <x v="159"/>
    <x v="35"/>
    <x v="365"/>
    <x v="302"/>
    <x v="4"/>
    <x v="2"/>
    <x v="0"/>
    <x v="1"/>
    <x v="2"/>
    <x v="1"/>
    <x v="0"/>
    <x v="3"/>
    <x v="351"/>
  </r>
  <r>
    <x v="680"/>
    <x v="219"/>
    <x v="117"/>
    <x v="42"/>
    <x v="47"/>
    <x v="5"/>
    <x v="1"/>
    <x v="15"/>
    <x v="32"/>
    <x v="4"/>
    <x v="64"/>
    <x v="187"/>
    <x v="276"/>
    <x v="72"/>
    <x v="387"/>
    <x v="69"/>
    <x v="4"/>
    <x v="5"/>
    <x v="2"/>
    <x v="1"/>
    <x v="2"/>
    <x v="1"/>
    <x v="0"/>
    <x v="4"/>
    <x v="373"/>
  </r>
  <r>
    <x v="681"/>
    <x v="295"/>
    <x v="263"/>
    <x v="8"/>
    <x v="50"/>
    <x v="3"/>
    <x v="0"/>
    <x v="10"/>
    <x v="20"/>
    <x v="0"/>
    <x v="20"/>
    <x v="0"/>
    <x v="119"/>
    <x v="29"/>
    <x v="250"/>
    <x v="283"/>
    <x v="1"/>
    <x v="12"/>
    <x v="1"/>
    <x v="1"/>
    <x v="1"/>
    <x v="1"/>
    <x v="0"/>
    <x v="4"/>
    <x v="242"/>
  </r>
  <r>
    <x v="682"/>
    <x v="260"/>
    <x v="103"/>
    <x v="86"/>
    <x v="11"/>
    <x v="2"/>
    <x v="1"/>
    <x v="6"/>
    <x v="14"/>
    <x v="1"/>
    <x v="22"/>
    <x v="25"/>
    <x v="128"/>
    <x v="33"/>
    <x v="255"/>
    <x v="256"/>
    <x v="1"/>
    <x v="4"/>
    <x v="1"/>
    <x v="0"/>
    <x v="1"/>
    <x v="1"/>
    <x v="0"/>
    <x v="4"/>
    <x v="246"/>
  </r>
  <r>
    <x v="683"/>
    <x v="245"/>
    <x v="277"/>
    <x v="53"/>
    <x v="29"/>
    <x v="1"/>
    <x v="0"/>
    <x v="3"/>
    <x v="6"/>
    <x v="2"/>
    <x v="4"/>
    <x v="15"/>
    <x v="23"/>
    <x v="6"/>
    <x v="40"/>
    <x v="302"/>
    <x v="3"/>
    <x v="19"/>
    <x v="0"/>
    <x v="2"/>
    <x v="3"/>
    <x v="1"/>
    <x v="0"/>
    <x v="0"/>
    <x v="0"/>
  </r>
  <r>
    <x v="684"/>
    <x v="16"/>
    <x v="179"/>
    <x v="90"/>
    <x v="69"/>
    <x v="0"/>
    <x v="1"/>
    <x v="20"/>
    <x v="41"/>
    <x v="5"/>
    <x v="82"/>
    <x v="226"/>
    <x v="333"/>
    <x v="93"/>
    <x v="349"/>
    <x v="10"/>
    <x v="1"/>
    <x v="14"/>
    <x v="0"/>
    <x v="0"/>
    <x v="1"/>
    <x v="1"/>
    <x v="0"/>
    <x v="0"/>
    <x v="336"/>
  </r>
  <r>
    <x v="685"/>
    <x v="149"/>
    <x v="15"/>
    <x v="61"/>
    <x v="76"/>
    <x v="6"/>
    <x v="2"/>
    <x v="2"/>
    <x v="3"/>
    <x v="2"/>
    <x v="17"/>
    <x v="44"/>
    <x v="93"/>
    <x v="19"/>
    <x v="234"/>
    <x v="330"/>
    <x v="1"/>
    <x v="3"/>
    <x v="0"/>
    <x v="1"/>
    <x v="1"/>
    <x v="1"/>
    <x v="0"/>
    <x v="4"/>
    <x v="226"/>
  </r>
  <r>
    <x v="686"/>
    <x v="297"/>
    <x v="266"/>
    <x v="7"/>
    <x v="62"/>
    <x v="3"/>
    <x v="0"/>
    <x v="5"/>
    <x v="9"/>
    <x v="3"/>
    <x v="7"/>
    <x v="34"/>
    <x v="37"/>
    <x v="11"/>
    <x v="68"/>
    <x v="277"/>
    <x v="1"/>
    <x v="0"/>
    <x v="0"/>
    <x v="1"/>
    <x v="1"/>
    <x v="1"/>
    <x v="0"/>
    <x v="0"/>
    <x v="67"/>
  </r>
  <r>
    <x v="687"/>
    <x v="152"/>
    <x v="268"/>
    <x v="44"/>
    <x v="53"/>
    <x v="5"/>
    <x v="0"/>
    <x v="6"/>
    <x v="12"/>
    <x v="5"/>
    <x v="9"/>
    <x v="68"/>
    <x v="35"/>
    <x v="14"/>
    <x v="37"/>
    <x v="192"/>
    <x v="3"/>
    <x v="7"/>
    <x v="0"/>
    <x v="0"/>
    <x v="3"/>
    <x v="1"/>
    <x v="0"/>
    <x v="4"/>
    <x v="0"/>
  </r>
  <r>
    <x v="688"/>
    <x v="303"/>
    <x v="208"/>
    <x v="37"/>
    <x v="51"/>
    <x v="5"/>
    <x v="0"/>
    <x v="8"/>
    <x v="17"/>
    <x v="4"/>
    <x v="14"/>
    <x v="72"/>
    <x v="66"/>
    <x v="21"/>
    <x v="94"/>
    <x v="184"/>
    <x v="1"/>
    <x v="7"/>
    <x v="1"/>
    <x v="1"/>
    <x v="1"/>
    <x v="1"/>
    <x v="0"/>
    <x v="3"/>
    <x v="92"/>
  </r>
  <r>
    <x v="689"/>
    <x v="3"/>
    <x v="202"/>
    <x v="50"/>
    <x v="10"/>
    <x v="1"/>
    <x v="1"/>
    <x v="5"/>
    <x v="11"/>
    <x v="2"/>
    <x v="19"/>
    <x v="49"/>
    <x v="102"/>
    <x v="28"/>
    <x v="198"/>
    <x v="247"/>
    <x v="1"/>
    <x v="4"/>
    <x v="1"/>
    <x v="2"/>
    <x v="1"/>
    <x v="1"/>
    <x v="0"/>
    <x v="4"/>
    <x v="191"/>
  </r>
  <r>
    <x v="690"/>
    <x v="269"/>
    <x v="116"/>
    <x v="82"/>
    <x v="67"/>
    <x v="2"/>
    <x v="1"/>
    <x v="5"/>
    <x v="12"/>
    <x v="3"/>
    <x v="19"/>
    <x v="71"/>
    <x v="96"/>
    <x v="30"/>
    <x v="160"/>
    <x v="197"/>
    <x v="1"/>
    <x v="15"/>
    <x v="1"/>
    <x v="1"/>
    <x v="1"/>
    <x v="1"/>
    <x v="0"/>
    <x v="3"/>
    <x v="154"/>
  </r>
  <r>
    <x v="691"/>
    <x v="42"/>
    <x v="156"/>
    <x v="40"/>
    <x v="32"/>
    <x v="5"/>
    <x v="0"/>
    <x v="7"/>
    <x v="15"/>
    <x v="3"/>
    <x v="11"/>
    <x v="46"/>
    <x v="55"/>
    <x v="18"/>
    <x v="80"/>
    <x v="213"/>
    <x v="1"/>
    <x v="5"/>
    <x v="0"/>
    <x v="0"/>
    <x v="1"/>
    <x v="1"/>
    <x v="0"/>
    <x v="4"/>
    <x v="79"/>
  </r>
  <r>
    <x v="692"/>
    <x v="244"/>
    <x v="133"/>
    <x v="57"/>
    <x v="58"/>
    <x v="1"/>
    <x v="0"/>
    <x v="5"/>
    <x v="11"/>
    <x v="1"/>
    <x v="7"/>
    <x v="8"/>
    <x v="45"/>
    <x v="13"/>
    <x v="84"/>
    <x v="272"/>
    <x v="1"/>
    <x v="3"/>
    <x v="0"/>
    <x v="0"/>
    <x v="1"/>
    <x v="1"/>
    <x v="0"/>
    <x v="0"/>
    <x v="83"/>
  </r>
  <r>
    <x v="693"/>
    <x v="220"/>
    <x v="277"/>
    <x v="52"/>
    <x v="54"/>
    <x v="1"/>
    <x v="0"/>
    <x v="8"/>
    <x v="16"/>
    <x v="2"/>
    <x v="14"/>
    <x v="35"/>
    <x v="73"/>
    <x v="20"/>
    <x v="140"/>
    <x v="261"/>
    <x v="1"/>
    <x v="19"/>
    <x v="0"/>
    <x v="2"/>
    <x v="1"/>
    <x v="1"/>
    <x v="0"/>
    <x v="3"/>
    <x v="134"/>
  </r>
  <r>
    <x v="694"/>
    <x v="2"/>
    <x v="211"/>
    <x v="38"/>
    <x v="92"/>
    <x v="5"/>
    <x v="0"/>
    <x v="9"/>
    <x v="18"/>
    <x v="4"/>
    <x v="16"/>
    <x v="83"/>
    <x v="75"/>
    <x v="24"/>
    <x v="124"/>
    <x v="190"/>
    <x v="1"/>
    <x v="9"/>
    <x v="1"/>
    <x v="2"/>
    <x v="1"/>
    <x v="1"/>
    <x v="0"/>
    <x v="4"/>
    <x v="120"/>
  </r>
  <r>
    <x v="695"/>
    <x v="69"/>
    <x v="150"/>
    <x v="36"/>
    <x v="63"/>
    <x v="5"/>
    <x v="0"/>
    <x v="10"/>
    <x v="20"/>
    <x v="4"/>
    <x v="20"/>
    <x v="94"/>
    <x v="90"/>
    <x v="29"/>
    <x v="141"/>
    <x v="183"/>
    <x v="2"/>
    <x v="11"/>
    <x v="1"/>
    <x v="1"/>
    <x v="2"/>
    <x v="1"/>
    <x v="0"/>
    <x v="2"/>
    <x v="135"/>
  </r>
  <r>
    <x v="696"/>
    <x v="190"/>
    <x v="151"/>
    <x v="3"/>
    <x v="90"/>
    <x v="3"/>
    <x v="0"/>
    <x v="3"/>
    <x v="7"/>
    <x v="4"/>
    <x v="4"/>
    <x v="33"/>
    <x v="17"/>
    <x v="7"/>
    <x v="15"/>
    <x v="219"/>
    <x v="1"/>
    <x v="9"/>
    <x v="1"/>
    <x v="0"/>
    <x v="1"/>
    <x v="1"/>
    <x v="0"/>
    <x v="4"/>
    <x v="16"/>
  </r>
  <r>
    <x v="697"/>
    <x v="263"/>
    <x v="277"/>
    <x v="87"/>
    <x v="26"/>
    <x v="0"/>
    <x v="0"/>
    <x v="15"/>
    <x v="34"/>
    <x v="3"/>
    <x v="35"/>
    <x v="106"/>
    <x v="164"/>
    <x v="52"/>
    <x v="182"/>
    <x v="65"/>
    <x v="0"/>
    <x v="19"/>
    <x v="0"/>
    <x v="2"/>
    <x v="0"/>
    <x v="1"/>
    <x v="0"/>
    <x v="1"/>
    <x v="0"/>
  </r>
  <r>
    <x v="698"/>
    <x v="104"/>
    <x v="276"/>
    <x v="65"/>
    <x v="36"/>
    <x v="6"/>
    <x v="2"/>
    <x v="7"/>
    <x v="14"/>
    <x v="2"/>
    <x v="41"/>
    <x v="88"/>
    <x v="200"/>
    <x v="45"/>
    <x v="417"/>
    <x v="276"/>
    <x v="1"/>
    <x v="5"/>
    <x v="1"/>
    <x v="0"/>
    <x v="1"/>
    <x v="1"/>
    <x v="0"/>
    <x v="0"/>
    <x v="402"/>
  </r>
  <r>
    <x v="699"/>
    <x v="309"/>
    <x v="167"/>
    <x v="40"/>
    <x v="32"/>
    <x v="5"/>
    <x v="3"/>
    <x v="7"/>
    <x v="15"/>
    <x v="2"/>
    <x v="52"/>
    <x v="110"/>
    <x v="247"/>
    <x v="58"/>
    <x v="476"/>
    <x v="236"/>
    <x v="1"/>
    <x v="13"/>
    <x v="1"/>
    <x v="1"/>
    <x v="1"/>
    <x v="1"/>
    <x v="0"/>
    <x v="4"/>
    <x v="457"/>
  </r>
  <r>
    <x v="700"/>
    <x v="137"/>
    <x v="245"/>
    <x v="39"/>
    <x v="20"/>
    <x v="5"/>
    <x v="0"/>
    <x v="13"/>
    <x v="29"/>
    <x v="3"/>
    <x v="29"/>
    <x v="96"/>
    <x v="139"/>
    <x v="43"/>
    <x v="204"/>
    <x v="140"/>
    <x v="1"/>
    <x v="10"/>
    <x v="1"/>
    <x v="1"/>
    <x v="1"/>
    <x v="1"/>
    <x v="0"/>
    <x v="4"/>
    <x v="197"/>
  </r>
  <r>
    <x v="701"/>
    <x v="195"/>
    <x v="245"/>
    <x v="69"/>
    <x v="48"/>
    <x v="6"/>
    <x v="1"/>
    <x v="6"/>
    <x v="12"/>
    <x v="1"/>
    <x v="22"/>
    <x v="25"/>
    <x v="128"/>
    <x v="30"/>
    <x v="280"/>
    <x v="294"/>
    <x v="1"/>
    <x v="10"/>
    <x v="1"/>
    <x v="0"/>
    <x v="1"/>
    <x v="1"/>
    <x v="0"/>
    <x v="4"/>
    <x v="271"/>
  </r>
  <r>
    <x v="702"/>
    <x v="122"/>
    <x v="36"/>
    <x v="73"/>
    <x v="60"/>
    <x v="2"/>
    <x v="0"/>
    <x v="3"/>
    <x v="6"/>
    <x v="3"/>
    <x v="4"/>
    <x v="24"/>
    <x v="20"/>
    <x v="6"/>
    <x v="30"/>
    <x v="286"/>
    <x v="1"/>
    <x v="18"/>
    <x v="1"/>
    <x v="0"/>
    <x v="1"/>
    <x v="1"/>
    <x v="0"/>
    <x v="4"/>
    <x v="31"/>
  </r>
  <r>
    <x v="703"/>
    <x v="123"/>
    <x v="22"/>
    <x v="15"/>
    <x v="14"/>
    <x v="4"/>
    <x v="0"/>
    <x v="7"/>
    <x v="15"/>
    <x v="4"/>
    <x v="11"/>
    <x v="61"/>
    <x v="51"/>
    <x v="18"/>
    <x v="59"/>
    <x v="178"/>
    <x v="3"/>
    <x v="1"/>
    <x v="1"/>
    <x v="0"/>
    <x v="3"/>
    <x v="1"/>
    <x v="0"/>
    <x v="3"/>
    <x v="0"/>
  </r>
  <r>
    <x v="704"/>
    <x v="79"/>
    <x v="121"/>
    <x v="87"/>
    <x v="26"/>
    <x v="0"/>
    <x v="0"/>
    <x v="15"/>
    <x v="34"/>
    <x v="3"/>
    <x v="35"/>
    <x v="106"/>
    <x v="164"/>
    <x v="52"/>
    <x v="182"/>
    <x v="65"/>
    <x v="1"/>
    <x v="1"/>
    <x v="1"/>
    <x v="2"/>
    <x v="1"/>
    <x v="1"/>
    <x v="0"/>
    <x v="4"/>
    <x v="176"/>
  </r>
  <r>
    <x v="705"/>
    <x v="154"/>
    <x v="241"/>
    <x v="12"/>
    <x v="56"/>
    <x v="3"/>
    <x v="2"/>
    <x v="9"/>
    <x v="22"/>
    <x v="1"/>
    <x v="55"/>
    <x v="65"/>
    <x v="267"/>
    <x v="68"/>
    <x v="432"/>
    <x v="124"/>
    <x v="1"/>
    <x v="8"/>
    <x v="0"/>
    <x v="1"/>
    <x v="1"/>
    <x v="1"/>
    <x v="0"/>
    <x v="4"/>
    <x v="417"/>
  </r>
  <r>
    <x v="706"/>
    <x v="323"/>
    <x v="92"/>
    <x v="3"/>
    <x v="90"/>
    <x v="3"/>
    <x v="1"/>
    <x v="3"/>
    <x v="7"/>
    <x v="3"/>
    <x v="13"/>
    <x v="53"/>
    <x v="69"/>
    <x v="19"/>
    <x v="129"/>
    <x v="248"/>
    <x v="1"/>
    <x v="9"/>
    <x v="2"/>
    <x v="1"/>
    <x v="1"/>
    <x v="1"/>
    <x v="0"/>
    <x v="0"/>
    <x v="124"/>
  </r>
  <r>
    <x v="707"/>
    <x v="216"/>
    <x v="19"/>
    <x v="89"/>
    <x v="89"/>
    <x v="0"/>
    <x v="0"/>
    <x v="17"/>
    <x v="37"/>
    <x v="4"/>
    <x v="42"/>
    <x v="145"/>
    <x v="182"/>
    <x v="59"/>
    <x v="150"/>
    <x v="26"/>
    <x v="1"/>
    <x v="19"/>
    <x v="1"/>
    <x v="0"/>
    <x v="1"/>
    <x v="1"/>
    <x v="0"/>
    <x v="4"/>
    <x v="144"/>
  </r>
  <r>
    <x v="708"/>
    <x v="100"/>
    <x v="288"/>
    <x v="14"/>
    <x v="65"/>
    <x v="3"/>
    <x v="2"/>
    <x v="24"/>
    <x v="49"/>
    <x v="3"/>
    <x v="111"/>
    <x v="247"/>
    <x v="443"/>
    <x v="127"/>
    <x v="628"/>
    <x v="8"/>
    <x v="1"/>
    <x v="7"/>
    <x v="1"/>
    <x v="2"/>
    <x v="1"/>
    <x v="0"/>
    <x v="0"/>
    <x v="0"/>
    <x v="599"/>
  </r>
  <r>
    <x v="709"/>
    <x v="120"/>
    <x v="216"/>
    <x v="47"/>
    <x v="74"/>
    <x v="1"/>
    <x v="2"/>
    <x v="4"/>
    <x v="9"/>
    <x v="1"/>
    <x v="28"/>
    <x v="31"/>
    <x v="148"/>
    <x v="36"/>
    <x v="315"/>
    <x v="266"/>
    <x v="1"/>
    <x v="5"/>
    <x v="0"/>
    <x v="1"/>
    <x v="1"/>
    <x v="1"/>
    <x v="0"/>
    <x v="4"/>
    <x v="304"/>
  </r>
  <r>
    <x v="710"/>
    <x v="268"/>
    <x v="0"/>
    <x v="80"/>
    <x v="82"/>
    <x v="2"/>
    <x v="0"/>
    <x v="0"/>
    <x v="0"/>
    <x v="0"/>
    <x v="0"/>
    <x v="0"/>
    <x v="4"/>
    <x v="0"/>
    <x v="8"/>
    <x v="342"/>
    <x v="1"/>
    <x v="6"/>
    <x v="1"/>
    <x v="1"/>
    <x v="1"/>
    <x v="1"/>
    <x v="0"/>
    <x v="0"/>
    <x v="9"/>
  </r>
  <r>
    <x v="711"/>
    <x v="130"/>
    <x v="127"/>
    <x v="74"/>
    <x v="4"/>
    <x v="2"/>
    <x v="0"/>
    <x v="1"/>
    <x v="1"/>
    <x v="1"/>
    <x v="1"/>
    <x v="2"/>
    <x v="10"/>
    <x v="1"/>
    <x v="17"/>
    <x v="335"/>
    <x v="1"/>
    <x v="0"/>
    <x v="0"/>
    <x v="1"/>
    <x v="1"/>
    <x v="1"/>
    <x v="0"/>
    <x v="0"/>
    <x v="18"/>
  </r>
  <r>
    <x v="712"/>
    <x v="16"/>
    <x v="44"/>
    <x v="6"/>
    <x v="46"/>
    <x v="3"/>
    <x v="0"/>
    <x v="12"/>
    <x v="25"/>
    <x v="2"/>
    <x v="27"/>
    <x v="62"/>
    <x v="137"/>
    <x v="37"/>
    <x v="227"/>
    <x v="194"/>
    <x v="4"/>
    <x v="4"/>
    <x v="1"/>
    <x v="1"/>
    <x v="2"/>
    <x v="1"/>
    <x v="0"/>
    <x v="0"/>
    <x v="219"/>
  </r>
  <r>
    <x v="713"/>
    <x v="269"/>
    <x v="201"/>
    <x v="99"/>
    <x v="16"/>
    <x v="0"/>
    <x v="3"/>
    <x v="22"/>
    <x v="46"/>
    <x v="1"/>
    <x v="109"/>
    <x v="186"/>
    <x v="442"/>
    <x v="123"/>
    <x v="668"/>
    <x v="68"/>
    <x v="0"/>
    <x v="8"/>
    <x v="1"/>
    <x v="0"/>
    <x v="0"/>
    <x v="2"/>
    <x v="0"/>
    <x v="1"/>
    <x v="0"/>
  </r>
  <r>
    <x v="714"/>
    <x v="19"/>
    <x v="97"/>
    <x v="29"/>
    <x v="34"/>
    <x v="4"/>
    <x v="0"/>
    <x v="21"/>
    <x v="43"/>
    <x v="0"/>
    <x v="58"/>
    <x v="0"/>
    <x v="292"/>
    <x v="71"/>
    <x v="497"/>
    <x v="162"/>
    <x v="1"/>
    <x v="5"/>
    <x v="2"/>
    <x v="1"/>
    <x v="1"/>
    <x v="1"/>
    <x v="0"/>
    <x v="4"/>
    <x v="476"/>
  </r>
  <r>
    <x v="715"/>
    <x v="290"/>
    <x v="278"/>
    <x v="28"/>
    <x v="73"/>
    <x v="4"/>
    <x v="2"/>
    <x v="3"/>
    <x v="5"/>
    <x v="1"/>
    <x v="21"/>
    <x v="24"/>
    <x v="127"/>
    <x v="24"/>
    <x v="321"/>
    <x v="332"/>
    <x v="1"/>
    <x v="6"/>
    <x v="2"/>
    <x v="1"/>
    <x v="1"/>
    <x v="1"/>
    <x v="0"/>
    <x v="0"/>
    <x v="309"/>
  </r>
  <r>
    <x v="716"/>
    <x v="142"/>
    <x v="139"/>
    <x v="71"/>
    <x v="88"/>
    <x v="6"/>
    <x v="1"/>
    <x v="5"/>
    <x v="10"/>
    <x v="1"/>
    <x v="19"/>
    <x v="21"/>
    <x v="110"/>
    <x v="25"/>
    <x v="239"/>
    <x v="293"/>
    <x v="1"/>
    <x v="14"/>
    <x v="2"/>
    <x v="1"/>
    <x v="1"/>
    <x v="1"/>
    <x v="0"/>
    <x v="0"/>
    <x v="231"/>
  </r>
  <r>
    <x v="717"/>
    <x v="234"/>
    <x v="264"/>
    <x v="68"/>
    <x v="80"/>
    <x v="6"/>
    <x v="1"/>
    <x v="12"/>
    <x v="27"/>
    <x v="5"/>
    <x v="53"/>
    <x v="184"/>
    <x v="216"/>
    <x v="63"/>
    <x v="285"/>
    <x v="73"/>
    <x v="1"/>
    <x v="17"/>
    <x v="1"/>
    <x v="2"/>
    <x v="1"/>
    <x v="1"/>
    <x v="0"/>
    <x v="0"/>
    <x v="276"/>
  </r>
  <r>
    <x v="718"/>
    <x v="352"/>
    <x v="236"/>
    <x v="79"/>
    <x v="12"/>
    <x v="2"/>
    <x v="1"/>
    <x v="8"/>
    <x v="18"/>
    <x v="0"/>
    <x v="32"/>
    <x v="0"/>
    <x v="179"/>
    <x v="45"/>
    <x v="345"/>
    <x v="223"/>
    <x v="1"/>
    <x v="5"/>
    <x v="0"/>
    <x v="0"/>
    <x v="1"/>
    <x v="1"/>
    <x v="0"/>
    <x v="0"/>
    <x v="332"/>
  </r>
  <r>
    <x v="719"/>
    <x v="69"/>
    <x v="170"/>
    <x v="3"/>
    <x v="90"/>
    <x v="3"/>
    <x v="0"/>
    <x v="3"/>
    <x v="7"/>
    <x v="0"/>
    <x v="4"/>
    <x v="0"/>
    <x v="29"/>
    <x v="7"/>
    <x v="57"/>
    <x v="306"/>
    <x v="1"/>
    <x v="11"/>
    <x v="0"/>
    <x v="0"/>
    <x v="1"/>
    <x v="1"/>
    <x v="0"/>
    <x v="0"/>
    <x v="56"/>
  </r>
  <r>
    <x v="720"/>
    <x v="60"/>
    <x v="97"/>
    <x v="31"/>
    <x v="94"/>
    <x v="5"/>
    <x v="1"/>
    <x v="5"/>
    <x v="9"/>
    <x v="0"/>
    <x v="19"/>
    <x v="0"/>
    <x v="117"/>
    <x v="24"/>
    <x v="281"/>
    <x v="321"/>
    <x v="1"/>
    <x v="5"/>
    <x v="2"/>
    <x v="2"/>
    <x v="1"/>
    <x v="1"/>
    <x v="0"/>
    <x v="4"/>
    <x v="272"/>
  </r>
  <r>
    <x v="721"/>
    <x v="346"/>
    <x v="104"/>
    <x v="8"/>
    <x v="50"/>
    <x v="3"/>
    <x v="3"/>
    <x v="10"/>
    <x v="20"/>
    <x v="1"/>
    <x v="71"/>
    <x v="94"/>
    <x v="335"/>
    <x v="72"/>
    <x v="607"/>
    <x v="262"/>
    <x v="1"/>
    <x v="12"/>
    <x v="0"/>
    <x v="1"/>
    <x v="1"/>
    <x v="1"/>
    <x v="0"/>
    <x v="4"/>
    <x v="580"/>
  </r>
  <r>
    <x v="722"/>
    <x v="88"/>
    <x v="22"/>
    <x v="84"/>
    <x v="55"/>
    <x v="2"/>
    <x v="0"/>
    <x v="3"/>
    <x v="6"/>
    <x v="5"/>
    <x v="4"/>
    <x v="45"/>
    <x v="15"/>
    <x v="6"/>
    <x v="13"/>
    <x v="235"/>
    <x v="4"/>
    <x v="1"/>
    <x v="1"/>
    <x v="0"/>
    <x v="2"/>
    <x v="1"/>
    <x v="0"/>
    <x v="4"/>
    <x v="14"/>
  </r>
  <r>
    <x v="723"/>
    <x v="102"/>
    <x v="98"/>
    <x v="81"/>
    <x v="31"/>
    <x v="2"/>
    <x v="1"/>
    <x v="2"/>
    <x v="4"/>
    <x v="5"/>
    <x v="10"/>
    <x v="75"/>
    <x v="42"/>
    <x v="14"/>
    <x v="70"/>
    <x v="239"/>
    <x v="1"/>
    <x v="19"/>
    <x v="0"/>
    <x v="1"/>
    <x v="1"/>
    <x v="1"/>
    <x v="0"/>
    <x v="4"/>
    <x v="69"/>
  </r>
  <r>
    <x v="724"/>
    <x v="218"/>
    <x v="142"/>
    <x v="60"/>
    <x v="68"/>
    <x v="6"/>
    <x v="0"/>
    <x v="5"/>
    <x v="9"/>
    <x v="0"/>
    <x v="7"/>
    <x v="0"/>
    <x v="50"/>
    <x v="11"/>
    <x v="114"/>
    <x v="321"/>
    <x v="0"/>
    <x v="4"/>
    <x v="0"/>
    <x v="1"/>
    <x v="0"/>
    <x v="1"/>
    <x v="0"/>
    <x v="1"/>
    <x v="0"/>
  </r>
  <r>
    <x v="725"/>
    <x v="62"/>
    <x v="253"/>
    <x v="19"/>
    <x v="2"/>
    <x v="4"/>
    <x v="0"/>
    <x v="14"/>
    <x v="30"/>
    <x v="2"/>
    <x v="33"/>
    <x v="74"/>
    <x v="162"/>
    <x v="45"/>
    <x v="275"/>
    <x v="173"/>
    <x v="1"/>
    <x v="3"/>
    <x v="2"/>
    <x v="0"/>
    <x v="1"/>
    <x v="1"/>
    <x v="0"/>
    <x v="3"/>
    <x v="266"/>
  </r>
  <r>
    <x v="726"/>
    <x v="185"/>
    <x v="209"/>
    <x v="75"/>
    <x v="23"/>
    <x v="2"/>
    <x v="1"/>
    <x v="5"/>
    <x v="11"/>
    <x v="2"/>
    <x v="19"/>
    <x v="49"/>
    <x v="102"/>
    <x v="28"/>
    <x v="198"/>
    <x v="247"/>
    <x v="1"/>
    <x v="16"/>
    <x v="1"/>
    <x v="2"/>
    <x v="1"/>
    <x v="1"/>
    <x v="0"/>
    <x v="0"/>
    <x v="191"/>
  </r>
  <r>
    <x v="727"/>
    <x v="140"/>
    <x v="176"/>
    <x v="82"/>
    <x v="67"/>
    <x v="2"/>
    <x v="0"/>
    <x v="5"/>
    <x v="12"/>
    <x v="3"/>
    <x v="7"/>
    <x v="34"/>
    <x v="37"/>
    <x v="14"/>
    <x v="41"/>
    <x v="197"/>
    <x v="1"/>
    <x v="5"/>
    <x v="0"/>
    <x v="2"/>
    <x v="1"/>
    <x v="1"/>
    <x v="0"/>
    <x v="0"/>
    <x v="42"/>
  </r>
  <r>
    <x v="728"/>
    <x v="329"/>
    <x v="277"/>
    <x v="73"/>
    <x v="60"/>
    <x v="2"/>
    <x v="2"/>
    <x v="3"/>
    <x v="6"/>
    <x v="2"/>
    <x v="21"/>
    <x v="53"/>
    <x v="121"/>
    <x v="27"/>
    <x v="270"/>
    <x v="302"/>
    <x v="1"/>
    <x v="19"/>
    <x v="0"/>
    <x v="0"/>
    <x v="1"/>
    <x v="1"/>
    <x v="0"/>
    <x v="3"/>
    <x v="261"/>
  </r>
  <r>
    <x v="729"/>
    <x v="86"/>
    <x v="250"/>
    <x v="51"/>
    <x v="52"/>
    <x v="1"/>
    <x v="0"/>
    <x v="2"/>
    <x v="4"/>
    <x v="5"/>
    <x v="2"/>
    <x v="37"/>
    <x v="9"/>
    <x v="4"/>
    <x v="7"/>
    <x v="239"/>
    <x v="2"/>
    <x v="11"/>
    <x v="0"/>
    <x v="2"/>
    <x v="2"/>
    <x v="1"/>
    <x v="0"/>
    <x v="2"/>
    <x v="8"/>
  </r>
  <r>
    <x v="730"/>
    <x v="227"/>
    <x v="203"/>
    <x v="70"/>
    <x v="27"/>
    <x v="6"/>
    <x v="0"/>
    <x v="9"/>
    <x v="19"/>
    <x v="0"/>
    <x v="16"/>
    <x v="0"/>
    <x v="99"/>
    <x v="25"/>
    <x v="200"/>
    <x v="264"/>
    <x v="1"/>
    <x v="12"/>
    <x v="1"/>
    <x v="1"/>
    <x v="1"/>
    <x v="1"/>
    <x v="0"/>
    <x v="4"/>
    <x v="193"/>
  </r>
  <r>
    <x v="731"/>
    <x v="55"/>
    <x v="214"/>
    <x v="97"/>
    <x v="81"/>
    <x v="0"/>
    <x v="0"/>
    <x v="12"/>
    <x v="29"/>
    <x v="0"/>
    <x v="27"/>
    <x v="0"/>
    <x v="151"/>
    <x v="43"/>
    <x v="250"/>
    <x v="179"/>
    <x v="1"/>
    <x v="18"/>
    <x v="1"/>
    <x v="0"/>
    <x v="1"/>
    <x v="1"/>
    <x v="0"/>
    <x v="4"/>
    <x v="242"/>
  </r>
  <r>
    <x v="732"/>
    <x v="263"/>
    <x v="109"/>
    <x v="50"/>
    <x v="10"/>
    <x v="1"/>
    <x v="0"/>
    <x v="5"/>
    <x v="11"/>
    <x v="0"/>
    <x v="7"/>
    <x v="0"/>
    <x v="50"/>
    <x v="13"/>
    <x v="97"/>
    <x v="289"/>
    <x v="1"/>
    <x v="7"/>
    <x v="1"/>
    <x v="0"/>
    <x v="1"/>
    <x v="1"/>
    <x v="0"/>
    <x v="4"/>
    <x v="95"/>
  </r>
  <r>
    <x v="733"/>
    <x v="305"/>
    <x v="61"/>
    <x v="63"/>
    <x v="33"/>
    <x v="6"/>
    <x v="0"/>
    <x v="9"/>
    <x v="18"/>
    <x v="4"/>
    <x v="16"/>
    <x v="83"/>
    <x v="75"/>
    <x v="24"/>
    <x v="124"/>
    <x v="190"/>
    <x v="3"/>
    <x v="14"/>
    <x v="2"/>
    <x v="0"/>
    <x v="3"/>
    <x v="1"/>
    <x v="0"/>
    <x v="4"/>
    <x v="0"/>
  </r>
  <r>
    <x v="734"/>
    <x v="86"/>
    <x v="22"/>
    <x v="93"/>
    <x v="70"/>
    <x v="0"/>
    <x v="1"/>
    <x v="20"/>
    <x v="42"/>
    <x v="2"/>
    <x v="82"/>
    <x v="169"/>
    <x v="368"/>
    <x v="94"/>
    <x v="521"/>
    <x v="55"/>
    <x v="1"/>
    <x v="1"/>
    <x v="1"/>
    <x v="1"/>
    <x v="1"/>
    <x v="1"/>
    <x v="0"/>
    <x v="3"/>
    <x v="498"/>
  </r>
  <r>
    <x v="735"/>
    <x v="117"/>
    <x v="109"/>
    <x v="80"/>
    <x v="82"/>
    <x v="2"/>
    <x v="0"/>
    <x v="0"/>
    <x v="0"/>
    <x v="0"/>
    <x v="0"/>
    <x v="0"/>
    <x v="4"/>
    <x v="0"/>
    <x v="8"/>
    <x v="342"/>
    <x v="0"/>
    <x v="7"/>
    <x v="1"/>
    <x v="2"/>
    <x v="0"/>
    <x v="1"/>
    <x v="0"/>
    <x v="1"/>
    <x v="0"/>
  </r>
  <r>
    <x v="736"/>
    <x v="291"/>
    <x v="176"/>
    <x v="62"/>
    <x v="19"/>
    <x v="6"/>
    <x v="2"/>
    <x v="17"/>
    <x v="35"/>
    <x v="0"/>
    <x v="87"/>
    <x v="0"/>
    <x v="393"/>
    <x v="93"/>
    <x v="649"/>
    <x v="195"/>
    <x v="1"/>
    <x v="5"/>
    <x v="0"/>
    <x v="1"/>
    <x v="1"/>
    <x v="1"/>
    <x v="0"/>
    <x v="4"/>
    <x v="616"/>
  </r>
  <r>
    <x v="737"/>
    <x v="21"/>
    <x v="274"/>
    <x v="17"/>
    <x v="18"/>
    <x v="4"/>
    <x v="1"/>
    <x v="11"/>
    <x v="23"/>
    <x v="0"/>
    <x v="49"/>
    <x v="0"/>
    <x v="250"/>
    <x v="56"/>
    <x v="485"/>
    <x v="257"/>
    <x v="4"/>
    <x v="18"/>
    <x v="2"/>
    <x v="0"/>
    <x v="2"/>
    <x v="1"/>
    <x v="0"/>
    <x v="0"/>
    <x v="466"/>
  </r>
  <r>
    <x v="738"/>
    <x v="270"/>
    <x v="86"/>
    <x v="79"/>
    <x v="12"/>
    <x v="2"/>
    <x v="0"/>
    <x v="8"/>
    <x v="18"/>
    <x v="5"/>
    <x v="14"/>
    <x v="89"/>
    <x v="62"/>
    <x v="24"/>
    <x v="34"/>
    <x v="71"/>
    <x v="4"/>
    <x v="10"/>
    <x v="1"/>
    <x v="1"/>
    <x v="2"/>
    <x v="1"/>
    <x v="0"/>
    <x v="0"/>
    <x v="35"/>
  </r>
  <r>
    <x v="739"/>
    <x v="232"/>
    <x v="207"/>
    <x v="4"/>
    <x v="66"/>
    <x v="3"/>
    <x v="1"/>
    <x v="14"/>
    <x v="31"/>
    <x v="1"/>
    <x v="61"/>
    <x v="74"/>
    <x v="291"/>
    <x v="71"/>
    <x v="488"/>
    <x v="158"/>
    <x v="1"/>
    <x v="13"/>
    <x v="1"/>
    <x v="0"/>
    <x v="1"/>
    <x v="1"/>
    <x v="0"/>
    <x v="0"/>
    <x v="469"/>
  </r>
  <r>
    <x v="740"/>
    <x v="138"/>
    <x v="276"/>
    <x v="88"/>
    <x v="57"/>
    <x v="0"/>
    <x v="0"/>
    <x v="22"/>
    <x v="45"/>
    <x v="4"/>
    <x v="63"/>
    <x v="186"/>
    <x v="270"/>
    <x v="76"/>
    <x v="254"/>
    <x v="18"/>
    <x v="0"/>
    <x v="5"/>
    <x v="1"/>
    <x v="1"/>
    <x v="0"/>
    <x v="1"/>
    <x v="0"/>
    <x v="1"/>
    <x v="0"/>
  </r>
  <r>
    <x v="741"/>
    <x v="243"/>
    <x v="182"/>
    <x v="36"/>
    <x v="63"/>
    <x v="5"/>
    <x v="2"/>
    <x v="10"/>
    <x v="20"/>
    <x v="4"/>
    <x v="60"/>
    <x v="180"/>
    <x v="262"/>
    <x v="65"/>
    <x v="456"/>
    <x v="183"/>
    <x v="1"/>
    <x v="4"/>
    <x v="0"/>
    <x v="1"/>
    <x v="1"/>
    <x v="1"/>
    <x v="0"/>
    <x v="0"/>
    <x v="441"/>
  </r>
  <r>
    <x v="742"/>
    <x v="193"/>
    <x v="148"/>
    <x v="2"/>
    <x v="77"/>
    <x v="3"/>
    <x v="2"/>
    <x v="22"/>
    <x v="44"/>
    <x v="5"/>
    <x v="102"/>
    <x v="248"/>
    <x v="412"/>
    <x v="112"/>
    <x v="555"/>
    <x v="19"/>
    <x v="4"/>
    <x v="7"/>
    <x v="0"/>
    <x v="0"/>
    <x v="2"/>
    <x v="2"/>
    <x v="0"/>
    <x v="4"/>
    <x v="532"/>
  </r>
  <r>
    <x v="743"/>
    <x v="66"/>
    <x v="4"/>
    <x v="95"/>
    <x v="0"/>
    <x v="0"/>
    <x v="1"/>
    <x v="24"/>
    <x v="48"/>
    <x v="1"/>
    <x v="105"/>
    <x v="170"/>
    <x v="433"/>
    <x v="119"/>
    <x v="656"/>
    <x v="47"/>
    <x v="4"/>
    <x v="4"/>
    <x v="1"/>
    <x v="0"/>
    <x v="2"/>
    <x v="2"/>
    <x v="0"/>
    <x v="0"/>
    <x v="622"/>
  </r>
  <r>
    <x v="744"/>
    <x v="251"/>
    <x v="269"/>
    <x v="24"/>
    <x v="44"/>
    <x v="4"/>
    <x v="2"/>
    <x v="16"/>
    <x v="33"/>
    <x v="1"/>
    <x v="84"/>
    <x v="118"/>
    <x v="380"/>
    <x v="90"/>
    <x v="631"/>
    <x v="186"/>
    <x v="1"/>
    <x v="16"/>
    <x v="0"/>
    <x v="1"/>
    <x v="1"/>
    <x v="1"/>
    <x v="0"/>
    <x v="4"/>
    <x v="601"/>
  </r>
  <r>
    <x v="745"/>
    <x v="282"/>
    <x v="128"/>
    <x v="51"/>
    <x v="52"/>
    <x v="1"/>
    <x v="0"/>
    <x v="2"/>
    <x v="4"/>
    <x v="3"/>
    <x v="2"/>
    <x v="19"/>
    <x v="13"/>
    <x v="4"/>
    <x v="16"/>
    <x v="290"/>
    <x v="1"/>
    <x v="13"/>
    <x v="1"/>
    <x v="2"/>
    <x v="1"/>
    <x v="1"/>
    <x v="0"/>
    <x v="3"/>
    <x v="17"/>
  </r>
  <r>
    <x v="746"/>
    <x v="289"/>
    <x v="216"/>
    <x v="72"/>
    <x v="43"/>
    <x v="6"/>
    <x v="3"/>
    <x v="20"/>
    <x v="40"/>
    <x v="2"/>
    <x v="104"/>
    <x v="216"/>
    <x v="429"/>
    <x v="113"/>
    <x v="666"/>
    <x v="120"/>
    <x v="1"/>
    <x v="5"/>
    <x v="0"/>
    <x v="0"/>
    <x v="1"/>
    <x v="2"/>
    <x v="0"/>
    <x v="4"/>
    <x v="630"/>
  </r>
  <r>
    <x v="747"/>
    <x v="260"/>
    <x v="124"/>
    <x v="77"/>
    <x v="75"/>
    <x v="2"/>
    <x v="1"/>
    <x v="2"/>
    <x v="4"/>
    <x v="0"/>
    <x v="10"/>
    <x v="0"/>
    <x v="67"/>
    <x v="14"/>
    <x v="158"/>
    <x v="329"/>
    <x v="1"/>
    <x v="12"/>
    <x v="0"/>
    <x v="1"/>
    <x v="1"/>
    <x v="1"/>
    <x v="0"/>
    <x v="4"/>
    <x v="152"/>
  </r>
  <r>
    <x v="748"/>
    <x v="320"/>
    <x v="8"/>
    <x v="11"/>
    <x v="15"/>
    <x v="3"/>
    <x v="0"/>
    <x v="8"/>
    <x v="17"/>
    <x v="1"/>
    <x v="14"/>
    <x v="16"/>
    <x v="78"/>
    <x v="21"/>
    <x v="154"/>
    <x v="265"/>
    <x v="1"/>
    <x v="0"/>
    <x v="0"/>
    <x v="0"/>
    <x v="1"/>
    <x v="1"/>
    <x v="0"/>
    <x v="4"/>
    <x v="148"/>
  </r>
  <r>
    <x v="749"/>
    <x v="213"/>
    <x v="28"/>
    <x v="11"/>
    <x v="15"/>
    <x v="3"/>
    <x v="1"/>
    <x v="8"/>
    <x v="17"/>
    <x v="0"/>
    <x v="32"/>
    <x v="0"/>
    <x v="179"/>
    <x v="41"/>
    <x v="386"/>
    <x v="285"/>
    <x v="2"/>
    <x v="0"/>
    <x v="1"/>
    <x v="0"/>
    <x v="2"/>
    <x v="1"/>
    <x v="0"/>
    <x v="2"/>
    <x v="372"/>
  </r>
  <r>
    <x v="750"/>
    <x v="141"/>
    <x v="228"/>
    <x v="11"/>
    <x v="15"/>
    <x v="3"/>
    <x v="0"/>
    <x v="8"/>
    <x v="17"/>
    <x v="0"/>
    <x v="14"/>
    <x v="0"/>
    <x v="84"/>
    <x v="21"/>
    <x v="174"/>
    <x v="285"/>
    <x v="1"/>
    <x v="7"/>
    <x v="0"/>
    <x v="0"/>
    <x v="1"/>
    <x v="1"/>
    <x v="0"/>
    <x v="4"/>
    <x v="168"/>
  </r>
  <r>
    <x v="751"/>
    <x v="126"/>
    <x v="186"/>
    <x v="34"/>
    <x v="59"/>
    <x v="5"/>
    <x v="0"/>
    <x v="12"/>
    <x v="28"/>
    <x v="2"/>
    <x v="27"/>
    <x v="62"/>
    <x v="137"/>
    <x v="41"/>
    <x v="201"/>
    <x v="154"/>
    <x v="1"/>
    <x v="0"/>
    <x v="0"/>
    <x v="0"/>
    <x v="1"/>
    <x v="1"/>
    <x v="0"/>
    <x v="0"/>
    <x v="194"/>
  </r>
  <r>
    <x v="752"/>
    <x v="220"/>
    <x v="222"/>
    <x v="99"/>
    <x v="16"/>
    <x v="0"/>
    <x v="0"/>
    <x v="22"/>
    <x v="46"/>
    <x v="3"/>
    <x v="63"/>
    <x v="163"/>
    <x v="278"/>
    <x v="78"/>
    <x v="305"/>
    <x v="25"/>
    <x v="1"/>
    <x v="4"/>
    <x v="1"/>
    <x v="1"/>
    <x v="1"/>
    <x v="1"/>
    <x v="0"/>
    <x v="0"/>
    <x v="294"/>
  </r>
  <r>
    <x v="753"/>
    <x v="268"/>
    <x v="130"/>
    <x v="89"/>
    <x v="89"/>
    <x v="0"/>
    <x v="1"/>
    <x v="17"/>
    <x v="37"/>
    <x v="0"/>
    <x v="70"/>
    <x v="0"/>
    <x v="332"/>
    <x v="83"/>
    <x v="542"/>
    <x v="128"/>
    <x v="1"/>
    <x v="11"/>
    <x v="1"/>
    <x v="0"/>
    <x v="1"/>
    <x v="1"/>
    <x v="0"/>
    <x v="0"/>
    <x v="519"/>
  </r>
  <r>
    <x v="754"/>
    <x v="62"/>
    <x v="281"/>
    <x v="22"/>
    <x v="79"/>
    <x v="4"/>
    <x v="1"/>
    <x v="4"/>
    <x v="7"/>
    <x v="4"/>
    <x v="15"/>
    <x v="82"/>
    <x v="74"/>
    <x v="19"/>
    <x v="161"/>
    <x v="287"/>
    <x v="1"/>
    <x v="8"/>
    <x v="1"/>
    <x v="1"/>
    <x v="1"/>
    <x v="1"/>
    <x v="0"/>
    <x v="0"/>
    <x v="155"/>
  </r>
  <r>
    <x v="755"/>
    <x v="331"/>
    <x v="37"/>
    <x v="47"/>
    <x v="74"/>
    <x v="1"/>
    <x v="0"/>
    <x v="4"/>
    <x v="9"/>
    <x v="0"/>
    <x v="5"/>
    <x v="0"/>
    <x v="38"/>
    <x v="11"/>
    <x v="74"/>
    <x v="287"/>
    <x v="1"/>
    <x v="15"/>
    <x v="1"/>
    <x v="0"/>
    <x v="1"/>
    <x v="1"/>
    <x v="0"/>
    <x v="3"/>
    <x v="73"/>
  </r>
  <r>
    <x v="756"/>
    <x v="245"/>
    <x v="48"/>
    <x v="94"/>
    <x v="86"/>
    <x v="0"/>
    <x v="0"/>
    <x v="18"/>
    <x v="38"/>
    <x v="0"/>
    <x v="45"/>
    <x v="0"/>
    <x v="230"/>
    <x v="60"/>
    <x v="370"/>
    <x v="133"/>
    <x v="2"/>
    <x v="0"/>
    <x v="1"/>
    <x v="0"/>
    <x v="2"/>
    <x v="1"/>
    <x v="0"/>
    <x v="2"/>
    <x v="356"/>
  </r>
  <r>
    <x v="757"/>
    <x v="99"/>
    <x v="250"/>
    <x v="65"/>
    <x v="36"/>
    <x v="6"/>
    <x v="0"/>
    <x v="7"/>
    <x v="14"/>
    <x v="1"/>
    <x v="11"/>
    <x v="12"/>
    <x v="64"/>
    <x v="17"/>
    <x v="132"/>
    <x v="295"/>
    <x v="1"/>
    <x v="11"/>
    <x v="0"/>
    <x v="0"/>
    <x v="1"/>
    <x v="1"/>
    <x v="0"/>
    <x v="3"/>
    <x v="127"/>
  </r>
  <r>
    <x v="758"/>
    <x v="126"/>
    <x v="143"/>
    <x v="8"/>
    <x v="50"/>
    <x v="3"/>
    <x v="1"/>
    <x v="10"/>
    <x v="20"/>
    <x v="3"/>
    <x v="44"/>
    <x v="128"/>
    <x v="205"/>
    <x v="50"/>
    <x v="377"/>
    <x v="214"/>
    <x v="1"/>
    <x v="12"/>
    <x v="0"/>
    <x v="0"/>
    <x v="1"/>
    <x v="1"/>
    <x v="0"/>
    <x v="4"/>
    <x v="363"/>
  </r>
  <r>
    <x v="759"/>
    <x v="314"/>
    <x v="285"/>
    <x v="40"/>
    <x v="32"/>
    <x v="5"/>
    <x v="3"/>
    <x v="7"/>
    <x v="15"/>
    <x v="1"/>
    <x v="52"/>
    <x v="61"/>
    <x v="258"/>
    <x v="58"/>
    <x v="499"/>
    <x v="260"/>
    <x v="1"/>
    <x v="10"/>
    <x v="0"/>
    <x v="0"/>
    <x v="1"/>
    <x v="1"/>
    <x v="0"/>
    <x v="0"/>
    <x v="478"/>
  </r>
  <r>
    <x v="760"/>
    <x v="319"/>
    <x v="163"/>
    <x v="11"/>
    <x v="15"/>
    <x v="3"/>
    <x v="1"/>
    <x v="8"/>
    <x v="17"/>
    <x v="3"/>
    <x v="32"/>
    <x v="102"/>
    <x v="153"/>
    <x v="41"/>
    <x v="283"/>
    <x v="215"/>
    <x v="4"/>
    <x v="12"/>
    <x v="0"/>
    <x v="2"/>
    <x v="2"/>
    <x v="1"/>
    <x v="0"/>
    <x v="3"/>
    <x v="274"/>
  </r>
  <r>
    <x v="761"/>
    <x v="280"/>
    <x v="96"/>
    <x v="36"/>
    <x v="63"/>
    <x v="5"/>
    <x v="0"/>
    <x v="10"/>
    <x v="20"/>
    <x v="2"/>
    <x v="20"/>
    <x v="50"/>
    <x v="104"/>
    <x v="29"/>
    <x v="193"/>
    <x v="237"/>
    <x v="1"/>
    <x v="15"/>
    <x v="1"/>
    <x v="0"/>
    <x v="1"/>
    <x v="1"/>
    <x v="0"/>
    <x v="4"/>
    <x v="187"/>
  </r>
  <r>
    <x v="762"/>
    <x v="251"/>
    <x v="115"/>
    <x v="5"/>
    <x v="98"/>
    <x v="3"/>
    <x v="1"/>
    <x v="9"/>
    <x v="18"/>
    <x v="2"/>
    <x v="38"/>
    <x v="83"/>
    <x v="186"/>
    <x v="45"/>
    <x v="376"/>
    <x v="243"/>
    <x v="1"/>
    <x v="18"/>
    <x v="1"/>
    <x v="1"/>
    <x v="1"/>
    <x v="1"/>
    <x v="0"/>
    <x v="3"/>
    <x v="362"/>
  </r>
  <r>
    <x v="763"/>
    <x v="134"/>
    <x v="240"/>
    <x v="84"/>
    <x v="55"/>
    <x v="2"/>
    <x v="1"/>
    <x v="3"/>
    <x v="6"/>
    <x v="3"/>
    <x v="13"/>
    <x v="53"/>
    <x v="69"/>
    <x v="18"/>
    <x v="139"/>
    <x v="286"/>
    <x v="1"/>
    <x v="1"/>
    <x v="0"/>
    <x v="1"/>
    <x v="1"/>
    <x v="1"/>
    <x v="0"/>
    <x v="0"/>
    <x v="133"/>
  </r>
  <r>
    <x v="764"/>
    <x v="37"/>
    <x v="105"/>
    <x v="35"/>
    <x v="24"/>
    <x v="5"/>
    <x v="2"/>
    <x v="17"/>
    <x v="35"/>
    <x v="3"/>
    <x v="87"/>
    <x v="204"/>
    <x v="378"/>
    <x v="93"/>
    <x v="577"/>
    <x v="102"/>
    <x v="1"/>
    <x v="17"/>
    <x v="1"/>
    <x v="1"/>
    <x v="1"/>
    <x v="1"/>
    <x v="0"/>
    <x v="4"/>
    <x v="553"/>
  </r>
  <r>
    <x v="765"/>
    <x v="88"/>
    <x v="25"/>
    <x v="19"/>
    <x v="2"/>
    <x v="4"/>
    <x v="0"/>
    <x v="14"/>
    <x v="30"/>
    <x v="3"/>
    <x v="33"/>
    <x v="104"/>
    <x v="154"/>
    <x v="45"/>
    <x v="228"/>
    <x v="141"/>
    <x v="1"/>
    <x v="12"/>
    <x v="1"/>
    <x v="2"/>
    <x v="1"/>
    <x v="1"/>
    <x v="0"/>
    <x v="3"/>
    <x v="220"/>
  </r>
  <r>
    <x v="766"/>
    <x v="219"/>
    <x v="244"/>
    <x v="32"/>
    <x v="7"/>
    <x v="5"/>
    <x v="0"/>
    <x v="14"/>
    <x v="30"/>
    <x v="0"/>
    <x v="33"/>
    <x v="0"/>
    <x v="181"/>
    <x v="45"/>
    <x v="350"/>
    <x v="228"/>
    <x v="1"/>
    <x v="17"/>
    <x v="1"/>
    <x v="2"/>
    <x v="1"/>
    <x v="1"/>
    <x v="0"/>
    <x v="4"/>
    <x v="337"/>
  </r>
  <r>
    <x v="767"/>
    <x v="350"/>
    <x v="109"/>
    <x v="59"/>
    <x v="99"/>
    <x v="6"/>
    <x v="0"/>
    <x v="10"/>
    <x v="20"/>
    <x v="2"/>
    <x v="20"/>
    <x v="50"/>
    <x v="104"/>
    <x v="29"/>
    <x v="193"/>
    <x v="237"/>
    <x v="4"/>
    <x v="7"/>
    <x v="1"/>
    <x v="2"/>
    <x v="2"/>
    <x v="1"/>
    <x v="0"/>
    <x v="0"/>
    <x v="187"/>
  </r>
  <r>
    <x v="768"/>
    <x v="232"/>
    <x v="147"/>
    <x v="96"/>
    <x v="91"/>
    <x v="0"/>
    <x v="1"/>
    <x v="23"/>
    <x v="47"/>
    <x v="2"/>
    <x v="101"/>
    <x v="206"/>
    <x v="420"/>
    <x v="115"/>
    <x v="594"/>
    <x v="22"/>
    <x v="1"/>
    <x v="13"/>
    <x v="1"/>
    <x v="0"/>
    <x v="1"/>
    <x v="2"/>
    <x v="0"/>
    <x v="0"/>
    <x v="569"/>
  </r>
  <r>
    <x v="769"/>
    <x v="61"/>
    <x v="36"/>
    <x v="85"/>
    <x v="35"/>
    <x v="2"/>
    <x v="1"/>
    <x v="1"/>
    <x v="2"/>
    <x v="5"/>
    <x v="6"/>
    <x v="58"/>
    <x v="28"/>
    <x v="10"/>
    <x v="38"/>
    <x v="255"/>
    <x v="1"/>
    <x v="18"/>
    <x v="1"/>
    <x v="0"/>
    <x v="1"/>
    <x v="1"/>
    <x v="0"/>
    <x v="0"/>
    <x v="39"/>
  </r>
  <r>
    <x v="770"/>
    <x v="69"/>
    <x v="217"/>
    <x v="17"/>
    <x v="18"/>
    <x v="4"/>
    <x v="1"/>
    <x v="11"/>
    <x v="23"/>
    <x v="3"/>
    <x v="49"/>
    <x v="137"/>
    <x v="224"/>
    <x v="56"/>
    <x v="394"/>
    <x v="181"/>
    <x v="1"/>
    <x v="19"/>
    <x v="0"/>
    <x v="1"/>
    <x v="1"/>
    <x v="1"/>
    <x v="0"/>
    <x v="4"/>
    <x v="380"/>
  </r>
  <r>
    <x v="771"/>
    <x v="123"/>
    <x v="42"/>
    <x v="12"/>
    <x v="56"/>
    <x v="3"/>
    <x v="0"/>
    <x v="9"/>
    <x v="22"/>
    <x v="4"/>
    <x v="16"/>
    <x v="83"/>
    <x v="75"/>
    <x v="33"/>
    <x v="42"/>
    <x v="44"/>
    <x v="1"/>
    <x v="1"/>
    <x v="0"/>
    <x v="2"/>
    <x v="1"/>
    <x v="1"/>
    <x v="0"/>
    <x v="4"/>
    <x v="43"/>
  </r>
  <r>
    <x v="772"/>
    <x v="175"/>
    <x v="269"/>
    <x v="27"/>
    <x v="78"/>
    <x v="4"/>
    <x v="0"/>
    <x v="19"/>
    <x v="38"/>
    <x v="0"/>
    <x v="50"/>
    <x v="0"/>
    <x v="252"/>
    <x v="60"/>
    <x v="454"/>
    <x v="200"/>
    <x v="2"/>
    <x v="16"/>
    <x v="0"/>
    <x v="1"/>
    <x v="2"/>
    <x v="1"/>
    <x v="0"/>
    <x v="2"/>
    <x v="439"/>
  </r>
  <r>
    <x v="773"/>
    <x v="72"/>
    <x v="282"/>
    <x v="22"/>
    <x v="79"/>
    <x v="4"/>
    <x v="1"/>
    <x v="4"/>
    <x v="7"/>
    <x v="2"/>
    <x v="15"/>
    <x v="41"/>
    <x v="86"/>
    <x v="19"/>
    <x v="206"/>
    <x v="317"/>
    <x v="3"/>
    <x v="4"/>
    <x v="0"/>
    <x v="1"/>
    <x v="3"/>
    <x v="1"/>
    <x v="0"/>
    <x v="4"/>
    <x v="0"/>
  </r>
  <r>
    <x v="774"/>
    <x v="207"/>
    <x v="215"/>
    <x v="2"/>
    <x v="77"/>
    <x v="3"/>
    <x v="2"/>
    <x v="22"/>
    <x v="44"/>
    <x v="0"/>
    <x v="102"/>
    <x v="0"/>
    <x v="432"/>
    <x v="112"/>
    <x v="669"/>
    <x v="150"/>
    <x v="1"/>
    <x v="15"/>
    <x v="2"/>
    <x v="2"/>
    <x v="1"/>
    <x v="2"/>
    <x v="0"/>
    <x v="4"/>
    <x v="632"/>
  </r>
  <r>
    <x v="775"/>
    <x v="56"/>
    <x v="264"/>
    <x v="77"/>
    <x v="75"/>
    <x v="2"/>
    <x v="1"/>
    <x v="2"/>
    <x v="4"/>
    <x v="4"/>
    <x v="10"/>
    <x v="59"/>
    <x v="49"/>
    <x v="14"/>
    <x v="91"/>
    <x v="267"/>
    <x v="4"/>
    <x v="17"/>
    <x v="1"/>
    <x v="0"/>
    <x v="2"/>
    <x v="1"/>
    <x v="0"/>
    <x v="4"/>
    <x v="89"/>
  </r>
  <r>
    <x v="776"/>
    <x v="258"/>
    <x v="9"/>
    <x v="25"/>
    <x v="84"/>
    <x v="4"/>
    <x v="0"/>
    <x v="10"/>
    <x v="18"/>
    <x v="0"/>
    <x v="20"/>
    <x v="0"/>
    <x v="119"/>
    <x v="24"/>
    <x v="286"/>
    <x v="322"/>
    <x v="1"/>
    <x v="13"/>
    <x v="1"/>
    <x v="2"/>
    <x v="1"/>
    <x v="1"/>
    <x v="0"/>
    <x v="4"/>
    <x v="277"/>
  </r>
  <r>
    <x v="777"/>
    <x v="121"/>
    <x v="179"/>
    <x v="85"/>
    <x v="35"/>
    <x v="2"/>
    <x v="0"/>
    <x v="1"/>
    <x v="2"/>
    <x v="1"/>
    <x v="1"/>
    <x v="2"/>
    <x v="10"/>
    <x v="2"/>
    <x v="14"/>
    <x v="325"/>
    <x v="1"/>
    <x v="14"/>
    <x v="0"/>
    <x v="0"/>
    <x v="1"/>
    <x v="1"/>
    <x v="0"/>
    <x v="4"/>
    <x v="15"/>
  </r>
  <r>
    <x v="778"/>
    <x v="205"/>
    <x v="29"/>
    <x v="8"/>
    <x v="50"/>
    <x v="3"/>
    <x v="1"/>
    <x v="10"/>
    <x v="20"/>
    <x v="2"/>
    <x v="44"/>
    <x v="94"/>
    <x v="212"/>
    <x v="50"/>
    <x v="414"/>
    <x v="237"/>
    <x v="1"/>
    <x v="13"/>
    <x v="1"/>
    <x v="0"/>
    <x v="1"/>
    <x v="1"/>
    <x v="0"/>
    <x v="4"/>
    <x v="399"/>
  </r>
  <r>
    <x v="779"/>
    <x v="315"/>
    <x v="245"/>
    <x v="68"/>
    <x v="80"/>
    <x v="6"/>
    <x v="2"/>
    <x v="12"/>
    <x v="27"/>
    <x v="2"/>
    <x v="69"/>
    <x v="143"/>
    <x v="316"/>
    <x v="75"/>
    <x v="539"/>
    <x v="171"/>
    <x v="1"/>
    <x v="10"/>
    <x v="1"/>
    <x v="2"/>
    <x v="1"/>
    <x v="1"/>
    <x v="0"/>
    <x v="0"/>
    <x v="516"/>
  </r>
  <r>
    <x v="780"/>
    <x v="165"/>
    <x v="271"/>
    <x v="99"/>
    <x v="16"/>
    <x v="0"/>
    <x v="1"/>
    <x v="22"/>
    <x v="46"/>
    <x v="3"/>
    <x v="91"/>
    <x v="211"/>
    <x v="389"/>
    <x v="105"/>
    <x v="512"/>
    <x v="25"/>
    <x v="2"/>
    <x v="9"/>
    <x v="0"/>
    <x v="0"/>
    <x v="2"/>
    <x v="1"/>
    <x v="0"/>
    <x v="2"/>
    <x v="490"/>
  </r>
  <r>
    <x v="781"/>
    <x v="259"/>
    <x v="55"/>
    <x v="42"/>
    <x v="47"/>
    <x v="5"/>
    <x v="0"/>
    <x v="15"/>
    <x v="32"/>
    <x v="2"/>
    <x v="35"/>
    <x v="78"/>
    <x v="174"/>
    <x v="50"/>
    <x v="265"/>
    <x v="130"/>
    <x v="1"/>
    <x v="3"/>
    <x v="1"/>
    <x v="2"/>
    <x v="1"/>
    <x v="1"/>
    <x v="0"/>
    <x v="4"/>
    <x v="256"/>
  </r>
  <r>
    <x v="782"/>
    <x v="340"/>
    <x v="59"/>
    <x v="97"/>
    <x v="81"/>
    <x v="0"/>
    <x v="1"/>
    <x v="12"/>
    <x v="29"/>
    <x v="0"/>
    <x v="53"/>
    <x v="0"/>
    <x v="268"/>
    <x v="67"/>
    <x v="469"/>
    <x v="179"/>
    <x v="1"/>
    <x v="19"/>
    <x v="0"/>
    <x v="1"/>
    <x v="1"/>
    <x v="1"/>
    <x v="0"/>
    <x v="4"/>
    <x v="450"/>
  </r>
  <r>
    <x v="783"/>
    <x v="146"/>
    <x v="74"/>
    <x v="98"/>
    <x v="72"/>
    <x v="0"/>
    <x v="0"/>
    <x v="15"/>
    <x v="34"/>
    <x v="1"/>
    <x v="35"/>
    <x v="38"/>
    <x v="183"/>
    <x v="52"/>
    <x v="277"/>
    <x v="122"/>
    <x v="0"/>
    <x v="2"/>
    <x v="0"/>
    <x v="0"/>
    <x v="0"/>
    <x v="1"/>
    <x v="0"/>
    <x v="1"/>
    <x v="0"/>
  </r>
  <r>
    <x v="784"/>
    <x v="161"/>
    <x v="38"/>
    <x v="56"/>
    <x v="17"/>
    <x v="1"/>
    <x v="0"/>
    <x v="1"/>
    <x v="1"/>
    <x v="1"/>
    <x v="1"/>
    <x v="2"/>
    <x v="10"/>
    <x v="1"/>
    <x v="17"/>
    <x v="335"/>
    <x v="1"/>
    <x v="5"/>
    <x v="1"/>
    <x v="0"/>
    <x v="1"/>
    <x v="1"/>
    <x v="0"/>
    <x v="4"/>
    <x v="18"/>
  </r>
  <r>
    <x v="785"/>
    <x v="347"/>
    <x v="105"/>
    <x v="56"/>
    <x v="17"/>
    <x v="1"/>
    <x v="4"/>
    <x v="1"/>
    <x v="1"/>
    <x v="4"/>
    <x v="24"/>
    <x v="107"/>
    <x v="115"/>
    <x v="26"/>
    <x v="266"/>
    <x v="303"/>
    <x v="2"/>
    <x v="17"/>
    <x v="1"/>
    <x v="0"/>
    <x v="2"/>
    <x v="1"/>
    <x v="0"/>
    <x v="2"/>
    <x v="257"/>
  </r>
  <r>
    <x v="786"/>
    <x v="113"/>
    <x v="26"/>
    <x v="25"/>
    <x v="84"/>
    <x v="4"/>
    <x v="0"/>
    <x v="10"/>
    <x v="18"/>
    <x v="2"/>
    <x v="20"/>
    <x v="50"/>
    <x v="104"/>
    <x v="24"/>
    <x v="227"/>
    <x v="299"/>
    <x v="1"/>
    <x v="17"/>
    <x v="1"/>
    <x v="1"/>
    <x v="1"/>
    <x v="1"/>
    <x v="0"/>
    <x v="0"/>
    <x v="219"/>
  </r>
  <r>
    <x v="787"/>
    <x v="157"/>
    <x v="269"/>
    <x v="31"/>
    <x v="94"/>
    <x v="5"/>
    <x v="2"/>
    <x v="5"/>
    <x v="9"/>
    <x v="4"/>
    <x v="31"/>
    <x v="127"/>
    <x v="145"/>
    <x v="36"/>
    <x v="293"/>
    <x v="253"/>
    <x v="1"/>
    <x v="16"/>
    <x v="0"/>
    <x v="2"/>
    <x v="1"/>
    <x v="1"/>
    <x v="0"/>
    <x v="0"/>
    <x v="283"/>
  </r>
  <r>
    <x v="788"/>
    <x v="35"/>
    <x v="96"/>
    <x v="3"/>
    <x v="90"/>
    <x v="3"/>
    <x v="1"/>
    <x v="3"/>
    <x v="7"/>
    <x v="5"/>
    <x v="13"/>
    <x v="87"/>
    <x v="59"/>
    <x v="19"/>
    <x v="83"/>
    <x v="191"/>
    <x v="4"/>
    <x v="15"/>
    <x v="1"/>
    <x v="0"/>
    <x v="2"/>
    <x v="1"/>
    <x v="0"/>
    <x v="0"/>
    <x v="82"/>
  </r>
  <r>
    <x v="789"/>
    <x v="85"/>
    <x v="203"/>
    <x v="26"/>
    <x v="8"/>
    <x v="4"/>
    <x v="2"/>
    <x v="5"/>
    <x v="10"/>
    <x v="4"/>
    <x v="31"/>
    <x v="127"/>
    <x v="145"/>
    <x v="37"/>
    <x v="271"/>
    <x v="220"/>
    <x v="1"/>
    <x v="12"/>
    <x v="1"/>
    <x v="1"/>
    <x v="1"/>
    <x v="1"/>
    <x v="0"/>
    <x v="4"/>
    <x v="262"/>
  </r>
  <r>
    <x v="790"/>
    <x v="320"/>
    <x v="186"/>
    <x v="12"/>
    <x v="56"/>
    <x v="3"/>
    <x v="1"/>
    <x v="9"/>
    <x v="22"/>
    <x v="1"/>
    <x v="38"/>
    <x v="42"/>
    <x v="196"/>
    <x v="55"/>
    <x v="306"/>
    <x v="124"/>
    <x v="1"/>
    <x v="0"/>
    <x v="0"/>
    <x v="1"/>
    <x v="1"/>
    <x v="1"/>
    <x v="0"/>
    <x v="0"/>
    <x v="295"/>
  </r>
  <r>
    <x v="791"/>
    <x v="80"/>
    <x v="117"/>
    <x v="44"/>
    <x v="53"/>
    <x v="5"/>
    <x v="0"/>
    <x v="6"/>
    <x v="12"/>
    <x v="0"/>
    <x v="9"/>
    <x v="0"/>
    <x v="60"/>
    <x v="14"/>
    <x v="130"/>
    <x v="308"/>
    <x v="1"/>
    <x v="5"/>
    <x v="2"/>
    <x v="2"/>
    <x v="1"/>
    <x v="1"/>
    <x v="0"/>
    <x v="4"/>
    <x v="125"/>
  </r>
  <r>
    <x v="792"/>
    <x v="353"/>
    <x v="282"/>
    <x v="80"/>
    <x v="82"/>
    <x v="2"/>
    <x v="1"/>
    <x v="0"/>
    <x v="0"/>
    <x v="2"/>
    <x v="3"/>
    <x v="13"/>
    <x v="22"/>
    <x v="4"/>
    <x v="55"/>
    <x v="337"/>
    <x v="1"/>
    <x v="4"/>
    <x v="0"/>
    <x v="1"/>
    <x v="1"/>
    <x v="1"/>
    <x v="0"/>
    <x v="0"/>
    <x v="54"/>
  </r>
  <r>
    <x v="793"/>
    <x v="308"/>
    <x v="191"/>
    <x v="40"/>
    <x v="32"/>
    <x v="5"/>
    <x v="0"/>
    <x v="7"/>
    <x v="15"/>
    <x v="0"/>
    <x v="11"/>
    <x v="0"/>
    <x v="68"/>
    <x v="18"/>
    <x v="136"/>
    <x v="279"/>
    <x v="1"/>
    <x v="9"/>
    <x v="1"/>
    <x v="1"/>
    <x v="1"/>
    <x v="1"/>
    <x v="0"/>
    <x v="0"/>
    <x v="130"/>
  </r>
  <r>
    <x v="794"/>
    <x v="265"/>
    <x v="284"/>
    <x v="36"/>
    <x v="63"/>
    <x v="5"/>
    <x v="0"/>
    <x v="10"/>
    <x v="20"/>
    <x v="5"/>
    <x v="20"/>
    <x v="111"/>
    <x v="85"/>
    <x v="29"/>
    <x v="117"/>
    <x v="146"/>
    <x v="1"/>
    <x v="17"/>
    <x v="0"/>
    <x v="1"/>
    <x v="1"/>
    <x v="1"/>
    <x v="0"/>
    <x v="4"/>
    <x v="113"/>
  </r>
  <r>
    <x v="795"/>
    <x v="30"/>
    <x v="62"/>
    <x v="95"/>
    <x v="0"/>
    <x v="0"/>
    <x v="0"/>
    <x v="24"/>
    <x v="48"/>
    <x v="1"/>
    <x v="83"/>
    <x v="114"/>
    <x v="377"/>
    <x v="97"/>
    <x v="524"/>
    <x v="47"/>
    <x v="1"/>
    <x v="1"/>
    <x v="0"/>
    <x v="0"/>
    <x v="1"/>
    <x v="1"/>
    <x v="0"/>
    <x v="0"/>
    <x v="501"/>
  </r>
  <r>
    <x v="796"/>
    <x v="14"/>
    <x v="129"/>
    <x v="97"/>
    <x v="81"/>
    <x v="0"/>
    <x v="1"/>
    <x v="12"/>
    <x v="29"/>
    <x v="1"/>
    <x v="53"/>
    <x v="62"/>
    <x v="259"/>
    <x v="67"/>
    <x v="440"/>
    <x v="151"/>
    <x v="1"/>
    <x v="16"/>
    <x v="1"/>
    <x v="1"/>
    <x v="1"/>
    <x v="1"/>
    <x v="0"/>
    <x v="3"/>
    <x v="425"/>
  </r>
  <r>
    <x v="797"/>
    <x v="355"/>
    <x v="185"/>
    <x v="77"/>
    <x v="75"/>
    <x v="2"/>
    <x v="1"/>
    <x v="2"/>
    <x v="4"/>
    <x v="5"/>
    <x v="10"/>
    <x v="75"/>
    <x v="42"/>
    <x v="14"/>
    <x v="70"/>
    <x v="239"/>
    <x v="4"/>
    <x v="10"/>
    <x v="1"/>
    <x v="2"/>
    <x v="2"/>
    <x v="1"/>
    <x v="0"/>
    <x v="4"/>
    <x v="69"/>
  </r>
  <r>
    <x v="798"/>
    <x v="183"/>
    <x v="154"/>
    <x v="25"/>
    <x v="84"/>
    <x v="4"/>
    <x v="0"/>
    <x v="10"/>
    <x v="18"/>
    <x v="2"/>
    <x v="20"/>
    <x v="50"/>
    <x v="104"/>
    <x v="24"/>
    <x v="227"/>
    <x v="299"/>
    <x v="0"/>
    <x v="18"/>
    <x v="2"/>
    <x v="0"/>
    <x v="0"/>
    <x v="1"/>
    <x v="0"/>
    <x v="1"/>
    <x v="0"/>
  </r>
  <r>
    <x v="799"/>
    <x v="117"/>
    <x v="97"/>
    <x v="24"/>
    <x v="44"/>
    <x v="4"/>
    <x v="0"/>
    <x v="16"/>
    <x v="33"/>
    <x v="1"/>
    <x v="39"/>
    <x v="43"/>
    <x v="197"/>
    <x v="51"/>
    <x v="354"/>
    <x v="186"/>
    <x v="1"/>
    <x v="5"/>
    <x v="2"/>
    <x v="1"/>
    <x v="1"/>
    <x v="1"/>
    <x v="0"/>
    <x v="3"/>
    <x v="341"/>
  </r>
  <r>
    <x v="800"/>
    <x v="230"/>
    <x v="93"/>
    <x v="8"/>
    <x v="50"/>
    <x v="3"/>
    <x v="0"/>
    <x v="10"/>
    <x v="20"/>
    <x v="0"/>
    <x v="20"/>
    <x v="0"/>
    <x v="119"/>
    <x v="29"/>
    <x v="250"/>
    <x v="283"/>
    <x v="1"/>
    <x v="2"/>
    <x v="1"/>
    <x v="2"/>
    <x v="1"/>
    <x v="1"/>
    <x v="0"/>
    <x v="3"/>
    <x v="242"/>
  </r>
  <r>
    <x v="801"/>
    <x v="350"/>
    <x v="2"/>
    <x v="62"/>
    <x v="19"/>
    <x v="6"/>
    <x v="0"/>
    <x v="17"/>
    <x v="35"/>
    <x v="3"/>
    <x v="42"/>
    <x v="124"/>
    <x v="190"/>
    <x v="55"/>
    <x v="267"/>
    <x v="102"/>
    <x v="1"/>
    <x v="1"/>
    <x v="1"/>
    <x v="0"/>
    <x v="1"/>
    <x v="1"/>
    <x v="0"/>
    <x v="0"/>
    <x v="258"/>
  </r>
  <r>
    <x v="802"/>
    <x v="60"/>
    <x v="257"/>
    <x v="36"/>
    <x v="63"/>
    <x v="5"/>
    <x v="0"/>
    <x v="10"/>
    <x v="20"/>
    <x v="4"/>
    <x v="20"/>
    <x v="94"/>
    <x v="90"/>
    <x v="29"/>
    <x v="141"/>
    <x v="183"/>
    <x v="0"/>
    <x v="19"/>
    <x v="1"/>
    <x v="1"/>
    <x v="0"/>
    <x v="1"/>
    <x v="0"/>
    <x v="1"/>
    <x v="0"/>
  </r>
  <r>
    <x v="803"/>
    <x v="314"/>
    <x v="183"/>
    <x v="80"/>
    <x v="82"/>
    <x v="2"/>
    <x v="0"/>
    <x v="0"/>
    <x v="0"/>
    <x v="3"/>
    <x v="0"/>
    <x v="9"/>
    <x v="1"/>
    <x v="0"/>
    <x v="1"/>
    <x v="331"/>
    <x v="1"/>
    <x v="12"/>
    <x v="0"/>
    <x v="1"/>
    <x v="1"/>
    <x v="1"/>
    <x v="0"/>
    <x v="3"/>
    <x v="2"/>
  </r>
  <r>
    <x v="804"/>
    <x v="329"/>
    <x v="163"/>
    <x v="30"/>
    <x v="83"/>
    <x v="5"/>
    <x v="1"/>
    <x v="9"/>
    <x v="18"/>
    <x v="0"/>
    <x v="38"/>
    <x v="0"/>
    <x v="208"/>
    <x v="45"/>
    <x v="439"/>
    <x v="288"/>
    <x v="4"/>
    <x v="12"/>
    <x v="0"/>
    <x v="1"/>
    <x v="2"/>
    <x v="1"/>
    <x v="0"/>
    <x v="3"/>
    <x v="424"/>
  </r>
  <r>
    <x v="805"/>
    <x v="228"/>
    <x v="229"/>
    <x v="31"/>
    <x v="94"/>
    <x v="5"/>
    <x v="0"/>
    <x v="5"/>
    <x v="9"/>
    <x v="5"/>
    <x v="7"/>
    <x v="60"/>
    <x v="30"/>
    <x v="11"/>
    <x v="34"/>
    <x v="220"/>
    <x v="2"/>
    <x v="16"/>
    <x v="1"/>
    <x v="1"/>
    <x v="2"/>
    <x v="1"/>
    <x v="0"/>
    <x v="2"/>
    <x v="35"/>
  </r>
  <r>
    <x v="806"/>
    <x v="306"/>
    <x v="285"/>
    <x v="14"/>
    <x v="65"/>
    <x v="3"/>
    <x v="0"/>
    <x v="24"/>
    <x v="49"/>
    <x v="2"/>
    <x v="83"/>
    <x v="170"/>
    <x v="369"/>
    <x v="99"/>
    <x v="444"/>
    <x v="17"/>
    <x v="1"/>
    <x v="10"/>
    <x v="0"/>
    <x v="0"/>
    <x v="1"/>
    <x v="1"/>
    <x v="0"/>
    <x v="4"/>
    <x v="429"/>
  </r>
  <r>
    <x v="807"/>
    <x v="330"/>
    <x v="133"/>
    <x v="69"/>
    <x v="48"/>
    <x v="6"/>
    <x v="1"/>
    <x v="6"/>
    <x v="12"/>
    <x v="3"/>
    <x v="22"/>
    <x v="80"/>
    <x v="113"/>
    <x v="30"/>
    <x v="219"/>
    <x v="250"/>
    <x v="1"/>
    <x v="3"/>
    <x v="0"/>
    <x v="0"/>
    <x v="1"/>
    <x v="1"/>
    <x v="0"/>
    <x v="4"/>
    <x v="211"/>
  </r>
  <r>
    <x v="808"/>
    <x v="54"/>
    <x v="136"/>
    <x v="67"/>
    <x v="21"/>
    <x v="6"/>
    <x v="3"/>
    <x v="4"/>
    <x v="7"/>
    <x v="2"/>
    <x v="37"/>
    <x v="82"/>
    <x v="185"/>
    <x v="37"/>
    <x v="427"/>
    <x v="317"/>
    <x v="1"/>
    <x v="5"/>
    <x v="1"/>
    <x v="1"/>
    <x v="1"/>
    <x v="1"/>
    <x v="0"/>
    <x v="3"/>
    <x v="412"/>
  </r>
  <r>
    <x v="809"/>
    <x v="2"/>
    <x v="110"/>
    <x v="93"/>
    <x v="70"/>
    <x v="0"/>
    <x v="1"/>
    <x v="20"/>
    <x v="42"/>
    <x v="3"/>
    <x v="82"/>
    <x v="199"/>
    <x v="352"/>
    <x v="94"/>
    <x v="472"/>
    <x v="34"/>
    <x v="1"/>
    <x v="16"/>
    <x v="0"/>
    <x v="1"/>
    <x v="1"/>
    <x v="1"/>
    <x v="0"/>
    <x v="0"/>
    <x v="453"/>
  </r>
  <r>
    <x v="810"/>
    <x v="278"/>
    <x v="38"/>
    <x v="76"/>
    <x v="64"/>
    <x v="2"/>
    <x v="0"/>
    <x v="4"/>
    <x v="8"/>
    <x v="3"/>
    <x v="5"/>
    <x v="31"/>
    <x v="26"/>
    <x v="8"/>
    <x v="46"/>
    <x v="282"/>
    <x v="1"/>
    <x v="5"/>
    <x v="1"/>
    <x v="0"/>
    <x v="1"/>
    <x v="1"/>
    <x v="0"/>
    <x v="0"/>
    <x v="46"/>
  </r>
  <r>
    <x v="811"/>
    <x v="168"/>
    <x v="72"/>
    <x v="1"/>
    <x v="9"/>
    <x v="3"/>
    <x v="0"/>
    <x v="17"/>
    <x v="36"/>
    <x v="2"/>
    <x v="42"/>
    <x v="91"/>
    <x v="202"/>
    <x v="57"/>
    <x v="288"/>
    <x v="100"/>
    <x v="0"/>
    <x v="11"/>
    <x v="1"/>
    <x v="1"/>
    <x v="0"/>
    <x v="1"/>
    <x v="0"/>
    <x v="1"/>
    <x v="0"/>
  </r>
  <r>
    <x v="812"/>
    <x v="330"/>
    <x v="33"/>
    <x v="6"/>
    <x v="46"/>
    <x v="3"/>
    <x v="0"/>
    <x v="12"/>
    <x v="25"/>
    <x v="2"/>
    <x v="27"/>
    <x v="62"/>
    <x v="137"/>
    <x v="37"/>
    <x v="227"/>
    <x v="194"/>
    <x v="1"/>
    <x v="9"/>
    <x v="0"/>
    <x v="1"/>
    <x v="1"/>
    <x v="1"/>
    <x v="0"/>
    <x v="4"/>
    <x v="219"/>
  </r>
  <r>
    <x v="813"/>
    <x v="295"/>
    <x v="85"/>
    <x v="85"/>
    <x v="35"/>
    <x v="2"/>
    <x v="0"/>
    <x v="1"/>
    <x v="2"/>
    <x v="4"/>
    <x v="1"/>
    <x v="20"/>
    <x v="6"/>
    <x v="2"/>
    <x v="4"/>
    <x v="280"/>
    <x v="1"/>
    <x v="17"/>
    <x v="0"/>
    <x v="0"/>
    <x v="1"/>
    <x v="1"/>
    <x v="0"/>
    <x v="3"/>
    <x v="5"/>
  </r>
  <r>
    <x v="814"/>
    <x v="84"/>
    <x v="71"/>
    <x v="20"/>
    <x v="40"/>
    <x v="4"/>
    <x v="0"/>
    <x v="17"/>
    <x v="32"/>
    <x v="1"/>
    <x v="42"/>
    <x v="47"/>
    <x v="209"/>
    <x v="50"/>
    <x v="409"/>
    <x v="233"/>
    <x v="1"/>
    <x v="16"/>
    <x v="1"/>
    <x v="1"/>
    <x v="1"/>
    <x v="1"/>
    <x v="0"/>
    <x v="4"/>
    <x v="394"/>
  </r>
  <r>
    <x v="815"/>
    <x v="39"/>
    <x v="118"/>
    <x v="82"/>
    <x v="67"/>
    <x v="2"/>
    <x v="0"/>
    <x v="5"/>
    <x v="12"/>
    <x v="2"/>
    <x v="7"/>
    <x v="21"/>
    <x v="40"/>
    <x v="14"/>
    <x v="58"/>
    <x v="220"/>
    <x v="2"/>
    <x v="19"/>
    <x v="1"/>
    <x v="1"/>
    <x v="2"/>
    <x v="1"/>
    <x v="0"/>
    <x v="2"/>
    <x v="57"/>
  </r>
  <r>
    <x v="816"/>
    <x v="213"/>
    <x v="137"/>
    <x v="60"/>
    <x v="68"/>
    <x v="6"/>
    <x v="1"/>
    <x v="5"/>
    <x v="9"/>
    <x v="2"/>
    <x v="19"/>
    <x v="49"/>
    <x v="102"/>
    <x v="24"/>
    <x v="225"/>
    <x v="297"/>
    <x v="1"/>
    <x v="19"/>
    <x v="0"/>
    <x v="0"/>
    <x v="1"/>
    <x v="1"/>
    <x v="0"/>
    <x v="4"/>
    <x v="217"/>
  </r>
  <r>
    <x v="817"/>
    <x v="147"/>
    <x v="105"/>
    <x v="68"/>
    <x v="80"/>
    <x v="6"/>
    <x v="0"/>
    <x v="12"/>
    <x v="27"/>
    <x v="0"/>
    <x v="27"/>
    <x v="0"/>
    <x v="151"/>
    <x v="39"/>
    <x v="286"/>
    <x v="226"/>
    <x v="1"/>
    <x v="17"/>
    <x v="1"/>
    <x v="2"/>
    <x v="1"/>
    <x v="1"/>
    <x v="0"/>
    <x v="4"/>
    <x v="277"/>
  </r>
  <r>
    <x v="818"/>
    <x v="77"/>
    <x v="287"/>
    <x v="99"/>
    <x v="16"/>
    <x v="0"/>
    <x v="1"/>
    <x v="22"/>
    <x v="46"/>
    <x v="1"/>
    <x v="91"/>
    <x v="133"/>
    <x v="399"/>
    <x v="105"/>
    <x v="599"/>
    <x v="68"/>
    <x v="1"/>
    <x v="13"/>
    <x v="1"/>
    <x v="2"/>
    <x v="1"/>
    <x v="1"/>
    <x v="0"/>
    <x v="4"/>
    <x v="574"/>
  </r>
  <r>
    <x v="819"/>
    <x v="123"/>
    <x v="285"/>
    <x v="21"/>
    <x v="93"/>
    <x v="4"/>
    <x v="1"/>
    <x v="7"/>
    <x v="14"/>
    <x v="3"/>
    <x v="26"/>
    <x v="88"/>
    <x v="125"/>
    <x v="33"/>
    <x v="248"/>
    <x v="251"/>
    <x v="1"/>
    <x v="10"/>
    <x v="0"/>
    <x v="2"/>
    <x v="1"/>
    <x v="1"/>
    <x v="0"/>
    <x v="4"/>
    <x v="240"/>
  </r>
  <r>
    <x v="820"/>
    <x v="30"/>
    <x v="152"/>
    <x v="27"/>
    <x v="78"/>
    <x v="4"/>
    <x v="1"/>
    <x v="19"/>
    <x v="38"/>
    <x v="0"/>
    <x v="78"/>
    <x v="0"/>
    <x v="367"/>
    <x v="84"/>
    <x v="615"/>
    <x v="200"/>
    <x v="1"/>
    <x v="2"/>
    <x v="1"/>
    <x v="0"/>
    <x v="1"/>
    <x v="1"/>
    <x v="0"/>
    <x v="4"/>
    <x v="586"/>
  </r>
  <r>
    <x v="821"/>
    <x v="106"/>
    <x v="225"/>
    <x v="31"/>
    <x v="94"/>
    <x v="5"/>
    <x v="2"/>
    <x v="5"/>
    <x v="9"/>
    <x v="1"/>
    <x v="31"/>
    <x v="34"/>
    <x v="170"/>
    <x v="36"/>
    <x v="390"/>
    <x v="310"/>
    <x v="1"/>
    <x v="10"/>
    <x v="1"/>
    <x v="2"/>
    <x v="1"/>
    <x v="1"/>
    <x v="0"/>
    <x v="4"/>
    <x v="376"/>
  </r>
  <r>
    <x v="822"/>
    <x v="299"/>
    <x v="197"/>
    <x v="12"/>
    <x v="56"/>
    <x v="3"/>
    <x v="3"/>
    <x v="9"/>
    <x v="22"/>
    <x v="1"/>
    <x v="66"/>
    <x v="83"/>
    <x v="313"/>
    <x v="78"/>
    <x v="514"/>
    <x v="124"/>
    <x v="4"/>
    <x v="19"/>
    <x v="0"/>
    <x v="1"/>
    <x v="2"/>
    <x v="1"/>
    <x v="0"/>
    <x v="3"/>
    <x v="492"/>
  </r>
  <r>
    <x v="823"/>
    <x v="314"/>
    <x v="23"/>
    <x v="80"/>
    <x v="82"/>
    <x v="2"/>
    <x v="0"/>
    <x v="0"/>
    <x v="0"/>
    <x v="3"/>
    <x v="0"/>
    <x v="9"/>
    <x v="1"/>
    <x v="0"/>
    <x v="1"/>
    <x v="331"/>
    <x v="1"/>
    <x v="8"/>
    <x v="1"/>
    <x v="1"/>
    <x v="1"/>
    <x v="1"/>
    <x v="0"/>
    <x v="4"/>
    <x v="2"/>
  </r>
  <r>
    <x v="824"/>
    <x v="279"/>
    <x v="157"/>
    <x v="11"/>
    <x v="15"/>
    <x v="3"/>
    <x v="1"/>
    <x v="8"/>
    <x v="17"/>
    <x v="2"/>
    <x v="32"/>
    <x v="72"/>
    <x v="161"/>
    <x v="41"/>
    <x v="324"/>
    <x v="238"/>
    <x v="2"/>
    <x v="19"/>
    <x v="0"/>
    <x v="1"/>
    <x v="2"/>
    <x v="1"/>
    <x v="0"/>
    <x v="2"/>
    <x v="312"/>
  </r>
  <r>
    <x v="825"/>
    <x v="199"/>
    <x v="258"/>
    <x v="78"/>
    <x v="1"/>
    <x v="2"/>
    <x v="0"/>
    <x v="9"/>
    <x v="20"/>
    <x v="0"/>
    <x v="16"/>
    <x v="0"/>
    <x v="99"/>
    <x v="29"/>
    <x v="178"/>
    <x v="224"/>
    <x v="3"/>
    <x v="6"/>
    <x v="1"/>
    <x v="2"/>
    <x v="3"/>
    <x v="1"/>
    <x v="0"/>
    <x v="3"/>
    <x v="0"/>
  </r>
  <r>
    <x v="826"/>
    <x v="353"/>
    <x v="272"/>
    <x v="46"/>
    <x v="85"/>
    <x v="1"/>
    <x v="0"/>
    <x v="5"/>
    <x v="11"/>
    <x v="4"/>
    <x v="7"/>
    <x v="49"/>
    <x v="33"/>
    <x v="13"/>
    <x v="33"/>
    <x v="196"/>
    <x v="1"/>
    <x v="2"/>
    <x v="2"/>
    <x v="1"/>
    <x v="1"/>
    <x v="1"/>
    <x v="0"/>
    <x v="4"/>
    <x v="34"/>
  </r>
  <r>
    <x v="827"/>
    <x v="298"/>
    <x v="6"/>
    <x v="14"/>
    <x v="65"/>
    <x v="3"/>
    <x v="3"/>
    <x v="24"/>
    <x v="49"/>
    <x v="1"/>
    <x v="114"/>
    <x v="217"/>
    <x v="448"/>
    <x v="129"/>
    <x v="674"/>
    <x v="33"/>
    <x v="1"/>
    <x v="17"/>
    <x v="1"/>
    <x v="0"/>
    <x v="1"/>
    <x v="0"/>
    <x v="0"/>
    <x v="3"/>
    <x v="636"/>
  </r>
  <r>
    <x v="828"/>
    <x v="41"/>
    <x v="67"/>
    <x v="82"/>
    <x v="67"/>
    <x v="2"/>
    <x v="0"/>
    <x v="5"/>
    <x v="12"/>
    <x v="2"/>
    <x v="7"/>
    <x v="21"/>
    <x v="40"/>
    <x v="14"/>
    <x v="58"/>
    <x v="220"/>
    <x v="2"/>
    <x v="10"/>
    <x v="1"/>
    <x v="1"/>
    <x v="2"/>
    <x v="1"/>
    <x v="0"/>
    <x v="2"/>
    <x v="57"/>
  </r>
  <r>
    <x v="829"/>
    <x v="53"/>
    <x v="263"/>
    <x v="18"/>
    <x v="71"/>
    <x v="4"/>
    <x v="0"/>
    <x v="20"/>
    <x v="40"/>
    <x v="4"/>
    <x v="54"/>
    <x v="169"/>
    <x v="231"/>
    <x v="67"/>
    <x v="290"/>
    <x v="60"/>
    <x v="4"/>
    <x v="12"/>
    <x v="1"/>
    <x v="2"/>
    <x v="2"/>
    <x v="1"/>
    <x v="0"/>
    <x v="4"/>
    <x v="281"/>
  </r>
  <r>
    <x v="830"/>
    <x v="340"/>
    <x v="172"/>
    <x v="79"/>
    <x v="12"/>
    <x v="2"/>
    <x v="0"/>
    <x v="8"/>
    <x v="18"/>
    <x v="2"/>
    <x v="14"/>
    <x v="35"/>
    <x v="73"/>
    <x v="24"/>
    <x v="105"/>
    <x v="169"/>
    <x v="1"/>
    <x v="2"/>
    <x v="1"/>
    <x v="0"/>
    <x v="1"/>
    <x v="1"/>
    <x v="0"/>
    <x v="0"/>
    <x v="101"/>
  </r>
  <r>
    <x v="831"/>
    <x v="91"/>
    <x v="23"/>
    <x v="65"/>
    <x v="36"/>
    <x v="6"/>
    <x v="4"/>
    <x v="7"/>
    <x v="14"/>
    <x v="2"/>
    <x v="62"/>
    <x v="131"/>
    <x v="286"/>
    <x v="63"/>
    <x v="548"/>
    <x v="276"/>
    <x v="1"/>
    <x v="8"/>
    <x v="1"/>
    <x v="2"/>
    <x v="1"/>
    <x v="1"/>
    <x v="0"/>
    <x v="0"/>
    <x v="525"/>
  </r>
  <r>
    <x v="832"/>
    <x v="316"/>
    <x v="245"/>
    <x v="16"/>
    <x v="22"/>
    <x v="4"/>
    <x v="0"/>
    <x v="15"/>
    <x v="31"/>
    <x v="1"/>
    <x v="35"/>
    <x v="38"/>
    <x v="183"/>
    <x v="47"/>
    <x v="337"/>
    <x v="206"/>
    <x v="1"/>
    <x v="10"/>
    <x v="1"/>
    <x v="0"/>
    <x v="1"/>
    <x v="1"/>
    <x v="0"/>
    <x v="4"/>
    <x v="324"/>
  </r>
  <r>
    <x v="833"/>
    <x v="285"/>
    <x v="192"/>
    <x v="2"/>
    <x v="77"/>
    <x v="3"/>
    <x v="0"/>
    <x v="22"/>
    <x v="44"/>
    <x v="5"/>
    <x v="63"/>
    <x v="201"/>
    <x v="256"/>
    <x v="74"/>
    <x v="231"/>
    <x v="19"/>
    <x v="1"/>
    <x v="2"/>
    <x v="1"/>
    <x v="1"/>
    <x v="1"/>
    <x v="1"/>
    <x v="0"/>
    <x v="0"/>
    <x v="223"/>
  </r>
  <r>
    <x v="834"/>
    <x v="269"/>
    <x v="135"/>
    <x v="41"/>
    <x v="6"/>
    <x v="5"/>
    <x v="1"/>
    <x v="10"/>
    <x v="21"/>
    <x v="0"/>
    <x v="44"/>
    <x v="0"/>
    <x v="228"/>
    <x v="51"/>
    <x v="460"/>
    <x v="270"/>
    <x v="1"/>
    <x v="15"/>
    <x v="1"/>
    <x v="0"/>
    <x v="1"/>
    <x v="1"/>
    <x v="0"/>
    <x v="0"/>
    <x v="443"/>
  </r>
  <r>
    <x v="835"/>
    <x v="34"/>
    <x v="197"/>
    <x v="53"/>
    <x v="29"/>
    <x v="1"/>
    <x v="0"/>
    <x v="3"/>
    <x v="6"/>
    <x v="1"/>
    <x v="4"/>
    <x v="5"/>
    <x v="25"/>
    <x v="6"/>
    <x v="51"/>
    <x v="315"/>
    <x v="3"/>
    <x v="19"/>
    <x v="0"/>
    <x v="2"/>
    <x v="3"/>
    <x v="1"/>
    <x v="0"/>
    <x v="3"/>
    <x v="0"/>
  </r>
  <r>
    <x v="836"/>
    <x v="317"/>
    <x v="96"/>
    <x v="81"/>
    <x v="31"/>
    <x v="2"/>
    <x v="2"/>
    <x v="2"/>
    <x v="4"/>
    <x v="3"/>
    <x v="17"/>
    <x v="67"/>
    <x v="88"/>
    <x v="22"/>
    <x v="191"/>
    <x v="290"/>
    <x v="1"/>
    <x v="15"/>
    <x v="1"/>
    <x v="2"/>
    <x v="1"/>
    <x v="1"/>
    <x v="0"/>
    <x v="0"/>
    <x v="185"/>
  </r>
  <r>
    <x v="837"/>
    <x v="274"/>
    <x v="11"/>
    <x v="39"/>
    <x v="20"/>
    <x v="5"/>
    <x v="1"/>
    <x v="13"/>
    <x v="29"/>
    <x v="4"/>
    <x v="56"/>
    <x v="171"/>
    <x v="243"/>
    <x v="67"/>
    <x v="378"/>
    <x v="106"/>
    <x v="4"/>
    <x v="16"/>
    <x v="1"/>
    <x v="1"/>
    <x v="2"/>
    <x v="1"/>
    <x v="0"/>
    <x v="4"/>
    <x v="364"/>
  </r>
  <r>
    <x v="838"/>
    <x v="149"/>
    <x v="74"/>
    <x v="42"/>
    <x v="47"/>
    <x v="5"/>
    <x v="0"/>
    <x v="15"/>
    <x v="32"/>
    <x v="0"/>
    <x v="35"/>
    <x v="0"/>
    <x v="195"/>
    <x v="50"/>
    <x v="350"/>
    <x v="187"/>
    <x v="1"/>
    <x v="2"/>
    <x v="0"/>
    <x v="0"/>
    <x v="1"/>
    <x v="1"/>
    <x v="0"/>
    <x v="0"/>
    <x v="337"/>
  </r>
  <r>
    <x v="839"/>
    <x v="227"/>
    <x v="152"/>
    <x v="44"/>
    <x v="53"/>
    <x v="5"/>
    <x v="0"/>
    <x v="6"/>
    <x v="12"/>
    <x v="1"/>
    <x v="9"/>
    <x v="10"/>
    <x v="56"/>
    <x v="14"/>
    <x v="111"/>
    <x v="294"/>
    <x v="0"/>
    <x v="2"/>
    <x v="1"/>
    <x v="1"/>
    <x v="0"/>
    <x v="1"/>
    <x v="0"/>
    <x v="1"/>
    <x v="0"/>
  </r>
  <r>
    <x v="840"/>
    <x v="35"/>
    <x v="249"/>
    <x v="2"/>
    <x v="77"/>
    <x v="3"/>
    <x v="1"/>
    <x v="22"/>
    <x v="44"/>
    <x v="4"/>
    <x v="91"/>
    <x v="227"/>
    <x v="383"/>
    <x v="101"/>
    <x v="522"/>
    <x v="38"/>
    <x v="1"/>
    <x v="16"/>
    <x v="1"/>
    <x v="0"/>
    <x v="1"/>
    <x v="1"/>
    <x v="0"/>
    <x v="3"/>
    <x v="499"/>
  </r>
  <r>
    <x v="841"/>
    <x v="28"/>
    <x v="32"/>
    <x v="86"/>
    <x v="11"/>
    <x v="2"/>
    <x v="0"/>
    <x v="6"/>
    <x v="14"/>
    <x v="5"/>
    <x v="9"/>
    <x v="68"/>
    <x v="35"/>
    <x v="17"/>
    <x v="27"/>
    <x v="134"/>
    <x v="4"/>
    <x v="11"/>
    <x v="2"/>
    <x v="2"/>
    <x v="2"/>
    <x v="1"/>
    <x v="0"/>
    <x v="3"/>
    <x v="28"/>
  </r>
  <r>
    <x v="842"/>
    <x v="352"/>
    <x v="68"/>
    <x v="9"/>
    <x v="95"/>
    <x v="3"/>
    <x v="2"/>
    <x v="19"/>
    <x v="39"/>
    <x v="1"/>
    <x v="93"/>
    <x v="138"/>
    <x v="407"/>
    <x v="104"/>
    <x v="641"/>
    <x v="117"/>
    <x v="0"/>
    <x v="0"/>
    <x v="0"/>
    <x v="1"/>
    <x v="0"/>
    <x v="2"/>
    <x v="0"/>
    <x v="1"/>
    <x v="0"/>
  </r>
  <r>
    <x v="843"/>
    <x v="341"/>
    <x v="240"/>
    <x v="97"/>
    <x v="81"/>
    <x v="0"/>
    <x v="1"/>
    <x v="12"/>
    <x v="29"/>
    <x v="4"/>
    <x v="53"/>
    <x v="168"/>
    <x v="229"/>
    <x v="67"/>
    <x v="284"/>
    <x v="59"/>
    <x v="1"/>
    <x v="1"/>
    <x v="0"/>
    <x v="0"/>
    <x v="1"/>
    <x v="1"/>
    <x v="0"/>
    <x v="3"/>
    <x v="275"/>
  </r>
  <r>
    <x v="844"/>
    <x v="173"/>
    <x v="30"/>
    <x v="45"/>
    <x v="30"/>
    <x v="1"/>
    <x v="0"/>
    <x v="7"/>
    <x v="15"/>
    <x v="1"/>
    <x v="11"/>
    <x v="12"/>
    <x v="64"/>
    <x v="18"/>
    <x v="119"/>
    <x v="260"/>
    <x v="1"/>
    <x v="7"/>
    <x v="1"/>
    <x v="1"/>
    <x v="1"/>
    <x v="1"/>
    <x v="0"/>
    <x v="0"/>
    <x v="115"/>
  </r>
  <r>
    <x v="845"/>
    <x v="304"/>
    <x v="157"/>
    <x v="11"/>
    <x v="15"/>
    <x v="3"/>
    <x v="3"/>
    <x v="8"/>
    <x v="17"/>
    <x v="0"/>
    <x v="59"/>
    <x v="0"/>
    <x v="296"/>
    <x v="64"/>
    <x v="567"/>
    <x v="285"/>
    <x v="1"/>
    <x v="19"/>
    <x v="0"/>
    <x v="0"/>
    <x v="1"/>
    <x v="1"/>
    <x v="0"/>
    <x v="0"/>
    <x v="544"/>
  </r>
  <r>
    <x v="846"/>
    <x v="349"/>
    <x v="98"/>
    <x v="45"/>
    <x v="30"/>
    <x v="1"/>
    <x v="1"/>
    <x v="7"/>
    <x v="15"/>
    <x v="5"/>
    <x v="26"/>
    <x v="131"/>
    <x v="107"/>
    <x v="35"/>
    <x v="153"/>
    <x v="143"/>
    <x v="1"/>
    <x v="19"/>
    <x v="0"/>
    <x v="1"/>
    <x v="1"/>
    <x v="1"/>
    <x v="0"/>
    <x v="3"/>
    <x v="147"/>
  </r>
  <r>
    <x v="847"/>
    <x v="249"/>
    <x v="294"/>
    <x v="37"/>
    <x v="51"/>
    <x v="5"/>
    <x v="0"/>
    <x v="8"/>
    <x v="17"/>
    <x v="2"/>
    <x v="14"/>
    <x v="35"/>
    <x v="73"/>
    <x v="21"/>
    <x v="137"/>
    <x v="238"/>
    <x v="4"/>
    <x v="18"/>
    <x v="0"/>
    <x v="1"/>
    <x v="2"/>
    <x v="1"/>
    <x v="0"/>
    <x v="0"/>
    <x v="131"/>
  </r>
  <r>
    <x v="848"/>
    <x v="139"/>
    <x v="85"/>
    <x v="51"/>
    <x v="52"/>
    <x v="1"/>
    <x v="0"/>
    <x v="2"/>
    <x v="4"/>
    <x v="3"/>
    <x v="2"/>
    <x v="19"/>
    <x v="13"/>
    <x v="4"/>
    <x v="16"/>
    <x v="290"/>
    <x v="1"/>
    <x v="17"/>
    <x v="0"/>
    <x v="1"/>
    <x v="1"/>
    <x v="1"/>
    <x v="0"/>
    <x v="3"/>
    <x v="17"/>
  </r>
  <r>
    <x v="849"/>
    <x v="99"/>
    <x v="21"/>
    <x v="4"/>
    <x v="66"/>
    <x v="3"/>
    <x v="0"/>
    <x v="14"/>
    <x v="31"/>
    <x v="3"/>
    <x v="33"/>
    <x v="104"/>
    <x v="154"/>
    <x v="47"/>
    <x v="194"/>
    <x v="94"/>
    <x v="1"/>
    <x v="14"/>
    <x v="1"/>
    <x v="1"/>
    <x v="1"/>
    <x v="1"/>
    <x v="0"/>
    <x v="3"/>
    <x v="188"/>
  </r>
  <r>
    <x v="850"/>
    <x v="331"/>
    <x v="137"/>
    <x v="42"/>
    <x v="47"/>
    <x v="5"/>
    <x v="0"/>
    <x v="15"/>
    <x v="32"/>
    <x v="1"/>
    <x v="35"/>
    <x v="38"/>
    <x v="183"/>
    <x v="50"/>
    <x v="307"/>
    <x v="160"/>
    <x v="1"/>
    <x v="19"/>
    <x v="0"/>
    <x v="2"/>
    <x v="1"/>
    <x v="1"/>
    <x v="0"/>
    <x v="0"/>
    <x v="296"/>
  </r>
  <r>
    <x v="851"/>
    <x v="105"/>
    <x v="288"/>
    <x v="27"/>
    <x v="78"/>
    <x v="4"/>
    <x v="1"/>
    <x v="19"/>
    <x v="38"/>
    <x v="3"/>
    <x v="78"/>
    <x v="192"/>
    <x v="338"/>
    <x v="84"/>
    <x v="534"/>
    <x v="113"/>
    <x v="4"/>
    <x v="7"/>
    <x v="1"/>
    <x v="0"/>
    <x v="2"/>
    <x v="1"/>
    <x v="0"/>
    <x v="4"/>
    <x v="511"/>
  </r>
  <r>
    <x v="852"/>
    <x v="70"/>
    <x v="28"/>
    <x v="13"/>
    <x v="41"/>
    <x v="3"/>
    <x v="2"/>
    <x v="6"/>
    <x v="12"/>
    <x v="1"/>
    <x v="36"/>
    <x v="40"/>
    <x v="194"/>
    <x v="42"/>
    <x v="416"/>
    <x v="294"/>
    <x v="4"/>
    <x v="0"/>
    <x v="1"/>
    <x v="1"/>
    <x v="2"/>
    <x v="1"/>
    <x v="0"/>
    <x v="3"/>
    <x v="401"/>
  </r>
  <r>
    <x v="853"/>
    <x v="212"/>
    <x v="235"/>
    <x v="20"/>
    <x v="40"/>
    <x v="4"/>
    <x v="1"/>
    <x v="17"/>
    <x v="32"/>
    <x v="0"/>
    <x v="70"/>
    <x v="0"/>
    <x v="332"/>
    <x v="72"/>
    <x v="603"/>
    <x v="258"/>
    <x v="0"/>
    <x v="15"/>
    <x v="1"/>
    <x v="0"/>
    <x v="0"/>
    <x v="1"/>
    <x v="0"/>
    <x v="1"/>
    <x v="0"/>
  </r>
  <r>
    <x v="854"/>
    <x v="146"/>
    <x v="13"/>
    <x v="47"/>
    <x v="74"/>
    <x v="1"/>
    <x v="2"/>
    <x v="4"/>
    <x v="9"/>
    <x v="3"/>
    <x v="28"/>
    <x v="92"/>
    <x v="131"/>
    <x v="36"/>
    <x v="243"/>
    <x v="217"/>
    <x v="1"/>
    <x v="9"/>
    <x v="1"/>
    <x v="0"/>
    <x v="1"/>
    <x v="1"/>
    <x v="0"/>
    <x v="4"/>
    <x v="235"/>
  </r>
  <r>
    <x v="855"/>
    <x v="254"/>
    <x v="116"/>
    <x v="41"/>
    <x v="6"/>
    <x v="5"/>
    <x v="0"/>
    <x v="10"/>
    <x v="21"/>
    <x v="5"/>
    <x v="20"/>
    <x v="111"/>
    <x v="85"/>
    <x v="30"/>
    <x v="107"/>
    <x v="126"/>
    <x v="2"/>
    <x v="15"/>
    <x v="1"/>
    <x v="1"/>
    <x v="2"/>
    <x v="1"/>
    <x v="0"/>
    <x v="2"/>
    <x v="103"/>
  </r>
  <r>
    <x v="856"/>
    <x v="175"/>
    <x v="228"/>
    <x v="55"/>
    <x v="37"/>
    <x v="1"/>
    <x v="0"/>
    <x v="15"/>
    <x v="34"/>
    <x v="3"/>
    <x v="35"/>
    <x v="106"/>
    <x v="164"/>
    <x v="52"/>
    <x v="182"/>
    <x v="65"/>
    <x v="1"/>
    <x v="7"/>
    <x v="0"/>
    <x v="0"/>
    <x v="1"/>
    <x v="1"/>
    <x v="0"/>
    <x v="3"/>
    <x v="176"/>
  </r>
  <r>
    <x v="857"/>
    <x v="271"/>
    <x v="206"/>
    <x v="56"/>
    <x v="17"/>
    <x v="1"/>
    <x v="0"/>
    <x v="1"/>
    <x v="1"/>
    <x v="4"/>
    <x v="1"/>
    <x v="20"/>
    <x v="6"/>
    <x v="1"/>
    <x v="5"/>
    <x v="303"/>
    <x v="1"/>
    <x v="0"/>
    <x v="1"/>
    <x v="0"/>
    <x v="1"/>
    <x v="1"/>
    <x v="0"/>
    <x v="3"/>
    <x v="6"/>
  </r>
  <r>
    <x v="858"/>
    <x v="217"/>
    <x v="287"/>
    <x v="35"/>
    <x v="24"/>
    <x v="5"/>
    <x v="0"/>
    <x v="17"/>
    <x v="35"/>
    <x v="0"/>
    <x v="42"/>
    <x v="0"/>
    <x v="217"/>
    <x v="55"/>
    <x v="398"/>
    <x v="195"/>
    <x v="1"/>
    <x v="13"/>
    <x v="1"/>
    <x v="1"/>
    <x v="1"/>
    <x v="1"/>
    <x v="0"/>
    <x v="4"/>
    <x v="384"/>
  </r>
  <r>
    <x v="859"/>
    <x v="339"/>
    <x v="216"/>
    <x v="97"/>
    <x v="81"/>
    <x v="0"/>
    <x v="1"/>
    <x v="12"/>
    <x v="29"/>
    <x v="3"/>
    <x v="53"/>
    <x v="143"/>
    <x v="237"/>
    <x v="67"/>
    <x v="347"/>
    <x v="87"/>
    <x v="1"/>
    <x v="5"/>
    <x v="0"/>
    <x v="1"/>
    <x v="1"/>
    <x v="1"/>
    <x v="0"/>
    <x v="4"/>
    <x v="334"/>
  </r>
  <r>
    <x v="860"/>
    <x v="336"/>
    <x v="90"/>
    <x v="42"/>
    <x v="47"/>
    <x v="5"/>
    <x v="0"/>
    <x v="15"/>
    <x v="32"/>
    <x v="3"/>
    <x v="35"/>
    <x v="106"/>
    <x v="164"/>
    <x v="50"/>
    <x v="220"/>
    <x v="96"/>
    <x v="1"/>
    <x v="16"/>
    <x v="0"/>
    <x v="0"/>
    <x v="1"/>
    <x v="1"/>
    <x v="0"/>
    <x v="3"/>
    <x v="212"/>
  </r>
  <r>
    <x v="861"/>
    <x v="314"/>
    <x v="173"/>
    <x v="76"/>
    <x v="64"/>
    <x v="2"/>
    <x v="0"/>
    <x v="4"/>
    <x v="8"/>
    <x v="0"/>
    <x v="5"/>
    <x v="0"/>
    <x v="38"/>
    <x v="8"/>
    <x v="92"/>
    <x v="323"/>
    <x v="1"/>
    <x v="3"/>
    <x v="0"/>
    <x v="2"/>
    <x v="1"/>
    <x v="1"/>
    <x v="0"/>
    <x v="3"/>
    <x v="90"/>
  </r>
  <r>
    <x v="862"/>
    <x v="92"/>
    <x v="149"/>
    <x v="24"/>
    <x v="44"/>
    <x v="4"/>
    <x v="0"/>
    <x v="16"/>
    <x v="33"/>
    <x v="4"/>
    <x v="39"/>
    <x v="140"/>
    <x v="166"/>
    <x v="51"/>
    <x v="213"/>
    <x v="90"/>
    <x v="4"/>
    <x v="16"/>
    <x v="1"/>
    <x v="2"/>
    <x v="2"/>
    <x v="1"/>
    <x v="0"/>
    <x v="0"/>
    <x v="206"/>
  </r>
  <r>
    <x v="863"/>
    <x v="173"/>
    <x v="101"/>
    <x v="59"/>
    <x v="99"/>
    <x v="6"/>
    <x v="0"/>
    <x v="10"/>
    <x v="20"/>
    <x v="2"/>
    <x v="20"/>
    <x v="50"/>
    <x v="104"/>
    <x v="29"/>
    <x v="193"/>
    <x v="237"/>
    <x v="1"/>
    <x v="1"/>
    <x v="1"/>
    <x v="1"/>
    <x v="1"/>
    <x v="1"/>
    <x v="0"/>
    <x v="0"/>
    <x v="187"/>
  </r>
  <r>
    <x v="864"/>
    <x v="143"/>
    <x v="267"/>
    <x v="30"/>
    <x v="83"/>
    <x v="5"/>
    <x v="2"/>
    <x v="9"/>
    <x v="18"/>
    <x v="3"/>
    <x v="55"/>
    <x v="147"/>
    <x v="244"/>
    <x v="59"/>
    <x v="462"/>
    <x v="218"/>
    <x v="1"/>
    <x v="13"/>
    <x v="1"/>
    <x v="1"/>
    <x v="1"/>
    <x v="1"/>
    <x v="0"/>
    <x v="0"/>
    <x v="445"/>
  </r>
  <r>
    <x v="865"/>
    <x v="246"/>
    <x v="136"/>
    <x v="44"/>
    <x v="53"/>
    <x v="5"/>
    <x v="1"/>
    <x v="6"/>
    <x v="12"/>
    <x v="5"/>
    <x v="22"/>
    <x v="121"/>
    <x v="94"/>
    <x v="30"/>
    <x v="156"/>
    <x v="192"/>
    <x v="1"/>
    <x v="5"/>
    <x v="1"/>
    <x v="1"/>
    <x v="1"/>
    <x v="1"/>
    <x v="0"/>
    <x v="0"/>
    <x v="150"/>
  </r>
  <r>
    <x v="866"/>
    <x v="254"/>
    <x v="108"/>
    <x v="69"/>
    <x v="48"/>
    <x v="6"/>
    <x v="0"/>
    <x v="6"/>
    <x v="12"/>
    <x v="4"/>
    <x v="9"/>
    <x v="54"/>
    <x v="41"/>
    <x v="14"/>
    <x v="59"/>
    <x v="221"/>
    <x v="4"/>
    <x v="13"/>
    <x v="0"/>
    <x v="0"/>
    <x v="2"/>
    <x v="1"/>
    <x v="0"/>
    <x v="0"/>
    <x v="58"/>
  </r>
  <r>
    <x v="867"/>
    <x v="168"/>
    <x v="134"/>
    <x v="22"/>
    <x v="79"/>
    <x v="4"/>
    <x v="0"/>
    <x v="4"/>
    <x v="7"/>
    <x v="3"/>
    <x v="5"/>
    <x v="31"/>
    <x v="26"/>
    <x v="7"/>
    <x v="54"/>
    <x v="304"/>
    <x v="1"/>
    <x v="18"/>
    <x v="0"/>
    <x v="0"/>
    <x v="1"/>
    <x v="1"/>
    <x v="0"/>
    <x v="4"/>
    <x v="53"/>
  </r>
  <r>
    <x v="868"/>
    <x v="157"/>
    <x v="28"/>
    <x v="82"/>
    <x v="67"/>
    <x v="2"/>
    <x v="0"/>
    <x v="5"/>
    <x v="12"/>
    <x v="1"/>
    <x v="7"/>
    <x v="8"/>
    <x v="45"/>
    <x v="14"/>
    <x v="75"/>
    <x v="244"/>
    <x v="1"/>
    <x v="0"/>
    <x v="1"/>
    <x v="1"/>
    <x v="1"/>
    <x v="1"/>
    <x v="0"/>
    <x v="3"/>
    <x v="74"/>
  </r>
  <r>
    <x v="869"/>
    <x v="53"/>
    <x v="66"/>
    <x v="28"/>
    <x v="73"/>
    <x v="4"/>
    <x v="1"/>
    <x v="3"/>
    <x v="5"/>
    <x v="1"/>
    <x v="13"/>
    <x v="15"/>
    <x v="77"/>
    <x v="17"/>
    <x v="192"/>
    <x v="332"/>
    <x v="1"/>
    <x v="17"/>
    <x v="2"/>
    <x v="1"/>
    <x v="1"/>
    <x v="1"/>
    <x v="0"/>
    <x v="4"/>
    <x v="186"/>
  </r>
  <r>
    <x v="870"/>
    <x v="279"/>
    <x v="183"/>
    <x v="59"/>
    <x v="99"/>
    <x v="6"/>
    <x v="1"/>
    <x v="10"/>
    <x v="20"/>
    <x v="2"/>
    <x v="44"/>
    <x v="94"/>
    <x v="212"/>
    <x v="50"/>
    <x v="414"/>
    <x v="237"/>
    <x v="1"/>
    <x v="12"/>
    <x v="0"/>
    <x v="0"/>
    <x v="1"/>
    <x v="1"/>
    <x v="0"/>
    <x v="3"/>
    <x v="399"/>
  </r>
  <r>
    <x v="871"/>
    <x v="93"/>
    <x v="281"/>
    <x v="81"/>
    <x v="31"/>
    <x v="2"/>
    <x v="1"/>
    <x v="2"/>
    <x v="4"/>
    <x v="3"/>
    <x v="10"/>
    <x v="44"/>
    <x v="54"/>
    <x v="14"/>
    <x v="108"/>
    <x v="290"/>
    <x v="1"/>
    <x v="8"/>
    <x v="1"/>
    <x v="1"/>
    <x v="1"/>
    <x v="1"/>
    <x v="0"/>
    <x v="0"/>
    <x v="104"/>
  </r>
  <r>
    <x v="872"/>
    <x v="36"/>
    <x v="274"/>
    <x v="39"/>
    <x v="20"/>
    <x v="5"/>
    <x v="2"/>
    <x v="13"/>
    <x v="29"/>
    <x v="1"/>
    <x v="73"/>
    <x v="96"/>
    <x v="340"/>
    <x v="79"/>
    <x v="588"/>
    <x v="204"/>
    <x v="3"/>
    <x v="18"/>
    <x v="2"/>
    <x v="2"/>
    <x v="3"/>
    <x v="1"/>
    <x v="0"/>
    <x v="4"/>
    <x v="0"/>
  </r>
  <r>
    <x v="873"/>
    <x v="329"/>
    <x v="5"/>
    <x v="6"/>
    <x v="46"/>
    <x v="3"/>
    <x v="4"/>
    <x v="12"/>
    <x v="25"/>
    <x v="5"/>
    <x v="90"/>
    <x v="237"/>
    <x v="372"/>
    <x v="93"/>
    <x v="565"/>
    <x v="92"/>
    <x v="1"/>
    <x v="12"/>
    <x v="1"/>
    <x v="0"/>
    <x v="1"/>
    <x v="1"/>
    <x v="0"/>
    <x v="4"/>
    <x v="542"/>
  </r>
  <r>
    <x v="874"/>
    <x v="90"/>
    <x v="164"/>
    <x v="70"/>
    <x v="27"/>
    <x v="6"/>
    <x v="1"/>
    <x v="9"/>
    <x v="19"/>
    <x v="1"/>
    <x v="38"/>
    <x v="42"/>
    <x v="196"/>
    <x v="46"/>
    <x v="393"/>
    <x v="240"/>
    <x v="4"/>
    <x v="17"/>
    <x v="1"/>
    <x v="2"/>
    <x v="2"/>
    <x v="1"/>
    <x v="0"/>
    <x v="4"/>
    <x v="379"/>
  </r>
  <r>
    <x v="875"/>
    <x v="335"/>
    <x v="290"/>
    <x v="38"/>
    <x v="92"/>
    <x v="5"/>
    <x v="1"/>
    <x v="9"/>
    <x v="18"/>
    <x v="3"/>
    <x v="38"/>
    <x v="117"/>
    <x v="175"/>
    <x v="45"/>
    <x v="339"/>
    <x v="218"/>
    <x v="1"/>
    <x v="11"/>
    <x v="2"/>
    <x v="0"/>
    <x v="1"/>
    <x v="1"/>
    <x v="0"/>
    <x v="0"/>
    <x v="326"/>
  </r>
  <r>
    <x v="876"/>
    <x v="51"/>
    <x v="227"/>
    <x v="44"/>
    <x v="53"/>
    <x v="5"/>
    <x v="1"/>
    <x v="6"/>
    <x v="12"/>
    <x v="1"/>
    <x v="22"/>
    <x v="25"/>
    <x v="128"/>
    <x v="30"/>
    <x v="280"/>
    <x v="294"/>
    <x v="1"/>
    <x v="13"/>
    <x v="0"/>
    <x v="1"/>
    <x v="1"/>
    <x v="1"/>
    <x v="0"/>
    <x v="4"/>
    <x v="271"/>
  </r>
  <r>
    <x v="877"/>
    <x v="329"/>
    <x v="137"/>
    <x v="0"/>
    <x v="97"/>
    <x v="3"/>
    <x v="0"/>
    <x v="11"/>
    <x v="26"/>
    <x v="0"/>
    <x v="23"/>
    <x v="0"/>
    <x v="136"/>
    <x v="38"/>
    <x v="215"/>
    <x v="176"/>
    <x v="2"/>
    <x v="19"/>
    <x v="0"/>
    <x v="2"/>
    <x v="2"/>
    <x v="1"/>
    <x v="0"/>
    <x v="2"/>
    <x v="208"/>
  </r>
  <r>
    <x v="878"/>
    <x v="131"/>
    <x v="55"/>
    <x v="85"/>
    <x v="35"/>
    <x v="2"/>
    <x v="1"/>
    <x v="1"/>
    <x v="2"/>
    <x v="1"/>
    <x v="6"/>
    <x v="7"/>
    <x v="44"/>
    <x v="10"/>
    <x v="102"/>
    <x v="325"/>
    <x v="1"/>
    <x v="3"/>
    <x v="1"/>
    <x v="2"/>
    <x v="1"/>
    <x v="1"/>
    <x v="0"/>
    <x v="4"/>
    <x v="98"/>
  </r>
  <r>
    <x v="879"/>
    <x v="83"/>
    <x v="270"/>
    <x v="5"/>
    <x v="98"/>
    <x v="3"/>
    <x v="0"/>
    <x v="9"/>
    <x v="18"/>
    <x v="0"/>
    <x v="16"/>
    <x v="0"/>
    <x v="99"/>
    <x v="24"/>
    <x v="210"/>
    <x v="288"/>
    <x v="1"/>
    <x v="11"/>
    <x v="1"/>
    <x v="2"/>
    <x v="1"/>
    <x v="1"/>
    <x v="0"/>
    <x v="3"/>
    <x v="203"/>
  </r>
  <r>
    <x v="880"/>
    <x v="163"/>
    <x v="291"/>
    <x v="85"/>
    <x v="35"/>
    <x v="2"/>
    <x v="1"/>
    <x v="1"/>
    <x v="2"/>
    <x v="5"/>
    <x v="6"/>
    <x v="58"/>
    <x v="28"/>
    <x v="10"/>
    <x v="38"/>
    <x v="255"/>
    <x v="1"/>
    <x v="9"/>
    <x v="1"/>
    <x v="1"/>
    <x v="1"/>
    <x v="1"/>
    <x v="0"/>
    <x v="0"/>
    <x v="39"/>
  </r>
  <r>
    <x v="881"/>
    <x v="328"/>
    <x v="189"/>
    <x v="1"/>
    <x v="9"/>
    <x v="3"/>
    <x v="0"/>
    <x v="17"/>
    <x v="36"/>
    <x v="2"/>
    <x v="42"/>
    <x v="91"/>
    <x v="202"/>
    <x v="57"/>
    <x v="288"/>
    <x v="100"/>
    <x v="0"/>
    <x v="16"/>
    <x v="1"/>
    <x v="0"/>
    <x v="0"/>
    <x v="1"/>
    <x v="0"/>
    <x v="1"/>
    <x v="0"/>
  </r>
  <r>
    <x v="882"/>
    <x v="271"/>
    <x v="22"/>
    <x v="71"/>
    <x v="88"/>
    <x v="6"/>
    <x v="0"/>
    <x v="5"/>
    <x v="10"/>
    <x v="2"/>
    <x v="7"/>
    <x v="21"/>
    <x v="40"/>
    <x v="12"/>
    <x v="76"/>
    <x v="274"/>
    <x v="1"/>
    <x v="1"/>
    <x v="1"/>
    <x v="0"/>
    <x v="1"/>
    <x v="1"/>
    <x v="0"/>
    <x v="3"/>
    <x v="75"/>
  </r>
  <r>
    <x v="883"/>
    <x v="26"/>
    <x v="144"/>
    <x v="86"/>
    <x v="11"/>
    <x v="2"/>
    <x v="3"/>
    <x v="6"/>
    <x v="14"/>
    <x v="3"/>
    <x v="47"/>
    <x v="135"/>
    <x v="222"/>
    <x v="55"/>
    <x v="410"/>
    <x v="208"/>
    <x v="1"/>
    <x v="17"/>
    <x v="1"/>
    <x v="1"/>
    <x v="1"/>
    <x v="1"/>
    <x v="0"/>
    <x v="0"/>
    <x v="395"/>
  </r>
  <r>
    <x v="884"/>
    <x v="45"/>
    <x v="228"/>
    <x v="28"/>
    <x v="73"/>
    <x v="4"/>
    <x v="0"/>
    <x v="3"/>
    <x v="5"/>
    <x v="1"/>
    <x v="4"/>
    <x v="5"/>
    <x v="25"/>
    <x v="5"/>
    <x v="63"/>
    <x v="332"/>
    <x v="2"/>
    <x v="7"/>
    <x v="0"/>
    <x v="1"/>
    <x v="2"/>
    <x v="1"/>
    <x v="0"/>
    <x v="2"/>
    <x v="62"/>
  </r>
  <r>
    <x v="885"/>
    <x v="215"/>
    <x v="5"/>
    <x v="36"/>
    <x v="63"/>
    <x v="5"/>
    <x v="0"/>
    <x v="10"/>
    <x v="20"/>
    <x v="1"/>
    <x v="20"/>
    <x v="22"/>
    <x v="111"/>
    <x v="29"/>
    <x v="222"/>
    <x v="262"/>
    <x v="3"/>
    <x v="12"/>
    <x v="1"/>
    <x v="1"/>
    <x v="3"/>
    <x v="1"/>
    <x v="0"/>
    <x v="4"/>
    <x v="0"/>
  </r>
  <r>
    <x v="886"/>
    <x v="332"/>
    <x v="223"/>
    <x v="67"/>
    <x v="21"/>
    <x v="6"/>
    <x v="0"/>
    <x v="4"/>
    <x v="7"/>
    <x v="2"/>
    <x v="5"/>
    <x v="17"/>
    <x v="31"/>
    <x v="7"/>
    <x v="71"/>
    <x v="317"/>
    <x v="1"/>
    <x v="12"/>
    <x v="1"/>
    <x v="1"/>
    <x v="1"/>
    <x v="1"/>
    <x v="0"/>
    <x v="4"/>
    <x v="70"/>
  </r>
  <r>
    <x v="887"/>
    <x v="324"/>
    <x v="82"/>
    <x v="33"/>
    <x v="87"/>
    <x v="5"/>
    <x v="0"/>
    <x v="11"/>
    <x v="23"/>
    <x v="0"/>
    <x v="23"/>
    <x v="0"/>
    <x v="136"/>
    <x v="34"/>
    <x v="274"/>
    <x v="257"/>
    <x v="1"/>
    <x v="8"/>
    <x v="1"/>
    <x v="1"/>
    <x v="1"/>
    <x v="1"/>
    <x v="0"/>
    <x v="4"/>
    <x v="265"/>
  </r>
  <r>
    <x v="888"/>
    <x v="146"/>
    <x v="175"/>
    <x v="48"/>
    <x v="28"/>
    <x v="1"/>
    <x v="0"/>
    <x v="3"/>
    <x v="7"/>
    <x v="3"/>
    <x v="4"/>
    <x v="24"/>
    <x v="20"/>
    <x v="7"/>
    <x v="26"/>
    <x v="248"/>
    <x v="1"/>
    <x v="15"/>
    <x v="2"/>
    <x v="0"/>
    <x v="1"/>
    <x v="1"/>
    <x v="0"/>
    <x v="0"/>
    <x v="27"/>
  </r>
  <r>
    <x v="889"/>
    <x v="74"/>
    <x v="248"/>
    <x v="22"/>
    <x v="79"/>
    <x v="4"/>
    <x v="4"/>
    <x v="4"/>
    <x v="7"/>
    <x v="1"/>
    <x v="46"/>
    <x v="52"/>
    <x v="235"/>
    <x v="45"/>
    <x v="515"/>
    <x v="328"/>
    <x v="3"/>
    <x v="7"/>
    <x v="1"/>
    <x v="2"/>
    <x v="3"/>
    <x v="1"/>
    <x v="0"/>
    <x v="4"/>
    <x v="0"/>
  </r>
  <r>
    <x v="890"/>
    <x v="83"/>
    <x v="257"/>
    <x v="67"/>
    <x v="21"/>
    <x v="6"/>
    <x v="4"/>
    <x v="4"/>
    <x v="7"/>
    <x v="1"/>
    <x v="46"/>
    <x v="52"/>
    <x v="235"/>
    <x v="45"/>
    <x v="515"/>
    <x v="328"/>
    <x v="0"/>
    <x v="19"/>
    <x v="1"/>
    <x v="2"/>
    <x v="0"/>
    <x v="1"/>
    <x v="0"/>
    <x v="1"/>
    <x v="0"/>
  </r>
  <r>
    <x v="891"/>
    <x v="230"/>
    <x v="22"/>
    <x v="12"/>
    <x v="56"/>
    <x v="3"/>
    <x v="0"/>
    <x v="9"/>
    <x v="22"/>
    <x v="2"/>
    <x v="16"/>
    <x v="42"/>
    <x v="87"/>
    <x v="33"/>
    <x v="99"/>
    <x v="95"/>
    <x v="1"/>
    <x v="1"/>
    <x v="1"/>
    <x v="2"/>
    <x v="1"/>
    <x v="1"/>
    <x v="0"/>
    <x v="0"/>
    <x v="96"/>
  </r>
  <r>
    <x v="892"/>
    <x v="101"/>
    <x v="76"/>
    <x v="32"/>
    <x v="7"/>
    <x v="5"/>
    <x v="1"/>
    <x v="14"/>
    <x v="30"/>
    <x v="0"/>
    <x v="61"/>
    <x v="0"/>
    <x v="299"/>
    <x v="68"/>
    <x v="542"/>
    <x v="228"/>
    <x v="1"/>
    <x v="15"/>
    <x v="0"/>
    <x v="2"/>
    <x v="1"/>
    <x v="1"/>
    <x v="0"/>
    <x v="4"/>
    <x v="519"/>
  </r>
  <r>
    <x v="893"/>
    <x v="256"/>
    <x v="108"/>
    <x v="88"/>
    <x v="57"/>
    <x v="0"/>
    <x v="1"/>
    <x v="22"/>
    <x v="45"/>
    <x v="2"/>
    <x v="91"/>
    <x v="186"/>
    <x v="395"/>
    <x v="103"/>
    <x v="572"/>
    <x v="58"/>
    <x v="1"/>
    <x v="13"/>
    <x v="0"/>
    <x v="1"/>
    <x v="1"/>
    <x v="1"/>
    <x v="0"/>
    <x v="0"/>
    <x v="549"/>
  </r>
  <r>
    <x v="894"/>
    <x v="351"/>
    <x v="161"/>
    <x v="90"/>
    <x v="69"/>
    <x v="0"/>
    <x v="0"/>
    <x v="20"/>
    <x v="41"/>
    <x v="3"/>
    <x v="54"/>
    <x v="146"/>
    <x v="238"/>
    <x v="68"/>
    <x v="289"/>
    <x v="49"/>
    <x v="1"/>
    <x v="8"/>
    <x v="1"/>
    <x v="0"/>
    <x v="1"/>
    <x v="1"/>
    <x v="0"/>
    <x v="0"/>
    <x v="280"/>
  </r>
  <r>
    <x v="895"/>
    <x v="343"/>
    <x v="260"/>
    <x v="41"/>
    <x v="6"/>
    <x v="5"/>
    <x v="3"/>
    <x v="10"/>
    <x v="21"/>
    <x v="5"/>
    <x v="71"/>
    <x v="213"/>
    <x v="297"/>
    <x v="73"/>
    <x v="484"/>
    <x v="126"/>
    <x v="1"/>
    <x v="1"/>
    <x v="2"/>
    <x v="0"/>
    <x v="1"/>
    <x v="1"/>
    <x v="0"/>
    <x v="3"/>
    <x v="465"/>
  </r>
  <r>
    <x v="896"/>
    <x v="87"/>
    <x v="126"/>
    <x v="99"/>
    <x v="16"/>
    <x v="0"/>
    <x v="2"/>
    <x v="22"/>
    <x v="46"/>
    <x v="2"/>
    <x v="102"/>
    <x v="211"/>
    <x v="426"/>
    <x v="115"/>
    <x v="638"/>
    <x v="46"/>
    <x v="1"/>
    <x v="10"/>
    <x v="1"/>
    <x v="0"/>
    <x v="1"/>
    <x v="2"/>
    <x v="0"/>
    <x v="4"/>
    <x v="608"/>
  </r>
  <r>
    <x v="897"/>
    <x v="84"/>
    <x v="253"/>
    <x v="4"/>
    <x v="66"/>
    <x v="3"/>
    <x v="2"/>
    <x v="14"/>
    <x v="31"/>
    <x v="2"/>
    <x v="77"/>
    <x v="160"/>
    <x v="346"/>
    <x v="86"/>
    <x v="557"/>
    <x v="125"/>
    <x v="2"/>
    <x v="3"/>
    <x v="2"/>
    <x v="0"/>
    <x v="2"/>
    <x v="1"/>
    <x v="0"/>
    <x v="2"/>
    <x v="534"/>
  </r>
  <r>
    <x v="898"/>
    <x v="67"/>
    <x v="296"/>
    <x v="43"/>
    <x v="25"/>
    <x v="5"/>
    <x v="1"/>
    <x v="3"/>
    <x v="5"/>
    <x v="3"/>
    <x v="13"/>
    <x v="53"/>
    <x v="69"/>
    <x v="17"/>
    <x v="152"/>
    <x v="312"/>
    <x v="4"/>
    <x v="5"/>
    <x v="1"/>
    <x v="2"/>
    <x v="2"/>
    <x v="1"/>
    <x v="0"/>
    <x v="3"/>
    <x v="146"/>
  </r>
  <r>
    <x v="899"/>
    <x v="316"/>
    <x v="177"/>
    <x v="43"/>
    <x v="25"/>
    <x v="5"/>
    <x v="0"/>
    <x v="3"/>
    <x v="5"/>
    <x v="1"/>
    <x v="4"/>
    <x v="5"/>
    <x v="25"/>
    <x v="5"/>
    <x v="63"/>
    <x v="332"/>
    <x v="4"/>
    <x v="19"/>
    <x v="0"/>
    <x v="1"/>
    <x v="2"/>
    <x v="1"/>
    <x v="0"/>
    <x v="3"/>
    <x v="62"/>
  </r>
  <r>
    <x v="900"/>
    <x v="217"/>
    <x v="22"/>
    <x v="49"/>
    <x v="38"/>
    <x v="1"/>
    <x v="2"/>
    <x v="6"/>
    <x v="13"/>
    <x v="0"/>
    <x v="36"/>
    <x v="0"/>
    <x v="199"/>
    <x v="44"/>
    <x v="428"/>
    <x v="291"/>
    <x v="3"/>
    <x v="1"/>
    <x v="1"/>
    <x v="2"/>
    <x v="3"/>
    <x v="1"/>
    <x v="0"/>
    <x v="3"/>
    <x v="0"/>
  </r>
  <r>
    <x v="901"/>
    <x v="69"/>
    <x v="262"/>
    <x v="53"/>
    <x v="29"/>
    <x v="1"/>
    <x v="2"/>
    <x v="3"/>
    <x v="6"/>
    <x v="0"/>
    <x v="21"/>
    <x v="0"/>
    <x v="133"/>
    <x v="27"/>
    <x v="326"/>
    <x v="326"/>
    <x v="1"/>
    <x v="4"/>
    <x v="2"/>
    <x v="1"/>
    <x v="1"/>
    <x v="1"/>
    <x v="0"/>
    <x v="4"/>
    <x v="314"/>
  </r>
  <r>
    <x v="902"/>
    <x v="180"/>
    <x v="252"/>
    <x v="40"/>
    <x v="32"/>
    <x v="5"/>
    <x v="1"/>
    <x v="7"/>
    <x v="15"/>
    <x v="0"/>
    <x v="26"/>
    <x v="0"/>
    <x v="150"/>
    <x v="35"/>
    <x v="323"/>
    <x v="279"/>
    <x v="1"/>
    <x v="2"/>
    <x v="1"/>
    <x v="0"/>
    <x v="1"/>
    <x v="1"/>
    <x v="0"/>
    <x v="3"/>
    <x v="311"/>
  </r>
  <r>
    <x v="903"/>
    <x v="29"/>
    <x v="294"/>
    <x v="16"/>
    <x v="22"/>
    <x v="4"/>
    <x v="0"/>
    <x v="15"/>
    <x v="31"/>
    <x v="4"/>
    <x v="35"/>
    <x v="134"/>
    <x v="155"/>
    <x v="47"/>
    <x v="208"/>
    <x v="108"/>
    <x v="1"/>
    <x v="18"/>
    <x v="0"/>
    <x v="1"/>
    <x v="1"/>
    <x v="1"/>
    <x v="0"/>
    <x v="4"/>
    <x v="201"/>
  </r>
  <r>
    <x v="904"/>
    <x v="332"/>
    <x v="133"/>
    <x v="79"/>
    <x v="12"/>
    <x v="2"/>
    <x v="1"/>
    <x v="8"/>
    <x v="18"/>
    <x v="0"/>
    <x v="32"/>
    <x v="0"/>
    <x v="179"/>
    <x v="45"/>
    <x v="345"/>
    <x v="223"/>
    <x v="1"/>
    <x v="3"/>
    <x v="0"/>
    <x v="1"/>
    <x v="1"/>
    <x v="1"/>
    <x v="0"/>
    <x v="0"/>
    <x v="332"/>
  </r>
  <r>
    <x v="905"/>
    <x v="26"/>
    <x v="7"/>
    <x v="2"/>
    <x v="77"/>
    <x v="3"/>
    <x v="0"/>
    <x v="22"/>
    <x v="44"/>
    <x v="0"/>
    <x v="63"/>
    <x v="0"/>
    <x v="304"/>
    <x v="74"/>
    <x v="513"/>
    <x v="150"/>
    <x v="1"/>
    <x v="10"/>
    <x v="0"/>
    <x v="1"/>
    <x v="1"/>
    <x v="1"/>
    <x v="0"/>
    <x v="3"/>
    <x v="491"/>
  </r>
  <r>
    <x v="906"/>
    <x v="225"/>
    <x v="83"/>
    <x v="63"/>
    <x v="33"/>
    <x v="6"/>
    <x v="3"/>
    <x v="9"/>
    <x v="18"/>
    <x v="1"/>
    <x v="66"/>
    <x v="83"/>
    <x v="313"/>
    <x v="68"/>
    <x v="582"/>
    <x v="268"/>
    <x v="1"/>
    <x v="4"/>
    <x v="2"/>
    <x v="1"/>
    <x v="1"/>
    <x v="1"/>
    <x v="0"/>
    <x v="4"/>
    <x v="558"/>
  </r>
  <r>
    <x v="907"/>
    <x v="32"/>
    <x v="187"/>
    <x v="81"/>
    <x v="31"/>
    <x v="2"/>
    <x v="0"/>
    <x v="2"/>
    <x v="4"/>
    <x v="1"/>
    <x v="2"/>
    <x v="3"/>
    <x v="16"/>
    <x v="4"/>
    <x v="31"/>
    <x v="318"/>
    <x v="3"/>
    <x v="13"/>
    <x v="1"/>
    <x v="1"/>
    <x v="3"/>
    <x v="1"/>
    <x v="0"/>
    <x v="4"/>
    <x v="0"/>
  </r>
  <r>
    <x v="908"/>
    <x v="76"/>
    <x v="280"/>
    <x v="95"/>
    <x v="0"/>
    <x v="0"/>
    <x v="0"/>
    <x v="24"/>
    <x v="48"/>
    <x v="4"/>
    <x v="83"/>
    <x v="217"/>
    <x v="345"/>
    <x v="97"/>
    <x v="290"/>
    <x v="5"/>
    <x v="2"/>
    <x v="1"/>
    <x v="1"/>
    <x v="2"/>
    <x v="2"/>
    <x v="1"/>
    <x v="0"/>
    <x v="2"/>
    <x v="281"/>
  </r>
  <r>
    <x v="909"/>
    <x v="57"/>
    <x v="194"/>
    <x v="85"/>
    <x v="35"/>
    <x v="2"/>
    <x v="3"/>
    <x v="1"/>
    <x v="2"/>
    <x v="0"/>
    <x v="18"/>
    <x v="0"/>
    <x v="115"/>
    <x v="23"/>
    <x v="296"/>
    <x v="333"/>
    <x v="1"/>
    <x v="18"/>
    <x v="1"/>
    <x v="1"/>
    <x v="1"/>
    <x v="1"/>
    <x v="0"/>
    <x v="4"/>
    <x v="286"/>
  </r>
  <r>
    <x v="910"/>
    <x v="242"/>
    <x v="144"/>
    <x v="14"/>
    <x v="65"/>
    <x v="3"/>
    <x v="0"/>
    <x v="24"/>
    <x v="49"/>
    <x v="2"/>
    <x v="83"/>
    <x v="170"/>
    <x v="369"/>
    <x v="99"/>
    <x v="444"/>
    <x v="17"/>
    <x v="1"/>
    <x v="17"/>
    <x v="1"/>
    <x v="1"/>
    <x v="1"/>
    <x v="1"/>
    <x v="0"/>
    <x v="4"/>
    <x v="429"/>
  </r>
  <r>
    <x v="911"/>
    <x v="34"/>
    <x v="96"/>
    <x v="86"/>
    <x v="11"/>
    <x v="2"/>
    <x v="0"/>
    <x v="6"/>
    <x v="14"/>
    <x v="5"/>
    <x v="9"/>
    <x v="68"/>
    <x v="35"/>
    <x v="17"/>
    <x v="27"/>
    <x v="134"/>
    <x v="1"/>
    <x v="15"/>
    <x v="1"/>
    <x v="1"/>
    <x v="1"/>
    <x v="1"/>
    <x v="0"/>
    <x v="3"/>
    <x v="28"/>
  </r>
  <r>
    <x v="912"/>
    <x v="312"/>
    <x v="39"/>
    <x v="63"/>
    <x v="33"/>
    <x v="6"/>
    <x v="0"/>
    <x v="9"/>
    <x v="18"/>
    <x v="2"/>
    <x v="16"/>
    <x v="42"/>
    <x v="87"/>
    <x v="24"/>
    <x v="167"/>
    <x v="243"/>
    <x v="1"/>
    <x v="19"/>
    <x v="1"/>
    <x v="1"/>
    <x v="1"/>
    <x v="1"/>
    <x v="0"/>
    <x v="3"/>
    <x v="161"/>
  </r>
  <r>
    <x v="913"/>
    <x v="61"/>
    <x v="269"/>
    <x v="90"/>
    <x v="69"/>
    <x v="0"/>
    <x v="2"/>
    <x v="20"/>
    <x v="41"/>
    <x v="5"/>
    <x v="97"/>
    <x v="241"/>
    <x v="394"/>
    <x v="109"/>
    <x v="468"/>
    <x v="10"/>
    <x v="1"/>
    <x v="16"/>
    <x v="0"/>
    <x v="2"/>
    <x v="1"/>
    <x v="1"/>
    <x v="0"/>
    <x v="4"/>
    <x v="449"/>
  </r>
  <r>
    <x v="914"/>
    <x v="40"/>
    <x v="198"/>
    <x v="92"/>
    <x v="45"/>
    <x v="0"/>
    <x v="0"/>
    <x v="21"/>
    <x v="44"/>
    <x v="0"/>
    <x v="58"/>
    <x v="0"/>
    <x v="292"/>
    <x v="74"/>
    <x v="454"/>
    <x v="99"/>
    <x v="4"/>
    <x v="6"/>
    <x v="2"/>
    <x v="0"/>
    <x v="2"/>
    <x v="1"/>
    <x v="0"/>
    <x v="0"/>
    <x v="439"/>
  </r>
  <r>
    <x v="915"/>
    <x v="161"/>
    <x v="232"/>
    <x v="90"/>
    <x v="69"/>
    <x v="0"/>
    <x v="0"/>
    <x v="20"/>
    <x v="41"/>
    <x v="1"/>
    <x v="54"/>
    <x v="63"/>
    <x v="260"/>
    <x v="68"/>
    <x v="399"/>
    <x v="98"/>
    <x v="2"/>
    <x v="2"/>
    <x v="0"/>
    <x v="2"/>
    <x v="2"/>
    <x v="1"/>
    <x v="0"/>
    <x v="2"/>
    <x v="385"/>
  </r>
  <r>
    <x v="916"/>
    <x v="306"/>
    <x v="252"/>
    <x v="39"/>
    <x v="20"/>
    <x v="5"/>
    <x v="1"/>
    <x v="13"/>
    <x v="29"/>
    <x v="3"/>
    <x v="56"/>
    <x v="152"/>
    <x v="255"/>
    <x v="67"/>
    <x v="425"/>
    <x v="140"/>
    <x v="1"/>
    <x v="2"/>
    <x v="1"/>
    <x v="1"/>
    <x v="1"/>
    <x v="1"/>
    <x v="0"/>
    <x v="0"/>
    <x v="410"/>
  </r>
  <r>
    <x v="917"/>
    <x v="298"/>
    <x v="24"/>
    <x v="63"/>
    <x v="33"/>
    <x v="6"/>
    <x v="0"/>
    <x v="9"/>
    <x v="18"/>
    <x v="2"/>
    <x v="16"/>
    <x v="42"/>
    <x v="87"/>
    <x v="24"/>
    <x v="167"/>
    <x v="243"/>
    <x v="2"/>
    <x v="4"/>
    <x v="1"/>
    <x v="0"/>
    <x v="2"/>
    <x v="1"/>
    <x v="0"/>
    <x v="2"/>
    <x v="161"/>
  </r>
  <r>
    <x v="918"/>
    <x v="245"/>
    <x v="216"/>
    <x v="67"/>
    <x v="21"/>
    <x v="6"/>
    <x v="0"/>
    <x v="4"/>
    <x v="7"/>
    <x v="1"/>
    <x v="5"/>
    <x v="6"/>
    <x v="34"/>
    <x v="7"/>
    <x v="88"/>
    <x v="328"/>
    <x v="3"/>
    <x v="5"/>
    <x v="0"/>
    <x v="1"/>
    <x v="3"/>
    <x v="1"/>
    <x v="0"/>
    <x v="0"/>
    <x v="0"/>
  </r>
  <r>
    <x v="919"/>
    <x v="7"/>
    <x v="56"/>
    <x v="95"/>
    <x v="0"/>
    <x v="0"/>
    <x v="0"/>
    <x v="24"/>
    <x v="48"/>
    <x v="0"/>
    <x v="83"/>
    <x v="0"/>
    <x v="384"/>
    <x v="97"/>
    <x v="560"/>
    <x v="67"/>
    <x v="1"/>
    <x v="18"/>
    <x v="1"/>
    <x v="0"/>
    <x v="1"/>
    <x v="1"/>
    <x v="0"/>
    <x v="3"/>
    <x v="537"/>
  </r>
  <r>
    <x v="920"/>
    <x v="272"/>
    <x v="171"/>
    <x v="27"/>
    <x v="78"/>
    <x v="4"/>
    <x v="1"/>
    <x v="19"/>
    <x v="38"/>
    <x v="0"/>
    <x v="78"/>
    <x v="0"/>
    <x v="367"/>
    <x v="84"/>
    <x v="615"/>
    <x v="200"/>
    <x v="1"/>
    <x v="9"/>
    <x v="2"/>
    <x v="1"/>
    <x v="1"/>
    <x v="1"/>
    <x v="0"/>
    <x v="3"/>
    <x v="586"/>
  </r>
  <r>
    <x v="921"/>
    <x v="39"/>
    <x v="238"/>
    <x v="43"/>
    <x v="25"/>
    <x v="5"/>
    <x v="0"/>
    <x v="3"/>
    <x v="5"/>
    <x v="1"/>
    <x v="4"/>
    <x v="5"/>
    <x v="25"/>
    <x v="5"/>
    <x v="63"/>
    <x v="332"/>
    <x v="1"/>
    <x v="6"/>
    <x v="1"/>
    <x v="0"/>
    <x v="1"/>
    <x v="1"/>
    <x v="0"/>
    <x v="4"/>
    <x v="62"/>
  </r>
  <r>
    <x v="922"/>
    <x v="173"/>
    <x v="42"/>
    <x v="0"/>
    <x v="97"/>
    <x v="3"/>
    <x v="1"/>
    <x v="11"/>
    <x v="26"/>
    <x v="5"/>
    <x v="49"/>
    <x v="174"/>
    <x v="201"/>
    <x v="62"/>
    <x v="180"/>
    <x v="32"/>
    <x v="1"/>
    <x v="1"/>
    <x v="0"/>
    <x v="2"/>
    <x v="1"/>
    <x v="1"/>
    <x v="0"/>
    <x v="4"/>
    <x v="174"/>
  </r>
  <r>
    <x v="923"/>
    <x v="233"/>
    <x v="109"/>
    <x v="46"/>
    <x v="85"/>
    <x v="1"/>
    <x v="2"/>
    <x v="5"/>
    <x v="11"/>
    <x v="1"/>
    <x v="31"/>
    <x v="34"/>
    <x v="170"/>
    <x v="40"/>
    <x v="360"/>
    <x v="272"/>
    <x v="1"/>
    <x v="7"/>
    <x v="1"/>
    <x v="1"/>
    <x v="1"/>
    <x v="1"/>
    <x v="0"/>
    <x v="0"/>
    <x v="346"/>
  </r>
  <r>
    <x v="924"/>
    <x v="138"/>
    <x v="18"/>
    <x v="79"/>
    <x v="12"/>
    <x v="2"/>
    <x v="0"/>
    <x v="8"/>
    <x v="18"/>
    <x v="2"/>
    <x v="14"/>
    <x v="35"/>
    <x v="73"/>
    <x v="24"/>
    <x v="105"/>
    <x v="169"/>
    <x v="1"/>
    <x v="5"/>
    <x v="0"/>
    <x v="1"/>
    <x v="1"/>
    <x v="1"/>
    <x v="0"/>
    <x v="4"/>
    <x v="101"/>
  </r>
  <r>
    <x v="925"/>
    <x v="259"/>
    <x v="289"/>
    <x v="27"/>
    <x v="78"/>
    <x v="4"/>
    <x v="1"/>
    <x v="19"/>
    <x v="38"/>
    <x v="0"/>
    <x v="78"/>
    <x v="0"/>
    <x v="367"/>
    <x v="84"/>
    <x v="615"/>
    <x v="200"/>
    <x v="1"/>
    <x v="16"/>
    <x v="0"/>
    <x v="1"/>
    <x v="1"/>
    <x v="1"/>
    <x v="0"/>
    <x v="3"/>
    <x v="586"/>
  </r>
  <r>
    <x v="926"/>
    <x v="65"/>
    <x v="252"/>
    <x v="10"/>
    <x v="42"/>
    <x v="3"/>
    <x v="0"/>
    <x v="18"/>
    <x v="37"/>
    <x v="4"/>
    <x v="45"/>
    <x v="150"/>
    <x v="193"/>
    <x v="59"/>
    <x v="203"/>
    <x v="51"/>
    <x v="1"/>
    <x v="2"/>
    <x v="1"/>
    <x v="0"/>
    <x v="1"/>
    <x v="1"/>
    <x v="0"/>
    <x v="4"/>
    <x v="196"/>
  </r>
  <r>
    <x v="927"/>
    <x v="305"/>
    <x v="157"/>
    <x v="38"/>
    <x v="92"/>
    <x v="5"/>
    <x v="0"/>
    <x v="9"/>
    <x v="18"/>
    <x v="1"/>
    <x v="16"/>
    <x v="18"/>
    <x v="92"/>
    <x v="24"/>
    <x v="190"/>
    <x v="268"/>
    <x v="4"/>
    <x v="19"/>
    <x v="0"/>
    <x v="0"/>
    <x v="2"/>
    <x v="1"/>
    <x v="0"/>
    <x v="4"/>
    <x v="184"/>
  </r>
  <r>
    <x v="928"/>
    <x v="321"/>
    <x v="172"/>
    <x v="34"/>
    <x v="59"/>
    <x v="5"/>
    <x v="2"/>
    <x v="12"/>
    <x v="28"/>
    <x v="2"/>
    <x v="69"/>
    <x v="143"/>
    <x v="316"/>
    <x v="77"/>
    <x v="529"/>
    <x v="154"/>
    <x v="1"/>
    <x v="2"/>
    <x v="1"/>
    <x v="1"/>
    <x v="1"/>
    <x v="1"/>
    <x v="0"/>
    <x v="3"/>
    <x v="506"/>
  </r>
  <r>
    <x v="929"/>
    <x v="337"/>
    <x v="209"/>
    <x v="75"/>
    <x v="23"/>
    <x v="2"/>
    <x v="0"/>
    <x v="5"/>
    <x v="11"/>
    <x v="3"/>
    <x v="7"/>
    <x v="34"/>
    <x v="37"/>
    <x v="13"/>
    <x v="49"/>
    <x v="220"/>
    <x v="1"/>
    <x v="16"/>
    <x v="1"/>
    <x v="2"/>
    <x v="1"/>
    <x v="1"/>
    <x v="0"/>
    <x v="4"/>
    <x v="49"/>
  </r>
  <r>
    <x v="930"/>
    <x v="303"/>
    <x v="95"/>
    <x v="80"/>
    <x v="82"/>
    <x v="2"/>
    <x v="0"/>
    <x v="0"/>
    <x v="0"/>
    <x v="0"/>
    <x v="0"/>
    <x v="0"/>
    <x v="4"/>
    <x v="0"/>
    <x v="8"/>
    <x v="342"/>
    <x v="3"/>
    <x v="18"/>
    <x v="1"/>
    <x v="2"/>
    <x v="3"/>
    <x v="1"/>
    <x v="0"/>
    <x v="3"/>
    <x v="0"/>
  </r>
  <r>
    <x v="931"/>
    <x v="302"/>
    <x v="115"/>
    <x v="63"/>
    <x v="33"/>
    <x v="6"/>
    <x v="0"/>
    <x v="9"/>
    <x v="18"/>
    <x v="4"/>
    <x v="16"/>
    <x v="83"/>
    <x v="75"/>
    <x v="24"/>
    <x v="124"/>
    <x v="190"/>
    <x v="1"/>
    <x v="18"/>
    <x v="1"/>
    <x v="1"/>
    <x v="1"/>
    <x v="1"/>
    <x v="0"/>
    <x v="4"/>
    <x v="120"/>
  </r>
  <r>
    <x v="932"/>
    <x v="163"/>
    <x v="170"/>
    <x v="0"/>
    <x v="97"/>
    <x v="3"/>
    <x v="0"/>
    <x v="11"/>
    <x v="26"/>
    <x v="1"/>
    <x v="23"/>
    <x v="26"/>
    <x v="129"/>
    <x v="38"/>
    <x v="183"/>
    <x v="145"/>
    <x v="1"/>
    <x v="11"/>
    <x v="0"/>
    <x v="0"/>
    <x v="1"/>
    <x v="1"/>
    <x v="0"/>
    <x v="4"/>
    <x v="177"/>
  </r>
  <r>
    <x v="933"/>
    <x v="45"/>
    <x v="69"/>
    <x v="16"/>
    <x v="22"/>
    <x v="4"/>
    <x v="2"/>
    <x v="15"/>
    <x v="31"/>
    <x v="1"/>
    <x v="79"/>
    <x v="106"/>
    <x v="371"/>
    <x v="86"/>
    <x v="620"/>
    <x v="206"/>
    <x v="1"/>
    <x v="13"/>
    <x v="1"/>
    <x v="1"/>
    <x v="1"/>
    <x v="1"/>
    <x v="0"/>
    <x v="4"/>
    <x v="591"/>
  </r>
  <r>
    <x v="934"/>
    <x v="265"/>
    <x v="201"/>
    <x v="68"/>
    <x v="80"/>
    <x v="6"/>
    <x v="2"/>
    <x v="12"/>
    <x v="27"/>
    <x v="2"/>
    <x v="69"/>
    <x v="143"/>
    <x v="316"/>
    <x v="75"/>
    <x v="539"/>
    <x v="171"/>
    <x v="1"/>
    <x v="8"/>
    <x v="1"/>
    <x v="1"/>
    <x v="1"/>
    <x v="1"/>
    <x v="0"/>
    <x v="4"/>
    <x v="516"/>
  </r>
  <r>
    <x v="935"/>
    <x v="179"/>
    <x v="10"/>
    <x v="27"/>
    <x v="78"/>
    <x v="4"/>
    <x v="0"/>
    <x v="19"/>
    <x v="38"/>
    <x v="0"/>
    <x v="50"/>
    <x v="0"/>
    <x v="252"/>
    <x v="60"/>
    <x v="454"/>
    <x v="200"/>
    <x v="1"/>
    <x v="7"/>
    <x v="0"/>
    <x v="1"/>
    <x v="1"/>
    <x v="1"/>
    <x v="0"/>
    <x v="3"/>
    <x v="439"/>
  </r>
  <r>
    <x v="936"/>
    <x v="142"/>
    <x v="87"/>
    <x v="5"/>
    <x v="98"/>
    <x v="3"/>
    <x v="1"/>
    <x v="9"/>
    <x v="18"/>
    <x v="2"/>
    <x v="38"/>
    <x v="83"/>
    <x v="186"/>
    <x v="45"/>
    <x v="376"/>
    <x v="243"/>
    <x v="3"/>
    <x v="0"/>
    <x v="0"/>
    <x v="1"/>
    <x v="3"/>
    <x v="1"/>
    <x v="0"/>
    <x v="3"/>
    <x v="0"/>
  </r>
  <r>
    <x v="937"/>
    <x v="328"/>
    <x v="234"/>
    <x v="97"/>
    <x v="81"/>
    <x v="0"/>
    <x v="1"/>
    <x v="12"/>
    <x v="29"/>
    <x v="3"/>
    <x v="53"/>
    <x v="143"/>
    <x v="237"/>
    <x v="67"/>
    <x v="347"/>
    <x v="87"/>
    <x v="4"/>
    <x v="18"/>
    <x v="1"/>
    <x v="1"/>
    <x v="2"/>
    <x v="1"/>
    <x v="0"/>
    <x v="0"/>
    <x v="334"/>
  </r>
  <r>
    <x v="938"/>
    <x v="263"/>
    <x v="30"/>
    <x v="40"/>
    <x v="32"/>
    <x v="5"/>
    <x v="1"/>
    <x v="7"/>
    <x v="15"/>
    <x v="1"/>
    <x v="26"/>
    <x v="29"/>
    <x v="142"/>
    <x v="35"/>
    <x v="294"/>
    <x v="260"/>
    <x v="1"/>
    <x v="7"/>
    <x v="1"/>
    <x v="0"/>
    <x v="1"/>
    <x v="1"/>
    <x v="0"/>
    <x v="0"/>
    <x v="284"/>
  </r>
  <r>
    <x v="939"/>
    <x v="36"/>
    <x v="132"/>
    <x v="4"/>
    <x v="66"/>
    <x v="3"/>
    <x v="0"/>
    <x v="14"/>
    <x v="31"/>
    <x v="1"/>
    <x v="33"/>
    <x v="36"/>
    <x v="172"/>
    <x v="47"/>
    <x v="278"/>
    <x v="158"/>
    <x v="1"/>
    <x v="2"/>
    <x v="0"/>
    <x v="2"/>
    <x v="1"/>
    <x v="1"/>
    <x v="0"/>
    <x v="0"/>
    <x v="269"/>
  </r>
  <r>
    <x v="940"/>
    <x v="124"/>
    <x v="53"/>
    <x v="12"/>
    <x v="56"/>
    <x v="3"/>
    <x v="1"/>
    <x v="9"/>
    <x v="22"/>
    <x v="0"/>
    <x v="38"/>
    <x v="0"/>
    <x v="208"/>
    <x v="55"/>
    <x v="345"/>
    <x v="156"/>
    <x v="1"/>
    <x v="9"/>
    <x v="0"/>
    <x v="0"/>
    <x v="1"/>
    <x v="1"/>
    <x v="0"/>
    <x v="0"/>
    <x v="332"/>
  </r>
  <r>
    <x v="941"/>
    <x v="101"/>
    <x v="206"/>
    <x v="11"/>
    <x v="15"/>
    <x v="3"/>
    <x v="2"/>
    <x v="8"/>
    <x v="17"/>
    <x v="1"/>
    <x v="48"/>
    <x v="55"/>
    <x v="240"/>
    <x v="54"/>
    <x v="479"/>
    <x v="265"/>
    <x v="0"/>
    <x v="0"/>
    <x v="1"/>
    <x v="1"/>
    <x v="0"/>
    <x v="1"/>
    <x v="0"/>
    <x v="1"/>
    <x v="0"/>
  </r>
  <r>
    <x v="942"/>
    <x v="197"/>
    <x v="16"/>
    <x v="57"/>
    <x v="58"/>
    <x v="1"/>
    <x v="0"/>
    <x v="5"/>
    <x v="11"/>
    <x v="0"/>
    <x v="7"/>
    <x v="0"/>
    <x v="50"/>
    <x v="13"/>
    <x v="97"/>
    <x v="289"/>
    <x v="4"/>
    <x v="18"/>
    <x v="1"/>
    <x v="1"/>
    <x v="2"/>
    <x v="1"/>
    <x v="0"/>
    <x v="4"/>
    <x v="95"/>
  </r>
  <r>
    <x v="943"/>
    <x v="146"/>
    <x v="161"/>
    <x v="8"/>
    <x v="50"/>
    <x v="3"/>
    <x v="2"/>
    <x v="10"/>
    <x v="20"/>
    <x v="1"/>
    <x v="60"/>
    <x v="73"/>
    <x v="290"/>
    <x v="65"/>
    <x v="546"/>
    <x v="262"/>
    <x v="1"/>
    <x v="8"/>
    <x v="1"/>
    <x v="1"/>
    <x v="1"/>
    <x v="1"/>
    <x v="0"/>
    <x v="0"/>
    <x v="523"/>
  </r>
  <r>
    <x v="944"/>
    <x v="26"/>
    <x v="268"/>
    <x v="90"/>
    <x v="69"/>
    <x v="0"/>
    <x v="2"/>
    <x v="20"/>
    <x v="41"/>
    <x v="1"/>
    <x v="97"/>
    <x v="146"/>
    <x v="414"/>
    <x v="109"/>
    <x v="650"/>
    <x v="98"/>
    <x v="2"/>
    <x v="7"/>
    <x v="0"/>
    <x v="1"/>
    <x v="2"/>
    <x v="2"/>
    <x v="0"/>
    <x v="2"/>
    <x v="617"/>
  </r>
  <r>
    <x v="945"/>
    <x v="178"/>
    <x v="181"/>
    <x v="39"/>
    <x v="20"/>
    <x v="5"/>
    <x v="1"/>
    <x v="13"/>
    <x v="29"/>
    <x v="3"/>
    <x v="56"/>
    <x v="152"/>
    <x v="255"/>
    <x v="67"/>
    <x v="425"/>
    <x v="140"/>
    <x v="1"/>
    <x v="8"/>
    <x v="1"/>
    <x v="2"/>
    <x v="1"/>
    <x v="1"/>
    <x v="0"/>
    <x v="4"/>
    <x v="410"/>
  </r>
  <r>
    <x v="946"/>
    <x v="90"/>
    <x v="140"/>
    <x v="67"/>
    <x v="21"/>
    <x v="6"/>
    <x v="1"/>
    <x v="4"/>
    <x v="7"/>
    <x v="3"/>
    <x v="15"/>
    <x v="64"/>
    <x v="79"/>
    <x v="19"/>
    <x v="181"/>
    <x v="304"/>
    <x v="2"/>
    <x v="1"/>
    <x v="1"/>
    <x v="1"/>
    <x v="2"/>
    <x v="1"/>
    <x v="0"/>
    <x v="2"/>
    <x v="175"/>
  </r>
  <r>
    <x v="947"/>
    <x v="74"/>
    <x v="212"/>
    <x v="30"/>
    <x v="83"/>
    <x v="5"/>
    <x v="0"/>
    <x v="9"/>
    <x v="18"/>
    <x v="1"/>
    <x v="16"/>
    <x v="18"/>
    <x v="92"/>
    <x v="24"/>
    <x v="190"/>
    <x v="268"/>
    <x v="1"/>
    <x v="2"/>
    <x v="1"/>
    <x v="2"/>
    <x v="1"/>
    <x v="1"/>
    <x v="0"/>
    <x v="4"/>
    <x v="184"/>
  </r>
  <r>
    <x v="948"/>
    <x v="48"/>
    <x v="164"/>
    <x v="71"/>
    <x v="88"/>
    <x v="6"/>
    <x v="0"/>
    <x v="5"/>
    <x v="10"/>
    <x v="2"/>
    <x v="7"/>
    <x v="21"/>
    <x v="40"/>
    <x v="12"/>
    <x v="76"/>
    <x v="274"/>
    <x v="1"/>
    <x v="17"/>
    <x v="1"/>
    <x v="2"/>
    <x v="1"/>
    <x v="1"/>
    <x v="0"/>
    <x v="4"/>
    <x v="75"/>
  </r>
  <r>
    <x v="949"/>
    <x v="138"/>
    <x v="77"/>
    <x v="23"/>
    <x v="49"/>
    <x v="4"/>
    <x v="0"/>
    <x v="12"/>
    <x v="24"/>
    <x v="1"/>
    <x v="27"/>
    <x v="30"/>
    <x v="143"/>
    <x v="36"/>
    <x v="287"/>
    <x v="246"/>
    <x v="0"/>
    <x v="5"/>
    <x v="1"/>
    <x v="1"/>
    <x v="0"/>
    <x v="1"/>
    <x v="0"/>
    <x v="1"/>
    <x v="0"/>
  </r>
  <r>
    <x v="950"/>
    <x v="151"/>
    <x v="75"/>
    <x v="68"/>
    <x v="80"/>
    <x v="6"/>
    <x v="2"/>
    <x v="12"/>
    <x v="27"/>
    <x v="4"/>
    <x v="69"/>
    <x v="197"/>
    <x v="298"/>
    <x v="75"/>
    <x v="467"/>
    <x v="105"/>
    <x v="1"/>
    <x v="3"/>
    <x v="1"/>
    <x v="1"/>
    <x v="1"/>
    <x v="1"/>
    <x v="0"/>
    <x v="4"/>
    <x v="448"/>
  </r>
  <r>
    <x v="951"/>
    <x v="155"/>
    <x v="23"/>
    <x v="7"/>
    <x v="62"/>
    <x v="3"/>
    <x v="0"/>
    <x v="5"/>
    <x v="9"/>
    <x v="5"/>
    <x v="7"/>
    <x v="60"/>
    <x v="30"/>
    <x v="11"/>
    <x v="34"/>
    <x v="220"/>
    <x v="4"/>
    <x v="8"/>
    <x v="1"/>
    <x v="0"/>
    <x v="2"/>
    <x v="1"/>
    <x v="0"/>
    <x v="4"/>
    <x v="35"/>
  </r>
  <r>
    <x v="952"/>
    <x v="332"/>
    <x v="104"/>
    <x v="49"/>
    <x v="38"/>
    <x v="1"/>
    <x v="0"/>
    <x v="6"/>
    <x v="13"/>
    <x v="2"/>
    <x v="9"/>
    <x v="25"/>
    <x v="53"/>
    <x v="15"/>
    <x v="89"/>
    <x v="252"/>
    <x v="1"/>
    <x v="12"/>
    <x v="0"/>
    <x v="1"/>
    <x v="1"/>
    <x v="1"/>
    <x v="0"/>
    <x v="3"/>
    <x v="88"/>
  </r>
  <r>
    <x v="953"/>
    <x v="117"/>
    <x v="38"/>
    <x v="20"/>
    <x v="40"/>
    <x v="4"/>
    <x v="2"/>
    <x v="17"/>
    <x v="32"/>
    <x v="5"/>
    <x v="87"/>
    <x v="232"/>
    <x v="349"/>
    <x v="89"/>
    <x v="555"/>
    <x v="112"/>
    <x v="1"/>
    <x v="5"/>
    <x v="1"/>
    <x v="1"/>
    <x v="1"/>
    <x v="1"/>
    <x v="0"/>
    <x v="4"/>
    <x v="532"/>
  </r>
  <r>
    <x v="954"/>
    <x v="13"/>
    <x v="175"/>
    <x v="69"/>
    <x v="48"/>
    <x v="6"/>
    <x v="0"/>
    <x v="6"/>
    <x v="12"/>
    <x v="0"/>
    <x v="9"/>
    <x v="0"/>
    <x v="60"/>
    <x v="14"/>
    <x v="130"/>
    <x v="308"/>
    <x v="1"/>
    <x v="15"/>
    <x v="2"/>
    <x v="1"/>
    <x v="1"/>
    <x v="1"/>
    <x v="0"/>
    <x v="4"/>
    <x v="125"/>
  </r>
  <r>
    <x v="955"/>
    <x v="76"/>
    <x v="98"/>
    <x v="54"/>
    <x v="61"/>
    <x v="1"/>
    <x v="0"/>
    <x v="12"/>
    <x v="27"/>
    <x v="3"/>
    <x v="27"/>
    <x v="90"/>
    <x v="126"/>
    <x v="39"/>
    <x v="179"/>
    <x v="139"/>
    <x v="2"/>
    <x v="19"/>
    <x v="0"/>
    <x v="2"/>
    <x v="2"/>
    <x v="1"/>
    <x v="0"/>
    <x v="2"/>
    <x v="173"/>
  </r>
  <r>
    <x v="956"/>
    <x v="298"/>
    <x v="10"/>
    <x v="89"/>
    <x v="89"/>
    <x v="0"/>
    <x v="0"/>
    <x v="17"/>
    <x v="37"/>
    <x v="4"/>
    <x v="42"/>
    <x v="145"/>
    <x v="182"/>
    <x v="59"/>
    <x v="150"/>
    <x v="26"/>
    <x v="1"/>
    <x v="7"/>
    <x v="0"/>
    <x v="1"/>
    <x v="1"/>
    <x v="1"/>
    <x v="0"/>
    <x v="3"/>
    <x v="144"/>
  </r>
  <r>
    <x v="957"/>
    <x v="247"/>
    <x v="3"/>
    <x v="8"/>
    <x v="50"/>
    <x v="3"/>
    <x v="1"/>
    <x v="10"/>
    <x v="20"/>
    <x v="1"/>
    <x v="44"/>
    <x v="50"/>
    <x v="220"/>
    <x v="50"/>
    <x v="446"/>
    <x v="262"/>
    <x v="1"/>
    <x v="8"/>
    <x v="1"/>
    <x v="2"/>
    <x v="1"/>
    <x v="1"/>
    <x v="0"/>
    <x v="3"/>
    <x v="431"/>
  </r>
  <r>
    <x v="958"/>
    <x v="333"/>
    <x v="3"/>
    <x v="11"/>
    <x v="15"/>
    <x v="3"/>
    <x v="2"/>
    <x v="8"/>
    <x v="17"/>
    <x v="2"/>
    <x v="48"/>
    <x v="102"/>
    <x v="232"/>
    <x v="54"/>
    <x v="450"/>
    <x v="238"/>
    <x v="1"/>
    <x v="8"/>
    <x v="1"/>
    <x v="0"/>
    <x v="1"/>
    <x v="1"/>
    <x v="0"/>
    <x v="3"/>
    <x v="435"/>
  </r>
  <r>
    <x v="959"/>
    <x v="316"/>
    <x v="162"/>
    <x v="95"/>
    <x v="0"/>
    <x v="0"/>
    <x v="2"/>
    <x v="24"/>
    <x v="48"/>
    <x v="3"/>
    <x v="111"/>
    <x v="247"/>
    <x v="443"/>
    <x v="126"/>
    <x v="652"/>
    <x v="12"/>
    <x v="1"/>
    <x v="4"/>
    <x v="1"/>
    <x v="0"/>
    <x v="1"/>
    <x v="0"/>
    <x v="0"/>
    <x v="0"/>
    <x v="619"/>
  </r>
  <r>
    <x v="960"/>
    <x v="98"/>
    <x v="38"/>
    <x v="82"/>
    <x v="67"/>
    <x v="2"/>
    <x v="2"/>
    <x v="5"/>
    <x v="12"/>
    <x v="1"/>
    <x v="31"/>
    <x v="34"/>
    <x v="170"/>
    <x v="42"/>
    <x v="342"/>
    <x v="244"/>
    <x v="1"/>
    <x v="5"/>
    <x v="1"/>
    <x v="0"/>
    <x v="1"/>
    <x v="1"/>
    <x v="0"/>
    <x v="0"/>
    <x v="329"/>
  </r>
  <r>
    <x v="961"/>
    <x v="320"/>
    <x v="54"/>
    <x v="76"/>
    <x v="64"/>
    <x v="2"/>
    <x v="1"/>
    <x v="4"/>
    <x v="8"/>
    <x v="1"/>
    <x v="15"/>
    <x v="17"/>
    <x v="91"/>
    <x v="21"/>
    <x v="218"/>
    <x v="313"/>
    <x v="1"/>
    <x v="2"/>
    <x v="1"/>
    <x v="1"/>
    <x v="1"/>
    <x v="1"/>
    <x v="0"/>
    <x v="4"/>
    <x v="210"/>
  </r>
  <r>
    <x v="962"/>
    <x v="285"/>
    <x v="224"/>
    <x v="63"/>
    <x v="33"/>
    <x v="6"/>
    <x v="1"/>
    <x v="9"/>
    <x v="18"/>
    <x v="0"/>
    <x v="38"/>
    <x v="0"/>
    <x v="208"/>
    <x v="45"/>
    <x v="439"/>
    <x v="288"/>
    <x v="1"/>
    <x v="17"/>
    <x v="1"/>
    <x v="2"/>
    <x v="1"/>
    <x v="1"/>
    <x v="0"/>
    <x v="4"/>
    <x v="424"/>
  </r>
  <r>
    <x v="963"/>
    <x v="231"/>
    <x v="179"/>
    <x v="0"/>
    <x v="97"/>
    <x v="3"/>
    <x v="0"/>
    <x v="11"/>
    <x v="26"/>
    <x v="2"/>
    <x v="23"/>
    <x v="56"/>
    <x v="123"/>
    <x v="38"/>
    <x v="155"/>
    <x v="116"/>
    <x v="1"/>
    <x v="14"/>
    <x v="0"/>
    <x v="1"/>
    <x v="1"/>
    <x v="1"/>
    <x v="0"/>
    <x v="3"/>
    <x v="149"/>
  </r>
  <r>
    <x v="964"/>
    <x v="18"/>
    <x v="143"/>
    <x v="1"/>
    <x v="9"/>
    <x v="3"/>
    <x v="1"/>
    <x v="17"/>
    <x v="36"/>
    <x v="2"/>
    <x v="70"/>
    <x v="145"/>
    <x v="317"/>
    <x v="81"/>
    <x v="495"/>
    <x v="100"/>
    <x v="1"/>
    <x v="12"/>
    <x v="0"/>
    <x v="2"/>
    <x v="1"/>
    <x v="1"/>
    <x v="0"/>
    <x v="0"/>
    <x v="474"/>
  </r>
  <r>
    <x v="965"/>
    <x v="100"/>
    <x v="255"/>
    <x v="60"/>
    <x v="68"/>
    <x v="6"/>
    <x v="0"/>
    <x v="5"/>
    <x v="9"/>
    <x v="4"/>
    <x v="7"/>
    <x v="49"/>
    <x v="33"/>
    <x v="11"/>
    <x v="50"/>
    <x v="253"/>
    <x v="1"/>
    <x v="15"/>
    <x v="0"/>
    <x v="1"/>
    <x v="1"/>
    <x v="1"/>
    <x v="0"/>
    <x v="4"/>
    <x v="50"/>
  </r>
  <r>
    <x v="966"/>
    <x v="324"/>
    <x v="197"/>
    <x v="76"/>
    <x v="64"/>
    <x v="2"/>
    <x v="1"/>
    <x v="4"/>
    <x v="8"/>
    <x v="0"/>
    <x v="15"/>
    <x v="0"/>
    <x v="98"/>
    <x v="21"/>
    <x v="238"/>
    <x v="323"/>
    <x v="0"/>
    <x v="19"/>
    <x v="0"/>
    <x v="0"/>
    <x v="0"/>
    <x v="1"/>
    <x v="0"/>
    <x v="1"/>
    <x v="0"/>
  </r>
  <r>
    <x v="967"/>
    <x v="23"/>
    <x v="108"/>
    <x v="5"/>
    <x v="98"/>
    <x v="3"/>
    <x v="1"/>
    <x v="9"/>
    <x v="18"/>
    <x v="1"/>
    <x v="38"/>
    <x v="42"/>
    <x v="196"/>
    <x v="45"/>
    <x v="411"/>
    <x v="268"/>
    <x v="1"/>
    <x v="13"/>
    <x v="0"/>
    <x v="2"/>
    <x v="1"/>
    <x v="1"/>
    <x v="0"/>
    <x v="0"/>
    <x v="396"/>
  </r>
  <r>
    <x v="968"/>
    <x v="57"/>
    <x v="212"/>
    <x v="73"/>
    <x v="60"/>
    <x v="2"/>
    <x v="1"/>
    <x v="3"/>
    <x v="6"/>
    <x v="1"/>
    <x v="13"/>
    <x v="15"/>
    <x v="77"/>
    <x v="18"/>
    <x v="176"/>
    <x v="315"/>
    <x v="3"/>
    <x v="2"/>
    <x v="1"/>
    <x v="1"/>
    <x v="3"/>
    <x v="1"/>
    <x v="0"/>
    <x v="0"/>
    <x v="0"/>
  </r>
  <r>
    <x v="969"/>
    <x v="238"/>
    <x v="189"/>
    <x v="86"/>
    <x v="11"/>
    <x v="2"/>
    <x v="2"/>
    <x v="6"/>
    <x v="14"/>
    <x v="1"/>
    <x v="36"/>
    <x v="40"/>
    <x v="194"/>
    <x v="45"/>
    <x v="388"/>
    <x v="256"/>
    <x v="1"/>
    <x v="16"/>
    <x v="1"/>
    <x v="2"/>
    <x v="1"/>
    <x v="1"/>
    <x v="0"/>
    <x v="0"/>
    <x v="374"/>
  </r>
  <r>
    <x v="970"/>
    <x v="13"/>
    <x v="111"/>
    <x v="6"/>
    <x v="46"/>
    <x v="3"/>
    <x v="3"/>
    <x v="12"/>
    <x v="25"/>
    <x v="3"/>
    <x v="81"/>
    <x v="197"/>
    <x v="351"/>
    <x v="85"/>
    <x v="587"/>
    <x v="163"/>
    <x v="1"/>
    <x v="11"/>
    <x v="0"/>
    <x v="0"/>
    <x v="1"/>
    <x v="1"/>
    <x v="0"/>
    <x v="0"/>
    <x v="562"/>
  </r>
  <r>
    <x v="971"/>
    <x v="243"/>
    <x v="272"/>
    <x v="71"/>
    <x v="88"/>
    <x v="6"/>
    <x v="3"/>
    <x v="5"/>
    <x v="10"/>
    <x v="1"/>
    <x v="43"/>
    <x v="49"/>
    <x v="219"/>
    <x v="46"/>
    <x v="459"/>
    <x v="293"/>
    <x v="0"/>
    <x v="2"/>
    <x v="2"/>
    <x v="0"/>
    <x v="0"/>
    <x v="1"/>
    <x v="0"/>
    <x v="1"/>
    <x v="0"/>
  </r>
  <r>
    <x v="972"/>
    <x v="167"/>
    <x v="22"/>
    <x v="83"/>
    <x v="96"/>
    <x v="2"/>
    <x v="0"/>
    <x v="10"/>
    <x v="23"/>
    <x v="5"/>
    <x v="20"/>
    <x v="111"/>
    <x v="85"/>
    <x v="34"/>
    <x v="60"/>
    <x v="52"/>
    <x v="3"/>
    <x v="1"/>
    <x v="1"/>
    <x v="2"/>
    <x v="3"/>
    <x v="1"/>
    <x v="0"/>
    <x v="0"/>
    <x v="0"/>
  </r>
  <r>
    <x v="973"/>
    <x v="326"/>
    <x v="221"/>
    <x v="13"/>
    <x v="41"/>
    <x v="3"/>
    <x v="1"/>
    <x v="6"/>
    <x v="12"/>
    <x v="2"/>
    <x v="22"/>
    <x v="54"/>
    <x v="122"/>
    <x v="30"/>
    <x v="247"/>
    <x v="275"/>
    <x v="1"/>
    <x v="8"/>
    <x v="1"/>
    <x v="2"/>
    <x v="1"/>
    <x v="1"/>
    <x v="0"/>
    <x v="0"/>
    <x v="239"/>
  </r>
  <r>
    <x v="974"/>
    <x v="152"/>
    <x v="45"/>
    <x v="53"/>
    <x v="29"/>
    <x v="1"/>
    <x v="0"/>
    <x v="3"/>
    <x v="6"/>
    <x v="3"/>
    <x v="4"/>
    <x v="24"/>
    <x v="20"/>
    <x v="6"/>
    <x v="30"/>
    <x v="286"/>
    <x v="1"/>
    <x v="12"/>
    <x v="0"/>
    <x v="2"/>
    <x v="1"/>
    <x v="1"/>
    <x v="0"/>
    <x v="3"/>
    <x v="31"/>
  </r>
  <r>
    <x v="975"/>
    <x v="229"/>
    <x v="269"/>
    <x v="81"/>
    <x v="31"/>
    <x v="2"/>
    <x v="2"/>
    <x v="2"/>
    <x v="4"/>
    <x v="3"/>
    <x v="17"/>
    <x v="67"/>
    <x v="88"/>
    <x v="22"/>
    <x v="191"/>
    <x v="290"/>
    <x v="1"/>
    <x v="16"/>
    <x v="0"/>
    <x v="0"/>
    <x v="1"/>
    <x v="1"/>
    <x v="0"/>
    <x v="0"/>
    <x v="185"/>
  </r>
  <r>
    <x v="976"/>
    <x v="185"/>
    <x v="63"/>
    <x v="49"/>
    <x v="38"/>
    <x v="1"/>
    <x v="1"/>
    <x v="6"/>
    <x v="13"/>
    <x v="0"/>
    <x v="22"/>
    <x v="0"/>
    <x v="134"/>
    <x v="31"/>
    <x v="299"/>
    <x v="291"/>
    <x v="0"/>
    <x v="8"/>
    <x v="1"/>
    <x v="1"/>
    <x v="0"/>
    <x v="1"/>
    <x v="0"/>
    <x v="1"/>
    <x v="0"/>
  </r>
  <r>
    <x v="977"/>
    <x v="245"/>
    <x v="26"/>
    <x v="23"/>
    <x v="49"/>
    <x v="4"/>
    <x v="0"/>
    <x v="12"/>
    <x v="24"/>
    <x v="2"/>
    <x v="27"/>
    <x v="62"/>
    <x v="137"/>
    <x v="36"/>
    <x v="252"/>
    <x v="226"/>
    <x v="4"/>
    <x v="17"/>
    <x v="1"/>
    <x v="1"/>
    <x v="2"/>
    <x v="1"/>
    <x v="0"/>
    <x v="4"/>
    <x v="244"/>
  </r>
  <r>
    <x v="978"/>
    <x v="186"/>
    <x v="168"/>
    <x v="18"/>
    <x v="71"/>
    <x v="4"/>
    <x v="1"/>
    <x v="20"/>
    <x v="40"/>
    <x v="1"/>
    <x v="82"/>
    <x v="113"/>
    <x v="376"/>
    <x v="91"/>
    <x v="604"/>
    <x v="152"/>
    <x v="1"/>
    <x v="7"/>
    <x v="0"/>
    <x v="1"/>
    <x v="1"/>
    <x v="1"/>
    <x v="0"/>
    <x v="3"/>
    <x v="577"/>
  </r>
  <r>
    <x v="979"/>
    <x v="30"/>
    <x v="36"/>
    <x v="5"/>
    <x v="98"/>
    <x v="3"/>
    <x v="1"/>
    <x v="9"/>
    <x v="18"/>
    <x v="3"/>
    <x v="38"/>
    <x v="117"/>
    <x v="175"/>
    <x v="45"/>
    <x v="339"/>
    <x v="218"/>
    <x v="1"/>
    <x v="18"/>
    <x v="1"/>
    <x v="1"/>
    <x v="1"/>
    <x v="1"/>
    <x v="0"/>
    <x v="0"/>
    <x v="326"/>
  </r>
  <r>
    <x v="980"/>
    <x v="41"/>
    <x v="140"/>
    <x v="18"/>
    <x v="71"/>
    <x v="4"/>
    <x v="0"/>
    <x v="20"/>
    <x v="40"/>
    <x v="5"/>
    <x v="54"/>
    <x v="185"/>
    <x v="218"/>
    <x v="67"/>
    <x v="214"/>
    <x v="36"/>
    <x v="2"/>
    <x v="1"/>
    <x v="1"/>
    <x v="0"/>
    <x v="2"/>
    <x v="1"/>
    <x v="0"/>
    <x v="2"/>
    <x v="207"/>
  </r>
  <r>
    <x v="981"/>
    <x v="77"/>
    <x v="110"/>
    <x v="59"/>
    <x v="99"/>
    <x v="6"/>
    <x v="1"/>
    <x v="10"/>
    <x v="20"/>
    <x v="3"/>
    <x v="44"/>
    <x v="128"/>
    <x v="205"/>
    <x v="50"/>
    <x v="377"/>
    <x v="214"/>
    <x v="1"/>
    <x v="16"/>
    <x v="0"/>
    <x v="0"/>
    <x v="1"/>
    <x v="1"/>
    <x v="0"/>
    <x v="0"/>
    <x v="363"/>
  </r>
  <r>
    <x v="982"/>
    <x v="155"/>
    <x v="135"/>
    <x v="89"/>
    <x v="89"/>
    <x v="0"/>
    <x v="0"/>
    <x v="17"/>
    <x v="37"/>
    <x v="4"/>
    <x v="42"/>
    <x v="145"/>
    <x v="182"/>
    <x v="59"/>
    <x v="150"/>
    <x v="26"/>
    <x v="1"/>
    <x v="15"/>
    <x v="1"/>
    <x v="1"/>
    <x v="1"/>
    <x v="1"/>
    <x v="0"/>
    <x v="0"/>
    <x v="144"/>
  </r>
  <r>
    <x v="983"/>
    <x v="41"/>
    <x v="42"/>
    <x v="43"/>
    <x v="25"/>
    <x v="5"/>
    <x v="0"/>
    <x v="3"/>
    <x v="5"/>
    <x v="2"/>
    <x v="4"/>
    <x v="15"/>
    <x v="23"/>
    <x v="5"/>
    <x v="48"/>
    <x v="324"/>
    <x v="2"/>
    <x v="1"/>
    <x v="0"/>
    <x v="2"/>
    <x v="2"/>
    <x v="1"/>
    <x v="0"/>
    <x v="2"/>
    <x v="48"/>
  </r>
  <r>
    <x v="984"/>
    <x v="281"/>
    <x v="264"/>
    <x v="48"/>
    <x v="28"/>
    <x v="1"/>
    <x v="1"/>
    <x v="3"/>
    <x v="7"/>
    <x v="1"/>
    <x v="13"/>
    <x v="15"/>
    <x v="77"/>
    <x v="19"/>
    <x v="166"/>
    <x v="292"/>
    <x v="4"/>
    <x v="17"/>
    <x v="1"/>
    <x v="0"/>
    <x v="2"/>
    <x v="1"/>
    <x v="0"/>
    <x v="3"/>
    <x v="160"/>
  </r>
  <r>
    <x v="985"/>
    <x v="298"/>
    <x v="68"/>
    <x v="82"/>
    <x v="67"/>
    <x v="2"/>
    <x v="2"/>
    <x v="5"/>
    <x v="12"/>
    <x v="1"/>
    <x v="31"/>
    <x v="34"/>
    <x v="170"/>
    <x v="42"/>
    <x v="342"/>
    <x v="244"/>
    <x v="1"/>
    <x v="0"/>
    <x v="0"/>
    <x v="0"/>
    <x v="1"/>
    <x v="1"/>
    <x v="0"/>
    <x v="3"/>
    <x v="329"/>
  </r>
  <r>
    <x v="986"/>
    <x v="207"/>
    <x v="139"/>
    <x v="49"/>
    <x v="38"/>
    <x v="1"/>
    <x v="3"/>
    <x v="6"/>
    <x v="13"/>
    <x v="0"/>
    <x v="47"/>
    <x v="0"/>
    <x v="246"/>
    <x v="53"/>
    <x v="502"/>
    <x v="291"/>
    <x v="4"/>
    <x v="14"/>
    <x v="2"/>
    <x v="1"/>
    <x v="2"/>
    <x v="1"/>
    <x v="0"/>
    <x v="4"/>
    <x v="481"/>
  </r>
  <r>
    <x v="987"/>
    <x v="281"/>
    <x v="245"/>
    <x v="9"/>
    <x v="95"/>
    <x v="3"/>
    <x v="0"/>
    <x v="19"/>
    <x v="39"/>
    <x v="0"/>
    <x v="50"/>
    <x v="0"/>
    <x v="252"/>
    <x v="65"/>
    <x v="419"/>
    <x v="149"/>
    <x v="2"/>
    <x v="10"/>
    <x v="1"/>
    <x v="1"/>
    <x v="2"/>
    <x v="1"/>
    <x v="0"/>
    <x v="2"/>
    <x v="404"/>
  </r>
  <r>
    <x v="988"/>
    <x v="146"/>
    <x v="105"/>
    <x v="88"/>
    <x v="57"/>
    <x v="0"/>
    <x v="0"/>
    <x v="22"/>
    <x v="45"/>
    <x v="0"/>
    <x v="63"/>
    <x v="0"/>
    <x v="304"/>
    <x v="76"/>
    <x v="483"/>
    <x v="114"/>
    <x v="1"/>
    <x v="17"/>
    <x v="1"/>
    <x v="1"/>
    <x v="1"/>
    <x v="1"/>
    <x v="0"/>
    <x v="3"/>
    <x v="464"/>
  </r>
  <r>
    <x v="989"/>
    <x v="230"/>
    <x v="140"/>
    <x v="58"/>
    <x v="5"/>
    <x v="1"/>
    <x v="1"/>
    <x v="9"/>
    <x v="20"/>
    <x v="0"/>
    <x v="38"/>
    <x v="0"/>
    <x v="208"/>
    <x v="50"/>
    <x v="396"/>
    <x v="224"/>
    <x v="1"/>
    <x v="1"/>
    <x v="1"/>
    <x v="0"/>
    <x v="1"/>
    <x v="1"/>
    <x v="0"/>
    <x v="3"/>
    <x v="382"/>
  </r>
  <r>
    <x v="990"/>
    <x v="165"/>
    <x v="98"/>
    <x v="98"/>
    <x v="72"/>
    <x v="0"/>
    <x v="2"/>
    <x v="15"/>
    <x v="34"/>
    <x v="3"/>
    <x v="79"/>
    <x v="194"/>
    <x v="347"/>
    <x v="92"/>
    <x v="516"/>
    <x v="65"/>
    <x v="3"/>
    <x v="19"/>
    <x v="0"/>
    <x v="1"/>
    <x v="3"/>
    <x v="1"/>
    <x v="0"/>
    <x v="3"/>
    <x v="0"/>
  </r>
  <r>
    <x v="991"/>
    <x v="91"/>
    <x v="248"/>
    <x v="9"/>
    <x v="95"/>
    <x v="3"/>
    <x v="0"/>
    <x v="19"/>
    <x v="39"/>
    <x v="0"/>
    <x v="50"/>
    <x v="0"/>
    <x v="252"/>
    <x v="65"/>
    <x v="419"/>
    <x v="149"/>
    <x v="1"/>
    <x v="7"/>
    <x v="1"/>
    <x v="2"/>
    <x v="1"/>
    <x v="1"/>
    <x v="0"/>
    <x v="3"/>
    <x v="404"/>
  </r>
  <r>
    <x v="992"/>
    <x v="328"/>
    <x v="175"/>
    <x v="61"/>
    <x v="76"/>
    <x v="6"/>
    <x v="0"/>
    <x v="2"/>
    <x v="3"/>
    <x v="2"/>
    <x v="2"/>
    <x v="11"/>
    <x v="14"/>
    <x v="3"/>
    <x v="29"/>
    <x v="330"/>
    <x v="1"/>
    <x v="15"/>
    <x v="2"/>
    <x v="2"/>
    <x v="1"/>
    <x v="1"/>
    <x v="0"/>
    <x v="4"/>
    <x v="30"/>
  </r>
  <r>
    <x v="993"/>
    <x v="248"/>
    <x v="294"/>
    <x v="38"/>
    <x v="92"/>
    <x v="5"/>
    <x v="0"/>
    <x v="9"/>
    <x v="18"/>
    <x v="1"/>
    <x v="16"/>
    <x v="18"/>
    <x v="92"/>
    <x v="24"/>
    <x v="190"/>
    <x v="268"/>
    <x v="1"/>
    <x v="18"/>
    <x v="0"/>
    <x v="2"/>
    <x v="1"/>
    <x v="1"/>
    <x v="0"/>
    <x v="0"/>
    <x v="184"/>
  </r>
  <r>
    <x v="994"/>
    <x v="120"/>
    <x v="57"/>
    <x v="5"/>
    <x v="98"/>
    <x v="3"/>
    <x v="3"/>
    <x v="9"/>
    <x v="18"/>
    <x v="0"/>
    <x v="66"/>
    <x v="0"/>
    <x v="320"/>
    <x v="68"/>
    <x v="601"/>
    <x v="288"/>
    <x v="1"/>
    <x v="15"/>
    <x v="0"/>
    <x v="2"/>
    <x v="1"/>
    <x v="1"/>
    <x v="0"/>
    <x v="3"/>
    <x v="576"/>
  </r>
  <r>
    <x v="995"/>
    <x v="74"/>
    <x v="186"/>
    <x v="96"/>
    <x v="91"/>
    <x v="0"/>
    <x v="0"/>
    <x v="23"/>
    <x v="47"/>
    <x v="4"/>
    <x v="75"/>
    <x v="206"/>
    <x v="321"/>
    <x v="93"/>
    <x v="213"/>
    <x v="3"/>
    <x v="1"/>
    <x v="0"/>
    <x v="0"/>
    <x v="0"/>
    <x v="1"/>
    <x v="1"/>
    <x v="0"/>
    <x v="0"/>
    <x v="206"/>
  </r>
  <r>
    <x v="996"/>
    <x v="222"/>
    <x v="100"/>
    <x v="55"/>
    <x v="37"/>
    <x v="1"/>
    <x v="1"/>
    <x v="15"/>
    <x v="34"/>
    <x v="4"/>
    <x v="64"/>
    <x v="187"/>
    <x v="276"/>
    <x v="75"/>
    <x v="334"/>
    <x v="42"/>
    <x v="1"/>
    <x v="14"/>
    <x v="1"/>
    <x v="1"/>
    <x v="1"/>
    <x v="1"/>
    <x v="0"/>
    <x v="4"/>
    <x v="322"/>
  </r>
  <r>
    <x v="997"/>
    <x v="12"/>
    <x v="29"/>
    <x v="77"/>
    <x v="75"/>
    <x v="2"/>
    <x v="0"/>
    <x v="2"/>
    <x v="4"/>
    <x v="4"/>
    <x v="2"/>
    <x v="28"/>
    <x v="12"/>
    <x v="4"/>
    <x v="11"/>
    <x v="267"/>
    <x v="3"/>
    <x v="13"/>
    <x v="1"/>
    <x v="0"/>
    <x v="3"/>
    <x v="1"/>
    <x v="0"/>
    <x v="0"/>
    <x v="0"/>
  </r>
  <r>
    <x v="998"/>
    <x v="220"/>
    <x v="121"/>
    <x v="69"/>
    <x v="48"/>
    <x v="6"/>
    <x v="1"/>
    <x v="6"/>
    <x v="12"/>
    <x v="5"/>
    <x v="22"/>
    <x v="121"/>
    <x v="94"/>
    <x v="30"/>
    <x v="156"/>
    <x v="192"/>
    <x v="4"/>
    <x v="1"/>
    <x v="1"/>
    <x v="0"/>
    <x v="2"/>
    <x v="1"/>
    <x v="0"/>
    <x v="3"/>
    <x v="150"/>
  </r>
  <r>
    <x v="999"/>
    <x v="44"/>
    <x v="102"/>
    <x v="9"/>
    <x v="95"/>
    <x v="3"/>
    <x v="2"/>
    <x v="19"/>
    <x v="39"/>
    <x v="2"/>
    <x v="93"/>
    <x v="192"/>
    <x v="401"/>
    <x v="104"/>
    <x v="616"/>
    <x v="86"/>
    <x v="2"/>
    <x v="8"/>
    <x v="0"/>
    <x v="0"/>
    <x v="2"/>
    <x v="1"/>
    <x v="0"/>
    <x v="2"/>
    <x v="587"/>
  </r>
  <r>
    <x v="1000"/>
    <x v="4"/>
    <x v="12"/>
    <x v="31"/>
    <x v="94"/>
    <x v="5"/>
    <x v="0"/>
    <x v="5"/>
    <x v="9"/>
    <x v="2"/>
    <x v="7"/>
    <x v="21"/>
    <x v="40"/>
    <x v="11"/>
    <x v="85"/>
    <x v="297"/>
    <x v="1"/>
    <x v="11"/>
    <x v="1"/>
    <x v="0"/>
    <x v="1"/>
    <x v="1"/>
    <x v="0"/>
    <x v="4"/>
    <x v="84"/>
  </r>
  <r>
    <x v="1001"/>
    <x v="27"/>
    <x v="92"/>
    <x v="97"/>
    <x v="81"/>
    <x v="0"/>
    <x v="0"/>
    <x v="12"/>
    <x v="29"/>
    <x v="0"/>
    <x v="27"/>
    <x v="0"/>
    <x v="151"/>
    <x v="43"/>
    <x v="250"/>
    <x v="179"/>
    <x v="1"/>
    <x v="9"/>
    <x v="2"/>
    <x v="1"/>
    <x v="1"/>
    <x v="1"/>
    <x v="0"/>
    <x v="0"/>
    <x v="242"/>
  </r>
  <r>
    <x v="1002"/>
    <x v="291"/>
    <x v="182"/>
    <x v="66"/>
    <x v="13"/>
    <x v="6"/>
    <x v="1"/>
    <x v="8"/>
    <x v="16"/>
    <x v="3"/>
    <x v="32"/>
    <x v="102"/>
    <x v="153"/>
    <x v="39"/>
    <x v="300"/>
    <x v="234"/>
    <x v="2"/>
    <x v="4"/>
    <x v="0"/>
    <x v="1"/>
    <x v="2"/>
    <x v="1"/>
    <x v="0"/>
    <x v="2"/>
    <x v="289"/>
  </r>
  <r>
    <x v="1003"/>
    <x v="143"/>
    <x v="115"/>
    <x v="25"/>
    <x v="84"/>
    <x v="4"/>
    <x v="0"/>
    <x v="10"/>
    <x v="18"/>
    <x v="1"/>
    <x v="20"/>
    <x v="22"/>
    <x v="111"/>
    <x v="24"/>
    <x v="260"/>
    <x v="311"/>
    <x v="1"/>
    <x v="18"/>
    <x v="1"/>
    <x v="1"/>
    <x v="1"/>
    <x v="1"/>
    <x v="0"/>
    <x v="3"/>
    <x v="251"/>
  </r>
  <r>
    <x v="1004"/>
    <x v="101"/>
    <x v="229"/>
    <x v="17"/>
    <x v="18"/>
    <x v="4"/>
    <x v="1"/>
    <x v="11"/>
    <x v="23"/>
    <x v="0"/>
    <x v="49"/>
    <x v="0"/>
    <x v="250"/>
    <x v="56"/>
    <x v="485"/>
    <x v="257"/>
    <x v="1"/>
    <x v="16"/>
    <x v="1"/>
    <x v="2"/>
    <x v="1"/>
    <x v="1"/>
    <x v="0"/>
    <x v="0"/>
    <x v="466"/>
  </r>
  <r>
    <x v="1005"/>
    <x v="148"/>
    <x v="225"/>
    <x v="8"/>
    <x v="50"/>
    <x v="3"/>
    <x v="0"/>
    <x v="10"/>
    <x v="20"/>
    <x v="3"/>
    <x v="20"/>
    <x v="73"/>
    <x v="97"/>
    <x v="29"/>
    <x v="168"/>
    <x v="214"/>
    <x v="2"/>
    <x v="10"/>
    <x v="1"/>
    <x v="2"/>
    <x v="2"/>
    <x v="1"/>
    <x v="0"/>
    <x v="2"/>
    <x v="162"/>
  </r>
  <r>
    <x v="1006"/>
    <x v="168"/>
    <x v="219"/>
    <x v="41"/>
    <x v="6"/>
    <x v="5"/>
    <x v="1"/>
    <x v="10"/>
    <x v="21"/>
    <x v="3"/>
    <x v="44"/>
    <x v="128"/>
    <x v="205"/>
    <x v="51"/>
    <x v="367"/>
    <x v="198"/>
    <x v="1"/>
    <x v="14"/>
    <x v="1"/>
    <x v="2"/>
    <x v="1"/>
    <x v="1"/>
    <x v="0"/>
    <x v="3"/>
    <x v="353"/>
  </r>
  <r>
    <x v="1007"/>
    <x v="56"/>
    <x v="0"/>
    <x v="49"/>
    <x v="38"/>
    <x v="1"/>
    <x v="0"/>
    <x v="6"/>
    <x v="13"/>
    <x v="4"/>
    <x v="9"/>
    <x v="54"/>
    <x v="41"/>
    <x v="15"/>
    <x v="50"/>
    <x v="199"/>
    <x v="1"/>
    <x v="6"/>
    <x v="1"/>
    <x v="1"/>
    <x v="1"/>
    <x v="1"/>
    <x v="0"/>
    <x v="3"/>
    <x v="50"/>
  </r>
  <r>
    <x v="1008"/>
    <x v="223"/>
    <x v="267"/>
    <x v="83"/>
    <x v="96"/>
    <x v="2"/>
    <x v="2"/>
    <x v="10"/>
    <x v="23"/>
    <x v="2"/>
    <x v="60"/>
    <x v="128"/>
    <x v="280"/>
    <x v="70"/>
    <x v="466"/>
    <x v="146"/>
    <x v="0"/>
    <x v="13"/>
    <x v="1"/>
    <x v="2"/>
    <x v="0"/>
    <x v="1"/>
    <x v="0"/>
    <x v="1"/>
    <x v="0"/>
  </r>
  <r>
    <x v="1009"/>
    <x v="205"/>
    <x v="152"/>
    <x v="99"/>
    <x v="16"/>
    <x v="0"/>
    <x v="0"/>
    <x v="22"/>
    <x v="46"/>
    <x v="3"/>
    <x v="63"/>
    <x v="163"/>
    <x v="278"/>
    <x v="78"/>
    <x v="305"/>
    <x v="25"/>
    <x v="1"/>
    <x v="2"/>
    <x v="1"/>
    <x v="1"/>
    <x v="1"/>
    <x v="1"/>
    <x v="0"/>
    <x v="4"/>
    <x v="294"/>
  </r>
  <r>
    <x v="1010"/>
    <x v="1"/>
    <x v="254"/>
    <x v="87"/>
    <x v="26"/>
    <x v="0"/>
    <x v="0"/>
    <x v="15"/>
    <x v="34"/>
    <x v="2"/>
    <x v="35"/>
    <x v="78"/>
    <x v="174"/>
    <x v="52"/>
    <x v="227"/>
    <x v="91"/>
    <x v="1"/>
    <x v="18"/>
    <x v="0"/>
    <x v="0"/>
    <x v="1"/>
    <x v="1"/>
    <x v="0"/>
    <x v="4"/>
    <x v="219"/>
  </r>
  <r>
    <x v="1011"/>
    <x v="108"/>
    <x v="82"/>
    <x v="71"/>
    <x v="88"/>
    <x v="6"/>
    <x v="0"/>
    <x v="5"/>
    <x v="10"/>
    <x v="1"/>
    <x v="7"/>
    <x v="8"/>
    <x v="45"/>
    <x v="12"/>
    <x v="93"/>
    <x v="293"/>
    <x v="1"/>
    <x v="8"/>
    <x v="1"/>
    <x v="1"/>
    <x v="1"/>
    <x v="1"/>
    <x v="0"/>
    <x v="3"/>
    <x v="91"/>
  </r>
  <r>
    <x v="1012"/>
    <x v="242"/>
    <x v="68"/>
    <x v="13"/>
    <x v="41"/>
    <x v="3"/>
    <x v="1"/>
    <x v="6"/>
    <x v="12"/>
    <x v="4"/>
    <x v="22"/>
    <x v="101"/>
    <x v="103"/>
    <x v="30"/>
    <x v="187"/>
    <x v="221"/>
    <x v="1"/>
    <x v="0"/>
    <x v="0"/>
    <x v="1"/>
    <x v="1"/>
    <x v="1"/>
    <x v="0"/>
    <x v="3"/>
    <x v="181"/>
  </r>
  <r>
    <x v="1013"/>
    <x v="118"/>
    <x v="139"/>
    <x v="44"/>
    <x v="53"/>
    <x v="5"/>
    <x v="0"/>
    <x v="6"/>
    <x v="12"/>
    <x v="4"/>
    <x v="9"/>
    <x v="54"/>
    <x v="41"/>
    <x v="14"/>
    <x v="59"/>
    <x v="221"/>
    <x v="1"/>
    <x v="14"/>
    <x v="2"/>
    <x v="0"/>
    <x v="1"/>
    <x v="1"/>
    <x v="0"/>
    <x v="0"/>
    <x v="58"/>
  </r>
  <r>
    <x v="1014"/>
    <x v="266"/>
    <x v="210"/>
    <x v="9"/>
    <x v="95"/>
    <x v="3"/>
    <x v="2"/>
    <x v="19"/>
    <x v="39"/>
    <x v="0"/>
    <x v="93"/>
    <x v="0"/>
    <x v="410"/>
    <x v="104"/>
    <x v="657"/>
    <x v="149"/>
    <x v="0"/>
    <x v="11"/>
    <x v="0"/>
    <x v="0"/>
    <x v="0"/>
    <x v="2"/>
    <x v="0"/>
    <x v="1"/>
    <x v="0"/>
  </r>
  <r>
    <x v="1015"/>
    <x v="237"/>
    <x v="151"/>
    <x v="96"/>
    <x v="91"/>
    <x v="0"/>
    <x v="0"/>
    <x v="23"/>
    <x v="47"/>
    <x v="0"/>
    <x v="75"/>
    <x v="0"/>
    <x v="358"/>
    <x v="93"/>
    <x v="523"/>
    <x v="63"/>
    <x v="1"/>
    <x v="9"/>
    <x v="1"/>
    <x v="1"/>
    <x v="1"/>
    <x v="1"/>
    <x v="0"/>
    <x v="4"/>
    <x v="500"/>
  </r>
  <r>
    <x v="1016"/>
    <x v="75"/>
    <x v="236"/>
    <x v="94"/>
    <x v="86"/>
    <x v="0"/>
    <x v="1"/>
    <x v="18"/>
    <x v="38"/>
    <x v="5"/>
    <x v="72"/>
    <x v="215"/>
    <x v="301"/>
    <x v="84"/>
    <x v="285"/>
    <x v="13"/>
    <x v="1"/>
    <x v="5"/>
    <x v="0"/>
    <x v="2"/>
    <x v="1"/>
    <x v="1"/>
    <x v="0"/>
    <x v="3"/>
    <x v="276"/>
  </r>
  <r>
    <x v="1017"/>
    <x v="24"/>
    <x v="88"/>
    <x v="47"/>
    <x v="74"/>
    <x v="1"/>
    <x v="0"/>
    <x v="4"/>
    <x v="9"/>
    <x v="1"/>
    <x v="5"/>
    <x v="6"/>
    <x v="34"/>
    <x v="11"/>
    <x v="61"/>
    <x v="266"/>
    <x v="1"/>
    <x v="13"/>
    <x v="0"/>
    <x v="1"/>
    <x v="1"/>
    <x v="1"/>
    <x v="0"/>
    <x v="4"/>
    <x v="60"/>
  </r>
  <r>
    <x v="1018"/>
    <x v="9"/>
    <x v="251"/>
    <x v="36"/>
    <x v="63"/>
    <x v="5"/>
    <x v="1"/>
    <x v="10"/>
    <x v="20"/>
    <x v="0"/>
    <x v="44"/>
    <x v="0"/>
    <x v="228"/>
    <x v="50"/>
    <x v="469"/>
    <x v="283"/>
    <x v="4"/>
    <x v="9"/>
    <x v="1"/>
    <x v="1"/>
    <x v="2"/>
    <x v="1"/>
    <x v="0"/>
    <x v="0"/>
    <x v="450"/>
  </r>
  <r>
    <x v="1019"/>
    <x v="69"/>
    <x v="22"/>
    <x v="69"/>
    <x v="48"/>
    <x v="6"/>
    <x v="0"/>
    <x v="6"/>
    <x v="12"/>
    <x v="5"/>
    <x v="9"/>
    <x v="68"/>
    <x v="35"/>
    <x v="14"/>
    <x v="37"/>
    <x v="192"/>
    <x v="2"/>
    <x v="1"/>
    <x v="1"/>
    <x v="1"/>
    <x v="2"/>
    <x v="1"/>
    <x v="0"/>
    <x v="2"/>
    <x v="38"/>
  </r>
  <r>
    <x v="1020"/>
    <x v="51"/>
    <x v="126"/>
    <x v="31"/>
    <x v="94"/>
    <x v="5"/>
    <x v="1"/>
    <x v="5"/>
    <x v="9"/>
    <x v="2"/>
    <x v="19"/>
    <x v="49"/>
    <x v="102"/>
    <x v="24"/>
    <x v="225"/>
    <x v="297"/>
    <x v="1"/>
    <x v="10"/>
    <x v="1"/>
    <x v="1"/>
    <x v="1"/>
    <x v="1"/>
    <x v="0"/>
    <x v="0"/>
    <x v="217"/>
  </r>
  <r>
    <x v="1021"/>
    <x v="241"/>
    <x v="145"/>
    <x v="20"/>
    <x v="40"/>
    <x v="4"/>
    <x v="0"/>
    <x v="17"/>
    <x v="32"/>
    <x v="4"/>
    <x v="42"/>
    <x v="145"/>
    <x v="182"/>
    <x v="50"/>
    <x v="290"/>
    <x v="148"/>
    <x v="2"/>
    <x v="10"/>
    <x v="1"/>
    <x v="2"/>
    <x v="2"/>
    <x v="1"/>
    <x v="0"/>
    <x v="2"/>
    <x v="281"/>
  </r>
  <r>
    <x v="1022"/>
    <x v="278"/>
    <x v="142"/>
    <x v="45"/>
    <x v="30"/>
    <x v="1"/>
    <x v="1"/>
    <x v="7"/>
    <x v="15"/>
    <x v="1"/>
    <x v="26"/>
    <x v="29"/>
    <x v="142"/>
    <x v="35"/>
    <x v="294"/>
    <x v="260"/>
    <x v="1"/>
    <x v="4"/>
    <x v="0"/>
    <x v="1"/>
    <x v="1"/>
    <x v="1"/>
    <x v="0"/>
    <x v="0"/>
    <x v="284"/>
  </r>
  <r>
    <x v="1023"/>
    <x v="204"/>
    <x v="176"/>
    <x v="66"/>
    <x v="13"/>
    <x v="6"/>
    <x v="0"/>
    <x v="8"/>
    <x v="16"/>
    <x v="1"/>
    <x v="14"/>
    <x v="16"/>
    <x v="78"/>
    <x v="20"/>
    <x v="162"/>
    <x v="281"/>
    <x v="1"/>
    <x v="5"/>
    <x v="0"/>
    <x v="0"/>
    <x v="1"/>
    <x v="1"/>
    <x v="0"/>
    <x v="4"/>
    <x v="156"/>
  </r>
  <r>
    <x v="1024"/>
    <x v="300"/>
    <x v="262"/>
    <x v="54"/>
    <x v="61"/>
    <x v="1"/>
    <x v="0"/>
    <x v="12"/>
    <x v="27"/>
    <x v="3"/>
    <x v="27"/>
    <x v="90"/>
    <x v="126"/>
    <x v="39"/>
    <x v="179"/>
    <x v="139"/>
    <x v="1"/>
    <x v="4"/>
    <x v="2"/>
    <x v="1"/>
    <x v="1"/>
    <x v="1"/>
    <x v="0"/>
    <x v="0"/>
    <x v="173"/>
  </r>
  <r>
    <x v="1025"/>
    <x v="24"/>
    <x v="46"/>
    <x v="42"/>
    <x v="47"/>
    <x v="5"/>
    <x v="1"/>
    <x v="15"/>
    <x v="32"/>
    <x v="0"/>
    <x v="64"/>
    <x v="0"/>
    <x v="311"/>
    <x v="72"/>
    <x v="542"/>
    <x v="187"/>
    <x v="0"/>
    <x v="17"/>
    <x v="2"/>
    <x v="2"/>
    <x v="0"/>
    <x v="1"/>
    <x v="0"/>
    <x v="1"/>
    <x v="0"/>
  </r>
  <r>
    <x v="1026"/>
    <x v="252"/>
    <x v="117"/>
    <x v="53"/>
    <x v="29"/>
    <x v="1"/>
    <x v="3"/>
    <x v="3"/>
    <x v="6"/>
    <x v="1"/>
    <x v="30"/>
    <x v="33"/>
    <x v="169"/>
    <x v="35"/>
    <x v="395"/>
    <x v="315"/>
    <x v="1"/>
    <x v="5"/>
    <x v="2"/>
    <x v="1"/>
    <x v="1"/>
    <x v="1"/>
    <x v="0"/>
    <x v="0"/>
    <x v="381"/>
  </r>
  <r>
    <x v="1027"/>
    <x v="304"/>
    <x v="64"/>
    <x v="80"/>
    <x v="82"/>
    <x v="2"/>
    <x v="0"/>
    <x v="0"/>
    <x v="0"/>
    <x v="2"/>
    <x v="0"/>
    <x v="4"/>
    <x v="2"/>
    <x v="0"/>
    <x v="3"/>
    <x v="337"/>
    <x v="4"/>
    <x v="4"/>
    <x v="1"/>
    <x v="2"/>
    <x v="2"/>
    <x v="1"/>
    <x v="0"/>
    <x v="3"/>
    <x v="4"/>
  </r>
  <r>
    <x v="1028"/>
    <x v="177"/>
    <x v="61"/>
    <x v="43"/>
    <x v="25"/>
    <x v="5"/>
    <x v="1"/>
    <x v="3"/>
    <x v="5"/>
    <x v="2"/>
    <x v="13"/>
    <x v="33"/>
    <x v="72"/>
    <x v="17"/>
    <x v="171"/>
    <x v="324"/>
    <x v="1"/>
    <x v="14"/>
    <x v="2"/>
    <x v="0"/>
    <x v="1"/>
    <x v="1"/>
    <x v="0"/>
    <x v="0"/>
    <x v="165"/>
  </r>
  <r>
    <x v="1029"/>
    <x v="166"/>
    <x v="42"/>
    <x v="1"/>
    <x v="9"/>
    <x v="3"/>
    <x v="0"/>
    <x v="17"/>
    <x v="36"/>
    <x v="3"/>
    <x v="42"/>
    <x v="124"/>
    <x v="190"/>
    <x v="57"/>
    <x v="230"/>
    <x v="76"/>
    <x v="1"/>
    <x v="1"/>
    <x v="0"/>
    <x v="1"/>
    <x v="1"/>
    <x v="1"/>
    <x v="0"/>
    <x v="4"/>
    <x v="222"/>
  </r>
  <r>
    <x v="1030"/>
    <x v="92"/>
    <x v="215"/>
    <x v="68"/>
    <x v="80"/>
    <x v="6"/>
    <x v="1"/>
    <x v="12"/>
    <x v="27"/>
    <x v="1"/>
    <x v="53"/>
    <x v="62"/>
    <x v="259"/>
    <x v="63"/>
    <x v="470"/>
    <x v="203"/>
    <x v="1"/>
    <x v="15"/>
    <x v="2"/>
    <x v="1"/>
    <x v="1"/>
    <x v="1"/>
    <x v="0"/>
    <x v="4"/>
    <x v="451"/>
  </r>
  <r>
    <x v="1031"/>
    <x v="207"/>
    <x v="157"/>
    <x v="42"/>
    <x v="47"/>
    <x v="5"/>
    <x v="0"/>
    <x v="15"/>
    <x v="32"/>
    <x v="0"/>
    <x v="35"/>
    <x v="0"/>
    <x v="195"/>
    <x v="50"/>
    <x v="350"/>
    <x v="187"/>
    <x v="1"/>
    <x v="19"/>
    <x v="0"/>
    <x v="0"/>
    <x v="1"/>
    <x v="1"/>
    <x v="0"/>
    <x v="0"/>
    <x v="337"/>
  </r>
  <r>
    <x v="1032"/>
    <x v="98"/>
    <x v="232"/>
    <x v="66"/>
    <x v="13"/>
    <x v="6"/>
    <x v="3"/>
    <x v="8"/>
    <x v="16"/>
    <x v="3"/>
    <x v="59"/>
    <x v="157"/>
    <x v="272"/>
    <x v="63"/>
    <x v="503"/>
    <x v="234"/>
    <x v="1"/>
    <x v="2"/>
    <x v="0"/>
    <x v="1"/>
    <x v="1"/>
    <x v="1"/>
    <x v="0"/>
    <x v="4"/>
    <x v="482"/>
  </r>
  <r>
    <x v="1033"/>
    <x v="12"/>
    <x v="230"/>
    <x v="99"/>
    <x v="16"/>
    <x v="0"/>
    <x v="0"/>
    <x v="22"/>
    <x v="46"/>
    <x v="4"/>
    <x v="63"/>
    <x v="186"/>
    <x v="270"/>
    <x v="78"/>
    <x v="213"/>
    <x v="11"/>
    <x v="1"/>
    <x v="11"/>
    <x v="0"/>
    <x v="0"/>
    <x v="1"/>
    <x v="1"/>
    <x v="0"/>
    <x v="4"/>
    <x v="206"/>
  </r>
  <r>
    <x v="1034"/>
    <x v="155"/>
    <x v="292"/>
    <x v="46"/>
    <x v="85"/>
    <x v="1"/>
    <x v="0"/>
    <x v="5"/>
    <x v="11"/>
    <x v="4"/>
    <x v="7"/>
    <x v="49"/>
    <x v="33"/>
    <x v="13"/>
    <x v="33"/>
    <x v="196"/>
    <x v="1"/>
    <x v="2"/>
    <x v="1"/>
    <x v="0"/>
    <x v="1"/>
    <x v="1"/>
    <x v="0"/>
    <x v="0"/>
    <x v="34"/>
  </r>
  <r>
    <x v="1035"/>
    <x v="322"/>
    <x v="248"/>
    <x v="2"/>
    <x v="77"/>
    <x v="3"/>
    <x v="1"/>
    <x v="22"/>
    <x v="44"/>
    <x v="0"/>
    <x v="91"/>
    <x v="0"/>
    <x v="404"/>
    <x v="101"/>
    <x v="653"/>
    <x v="150"/>
    <x v="0"/>
    <x v="7"/>
    <x v="1"/>
    <x v="0"/>
    <x v="0"/>
    <x v="1"/>
    <x v="0"/>
    <x v="1"/>
    <x v="0"/>
  </r>
  <r>
    <x v="1036"/>
    <x v="18"/>
    <x v="162"/>
    <x v="86"/>
    <x v="11"/>
    <x v="2"/>
    <x v="3"/>
    <x v="6"/>
    <x v="14"/>
    <x v="5"/>
    <x v="47"/>
    <x v="172"/>
    <x v="199"/>
    <x v="55"/>
    <x v="316"/>
    <x v="134"/>
    <x v="1"/>
    <x v="4"/>
    <x v="1"/>
    <x v="2"/>
    <x v="1"/>
    <x v="1"/>
    <x v="0"/>
    <x v="3"/>
    <x v="305"/>
  </r>
  <r>
    <x v="1037"/>
    <x v="182"/>
    <x v="236"/>
    <x v="13"/>
    <x v="41"/>
    <x v="3"/>
    <x v="0"/>
    <x v="6"/>
    <x v="12"/>
    <x v="1"/>
    <x v="9"/>
    <x v="10"/>
    <x v="56"/>
    <x v="14"/>
    <x v="111"/>
    <x v="294"/>
    <x v="1"/>
    <x v="5"/>
    <x v="0"/>
    <x v="1"/>
    <x v="1"/>
    <x v="1"/>
    <x v="0"/>
    <x v="4"/>
    <x v="107"/>
  </r>
  <r>
    <x v="1038"/>
    <x v="167"/>
    <x v="72"/>
    <x v="81"/>
    <x v="31"/>
    <x v="2"/>
    <x v="1"/>
    <x v="2"/>
    <x v="4"/>
    <x v="0"/>
    <x v="10"/>
    <x v="0"/>
    <x v="67"/>
    <x v="14"/>
    <x v="158"/>
    <x v="329"/>
    <x v="1"/>
    <x v="11"/>
    <x v="1"/>
    <x v="1"/>
    <x v="1"/>
    <x v="1"/>
    <x v="0"/>
    <x v="3"/>
    <x v="152"/>
  </r>
  <r>
    <x v="1039"/>
    <x v="253"/>
    <x v="283"/>
    <x v="67"/>
    <x v="21"/>
    <x v="6"/>
    <x v="0"/>
    <x v="4"/>
    <x v="7"/>
    <x v="2"/>
    <x v="5"/>
    <x v="17"/>
    <x v="31"/>
    <x v="7"/>
    <x v="71"/>
    <x v="317"/>
    <x v="1"/>
    <x v="12"/>
    <x v="0"/>
    <x v="0"/>
    <x v="1"/>
    <x v="1"/>
    <x v="0"/>
    <x v="0"/>
    <x v="70"/>
  </r>
  <r>
    <x v="1040"/>
    <x v="280"/>
    <x v="170"/>
    <x v="18"/>
    <x v="71"/>
    <x v="4"/>
    <x v="0"/>
    <x v="20"/>
    <x v="40"/>
    <x v="5"/>
    <x v="54"/>
    <x v="185"/>
    <x v="218"/>
    <x v="67"/>
    <x v="214"/>
    <x v="36"/>
    <x v="3"/>
    <x v="11"/>
    <x v="0"/>
    <x v="1"/>
    <x v="3"/>
    <x v="1"/>
    <x v="0"/>
    <x v="3"/>
    <x v="0"/>
  </r>
  <r>
    <x v="1041"/>
    <x v="289"/>
    <x v="151"/>
    <x v="33"/>
    <x v="87"/>
    <x v="5"/>
    <x v="3"/>
    <x v="11"/>
    <x v="23"/>
    <x v="0"/>
    <x v="76"/>
    <x v="0"/>
    <x v="362"/>
    <x v="80"/>
    <x v="634"/>
    <x v="257"/>
    <x v="1"/>
    <x v="9"/>
    <x v="1"/>
    <x v="0"/>
    <x v="1"/>
    <x v="1"/>
    <x v="0"/>
    <x v="4"/>
    <x v="604"/>
  </r>
  <r>
    <x v="1042"/>
    <x v="205"/>
    <x v="163"/>
    <x v="71"/>
    <x v="88"/>
    <x v="6"/>
    <x v="0"/>
    <x v="5"/>
    <x v="10"/>
    <x v="0"/>
    <x v="7"/>
    <x v="0"/>
    <x v="50"/>
    <x v="12"/>
    <x v="104"/>
    <x v="307"/>
    <x v="3"/>
    <x v="12"/>
    <x v="0"/>
    <x v="0"/>
    <x v="3"/>
    <x v="1"/>
    <x v="0"/>
    <x v="0"/>
    <x v="0"/>
  </r>
  <r>
    <x v="1043"/>
    <x v="161"/>
    <x v="38"/>
    <x v="12"/>
    <x v="56"/>
    <x v="3"/>
    <x v="0"/>
    <x v="9"/>
    <x v="22"/>
    <x v="3"/>
    <x v="16"/>
    <x v="65"/>
    <x v="80"/>
    <x v="33"/>
    <x v="72"/>
    <x v="70"/>
    <x v="1"/>
    <x v="5"/>
    <x v="1"/>
    <x v="1"/>
    <x v="1"/>
    <x v="1"/>
    <x v="0"/>
    <x v="3"/>
    <x v="71"/>
  </r>
  <r>
    <x v="1044"/>
    <x v="164"/>
    <x v="78"/>
    <x v="87"/>
    <x v="26"/>
    <x v="0"/>
    <x v="2"/>
    <x v="15"/>
    <x v="34"/>
    <x v="5"/>
    <x v="79"/>
    <x v="225"/>
    <x v="329"/>
    <x v="92"/>
    <x v="382"/>
    <x v="20"/>
    <x v="1"/>
    <x v="19"/>
    <x v="0"/>
    <x v="2"/>
    <x v="1"/>
    <x v="1"/>
    <x v="0"/>
    <x v="4"/>
    <x v="368"/>
  </r>
  <r>
    <x v="1045"/>
    <x v="299"/>
    <x v="112"/>
    <x v="17"/>
    <x v="18"/>
    <x v="4"/>
    <x v="2"/>
    <x v="11"/>
    <x v="23"/>
    <x v="1"/>
    <x v="65"/>
    <x v="81"/>
    <x v="310"/>
    <x v="70"/>
    <x v="561"/>
    <x v="232"/>
    <x v="1"/>
    <x v="9"/>
    <x v="2"/>
    <x v="0"/>
    <x v="1"/>
    <x v="1"/>
    <x v="0"/>
    <x v="4"/>
    <x v="538"/>
  </r>
  <r>
    <x v="1046"/>
    <x v="225"/>
    <x v="222"/>
    <x v="46"/>
    <x v="85"/>
    <x v="1"/>
    <x v="0"/>
    <x v="5"/>
    <x v="11"/>
    <x v="3"/>
    <x v="7"/>
    <x v="34"/>
    <x v="37"/>
    <x v="13"/>
    <x v="49"/>
    <x v="220"/>
    <x v="1"/>
    <x v="4"/>
    <x v="1"/>
    <x v="2"/>
    <x v="1"/>
    <x v="1"/>
    <x v="0"/>
    <x v="0"/>
    <x v="49"/>
  </r>
  <r>
    <x v="1047"/>
    <x v="218"/>
    <x v="108"/>
    <x v="20"/>
    <x v="40"/>
    <x v="4"/>
    <x v="1"/>
    <x v="17"/>
    <x v="32"/>
    <x v="2"/>
    <x v="70"/>
    <x v="145"/>
    <x v="317"/>
    <x v="72"/>
    <x v="559"/>
    <x v="212"/>
    <x v="2"/>
    <x v="13"/>
    <x v="0"/>
    <x v="1"/>
    <x v="2"/>
    <x v="1"/>
    <x v="0"/>
    <x v="2"/>
    <x v="536"/>
  </r>
  <r>
    <x v="1048"/>
    <x v="80"/>
    <x v="173"/>
    <x v="37"/>
    <x v="51"/>
    <x v="5"/>
    <x v="0"/>
    <x v="8"/>
    <x v="17"/>
    <x v="3"/>
    <x v="14"/>
    <x v="55"/>
    <x v="70"/>
    <x v="21"/>
    <x v="116"/>
    <x v="215"/>
    <x v="3"/>
    <x v="3"/>
    <x v="0"/>
    <x v="2"/>
    <x v="3"/>
    <x v="1"/>
    <x v="0"/>
    <x v="0"/>
    <x v="0"/>
  </r>
  <r>
    <x v="1049"/>
    <x v="279"/>
    <x v="202"/>
    <x v="54"/>
    <x v="61"/>
    <x v="1"/>
    <x v="0"/>
    <x v="12"/>
    <x v="27"/>
    <x v="0"/>
    <x v="27"/>
    <x v="0"/>
    <x v="151"/>
    <x v="39"/>
    <x v="286"/>
    <x v="226"/>
    <x v="0"/>
    <x v="4"/>
    <x v="1"/>
    <x v="2"/>
    <x v="0"/>
    <x v="1"/>
    <x v="0"/>
    <x v="1"/>
    <x v="0"/>
  </r>
  <r>
    <x v="1050"/>
    <x v="208"/>
    <x v="31"/>
    <x v="90"/>
    <x v="69"/>
    <x v="0"/>
    <x v="0"/>
    <x v="20"/>
    <x v="41"/>
    <x v="3"/>
    <x v="54"/>
    <x v="146"/>
    <x v="238"/>
    <x v="68"/>
    <x v="289"/>
    <x v="49"/>
    <x v="1"/>
    <x v="16"/>
    <x v="1"/>
    <x v="2"/>
    <x v="1"/>
    <x v="1"/>
    <x v="0"/>
    <x v="4"/>
    <x v="280"/>
  </r>
  <r>
    <x v="1051"/>
    <x v="166"/>
    <x v="218"/>
    <x v="65"/>
    <x v="36"/>
    <x v="6"/>
    <x v="3"/>
    <x v="7"/>
    <x v="14"/>
    <x v="3"/>
    <x v="52"/>
    <x v="142"/>
    <x v="236"/>
    <x v="55"/>
    <x v="464"/>
    <x v="251"/>
    <x v="1"/>
    <x v="6"/>
    <x v="0"/>
    <x v="1"/>
    <x v="1"/>
    <x v="1"/>
    <x v="0"/>
    <x v="0"/>
    <x v="446"/>
  </r>
  <r>
    <x v="1052"/>
    <x v="60"/>
    <x v="252"/>
    <x v="20"/>
    <x v="40"/>
    <x v="4"/>
    <x v="0"/>
    <x v="17"/>
    <x v="32"/>
    <x v="1"/>
    <x v="42"/>
    <x v="47"/>
    <x v="209"/>
    <x v="50"/>
    <x v="409"/>
    <x v="233"/>
    <x v="1"/>
    <x v="2"/>
    <x v="1"/>
    <x v="1"/>
    <x v="1"/>
    <x v="1"/>
    <x v="0"/>
    <x v="0"/>
    <x v="394"/>
  </r>
  <r>
    <x v="1053"/>
    <x v="22"/>
    <x v="273"/>
    <x v="84"/>
    <x v="55"/>
    <x v="2"/>
    <x v="0"/>
    <x v="3"/>
    <x v="6"/>
    <x v="2"/>
    <x v="4"/>
    <x v="15"/>
    <x v="23"/>
    <x v="6"/>
    <x v="40"/>
    <x v="302"/>
    <x v="0"/>
    <x v="3"/>
    <x v="0"/>
    <x v="0"/>
    <x v="0"/>
    <x v="1"/>
    <x v="0"/>
    <x v="1"/>
    <x v="0"/>
  </r>
  <r>
    <x v="1054"/>
    <x v="191"/>
    <x v="28"/>
    <x v="76"/>
    <x v="64"/>
    <x v="2"/>
    <x v="0"/>
    <x v="4"/>
    <x v="8"/>
    <x v="3"/>
    <x v="5"/>
    <x v="31"/>
    <x v="26"/>
    <x v="8"/>
    <x v="46"/>
    <x v="282"/>
    <x v="1"/>
    <x v="0"/>
    <x v="1"/>
    <x v="2"/>
    <x v="1"/>
    <x v="1"/>
    <x v="0"/>
    <x v="3"/>
    <x v="46"/>
  </r>
  <r>
    <x v="1055"/>
    <x v="36"/>
    <x v="196"/>
    <x v="46"/>
    <x v="85"/>
    <x v="1"/>
    <x v="0"/>
    <x v="5"/>
    <x v="11"/>
    <x v="1"/>
    <x v="7"/>
    <x v="8"/>
    <x v="45"/>
    <x v="13"/>
    <x v="84"/>
    <x v="272"/>
    <x v="1"/>
    <x v="5"/>
    <x v="1"/>
    <x v="1"/>
    <x v="1"/>
    <x v="1"/>
    <x v="0"/>
    <x v="4"/>
    <x v="83"/>
  </r>
  <r>
    <x v="1056"/>
    <x v="137"/>
    <x v="115"/>
    <x v="16"/>
    <x v="22"/>
    <x v="4"/>
    <x v="2"/>
    <x v="15"/>
    <x v="31"/>
    <x v="0"/>
    <x v="79"/>
    <x v="0"/>
    <x v="379"/>
    <x v="86"/>
    <x v="637"/>
    <x v="229"/>
    <x v="1"/>
    <x v="18"/>
    <x v="1"/>
    <x v="0"/>
    <x v="1"/>
    <x v="1"/>
    <x v="0"/>
    <x v="4"/>
    <x v="607"/>
  </r>
  <r>
    <x v="1057"/>
    <x v="265"/>
    <x v="264"/>
    <x v="85"/>
    <x v="35"/>
    <x v="2"/>
    <x v="3"/>
    <x v="1"/>
    <x v="2"/>
    <x v="1"/>
    <x v="18"/>
    <x v="20"/>
    <x v="109"/>
    <x v="23"/>
    <x v="268"/>
    <x v="325"/>
    <x v="2"/>
    <x v="17"/>
    <x v="1"/>
    <x v="2"/>
    <x v="2"/>
    <x v="1"/>
    <x v="0"/>
    <x v="2"/>
    <x v="259"/>
  </r>
  <r>
    <x v="1058"/>
    <x v="137"/>
    <x v="227"/>
    <x v="41"/>
    <x v="6"/>
    <x v="5"/>
    <x v="1"/>
    <x v="10"/>
    <x v="21"/>
    <x v="2"/>
    <x v="44"/>
    <x v="94"/>
    <x v="212"/>
    <x v="51"/>
    <x v="406"/>
    <x v="225"/>
    <x v="1"/>
    <x v="13"/>
    <x v="0"/>
    <x v="2"/>
    <x v="1"/>
    <x v="1"/>
    <x v="0"/>
    <x v="4"/>
    <x v="391"/>
  </r>
  <r>
    <x v="1059"/>
    <x v="173"/>
    <x v="237"/>
    <x v="35"/>
    <x v="24"/>
    <x v="5"/>
    <x v="2"/>
    <x v="17"/>
    <x v="35"/>
    <x v="1"/>
    <x v="87"/>
    <x v="124"/>
    <x v="390"/>
    <x v="93"/>
    <x v="633"/>
    <x v="167"/>
    <x v="1"/>
    <x v="19"/>
    <x v="1"/>
    <x v="2"/>
    <x v="1"/>
    <x v="1"/>
    <x v="0"/>
    <x v="0"/>
    <x v="603"/>
  </r>
  <r>
    <x v="1060"/>
    <x v="183"/>
    <x v="37"/>
    <x v="15"/>
    <x v="14"/>
    <x v="4"/>
    <x v="4"/>
    <x v="7"/>
    <x v="15"/>
    <x v="1"/>
    <x v="62"/>
    <x v="76"/>
    <x v="294"/>
    <x v="67"/>
    <x v="553"/>
    <x v="260"/>
    <x v="1"/>
    <x v="15"/>
    <x v="1"/>
    <x v="1"/>
    <x v="1"/>
    <x v="1"/>
    <x v="0"/>
    <x v="3"/>
    <x v="530"/>
  </r>
  <r>
    <x v="1061"/>
    <x v="151"/>
    <x v="28"/>
    <x v="24"/>
    <x v="44"/>
    <x v="4"/>
    <x v="0"/>
    <x v="16"/>
    <x v="33"/>
    <x v="1"/>
    <x v="39"/>
    <x v="43"/>
    <x v="197"/>
    <x v="51"/>
    <x v="354"/>
    <x v="186"/>
    <x v="1"/>
    <x v="0"/>
    <x v="1"/>
    <x v="0"/>
    <x v="1"/>
    <x v="1"/>
    <x v="0"/>
    <x v="4"/>
    <x v="341"/>
  </r>
  <r>
    <x v="1062"/>
    <x v="165"/>
    <x v="148"/>
    <x v="69"/>
    <x v="48"/>
    <x v="6"/>
    <x v="4"/>
    <x v="6"/>
    <x v="12"/>
    <x v="2"/>
    <x v="57"/>
    <x v="121"/>
    <x v="271"/>
    <x v="59"/>
    <x v="527"/>
    <x v="275"/>
    <x v="1"/>
    <x v="7"/>
    <x v="0"/>
    <x v="1"/>
    <x v="1"/>
    <x v="1"/>
    <x v="0"/>
    <x v="3"/>
    <x v="504"/>
  </r>
  <r>
    <x v="1063"/>
    <x v="147"/>
    <x v="134"/>
    <x v="58"/>
    <x v="5"/>
    <x v="1"/>
    <x v="0"/>
    <x v="9"/>
    <x v="20"/>
    <x v="5"/>
    <x v="16"/>
    <x v="97"/>
    <x v="71"/>
    <x v="29"/>
    <x v="52"/>
    <x v="72"/>
    <x v="1"/>
    <x v="18"/>
    <x v="0"/>
    <x v="1"/>
    <x v="1"/>
    <x v="1"/>
    <x v="0"/>
    <x v="0"/>
    <x v="51"/>
  </r>
  <r>
    <x v="1064"/>
    <x v="0"/>
    <x v="111"/>
    <x v="13"/>
    <x v="41"/>
    <x v="3"/>
    <x v="0"/>
    <x v="6"/>
    <x v="12"/>
    <x v="0"/>
    <x v="9"/>
    <x v="0"/>
    <x v="60"/>
    <x v="14"/>
    <x v="130"/>
    <x v="308"/>
    <x v="1"/>
    <x v="11"/>
    <x v="0"/>
    <x v="0"/>
    <x v="1"/>
    <x v="1"/>
    <x v="0"/>
    <x v="4"/>
    <x v="125"/>
  </r>
  <r>
    <x v="1065"/>
    <x v="18"/>
    <x v="164"/>
    <x v="62"/>
    <x v="19"/>
    <x v="6"/>
    <x v="1"/>
    <x v="17"/>
    <x v="35"/>
    <x v="3"/>
    <x v="70"/>
    <x v="176"/>
    <x v="309"/>
    <x v="78"/>
    <x v="482"/>
    <x v="102"/>
    <x v="4"/>
    <x v="17"/>
    <x v="1"/>
    <x v="0"/>
    <x v="2"/>
    <x v="1"/>
    <x v="0"/>
    <x v="3"/>
    <x v="463"/>
  </r>
  <r>
    <x v="1066"/>
    <x v="343"/>
    <x v="86"/>
    <x v="39"/>
    <x v="20"/>
    <x v="5"/>
    <x v="1"/>
    <x v="13"/>
    <x v="29"/>
    <x v="2"/>
    <x v="56"/>
    <x v="119"/>
    <x v="266"/>
    <x v="67"/>
    <x v="461"/>
    <x v="172"/>
    <x v="1"/>
    <x v="10"/>
    <x v="1"/>
    <x v="1"/>
    <x v="1"/>
    <x v="1"/>
    <x v="0"/>
    <x v="0"/>
    <x v="444"/>
  </r>
  <r>
    <x v="1067"/>
    <x v="107"/>
    <x v="109"/>
    <x v="55"/>
    <x v="37"/>
    <x v="1"/>
    <x v="2"/>
    <x v="15"/>
    <x v="34"/>
    <x v="1"/>
    <x v="79"/>
    <x v="106"/>
    <x v="371"/>
    <x v="92"/>
    <x v="581"/>
    <x v="122"/>
    <x v="1"/>
    <x v="7"/>
    <x v="1"/>
    <x v="1"/>
    <x v="1"/>
    <x v="1"/>
    <x v="0"/>
    <x v="4"/>
    <x v="557"/>
  </r>
  <r>
    <x v="1068"/>
    <x v="304"/>
    <x v="205"/>
    <x v="49"/>
    <x v="38"/>
    <x v="1"/>
    <x v="2"/>
    <x v="6"/>
    <x v="13"/>
    <x v="0"/>
    <x v="36"/>
    <x v="0"/>
    <x v="199"/>
    <x v="44"/>
    <x v="428"/>
    <x v="291"/>
    <x v="3"/>
    <x v="10"/>
    <x v="1"/>
    <x v="1"/>
    <x v="3"/>
    <x v="1"/>
    <x v="0"/>
    <x v="0"/>
    <x v="0"/>
  </r>
  <r>
    <x v="1069"/>
    <x v="256"/>
    <x v="154"/>
    <x v="43"/>
    <x v="25"/>
    <x v="5"/>
    <x v="1"/>
    <x v="3"/>
    <x v="5"/>
    <x v="1"/>
    <x v="13"/>
    <x v="15"/>
    <x v="77"/>
    <x v="17"/>
    <x v="192"/>
    <x v="332"/>
    <x v="1"/>
    <x v="18"/>
    <x v="2"/>
    <x v="0"/>
    <x v="1"/>
    <x v="1"/>
    <x v="0"/>
    <x v="4"/>
    <x v="186"/>
  </r>
  <r>
    <x v="1070"/>
    <x v="83"/>
    <x v="287"/>
    <x v="54"/>
    <x v="61"/>
    <x v="1"/>
    <x v="1"/>
    <x v="12"/>
    <x v="27"/>
    <x v="1"/>
    <x v="53"/>
    <x v="62"/>
    <x v="259"/>
    <x v="63"/>
    <x v="470"/>
    <x v="203"/>
    <x v="4"/>
    <x v="13"/>
    <x v="1"/>
    <x v="1"/>
    <x v="2"/>
    <x v="1"/>
    <x v="0"/>
    <x v="0"/>
    <x v="451"/>
  </r>
  <r>
    <x v="1071"/>
    <x v="189"/>
    <x v="161"/>
    <x v="54"/>
    <x v="61"/>
    <x v="1"/>
    <x v="0"/>
    <x v="12"/>
    <x v="27"/>
    <x v="2"/>
    <x v="27"/>
    <x v="62"/>
    <x v="137"/>
    <x v="39"/>
    <x v="212"/>
    <x v="171"/>
    <x v="1"/>
    <x v="8"/>
    <x v="1"/>
    <x v="2"/>
    <x v="1"/>
    <x v="1"/>
    <x v="0"/>
    <x v="0"/>
    <x v="205"/>
  </r>
  <r>
    <x v="1072"/>
    <x v="47"/>
    <x v="264"/>
    <x v="17"/>
    <x v="18"/>
    <x v="4"/>
    <x v="0"/>
    <x v="11"/>
    <x v="23"/>
    <x v="0"/>
    <x v="23"/>
    <x v="0"/>
    <x v="136"/>
    <x v="34"/>
    <x v="274"/>
    <x v="257"/>
    <x v="0"/>
    <x v="17"/>
    <x v="1"/>
    <x v="0"/>
    <x v="0"/>
    <x v="1"/>
    <x v="0"/>
    <x v="1"/>
    <x v="0"/>
  </r>
  <r>
    <x v="1073"/>
    <x v="95"/>
    <x v="245"/>
    <x v="33"/>
    <x v="87"/>
    <x v="5"/>
    <x v="1"/>
    <x v="11"/>
    <x v="23"/>
    <x v="3"/>
    <x v="49"/>
    <x v="137"/>
    <x v="224"/>
    <x v="56"/>
    <x v="394"/>
    <x v="181"/>
    <x v="1"/>
    <x v="10"/>
    <x v="1"/>
    <x v="0"/>
    <x v="1"/>
    <x v="1"/>
    <x v="0"/>
    <x v="3"/>
    <x v="380"/>
  </r>
  <r>
    <x v="1074"/>
    <x v="341"/>
    <x v="14"/>
    <x v="62"/>
    <x v="19"/>
    <x v="6"/>
    <x v="0"/>
    <x v="17"/>
    <x v="35"/>
    <x v="3"/>
    <x v="42"/>
    <x v="124"/>
    <x v="190"/>
    <x v="55"/>
    <x v="267"/>
    <x v="102"/>
    <x v="1"/>
    <x v="2"/>
    <x v="1"/>
    <x v="1"/>
    <x v="1"/>
    <x v="1"/>
    <x v="0"/>
    <x v="3"/>
    <x v="258"/>
  </r>
  <r>
    <x v="1075"/>
    <x v="196"/>
    <x v="61"/>
    <x v="88"/>
    <x v="57"/>
    <x v="0"/>
    <x v="0"/>
    <x v="22"/>
    <x v="45"/>
    <x v="1"/>
    <x v="63"/>
    <x v="77"/>
    <x v="295"/>
    <x v="76"/>
    <x v="447"/>
    <x v="84"/>
    <x v="1"/>
    <x v="14"/>
    <x v="2"/>
    <x v="2"/>
    <x v="1"/>
    <x v="1"/>
    <x v="0"/>
    <x v="4"/>
    <x v="432"/>
  </r>
  <r>
    <x v="1076"/>
    <x v="106"/>
    <x v="192"/>
    <x v="68"/>
    <x v="80"/>
    <x v="6"/>
    <x v="0"/>
    <x v="12"/>
    <x v="27"/>
    <x v="2"/>
    <x v="27"/>
    <x v="62"/>
    <x v="137"/>
    <x v="39"/>
    <x v="212"/>
    <x v="171"/>
    <x v="3"/>
    <x v="2"/>
    <x v="1"/>
    <x v="1"/>
    <x v="3"/>
    <x v="1"/>
    <x v="0"/>
    <x v="3"/>
    <x v="0"/>
  </r>
  <r>
    <x v="1077"/>
    <x v="311"/>
    <x v="14"/>
    <x v="58"/>
    <x v="5"/>
    <x v="1"/>
    <x v="0"/>
    <x v="9"/>
    <x v="20"/>
    <x v="3"/>
    <x v="16"/>
    <x v="65"/>
    <x v="80"/>
    <x v="29"/>
    <x v="109"/>
    <x v="138"/>
    <x v="0"/>
    <x v="2"/>
    <x v="1"/>
    <x v="0"/>
    <x v="0"/>
    <x v="1"/>
    <x v="0"/>
    <x v="1"/>
    <x v="0"/>
  </r>
  <r>
    <x v="1078"/>
    <x v="262"/>
    <x v="13"/>
    <x v="64"/>
    <x v="3"/>
    <x v="6"/>
    <x v="0"/>
    <x v="12"/>
    <x v="28"/>
    <x v="2"/>
    <x v="27"/>
    <x v="62"/>
    <x v="137"/>
    <x v="41"/>
    <x v="201"/>
    <x v="154"/>
    <x v="4"/>
    <x v="9"/>
    <x v="1"/>
    <x v="0"/>
    <x v="2"/>
    <x v="1"/>
    <x v="0"/>
    <x v="0"/>
    <x v="194"/>
  </r>
  <r>
    <x v="1079"/>
    <x v="221"/>
    <x v="283"/>
    <x v="81"/>
    <x v="31"/>
    <x v="2"/>
    <x v="0"/>
    <x v="2"/>
    <x v="4"/>
    <x v="1"/>
    <x v="2"/>
    <x v="3"/>
    <x v="16"/>
    <x v="4"/>
    <x v="31"/>
    <x v="318"/>
    <x v="1"/>
    <x v="12"/>
    <x v="0"/>
    <x v="2"/>
    <x v="1"/>
    <x v="1"/>
    <x v="0"/>
    <x v="0"/>
    <x v="32"/>
  </r>
  <r>
    <x v="1080"/>
    <x v="114"/>
    <x v="178"/>
    <x v="6"/>
    <x v="46"/>
    <x v="3"/>
    <x v="2"/>
    <x v="12"/>
    <x v="25"/>
    <x v="1"/>
    <x v="69"/>
    <x v="90"/>
    <x v="323"/>
    <x v="73"/>
    <x v="574"/>
    <x v="216"/>
    <x v="1"/>
    <x v="6"/>
    <x v="0"/>
    <x v="2"/>
    <x v="1"/>
    <x v="1"/>
    <x v="0"/>
    <x v="4"/>
    <x v="551"/>
  </r>
  <r>
    <x v="1081"/>
    <x v="194"/>
    <x v="288"/>
    <x v="73"/>
    <x v="60"/>
    <x v="2"/>
    <x v="0"/>
    <x v="3"/>
    <x v="6"/>
    <x v="3"/>
    <x v="4"/>
    <x v="24"/>
    <x v="20"/>
    <x v="6"/>
    <x v="30"/>
    <x v="286"/>
    <x v="1"/>
    <x v="7"/>
    <x v="1"/>
    <x v="1"/>
    <x v="1"/>
    <x v="1"/>
    <x v="0"/>
    <x v="4"/>
    <x v="31"/>
  </r>
  <r>
    <x v="1082"/>
    <x v="205"/>
    <x v="22"/>
    <x v="17"/>
    <x v="18"/>
    <x v="4"/>
    <x v="4"/>
    <x v="11"/>
    <x v="23"/>
    <x v="4"/>
    <x v="86"/>
    <x v="221"/>
    <x v="362"/>
    <x v="89"/>
    <x v="591"/>
    <x v="147"/>
    <x v="1"/>
    <x v="1"/>
    <x v="1"/>
    <x v="0"/>
    <x v="1"/>
    <x v="1"/>
    <x v="0"/>
    <x v="4"/>
    <x v="566"/>
  </r>
  <r>
    <x v="1083"/>
    <x v="354"/>
    <x v="70"/>
    <x v="15"/>
    <x v="14"/>
    <x v="4"/>
    <x v="0"/>
    <x v="7"/>
    <x v="15"/>
    <x v="1"/>
    <x v="11"/>
    <x v="12"/>
    <x v="64"/>
    <x v="18"/>
    <x v="119"/>
    <x v="260"/>
    <x v="1"/>
    <x v="7"/>
    <x v="2"/>
    <x v="0"/>
    <x v="1"/>
    <x v="1"/>
    <x v="0"/>
    <x v="3"/>
    <x v="115"/>
  </r>
  <r>
    <x v="1084"/>
    <x v="166"/>
    <x v="2"/>
    <x v="41"/>
    <x v="6"/>
    <x v="5"/>
    <x v="2"/>
    <x v="10"/>
    <x v="21"/>
    <x v="1"/>
    <x v="60"/>
    <x v="73"/>
    <x v="290"/>
    <x v="66"/>
    <x v="538"/>
    <x v="245"/>
    <x v="1"/>
    <x v="1"/>
    <x v="1"/>
    <x v="0"/>
    <x v="1"/>
    <x v="1"/>
    <x v="0"/>
    <x v="0"/>
    <x v="515"/>
  </r>
  <r>
    <x v="1085"/>
    <x v="148"/>
    <x v="156"/>
    <x v="98"/>
    <x v="72"/>
    <x v="0"/>
    <x v="1"/>
    <x v="15"/>
    <x v="34"/>
    <x v="0"/>
    <x v="64"/>
    <x v="0"/>
    <x v="311"/>
    <x v="75"/>
    <x v="520"/>
    <x v="155"/>
    <x v="2"/>
    <x v="5"/>
    <x v="0"/>
    <x v="0"/>
    <x v="2"/>
    <x v="1"/>
    <x v="0"/>
    <x v="2"/>
    <x v="497"/>
  </r>
  <r>
    <x v="1086"/>
    <x v="67"/>
    <x v="183"/>
    <x v="45"/>
    <x v="30"/>
    <x v="1"/>
    <x v="2"/>
    <x v="7"/>
    <x v="15"/>
    <x v="2"/>
    <x v="41"/>
    <x v="88"/>
    <x v="200"/>
    <x v="48"/>
    <x v="391"/>
    <x v="236"/>
    <x v="1"/>
    <x v="12"/>
    <x v="0"/>
    <x v="1"/>
    <x v="1"/>
    <x v="1"/>
    <x v="0"/>
    <x v="4"/>
    <x v="377"/>
  </r>
  <r>
    <x v="1087"/>
    <x v="51"/>
    <x v="118"/>
    <x v="42"/>
    <x v="47"/>
    <x v="5"/>
    <x v="1"/>
    <x v="15"/>
    <x v="32"/>
    <x v="3"/>
    <x v="64"/>
    <x v="164"/>
    <x v="284"/>
    <x v="72"/>
    <x v="445"/>
    <x v="96"/>
    <x v="1"/>
    <x v="19"/>
    <x v="1"/>
    <x v="0"/>
    <x v="1"/>
    <x v="1"/>
    <x v="0"/>
    <x v="0"/>
    <x v="430"/>
  </r>
  <r>
    <x v="1088"/>
    <x v="53"/>
    <x v="26"/>
    <x v="9"/>
    <x v="95"/>
    <x v="3"/>
    <x v="0"/>
    <x v="19"/>
    <x v="39"/>
    <x v="3"/>
    <x v="50"/>
    <x v="138"/>
    <x v="225"/>
    <x v="65"/>
    <x v="276"/>
    <x v="61"/>
    <x v="1"/>
    <x v="17"/>
    <x v="1"/>
    <x v="0"/>
    <x v="1"/>
    <x v="1"/>
    <x v="0"/>
    <x v="4"/>
    <x v="267"/>
  </r>
  <r>
    <x v="1089"/>
    <x v="124"/>
    <x v="92"/>
    <x v="76"/>
    <x v="64"/>
    <x v="2"/>
    <x v="2"/>
    <x v="4"/>
    <x v="8"/>
    <x v="4"/>
    <x v="28"/>
    <x v="116"/>
    <x v="124"/>
    <x v="32"/>
    <x v="246"/>
    <x v="259"/>
    <x v="1"/>
    <x v="9"/>
    <x v="2"/>
    <x v="2"/>
    <x v="1"/>
    <x v="1"/>
    <x v="0"/>
    <x v="4"/>
    <x v="238"/>
  </r>
  <r>
    <x v="1090"/>
    <x v="329"/>
    <x v="52"/>
    <x v="74"/>
    <x v="4"/>
    <x v="2"/>
    <x v="2"/>
    <x v="1"/>
    <x v="1"/>
    <x v="5"/>
    <x v="12"/>
    <x v="85"/>
    <x v="57"/>
    <x v="16"/>
    <x v="118"/>
    <x v="284"/>
    <x v="1"/>
    <x v="11"/>
    <x v="1"/>
    <x v="1"/>
    <x v="1"/>
    <x v="1"/>
    <x v="0"/>
    <x v="0"/>
    <x v="114"/>
  </r>
  <r>
    <x v="1091"/>
    <x v="38"/>
    <x v="264"/>
    <x v="44"/>
    <x v="53"/>
    <x v="5"/>
    <x v="0"/>
    <x v="6"/>
    <x v="12"/>
    <x v="2"/>
    <x v="9"/>
    <x v="25"/>
    <x v="53"/>
    <x v="14"/>
    <x v="95"/>
    <x v="275"/>
    <x v="1"/>
    <x v="17"/>
    <x v="1"/>
    <x v="0"/>
    <x v="1"/>
    <x v="1"/>
    <x v="0"/>
    <x v="4"/>
    <x v="93"/>
  </r>
  <r>
    <x v="1092"/>
    <x v="282"/>
    <x v="122"/>
    <x v="64"/>
    <x v="3"/>
    <x v="6"/>
    <x v="1"/>
    <x v="12"/>
    <x v="28"/>
    <x v="4"/>
    <x v="53"/>
    <x v="168"/>
    <x v="229"/>
    <x v="64"/>
    <x v="325"/>
    <x v="85"/>
    <x v="1"/>
    <x v="8"/>
    <x v="1"/>
    <x v="1"/>
    <x v="1"/>
    <x v="1"/>
    <x v="0"/>
    <x v="4"/>
    <x v="313"/>
  </r>
  <r>
    <x v="1093"/>
    <x v="57"/>
    <x v="97"/>
    <x v="1"/>
    <x v="9"/>
    <x v="3"/>
    <x v="0"/>
    <x v="17"/>
    <x v="36"/>
    <x v="1"/>
    <x v="42"/>
    <x v="47"/>
    <x v="209"/>
    <x v="57"/>
    <x v="331"/>
    <x v="131"/>
    <x v="1"/>
    <x v="5"/>
    <x v="2"/>
    <x v="1"/>
    <x v="1"/>
    <x v="1"/>
    <x v="0"/>
    <x v="0"/>
    <x v="319"/>
  </r>
  <r>
    <x v="1094"/>
    <x v="113"/>
    <x v="183"/>
    <x v="39"/>
    <x v="20"/>
    <x v="5"/>
    <x v="0"/>
    <x v="13"/>
    <x v="29"/>
    <x v="4"/>
    <x v="29"/>
    <x v="119"/>
    <x v="130"/>
    <x v="43"/>
    <x v="169"/>
    <x v="106"/>
    <x v="1"/>
    <x v="12"/>
    <x v="0"/>
    <x v="1"/>
    <x v="1"/>
    <x v="1"/>
    <x v="0"/>
    <x v="0"/>
    <x v="163"/>
  </r>
  <r>
    <x v="1095"/>
    <x v="166"/>
    <x v="163"/>
    <x v="48"/>
    <x v="28"/>
    <x v="1"/>
    <x v="1"/>
    <x v="3"/>
    <x v="7"/>
    <x v="0"/>
    <x v="13"/>
    <x v="0"/>
    <x v="83"/>
    <x v="19"/>
    <x v="184"/>
    <x v="306"/>
    <x v="1"/>
    <x v="12"/>
    <x v="0"/>
    <x v="1"/>
    <x v="1"/>
    <x v="1"/>
    <x v="0"/>
    <x v="4"/>
    <x v="178"/>
  </r>
  <r>
    <x v="1096"/>
    <x v="86"/>
    <x v="139"/>
    <x v="11"/>
    <x v="15"/>
    <x v="3"/>
    <x v="1"/>
    <x v="8"/>
    <x v="17"/>
    <x v="2"/>
    <x v="32"/>
    <x v="72"/>
    <x v="161"/>
    <x v="41"/>
    <x v="324"/>
    <x v="238"/>
    <x v="1"/>
    <x v="14"/>
    <x v="2"/>
    <x v="0"/>
    <x v="1"/>
    <x v="1"/>
    <x v="0"/>
    <x v="4"/>
    <x v="312"/>
  </r>
  <r>
    <x v="1097"/>
    <x v="164"/>
    <x v="170"/>
    <x v="25"/>
    <x v="84"/>
    <x v="4"/>
    <x v="0"/>
    <x v="10"/>
    <x v="18"/>
    <x v="2"/>
    <x v="20"/>
    <x v="50"/>
    <x v="104"/>
    <x v="24"/>
    <x v="227"/>
    <x v="299"/>
    <x v="0"/>
    <x v="11"/>
    <x v="0"/>
    <x v="0"/>
    <x v="0"/>
    <x v="1"/>
    <x v="0"/>
    <x v="1"/>
    <x v="0"/>
  </r>
  <r>
    <x v="1098"/>
    <x v="315"/>
    <x v="131"/>
    <x v="8"/>
    <x v="50"/>
    <x v="3"/>
    <x v="0"/>
    <x v="10"/>
    <x v="20"/>
    <x v="3"/>
    <x v="20"/>
    <x v="73"/>
    <x v="97"/>
    <x v="29"/>
    <x v="168"/>
    <x v="214"/>
    <x v="1"/>
    <x v="9"/>
    <x v="0"/>
    <x v="0"/>
    <x v="1"/>
    <x v="1"/>
    <x v="0"/>
    <x v="4"/>
    <x v="162"/>
  </r>
  <r>
    <x v="1099"/>
    <x v="37"/>
    <x v="250"/>
    <x v="38"/>
    <x v="92"/>
    <x v="5"/>
    <x v="0"/>
    <x v="9"/>
    <x v="18"/>
    <x v="1"/>
    <x v="16"/>
    <x v="18"/>
    <x v="92"/>
    <x v="24"/>
    <x v="190"/>
    <x v="268"/>
    <x v="1"/>
    <x v="11"/>
    <x v="0"/>
    <x v="1"/>
    <x v="1"/>
    <x v="1"/>
    <x v="0"/>
    <x v="3"/>
    <x v="184"/>
  </r>
  <r>
    <x v="1100"/>
    <x v="292"/>
    <x v="180"/>
    <x v="62"/>
    <x v="19"/>
    <x v="6"/>
    <x v="1"/>
    <x v="17"/>
    <x v="35"/>
    <x v="2"/>
    <x v="70"/>
    <x v="145"/>
    <x v="317"/>
    <x v="78"/>
    <x v="521"/>
    <x v="135"/>
    <x v="1"/>
    <x v="1"/>
    <x v="0"/>
    <x v="2"/>
    <x v="1"/>
    <x v="1"/>
    <x v="0"/>
    <x v="0"/>
    <x v="498"/>
  </r>
  <r>
    <x v="1101"/>
    <x v="193"/>
    <x v="19"/>
    <x v="81"/>
    <x v="31"/>
    <x v="2"/>
    <x v="3"/>
    <x v="2"/>
    <x v="4"/>
    <x v="2"/>
    <x v="25"/>
    <x v="59"/>
    <x v="132"/>
    <x v="30"/>
    <x v="308"/>
    <x v="305"/>
    <x v="1"/>
    <x v="19"/>
    <x v="1"/>
    <x v="1"/>
    <x v="1"/>
    <x v="1"/>
    <x v="0"/>
    <x v="4"/>
    <x v="297"/>
  </r>
  <r>
    <x v="1102"/>
    <x v="321"/>
    <x v="180"/>
    <x v="97"/>
    <x v="81"/>
    <x v="0"/>
    <x v="0"/>
    <x v="12"/>
    <x v="29"/>
    <x v="1"/>
    <x v="27"/>
    <x v="30"/>
    <x v="143"/>
    <x v="43"/>
    <x v="211"/>
    <x v="151"/>
    <x v="1"/>
    <x v="1"/>
    <x v="0"/>
    <x v="1"/>
    <x v="1"/>
    <x v="1"/>
    <x v="0"/>
    <x v="3"/>
    <x v="204"/>
  </r>
  <r>
    <x v="1103"/>
    <x v="211"/>
    <x v="150"/>
    <x v="41"/>
    <x v="6"/>
    <x v="5"/>
    <x v="2"/>
    <x v="10"/>
    <x v="21"/>
    <x v="5"/>
    <x v="60"/>
    <x v="196"/>
    <x v="249"/>
    <x v="66"/>
    <x v="405"/>
    <x v="126"/>
    <x v="1"/>
    <x v="11"/>
    <x v="1"/>
    <x v="1"/>
    <x v="1"/>
    <x v="1"/>
    <x v="0"/>
    <x v="3"/>
    <x v="390"/>
  </r>
  <r>
    <x v="1104"/>
    <x v="28"/>
    <x v="257"/>
    <x v="78"/>
    <x v="1"/>
    <x v="2"/>
    <x v="1"/>
    <x v="9"/>
    <x v="20"/>
    <x v="1"/>
    <x v="38"/>
    <x v="42"/>
    <x v="196"/>
    <x v="50"/>
    <x v="363"/>
    <x v="202"/>
    <x v="1"/>
    <x v="19"/>
    <x v="1"/>
    <x v="0"/>
    <x v="1"/>
    <x v="1"/>
    <x v="0"/>
    <x v="4"/>
    <x v="349"/>
  </r>
  <r>
    <x v="1105"/>
    <x v="11"/>
    <x v="115"/>
    <x v="16"/>
    <x v="22"/>
    <x v="4"/>
    <x v="0"/>
    <x v="15"/>
    <x v="31"/>
    <x v="2"/>
    <x v="35"/>
    <x v="78"/>
    <x v="174"/>
    <x v="47"/>
    <x v="302"/>
    <x v="174"/>
    <x v="1"/>
    <x v="18"/>
    <x v="1"/>
    <x v="2"/>
    <x v="1"/>
    <x v="1"/>
    <x v="0"/>
    <x v="3"/>
    <x v="291"/>
  </r>
  <r>
    <x v="1106"/>
    <x v="207"/>
    <x v="235"/>
    <x v="38"/>
    <x v="92"/>
    <x v="5"/>
    <x v="1"/>
    <x v="9"/>
    <x v="18"/>
    <x v="5"/>
    <x v="38"/>
    <x v="154"/>
    <x v="157"/>
    <x v="45"/>
    <x v="249"/>
    <x v="156"/>
    <x v="1"/>
    <x v="15"/>
    <x v="1"/>
    <x v="1"/>
    <x v="1"/>
    <x v="1"/>
    <x v="0"/>
    <x v="4"/>
    <x v="241"/>
  </r>
  <r>
    <x v="1107"/>
    <x v="150"/>
    <x v="183"/>
    <x v="57"/>
    <x v="58"/>
    <x v="1"/>
    <x v="0"/>
    <x v="5"/>
    <x v="11"/>
    <x v="0"/>
    <x v="7"/>
    <x v="0"/>
    <x v="50"/>
    <x v="13"/>
    <x v="97"/>
    <x v="289"/>
    <x v="1"/>
    <x v="12"/>
    <x v="0"/>
    <x v="2"/>
    <x v="1"/>
    <x v="1"/>
    <x v="0"/>
    <x v="0"/>
    <x v="95"/>
  </r>
  <r>
    <x v="1108"/>
    <x v="230"/>
    <x v="175"/>
    <x v="48"/>
    <x v="28"/>
    <x v="1"/>
    <x v="0"/>
    <x v="3"/>
    <x v="7"/>
    <x v="3"/>
    <x v="4"/>
    <x v="24"/>
    <x v="20"/>
    <x v="7"/>
    <x v="26"/>
    <x v="248"/>
    <x v="4"/>
    <x v="15"/>
    <x v="2"/>
    <x v="1"/>
    <x v="2"/>
    <x v="1"/>
    <x v="0"/>
    <x v="3"/>
    <x v="27"/>
  </r>
  <r>
    <x v="1109"/>
    <x v="59"/>
    <x v="104"/>
    <x v="4"/>
    <x v="66"/>
    <x v="3"/>
    <x v="0"/>
    <x v="14"/>
    <x v="31"/>
    <x v="1"/>
    <x v="33"/>
    <x v="36"/>
    <x v="172"/>
    <x v="47"/>
    <x v="278"/>
    <x v="158"/>
    <x v="1"/>
    <x v="12"/>
    <x v="0"/>
    <x v="0"/>
    <x v="1"/>
    <x v="1"/>
    <x v="0"/>
    <x v="0"/>
    <x v="269"/>
  </r>
  <r>
    <x v="1110"/>
    <x v="64"/>
    <x v="5"/>
    <x v="85"/>
    <x v="35"/>
    <x v="2"/>
    <x v="0"/>
    <x v="1"/>
    <x v="2"/>
    <x v="0"/>
    <x v="1"/>
    <x v="0"/>
    <x v="11"/>
    <x v="2"/>
    <x v="19"/>
    <x v="333"/>
    <x v="1"/>
    <x v="12"/>
    <x v="1"/>
    <x v="1"/>
    <x v="1"/>
    <x v="1"/>
    <x v="0"/>
    <x v="3"/>
    <x v="20"/>
  </r>
  <r>
    <x v="1111"/>
    <x v="162"/>
    <x v="101"/>
    <x v="80"/>
    <x v="82"/>
    <x v="2"/>
    <x v="0"/>
    <x v="0"/>
    <x v="0"/>
    <x v="1"/>
    <x v="0"/>
    <x v="1"/>
    <x v="3"/>
    <x v="0"/>
    <x v="6"/>
    <x v="341"/>
    <x v="2"/>
    <x v="1"/>
    <x v="1"/>
    <x v="2"/>
    <x v="2"/>
    <x v="1"/>
    <x v="0"/>
    <x v="2"/>
    <x v="7"/>
  </r>
  <r>
    <x v="1112"/>
    <x v="224"/>
    <x v="193"/>
    <x v="55"/>
    <x v="37"/>
    <x v="1"/>
    <x v="0"/>
    <x v="15"/>
    <x v="34"/>
    <x v="2"/>
    <x v="35"/>
    <x v="78"/>
    <x v="174"/>
    <x v="52"/>
    <x v="227"/>
    <x v="91"/>
    <x v="1"/>
    <x v="3"/>
    <x v="1"/>
    <x v="1"/>
    <x v="1"/>
    <x v="1"/>
    <x v="0"/>
    <x v="4"/>
    <x v="219"/>
  </r>
  <r>
    <x v="1113"/>
    <x v="176"/>
    <x v="195"/>
    <x v="8"/>
    <x v="50"/>
    <x v="3"/>
    <x v="1"/>
    <x v="10"/>
    <x v="20"/>
    <x v="1"/>
    <x v="44"/>
    <x v="50"/>
    <x v="220"/>
    <x v="50"/>
    <x v="446"/>
    <x v="262"/>
    <x v="0"/>
    <x v="15"/>
    <x v="1"/>
    <x v="1"/>
    <x v="0"/>
    <x v="1"/>
    <x v="0"/>
    <x v="1"/>
    <x v="0"/>
  </r>
  <r>
    <x v="1114"/>
    <x v="202"/>
    <x v="35"/>
    <x v="65"/>
    <x v="36"/>
    <x v="6"/>
    <x v="0"/>
    <x v="7"/>
    <x v="14"/>
    <x v="1"/>
    <x v="11"/>
    <x v="12"/>
    <x v="64"/>
    <x v="17"/>
    <x v="132"/>
    <x v="295"/>
    <x v="4"/>
    <x v="3"/>
    <x v="0"/>
    <x v="1"/>
    <x v="2"/>
    <x v="1"/>
    <x v="0"/>
    <x v="3"/>
    <x v="127"/>
  </r>
  <r>
    <x v="1115"/>
    <x v="196"/>
    <x v="268"/>
    <x v="73"/>
    <x v="60"/>
    <x v="2"/>
    <x v="1"/>
    <x v="3"/>
    <x v="6"/>
    <x v="1"/>
    <x v="13"/>
    <x v="15"/>
    <x v="77"/>
    <x v="18"/>
    <x v="176"/>
    <x v="315"/>
    <x v="1"/>
    <x v="7"/>
    <x v="0"/>
    <x v="0"/>
    <x v="1"/>
    <x v="1"/>
    <x v="0"/>
    <x v="4"/>
    <x v="170"/>
  </r>
  <r>
    <x v="1116"/>
    <x v="59"/>
    <x v="49"/>
    <x v="60"/>
    <x v="68"/>
    <x v="6"/>
    <x v="3"/>
    <x v="5"/>
    <x v="9"/>
    <x v="2"/>
    <x v="43"/>
    <x v="93"/>
    <x v="210"/>
    <x v="45"/>
    <x v="448"/>
    <x v="297"/>
    <x v="2"/>
    <x v="13"/>
    <x v="0"/>
    <x v="0"/>
    <x v="2"/>
    <x v="1"/>
    <x v="0"/>
    <x v="2"/>
    <x v="433"/>
  </r>
  <r>
    <x v="1117"/>
    <x v="175"/>
    <x v="50"/>
    <x v="77"/>
    <x v="75"/>
    <x v="2"/>
    <x v="0"/>
    <x v="2"/>
    <x v="4"/>
    <x v="1"/>
    <x v="2"/>
    <x v="3"/>
    <x v="16"/>
    <x v="4"/>
    <x v="31"/>
    <x v="318"/>
    <x v="1"/>
    <x v="7"/>
    <x v="2"/>
    <x v="1"/>
    <x v="1"/>
    <x v="1"/>
    <x v="0"/>
    <x v="3"/>
    <x v="32"/>
  </r>
  <r>
    <x v="1118"/>
    <x v="230"/>
    <x v="221"/>
    <x v="30"/>
    <x v="83"/>
    <x v="5"/>
    <x v="0"/>
    <x v="9"/>
    <x v="18"/>
    <x v="2"/>
    <x v="16"/>
    <x v="42"/>
    <x v="87"/>
    <x v="24"/>
    <x v="167"/>
    <x v="243"/>
    <x v="1"/>
    <x v="8"/>
    <x v="1"/>
    <x v="1"/>
    <x v="1"/>
    <x v="1"/>
    <x v="0"/>
    <x v="0"/>
    <x v="161"/>
  </r>
  <r>
    <x v="1119"/>
    <x v="7"/>
    <x v="247"/>
    <x v="35"/>
    <x v="24"/>
    <x v="5"/>
    <x v="1"/>
    <x v="17"/>
    <x v="35"/>
    <x v="2"/>
    <x v="70"/>
    <x v="145"/>
    <x v="317"/>
    <x v="78"/>
    <x v="521"/>
    <x v="135"/>
    <x v="1"/>
    <x v="13"/>
    <x v="1"/>
    <x v="0"/>
    <x v="1"/>
    <x v="1"/>
    <x v="0"/>
    <x v="3"/>
    <x v="498"/>
  </r>
  <r>
    <x v="1120"/>
    <x v="251"/>
    <x v="146"/>
    <x v="94"/>
    <x v="86"/>
    <x v="0"/>
    <x v="1"/>
    <x v="18"/>
    <x v="38"/>
    <x v="2"/>
    <x v="72"/>
    <x v="150"/>
    <x v="327"/>
    <x v="84"/>
    <x v="489"/>
    <x v="81"/>
    <x v="1"/>
    <x v="0"/>
    <x v="2"/>
    <x v="1"/>
    <x v="1"/>
    <x v="1"/>
    <x v="0"/>
    <x v="0"/>
    <x v="470"/>
  </r>
  <r>
    <x v="1121"/>
    <x v="72"/>
    <x v="276"/>
    <x v="52"/>
    <x v="54"/>
    <x v="1"/>
    <x v="1"/>
    <x v="8"/>
    <x v="16"/>
    <x v="2"/>
    <x v="32"/>
    <x v="72"/>
    <x v="161"/>
    <x v="39"/>
    <x v="333"/>
    <x v="261"/>
    <x v="1"/>
    <x v="5"/>
    <x v="1"/>
    <x v="2"/>
    <x v="1"/>
    <x v="1"/>
    <x v="0"/>
    <x v="4"/>
    <x v="321"/>
  </r>
  <r>
    <x v="1122"/>
    <x v="124"/>
    <x v="286"/>
    <x v="76"/>
    <x v="64"/>
    <x v="2"/>
    <x v="0"/>
    <x v="4"/>
    <x v="8"/>
    <x v="2"/>
    <x v="5"/>
    <x v="17"/>
    <x v="31"/>
    <x v="8"/>
    <x v="64"/>
    <x v="300"/>
    <x v="1"/>
    <x v="0"/>
    <x v="1"/>
    <x v="1"/>
    <x v="1"/>
    <x v="1"/>
    <x v="0"/>
    <x v="3"/>
    <x v="63"/>
  </r>
  <r>
    <x v="1123"/>
    <x v="160"/>
    <x v="60"/>
    <x v="4"/>
    <x v="66"/>
    <x v="3"/>
    <x v="0"/>
    <x v="14"/>
    <x v="31"/>
    <x v="1"/>
    <x v="33"/>
    <x v="36"/>
    <x v="172"/>
    <x v="47"/>
    <x v="278"/>
    <x v="158"/>
    <x v="1"/>
    <x v="6"/>
    <x v="0"/>
    <x v="1"/>
    <x v="1"/>
    <x v="1"/>
    <x v="0"/>
    <x v="4"/>
    <x v="269"/>
  </r>
  <r>
    <x v="1124"/>
    <x v="268"/>
    <x v="135"/>
    <x v="38"/>
    <x v="92"/>
    <x v="5"/>
    <x v="3"/>
    <x v="9"/>
    <x v="18"/>
    <x v="5"/>
    <x v="66"/>
    <x v="205"/>
    <x v="277"/>
    <x v="68"/>
    <x v="465"/>
    <x v="156"/>
    <x v="0"/>
    <x v="15"/>
    <x v="1"/>
    <x v="2"/>
    <x v="0"/>
    <x v="1"/>
    <x v="0"/>
    <x v="1"/>
    <x v="0"/>
  </r>
  <r>
    <x v="1125"/>
    <x v="68"/>
    <x v="163"/>
    <x v="56"/>
    <x v="17"/>
    <x v="1"/>
    <x v="1"/>
    <x v="1"/>
    <x v="1"/>
    <x v="3"/>
    <x v="6"/>
    <x v="32"/>
    <x v="36"/>
    <x v="8"/>
    <x v="82"/>
    <x v="316"/>
    <x v="1"/>
    <x v="12"/>
    <x v="0"/>
    <x v="2"/>
    <x v="1"/>
    <x v="1"/>
    <x v="0"/>
    <x v="4"/>
    <x v="81"/>
  </r>
  <r>
    <x v="1126"/>
    <x v="61"/>
    <x v="55"/>
    <x v="40"/>
    <x v="32"/>
    <x v="5"/>
    <x v="2"/>
    <x v="7"/>
    <x v="15"/>
    <x v="5"/>
    <x v="41"/>
    <x v="161"/>
    <x v="167"/>
    <x v="48"/>
    <x v="263"/>
    <x v="143"/>
    <x v="1"/>
    <x v="3"/>
    <x v="1"/>
    <x v="2"/>
    <x v="1"/>
    <x v="1"/>
    <x v="0"/>
    <x v="4"/>
    <x v="254"/>
  </r>
  <r>
    <x v="1127"/>
    <x v="57"/>
    <x v="293"/>
    <x v="17"/>
    <x v="18"/>
    <x v="4"/>
    <x v="1"/>
    <x v="11"/>
    <x v="23"/>
    <x v="1"/>
    <x v="49"/>
    <x v="56"/>
    <x v="241"/>
    <x v="56"/>
    <x v="457"/>
    <x v="232"/>
    <x v="1"/>
    <x v="3"/>
    <x v="0"/>
    <x v="0"/>
    <x v="1"/>
    <x v="1"/>
    <x v="0"/>
    <x v="0"/>
    <x v="442"/>
  </r>
  <r>
    <x v="1128"/>
    <x v="274"/>
    <x v="252"/>
    <x v="61"/>
    <x v="76"/>
    <x v="6"/>
    <x v="1"/>
    <x v="2"/>
    <x v="3"/>
    <x v="4"/>
    <x v="10"/>
    <x v="59"/>
    <x v="49"/>
    <x v="12"/>
    <x v="103"/>
    <x v="305"/>
    <x v="1"/>
    <x v="2"/>
    <x v="1"/>
    <x v="0"/>
    <x v="1"/>
    <x v="1"/>
    <x v="0"/>
    <x v="3"/>
    <x v="99"/>
  </r>
  <r>
    <x v="1129"/>
    <x v="107"/>
    <x v="231"/>
    <x v="52"/>
    <x v="54"/>
    <x v="1"/>
    <x v="1"/>
    <x v="8"/>
    <x v="16"/>
    <x v="0"/>
    <x v="32"/>
    <x v="0"/>
    <x v="179"/>
    <x v="39"/>
    <x v="396"/>
    <x v="298"/>
    <x v="1"/>
    <x v="9"/>
    <x v="0"/>
    <x v="0"/>
    <x v="1"/>
    <x v="1"/>
    <x v="0"/>
    <x v="3"/>
    <x v="382"/>
  </r>
  <r>
    <x v="1130"/>
    <x v="55"/>
    <x v="5"/>
    <x v="62"/>
    <x v="19"/>
    <x v="6"/>
    <x v="1"/>
    <x v="17"/>
    <x v="35"/>
    <x v="1"/>
    <x v="70"/>
    <x v="91"/>
    <x v="324"/>
    <x v="78"/>
    <x v="550"/>
    <x v="167"/>
    <x v="1"/>
    <x v="12"/>
    <x v="1"/>
    <x v="1"/>
    <x v="1"/>
    <x v="1"/>
    <x v="0"/>
    <x v="3"/>
    <x v="527"/>
  </r>
  <r>
    <x v="1131"/>
    <x v="112"/>
    <x v="60"/>
    <x v="93"/>
    <x v="70"/>
    <x v="0"/>
    <x v="1"/>
    <x v="20"/>
    <x v="42"/>
    <x v="3"/>
    <x v="82"/>
    <x v="199"/>
    <x v="352"/>
    <x v="94"/>
    <x v="472"/>
    <x v="34"/>
    <x v="4"/>
    <x v="6"/>
    <x v="0"/>
    <x v="1"/>
    <x v="2"/>
    <x v="1"/>
    <x v="0"/>
    <x v="3"/>
    <x v="453"/>
  </r>
  <r>
    <x v="1132"/>
    <x v="119"/>
    <x v="209"/>
    <x v="27"/>
    <x v="78"/>
    <x v="4"/>
    <x v="0"/>
    <x v="19"/>
    <x v="38"/>
    <x v="3"/>
    <x v="50"/>
    <x v="138"/>
    <x v="225"/>
    <x v="60"/>
    <x v="335"/>
    <x v="113"/>
    <x v="1"/>
    <x v="16"/>
    <x v="1"/>
    <x v="1"/>
    <x v="1"/>
    <x v="1"/>
    <x v="0"/>
    <x v="4"/>
    <x v="323"/>
  </r>
  <r>
    <x v="1133"/>
    <x v="217"/>
    <x v="282"/>
    <x v="49"/>
    <x v="38"/>
    <x v="1"/>
    <x v="1"/>
    <x v="6"/>
    <x v="13"/>
    <x v="2"/>
    <x v="22"/>
    <x v="54"/>
    <x v="122"/>
    <x v="31"/>
    <x v="232"/>
    <x v="252"/>
    <x v="1"/>
    <x v="4"/>
    <x v="0"/>
    <x v="1"/>
    <x v="1"/>
    <x v="1"/>
    <x v="0"/>
    <x v="0"/>
    <x v="224"/>
  </r>
  <r>
    <x v="1134"/>
    <x v="16"/>
    <x v="19"/>
    <x v="68"/>
    <x v="80"/>
    <x v="6"/>
    <x v="1"/>
    <x v="12"/>
    <x v="27"/>
    <x v="3"/>
    <x v="53"/>
    <x v="143"/>
    <x v="237"/>
    <x v="63"/>
    <x v="397"/>
    <x v="139"/>
    <x v="4"/>
    <x v="19"/>
    <x v="1"/>
    <x v="1"/>
    <x v="2"/>
    <x v="1"/>
    <x v="0"/>
    <x v="0"/>
    <x v="383"/>
  </r>
  <r>
    <x v="1135"/>
    <x v="248"/>
    <x v="187"/>
    <x v="20"/>
    <x v="40"/>
    <x v="4"/>
    <x v="2"/>
    <x v="17"/>
    <x v="32"/>
    <x v="3"/>
    <x v="87"/>
    <x v="204"/>
    <x v="378"/>
    <x v="89"/>
    <x v="617"/>
    <x v="182"/>
    <x v="1"/>
    <x v="13"/>
    <x v="1"/>
    <x v="1"/>
    <x v="1"/>
    <x v="1"/>
    <x v="0"/>
    <x v="3"/>
    <x v="588"/>
  </r>
  <r>
    <x v="1136"/>
    <x v="141"/>
    <x v="1"/>
    <x v="2"/>
    <x v="77"/>
    <x v="3"/>
    <x v="0"/>
    <x v="22"/>
    <x v="44"/>
    <x v="0"/>
    <x v="63"/>
    <x v="0"/>
    <x v="304"/>
    <x v="74"/>
    <x v="513"/>
    <x v="150"/>
    <x v="4"/>
    <x v="14"/>
    <x v="0"/>
    <x v="0"/>
    <x v="2"/>
    <x v="1"/>
    <x v="0"/>
    <x v="3"/>
    <x v="491"/>
  </r>
  <r>
    <x v="1137"/>
    <x v="235"/>
    <x v="248"/>
    <x v="38"/>
    <x v="92"/>
    <x v="5"/>
    <x v="1"/>
    <x v="9"/>
    <x v="18"/>
    <x v="0"/>
    <x v="38"/>
    <x v="0"/>
    <x v="208"/>
    <x v="45"/>
    <x v="439"/>
    <x v="288"/>
    <x v="1"/>
    <x v="7"/>
    <x v="1"/>
    <x v="1"/>
    <x v="1"/>
    <x v="1"/>
    <x v="0"/>
    <x v="0"/>
    <x v="424"/>
  </r>
  <r>
    <x v="1138"/>
    <x v="164"/>
    <x v="91"/>
    <x v="56"/>
    <x v="17"/>
    <x v="1"/>
    <x v="0"/>
    <x v="1"/>
    <x v="1"/>
    <x v="3"/>
    <x v="1"/>
    <x v="14"/>
    <x v="7"/>
    <x v="1"/>
    <x v="9"/>
    <x v="316"/>
    <x v="1"/>
    <x v="11"/>
    <x v="1"/>
    <x v="0"/>
    <x v="1"/>
    <x v="1"/>
    <x v="0"/>
    <x v="3"/>
    <x v="10"/>
  </r>
  <r>
    <x v="1139"/>
    <x v="8"/>
    <x v="183"/>
    <x v="73"/>
    <x v="60"/>
    <x v="2"/>
    <x v="0"/>
    <x v="3"/>
    <x v="6"/>
    <x v="5"/>
    <x v="4"/>
    <x v="45"/>
    <x v="15"/>
    <x v="6"/>
    <x v="13"/>
    <x v="235"/>
    <x v="1"/>
    <x v="12"/>
    <x v="0"/>
    <x v="1"/>
    <x v="1"/>
    <x v="1"/>
    <x v="0"/>
    <x v="4"/>
    <x v="14"/>
  </r>
  <r>
    <x v="1140"/>
    <x v="336"/>
    <x v="268"/>
    <x v="72"/>
    <x v="43"/>
    <x v="6"/>
    <x v="0"/>
    <x v="20"/>
    <x v="40"/>
    <x v="1"/>
    <x v="54"/>
    <x v="63"/>
    <x v="260"/>
    <x v="67"/>
    <x v="443"/>
    <x v="152"/>
    <x v="1"/>
    <x v="7"/>
    <x v="0"/>
    <x v="2"/>
    <x v="1"/>
    <x v="1"/>
    <x v="0"/>
    <x v="0"/>
    <x v="428"/>
  </r>
  <r>
    <x v="1141"/>
    <x v="195"/>
    <x v="150"/>
    <x v="79"/>
    <x v="12"/>
    <x v="2"/>
    <x v="0"/>
    <x v="8"/>
    <x v="18"/>
    <x v="0"/>
    <x v="14"/>
    <x v="0"/>
    <x v="84"/>
    <x v="24"/>
    <x v="147"/>
    <x v="223"/>
    <x v="1"/>
    <x v="11"/>
    <x v="1"/>
    <x v="2"/>
    <x v="1"/>
    <x v="1"/>
    <x v="0"/>
    <x v="3"/>
    <x v="141"/>
  </r>
  <r>
    <x v="1142"/>
    <x v="186"/>
    <x v="218"/>
    <x v="1"/>
    <x v="9"/>
    <x v="3"/>
    <x v="0"/>
    <x v="17"/>
    <x v="36"/>
    <x v="0"/>
    <x v="42"/>
    <x v="0"/>
    <x v="217"/>
    <x v="57"/>
    <x v="370"/>
    <x v="161"/>
    <x v="4"/>
    <x v="6"/>
    <x v="0"/>
    <x v="1"/>
    <x v="2"/>
    <x v="1"/>
    <x v="0"/>
    <x v="0"/>
    <x v="356"/>
  </r>
  <r>
    <x v="1143"/>
    <x v="181"/>
    <x v="118"/>
    <x v="38"/>
    <x v="92"/>
    <x v="5"/>
    <x v="2"/>
    <x v="9"/>
    <x v="18"/>
    <x v="0"/>
    <x v="55"/>
    <x v="0"/>
    <x v="277"/>
    <x v="59"/>
    <x v="537"/>
    <x v="288"/>
    <x v="1"/>
    <x v="19"/>
    <x v="1"/>
    <x v="0"/>
    <x v="1"/>
    <x v="1"/>
    <x v="0"/>
    <x v="0"/>
    <x v="514"/>
  </r>
  <r>
    <x v="1144"/>
    <x v="219"/>
    <x v="259"/>
    <x v="43"/>
    <x v="25"/>
    <x v="5"/>
    <x v="2"/>
    <x v="3"/>
    <x v="5"/>
    <x v="4"/>
    <x v="21"/>
    <x v="99"/>
    <x v="101"/>
    <x v="24"/>
    <x v="223"/>
    <x v="296"/>
    <x v="1"/>
    <x v="14"/>
    <x v="1"/>
    <x v="1"/>
    <x v="1"/>
    <x v="1"/>
    <x v="0"/>
    <x v="3"/>
    <x v="215"/>
  </r>
  <r>
    <x v="1145"/>
    <x v="145"/>
    <x v="240"/>
    <x v="55"/>
    <x v="37"/>
    <x v="1"/>
    <x v="0"/>
    <x v="15"/>
    <x v="34"/>
    <x v="1"/>
    <x v="35"/>
    <x v="38"/>
    <x v="183"/>
    <x v="52"/>
    <x v="277"/>
    <x v="122"/>
    <x v="4"/>
    <x v="1"/>
    <x v="0"/>
    <x v="1"/>
    <x v="2"/>
    <x v="1"/>
    <x v="0"/>
    <x v="0"/>
    <x v="268"/>
  </r>
  <r>
    <x v="1146"/>
    <x v="137"/>
    <x v="244"/>
    <x v="83"/>
    <x v="96"/>
    <x v="2"/>
    <x v="0"/>
    <x v="10"/>
    <x v="23"/>
    <x v="0"/>
    <x v="20"/>
    <x v="0"/>
    <x v="119"/>
    <x v="34"/>
    <x v="200"/>
    <x v="207"/>
    <x v="4"/>
    <x v="17"/>
    <x v="1"/>
    <x v="0"/>
    <x v="2"/>
    <x v="1"/>
    <x v="0"/>
    <x v="4"/>
    <x v="193"/>
  </r>
  <r>
    <x v="1147"/>
    <x v="108"/>
    <x v="215"/>
    <x v="17"/>
    <x v="18"/>
    <x v="4"/>
    <x v="1"/>
    <x v="11"/>
    <x v="23"/>
    <x v="3"/>
    <x v="49"/>
    <x v="137"/>
    <x v="224"/>
    <x v="56"/>
    <x v="394"/>
    <x v="181"/>
    <x v="1"/>
    <x v="15"/>
    <x v="2"/>
    <x v="1"/>
    <x v="1"/>
    <x v="1"/>
    <x v="0"/>
    <x v="3"/>
    <x v="380"/>
  </r>
  <r>
    <x v="1148"/>
    <x v="130"/>
    <x v="44"/>
    <x v="24"/>
    <x v="44"/>
    <x v="4"/>
    <x v="0"/>
    <x v="16"/>
    <x v="33"/>
    <x v="2"/>
    <x v="39"/>
    <x v="84"/>
    <x v="187"/>
    <x v="51"/>
    <x v="314"/>
    <x v="157"/>
    <x v="1"/>
    <x v="4"/>
    <x v="1"/>
    <x v="1"/>
    <x v="1"/>
    <x v="1"/>
    <x v="0"/>
    <x v="3"/>
    <x v="303"/>
  </r>
  <r>
    <x v="1149"/>
    <x v="49"/>
    <x v="108"/>
    <x v="44"/>
    <x v="53"/>
    <x v="5"/>
    <x v="1"/>
    <x v="6"/>
    <x v="12"/>
    <x v="5"/>
    <x v="22"/>
    <x v="121"/>
    <x v="94"/>
    <x v="30"/>
    <x v="156"/>
    <x v="192"/>
    <x v="4"/>
    <x v="13"/>
    <x v="0"/>
    <x v="1"/>
    <x v="2"/>
    <x v="1"/>
    <x v="0"/>
    <x v="4"/>
    <x v="150"/>
  </r>
  <r>
    <x v="1150"/>
    <x v="46"/>
    <x v="9"/>
    <x v="51"/>
    <x v="52"/>
    <x v="1"/>
    <x v="0"/>
    <x v="2"/>
    <x v="4"/>
    <x v="0"/>
    <x v="2"/>
    <x v="0"/>
    <x v="18"/>
    <x v="4"/>
    <x v="39"/>
    <x v="329"/>
    <x v="1"/>
    <x v="13"/>
    <x v="1"/>
    <x v="1"/>
    <x v="1"/>
    <x v="1"/>
    <x v="0"/>
    <x v="0"/>
    <x v="40"/>
  </r>
  <r>
    <x v="1151"/>
    <x v="251"/>
    <x v="210"/>
    <x v="71"/>
    <x v="88"/>
    <x v="6"/>
    <x v="0"/>
    <x v="5"/>
    <x v="10"/>
    <x v="1"/>
    <x v="7"/>
    <x v="8"/>
    <x v="45"/>
    <x v="12"/>
    <x v="93"/>
    <x v="293"/>
    <x v="0"/>
    <x v="11"/>
    <x v="0"/>
    <x v="2"/>
    <x v="0"/>
    <x v="1"/>
    <x v="0"/>
    <x v="1"/>
    <x v="0"/>
  </r>
  <r>
    <x v="1152"/>
    <x v="31"/>
    <x v="225"/>
    <x v="38"/>
    <x v="92"/>
    <x v="5"/>
    <x v="1"/>
    <x v="9"/>
    <x v="18"/>
    <x v="1"/>
    <x v="38"/>
    <x v="42"/>
    <x v="196"/>
    <x v="45"/>
    <x v="411"/>
    <x v="268"/>
    <x v="1"/>
    <x v="10"/>
    <x v="1"/>
    <x v="1"/>
    <x v="1"/>
    <x v="1"/>
    <x v="0"/>
    <x v="0"/>
    <x v="396"/>
  </r>
  <r>
    <x v="1153"/>
    <x v="262"/>
    <x v="73"/>
    <x v="59"/>
    <x v="99"/>
    <x v="6"/>
    <x v="0"/>
    <x v="10"/>
    <x v="20"/>
    <x v="3"/>
    <x v="20"/>
    <x v="73"/>
    <x v="97"/>
    <x v="29"/>
    <x v="168"/>
    <x v="214"/>
    <x v="0"/>
    <x v="9"/>
    <x v="0"/>
    <x v="1"/>
    <x v="0"/>
    <x v="1"/>
    <x v="0"/>
    <x v="1"/>
    <x v="0"/>
  </r>
  <r>
    <x v="1154"/>
    <x v="66"/>
    <x v="264"/>
    <x v="0"/>
    <x v="97"/>
    <x v="3"/>
    <x v="0"/>
    <x v="11"/>
    <x v="26"/>
    <x v="0"/>
    <x v="23"/>
    <x v="0"/>
    <x v="136"/>
    <x v="38"/>
    <x v="215"/>
    <x v="176"/>
    <x v="4"/>
    <x v="17"/>
    <x v="1"/>
    <x v="1"/>
    <x v="2"/>
    <x v="1"/>
    <x v="0"/>
    <x v="4"/>
    <x v="208"/>
  </r>
  <r>
    <x v="1155"/>
    <x v="246"/>
    <x v="25"/>
    <x v="22"/>
    <x v="79"/>
    <x v="4"/>
    <x v="1"/>
    <x v="4"/>
    <x v="7"/>
    <x v="0"/>
    <x v="15"/>
    <x v="0"/>
    <x v="98"/>
    <x v="19"/>
    <x v="257"/>
    <x v="334"/>
    <x v="2"/>
    <x v="12"/>
    <x v="1"/>
    <x v="0"/>
    <x v="2"/>
    <x v="1"/>
    <x v="0"/>
    <x v="2"/>
    <x v="248"/>
  </r>
  <r>
    <x v="1156"/>
    <x v="184"/>
    <x v="30"/>
    <x v="99"/>
    <x v="16"/>
    <x v="0"/>
    <x v="2"/>
    <x v="22"/>
    <x v="46"/>
    <x v="0"/>
    <x v="102"/>
    <x v="0"/>
    <x v="432"/>
    <x v="115"/>
    <x v="663"/>
    <x v="93"/>
    <x v="1"/>
    <x v="7"/>
    <x v="1"/>
    <x v="2"/>
    <x v="1"/>
    <x v="2"/>
    <x v="0"/>
    <x v="4"/>
    <x v="627"/>
  </r>
  <r>
    <x v="1157"/>
    <x v="184"/>
    <x v="135"/>
    <x v="3"/>
    <x v="90"/>
    <x v="3"/>
    <x v="0"/>
    <x v="3"/>
    <x v="7"/>
    <x v="1"/>
    <x v="4"/>
    <x v="5"/>
    <x v="25"/>
    <x v="7"/>
    <x v="44"/>
    <x v="292"/>
    <x v="1"/>
    <x v="15"/>
    <x v="1"/>
    <x v="1"/>
    <x v="1"/>
    <x v="1"/>
    <x v="0"/>
    <x v="3"/>
    <x v="45"/>
  </r>
  <r>
    <x v="1158"/>
    <x v="22"/>
    <x v="26"/>
    <x v="23"/>
    <x v="49"/>
    <x v="4"/>
    <x v="1"/>
    <x v="12"/>
    <x v="24"/>
    <x v="2"/>
    <x v="53"/>
    <x v="112"/>
    <x v="251"/>
    <x v="59"/>
    <x v="471"/>
    <x v="226"/>
    <x v="1"/>
    <x v="17"/>
    <x v="1"/>
    <x v="0"/>
    <x v="1"/>
    <x v="1"/>
    <x v="0"/>
    <x v="4"/>
    <x v="452"/>
  </r>
  <r>
    <x v="1159"/>
    <x v="6"/>
    <x v="193"/>
    <x v="49"/>
    <x v="38"/>
    <x v="1"/>
    <x v="0"/>
    <x v="6"/>
    <x v="13"/>
    <x v="2"/>
    <x v="9"/>
    <x v="25"/>
    <x v="53"/>
    <x v="15"/>
    <x v="89"/>
    <x v="252"/>
    <x v="1"/>
    <x v="3"/>
    <x v="1"/>
    <x v="1"/>
    <x v="1"/>
    <x v="1"/>
    <x v="0"/>
    <x v="4"/>
    <x v="88"/>
  </r>
  <r>
    <x v="1160"/>
    <x v="102"/>
    <x v="6"/>
    <x v="18"/>
    <x v="71"/>
    <x v="4"/>
    <x v="0"/>
    <x v="20"/>
    <x v="40"/>
    <x v="1"/>
    <x v="54"/>
    <x v="63"/>
    <x v="260"/>
    <x v="67"/>
    <x v="443"/>
    <x v="152"/>
    <x v="0"/>
    <x v="17"/>
    <x v="1"/>
    <x v="2"/>
    <x v="0"/>
    <x v="1"/>
    <x v="0"/>
    <x v="1"/>
    <x v="0"/>
  </r>
  <r>
    <x v="1161"/>
    <x v="200"/>
    <x v="153"/>
    <x v="34"/>
    <x v="59"/>
    <x v="5"/>
    <x v="0"/>
    <x v="12"/>
    <x v="28"/>
    <x v="0"/>
    <x v="27"/>
    <x v="0"/>
    <x v="151"/>
    <x v="41"/>
    <x v="274"/>
    <x v="210"/>
    <x v="4"/>
    <x v="3"/>
    <x v="1"/>
    <x v="2"/>
    <x v="2"/>
    <x v="1"/>
    <x v="0"/>
    <x v="4"/>
    <x v="265"/>
  </r>
  <r>
    <x v="1162"/>
    <x v="100"/>
    <x v="73"/>
    <x v="1"/>
    <x v="9"/>
    <x v="3"/>
    <x v="0"/>
    <x v="17"/>
    <x v="36"/>
    <x v="0"/>
    <x v="42"/>
    <x v="0"/>
    <x v="217"/>
    <x v="57"/>
    <x v="370"/>
    <x v="161"/>
    <x v="1"/>
    <x v="9"/>
    <x v="0"/>
    <x v="1"/>
    <x v="1"/>
    <x v="1"/>
    <x v="0"/>
    <x v="3"/>
    <x v="356"/>
  </r>
  <r>
    <x v="1163"/>
    <x v="166"/>
    <x v="63"/>
    <x v="95"/>
    <x v="0"/>
    <x v="0"/>
    <x v="0"/>
    <x v="24"/>
    <x v="48"/>
    <x v="1"/>
    <x v="83"/>
    <x v="114"/>
    <x v="377"/>
    <x v="97"/>
    <x v="524"/>
    <x v="47"/>
    <x v="1"/>
    <x v="8"/>
    <x v="1"/>
    <x v="1"/>
    <x v="1"/>
    <x v="1"/>
    <x v="0"/>
    <x v="4"/>
    <x v="501"/>
  </r>
  <r>
    <x v="1164"/>
    <x v="276"/>
    <x v="52"/>
    <x v="36"/>
    <x v="63"/>
    <x v="5"/>
    <x v="4"/>
    <x v="10"/>
    <x v="20"/>
    <x v="3"/>
    <x v="80"/>
    <x v="196"/>
    <x v="350"/>
    <x v="82"/>
    <x v="608"/>
    <x v="214"/>
    <x v="0"/>
    <x v="11"/>
    <x v="1"/>
    <x v="0"/>
    <x v="0"/>
    <x v="1"/>
    <x v="0"/>
    <x v="1"/>
    <x v="0"/>
  </r>
  <r>
    <x v="1165"/>
    <x v="163"/>
    <x v="156"/>
    <x v="16"/>
    <x v="22"/>
    <x v="4"/>
    <x v="3"/>
    <x v="15"/>
    <x v="31"/>
    <x v="0"/>
    <x v="92"/>
    <x v="0"/>
    <x v="408"/>
    <x v="96"/>
    <x v="661"/>
    <x v="229"/>
    <x v="1"/>
    <x v="5"/>
    <x v="0"/>
    <x v="0"/>
    <x v="1"/>
    <x v="2"/>
    <x v="0"/>
    <x v="0"/>
    <x v="625"/>
  </r>
  <r>
    <x v="1166"/>
    <x v="344"/>
    <x v="40"/>
    <x v="40"/>
    <x v="32"/>
    <x v="5"/>
    <x v="1"/>
    <x v="7"/>
    <x v="15"/>
    <x v="2"/>
    <x v="26"/>
    <x v="61"/>
    <x v="135"/>
    <x v="35"/>
    <x v="259"/>
    <x v="236"/>
    <x v="1"/>
    <x v="6"/>
    <x v="0"/>
    <x v="2"/>
    <x v="1"/>
    <x v="1"/>
    <x v="0"/>
    <x v="0"/>
    <x v="250"/>
  </r>
  <r>
    <x v="1167"/>
    <x v="295"/>
    <x v="294"/>
    <x v="34"/>
    <x v="59"/>
    <x v="5"/>
    <x v="0"/>
    <x v="12"/>
    <x v="28"/>
    <x v="2"/>
    <x v="27"/>
    <x v="62"/>
    <x v="137"/>
    <x v="41"/>
    <x v="201"/>
    <x v="154"/>
    <x v="1"/>
    <x v="18"/>
    <x v="0"/>
    <x v="0"/>
    <x v="1"/>
    <x v="1"/>
    <x v="0"/>
    <x v="0"/>
    <x v="194"/>
  </r>
  <r>
    <x v="1168"/>
    <x v="299"/>
    <x v="170"/>
    <x v="93"/>
    <x v="70"/>
    <x v="0"/>
    <x v="0"/>
    <x v="20"/>
    <x v="42"/>
    <x v="0"/>
    <x v="54"/>
    <x v="0"/>
    <x v="269"/>
    <x v="69"/>
    <x v="419"/>
    <x v="110"/>
    <x v="1"/>
    <x v="11"/>
    <x v="0"/>
    <x v="0"/>
    <x v="1"/>
    <x v="1"/>
    <x v="0"/>
    <x v="0"/>
    <x v="404"/>
  </r>
  <r>
    <x v="1169"/>
    <x v="157"/>
    <x v="210"/>
    <x v="6"/>
    <x v="46"/>
    <x v="3"/>
    <x v="0"/>
    <x v="12"/>
    <x v="25"/>
    <x v="1"/>
    <x v="27"/>
    <x v="30"/>
    <x v="143"/>
    <x v="37"/>
    <x v="264"/>
    <x v="216"/>
    <x v="1"/>
    <x v="11"/>
    <x v="0"/>
    <x v="2"/>
    <x v="1"/>
    <x v="1"/>
    <x v="0"/>
    <x v="3"/>
    <x v="255"/>
  </r>
  <r>
    <x v="1170"/>
    <x v="240"/>
    <x v="130"/>
    <x v="95"/>
    <x v="0"/>
    <x v="0"/>
    <x v="0"/>
    <x v="24"/>
    <x v="48"/>
    <x v="0"/>
    <x v="83"/>
    <x v="0"/>
    <x v="384"/>
    <x v="97"/>
    <x v="560"/>
    <x v="67"/>
    <x v="1"/>
    <x v="11"/>
    <x v="1"/>
    <x v="2"/>
    <x v="1"/>
    <x v="1"/>
    <x v="0"/>
    <x v="4"/>
    <x v="537"/>
  </r>
  <r>
    <x v="1171"/>
    <x v="74"/>
    <x v="237"/>
    <x v="91"/>
    <x v="39"/>
    <x v="0"/>
    <x v="1"/>
    <x v="12"/>
    <x v="29"/>
    <x v="4"/>
    <x v="53"/>
    <x v="168"/>
    <x v="229"/>
    <x v="67"/>
    <x v="284"/>
    <x v="59"/>
    <x v="1"/>
    <x v="19"/>
    <x v="1"/>
    <x v="1"/>
    <x v="1"/>
    <x v="1"/>
    <x v="0"/>
    <x v="3"/>
    <x v="275"/>
  </r>
  <r>
    <x v="1172"/>
    <x v="50"/>
    <x v="34"/>
    <x v="87"/>
    <x v="26"/>
    <x v="0"/>
    <x v="0"/>
    <x v="15"/>
    <x v="34"/>
    <x v="2"/>
    <x v="35"/>
    <x v="78"/>
    <x v="174"/>
    <x v="52"/>
    <x v="227"/>
    <x v="91"/>
    <x v="1"/>
    <x v="2"/>
    <x v="1"/>
    <x v="1"/>
    <x v="1"/>
    <x v="1"/>
    <x v="0"/>
    <x v="0"/>
    <x v="219"/>
  </r>
  <r>
    <x v="1173"/>
    <x v="154"/>
    <x v="58"/>
    <x v="81"/>
    <x v="31"/>
    <x v="2"/>
    <x v="4"/>
    <x v="2"/>
    <x v="4"/>
    <x v="0"/>
    <x v="34"/>
    <x v="0"/>
    <x v="184"/>
    <x v="36"/>
    <x v="433"/>
    <x v="329"/>
    <x v="1"/>
    <x v="5"/>
    <x v="1"/>
    <x v="1"/>
    <x v="1"/>
    <x v="1"/>
    <x v="0"/>
    <x v="4"/>
    <x v="418"/>
  </r>
  <r>
    <x v="1174"/>
    <x v="16"/>
    <x v="75"/>
    <x v="88"/>
    <x v="57"/>
    <x v="0"/>
    <x v="0"/>
    <x v="22"/>
    <x v="45"/>
    <x v="3"/>
    <x v="63"/>
    <x v="163"/>
    <x v="278"/>
    <x v="76"/>
    <x v="332"/>
    <x v="37"/>
    <x v="1"/>
    <x v="3"/>
    <x v="1"/>
    <x v="1"/>
    <x v="1"/>
    <x v="1"/>
    <x v="0"/>
    <x v="0"/>
    <x v="320"/>
  </r>
  <r>
    <x v="1175"/>
    <x v="101"/>
    <x v="17"/>
    <x v="42"/>
    <x v="47"/>
    <x v="5"/>
    <x v="1"/>
    <x v="15"/>
    <x v="32"/>
    <x v="4"/>
    <x v="64"/>
    <x v="187"/>
    <x v="276"/>
    <x v="72"/>
    <x v="387"/>
    <x v="69"/>
    <x v="1"/>
    <x v="15"/>
    <x v="0"/>
    <x v="2"/>
    <x v="1"/>
    <x v="1"/>
    <x v="0"/>
    <x v="4"/>
    <x v="373"/>
  </r>
  <r>
    <x v="1176"/>
    <x v="312"/>
    <x v="64"/>
    <x v="52"/>
    <x v="54"/>
    <x v="1"/>
    <x v="2"/>
    <x v="8"/>
    <x v="16"/>
    <x v="3"/>
    <x v="48"/>
    <x v="136"/>
    <x v="223"/>
    <x v="52"/>
    <x v="429"/>
    <x v="234"/>
    <x v="1"/>
    <x v="4"/>
    <x v="1"/>
    <x v="2"/>
    <x v="1"/>
    <x v="1"/>
    <x v="0"/>
    <x v="3"/>
    <x v="414"/>
  </r>
  <r>
    <x v="1177"/>
    <x v="162"/>
    <x v="221"/>
    <x v="86"/>
    <x v="11"/>
    <x v="2"/>
    <x v="0"/>
    <x v="6"/>
    <x v="14"/>
    <x v="5"/>
    <x v="9"/>
    <x v="68"/>
    <x v="35"/>
    <x v="17"/>
    <x v="27"/>
    <x v="134"/>
    <x v="1"/>
    <x v="8"/>
    <x v="1"/>
    <x v="1"/>
    <x v="1"/>
    <x v="1"/>
    <x v="0"/>
    <x v="0"/>
    <x v="28"/>
  </r>
  <r>
    <x v="1178"/>
    <x v="344"/>
    <x v="65"/>
    <x v="2"/>
    <x v="77"/>
    <x v="3"/>
    <x v="0"/>
    <x v="22"/>
    <x v="44"/>
    <x v="1"/>
    <x v="63"/>
    <x v="77"/>
    <x v="295"/>
    <x v="74"/>
    <x v="478"/>
    <x v="121"/>
    <x v="1"/>
    <x v="12"/>
    <x v="0"/>
    <x v="1"/>
    <x v="1"/>
    <x v="1"/>
    <x v="0"/>
    <x v="3"/>
    <x v="459"/>
  </r>
  <r>
    <x v="1179"/>
    <x v="254"/>
    <x v="171"/>
    <x v="17"/>
    <x v="18"/>
    <x v="4"/>
    <x v="0"/>
    <x v="11"/>
    <x v="23"/>
    <x v="2"/>
    <x v="23"/>
    <x v="56"/>
    <x v="123"/>
    <x v="34"/>
    <x v="207"/>
    <x v="211"/>
    <x v="1"/>
    <x v="9"/>
    <x v="2"/>
    <x v="1"/>
    <x v="1"/>
    <x v="1"/>
    <x v="0"/>
    <x v="4"/>
    <x v="200"/>
  </r>
  <r>
    <x v="1180"/>
    <x v="325"/>
    <x v="282"/>
    <x v="96"/>
    <x v="91"/>
    <x v="0"/>
    <x v="0"/>
    <x v="23"/>
    <x v="47"/>
    <x v="1"/>
    <x v="75"/>
    <x v="98"/>
    <x v="348"/>
    <x v="93"/>
    <x v="478"/>
    <x v="41"/>
    <x v="1"/>
    <x v="4"/>
    <x v="0"/>
    <x v="2"/>
    <x v="1"/>
    <x v="1"/>
    <x v="0"/>
    <x v="4"/>
    <x v="459"/>
  </r>
  <r>
    <x v="1181"/>
    <x v="25"/>
    <x v="247"/>
    <x v="27"/>
    <x v="78"/>
    <x v="4"/>
    <x v="0"/>
    <x v="19"/>
    <x v="38"/>
    <x v="2"/>
    <x v="50"/>
    <x v="105"/>
    <x v="234"/>
    <x v="60"/>
    <x v="379"/>
    <x v="144"/>
    <x v="1"/>
    <x v="13"/>
    <x v="1"/>
    <x v="1"/>
    <x v="1"/>
    <x v="1"/>
    <x v="0"/>
    <x v="4"/>
    <x v="365"/>
  </r>
  <r>
    <x v="1182"/>
    <x v="293"/>
    <x v="288"/>
    <x v="81"/>
    <x v="31"/>
    <x v="2"/>
    <x v="3"/>
    <x v="2"/>
    <x v="4"/>
    <x v="2"/>
    <x v="25"/>
    <x v="59"/>
    <x v="132"/>
    <x v="30"/>
    <x v="308"/>
    <x v="305"/>
    <x v="1"/>
    <x v="7"/>
    <x v="1"/>
    <x v="1"/>
    <x v="1"/>
    <x v="1"/>
    <x v="0"/>
    <x v="4"/>
    <x v="297"/>
  </r>
  <r>
    <x v="1183"/>
    <x v="136"/>
    <x v="244"/>
    <x v="21"/>
    <x v="93"/>
    <x v="4"/>
    <x v="3"/>
    <x v="7"/>
    <x v="14"/>
    <x v="4"/>
    <x v="52"/>
    <x v="166"/>
    <x v="227"/>
    <x v="55"/>
    <x v="438"/>
    <x v="222"/>
    <x v="1"/>
    <x v="17"/>
    <x v="1"/>
    <x v="0"/>
    <x v="1"/>
    <x v="1"/>
    <x v="0"/>
    <x v="4"/>
    <x v="423"/>
  </r>
  <r>
    <x v="1184"/>
    <x v="208"/>
    <x v="222"/>
    <x v="87"/>
    <x v="26"/>
    <x v="0"/>
    <x v="0"/>
    <x v="15"/>
    <x v="34"/>
    <x v="0"/>
    <x v="35"/>
    <x v="0"/>
    <x v="195"/>
    <x v="52"/>
    <x v="319"/>
    <x v="155"/>
    <x v="4"/>
    <x v="4"/>
    <x v="1"/>
    <x v="1"/>
    <x v="2"/>
    <x v="1"/>
    <x v="0"/>
    <x v="3"/>
    <x v="307"/>
  </r>
  <r>
    <x v="1185"/>
    <x v="125"/>
    <x v="287"/>
    <x v="8"/>
    <x v="50"/>
    <x v="3"/>
    <x v="3"/>
    <x v="10"/>
    <x v="20"/>
    <x v="0"/>
    <x v="71"/>
    <x v="0"/>
    <x v="343"/>
    <x v="72"/>
    <x v="622"/>
    <x v="283"/>
    <x v="1"/>
    <x v="13"/>
    <x v="1"/>
    <x v="1"/>
    <x v="1"/>
    <x v="1"/>
    <x v="0"/>
    <x v="3"/>
    <x v="593"/>
  </r>
  <r>
    <x v="1186"/>
    <x v="8"/>
    <x v="253"/>
    <x v="21"/>
    <x v="93"/>
    <x v="4"/>
    <x v="1"/>
    <x v="7"/>
    <x v="14"/>
    <x v="1"/>
    <x v="26"/>
    <x v="29"/>
    <x v="142"/>
    <x v="33"/>
    <x v="317"/>
    <x v="295"/>
    <x v="4"/>
    <x v="3"/>
    <x v="2"/>
    <x v="0"/>
    <x v="2"/>
    <x v="1"/>
    <x v="0"/>
    <x v="4"/>
    <x v="306"/>
  </r>
  <r>
    <x v="1187"/>
    <x v="309"/>
    <x v="78"/>
    <x v="15"/>
    <x v="14"/>
    <x v="4"/>
    <x v="0"/>
    <x v="7"/>
    <x v="15"/>
    <x v="2"/>
    <x v="11"/>
    <x v="29"/>
    <x v="61"/>
    <x v="18"/>
    <x v="99"/>
    <x v="236"/>
    <x v="2"/>
    <x v="19"/>
    <x v="0"/>
    <x v="1"/>
    <x v="2"/>
    <x v="1"/>
    <x v="0"/>
    <x v="2"/>
    <x v="96"/>
  </r>
  <r>
    <x v="1188"/>
    <x v="265"/>
    <x v="63"/>
    <x v="8"/>
    <x v="50"/>
    <x v="3"/>
    <x v="1"/>
    <x v="10"/>
    <x v="20"/>
    <x v="1"/>
    <x v="44"/>
    <x v="50"/>
    <x v="220"/>
    <x v="50"/>
    <x v="446"/>
    <x v="262"/>
    <x v="1"/>
    <x v="8"/>
    <x v="1"/>
    <x v="1"/>
    <x v="1"/>
    <x v="1"/>
    <x v="0"/>
    <x v="0"/>
    <x v="431"/>
  </r>
  <r>
    <x v="1189"/>
    <x v="279"/>
    <x v="236"/>
    <x v="47"/>
    <x v="74"/>
    <x v="1"/>
    <x v="0"/>
    <x v="4"/>
    <x v="9"/>
    <x v="4"/>
    <x v="5"/>
    <x v="41"/>
    <x v="24"/>
    <x v="11"/>
    <x v="20"/>
    <x v="189"/>
    <x v="1"/>
    <x v="5"/>
    <x v="0"/>
    <x v="1"/>
    <x v="1"/>
    <x v="1"/>
    <x v="0"/>
    <x v="3"/>
    <x v="21"/>
  </r>
  <r>
    <x v="1190"/>
    <x v="340"/>
    <x v="161"/>
    <x v="20"/>
    <x v="40"/>
    <x v="4"/>
    <x v="2"/>
    <x v="17"/>
    <x v="32"/>
    <x v="3"/>
    <x v="87"/>
    <x v="204"/>
    <x v="378"/>
    <x v="89"/>
    <x v="617"/>
    <x v="182"/>
    <x v="4"/>
    <x v="8"/>
    <x v="1"/>
    <x v="0"/>
    <x v="2"/>
    <x v="1"/>
    <x v="0"/>
    <x v="4"/>
    <x v="588"/>
  </r>
  <r>
    <x v="1191"/>
    <x v="319"/>
    <x v="286"/>
    <x v="87"/>
    <x v="26"/>
    <x v="0"/>
    <x v="1"/>
    <x v="15"/>
    <x v="34"/>
    <x v="0"/>
    <x v="64"/>
    <x v="0"/>
    <x v="311"/>
    <x v="75"/>
    <x v="520"/>
    <x v="155"/>
    <x v="4"/>
    <x v="0"/>
    <x v="1"/>
    <x v="1"/>
    <x v="2"/>
    <x v="1"/>
    <x v="0"/>
    <x v="0"/>
    <x v="497"/>
  </r>
  <r>
    <x v="1192"/>
    <x v="296"/>
    <x v="193"/>
    <x v="67"/>
    <x v="21"/>
    <x v="6"/>
    <x v="1"/>
    <x v="4"/>
    <x v="7"/>
    <x v="1"/>
    <x v="15"/>
    <x v="17"/>
    <x v="91"/>
    <x v="19"/>
    <x v="229"/>
    <x v="328"/>
    <x v="1"/>
    <x v="3"/>
    <x v="1"/>
    <x v="1"/>
    <x v="1"/>
    <x v="1"/>
    <x v="0"/>
    <x v="0"/>
    <x v="221"/>
  </r>
  <r>
    <x v="1193"/>
    <x v="344"/>
    <x v="114"/>
    <x v="26"/>
    <x v="8"/>
    <x v="4"/>
    <x v="1"/>
    <x v="5"/>
    <x v="10"/>
    <x v="1"/>
    <x v="19"/>
    <x v="21"/>
    <x v="110"/>
    <x v="25"/>
    <x v="239"/>
    <x v="293"/>
    <x v="1"/>
    <x v="3"/>
    <x v="0"/>
    <x v="1"/>
    <x v="1"/>
    <x v="1"/>
    <x v="0"/>
    <x v="4"/>
    <x v="231"/>
  </r>
  <r>
    <x v="1194"/>
    <x v="39"/>
    <x v="195"/>
    <x v="72"/>
    <x v="43"/>
    <x v="6"/>
    <x v="0"/>
    <x v="20"/>
    <x v="40"/>
    <x v="2"/>
    <x v="54"/>
    <x v="113"/>
    <x v="253"/>
    <x v="67"/>
    <x v="400"/>
    <x v="120"/>
    <x v="3"/>
    <x v="15"/>
    <x v="1"/>
    <x v="1"/>
    <x v="3"/>
    <x v="1"/>
    <x v="0"/>
    <x v="4"/>
    <x v="0"/>
  </r>
  <r>
    <x v="1195"/>
    <x v="100"/>
    <x v="163"/>
    <x v="68"/>
    <x v="80"/>
    <x v="6"/>
    <x v="0"/>
    <x v="12"/>
    <x v="27"/>
    <x v="4"/>
    <x v="27"/>
    <x v="112"/>
    <x v="120"/>
    <x v="39"/>
    <x v="150"/>
    <x v="105"/>
    <x v="0"/>
    <x v="12"/>
    <x v="0"/>
    <x v="1"/>
    <x v="0"/>
    <x v="1"/>
    <x v="0"/>
    <x v="1"/>
    <x v="0"/>
  </r>
  <r>
    <x v="1196"/>
    <x v="40"/>
    <x v="115"/>
    <x v="91"/>
    <x v="39"/>
    <x v="0"/>
    <x v="0"/>
    <x v="12"/>
    <x v="29"/>
    <x v="3"/>
    <x v="27"/>
    <x v="90"/>
    <x v="126"/>
    <x v="43"/>
    <x v="149"/>
    <x v="87"/>
    <x v="1"/>
    <x v="18"/>
    <x v="1"/>
    <x v="0"/>
    <x v="1"/>
    <x v="1"/>
    <x v="0"/>
    <x v="4"/>
    <x v="143"/>
  </r>
  <r>
    <x v="1197"/>
    <x v="121"/>
    <x v="184"/>
    <x v="35"/>
    <x v="24"/>
    <x v="5"/>
    <x v="0"/>
    <x v="17"/>
    <x v="35"/>
    <x v="0"/>
    <x v="42"/>
    <x v="0"/>
    <x v="217"/>
    <x v="55"/>
    <x v="398"/>
    <x v="195"/>
    <x v="1"/>
    <x v="17"/>
    <x v="1"/>
    <x v="2"/>
    <x v="1"/>
    <x v="1"/>
    <x v="0"/>
    <x v="4"/>
    <x v="384"/>
  </r>
  <r>
    <x v="1198"/>
    <x v="309"/>
    <x v="221"/>
    <x v="97"/>
    <x v="81"/>
    <x v="0"/>
    <x v="2"/>
    <x v="12"/>
    <x v="29"/>
    <x v="2"/>
    <x v="69"/>
    <x v="143"/>
    <x v="316"/>
    <x v="79"/>
    <x v="508"/>
    <x v="119"/>
    <x v="2"/>
    <x v="8"/>
    <x v="1"/>
    <x v="0"/>
    <x v="2"/>
    <x v="1"/>
    <x v="0"/>
    <x v="2"/>
    <x v="486"/>
  </r>
  <r>
    <x v="1199"/>
    <x v="179"/>
    <x v="89"/>
    <x v="33"/>
    <x v="87"/>
    <x v="5"/>
    <x v="0"/>
    <x v="11"/>
    <x v="23"/>
    <x v="2"/>
    <x v="23"/>
    <x v="56"/>
    <x v="123"/>
    <x v="34"/>
    <x v="207"/>
    <x v="211"/>
    <x v="1"/>
    <x v="7"/>
    <x v="1"/>
    <x v="0"/>
    <x v="1"/>
    <x v="1"/>
    <x v="0"/>
    <x v="0"/>
    <x v="200"/>
  </r>
  <r>
    <x v="1200"/>
    <x v="51"/>
    <x v="34"/>
    <x v="63"/>
    <x v="33"/>
    <x v="6"/>
    <x v="0"/>
    <x v="9"/>
    <x v="18"/>
    <x v="3"/>
    <x v="16"/>
    <x v="65"/>
    <x v="80"/>
    <x v="24"/>
    <x v="144"/>
    <x v="218"/>
    <x v="1"/>
    <x v="2"/>
    <x v="1"/>
    <x v="0"/>
    <x v="1"/>
    <x v="1"/>
    <x v="0"/>
    <x v="4"/>
    <x v="138"/>
  </r>
  <r>
    <x v="1201"/>
    <x v="222"/>
    <x v="47"/>
    <x v="98"/>
    <x v="72"/>
    <x v="0"/>
    <x v="1"/>
    <x v="15"/>
    <x v="34"/>
    <x v="3"/>
    <x v="64"/>
    <x v="164"/>
    <x v="284"/>
    <x v="75"/>
    <x v="401"/>
    <x v="65"/>
    <x v="4"/>
    <x v="10"/>
    <x v="0"/>
    <x v="1"/>
    <x v="2"/>
    <x v="1"/>
    <x v="0"/>
    <x v="0"/>
    <x v="386"/>
  </r>
  <r>
    <x v="1202"/>
    <x v="82"/>
    <x v="200"/>
    <x v="12"/>
    <x v="56"/>
    <x v="3"/>
    <x v="3"/>
    <x v="9"/>
    <x v="22"/>
    <x v="2"/>
    <x v="66"/>
    <x v="139"/>
    <x v="305"/>
    <x v="78"/>
    <x v="476"/>
    <x v="95"/>
    <x v="0"/>
    <x v="1"/>
    <x v="0"/>
    <x v="1"/>
    <x v="0"/>
    <x v="1"/>
    <x v="0"/>
    <x v="1"/>
    <x v="0"/>
  </r>
  <r>
    <x v="1203"/>
    <x v="94"/>
    <x v="290"/>
    <x v="14"/>
    <x v="65"/>
    <x v="3"/>
    <x v="0"/>
    <x v="24"/>
    <x v="49"/>
    <x v="3"/>
    <x v="83"/>
    <x v="200"/>
    <x v="353"/>
    <x v="99"/>
    <x v="352"/>
    <x v="8"/>
    <x v="1"/>
    <x v="11"/>
    <x v="2"/>
    <x v="2"/>
    <x v="1"/>
    <x v="1"/>
    <x v="0"/>
    <x v="4"/>
    <x v="339"/>
  </r>
  <r>
    <x v="1204"/>
    <x v="150"/>
    <x v="223"/>
    <x v="55"/>
    <x v="37"/>
    <x v="1"/>
    <x v="4"/>
    <x v="15"/>
    <x v="34"/>
    <x v="2"/>
    <x v="99"/>
    <x v="203"/>
    <x v="415"/>
    <x v="110"/>
    <x v="647"/>
    <x v="91"/>
    <x v="1"/>
    <x v="12"/>
    <x v="1"/>
    <x v="2"/>
    <x v="1"/>
    <x v="2"/>
    <x v="0"/>
    <x v="3"/>
    <x v="614"/>
  </r>
  <r>
    <x v="1205"/>
    <x v="37"/>
    <x v="20"/>
    <x v="86"/>
    <x v="11"/>
    <x v="2"/>
    <x v="0"/>
    <x v="6"/>
    <x v="14"/>
    <x v="4"/>
    <x v="9"/>
    <x v="54"/>
    <x v="41"/>
    <x v="17"/>
    <x v="42"/>
    <x v="168"/>
    <x v="1"/>
    <x v="6"/>
    <x v="1"/>
    <x v="2"/>
    <x v="1"/>
    <x v="1"/>
    <x v="0"/>
    <x v="0"/>
    <x v="43"/>
  </r>
  <r>
    <x v="1206"/>
    <x v="176"/>
    <x v="182"/>
    <x v="23"/>
    <x v="49"/>
    <x v="4"/>
    <x v="0"/>
    <x v="12"/>
    <x v="24"/>
    <x v="2"/>
    <x v="27"/>
    <x v="62"/>
    <x v="137"/>
    <x v="36"/>
    <x v="252"/>
    <x v="226"/>
    <x v="1"/>
    <x v="4"/>
    <x v="0"/>
    <x v="2"/>
    <x v="1"/>
    <x v="1"/>
    <x v="0"/>
    <x v="0"/>
    <x v="244"/>
  </r>
  <r>
    <x v="1207"/>
    <x v="267"/>
    <x v="289"/>
    <x v="92"/>
    <x v="45"/>
    <x v="0"/>
    <x v="0"/>
    <x v="21"/>
    <x v="44"/>
    <x v="1"/>
    <x v="58"/>
    <x v="69"/>
    <x v="283"/>
    <x v="74"/>
    <x v="412"/>
    <x v="79"/>
    <x v="2"/>
    <x v="16"/>
    <x v="0"/>
    <x v="1"/>
    <x v="2"/>
    <x v="1"/>
    <x v="0"/>
    <x v="2"/>
    <x v="397"/>
  </r>
  <r>
    <x v="1208"/>
    <x v="123"/>
    <x v="204"/>
    <x v="19"/>
    <x v="2"/>
    <x v="4"/>
    <x v="0"/>
    <x v="14"/>
    <x v="30"/>
    <x v="3"/>
    <x v="33"/>
    <x v="104"/>
    <x v="154"/>
    <x v="45"/>
    <x v="228"/>
    <x v="141"/>
    <x v="1"/>
    <x v="17"/>
    <x v="1"/>
    <x v="1"/>
    <x v="1"/>
    <x v="1"/>
    <x v="0"/>
    <x v="3"/>
    <x v="220"/>
  </r>
  <r>
    <x v="1209"/>
    <x v="252"/>
    <x v="40"/>
    <x v="33"/>
    <x v="87"/>
    <x v="5"/>
    <x v="2"/>
    <x v="11"/>
    <x v="23"/>
    <x v="4"/>
    <x v="65"/>
    <x v="190"/>
    <x v="281"/>
    <x v="70"/>
    <x v="467"/>
    <x v="147"/>
    <x v="1"/>
    <x v="6"/>
    <x v="0"/>
    <x v="1"/>
    <x v="1"/>
    <x v="1"/>
    <x v="0"/>
    <x v="4"/>
    <x v="448"/>
  </r>
  <r>
    <x v="1210"/>
    <x v="114"/>
    <x v="129"/>
    <x v="58"/>
    <x v="5"/>
    <x v="1"/>
    <x v="0"/>
    <x v="9"/>
    <x v="20"/>
    <x v="5"/>
    <x v="16"/>
    <x v="97"/>
    <x v="71"/>
    <x v="29"/>
    <x v="52"/>
    <x v="72"/>
    <x v="1"/>
    <x v="16"/>
    <x v="1"/>
    <x v="0"/>
    <x v="1"/>
    <x v="1"/>
    <x v="0"/>
    <x v="4"/>
    <x v="51"/>
  </r>
  <r>
    <x v="1211"/>
    <x v="211"/>
    <x v="43"/>
    <x v="1"/>
    <x v="9"/>
    <x v="3"/>
    <x v="3"/>
    <x v="17"/>
    <x v="36"/>
    <x v="0"/>
    <x v="96"/>
    <x v="0"/>
    <x v="418"/>
    <x v="108"/>
    <x v="661"/>
    <x v="161"/>
    <x v="1"/>
    <x v="8"/>
    <x v="1"/>
    <x v="0"/>
    <x v="1"/>
    <x v="2"/>
    <x v="0"/>
    <x v="0"/>
    <x v="625"/>
  </r>
  <r>
    <x v="1212"/>
    <x v="276"/>
    <x v="282"/>
    <x v="65"/>
    <x v="36"/>
    <x v="6"/>
    <x v="0"/>
    <x v="7"/>
    <x v="14"/>
    <x v="1"/>
    <x v="11"/>
    <x v="12"/>
    <x v="64"/>
    <x v="17"/>
    <x v="132"/>
    <x v="295"/>
    <x v="1"/>
    <x v="4"/>
    <x v="0"/>
    <x v="0"/>
    <x v="1"/>
    <x v="1"/>
    <x v="0"/>
    <x v="4"/>
    <x v="127"/>
  </r>
  <r>
    <x v="1213"/>
    <x v="138"/>
    <x v="281"/>
    <x v="21"/>
    <x v="93"/>
    <x v="4"/>
    <x v="0"/>
    <x v="7"/>
    <x v="14"/>
    <x v="0"/>
    <x v="11"/>
    <x v="0"/>
    <x v="68"/>
    <x v="17"/>
    <x v="147"/>
    <x v="309"/>
    <x v="1"/>
    <x v="8"/>
    <x v="1"/>
    <x v="0"/>
    <x v="1"/>
    <x v="1"/>
    <x v="0"/>
    <x v="3"/>
    <x v="141"/>
  </r>
  <r>
    <x v="1214"/>
    <x v="198"/>
    <x v="240"/>
    <x v="90"/>
    <x v="69"/>
    <x v="0"/>
    <x v="0"/>
    <x v="20"/>
    <x v="41"/>
    <x v="0"/>
    <x v="54"/>
    <x v="0"/>
    <x v="269"/>
    <x v="68"/>
    <x v="442"/>
    <x v="129"/>
    <x v="1"/>
    <x v="1"/>
    <x v="0"/>
    <x v="1"/>
    <x v="1"/>
    <x v="1"/>
    <x v="0"/>
    <x v="4"/>
    <x v="427"/>
  </r>
  <r>
    <x v="1215"/>
    <x v="87"/>
    <x v="68"/>
    <x v="81"/>
    <x v="31"/>
    <x v="2"/>
    <x v="1"/>
    <x v="2"/>
    <x v="4"/>
    <x v="4"/>
    <x v="10"/>
    <x v="59"/>
    <x v="49"/>
    <x v="14"/>
    <x v="91"/>
    <x v="267"/>
    <x v="1"/>
    <x v="0"/>
    <x v="0"/>
    <x v="0"/>
    <x v="1"/>
    <x v="1"/>
    <x v="0"/>
    <x v="3"/>
    <x v="89"/>
  </r>
  <r>
    <x v="1216"/>
    <x v="195"/>
    <x v="24"/>
    <x v="68"/>
    <x v="80"/>
    <x v="6"/>
    <x v="0"/>
    <x v="12"/>
    <x v="27"/>
    <x v="1"/>
    <x v="27"/>
    <x v="30"/>
    <x v="143"/>
    <x v="39"/>
    <x v="251"/>
    <x v="203"/>
    <x v="1"/>
    <x v="4"/>
    <x v="1"/>
    <x v="1"/>
    <x v="1"/>
    <x v="1"/>
    <x v="0"/>
    <x v="0"/>
    <x v="243"/>
  </r>
  <r>
    <x v="1217"/>
    <x v="319"/>
    <x v="16"/>
    <x v="77"/>
    <x v="75"/>
    <x v="2"/>
    <x v="0"/>
    <x v="2"/>
    <x v="4"/>
    <x v="1"/>
    <x v="2"/>
    <x v="3"/>
    <x v="16"/>
    <x v="4"/>
    <x v="31"/>
    <x v="318"/>
    <x v="1"/>
    <x v="18"/>
    <x v="1"/>
    <x v="1"/>
    <x v="1"/>
    <x v="1"/>
    <x v="0"/>
    <x v="4"/>
    <x v="32"/>
  </r>
  <r>
    <x v="1218"/>
    <x v="27"/>
    <x v="219"/>
    <x v="7"/>
    <x v="62"/>
    <x v="3"/>
    <x v="2"/>
    <x v="5"/>
    <x v="9"/>
    <x v="3"/>
    <x v="31"/>
    <x v="100"/>
    <x v="152"/>
    <x v="36"/>
    <x v="328"/>
    <x v="277"/>
    <x v="1"/>
    <x v="14"/>
    <x v="1"/>
    <x v="1"/>
    <x v="1"/>
    <x v="1"/>
    <x v="0"/>
    <x v="4"/>
    <x v="316"/>
  </r>
  <r>
    <x v="1219"/>
    <x v="192"/>
    <x v="5"/>
    <x v="58"/>
    <x v="5"/>
    <x v="1"/>
    <x v="2"/>
    <x v="9"/>
    <x v="20"/>
    <x v="5"/>
    <x v="55"/>
    <x v="188"/>
    <x v="226"/>
    <x v="65"/>
    <x v="303"/>
    <x v="72"/>
    <x v="1"/>
    <x v="12"/>
    <x v="1"/>
    <x v="1"/>
    <x v="1"/>
    <x v="1"/>
    <x v="0"/>
    <x v="0"/>
    <x v="292"/>
  </r>
  <r>
    <x v="1220"/>
    <x v="349"/>
    <x v="63"/>
    <x v="34"/>
    <x v="59"/>
    <x v="5"/>
    <x v="0"/>
    <x v="12"/>
    <x v="28"/>
    <x v="3"/>
    <x v="27"/>
    <x v="90"/>
    <x v="126"/>
    <x v="41"/>
    <x v="168"/>
    <x v="118"/>
    <x v="1"/>
    <x v="8"/>
    <x v="1"/>
    <x v="2"/>
    <x v="1"/>
    <x v="1"/>
    <x v="0"/>
    <x v="4"/>
    <x v="162"/>
  </r>
  <r>
    <x v="1221"/>
    <x v="255"/>
    <x v="170"/>
    <x v="98"/>
    <x v="72"/>
    <x v="0"/>
    <x v="0"/>
    <x v="15"/>
    <x v="34"/>
    <x v="4"/>
    <x v="35"/>
    <x v="134"/>
    <x v="155"/>
    <x v="52"/>
    <x v="141"/>
    <x v="42"/>
    <x v="1"/>
    <x v="11"/>
    <x v="0"/>
    <x v="1"/>
    <x v="1"/>
    <x v="1"/>
    <x v="0"/>
    <x v="0"/>
    <x v="135"/>
  </r>
  <r>
    <x v="1222"/>
    <x v="62"/>
    <x v="214"/>
    <x v="32"/>
    <x v="7"/>
    <x v="5"/>
    <x v="0"/>
    <x v="14"/>
    <x v="30"/>
    <x v="1"/>
    <x v="33"/>
    <x v="36"/>
    <x v="172"/>
    <x v="45"/>
    <x v="313"/>
    <x v="205"/>
    <x v="1"/>
    <x v="18"/>
    <x v="1"/>
    <x v="0"/>
    <x v="1"/>
    <x v="1"/>
    <x v="0"/>
    <x v="3"/>
    <x v="302"/>
  </r>
  <r>
    <x v="1223"/>
    <x v="209"/>
    <x v="89"/>
    <x v="86"/>
    <x v="11"/>
    <x v="2"/>
    <x v="1"/>
    <x v="6"/>
    <x v="14"/>
    <x v="4"/>
    <x v="22"/>
    <x v="101"/>
    <x v="103"/>
    <x v="33"/>
    <x v="161"/>
    <x v="168"/>
    <x v="2"/>
    <x v="7"/>
    <x v="1"/>
    <x v="0"/>
    <x v="2"/>
    <x v="1"/>
    <x v="0"/>
    <x v="2"/>
    <x v="155"/>
  </r>
  <r>
    <x v="1224"/>
    <x v="178"/>
    <x v="247"/>
    <x v="74"/>
    <x v="4"/>
    <x v="2"/>
    <x v="0"/>
    <x v="1"/>
    <x v="1"/>
    <x v="0"/>
    <x v="1"/>
    <x v="0"/>
    <x v="11"/>
    <x v="1"/>
    <x v="24"/>
    <x v="339"/>
    <x v="1"/>
    <x v="13"/>
    <x v="1"/>
    <x v="1"/>
    <x v="1"/>
    <x v="1"/>
    <x v="0"/>
    <x v="0"/>
    <x v="25"/>
  </r>
  <r>
    <x v="1225"/>
    <x v="262"/>
    <x v="72"/>
    <x v="71"/>
    <x v="88"/>
    <x v="6"/>
    <x v="1"/>
    <x v="5"/>
    <x v="10"/>
    <x v="0"/>
    <x v="19"/>
    <x v="0"/>
    <x v="117"/>
    <x v="25"/>
    <x v="272"/>
    <x v="307"/>
    <x v="1"/>
    <x v="11"/>
    <x v="1"/>
    <x v="1"/>
    <x v="1"/>
    <x v="1"/>
    <x v="0"/>
    <x v="4"/>
    <x v="263"/>
  </r>
  <r>
    <x v="1226"/>
    <x v="251"/>
    <x v="99"/>
    <x v="88"/>
    <x v="57"/>
    <x v="0"/>
    <x v="3"/>
    <x v="22"/>
    <x v="45"/>
    <x v="3"/>
    <x v="109"/>
    <x v="242"/>
    <x v="437"/>
    <x v="122"/>
    <x v="659"/>
    <x v="37"/>
    <x v="2"/>
    <x v="6"/>
    <x v="1"/>
    <x v="1"/>
    <x v="2"/>
    <x v="2"/>
    <x v="0"/>
    <x v="2"/>
    <x v="624"/>
  </r>
  <r>
    <x v="1227"/>
    <x v="286"/>
    <x v="17"/>
    <x v="84"/>
    <x v="55"/>
    <x v="2"/>
    <x v="1"/>
    <x v="3"/>
    <x v="6"/>
    <x v="1"/>
    <x v="13"/>
    <x v="15"/>
    <x v="77"/>
    <x v="18"/>
    <x v="176"/>
    <x v="315"/>
    <x v="1"/>
    <x v="15"/>
    <x v="0"/>
    <x v="2"/>
    <x v="1"/>
    <x v="1"/>
    <x v="0"/>
    <x v="4"/>
    <x v="170"/>
  </r>
  <r>
    <x v="1228"/>
    <x v="306"/>
    <x v="164"/>
    <x v="50"/>
    <x v="10"/>
    <x v="1"/>
    <x v="0"/>
    <x v="5"/>
    <x v="11"/>
    <x v="0"/>
    <x v="7"/>
    <x v="0"/>
    <x v="50"/>
    <x v="13"/>
    <x v="97"/>
    <x v="289"/>
    <x v="1"/>
    <x v="17"/>
    <x v="1"/>
    <x v="0"/>
    <x v="1"/>
    <x v="1"/>
    <x v="0"/>
    <x v="4"/>
    <x v="95"/>
  </r>
  <r>
    <x v="1229"/>
    <x v="279"/>
    <x v="191"/>
    <x v="44"/>
    <x v="53"/>
    <x v="5"/>
    <x v="2"/>
    <x v="6"/>
    <x v="12"/>
    <x v="1"/>
    <x v="36"/>
    <x v="40"/>
    <x v="194"/>
    <x v="42"/>
    <x v="416"/>
    <x v="294"/>
    <x v="1"/>
    <x v="9"/>
    <x v="1"/>
    <x v="1"/>
    <x v="1"/>
    <x v="1"/>
    <x v="0"/>
    <x v="4"/>
    <x v="401"/>
  </r>
  <r>
    <x v="1230"/>
    <x v="32"/>
    <x v="254"/>
    <x v="39"/>
    <x v="20"/>
    <x v="5"/>
    <x v="0"/>
    <x v="13"/>
    <x v="29"/>
    <x v="0"/>
    <x v="29"/>
    <x v="0"/>
    <x v="163"/>
    <x v="43"/>
    <x v="319"/>
    <x v="227"/>
    <x v="1"/>
    <x v="18"/>
    <x v="0"/>
    <x v="2"/>
    <x v="1"/>
    <x v="1"/>
    <x v="0"/>
    <x v="3"/>
    <x v="307"/>
  </r>
  <r>
    <x v="1231"/>
    <x v="292"/>
    <x v="48"/>
    <x v="3"/>
    <x v="90"/>
    <x v="3"/>
    <x v="1"/>
    <x v="3"/>
    <x v="7"/>
    <x v="0"/>
    <x v="13"/>
    <x v="0"/>
    <x v="83"/>
    <x v="19"/>
    <x v="184"/>
    <x v="306"/>
    <x v="1"/>
    <x v="0"/>
    <x v="1"/>
    <x v="0"/>
    <x v="1"/>
    <x v="1"/>
    <x v="0"/>
    <x v="0"/>
    <x v="178"/>
  </r>
  <r>
    <x v="1232"/>
    <x v="105"/>
    <x v="215"/>
    <x v="26"/>
    <x v="8"/>
    <x v="4"/>
    <x v="1"/>
    <x v="5"/>
    <x v="10"/>
    <x v="1"/>
    <x v="19"/>
    <x v="21"/>
    <x v="110"/>
    <x v="25"/>
    <x v="239"/>
    <x v="293"/>
    <x v="4"/>
    <x v="15"/>
    <x v="2"/>
    <x v="1"/>
    <x v="2"/>
    <x v="1"/>
    <x v="0"/>
    <x v="4"/>
    <x v="231"/>
  </r>
  <r>
    <x v="1233"/>
    <x v="39"/>
    <x v="290"/>
    <x v="9"/>
    <x v="95"/>
    <x v="3"/>
    <x v="1"/>
    <x v="19"/>
    <x v="39"/>
    <x v="0"/>
    <x v="78"/>
    <x v="0"/>
    <x v="367"/>
    <x v="89"/>
    <x v="593"/>
    <x v="149"/>
    <x v="1"/>
    <x v="11"/>
    <x v="2"/>
    <x v="0"/>
    <x v="1"/>
    <x v="1"/>
    <x v="0"/>
    <x v="3"/>
    <x v="568"/>
  </r>
  <r>
    <x v="1234"/>
    <x v="112"/>
    <x v="171"/>
    <x v="94"/>
    <x v="86"/>
    <x v="0"/>
    <x v="1"/>
    <x v="18"/>
    <x v="38"/>
    <x v="2"/>
    <x v="72"/>
    <x v="150"/>
    <x v="327"/>
    <x v="84"/>
    <x v="489"/>
    <x v="81"/>
    <x v="2"/>
    <x v="9"/>
    <x v="2"/>
    <x v="1"/>
    <x v="2"/>
    <x v="1"/>
    <x v="0"/>
    <x v="2"/>
    <x v="470"/>
  </r>
  <r>
    <x v="1235"/>
    <x v="196"/>
    <x v="133"/>
    <x v="35"/>
    <x v="24"/>
    <x v="5"/>
    <x v="0"/>
    <x v="17"/>
    <x v="35"/>
    <x v="3"/>
    <x v="42"/>
    <x v="124"/>
    <x v="190"/>
    <x v="55"/>
    <x v="267"/>
    <x v="102"/>
    <x v="4"/>
    <x v="3"/>
    <x v="0"/>
    <x v="1"/>
    <x v="2"/>
    <x v="1"/>
    <x v="0"/>
    <x v="0"/>
    <x v="258"/>
  </r>
  <r>
    <x v="1236"/>
    <x v="332"/>
    <x v="279"/>
    <x v="22"/>
    <x v="79"/>
    <x v="4"/>
    <x v="2"/>
    <x v="4"/>
    <x v="7"/>
    <x v="0"/>
    <x v="28"/>
    <x v="0"/>
    <x v="156"/>
    <x v="30"/>
    <x v="389"/>
    <x v="334"/>
    <x v="1"/>
    <x v="14"/>
    <x v="1"/>
    <x v="1"/>
    <x v="1"/>
    <x v="1"/>
    <x v="0"/>
    <x v="0"/>
    <x v="375"/>
  </r>
  <r>
    <x v="1237"/>
    <x v="241"/>
    <x v="57"/>
    <x v="98"/>
    <x v="72"/>
    <x v="0"/>
    <x v="0"/>
    <x v="15"/>
    <x v="34"/>
    <x v="0"/>
    <x v="35"/>
    <x v="0"/>
    <x v="195"/>
    <x v="52"/>
    <x v="319"/>
    <x v="155"/>
    <x v="1"/>
    <x v="15"/>
    <x v="0"/>
    <x v="1"/>
    <x v="1"/>
    <x v="1"/>
    <x v="0"/>
    <x v="4"/>
    <x v="307"/>
  </r>
  <r>
    <x v="1238"/>
    <x v="25"/>
    <x v="227"/>
    <x v="82"/>
    <x v="67"/>
    <x v="2"/>
    <x v="4"/>
    <x v="5"/>
    <x v="12"/>
    <x v="2"/>
    <x v="51"/>
    <x v="109"/>
    <x v="245"/>
    <x v="59"/>
    <x v="463"/>
    <x v="220"/>
    <x v="0"/>
    <x v="13"/>
    <x v="0"/>
    <x v="2"/>
    <x v="0"/>
    <x v="1"/>
    <x v="0"/>
    <x v="1"/>
    <x v="0"/>
  </r>
  <r>
    <x v="1239"/>
    <x v="94"/>
    <x v="61"/>
    <x v="96"/>
    <x v="91"/>
    <x v="0"/>
    <x v="2"/>
    <x v="23"/>
    <x v="47"/>
    <x v="3"/>
    <x v="110"/>
    <x v="243"/>
    <x v="439"/>
    <x v="124"/>
    <x v="617"/>
    <x v="9"/>
    <x v="3"/>
    <x v="14"/>
    <x v="2"/>
    <x v="2"/>
    <x v="3"/>
    <x v="2"/>
    <x v="0"/>
    <x v="3"/>
    <x v="0"/>
  </r>
  <r>
    <x v="1240"/>
    <x v="326"/>
    <x v="48"/>
    <x v="59"/>
    <x v="99"/>
    <x v="6"/>
    <x v="0"/>
    <x v="10"/>
    <x v="20"/>
    <x v="0"/>
    <x v="20"/>
    <x v="0"/>
    <x v="119"/>
    <x v="29"/>
    <x v="250"/>
    <x v="283"/>
    <x v="1"/>
    <x v="0"/>
    <x v="1"/>
    <x v="2"/>
    <x v="1"/>
    <x v="1"/>
    <x v="0"/>
    <x v="4"/>
    <x v="242"/>
  </r>
  <r>
    <x v="1241"/>
    <x v="143"/>
    <x v="36"/>
    <x v="90"/>
    <x v="69"/>
    <x v="0"/>
    <x v="2"/>
    <x v="20"/>
    <x v="41"/>
    <x v="1"/>
    <x v="97"/>
    <x v="146"/>
    <x v="414"/>
    <x v="109"/>
    <x v="650"/>
    <x v="98"/>
    <x v="1"/>
    <x v="18"/>
    <x v="1"/>
    <x v="0"/>
    <x v="1"/>
    <x v="2"/>
    <x v="0"/>
    <x v="0"/>
    <x v="617"/>
  </r>
  <r>
    <x v="1242"/>
    <x v="160"/>
    <x v="280"/>
    <x v="99"/>
    <x v="16"/>
    <x v="0"/>
    <x v="3"/>
    <x v="22"/>
    <x v="46"/>
    <x v="3"/>
    <x v="109"/>
    <x v="242"/>
    <x v="437"/>
    <x v="123"/>
    <x v="648"/>
    <x v="25"/>
    <x v="1"/>
    <x v="1"/>
    <x v="1"/>
    <x v="2"/>
    <x v="1"/>
    <x v="2"/>
    <x v="0"/>
    <x v="3"/>
    <x v="615"/>
  </r>
  <r>
    <x v="1243"/>
    <x v="58"/>
    <x v="57"/>
    <x v="35"/>
    <x v="24"/>
    <x v="5"/>
    <x v="0"/>
    <x v="17"/>
    <x v="35"/>
    <x v="1"/>
    <x v="42"/>
    <x v="47"/>
    <x v="209"/>
    <x v="55"/>
    <x v="359"/>
    <x v="167"/>
    <x v="1"/>
    <x v="15"/>
    <x v="0"/>
    <x v="1"/>
    <x v="1"/>
    <x v="1"/>
    <x v="0"/>
    <x v="0"/>
    <x v="345"/>
  </r>
  <r>
    <x v="1244"/>
    <x v="228"/>
    <x v="121"/>
    <x v="16"/>
    <x v="22"/>
    <x v="4"/>
    <x v="0"/>
    <x v="15"/>
    <x v="31"/>
    <x v="5"/>
    <x v="35"/>
    <x v="151"/>
    <x v="146"/>
    <x v="47"/>
    <x v="164"/>
    <x v="75"/>
    <x v="1"/>
    <x v="1"/>
    <x v="1"/>
    <x v="1"/>
    <x v="1"/>
    <x v="1"/>
    <x v="0"/>
    <x v="4"/>
    <x v="158"/>
  </r>
  <r>
    <x v="1245"/>
    <x v="171"/>
    <x v="42"/>
    <x v="55"/>
    <x v="37"/>
    <x v="1"/>
    <x v="0"/>
    <x v="15"/>
    <x v="34"/>
    <x v="4"/>
    <x v="35"/>
    <x v="134"/>
    <x v="155"/>
    <x v="52"/>
    <x v="141"/>
    <x v="42"/>
    <x v="1"/>
    <x v="1"/>
    <x v="0"/>
    <x v="1"/>
    <x v="1"/>
    <x v="1"/>
    <x v="0"/>
    <x v="4"/>
    <x v="135"/>
  </r>
  <r>
    <x v="1246"/>
    <x v="265"/>
    <x v="62"/>
    <x v="25"/>
    <x v="84"/>
    <x v="4"/>
    <x v="1"/>
    <x v="10"/>
    <x v="18"/>
    <x v="2"/>
    <x v="44"/>
    <x v="94"/>
    <x v="212"/>
    <x v="45"/>
    <x v="452"/>
    <x v="299"/>
    <x v="1"/>
    <x v="1"/>
    <x v="0"/>
    <x v="1"/>
    <x v="1"/>
    <x v="1"/>
    <x v="0"/>
    <x v="4"/>
    <x v="437"/>
  </r>
  <r>
    <x v="1247"/>
    <x v="126"/>
    <x v="138"/>
    <x v="68"/>
    <x v="80"/>
    <x v="6"/>
    <x v="0"/>
    <x v="12"/>
    <x v="27"/>
    <x v="1"/>
    <x v="27"/>
    <x v="30"/>
    <x v="143"/>
    <x v="39"/>
    <x v="251"/>
    <x v="203"/>
    <x v="1"/>
    <x v="6"/>
    <x v="1"/>
    <x v="2"/>
    <x v="1"/>
    <x v="1"/>
    <x v="0"/>
    <x v="4"/>
    <x v="243"/>
  </r>
  <r>
    <x v="1248"/>
    <x v="221"/>
    <x v="46"/>
    <x v="31"/>
    <x v="94"/>
    <x v="5"/>
    <x v="0"/>
    <x v="5"/>
    <x v="9"/>
    <x v="4"/>
    <x v="7"/>
    <x v="49"/>
    <x v="33"/>
    <x v="11"/>
    <x v="50"/>
    <x v="253"/>
    <x v="4"/>
    <x v="17"/>
    <x v="2"/>
    <x v="0"/>
    <x v="2"/>
    <x v="1"/>
    <x v="0"/>
    <x v="4"/>
    <x v="50"/>
  </r>
  <r>
    <x v="1249"/>
    <x v="334"/>
    <x v="254"/>
    <x v="83"/>
    <x v="96"/>
    <x v="2"/>
    <x v="2"/>
    <x v="10"/>
    <x v="23"/>
    <x v="3"/>
    <x v="60"/>
    <x v="158"/>
    <x v="273"/>
    <x v="70"/>
    <x v="429"/>
    <x v="115"/>
    <x v="2"/>
    <x v="18"/>
    <x v="0"/>
    <x v="0"/>
    <x v="2"/>
    <x v="1"/>
    <x v="0"/>
    <x v="2"/>
    <x v="414"/>
  </r>
  <r>
    <x v="1250"/>
    <x v="52"/>
    <x v="100"/>
    <x v="18"/>
    <x v="71"/>
    <x v="4"/>
    <x v="1"/>
    <x v="20"/>
    <x v="40"/>
    <x v="2"/>
    <x v="82"/>
    <x v="169"/>
    <x v="368"/>
    <x v="91"/>
    <x v="572"/>
    <x v="120"/>
    <x v="4"/>
    <x v="14"/>
    <x v="1"/>
    <x v="2"/>
    <x v="2"/>
    <x v="1"/>
    <x v="0"/>
    <x v="4"/>
    <x v="549"/>
  </r>
  <r>
    <x v="1251"/>
    <x v="5"/>
    <x v="184"/>
    <x v="53"/>
    <x v="29"/>
    <x v="1"/>
    <x v="0"/>
    <x v="3"/>
    <x v="6"/>
    <x v="2"/>
    <x v="4"/>
    <x v="15"/>
    <x v="23"/>
    <x v="6"/>
    <x v="40"/>
    <x v="302"/>
    <x v="1"/>
    <x v="17"/>
    <x v="1"/>
    <x v="1"/>
    <x v="1"/>
    <x v="1"/>
    <x v="0"/>
    <x v="0"/>
    <x v="41"/>
  </r>
  <r>
    <x v="1252"/>
    <x v="67"/>
    <x v="279"/>
    <x v="41"/>
    <x v="6"/>
    <x v="5"/>
    <x v="1"/>
    <x v="10"/>
    <x v="21"/>
    <x v="4"/>
    <x v="44"/>
    <x v="149"/>
    <x v="192"/>
    <x v="51"/>
    <x v="325"/>
    <x v="165"/>
    <x v="1"/>
    <x v="14"/>
    <x v="1"/>
    <x v="2"/>
    <x v="1"/>
    <x v="1"/>
    <x v="0"/>
    <x v="0"/>
    <x v="313"/>
  </r>
  <r>
    <x v="1253"/>
    <x v="17"/>
    <x v="195"/>
    <x v="10"/>
    <x v="42"/>
    <x v="3"/>
    <x v="2"/>
    <x v="18"/>
    <x v="37"/>
    <x v="2"/>
    <x v="89"/>
    <x v="182"/>
    <x v="391"/>
    <x v="97"/>
    <x v="606"/>
    <x v="109"/>
    <x v="1"/>
    <x v="15"/>
    <x v="1"/>
    <x v="0"/>
    <x v="1"/>
    <x v="1"/>
    <x v="0"/>
    <x v="4"/>
    <x v="579"/>
  </r>
  <r>
    <x v="1254"/>
    <x v="226"/>
    <x v="205"/>
    <x v="75"/>
    <x v="23"/>
    <x v="2"/>
    <x v="1"/>
    <x v="5"/>
    <x v="11"/>
    <x v="3"/>
    <x v="19"/>
    <x v="71"/>
    <x v="96"/>
    <x v="28"/>
    <x v="172"/>
    <x v="220"/>
    <x v="1"/>
    <x v="10"/>
    <x v="1"/>
    <x v="2"/>
    <x v="1"/>
    <x v="1"/>
    <x v="0"/>
    <x v="0"/>
    <x v="166"/>
  </r>
  <r>
    <x v="1255"/>
    <x v="251"/>
    <x v="139"/>
    <x v="70"/>
    <x v="27"/>
    <x v="6"/>
    <x v="0"/>
    <x v="9"/>
    <x v="19"/>
    <x v="4"/>
    <x v="16"/>
    <x v="83"/>
    <x v="75"/>
    <x v="25"/>
    <x v="106"/>
    <x v="156"/>
    <x v="1"/>
    <x v="14"/>
    <x v="2"/>
    <x v="0"/>
    <x v="1"/>
    <x v="1"/>
    <x v="0"/>
    <x v="0"/>
    <x v="102"/>
  </r>
  <r>
    <x v="1256"/>
    <x v="195"/>
    <x v="35"/>
    <x v="93"/>
    <x v="70"/>
    <x v="0"/>
    <x v="1"/>
    <x v="20"/>
    <x v="42"/>
    <x v="3"/>
    <x v="82"/>
    <x v="199"/>
    <x v="352"/>
    <x v="94"/>
    <x v="472"/>
    <x v="34"/>
    <x v="1"/>
    <x v="3"/>
    <x v="0"/>
    <x v="1"/>
    <x v="1"/>
    <x v="1"/>
    <x v="0"/>
    <x v="3"/>
    <x v="453"/>
  </r>
  <r>
    <x v="1257"/>
    <x v="221"/>
    <x v="5"/>
    <x v="84"/>
    <x v="55"/>
    <x v="2"/>
    <x v="1"/>
    <x v="3"/>
    <x v="6"/>
    <x v="2"/>
    <x v="13"/>
    <x v="33"/>
    <x v="72"/>
    <x v="18"/>
    <x v="159"/>
    <x v="302"/>
    <x v="1"/>
    <x v="12"/>
    <x v="1"/>
    <x v="1"/>
    <x v="1"/>
    <x v="1"/>
    <x v="0"/>
    <x v="0"/>
    <x v="153"/>
  </r>
  <r>
    <x v="1258"/>
    <x v="143"/>
    <x v="30"/>
    <x v="61"/>
    <x v="76"/>
    <x v="6"/>
    <x v="0"/>
    <x v="2"/>
    <x v="3"/>
    <x v="1"/>
    <x v="2"/>
    <x v="3"/>
    <x v="16"/>
    <x v="3"/>
    <x v="36"/>
    <x v="336"/>
    <x v="3"/>
    <x v="7"/>
    <x v="1"/>
    <x v="2"/>
    <x v="3"/>
    <x v="1"/>
    <x v="0"/>
    <x v="4"/>
    <x v="0"/>
  </r>
  <r>
    <x v="1259"/>
    <x v="39"/>
    <x v="14"/>
    <x v="24"/>
    <x v="44"/>
    <x v="4"/>
    <x v="1"/>
    <x v="16"/>
    <x v="33"/>
    <x v="1"/>
    <x v="67"/>
    <x v="84"/>
    <x v="314"/>
    <x v="73"/>
    <x v="545"/>
    <x v="186"/>
    <x v="1"/>
    <x v="2"/>
    <x v="1"/>
    <x v="2"/>
    <x v="1"/>
    <x v="1"/>
    <x v="0"/>
    <x v="3"/>
    <x v="522"/>
  </r>
  <r>
    <x v="1260"/>
    <x v="23"/>
    <x v="233"/>
    <x v="4"/>
    <x v="66"/>
    <x v="3"/>
    <x v="2"/>
    <x v="14"/>
    <x v="31"/>
    <x v="4"/>
    <x v="77"/>
    <x v="207"/>
    <x v="326"/>
    <x v="86"/>
    <x v="480"/>
    <x v="66"/>
    <x v="1"/>
    <x v="3"/>
    <x v="1"/>
    <x v="1"/>
    <x v="1"/>
    <x v="1"/>
    <x v="0"/>
    <x v="3"/>
    <x v="461"/>
  </r>
  <r>
    <x v="1261"/>
    <x v="349"/>
    <x v="143"/>
    <x v="2"/>
    <x v="77"/>
    <x v="3"/>
    <x v="1"/>
    <x v="22"/>
    <x v="44"/>
    <x v="4"/>
    <x v="91"/>
    <x v="227"/>
    <x v="383"/>
    <x v="101"/>
    <x v="522"/>
    <x v="38"/>
    <x v="1"/>
    <x v="12"/>
    <x v="0"/>
    <x v="2"/>
    <x v="1"/>
    <x v="1"/>
    <x v="0"/>
    <x v="0"/>
    <x v="499"/>
  </r>
  <r>
    <x v="1262"/>
    <x v="72"/>
    <x v="136"/>
    <x v="48"/>
    <x v="28"/>
    <x v="1"/>
    <x v="0"/>
    <x v="3"/>
    <x v="7"/>
    <x v="0"/>
    <x v="4"/>
    <x v="0"/>
    <x v="29"/>
    <x v="7"/>
    <x v="57"/>
    <x v="306"/>
    <x v="1"/>
    <x v="5"/>
    <x v="1"/>
    <x v="0"/>
    <x v="1"/>
    <x v="1"/>
    <x v="0"/>
    <x v="3"/>
    <x v="56"/>
  </r>
  <r>
    <x v="1263"/>
    <x v="247"/>
    <x v="265"/>
    <x v="97"/>
    <x v="81"/>
    <x v="0"/>
    <x v="1"/>
    <x v="12"/>
    <x v="29"/>
    <x v="0"/>
    <x v="53"/>
    <x v="0"/>
    <x v="268"/>
    <x v="67"/>
    <x v="469"/>
    <x v="179"/>
    <x v="1"/>
    <x v="10"/>
    <x v="0"/>
    <x v="1"/>
    <x v="1"/>
    <x v="1"/>
    <x v="0"/>
    <x v="0"/>
    <x v="450"/>
  </r>
  <r>
    <x v="1264"/>
    <x v="153"/>
    <x v="70"/>
    <x v="49"/>
    <x v="38"/>
    <x v="1"/>
    <x v="2"/>
    <x v="6"/>
    <x v="13"/>
    <x v="0"/>
    <x v="36"/>
    <x v="0"/>
    <x v="199"/>
    <x v="44"/>
    <x v="428"/>
    <x v="291"/>
    <x v="1"/>
    <x v="7"/>
    <x v="2"/>
    <x v="0"/>
    <x v="1"/>
    <x v="1"/>
    <x v="0"/>
    <x v="4"/>
    <x v="413"/>
  </r>
  <r>
    <x v="1265"/>
    <x v="121"/>
    <x v="296"/>
    <x v="87"/>
    <x v="26"/>
    <x v="0"/>
    <x v="1"/>
    <x v="15"/>
    <x v="34"/>
    <x v="2"/>
    <x v="64"/>
    <x v="134"/>
    <x v="293"/>
    <x v="75"/>
    <x v="452"/>
    <x v="91"/>
    <x v="1"/>
    <x v="5"/>
    <x v="1"/>
    <x v="1"/>
    <x v="1"/>
    <x v="1"/>
    <x v="0"/>
    <x v="4"/>
    <x v="437"/>
  </r>
  <r>
    <x v="1266"/>
    <x v="70"/>
    <x v="66"/>
    <x v="19"/>
    <x v="2"/>
    <x v="4"/>
    <x v="1"/>
    <x v="14"/>
    <x v="30"/>
    <x v="4"/>
    <x v="61"/>
    <x v="181"/>
    <x v="263"/>
    <x v="68"/>
    <x v="407"/>
    <x v="107"/>
    <x v="1"/>
    <x v="17"/>
    <x v="2"/>
    <x v="0"/>
    <x v="1"/>
    <x v="1"/>
    <x v="0"/>
    <x v="3"/>
    <x v="392"/>
  </r>
  <r>
    <x v="1267"/>
    <x v="289"/>
    <x v="295"/>
    <x v="61"/>
    <x v="76"/>
    <x v="6"/>
    <x v="0"/>
    <x v="2"/>
    <x v="3"/>
    <x v="0"/>
    <x v="2"/>
    <x v="0"/>
    <x v="18"/>
    <x v="3"/>
    <x v="47"/>
    <x v="340"/>
    <x v="1"/>
    <x v="15"/>
    <x v="1"/>
    <x v="1"/>
    <x v="1"/>
    <x v="1"/>
    <x v="0"/>
    <x v="4"/>
    <x v="47"/>
  </r>
  <r>
    <x v="1268"/>
    <x v="293"/>
    <x v="120"/>
    <x v="58"/>
    <x v="5"/>
    <x v="1"/>
    <x v="0"/>
    <x v="9"/>
    <x v="20"/>
    <x v="3"/>
    <x v="16"/>
    <x v="65"/>
    <x v="80"/>
    <x v="29"/>
    <x v="109"/>
    <x v="138"/>
    <x v="1"/>
    <x v="14"/>
    <x v="0"/>
    <x v="1"/>
    <x v="1"/>
    <x v="1"/>
    <x v="0"/>
    <x v="0"/>
    <x v="105"/>
  </r>
  <r>
    <x v="1269"/>
    <x v="108"/>
    <x v="13"/>
    <x v="8"/>
    <x v="50"/>
    <x v="3"/>
    <x v="3"/>
    <x v="10"/>
    <x v="20"/>
    <x v="2"/>
    <x v="71"/>
    <x v="149"/>
    <x v="325"/>
    <x v="72"/>
    <x v="586"/>
    <x v="237"/>
    <x v="0"/>
    <x v="9"/>
    <x v="1"/>
    <x v="1"/>
    <x v="0"/>
    <x v="1"/>
    <x v="0"/>
    <x v="1"/>
    <x v="0"/>
  </r>
  <r>
    <x v="1270"/>
    <x v="341"/>
    <x v="273"/>
    <x v="43"/>
    <x v="25"/>
    <x v="5"/>
    <x v="0"/>
    <x v="3"/>
    <x v="5"/>
    <x v="0"/>
    <x v="4"/>
    <x v="0"/>
    <x v="29"/>
    <x v="5"/>
    <x v="74"/>
    <x v="338"/>
    <x v="1"/>
    <x v="3"/>
    <x v="0"/>
    <x v="1"/>
    <x v="1"/>
    <x v="1"/>
    <x v="0"/>
    <x v="4"/>
    <x v="73"/>
  </r>
  <r>
    <x v="1271"/>
    <x v="141"/>
    <x v="273"/>
    <x v="16"/>
    <x v="22"/>
    <x v="4"/>
    <x v="4"/>
    <x v="15"/>
    <x v="31"/>
    <x v="4"/>
    <x v="99"/>
    <x v="239"/>
    <x v="408"/>
    <x v="106"/>
    <x v="636"/>
    <x v="108"/>
    <x v="1"/>
    <x v="3"/>
    <x v="0"/>
    <x v="0"/>
    <x v="1"/>
    <x v="2"/>
    <x v="0"/>
    <x v="3"/>
    <x v="606"/>
  </r>
  <r>
    <x v="1272"/>
    <x v="303"/>
    <x v="250"/>
    <x v="10"/>
    <x v="42"/>
    <x v="3"/>
    <x v="0"/>
    <x v="18"/>
    <x v="37"/>
    <x v="3"/>
    <x v="45"/>
    <x v="130"/>
    <x v="206"/>
    <x v="59"/>
    <x v="261"/>
    <x v="80"/>
    <x v="1"/>
    <x v="11"/>
    <x v="0"/>
    <x v="0"/>
    <x v="1"/>
    <x v="1"/>
    <x v="0"/>
    <x v="0"/>
    <x v="252"/>
  </r>
  <r>
    <x v="1273"/>
    <x v="165"/>
    <x v="252"/>
    <x v="55"/>
    <x v="37"/>
    <x v="1"/>
    <x v="0"/>
    <x v="15"/>
    <x v="34"/>
    <x v="3"/>
    <x v="35"/>
    <x v="106"/>
    <x v="164"/>
    <x v="52"/>
    <x v="182"/>
    <x v="65"/>
    <x v="1"/>
    <x v="2"/>
    <x v="1"/>
    <x v="2"/>
    <x v="1"/>
    <x v="1"/>
    <x v="0"/>
    <x v="4"/>
    <x v="176"/>
  </r>
  <r>
    <x v="1274"/>
    <x v="130"/>
    <x v="250"/>
    <x v="38"/>
    <x v="92"/>
    <x v="5"/>
    <x v="0"/>
    <x v="9"/>
    <x v="18"/>
    <x v="3"/>
    <x v="16"/>
    <x v="65"/>
    <x v="80"/>
    <x v="24"/>
    <x v="144"/>
    <x v="218"/>
    <x v="2"/>
    <x v="11"/>
    <x v="0"/>
    <x v="0"/>
    <x v="2"/>
    <x v="1"/>
    <x v="0"/>
    <x v="2"/>
    <x v="138"/>
  </r>
  <r>
    <x v="1275"/>
    <x v="302"/>
    <x v="170"/>
    <x v="27"/>
    <x v="78"/>
    <x v="4"/>
    <x v="0"/>
    <x v="19"/>
    <x v="38"/>
    <x v="0"/>
    <x v="50"/>
    <x v="0"/>
    <x v="252"/>
    <x v="60"/>
    <x v="454"/>
    <x v="200"/>
    <x v="0"/>
    <x v="11"/>
    <x v="0"/>
    <x v="1"/>
    <x v="0"/>
    <x v="1"/>
    <x v="0"/>
    <x v="1"/>
    <x v="0"/>
  </r>
  <r>
    <x v="1276"/>
    <x v="328"/>
    <x v="12"/>
    <x v="42"/>
    <x v="47"/>
    <x v="5"/>
    <x v="2"/>
    <x v="15"/>
    <x v="32"/>
    <x v="2"/>
    <x v="79"/>
    <x v="164"/>
    <x v="359"/>
    <x v="89"/>
    <x v="575"/>
    <x v="130"/>
    <x v="1"/>
    <x v="11"/>
    <x v="1"/>
    <x v="2"/>
    <x v="1"/>
    <x v="1"/>
    <x v="0"/>
    <x v="0"/>
    <x v="552"/>
  </r>
  <r>
    <x v="1277"/>
    <x v="114"/>
    <x v="29"/>
    <x v="70"/>
    <x v="27"/>
    <x v="6"/>
    <x v="0"/>
    <x v="9"/>
    <x v="19"/>
    <x v="0"/>
    <x v="16"/>
    <x v="0"/>
    <x v="99"/>
    <x v="25"/>
    <x v="200"/>
    <x v="264"/>
    <x v="1"/>
    <x v="13"/>
    <x v="1"/>
    <x v="2"/>
    <x v="1"/>
    <x v="1"/>
    <x v="0"/>
    <x v="0"/>
    <x v="193"/>
  </r>
  <r>
    <x v="1278"/>
    <x v="172"/>
    <x v="153"/>
    <x v="72"/>
    <x v="43"/>
    <x v="6"/>
    <x v="0"/>
    <x v="20"/>
    <x v="40"/>
    <x v="3"/>
    <x v="54"/>
    <x v="146"/>
    <x v="238"/>
    <x v="67"/>
    <x v="352"/>
    <x v="88"/>
    <x v="4"/>
    <x v="3"/>
    <x v="1"/>
    <x v="0"/>
    <x v="2"/>
    <x v="1"/>
    <x v="0"/>
    <x v="4"/>
    <x v="339"/>
  </r>
  <r>
    <x v="1279"/>
    <x v="98"/>
    <x v="75"/>
    <x v="11"/>
    <x v="15"/>
    <x v="3"/>
    <x v="2"/>
    <x v="8"/>
    <x v="17"/>
    <x v="0"/>
    <x v="48"/>
    <x v="0"/>
    <x v="248"/>
    <x v="54"/>
    <x v="500"/>
    <x v="285"/>
    <x v="1"/>
    <x v="3"/>
    <x v="1"/>
    <x v="0"/>
    <x v="1"/>
    <x v="1"/>
    <x v="0"/>
    <x v="0"/>
    <x v="479"/>
  </r>
  <r>
    <x v="1280"/>
    <x v="278"/>
    <x v="22"/>
    <x v="64"/>
    <x v="3"/>
    <x v="6"/>
    <x v="0"/>
    <x v="12"/>
    <x v="28"/>
    <x v="2"/>
    <x v="27"/>
    <x v="62"/>
    <x v="137"/>
    <x v="41"/>
    <x v="201"/>
    <x v="154"/>
    <x v="1"/>
    <x v="1"/>
    <x v="1"/>
    <x v="1"/>
    <x v="1"/>
    <x v="1"/>
    <x v="0"/>
    <x v="3"/>
    <x v="194"/>
  </r>
  <r>
    <x v="1281"/>
    <x v="101"/>
    <x v="155"/>
    <x v="88"/>
    <x v="57"/>
    <x v="0"/>
    <x v="0"/>
    <x v="22"/>
    <x v="45"/>
    <x v="1"/>
    <x v="63"/>
    <x v="77"/>
    <x v="295"/>
    <x v="76"/>
    <x v="447"/>
    <x v="84"/>
    <x v="1"/>
    <x v="15"/>
    <x v="1"/>
    <x v="1"/>
    <x v="1"/>
    <x v="1"/>
    <x v="0"/>
    <x v="0"/>
    <x v="432"/>
  </r>
  <r>
    <x v="1282"/>
    <x v="341"/>
    <x v="43"/>
    <x v="38"/>
    <x v="92"/>
    <x v="5"/>
    <x v="0"/>
    <x v="9"/>
    <x v="18"/>
    <x v="0"/>
    <x v="16"/>
    <x v="0"/>
    <x v="99"/>
    <x v="24"/>
    <x v="210"/>
    <x v="288"/>
    <x v="1"/>
    <x v="8"/>
    <x v="1"/>
    <x v="2"/>
    <x v="1"/>
    <x v="1"/>
    <x v="0"/>
    <x v="4"/>
    <x v="203"/>
  </r>
  <r>
    <x v="1283"/>
    <x v="250"/>
    <x v="169"/>
    <x v="18"/>
    <x v="71"/>
    <x v="4"/>
    <x v="2"/>
    <x v="20"/>
    <x v="40"/>
    <x v="2"/>
    <x v="97"/>
    <x v="199"/>
    <x v="411"/>
    <x v="107"/>
    <x v="651"/>
    <x v="120"/>
    <x v="1"/>
    <x v="16"/>
    <x v="1"/>
    <x v="0"/>
    <x v="1"/>
    <x v="2"/>
    <x v="0"/>
    <x v="3"/>
    <x v="618"/>
  </r>
  <r>
    <x v="1284"/>
    <x v="299"/>
    <x v="225"/>
    <x v="47"/>
    <x v="74"/>
    <x v="1"/>
    <x v="0"/>
    <x v="4"/>
    <x v="9"/>
    <x v="0"/>
    <x v="5"/>
    <x v="0"/>
    <x v="38"/>
    <x v="11"/>
    <x v="74"/>
    <x v="287"/>
    <x v="1"/>
    <x v="10"/>
    <x v="1"/>
    <x v="2"/>
    <x v="1"/>
    <x v="1"/>
    <x v="0"/>
    <x v="4"/>
    <x v="73"/>
  </r>
  <r>
    <x v="1285"/>
    <x v="4"/>
    <x v="30"/>
    <x v="67"/>
    <x v="21"/>
    <x v="6"/>
    <x v="0"/>
    <x v="4"/>
    <x v="7"/>
    <x v="1"/>
    <x v="5"/>
    <x v="6"/>
    <x v="34"/>
    <x v="7"/>
    <x v="88"/>
    <x v="328"/>
    <x v="3"/>
    <x v="7"/>
    <x v="1"/>
    <x v="2"/>
    <x v="3"/>
    <x v="1"/>
    <x v="0"/>
    <x v="4"/>
    <x v="0"/>
  </r>
  <r>
    <x v="1286"/>
    <x v="141"/>
    <x v="70"/>
    <x v="21"/>
    <x v="93"/>
    <x v="4"/>
    <x v="1"/>
    <x v="7"/>
    <x v="14"/>
    <x v="1"/>
    <x v="26"/>
    <x v="29"/>
    <x v="142"/>
    <x v="33"/>
    <x v="317"/>
    <x v="295"/>
    <x v="4"/>
    <x v="7"/>
    <x v="2"/>
    <x v="2"/>
    <x v="2"/>
    <x v="1"/>
    <x v="0"/>
    <x v="0"/>
    <x v="306"/>
  </r>
  <r>
    <x v="1287"/>
    <x v="153"/>
    <x v="119"/>
    <x v="29"/>
    <x v="34"/>
    <x v="4"/>
    <x v="1"/>
    <x v="21"/>
    <x v="43"/>
    <x v="1"/>
    <x v="88"/>
    <x v="125"/>
    <x v="392"/>
    <x v="96"/>
    <x v="621"/>
    <x v="132"/>
    <x v="2"/>
    <x v="6"/>
    <x v="1"/>
    <x v="0"/>
    <x v="2"/>
    <x v="1"/>
    <x v="0"/>
    <x v="2"/>
    <x v="592"/>
  </r>
  <r>
    <x v="1288"/>
    <x v="180"/>
    <x v="102"/>
    <x v="30"/>
    <x v="83"/>
    <x v="5"/>
    <x v="2"/>
    <x v="9"/>
    <x v="18"/>
    <x v="1"/>
    <x v="55"/>
    <x v="65"/>
    <x v="267"/>
    <x v="59"/>
    <x v="519"/>
    <x v="268"/>
    <x v="3"/>
    <x v="8"/>
    <x v="0"/>
    <x v="0"/>
    <x v="3"/>
    <x v="1"/>
    <x v="0"/>
    <x v="3"/>
    <x v="0"/>
  </r>
  <r>
    <x v="1289"/>
    <x v="281"/>
    <x v="65"/>
    <x v="75"/>
    <x v="23"/>
    <x v="2"/>
    <x v="1"/>
    <x v="5"/>
    <x v="11"/>
    <x v="0"/>
    <x v="19"/>
    <x v="0"/>
    <x v="117"/>
    <x v="28"/>
    <x v="257"/>
    <x v="289"/>
    <x v="1"/>
    <x v="12"/>
    <x v="0"/>
    <x v="1"/>
    <x v="1"/>
    <x v="1"/>
    <x v="0"/>
    <x v="4"/>
    <x v="248"/>
  </r>
  <r>
    <x v="1290"/>
    <x v="191"/>
    <x v="105"/>
    <x v="81"/>
    <x v="31"/>
    <x v="2"/>
    <x v="1"/>
    <x v="2"/>
    <x v="4"/>
    <x v="3"/>
    <x v="10"/>
    <x v="44"/>
    <x v="54"/>
    <x v="14"/>
    <x v="108"/>
    <x v="290"/>
    <x v="1"/>
    <x v="17"/>
    <x v="1"/>
    <x v="0"/>
    <x v="1"/>
    <x v="1"/>
    <x v="0"/>
    <x v="3"/>
    <x v="104"/>
  </r>
  <r>
    <x v="1291"/>
    <x v="249"/>
    <x v="77"/>
    <x v="26"/>
    <x v="8"/>
    <x v="4"/>
    <x v="0"/>
    <x v="5"/>
    <x v="10"/>
    <x v="1"/>
    <x v="7"/>
    <x v="8"/>
    <x v="45"/>
    <x v="12"/>
    <x v="93"/>
    <x v="293"/>
    <x v="1"/>
    <x v="5"/>
    <x v="1"/>
    <x v="1"/>
    <x v="1"/>
    <x v="1"/>
    <x v="0"/>
    <x v="4"/>
    <x v="91"/>
  </r>
  <r>
    <x v="1292"/>
    <x v="107"/>
    <x v="150"/>
    <x v="76"/>
    <x v="64"/>
    <x v="2"/>
    <x v="0"/>
    <x v="4"/>
    <x v="8"/>
    <x v="5"/>
    <x v="5"/>
    <x v="52"/>
    <x v="21"/>
    <x v="8"/>
    <x v="23"/>
    <x v="230"/>
    <x v="1"/>
    <x v="11"/>
    <x v="1"/>
    <x v="1"/>
    <x v="1"/>
    <x v="1"/>
    <x v="0"/>
    <x v="4"/>
    <x v="24"/>
  </r>
  <r>
    <x v="1293"/>
    <x v="240"/>
    <x v="32"/>
    <x v="58"/>
    <x v="5"/>
    <x v="1"/>
    <x v="0"/>
    <x v="9"/>
    <x v="20"/>
    <x v="5"/>
    <x v="16"/>
    <x v="97"/>
    <x v="71"/>
    <x v="29"/>
    <x v="52"/>
    <x v="72"/>
    <x v="3"/>
    <x v="11"/>
    <x v="2"/>
    <x v="0"/>
    <x v="3"/>
    <x v="1"/>
    <x v="0"/>
    <x v="0"/>
    <x v="0"/>
  </r>
  <r>
    <x v="1294"/>
    <x v="230"/>
    <x v="158"/>
    <x v="16"/>
    <x v="22"/>
    <x v="4"/>
    <x v="1"/>
    <x v="15"/>
    <x v="31"/>
    <x v="3"/>
    <x v="64"/>
    <x v="164"/>
    <x v="284"/>
    <x v="71"/>
    <x v="475"/>
    <x v="142"/>
    <x v="2"/>
    <x v="6"/>
    <x v="0"/>
    <x v="1"/>
    <x v="2"/>
    <x v="1"/>
    <x v="0"/>
    <x v="2"/>
    <x v="456"/>
  </r>
  <r>
    <x v="1295"/>
    <x v="218"/>
    <x v="205"/>
    <x v="81"/>
    <x v="31"/>
    <x v="2"/>
    <x v="0"/>
    <x v="2"/>
    <x v="4"/>
    <x v="2"/>
    <x v="2"/>
    <x v="11"/>
    <x v="14"/>
    <x v="4"/>
    <x v="25"/>
    <x v="305"/>
    <x v="1"/>
    <x v="10"/>
    <x v="1"/>
    <x v="1"/>
    <x v="1"/>
    <x v="1"/>
    <x v="0"/>
    <x v="0"/>
    <x v="26"/>
  </r>
  <r>
    <x v="1296"/>
    <x v="234"/>
    <x v="15"/>
    <x v="52"/>
    <x v="54"/>
    <x v="1"/>
    <x v="0"/>
    <x v="8"/>
    <x v="16"/>
    <x v="1"/>
    <x v="14"/>
    <x v="16"/>
    <x v="78"/>
    <x v="20"/>
    <x v="162"/>
    <x v="281"/>
    <x v="4"/>
    <x v="3"/>
    <x v="0"/>
    <x v="0"/>
    <x v="2"/>
    <x v="1"/>
    <x v="0"/>
    <x v="3"/>
    <x v="156"/>
  </r>
  <r>
    <x v="1297"/>
    <x v="281"/>
    <x v="2"/>
    <x v="30"/>
    <x v="83"/>
    <x v="5"/>
    <x v="0"/>
    <x v="9"/>
    <x v="18"/>
    <x v="0"/>
    <x v="16"/>
    <x v="0"/>
    <x v="99"/>
    <x v="24"/>
    <x v="210"/>
    <x v="288"/>
    <x v="1"/>
    <x v="1"/>
    <x v="1"/>
    <x v="1"/>
    <x v="1"/>
    <x v="1"/>
    <x v="0"/>
    <x v="3"/>
    <x v="203"/>
  </r>
  <r>
    <x v="1298"/>
    <x v="227"/>
    <x v="36"/>
    <x v="37"/>
    <x v="51"/>
    <x v="5"/>
    <x v="2"/>
    <x v="8"/>
    <x v="17"/>
    <x v="1"/>
    <x v="48"/>
    <x v="55"/>
    <x v="240"/>
    <x v="54"/>
    <x v="479"/>
    <x v="265"/>
    <x v="1"/>
    <x v="18"/>
    <x v="1"/>
    <x v="1"/>
    <x v="1"/>
    <x v="1"/>
    <x v="0"/>
    <x v="3"/>
    <x v="460"/>
  </r>
  <r>
    <x v="1299"/>
    <x v="97"/>
    <x v="221"/>
    <x v="36"/>
    <x v="63"/>
    <x v="5"/>
    <x v="0"/>
    <x v="10"/>
    <x v="20"/>
    <x v="3"/>
    <x v="20"/>
    <x v="73"/>
    <x v="97"/>
    <x v="29"/>
    <x v="168"/>
    <x v="214"/>
    <x v="0"/>
    <x v="8"/>
    <x v="1"/>
    <x v="0"/>
    <x v="0"/>
    <x v="1"/>
    <x v="0"/>
    <x v="1"/>
    <x v="0"/>
  </r>
  <r>
    <x v="1300"/>
    <x v="282"/>
    <x v="235"/>
    <x v="17"/>
    <x v="18"/>
    <x v="4"/>
    <x v="0"/>
    <x v="11"/>
    <x v="23"/>
    <x v="1"/>
    <x v="23"/>
    <x v="26"/>
    <x v="129"/>
    <x v="34"/>
    <x v="235"/>
    <x v="232"/>
    <x v="1"/>
    <x v="15"/>
    <x v="1"/>
    <x v="1"/>
    <x v="1"/>
    <x v="1"/>
    <x v="0"/>
    <x v="4"/>
    <x v="227"/>
  </r>
  <r>
    <x v="1301"/>
    <x v="279"/>
    <x v="263"/>
    <x v="95"/>
    <x v="0"/>
    <x v="0"/>
    <x v="0"/>
    <x v="24"/>
    <x v="48"/>
    <x v="2"/>
    <x v="83"/>
    <x v="170"/>
    <x v="369"/>
    <x v="97"/>
    <x v="474"/>
    <x v="29"/>
    <x v="1"/>
    <x v="12"/>
    <x v="1"/>
    <x v="1"/>
    <x v="1"/>
    <x v="1"/>
    <x v="0"/>
    <x v="4"/>
    <x v="455"/>
  </r>
  <r>
    <x v="1302"/>
    <x v="308"/>
    <x v="256"/>
    <x v="73"/>
    <x v="60"/>
    <x v="2"/>
    <x v="1"/>
    <x v="3"/>
    <x v="6"/>
    <x v="4"/>
    <x v="13"/>
    <x v="70"/>
    <x v="65"/>
    <x v="18"/>
    <x v="122"/>
    <x v="263"/>
    <x v="4"/>
    <x v="5"/>
    <x v="0"/>
    <x v="1"/>
    <x v="2"/>
    <x v="1"/>
    <x v="0"/>
    <x v="3"/>
    <x v="118"/>
  </r>
  <r>
    <x v="1303"/>
    <x v="308"/>
    <x v="231"/>
    <x v="99"/>
    <x v="16"/>
    <x v="0"/>
    <x v="1"/>
    <x v="22"/>
    <x v="46"/>
    <x v="2"/>
    <x v="91"/>
    <x v="186"/>
    <x v="395"/>
    <x v="105"/>
    <x v="559"/>
    <x v="46"/>
    <x v="2"/>
    <x v="9"/>
    <x v="0"/>
    <x v="2"/>
    <x v="2"/>
    <x v="1"/>
    <x v="0"/>
    <x v="2"/>
    <x v="536"/>
  </r>
  <r>
    <x v="1304"/>
    <x v="334"/>
    <x v="81"/>
    <x v="88"/>
    <x v="57"/>
    <x v="0"/>
    <x v="0"/>
    <x v="22"/>
    <x v="45"/>
    <x v="3"/>
    <x v="63"/>
    <x v="163"/>
    <x v="278"/>
    <x v="76"/>
    <x v="332"/>
    <x v="37"/>
    <x v="1"/>
    <x v="1"/>
    <x v="2"/>
    <x v="1"/>
    <x v="1"/>
    <x v="1"/>
    <x v="0"/>
    <x v="4"/>
    <x v="320"/>
  </r>
  <r>
    <x v="1305"/>
    <x v="250"/>
    <x v="231"/>
    <x v="66"/>
    <x v="13"/>
    <x v="6"/>
    <x v="0"/>
    <x v="8"/>
    <x v="16"/>
    <x v="4"/>
    <x v="14"/>
    <x v="72"/>
    <x v="66"/>
    <x v="20"/>
    <x v="100"/>
    <x v="209"/>
    <x v="0"/>
    <x v="9"/>
    <x v="0"/>
    <x v="1"/>
    <x v="0"/>
    <x v="1"/>
    <x v="0"/>
    <x v="1"/>
    <x v="0"/>
  </r>
  <r>
    <x v="1306"/>
    <x v="285"/>
    <x v="239"/>
    <x v="59"/>
    <x v="99"/>
    <x v="6"/>
    <x v="0"/>
    <x v="10"/>
    <x v="20"/>
    <x v="3"/>
    <x v="20"/>
    <x v="73"/>
    <x v="97"/>
    <x v="29"/>
    <x v="168"/>
    <x v="214"/>
    <x v="1"/>
    <x v="14"/>
    <x v="0"/>
    <x v="0"/>
    <x v="1"/>
    <x v="1"/>
    <x v="0"/>
    <x v="0"/>
    <x v="162"/>
  </r>
  <r>
    <x v="1307"/>
    <x v="32"/>
    <x v="61"/>
    <x v="46"/>
    <x v="85"/>
    <x v="1"/>
    <x v="2"/>
    <x v="5"/>
    <x v="11"/>
    <x v="1"/>
    <x v="31"/>
    <x v="34"/>
    <x v="170"/>
    <x v="40"/>
    <x v="360"/>
    <x v="272"/>
    <x v="1"/>
    <x v="14"/>
    <x v="2"/>
    <x v="2"/>
    <x v="1"/>
    <x v="1"/>
    <x v="0"/>
    <x v="3"/>
    <x v="346"/>
  </r>
  <r>
    <x v="1308"/>
    <x v="248"/>
    <x v="272"/>
    <x v="47"/>
    <x v="74"/>
    <x v="1"/>
    <x v="0"/>
    <x v="4"/>
    <x v="9"/>
    <x v="0"/>
    <x v="5"/>
    <x v="0"/>
    <x v="38"/>
    <x v="11"/>
    <x v="74"/>
    <x v="287"/>
    <x v="0"/>
    <x v="2"/>
    <x v="2"/>
    <x v="1"/>
    <x v="0"/>
    <x v="1"/>
    <x v="0"/>
    <x v="1"/>
    <x v="0"/>
  </r>
  <r>
    <x v="1309"/>
    <x v="310"/>
    <x v="148"/>
    <x v="84"/>
    <x v="55"/>
    <x v="2"/>
    <x v="2"/>
    <x v="3"/>
    <x v="6"/>
    <x v="2"/>
    <x v="21"/>
    <x v="53"/>
    <x v="121"/>
    <x v="27"/>
    <x v="270"/>
    <x v="302"/>
    <x v="1"/>
    <x v="7"/>
    <x v="0"/>
    <x v="0"/>
    <x v="1"/>
    <x v="1"/>
    <x v="0"/>
    <x v="0"/>
    <x v="261"/>
  </r>
  <r>
    <x v="1310"/>
    <x v="65"/>
    <x v="255"/>
    <x v="93"/>
    <x v="70"/>
    <x v="0"/>
    <x v="0"/>
    <x v="20"/>
    <x v="42"/>
    <x v="3"/>
    <x v="54"/>
    <x v="146"/>
    <x v="238"/>
    <x v="69"/>
    <x v="253"/>
    <x v="34"/>
    <x v="1"/>
    <x v="15"/>
    <x v="0"/>
    <x v="2"/>
    <x v="1"/>
    <x v="1"/>
    <x v="0"/>
    <x v="0"/>
    <x v="245"/>
  </r>
  <r>
    <x v="1311"/>
    <x v="138"/>
    <x v="213"/>
    <x v="88"/>
    <x v="57"/>
    <x v="0"/>
    <x v="0"/>
    <x v="22"/>
    <x v="45"/>
    <x v="1"/>
    <x v="63"/>
    <x v="77"/>
    <x v="295"/>
    <x v="76"/>
    <x v="447"/>
    <x v="84"/>
    <x v="1"/>
    <x v="3"/>
    <x v="1"/>
    <x v="2"/>
    <x v="1"/>
    <x v="1"/>
    <x v="0"/>
    <x v="3"/>
    <x v="432"/>
  </r>
  <r>
    <x v="1312"/>
    <x v="27"/>
    <x v="7"/>
    <x v="2"/>
    <x v="77"/>
    <x v="3"/>
    <x v="4"/>
    <x v="22"/>
    <x v="44"/>
    <x v="1"/>
    <x v="112"/>
    <x v="201"/>
    <x v="446"/>
    <x v="125"/>
    <x v="675"/>
    <x v="121"/>
    <x v="1"/>
    <x v="10"/>
    <x v="0"/>
    <x v="1"/>
    <x v="1"/>
    <x v="0"/>
    <x v="0"/>
    <x v="0"/>
    <x v="637"/>
  </r>
  <r>
    <x v="1313"/>
    <x v="301"/>
    <x v="21"/>
    <x v="54"/>
    <x v="61"/>
    <x v="1"/>
    <x v="0"/>
    <x v="12"/>
    <x v="27"/>
    <x v="2"/>
    <x v="27"/>
    <x v="62"/>
    <x v="137"/>
    <x v="39"/>
    <x v="212"/>
    <x v="171"/>
    <x v="1"/>
    <x v="14"/>
    <x v="1"/>
    <x v="0"/>
    <x v="1"/>
    <x v="1"/>
    <x v="0"/>
    <x v="0"/>
    <x v="205"/>
  </r>
  <r>
    <x v="1314"/>
    <x v="245"/>
    <x v="171"/>
    <x v="12"/>
    <x v="56"/>
    <x v="3"/>
    <x v="0"/>
    <x v="9"/>
    <x v="22"/>
    <x v="5"/>
    <x v="16"/>
    <x v="97"/>
    <x v="71"/>
    <x v="33"/>
    <x v="18"/>
    <x v="21"/>
    <x v="1"/>
    <x v="9"/>
    <x v="2"/>
    <x v="1"/>
    <x v="1"/>
    <x v="1"/>
    <x v="0"/>
    <x v="4"/>
    <x v="19"/>
  </r>
  <r>
    <x v="1315"/>
    <x v="258"/>
    <x v="191"/>
    <x v="71"/>
    <x v="88"/>
    <x v="6"/>
    <x v="1"/>
    <x v="5"/>
    <x v="10"/>
    <x v="0"/>
    <x v="19"/>
    <x v="0"/>
    <x v="117"/>
    <x v="25"/>
    <x v="272"/>
    <x v="307"/>
    <x v="1"/>
    <x v="9"/>
    <x v="1"/>
    <x v="1"/>
    <x v="1"/>
    <x v="1"/>
    <x v="0"/>
    <x v="4"/>
    <x v="263"/>
  </r>
  <r>
    <x v="1316"/>
    <x v="168"/>
    <x v="93"/>
    <x v="87"/>
    <x v="26"/>
    <x v="0"/>
    <x v="4"/>
    <x v="15"/>
    <x v="34"/>
    <x v="5"/>
    <x v="99"/>
    <x v="246"/>
    <x v="402"/>
    <x v="110"/>
    <x v="528"/>
    <x v="20"/>
    <x v="1"/>
    <x v="2"/>
    <x v="1"/>
    <x v="1"/>
    <x v="1"/>
    <x v="1"/>
    <x v="0"/>
    <x v="3"/>
    <x v="505"/>
  </r>
  <r>
    <x v="1317"/>
    <x v="105"/>
    <x v="71"/>
    <x v="30"/>
    <x v="83"/>
    <x v="5"/>
    <x v="0"/>
    <x v="9"/>
    <x v="18"/>
    <x v="2"/>
    <x v="16"/>
    <x v="42"/>
    <x v="87"/>
    <x v="24"/>
    <x v="167"/>
    <x v="243"/>
    <x v="4"/>
    <x v="16"/>
    <x v="1"/>
    <x v="2"/>
    <x v="2"/>
    <x v="1"/>
    <x v="0"/>
    <x v="4"/>
    <x v="161"/>
  </r>
  <r>
    <x v="1318"/>
    <x v="209"/>
    <x v="261"/>
    <x v="27"/>
    <x v="78"/>
    <x v="4"/>
    <x v="0"/>
    <x v="19"/>
    <x v="38"/>
    <x v="0"/>
    <x v="50"/>
    <x v="0"/>
    <x v="252"/>
    <x v="60"/>
    <x v="454"/>
    <x v="200"/>
    <x v="3"/>
    <x v="8"/>
    <x v="2"/>
    <x v="0"/>
    <x v="3"/>
    <x v="1"/>
    <x v="0"/>
    <x v="0"/>
    <x v="0"/>
  </r>
  <r>
    <x v="1319"/>
    <x v="267"/>
    <x v="127"/>
    <x v="94"/>
    <x v="86"/>
    <x v="0"/>
    <x v="0"/>
    <x v="18"/>
    <x v="38"/>
    <x v="4"/>
    <x v="45"/>
    <x v="150"/>
    <x v="193"/>
    <x v="60"/>
    <x v="169"/>
    <x v="30"/>
    <x v="1"/>
    <x v="0"/>
    <x v="0"/>
    <x v="1"/>
    <x v="1"/>
    <x v="1"/>
    <x v="0"/>
    <x v="0"/>
    <x v="163"/>
  </r>
  <r>
    <x v="1320"/>
    <x v="42"/>
    <x v="4"/>
    <x v="92"/>
    <x v="45"/>
    <x v="0"/>
    <x v="2"/>
    <x v="21"/>
    <x v="44"/>
    <x v="3"/>
    <x v="100"/>
    <x v="229"/>
    <x v="416"/>
    <x v="112"/>
    <x v="595"/>
    <x v="31"/>
    <x v="1"/>
    <x v="4"/>
    <x v="1"/>
    <x v="1"/>
    <x v="1"/>
    <x v="2"/>
    <x v="0"/>
    <x v="3"/>
    <x v="570"/>
  </r>
  <r>
    <x v="1321"/>
    <x v="214"/>
    <x v="80"/>
    <x v="4"/>
    <x v="66"/>
    <x v="3"/>
    <x v="0"/>
    <x v="14"/>
    <x v="31"/>
    <x v="3"/>
    <x v="33"/>
    <x v="104"/>
    <x v="154"/>
    <x v="47"/>
    <x v="194"/>
    <x v="94"/>
    <x v="1"/>
    <x v="14"/>
    <x v="1"/>
    <x v="0"/>
    <x v="1"/>
    <x v="1"/>
    <x v="0"/>
    <x v="0"/>
    <x v="188"/>
  </r>
  <r>
    <x v="1322"/>
    <x v="301"/>
    <x v="139"/>
    <x v="8"/>
    <x v="50"/>
    <x v="3"/>
    <x v="0"/>
    <x v="10"/>
    <x v="20"/>
    <x v="0"/>
    <x v="20"/>
    <x v="0"/>
    <x v="119"/>
    <x v="29"/>
    <x v="250"/>
    <x v="283"/>
    <x v="1"/>
    <x v="14"/>
    <x v="2"/>
    <x v="0"/>
    <x v="1"/>
    <x v="1"/>
    <x v="0"/>
    <x v="0"/>
    <x v="242"/>
  </r>
  <r>
    <x v="1323"/>
    <x v="254"/>
    <x v="118"/>
    <x v="15"/>
    <x v="14"/>
    <x v="4"/>
    <x v="0"/>
    <x v="7"/>
    <x v="15"/>
    <x v="3"/>
    <x v="11"/>
    <x v="46"/>
    <x v="55"/>
    <x v="18"/>
    <x v="80"/>
    <x v="213"/>
    <x v="1"/>
    <x v="19"/>
    <x v="1"/>
    <x v="1"/>
    <x v="1"/>
    <x v="1"/>
    <x v="0"/>
    <x v="3"/>
    <x v="79"/>
  </r>
  <r>
    <x v="1324"/>
    <x v="212"/>
    <x v="236"/>
    <x v="64"/>
    <x v="3"/>
    <x v="6"/>
    <x v="3"/>
    <x v="12"/>
    <x v="28"/>
    <x v="3"/>
    <x v="81"/>
    <x v="197"/>
    <x v="351"/>
    <x v="88"/>
    <x v="563"/>
    <x v="118"/>
    <x v="1"/>
    <x v="5"/>
    <x v="0"/>
    <x v="2"/>
    <x v="1"/>
    <x v="1"/>
    <x v="0"/>
    <x v="0"/>
    <x v="540"/>
  </r>
  <r>
    <x v="1325"/>
    <x v="185"/>
    <x v="251"/>
    <x v="20"/>
    <x v="40"/>
    <x v="4"/>
    <x v="0"/>
    <x v="17"/>
    <x v="32"/>
    <x v="1"/>
    <x v="42"/>
    <x v="47"/>
    <x v="209"/>
    <x v="50"/>
    <x v="409"/>
    <x v="233"/>
    <x v="1"/>
    <x v="9"/>
    <x v="1"/>
    <x v="1"/>
    <x v="1"/>
    <x v="1"/>
    <x v="0"/>
    <x v="0"/>
    <x v="394"/>
  </r>
  <r>
    <x v="1326"/>
    <x v="124"/>
    <x v="278"/>
    <x v="38"/>
    <x v="92"/>
    <x v="5"/>
    <x v="3"/>
    <x v="9"/>
    <x v="18"/>
    <x v="0"/>
    <x v="66"/>
    <x v="0"/>
    <x v="320"/>
    <x v="68"/>
    <x v="601"/>
    <x v="288"/>
    <x v="2"/>
    <x v="6"/>
    <x v="2"/>
    <x v="0"/>
    <x v="2"/>
    <x v="1"/>
    <x v="0"/>
    <x v="2"/>
    <x v="576"/>
  </r>
  <r>
    <x v="1327"/>
    <x v="280"/>
    <x v="153"/>
    <x v="53"/>
    <x v="29"/>
    <x v="1"/>
    <x v="0"/>
    <x v="3"/>
    <x v="6"/>
    <x v="5"/>
    <x v="4"/>
    <x v="45"/>
    <x v="15"/>
    <x v="6"/>
    <x v="13"/>
    <x v="235"/>
    <x v="1"/>
    <x v="3"/>
    <x v="1"/>
    <x v="1"/>
    <x v="1"/>
    <x v="1"/>
    <x v="0"/>
    <x v="0"/>
    <x v="14"/>
  </r>
  <r>
    <x v="1328"/>
    <x v="168"/>
    <x v="267"/>
    <x v="23"/>
    <x v="49"/>
    <x v="4"/>
    <x v="0"/>
    <x v="12"/>
    <x v="24"/>
    <x v="5"/>
    <x v="27"/>
    <x v="132"/>
    <x v="108"/>
    <x v="36"/>
    <x v="151"/>
    <x v="127"/>
    <x v="1"/>
    <x v="13"/>
    <x v="1"/>
    <x v="1"/>
    <x v="1"/>
    <x v="1"/>
    <x v="0"/>
    <x v="4"/>
    <x v="145"/>
  </r>
  <r>
    <x v="1329"/>
    <x v="103"/>
    <x v="277"/>
    <x v="96"/>
    <x v="91"/>
    <x v="0"/>
    <x v="3"/>
    <x v="23"/>
    <x v="47"/>
    <x v="1"/>
    <x v="113"/>
    <x v="206"/>
    <x v="447"/>
    <x v="128"/>
    <x v="673"/>
    <x v="41"/>
    <x v="2"/>
    <x v="19"/>
    <x v="0"/>
    <x v="1"/>
    <x v="2"/>
    <x v="0"/>
    <x v="0"/>
    <x v="2"/>
    <x v="635"/>
  </r>
  <r>
    <x v="1330"/>
    <x v="297"/>
    <x v="79"/>
    <x v="76"/>
    <x v="64"/>
    <x v="2"/>
    <x v="2"/>
    <x v="4"/>
    <x v="8"/>
    <x v="0"/>
    <x v="28"/>
    <x v="0"/>
    <x v="156"/>
    <x v="32"/>
    <x v="373"/>
    <x v="323"/>
    <x v="1"/>
    <x v="6"/>
    <x v="1"/>
    <x v="0"/>
    <x v="1"/>
    <x v="1"/>
    <x v="0"/>
    <x v="3"/>
    <x v="359"/>
  </r>
  <r>
    <x v="1331"/>
    <x v="139"/>
    <x v="297"/>
    <x v="17"/>
    <x v="18"/>
    <x v="4"/>
    <x v="0"/>
    <x v="11"/>
    <x v="23"/>
    <x v="2"/>
    <x v="23"/>
    <x v="56"/>
    <x v="123"/>
    <x v="34"/>
    <x v="207"/>
    <x v="211"/>
    <x v="1"/>
    <x v="19"/>
    <x v="1"/>
    <x v="2"/>
    <x v="1"/>
    <x v="1"/>
    <x v="0"/>
    <x v="0"/>
    <x v="200"/>
  </r>
  <r>
    <x v="1332"/>
    <x v="286"/>
    <x v="252"/>
    <x v="65"/>
    <x v="36"/>
    <x v="6"/>
    <x v="1"/>
    <x v="7"/>
    <x v="14"/>
    <x v="1"/>
    <x v="26"/>
    <x v="29"/>
    <x v="142"/>
    <x v="33"/>
    <x v="317"/>
    <x v="295"/>
    <x v="1"/>
    <x v="2"/>
    <x v="1"/>
    <x v="1"/>
    <x v="1"/>
    <x v="1"/>
    <x v="0"/>
    <x v="0"/>
    <x v="306"/>
  </r>
  <r>
    <x v="1333"/>
    <x v="10"/>
    <x v="23"/>
    <x v="12"/>
    <x v="56"/>
    <x v="3"/>
    <x v="2"/>
    <x v="9"/>
    <x v="22"/>
    <x v="3"/>
    <x v="55"/>
    <x v="147"/>
    <x v="244"/>
    <x v="68"/>
    <x v="336"/>
    <x v="70"/>
    <x v="0"/>
    <x v="8"/>
    <x v="1"/>
    <x v="0"/>
    <x v="0"/>
    <x v="1"/>
    <x v="0"/>
    <x v="1"/>
    <x v="0"/>
  </r>
  <r>
    <x v="1334"/>
    <x v="63"/>
    <x v="106"/>
    <x v="38"/>
    <x v="92"/>
    <x v="5"/>
    <x v="1"/>
    <x v="9"/>
    <x v="18"/>
    <x v="1"/>
    <x v="38"/>
    <x v="42"/>
    <x v="196"/>
    <x v="45"/>
    <x v="411"/>
    <x v="268"/>
    <x v="1"/>
    <x v="10"/>
    <x v="1"/>
    <x v="1"/>
    <x v="1"/>
    <x v="1"/>
    <x v="0"/>
    <x v="0"/>
    <x v="396"/>
  </r>
  <r>
    <x v="1335"/>
    <x v="18"/>
    <x v="128"/>
    <x v="93"/>
    <x v="70"/>
    <x v="0"/>
    <x v="0"/>
    <x v="20"/>
    <x v="42"/>
    <x v="3"/>
    <x v="54"/>
    <x v="146"/>
    <x v="238"/>
    <x v="69"/>
    <x v="253"/>
    <x v="34"/>
    <x v="1"/>
    <x v="13"/>
    <x v="1"/>
    <x v="0"/>
    <x v="1"/>
    <x v="1"/>
    <x v="0"/>
    <x v="3"/>
    <x v="245"/>
  </r>
  <r>
    <x v="1336"/>
    <x v="282"/>
    <x v="49"/>
    <x v="71"/>
    <x v="88"/>
    <x v="6"/>
    <x v="0"/>
    <x v="5"/>
    <x v="10"/>
    <x v="0"/>
    <x v="7"/>
    <x v="0"/>
    <x v="50"/>
    <x v="12"/>
    <x v="104"/>
    <x v="307"/>
    <x v="4"/>
    <x v="13"/>
    <x v="0"/>
    <x v="0"/>
    <x v="2"/>
    <x v="1"/>
    <x v="0"/>
    <x v="4"/>
    <x v="100"/>
  </r>
  <r>
    <x v="1337"/>
    <x v="147"/>
    <x v="119"/>
    <x v="10"/>
    <x v="42"/>
    <x v="3"/>
    <x v="3"/>
    <x v="18"/>
    <x v="37"/>
    <x v="0"/>
    <x v="98"/>
    <x v="0"/>
    <x v="421"/>
    <x v="109"/>
    <x v="665"/>
    <x v="166"/>
    <x v="1"/>
    <x v="6"/>
    <x v="1"/>
    <x v="2"/>
    <x v="1"/>
    <x v="2"/>
    <x v="0"/>
    <x v="3"/>
    <x v="629"/>
  </r>
  <r>
    <x v="1338"/>
    <x v="320"/>
    <x v="108"/>
    <x v="48"/>
    <x v="28"/>
    <x v="1"/>
    <x v="0"/>
    <x v="3"/>
    <x v="7"/>
    <x v="2"/>
    <x v="4"/>
    <x v="15"/>
    <x v="23"/>
    <x v="7"/>
    <x v="32"/>
    <x v="273"/>
    <x v="1"/>
    <x v="13"/>
    <x v="0"/>
    <x v="0"/>
    <x v="1"/>
    <x v="1"/>
    <x v="0"/>
    <x v="3"/>
    <x v="33"/>
  </r>
  <r>
    <x v="1339"/>
    <x v="342"/>
    <x v="69"/>
    <x v="32"/>
    <x v="7"/>
    <x v="5"/>
    <x v="0"/>
    <x v="14"/>
    <x v="30"/>
    <x v="1"/>
    <x v="33"/>
    <x v="36"/>
    <x v="172"/>
    <x v="45"/>
    <x v="313"/>
    <x v="205"/>
    <x v="2"/>
    <x v="13"/>
    <x v="1"/>
    <x v="1"/>
    <x v="2"/>
    <x v="1"/>
    <x v="0"/>
    <x v="2"/>
    <x v="302"/>
  </r>
  <r>
    <x v="1340"/>
    <x v="161"/>
    <x v="134"/>
    <x v="76"/>
    <x v="64"/>
    <x v="2"/>
    <x v="1"/>
    <x v="4"/>
    <x v="8"/>
    <x v="4"/>
    <x v="15"/>
    <x v="82"/>
    <x v="74"/>
    <x v="21"/>
    <x v="146"/>
    <x v="259"/>
    <x v="1"/>
    <x v="18"/>
    <x v="0"/>
    <x v="1"/>
    <x v="1"/>
    <x v="1"/>
    <x v="0"/>
    <x v="0"/>
    <x v="140"/>
  </r>
  <r>
    <x v="1341"/>
    <x v="201"/>
    <x v="190"/>
    <x v="18"/>
    <x v="71"/>
    <x v="4"/>
    <x v="2"/>
    <x v="20"/>
    <x v="40"/>
    <x v="3"/>
    <x v="97"/>
    <x v="223"/>
    <x v="406"/>
    <x v="107"/>
    <x v="628"/>
    <x v="88"/>
    <x v="1"/>
    <x v="11"/>
    <x v="0"/>
    <x v="0"/>
    <x v="1"/>
    <x v="2"/>
    <x v="0"/>
    <x v="0"/>
    <x v="599"/>
  </r>
  <r>
    <x v="1342"/>
    <x v="328"/>
    <x v="100"/>
    <x v="67"/>
    <x v="21"/>
    <x v="6"/>
    <x v="1"/>
    <x v="4"/>
    <x v="7"/>
    <x v="3"/>
    <x v="15"/>
    <x v="64"/>
    <x v="79"/>
    <x v="19"/>
    <x v="181"/>
    <x v="304"/>
    <x v="2"/>
    <x v="14"/>
    <x v="1"/>
    <x v="0"/>
    <x v="2"/>
    <x v="1"/>
    <x v="0"/>
    <x v="2"/>
    <x v="175"/>
  </r>
  <r>
    <x v="1343"/>
    <x v="197"/>
    <x v="34"/>
    <x v="42"/>
    <x v="47"/>
    <x v="5"/>
    <x v="2"/>
    <x v="15"/>
    <x v="32"/>
    <x v="4"/>
    <x v="79"/>
    <x v="212"/>
    <x v="339"/>
    <x v="89"/>
    <x v="501"/>
    <x v="69"/>
    <x v="1"/>
    <x v="2"/>
    <x v="1"/>
    <x v="2"/>
    <x v="1"/>
    <x v="1"/>
    <x v="0"/>
    <x v="4"/>
    <x v="480"/>
  </r>
  <r>
    <x v="1344"/>
    <x v="112"/>
    <x v="222"/>
    <x v="25"/>
    <x v="84"/>
    <x v="4"/>
    <x v="2"/>
    <x v="10"/>
    <x v="18"/>
    <x v="4"/>
    <x v="60"/>
    <x v="180"/>
    <x v="262"/>
    <x v="59"/>
    <x v="501"/>
    <x v="254"/>
    <x v="4"/>
    <x v="4"/>
    <x v="1"/>
    <x v="1"/>
    <x v="2"/>
    <x v="1"/>
    <x v="0"/>
    <x v="4"/>
    <x v="480"/>
  </r>
  <r>
    <x v="1345"/>
    <x v="144"/>
    <x v="207"/>
    <x v="62"/>
    <x v="19"/>
    <x v="6"/>
    <x v="0"/>
    <x v="17"/>
    <x v="35"/>
    <x v="1"/>
    <x v="42"/>
    <x v="47"/>
    <x v="209"/>
    <x v="55"/>
    <x v="359"/>
    <x v="167"/>
    <x v="2"/>
    <x v="13"/>
    <x v="1"/>
    <x v="2"/>
    <x v="2"/>
    <x v="1"/>
    <x v="0"/>
    <x v="2"/>
    <x v="345"/>
  </r>
  <r>
    <x v="1346"/>
    <x v="154"/>
    <x v="235"/>
    <x v="36"/>
    <x v="63"/>
    <x v="5"/>
    <x v="2"/>
    <x v="10"/>
    <x v="20"/>
    <x v="0"/>
    <x v="60"/>
    <x v="0"/>
    <x v="297"/>
    <x v="65"/>
    <x v="566"/>
    <x v="283"/>
    <x v="1"/>
    <x v="15"/>
    <x v="1"/>
    <x v="1"/>
    <x v="1"/>
    <x v="1"/>
    <x v="0"/>
    <x v="3"/>
    <x v="543"/>
  </r>
  <r>
    <x v="1347"/>
    <x v="154"/>
    <x v="24"/>
    <x v="60"/>
    <x v="68"/>
    <x v="6"/>
    <x v="1"/>
    <x v="5"/>
    <x v="9"/>
    <x v="3"/>
    <x v="19"/>
    <x v="71"/>
    <x v="96"/>
    <x v="24"/>
    <x v="199"/>
    <x v="277"/>
    <x v="1"/>
    <x v="4"/>
    <x v="1"/>
    <x v="1"/>
    <x v="1"/>
    <x v="1"/>
    <x v="0"/>
    <x v="4"/>
    <x v="192"/>
  </r>
  <r>
    <x v="1348"/>
    <x v="180"/>
    <x v="6"/>
    <x v="95"/>
    <x v="0"/>
    <x v="0"/>
    <x v="2"/>
    <x v="24"/>
    <x v="48"/>
    <x v="5"/>
    <x v="111"/>
    <x v="252"/>
    <x v="441"/>
    <x v="126"/>
    <x v="468"/>
    <x v="1"/>
    <x v="1"/>
    <x v="17"/>
    <x v="1"/>
    <x v="0"/>
    <x v="1"/>
    <x v="2"/>
    <x v="0"/>
    <x v="0"/>
    <x v="449"/>
  </r>
  <r>
    <x v="1349"/>
    <x v="311"/>
    <x v="280"/>
    <x v="61"/>
    <x v="76"/>
    <x v="6"/>
    <x v="0"/>
    <x v="2"/>
    <x v="3"/>
    <x v="3"/>
    <x v="2"/>
    <x v="19"/>
    <x v="13"/>
    <x v="3"/>
    <x v="22"/>
    <x v="319"/>
    <x v="1"/>
    <x v="1"/>
    <x v="1"/>
    <x v="1"/>
    <x v="1"/>
    <x v="1"/>
    <x v="0"/>
    <x v="3"/>
    <x v="23"/>
  </r>
  <r>
    <x v="1350"/>
    <x v="338"/>
    <x v="173"/>
    <x v="85"/>
    <x v="35"/>
    <x v="2"/>
    <x v="1"/>
    <x v="1"/>
    <x v="2"/>
    <x v="0"/>
    <x v="6"/>
    <x v="0"/>
    <x v="48"/>
    <x v="10"/>
    <x v="121"/>
    <x v="333"/>
    <x v="1"/>
    <x v="3"/>
    <x v="0"/>
    <x v="2"/>
    <x v="1"/>
    <x v="1"/>
    <x v="0"/>
    <x v="4"/>
    <x v="117"/>
  </r>
  <r>
    <x v="1351"/>
    <x v="312"/>
    <x v="236"/>
    <x v="81"/>
    <x v="31"/>
    <x v="2"/>
    <x v="0"/>
    <x v="2"/>
    <x v="4"/>
    <x v="3"/>
    <x v="2"/>
    <x v="19"/>
    <x v="13"/>
    <x v="4"/>
    <x v="16"/>
    <x v="290"/>
    <x v="4"/>
    <x v="5"/>
    <x v="0"/>
    <x v="2"/>
    <x v="2"/>
    <x v="1"/>
    <x v="0"/>
    <x v="0"/>
    <x v="17"/>
  </r>
  <r>
    <x v="1352"/>
    <x v="238"/>
    <x v="157"/>
    <x v="84"/>
    <x v="55"/>
    <x v="2"/>
    <x v="4"/>
    <x v="3"/>
    <x v="6"/>
    <x v="3"/>
    <x v="40"/>
    <x v="120"/>
    <x v="188"/>
    <x v="43"/>
    <x v="408"/>
    <x v="286"/>
    <x v="1"/>
    <x v="19"/>
    <x v="0"/>
    <x v="0"/>
    <x v="1"/>
    <x v="1"/>
    <x v="0"/>
    <x v="0"/>
    <x v="393"/>
  </r>
  <r>
    <x v="1353"/>
    <x v="206"/>
    <x v="145"/>
    <x v="73"/>
    <x v="60"/>
    <x v="2"/>
    <x v="3"/>
    <x v="3"/>
    <x v="6"/>
    <x v="5"/>
    <x v="30"/>
    <x v="141"/>
    <x v="133"/>
    <x v="35"/>
    <x v="256"/>
    <x v="235"/>
    <x v="1"/>
    <x v="10"/>
    <x v="1"/>
    <x v="0"/>
    <x v="1"/>
    <x v="1"/>
    <x v="0"/>
    <x v="4"/>
    <x v="247"/>
  </r>
  <r>
    <x v="1354"/>
    <x v="106"/>
    <x v="93"/>
    <x v="46"/>
    <x v="85"/>
    <x v="1"/>
    <x v="0"/>
    <x v="5"/>
    <x v="11"/>
    <x v="0"/>
    <x v="7"/>
    <x v="0"/>
    <x v="50"/>
    <x v="13"/>
    <x v="97"/>
    <x v="289"/>
    <x v="1"/>
    <x v="2"/>
    <x v="1"/>
    <x v="0"/>
    <x v="1"/>
    <x v="1"/>
    <x v="0"/>
    <x v="4"/>
    <x v="95"/>
  </r>
  <r>
    <x v="1355"/>
    <x v="339"/>
    <x v="38"/>
    <x v="2"/>
    <x v="77"/>
    <x v="3"/>
    <x v="1"/>
    <x v="22"/>
    <x v="44"/>
    <x v="2"/>
    <x v="91"/>
    <x v="186"/>
    <x v="395"/>
    <x v="101"/>
    <x v="605"/>
    <x v="89"/>
    <x v="1"/>
    <x v="5"/>
    <x v="1"/>
    <x v="1"/>
    <x v="1"/>
    <x v="1"/>
    <x v="0"/>
    <x v="4"/>
    <x v="578"/>
  </r>
  <r>
    <x v="1356"/>
    <x v="314"/>
    <x v="217"/>
    <x v="33"/>
    <x v="87"/>
    <x v="5"/>
    <x v="0"/>
    <x v="11"/>
    <x v="23"/>
    <x v="4"/>
    <x v="23"/>
    <x v="103"/>
    <x v="105"/>
    <x v="34"/>
    <x v="150"/>
    <x v="147"/>
    <x v="2"/>
    <x v="19"/>
    <x v="0"/>
    <x v="2"/>
    <x v="2"/>
    <x v="1"/>
    <x v="0"/>
    <x v="2"/>
    <x v="144"/>
  </r>
  <r>
    <x v="1357"/>
    <x v="285"/>
    <x v="64"/>
    <x v="25"/>
    <x v="84"/>
    <x v="4"/>
    <x v="3"/>
    <x v="10"/>
    <x v="18"/>
    <x v="0"/>
    <x v="71"/>
    <x v="0"/>
    <x v="343"/>
    <x v="68"/>
    <x v="642"/>
    <x v="322"/>
    <x v="1"/>
    <x v="4"/>
    <x v="1"/>
    <x v="2"/>
    <x v="1"/>
    <x v="1"/>
    <x v="0"/>
    <x v="4"/>
    <x v="610"/>
  </r>
  <r>
    <x v="1358"/>
    <x v="111"/>
    <x v="220"/>
    <x v="68"/>
    <x v="80"/>
    <x v="6"/>
    <x v="0"/>
    <x v="12"/>
    <x v="27"/>
    <x v="1"/>
    <x v="27"/>
    <x v="30"/>
    <x v="143"/>
    <x v="39"/>
    <x v="251"/>
    <x v="203"/>
    <x v="4"/>
    <x v="1"/>
    <x v="2"/>
    <x v="1"/>
    <x v="2"/>
    <x v="1"/>
    <x v="0"/>
    <x v="0"/>
    <x v="243"/>
  </r>
  <r>
    <x v="1359"/>
    <x v="296"/>
    <x v="170"/>
    <x v="1"/>
    <x v="9"/>
    <x v="3"/>
    <x v="0"/>
    <x v="17"/>
    <x v="36"/>
    <x v="0"/>
    <x v="42"/>
    <x v="0"/>
    <x v="217"/>
    <x v="57"/>
    <x v="370"/>
    <x v="161"/>
    <x v="1"/>
    <x v="11"/>
    <x v="0"/>
    <x v="0"/>
    <x v="1"/>
    <x v="1"/>
    <x v="0"/>
    <x v="0"/>
    <x v="356"/>
  </r>
  <r>
    <x v="1360"/>
    <x v="40"/>
    <x v="52"/>
    <x v="19"/>
    <x v="2"/>
    <x v="4"/>
    <x v="0"/>
    <x v="14"/>
    <x v="30"/>
    <x v="2"/>
    <x v="33"/>
    <x v="74"/>
    <x v="162"/>
    <x v="45"/>
    <x v="275"/>
    <x v="173"/>
    <x v="2"/>
    <x v="11"/>
    <x v="1"/>
    <x v="0"/>
    <x v="2"/>
    <x v="1"/>
    <x v="0"/>
    <x v="2"/>
    <x v="266"/>
  </r>
  <r>
    <x v="1361"/>
    <x v="258"/>
    <x v="115"/>
    <x v="46"/>
    <x v="85"/>
    <x v="1"/>
    <x v="0"/>
    <x v="5"/>
    <x v="11"/>
    <x v="0"/>
    <x v="7"/>
    <x v="0"/>
    <x v="50"/>
    <x v="13"/>
    <x v="97"/>
    <x v="289"/>
    <x v="0"/>
    <x v="18"/>
    <x v="1"/>
    <x v="1"/>
    <x v="0"/>
    <x v="1"/>
    <x v="0"/>
    <x v="1"/>
    <x v="0"/>
  </r>
  <r>
    <x v="1362"/>
    <x v="8"/>
    <x v="6"/>
    <x v="26"/>
    <x v="8"/>
    <x v="4"/>
    <x v="0"/>
    <x v="5"/>
    <x v="10"/>
    <x v="1"/>
    <x v="7"/>
    <x v="8"/>
    <x v="45"/>
    <x v="12"/>
    <x v="93"/>
    <x v="293"/>
    <x v="1"/>
    <x v="17"/>
    <x v="1"/>
    <x v="2"/>
    <x v="1"/>
    <x v="1"/>
    <x v="0"/>
    <x v="4"/>
    <x v="91"/>
  </r>
  <r>
    <x v="1363"/>
    <x v="122"/>
    <x v="287"/>
    <x v="2"/>
    <x v="77"/>
    <x v="3"/>
    <x v="0"/>
    <x v="22"/>
    <x v="44"/>
    <x v="0"/>
    <x v="63"/>
    <x v="0"/>
    <x v="304"/>
    <x v="74"/>
    <x v="513"/>
    <x v="150"/>
    <x v="4"/>
    <x v="13"/>
    <x v="1"/>
    <x v="1"/>
    <x v="2"/>
    <x v="1"/>
    <x v="0"/>
    <x v="3"/>
    <x v="491"/>
  </r>
  <r>
    <x v="1364"/>
    <x v="4"/>
    <x v="66"/>
    <x v="90"/>
    <x v="69"/>
    <x v="0"/>
    <x v="2"/>
    <x v="20"/>
    <x v="41"/>
    <x v="2"/>
    <x v="97"/>
    <x v="199"/>
    <x v="411"/>
    <x v="109"/>
    <x v="627"/>
    <x v="77"/>
    <x v="1"/>
    <x v="17"/>
    <x v="2"/>
    <x v="0"/>
    <x v="1"/>
    <x v="2"/>
    <x v="0"/>
    <x v="0"/>
    <x v="598"/>
  </r>
  <r>
    <x v="1365"/>
    <x v="51"/>
    <x v="199"/>
    <x v="57"/>
    <x v="58"/>
    <x v="1"/>
    <x v="0"/>
    <x v="5"/>
    <x v="11"/>
    <x v="1"/>
    <x v="7"/>
    <x v="8"/>
    <x v="45"/>
    <x v="13"/>
    <x v="84"/>
    <x v="272"/>
    <x v="3"/>
    <x v="14"/>
    <x v="0"/>
    <x v="1"/>
    <x v="3"/>
    <x v="1"/>
    <x v="0"/>
    <x v="0"/>
    <x v="0"/>
  </r>
  <r>
    <x v="1366"/>
    <x v="38"/>
    <x v="12"/>
    <x v="83"/>
    <x v="96"/>
    <x v="2"/>
    <x v="1"/>
    <x v="10"/>
    <x v="23"/>
    <x v="0"/>
    <x v="44"/>
    <x v="0"/>
    <x v="228"/>
    <x v="56"/>
    <x v="422"/>
    <x v="207"/>
    <x v="1"/>
    <x v="11"/>
    <x v="1"/>
    <x v="2"/>
    <x v="1"/>
    <x v="1"/>
    <x v="0"/>
    <x v="4"/>
    <x v="407"/>
  </r>
  <r>
    <x v="1367"/>
    <x v="140"/>
    <x v="137"/>
    <x v="26"/>
    <x v="8"/>
    <x v="4"/>
    <x v="0"/>
    <x v="5"/>
    <x v="10"/>
    <x v="2"/>
    <x v="7"/>
    <x v="21"/>
    <x v="40"/>
    <x v="12"/>
    <x v="76"/>
    <x v="274"/>
    <x v="1"/>
    <x v="19"/>
    <x v="0"/>
    <x v="2"/>
    <x v="1"/>
    <x v="1"/>
    <x v="0"/>
    <x v="0"/>
    <x v="75"/>
  </r>
  <r>
    <x v="1368"/>
    <x v="271"/>
    <x v="98"/>
    <x v="97"/>
    <x v="81"/>
    <x v="0"/>
    <x v="2"/>
    <x v="12"/>
    <x v="29"/>
    <x v="1"/>
    <x v="69"/>
    <x v="90"/>
    <x v="323"/>
    <x v="79"/>
    <x v="538"/>
    <x v="151"/>
    <x v="1"/>
    <x v="19"/>
    <x v="0"/>
    <x v="2"/>
    <x v="1"/>
    <x v="1"/>
    <x v="0"/>
    <x v="4"/>
    <x v="515"/>
  </r>
  <r>
    <x v="1369"/>
    <x v="231"/>
    <x v="14"/>
    <x v="92"/>
    <x v="45"/>
    <x v="0"/>
    <x v="0"/>
    <x v="21"/>
    <x v="44"/>
    <x v="0"/>
    <x v="58"/>
    <x v="0"/>
    <x v="292"/>
    <x v="74"/>
    <x v="454"/>
    <x v="99"/>
    <x v="1"/>
    <x v="2"/>
    <x v="1"/>
    <x v="1"/>
    <x v="1"/>
    <x v="1"/>
    <x v="0"/>
    <x v="0"/>
    <x v="439"/>
  </r>
  <r>
    <x v="1370"/>
    <x v="266"/>
    <x v="91"/>
    <x v="64"/>
    <x v="3"/>
    <x v="6"/>
    <x v="0"/>
    <x v="12"/>
    <x v="28"/>
    <x v="2"/>
    <x v="27"/>
    <x v="62"/>
    <x v="137"/>
    <x v="41"/>
    <x v="201"/>
    <x v="154"/>
    <x v="1"/>
    <x v="11"/>
    <x v="1"/>
    <x v="2"/>
    <x v="1"/>
    <x v="1"/>
    <x v="0"/>
    <x v="4"/>
    <x v="194"/>
  </r>
  <r>
    <x v="1371"/>
    <x v="80"/>
    <x v="197"/>
    <x v="27"/>
    <x v="78"/>
    <x v="4"/>
    <x v="0"/>
    <x v="19"/>
    <x v="38"/>
    <x v="1"/>
    <x v="50"/>
    <x v="57"/>
    <x v="242"/>
    <x v="60"/>
    <x v="424"/>
    <x v="175"/>
    <x v="1"/>
    <x v="19"/>
    <x v="0"/>
    <x v="1"/>
    <x v="1"/>
    <x v="1"/>
    <x v="0"/>
    <x v="0"/>
    <x v="409"/>
  </r>
  <r>
    <x v="1372"/>
    <x v="233"/>
    <x v="210"/>
    <x v="74"/>
    <x v="4"/>
    <x v="2"/>
    <x v="4"/>
    <x v="1"/>
    <x v="1"/>
    <x v="4"/>
    <x v="24"/>
    <x v="107"/>
    <x v="115"/>
    <x v="26"/>
    <x v="266"/>
    <x v="303"/>
    <x v="1"/>
    <x v="11"/>
    <x v="0"/>
    <x v="0"/>
    <x v="1"/>
    <x v="1"/>
    <x v="0"/>
    <x v="3"/>
    <x v="257"/>
  </r>
  <r>
    <x v="1373"/>
    <x v="29"/>
    <x v="197"/>
    <x v="77"/>
    <x v="75"/>
    <x v="2"/>
    <x v="0"/>
    <x v="2"/>
    <x v="4"/>
    <x v="3"/>
    <x v="2"/>
    <x v="19"/>
    <x v="13"/>
    <x v="4"/>
    <x v="16"/>
    <x v="290"/>
    <x v="1"/>
    <x v="19"/>
    <x v="0"/>
    <x v="0"/>
    <x v="1"/>
    <x v="1"/>
    <x v="0"/>
    <x v="0"/>
    <x v="17"/>
  </r>
  <r>
    <x v="1374"/>
    <x v="200"/>
    <x v="200"/>
    <x v="3"/>
    <x v="90"/>
    <x v="3"/>
    <x v="1"/>
    <x v="3"/>
    <x v="7"/>
    <x v="2"/>
    <x v="13"/>
    <x v="33"/>
    <x v="72"/>
    <x v="19"/>
    <x v="145"/>
    <x v="273"/>
    <x v="1"/>
    <x v="1"/>
    <x v="0"/>
    <x v="1"/>
    <x v="1"/>
    <x v="1"/>
    <x v="0"/>
    <x v="3"/>
    <x v="139"/>
  </r>
  <r>
    <x v="1375"/>
    <x v="233"/>
    <x v="137"/>
    <x v="16"/>
    <x v="22"/>
    <x v="4"/>
    <x v="0"/>
    <x v="15"/>
    <x v="31"/>
    <x v="1"/>
    <x v="35"/>
    <x v="38"/>
    <x v="183"/>
    <x v="47"/>
    <x v="337"/>
    <x v="206"/>
    <x v="4"/>
    <x v="19"/>
    <x v="0"/>
    <x v="1"/>
    <x v="2"/>
    <x v="1"/>
    <x v="0"/>
    <x v="0"/>
    <x v="324"/>
  </r>
  <r>
    <x v="1376"/>
    <x v="52"/>
    <x v="225"/>
    <x v="97"/>
    <x v="81"/>
    <x v="0"/>
    <x v="0"/>
    <x v="12"/>
    <x v="29"/>
    <x v="3"/>
    <x v="27"/>
    <x v="90"/>
    <x v="126"/>
    <x v="43"/>
    <x v="149"/>
    <x v="87"/>
    <x v="1"/>
    <x v="10"/>
    <x v="1"/>
    <x v="1"/>
    <x v="1"/>
    <x v="1"/>
    <x v="0"/>
    <x v="3"/>
    <x v="143"/>
  </r>
  <r>
    <x v="1377"/>
    <x v="52"/>
    <x v="61"/>
    <x v="46"/>
    <x v="85"/>
    <x v="1"/>
    <x v="2"/>
    <x v="5"/>
    <x v="11"/>
    <x v="2"/>
    <x v="31"/>
    <x v="71"/>
    <x v="160"/>
    <x v="40"/>
    <x v="327"/>
    <x v="247"/>
    <x v="2"/>
    <x v="14"/>
    <x v="2"/>
    <x v="2"/>
    <x v="2"/>
    <x v="1"/>
    <x v="0"/>
    <x v="2"/>
    <x v="315"/>
  </r>
  <r>
    <x v="1378"/>
    <x v="333"/>
    <x v="262"/>
    <x v="22"/>
    <x v="79"/>
    <x v="4"/>
    <x v="0"/>
    <x v="4"/>
    <x v="7"/>
    <x v="1"/>
    <x v="5"/>
    <x v="6"/>
    <x v="34"/>
    <x v="7"/>
    <x v="88"/>
    <x v="328"/>
    <x v="1"/>
    <x v="4"/>
    <x v="2"/>
    <x v="0"/>
    <x v="1"/>
    <x v="1"/>
    <x v="0"/>
    <x v="3"/>
    <x v="87"/>
  </r>
  <r>
    <x v="1379"/>
    <x v="53"/>
    <x v="235"/>
    <x v="20"/>
    <x v="40"/>
    <x v="4"/>
    <x v="0"/>
    <x v="17"/>
    <x v="32"/>
    <x v="1"/>
    <x v="42"/>
    <x v="47"/>
    <x v="209"/>
    <x v="50"/>
    <x v="409"/>
    <x v="233"/>
    <x v="1"/>
    <x v="15"/>
    <x v="1"/>
    <x v="1"/>
    <x v="1"/>
    <x v="1"/>
    <x v="0"/>
    <x v="3"/>
    <x v="394"/>
  </r>
  <r>
    <x v="1380"/>
    <x v="229"/>
    <x v="183"/>
    <x v="86"/>
    <x v="11"/>
    <x v="2"/>
    <x v="1"/>
    <x v="6"/>
    <x v="14"/>
    <x v="1"/>
    <x v="22"/>
    <x v="25"/>
    <x v="128"/>
    <x v="33"/>
    <x v="255"/>
    <x v="256"/>
    <x v="1"/>
    <x v="12"/>
    <x v="0"/>
    <x v="2"/>
    <x v="1"/>
    <x v="1"/>
    <x v="0"/>
    <x v="4"/>
    <x v="246"/>
  </r>
  <r>
    <x v="1381"/>
    <x v="267"/>
    <x v="17"/>
    <x v="38"/>
    <x v="92"/>
    <x v="5"/>
    <x v="1"/>
    <x v="9"/>
    <x v="18"/>
    <x v="1"/>
    <x v="38"/>
    <x v="42"/>
    <x v="196"/>
    <x v="45"/>
    <x v="411"/>
    <x v="268"/>
    <x v="1"/>
    <x v="15"/>
    <x v="0"/>
    <x v="0"/>
    <x v="1"/>
    <x v="1"/>
    <x v="0"/>
    <x v="0"/>
    <x v="396"/>
  </r>
  <r>
    <x v="1382"/>
    <x v="353"/>
    <x v="151"/>
    <x v="60"/>
    <x v="68"/>
    <x v="6"/>
    <x v="2"/>
    <x v="5"/>
    <x v="9"/>
    <x v="1"/>
    <x v="31"/>
    <x v="34"/>
    <x v="170"/>
    <x v="36"/>
    <x v="390"/>
    <x v="310"/>
    <x v="4"/>
    <x v="9"/>
    <x v="1"/>
    <x v="2"/>
    <x v="2"/>
    <x v="1"/>
    <x v="0"/>
    <x v="0"/>
    <x v="376"/>
  </r>
  <r>
    <x v="1383"/>
    <x v="8"/>
    <x v="11"/>
    <x v="18"/>
    <x v="71"/>
    <x v="4"/>
    <x v="2"/>
    <x v="20"/>
    <x v="40"/>
    <x v="2"/>
    <x v="97"/>
    <x v="199"/>
    <x v="411"/>
    <x v="107"/>
    <x v="651"/>
    <x v="120"/>
    <x v="1"/>
    <x v="16"/>
    <x v="1"/>
    <x v="1"/>
    <x v="1"/>
    <x v="2"/>
    <x v="0"/>
    <x v="4"/>
    <x v="618"/>
  </r>
  <r>
    <x v="1384"/>
    <x v="211"/>
    <x v="57"/>
    <x v="92"/>
    <x v="45"/>
    <x v="0"/>
    <x v="0"/>
    <x v="21"/>
    <x v="44"/>
    <x v="0"/>
    <x v="58"/>
    <x v="0"/>
    <x v="292"/>
    <x v="74"/>
    <x v="454"/>
    <x v="99"/>
    <x v="1"/>
    <x v="15"/>
    <x v="0"/>
    <x v="1"/>
    <x v="1"/>
    <x v="1"/>
    <x v="0"/>
    <x v="0"/>
    <x v="439"/>
  </r>
  <r>
    <x v="1385"/>
    <x v="287"/>
    <x v="102"/>
    <x v="76"/>
    <x v="64"/>
    <x v="2"/>
    <x v="0"/>
    <x v="4"/>
    <x v="8"/>
    <x v="0"/>
    <x v="5"/>
    <x v="0"/>
    <x v="38"/>
    <x v="8"/>
    <x v="92"/>
    <x v="323"/>
    <x v="1"/>
    <x v="8"/>
    <x v="0"/>
    <x v="2"/>
    <x v="1"/>
    <x v="1"/>
    <x v="0"/>
    <x v="0"/>
    <x v="90"/>
  </r>
  <r>
    <x v="1386"/>
    <x v="194"/>
    <x v="195"/>
    <x v="68"/>
    <x v="80"/>
    <x v="6"/>
    <x v="1"/>
    <x v="12"/>
    <x v="27"/>
    <x v="1"/>
    <x v="53"/>
    <x v="62"/>
    <x v="259"/>
    <x v="63"/>
    <x v="470"/>
    <x v="203"/>
    <x v="1"/>
    <x v="15"/>
    <x v="1"/>
    <x v="1"/>
    <x v="1"/>
    <x v="1"/>
    <x v="0"/>
    <x v="4"/>
    <x v="451"/>
  </r>
  <r>
    <x v="1387"/>
    <x v="214"/>
    <x v="257"/>
    <x v="81"/>
    <x v="31"/>
    <x v="2"/>
    <x v="0"/>
    <x v="2"/>
    <x v="4"/>
    <x v="1"/>
    <x v="2"/>
    <x v="3"/>
    <x v="16"/>
    <x v="4"/>
    <x v="31"/>
    <x v="318"/>
    <x v="1"/>
    <x v="19"/>
    <x v="1"/>
    <x v="1"/>
    <x v="1"/>
    <x v="1"/>
    <x v="0"/>
    <x v="0"/>
    <x v="32"/>
  </r>
  <r>
    <x v="1388"/>
    <x v="259"/>
    <x v="42"/>
    <x v="73"/>
    <x v="60"/>
    <x v="2"/>
    <x v="1"/>
    <x v="3"/>
    <x v="6"/>
    <x v="1"/>
    <x v="13"/>
    <x v="15"/>
    <x v="77"/>
    <x v="18"/>
    <x v="176"/>
    <x v="315"/>
    <x v="1"/>
    <x v="1"/>
    <x v="0"/>
    <x v="1"/>
    <x v="1"/>
    <x v="1"/>
    <x v="0"/>
    <x v="4"/>
    <x v="170"/>
  </r>
  <r>
    <x v="1389"/>
    <x v="152"/>
    <x v="184"/>
    <x v="46"/>
    <x v="85"/>
    <x v="1"/>
    <x v="1"/>
    <x v="5"/>
    <x v="11"/>
    <x v="4"/>
    <x v="19"/>
    <x v="93"/>
    <x v="89"/>
    <x v="28"/>
    <x v="146"/>
    <x v="196"/>
    <x v="1"/>
    <x v="17"/>
    <x v="1"/>
    <x v="1"/>
    <x v="1"/>
    <x v="1"/>
    <x v="0"/>
    <x v="0"/>
    <x v="140"/>
  </r>
  <r>
    <x v="1390"/>
    <x v="137"/>
    <x v="144"/>
    <x v="29"/>
    <x v="34"/>
    <x v="4"/>
    <x v="0"/>
    <x v="21"/>
    <x v="43"/>
    <x v="3"/>
    <x v="58"/>
    <x v="153"/>
    <x v="265"/>
    <x v="71"/>
    <x v="372"/>
    <x v="78"/>
    <x v="1"/>
    <x v="17"/>
    <x v="1"/>
    <x v="1"/>
    <x v="1"/>
    <x v="1"/>
    <x v="0"/>
    <x v="3"/>
    <x v="358"/>
  </r>
  <r>
    <x v="1391"/>
    <x v="14"/>
    <x v="287"/>
    <x v="23"/>
    <x v="49"/>
    <x v="4"/>
    <x v="0"/>
    <x v="12"/>
    <x v="24"/>
    <x v="1"/>
    <x v="27"/>
    <x v="30"/>
    <x v="143"/>
    <x v="36"/>
    <x v="287"/>
    <x v="246"/>
    <x v="1"/>
    <x v="13"/>
    <x v="1"/>
    <x v="0"/>
    <x v="1"/>
    <x v="1"/>
    <x v="0"/>
    <x v="4"/>
    <x v="278"/>
  </r>
  <r>
    <x v="1392"/>
    <x v="128"/>
    <x v="285"/>
    <x v="66"/>
    <x v="13"/>
    <x v="6"/>
    <x v="0"/>
    <x v="8"/>
    <x v="16"/>
    <x v="2"/>
    <x v="14"/>
    <x v="35"/>
    <x v="73"/>
    <x v="20"/>
    <x v="140"/>
    <x v="261"/>
    <x v="1"/>
    <x v="10"/>
    <x v="0"/>
    <x v="2"/>
    <x v="1"/>
    <x v="1"/>
    <x v="0"/>
    <x v="4"/>
    <x v="134"/>
  </r>
  <r>
    <x v="1393"/>
    <x v="64"/>
    <x v="146"/>
    <x v="22"/>
    <x v="79"/>
    <x v="4"/>
    <x v="1"/>
    <x v="4"/>
    <x v="7"/>
    <x v="4"/>
    <x v="15"/>
    <x v="82"/>
    <x v="74"/>
    <x v="19"/>
    <x v="161"/>
    <x v="287"/>
    <x v="3"/>
    <x v="0"/>
    <x v="2"/>
    <x v="1"/>
    <x v="3"/>
    <x v="1"/>
    <x v="0"/>
    <x v="4"/>
    <x v="0"/>
  </r>
  <r>
    <x v="1394"/>
    <x v="299"/>
    <x v="134"/>
    <x v="79"/>
    <x v="12"/>
    <x v="2"/>
    <x v="0"/>
    <x v="8"/>
    <x v="18"/>
    <x v="4"/>
    <x v="14"/>
    <x v="72"/>
    <x v="66"/>
    <x v="24"/>
    <x v="59"/>
    <x v="103"/>
    <x v="1"/>
    <x v="18"/>
    <x v="0"/>
    <x v="0"/>
    <x v="1"/>
    <x v="1"/>
    <x v="0"/>
    <x v="0"/>
    <x v="58"/>
  </r>
  <r>
    <x v="1395"/>
    <x v="250"/>
    <x v="89"/>
    <x v="40"/>
    <x v="32"/>
    <x v="5"/>
    <x v="1"/>
    <x v="7"/>
    <x v="15"/>
    <x v="2"/>
    <x v="26"/>
    <x v="61"/>
    <x v="135"/>
    <x v="35"/>
    <x v="259"/>
    <x v="236"/>
    <x v="4"/>
    <x v="7"/>
    <x v="1"/>
    <x v="1"/>
    <x v="2"/>
    <x v="1"/>
    <x v="0"/>
    <x v="3"/>
    <x v="250"/>
  </r>
  <r>
    <x v="1396"/>
    <x v="125"/>
    <x v="75"/>
    <x v="88"/>
    <x v="57"/>
    <x v="0"/>
    <x v="0"/>
    <x v="22"/>
    <x v="45"/>
    <x v="0"/>
    <x v="63"/>
    <x v="0"/>
    <x v="304"/>
    <x v="76"/>
    <x v="483"/>
    <x v="114"/>
    <x v="3"/>
    <x v="3"/>
    <x v="1"/>
    <x v="1"/>
    <x v="3"/>
    <x v="1"/>
    <x v="0"/>
    <x v="3"/>
    <x v="0"/>
  </r>
  <r>
    <x v="1397"/>
    <x v="329"/>
    <x v="286"/>
    <x v="9"/>
    <x v="95"/>
    <x v="3"/>
    <x v="2"/>
    <x v="19"/>
    <x v="39"/>
    <x v="3"/>
    <x v="93"/>
    <x v="218"/>
    <x v="396"/>
    <x v="104"/>
    <x v="579"/>
    <x v="61"/>
    <x v="1"/>
    <x v="0"/>
    <x v="1"/>
    <x v="0"/>
    <x v="1"/>
    <x v="1"/>
    <x v="0"/>
    <x v="4"/>
    <x v="555"/>
  </r>
  <r>
    <x v="1398"/>
    <x v="251"/>
    <x v="154"/>
    <x v="54"/>
    <x v="61"/>
    <x v="1"/>
    <x v="0"/>
    <x v="12"/>
    <x v="27"/>
    <x v="1"/>
    <x v="27"/>
    <x v="30"/>
    <x v="143"/>
    <x v="39"/>
    <x v="251"/>
    <x v="203"/>
    <x v="4"/>
    <x v="18"/>
    <x v="2"/>
    <x v="1"/>
    <x v="2"/>
    <x v="1"/>
    <x v="0"/>
    <x v="3"/>
    <x v="243"/>
  </r>
  <r>
    <x v="1399"/>
    <x v="134"/>
    <x v="49"/>
    <x v="40"/>
    <x v="32"/>
    <x v="5"/>
    <x v="1"/>
    <x v="7"/>
    <x v="15"/>
    <x v="3"/>
    <x v="26"/>
    <x v="88"/>
    <x v="125"/>
    <x v="35"/>
    <x v="221"/>
    <x v="213"/>
    <x v="1"/>
    <x v="13"/>
    <x v="0"/>
    <x v="1"/>
    <x v="1"/>
    <x v="1"/>
    <x v="0"/>
    <x v="4"/>
    <x v="213"/>
  </r>
  <r>
    <x v="1400"/>
    <x v="5"/>
    <x v="92"/>
    <x v="20"/>
    <x v="40"/>
    <x v="4"/>
    <x v="0"/>
    <x v="17"/>
    <x v="32"/>
    <x v="5"/>
    <x v="42"/>
    <x v="162"/>
    <x v="168"/>
    <x v="50"/>
    <x v="231"/>
    <x v="112"/>
    <x v="1"/>
    <x v="9"/>
    <x v="2"/>
    <x v="1"/>
    <x v="1"/>
    <x v="1"/>
    <x v="0"/>
    <x v="3"/>
    <x v="223"/>
  </r>
  <r>
    <x v="1401"/>
    <x v="124"/>
    <x v="137"/>
    <x v="69"/>
    <x v="48"/>
    <x v="6"/>
    <x v="1"/>
    <x v="6"/>
    <x v="12"/>
    <x v="4"/>
    <x v="22"/>
    <x v="101"/>
    <x v="103"/>
    <x v="30"/>
    <x v="187"/>
    <x v="221"/>
    <x v="4"/>
    <x v="19"/>
    <x v="0"/>
    <x v="0"/>
    <x v="2"/>
    <x v="1"/>
    <x v="0"/>
    <x v="0"/>
    <x v="181"/>
  </r>
  <r>
    <x v="1402"/>
    <x v="189"/>
    <x v="61"/>
    <x v="82"/>
    <x v="67"/>
    <x v="2"/>
    <x v="0"/>
    <x v="5"/>
    <x v="12"/>
    <x v="0"/>
    <x v="7"/>
    <x v="0"/>
    <x v="50"/>
    <x v="14"/>
    <x v="92"/>
    <x v="269"/>
    <x v="1"/>
    <x v="14"/>
    <x v="2"/>
    <x v="1"/>
    <x v="1"/>
    <x v="1"/>
    <x v="0"/>
    <x v="4"/>
    <x v="90"/>
  </r>
  <r>
    <x v="1403"/>
    <x v="188"/>
    <x v="95"/>
    <x v="2"/>
    <x v="77"/>
    <x v="3"/>
    <x v="0"/>
    <x v="22"/>
    <x v="44"/>
    <x v="5"/>
    <x v="63"/>
    <x v="201"/>
    <x v="256"/>
    <x v="74"/>
    <x v="231"/>
    <x v="19"/>
    <x v="1"/>
    <x v="18"/>
    <x v="1"/>
    <x v="0"/>
    <x v="1"/>
    <x v="1"/>
    <x v="0"/>
    <x v="4"/>
    <x v="223"/>
  </r>
  <r>
    <x v="1404"/>
    <x v="297"/>
    <x v="147"/>
    <x v="25"/>
    <x v="84"/>
    <x v="4"/>
    <x v="0"/>
    <x v="10"/>
    <x v="18"/>
    <x v="2"/>
    <x v="20"/>
    <x v="50"/>
    <x v="104"/>
    <x v="24"/>
    <x v="227"/>
    <x v="299"/>
    <x v="1"/>
    <x v="13"/>
    <x v="1"/>
    <x v="0"/>
    <x v="1"/>
    <x v="1"/>
    <x v="0"/>
    <x v="4"/>
    <x v="219"/>
  </r>
  <r>
    <x v="1405"/>
    <x v="192"/>
    <x v="92"/>
    <x v="28"/>
    <x v="73"/>
    <x v="4"/>
    <x v="1"/>
    <x v="3"/>
    <x v="5"/>
    <x v="2"/>
    <x v="13"/>
    <x v="33"/>
    <x v="72"/>
    <x v="17"/>
    <x v="171"/>
    <x v="324"/>
    <x v="4"/>
    <x v="9"/>
    <x v="2"/>
    <x v="1"/>
    <x v="2"/>
    <x v="1"/>
    <x v="0"/>
    <x v="0"/>
    <x v="165"/>
  </r>
  <r>
    <x v="1406"/>
    <x v="325"/>
    <x v="64"/>
    <x v="74"/>
    <x v="4"/>
    <x v="2"/>
    <x v="1"/>
    <x v="1"/>
    <x v="1"/>
    <x v="0"/>
    <x v="6"/>
    <x v="0"/>
    <x v="48"/>
    <x v="8"/>
    <x v="127"/>
    <x v="339"/>
    <x v="1"/>
    <x v="4"/>
    <x v="1"/>
    <x v="1"/>
    <x v="1"/>
    <x v="1"/>
    <x v="0"/>
    <x v="4"/>
    <x v="123"/>
  </r>
  <r>
    <x v="1407"/>
    <x v="212"/>
    <x v="180"/>
    <x v="0"/>
    <x v="97"/>
    <x v="3"/>
    <x v="0"/>
    <x v="11"/>
    <x v="26"/>
    <x v="2"/>
    <x v="23"/>
    <x v="56"/>
    <x v="123"/>
    <x v="38"/>
    <x v="155"/>
    <x v="116"/>
    <x v="0"/>
    <x v="1"/>
    <x v="0"/>
    <x v="2"/>
    <x v="0"/>
    <x v="1"/>
    <x v="0"/>
    <x v="1"/>
    <x v="0"/>
  </r>
  <r>
    <x v="1408"/>
    <x v="286"/>
    <x v="1"/>
    <x v="57"/>
    <x v="58"/>
    <x v="1"/>
    <x v="1"/>
    <x v="5"/>
    <x v="11"/>
    <x v="0"/>
    <x v="19"/>
    <x v="0"/>
    <x v="117"/>
    <x v="28"/>
    <x v="257"/>
    <x v="289"/>
    <x v="0"/>
    <x v="14"/>
    <x v="0"/>
    <x v="1"/>
    <x v="0"/>
    <x v="1"/>
    <x v="0"/>
    <x v="1"/>
    <x v="0"/>
  </r>
  <r>
    <x v="1409"/>
    <x v="39"/>
    <x v="218"/>
    <x v="58"/>
    <x v="5"/>
    <x v="1"/>
    <x v="1"/>
    <x v="9"/>
    <x v="20"/>
    <x v="1"/>
    <x v="38"/>
    <x v="42"/>
    <x v="196"/>
    <x v="50"/>
    <x v="363"/>
    <x v="202"/>
    <x v="1"/>
    <x v="6"/>
    <x v="0"/>
    <x v="1"/>
    <x v="1"/>
    <x v="1"/>
    <x v="0"/>
    <x v="0"/>
    <x v="349"/>
  </r>
  <r>
    <x v="1410"/>
    <x v="282"/>
    <x v="144"/>
    <x v="26"/>
    <x v="8"/>
    <x v="4"/>
    <x v="0"/>
    <x v="5"/>
    <x v="10"/>
    <x v="2"/>
    <x v="7"/>
    <x v="21"/>
    <x v="40"/>
    <x v="12"/>
    <x v="76"/>
    <x v="274"/>
    <x v="1"/>
    <x v="17"/>
    <x v="1"/>
    <x v="1"/>
    <x v="1"/>
    <x v="1"/>
    <x v="0"/>
    <x v="0"/>
    <x v="75"/>
  </r>
  <r>
    <x v="1411"/>
    <x v="59"/>
    <x v="222"/>
    <x v="99"/>
    <x v="16"/>
    <x v="0"/>
    <x v="1"/>
    <x v="22"/>
    <x v="46"/>
    <x v="1"/>
    <x v="91"/>
    <x v="133"/>
    <x v="399"/>
    <x v="105"/>
    <x v="599"/>
    <x v="68"/>
    <x v="1"/>
    <x v="4"/>
    <x v="1"/>
    <x v="1"/>
    <x v="1"/>
    <x v="1"/>
    <x v="0"/>
    <x v="3"/>
    <x v="574"/>
  </r>
  <r>
    <x v="1412"/>
    <x v="313"/>
    <x v="203"/>
    <x v="4"/>
    <x v="66"/>
    <x v="3"/>
    <x v="1"/>
    <x v="14"/>
    <x v="31"/>
    <x v="2"/>
    <x v="61"/>
    <x v="129"/>
    <x v="282"/>
    <x v="71"/>
    <x v="455"/>
    <x v="125"/>
    <x v="2"/>
    <x v="12"/>
    <x v="1"/>
    <x v="1"/>
    <x v="2"/>
    <x v="1"/>
    <x v="0"/>
    <x v="2"/>
    <x v="440"/>
  </r>
  <r>
    <x v="1413"/>
    <x v="223"/>
    <x v="202"/>
    <x v="71"/>
    <x v="88"/>
    <x v="6"/>
    <x v="0"/>
    <x v="5"/>
    <x v="10"/>
    <x v="4"/>
    <x v="7"/>
    <x v="49"/>
    <x v="33"/>
    <x v="12"/>
    <x v="42"/>
    <x v="220"/>
    <x v="1"/>
    <x v="4"/>
    <x v="1"/>
    <x v="0"/>
    <x v="1"/>
    <x v="1"/>
    <x v="0"/>
    <x v="0"/>
    <x v="43"/>
  </r>
  <r>
    <x v="1414"/>
    <x v="40"/>
    <x v="228"/>
    <x v="61"/>
    <x v="76"/>
    <x v="6"/>
    <x v="0"/>
    <x v="2"/>
    <x v="3"/>
    <x v="1"/>
    <x v="2"/>
    <x v="3"/>
    <x v="16"/>
    <x v="3"/>
    <x v="36"/>
    <x v="336"/>
    <x v="1"/>
    <x v="7"/>
    <x v="0"/>
    <x v="2"/>
    <x v="1"/>
    <x v="1"/>
    <x v="0"/>
    <x v="4"/>
    <x v="37"/>
  </r>
  <r>
    <x v="1415"/>
    <x v="80"/>
    <x v="58"/>
    <x v="65"/>
    <x v="36"/>
    <x v="6"/>
    <x v="0"/>
    <x v="7"/>
    <x v="14"/>
    <x v="5"/>
    <x v="11"/>
    <x v="76"/>
    <x v="43"/>
    <x v="17"/>
    <x v="52"/>
    <x v="193"/>
    <x v="1"/>
    <x v="5"/>
    <x v="1"/>
    <x v="0"/>
    <x v="1"/>
    <x v="1"/>
    <x v="0"/>
    <x v="3"/>
    <x v="51"/>
  </r>
  <r>
    <x v="1416"/>
    <x v="64"/>
    <x v="119"/>
    <x v="48"/>
    <x v="28"/>
    <x v="1"/>
    <x v="2"/>
    <x v="3"/>
    <x v="7"/>
    <x v="2"/>
    <x v="21"/>
    <x v="53"/>
    <x v="121"/>
    <x v="30"/>
    <x v="245"/>
    <x v="273"/>
    <x v="1"/>
    <x v="6"/>
    <x v="1"/>
    <x v="1"/>
    <x v="1"/>
    <x v="1"/>
    <x v="0"/>
    <x v="0"/>
    <x v="237"/>
  </r>
  <r>
    <x v="1417"/>
    <x v="307"/>
    <x v="149"/>
    <x v="7"/>
    <x v="62"/>
    <x v="3"/>
    <x v="1"/>
    <x v="5"/>
    <x v="9"/>
    <x v="3"/>
    <x v="19"/>
    <x v="71"/>
    <x v="96"/>
    <x v="24"/>
    <x v="199"/>
    <x v="277"/>
    <x v="1"/>
    <x v="16"/>
    <x v="1"/>
    <x v="2"/>
    <x v="1"/>
    <x v="1"/>
    <x v="0"/>
    <x v="0"/>
    <x v="192"/>
  </r>
  <r>
    <x v="1418"/>
    <x v="180"/>
    <x v="205"/>
    <x v="35"/>
    <x v="24"/>
    <x v="5"/>
    <x v="0"/>
    <x v="17"/>
    <x v="35"/>
    <x v="2"/>
    <x v="42"/>
    <x v="91"/>
    <x v="202"/>
    <x v="55"/>
    <x v="320"/>
    <x v="135"/>
    <x v="1"/>
    <x v="10"/>
    <x v="1"/>
    <x v="1"/>
    <x v="1"/>
    <x v="1"/>
    <x v="0"/>
    <x v="0"/>
    <x v="308"/>
  </r>
  <r>
    <x v="1419"/>
    <x v="296"/>
    <x v="263"/>
    <x v="62"/>
    <x v="19"/>
    <x v="6"/>
    <x v="0"/>
    <x v="17"/>
    <x v="35"/>
    <x v="5"/>
    <x v="42"/>
    <x v="162"/>
    <x v="168"/>
    <x v="55"/>
    <x v="164"/>
    <x v="45"/>
    <x v="4"/>
    <x v="12"/>
    <x v="1"/>
    <x v="2"/>
    <x v="2"/>
    <x v="1"/>
    <x v="0"/>
    <x v="4"/>
    <x v="158"/>
  </r>
  <r>
    <x v="1420"/>
    <x v="312"/>
    <x v="4"/>
    <x v="24"/>
    <x v="44"/>
    <x v="4"/>
    <x v="0"/>
    <x v="16"/>
    <x v="33"/>
    <x v="2"/>
    <x v="39"/>
    <x v="84"/>
    <x v="187"/>
    <x v="51"/>
    <x v="314"/>
    <x v="157"/>
    <x v="1"/>
    <x v="4"/>
    <x v="1"/>
    <x v="2"/>
    <x v="1"/>
    <x v="1"/>
    <x v="0"/>
    <x v="3"/>
    <x v="303"/>
  </r>
  <r>
    <x v="1421"/>
    <x v="35"/>
    <x v="14"/>
    <x v="31"/>
    <x v="94"/>
    <x v="5"/>
    <x v="0"/>
    <x v="5"/>
    <x v="9"/>
    <x v="2"/>
    <x v="7"/>
    <x v="21"/>
    <x v="40"/>
    <x v="11"/>
    <x v="85"/>
    <x v="297"/>
    <x v="4"/>
    <x v="2"/>
    <x v="1"/>
    <x v="0"/>
    <x v="2"/>
    <x v="1"/>
    <x v="0"/>
    <x v="0"/>
    <x v="84"/>
  </r>
  <r>
    <x v="1422"/>
    <x v="46"/>
    <x v="146"/>
    <x v="82"/>
    <x v="67"/>
    <x v="2"/>
    <x v="0"/>
    <x v="5"/>
    <x v="12"/>
    <x v="1"/>
    <x v="7"/>
    <x v="8"/>
    <x v="45"/>
    <x v="14"/>
    <x v="75"/>
    <x v="244"/>
    <x v="1"/>
    <x v="0"/>
    <x v="2"/>
    <x v="0"/>
    <x v="1"/>
    <x v="1"/>
    <x v="0"/>
    <x v="4"/>
    <x v="74"/>
  </r>
  <r>
    <x v="1423"/>
    <x v="331"/>
    <x v="59"/>
    <x v="92"/>
    <x v="45"/>
    <x v="0"/>
    <x v="1"/>
    <x v="21"/>
    <x v="44"/>
    <x v="4"/>
    <x v="88"/>
    <x v="224"/>
    <x v="370"/>
    <x v="101"/>
    <x v="431"/>
    <x v="14"/>
    <x v="1"/>
    <x v="19"/>
    <x v="0"/>
    <x v="2"/>
    <x v="1"/>
    <x v="1"/>
    <x v="0"/>
    <x v="0"/>
    <x v="416"/>
  </r>
  <r>
    <x v="1424"/>
    <x v="256"/>
    <x v="29"/>
    <x v="69"/>
    <x v="48"/>
    <x v="6"/>
    <x v="3"/>
    <x v="6"/>
    <x v="12"/>
    <x v="1"/>
    <x v="47"/>
    <x v="54"/>
    <x v="239"/>
    <x v="51"/>
    <x v="491"/>
    <x v="294"/>
    <x v="2"/>
    <x v="13"/>
    <x v="1"/>
    <x v="1"/>
    <x v="2"/>
    <x v="1"/>
    <x v="0"/>
    <x v="2"/>
    <x v="471"/>
  </r>
  <r>
    <x v="1425"/>
    <x v="92"/>
    <x v="23"/>
    <x v="10"/>
    <x v="42"/>
    <x v="3"/>
    <x v="0"/>
    <x v="18"/>
    <x v="37"/>
    <x v="2"/>
    <x v="45"/>
    <x v="95"/>
    <x v="214"/>
    <x v="59"/>
    <x v="314"/>
    <x v="109"/>
    <x v="1"/>
    <x v="8"/>
    <x v="1"/>
    <x v="2"/>
    <x v="1"/>
    <x v="1"/>
    <x v="0"/>
    <x v="4"/>
    <x v="303"/>
  </r>
  <r>
    <x v="1426"/>
    <x v="336"/>
    <x v="177"/>
    <x v="23"/>
    <x v="49"/>
    <x v="4"/>
    <x v="1"/>
    <x v="12"/>
    <x v="24"/>
    <x v="1"/>
    <x v="53"/>
    <x v="62"/>
    <x v="259"/>
    <x v="59"/>
    <x v="494"/>
    <x v="246"/>
    <x v="3"/>
    <x v="19"/>
    <x v="0"/>
    <x v="0"/>
    <x v="3"/>
    <x v="1"/>
    <x v="0"/>
    <x v="3"/>
    <x v="0"/>
  </r>
  <r>
    <x v="1427"/>
    <x v="224"/>
    <x v="182"/>
    <x v="87"/>
    <x v="26"/>
    <x v="0"/>
    <x v="0"/>
    <x v="15"/>
    <x v="34"/>
    <x v="0"/>
    <x v="35"/>
    <x v="0"/>
    <x v="195"/>
    <x v="52"/>
    <x v="319"/>
    <x v="155"/>
    <x v="1"/>
    <x v="4"/>
    <x v="0"/>
    <x v="2"/>
    <x v="1"/>
    <x v="1"/>
    <x v="0"/>
    <x v="4"/>
    <x v="307"/>
  </r>
  <r>
    <x v="1428"/>
    <x v="178"/>
    <x v="123"/>
    <x v="81"/>
    <x v="31"/>
    <x v="2"/>
    <x v="0"/>
    <x v="2"/>
    <x v="4"/>
    <x v="2"/>
    <x v="2"/>
    <x v="11"/>
    <x v="14"/>
    <x v="4"/>
    <x v="25"/>
    <x v="305"/>
    <x v="1"/>
    <x v="4"/>
    <x v="1"/>
    <x v="0"/>
    <x v="1"/>
    <x v="1"/>
    <x v="0"/>
    <x v="3"/>
    <x v="26"/>
  </r>
  <r>
    <x v="1429"/>
    <x v="5"/>
    <x v="293"/>
    <x v="13"/>
    <x v="41"/>
    <x v="3"/>
    <x v="1"/>
    <x v="6"/>
    <x v="12"/>
    <x v="2"/>
    <x v="22"/>
    <x v="54"/>
    <x v="122"/>
    <x v="30"/>
    <x v="247"/>
    <x v="275"/>
    <x v="1"/>
    <x v="3"/>
    <x v="0"/>
    <x v="1"/>
    <x v="1"/>
    <x v="1"/>
    <x v="0"/>
    <x v="4"/>
    <x v="239"/>
  </r>
  <r>
    <x v="1430"/>
    <x v="111"/>
    <x v="109"/>
    <x v="61"/>
    <x v="76"/>
    <x v="6"/>
    <x v="0"/>
    <x v="2"/>
    <x v="3"/>
    <x v="2"/>
    <x v="2"/>
    <x v="11"/>
    <x v="14"/>
    <x v="3"/>
    <x v="29"/>
    <x v="330"/>
    <x v="2"/>
    <x v="7"/>
    <x v="1"/>
    <x v="0"/>
    <x v="2"/>
    <x v="1"/>
    <x v="0"/>
    <x v="2"/>
    <x v="30"/>
  </r>
  <r>
    <x v="1431"/>
    <x v="131"/>
    <x v="176"/>
    <x v="62"/>
    <x v="19"/>
    <x v="6"/>
    <x v="2"/>
    <x v="17"/>
    <x v="35"/>
    <x v="3"/>
    <x v="87"/>
    <x v="204"/>
    <x v="378"/>
    <x v="93"/>
    <x v="577"/>
    <x v="102"/>
    <x v="1"/>
    <x v="5"/>
    <x v="0"/>
    <x v="0"/>
    <x v="1"/>
    <x v="1"/>
    <x v="0"/>
    <x v="4"/>
    <x v="553"/>
  </r>
  <r>
    <x v="1432"/>
    <x v="326"/>
    <x v="138"/>
    <x v="22"/>
    <x v="79"/>
    <x v="4"/>
    <x v="1"/>
    <x v="4"/>
    <x v="7"/>
    <x v="3"/>
    <x v="15"/>
    <x v="64"/>
    <x v="79"/>
    <x v="19"/>
    <x v="181"/>
    <x v="304"/>
    <x v="1"/>
    <x v="6"/>
    <x v="1"/>
    <x v="1"/>
    <x v="1"/>
    <x v="1"/>
    <x v="0"/>
    <x v="4"/>
    <x v="175"/>
  </r>
  <r>
    <x v="1433"/>
    <x v="211"/>
    <x v="37"/>
    <x v="33"/>
    <x v="87"/>
    <x v="5"/>
    <x v="0"/>
    <x v="11"/>
    <x v="23"/>
    <x v="1"/>
    <x v="23"/>
    <x v="26"/>
    <x v="129"/>
    <x v="34"/>
    <x v="235"/>
    <x v="232"/>
    <x v="1"/>
    <x v="15"/>
    <x v="1"/>
    <x v="1"/>
    <x v="1"/>
    <x v="1"/>
    <x v="0"/>
    <x v="3"/>
    <x v="227"/>
  </r>
  <r>
    <x v="1434"/>
    <x v="165"/>
    <x v="75"/>
    <x v="45"/>
    <x v="30"/>
    <x v="1"/>
    <x v="0"/>
    <x v="7"/>
    <x v="15"/>
    <x v="0"/>
    <x v="11"/>
    <x v="0"/>
    <x v="68"/>
    <x v="18"/>
    <x v="136"/>
    <x v="279"/>
    <x v="1"/>
    <x v="3"/>
    <x v="1"/>
    <x v="2"/>
    <x v="1"/>
    <x v="1"/>
    <x v="0"/>
    <x v="0"/>
    <x v="130"/>
  </r>
  <r>
    <x v="1435"/>
    <x v="201"/>
    <x v="168"/>
    <x v="38"/>
    <x v="92"/>
    <x v="5"/>
    <x v="2"/>
    <x v="9"/>
    <x v="18"/>
    <x v="2"/>
    <x v="55"/>
    <x v="117"/>
    <x v="257"/>
    <x v="59"/>
    <x v="492"/>
    <x v="243"/>
    <x v="1"/>
    <x v="7"/>
    <x v="0"/>
    <x v="1"/>
    <x v="1"/>
    <x v="1"/>
    <x v="0"/>
    <x v="0"/>
    <x v="472"/>
  </r>
  <r>
    <x v="1436"/>
    <x v="292"/>
    <x v="238"/>
    <x v="28"/>
    <x v="73"/>
    <x v="4"/>
    <x v="2"/>
    <x v="3"/>
    <x v="5"/>
    <x v="3"/>
    <x v="21"/>
    <x v="79"/>
    <x v="112"/>
    <x v="24"/>
    <x v="262"/>
    <x v="312"/>
    <x v="2"/>
    <x v="6"/>
    <x v="1"/>
    <x v="2"/>
    <x v="2"/>
    <x v="1"/>
    <x v="0"/>
    <x v="2"/>
    <x v="253"/>
  </r>
  <r>
    <x v="1437"/>
    <x v="109"/>
    <x v="144"/>
    <x v="33"/>
    <x v="87"/>
    <x v="5"/>
    <x v="0"/>
    <x v="11"/>
    <x v="23"/>
    <x v="0"/>
    <x v="23"/>
    <x v="0"/>
    <x v="136"/>
    <x v="34"/>
    <x v="274"/>
    <x v="257"/>
    <x v="0"/>
    <x v="17"/>
    <x v="1"/>
    <x v="2"/>
    <x v="0"/>
    <x v="1"/>
    <x v="0"/>
    <x v="1"/>
    <x v="0"/>
  </r>
  <r>
    <x v="1438"/>
    <x v="138"/>
    <x v="211"/>
    <x v="52"/>
    <x v="54"/>
    <x v="1"/>
    <x v="0"/>
    <x v="8"/>
    <x v="16"/>
    <x v="5"/>
    <x v="14"/>
    <x v="89"/>
    <x v="62"/>
    <x v="20"/>
    <x v="77"/>
    <x v="169"/>
    <x v="1"/>
    <x v="9"/>
    <x v="1"/>
    <x v="0"/>
    <x v="1"/>
    <x v="1"/>
    <x v="0"/>
    <x v="4"/>
    <x v="76"/>
  </r>
  <r>
    <x v="1439"/>
    <x v="205"/>
    <x v="232"/>
    <x v="51"/>
    <x v="52"/>
    <x v="1"/>
    <x v="0"/>
    <x v="2"/>
    <x v="4"/>
    <x v="0"/>
    <x v="2"/>
    <x v="0"/>
    <x v="18"/>
    <x v="4"/>
    <x v="39"/>
    <x v="329"/>
    <x v="1"/>
    <x v="2"/>
    <x v="0"/>
    <x v="1"/>
    <x v="1"/>
    <x v="1"/>
    <x v="0"/>
    <x v="3"/>
    <x v="40"/>
  </r>
  <r>
    <x v="1440"/>
    <x v="67"/>
    <x v="37"/>
    <x v="78"/>
    <x v="1"/>
    <x v="2"/>
    <x v="2"/>
    <x v="9"/>
    <x v="20"/>
    <x v="0"/>
    <x v="55"/>
    <x v="0"/>
    <x v="277"/>
    <x v="65"/>
    <x v="507"/>
    <x v="224"/>
    <x v="4"/>
    <x v="15"/>
    <x v="1"/>
    <x v="0"/>
    <x v="2"/>
    <x v="1"/>
    <x v="0"/>
    <x v="0"/>
    <x v="485"/>
  </r>
  <r>
    <x v="1441"/>
    <x v="201"/>
    <x v="42"/>
    <x v="9"/>
    <x v="95"/>
    <x v="3"/>
    <x v="0"/>
    <x v="19"/>
    <x v="39"/>
    <x v="0"/>
    <x v="50"/>
    <x v="0"/>
    <x v="252"/>
    <x v="65"/>
    <x v="419"/>
    <x v="149"/>
    <x v="1"/>
    <x v="1"/>
    <x v="0"/>
    <x v="0"/>
    <x v="1"/>
    <x v="1"/>
    <x v="0"/>
    <x v="4"/>
    <x v="404"/>
  </r>
  <r>
    <x v="1442"/>
    <x v="178"/>
    <x v="226"/>
    <x v="35"/>
    <x v="24"/>
    <x v="5"/>
    <x v="0"/>
    <x v="17"/>
    <x v="35"/>
    <x v="2"/>
    <x v="42"/>
    <x v="91"/>
    <x v="202"/>
    <x v="55"/>
    <x v="320"/>
    <x v="135"/>
    <x v="1"/>
    <x v="0"/>
    <x v="1"/>
    <x v="2"/>
    <x v="1"/>
    <x v="1"/>
    <x v="0"/>
    <x v="3"/>
    <x v="308"/>
  </r>
  <r>
    <x v="1443"/>
    <x v="103"/>
    <x v="111"/>
    <x v="56"/>
    <x v="17"/>
    <x v="1"/>
    <x v="0"/>
    <x v="1"/>
    <x v="1"/>
    <x v="2"/>
    <x v="1"/>
    <x v="7"/>
    <x v="8"/>
    <x v="1"/>
    <x v="12"/>
    <x v="327"/>
    <x v="1"/>
    <x v="11"/>
    <x v="0"/>
    <x v="1"/>
    <x v="1"/>
    <x v="1"/>
    <x v="0"/>
    <x v="4"/>
    <x v="13"/>
  </r>
  <r>
    <x v="1444"/>
    <x v="294"/>
    <x v="164"/>
    <x v="45"/>
    <x v="30"/>
    <x v="1"/>
    <x v="1"/>
    <x v="7"/>
    <x v="15"/>
    <x v="1"/>
    <x v="26"/>
    <x v="29"/>
    <x v="142"/>
    <x v="35"/>
    <x v="294"/>
    <x v="260"/>
    <x v="1"/>
    <x v="17"/>
    <x v="1"/>
    <x v="1"/>
    <x v="1"/>
    <x v="1"/>
    <x v="0"/>
    <x v="0"/>
    <x v="284"/>
  </r>
  <r>
    <x v="1445"/>
    <x v="291"/>
    <x v="63"/>
    <x v="39"/>
    <x v="20"/>
    <x v="5"/>
    <x v="3"/>
    <x v="13"/>
    <x v="29"/>
    <x v="1"/>
    <x v="85"/>
    <x v="119"/>
    <x v="387"/>
    <x v="91"/>
    <x v="640"/>
    <x v="204"/>
    <x v="1"/>
    <x v="8"/>
    <x v="1"/>
    <x v="2"/>
    <x v="1"/>
    <x v="1"/>
    <x v="0"/>
    <x v="0"/>
    <x v="609"/>
  </r>
  <r>
    <x v="1446"/>
    <x v="81"/>
    <x v="261"/>
    <x v="66"/>
    <x v="13"/>
    <x v="6"/>
    <x v="0"/>
    <x v="8"/>
    <x v="16"/>
    <x v="3"/>
    <x v="14"/>
    <x v="55"/>
    <x v="70"/>
    <x v="20"/>
    <x v="123"/>
    <x v="234"/>
    <x v="1"/>
    <x v="8"/>
    <x v="2"/>
    <x v="1"/>
    <x v="1"/>
    <x v="1"/>
    <x v="0"/>
    <x v="3"/>
    <x v="119"/>
  </r>
  <r>
    <x v="1447"/>
    <x v="334"/>
    <x v="223"/>
    <x v="56"/>
    <x v="17"/>
    <x v="1"/>
    <x v="2"/>
    <x v="1"/>
    <x v="1"/>
    <x v="1"/>
    <x v="12"/>
    <x v="14"/>
    <x v="76"/>
    <x v="16"/>
    <x v="195"/>
    <x v="335"/>
    <x v="1"/>
    <x v="12"/>
    <x v="1"/>
    <x v="1"/>
    <x v="1"/>
    <x v="1"/>
    <x v="0"/>
    <x v="4"/>
    <x v="189"/>
  </r>
  <r>
    <x v="1448"/>
    <x v="127"/>
    <x v="15"/>
    <x v="72"/>
    <x v="43"/>
    <x v="6"/>
    <x v="0"/>
    <x v="20"/>
    <x v="40"/>
    <x v="0"/>
    <x v="54"/>
    <x v="0"/>
    <x v="269"/>
    <x v="67"/>
    <x v="473"/>
    <x v="180"/>
    <x v="0"/>
    <x v="3"/>
    <x v="0"/>
    <x v="1"/>
    <x v="0"/>
    <x v="1"/>
    <x v="0"/>
    <x v="1"/>
    <x v="0"/>
  </r>
  <r>
    <x v="1449"/>
    <x v="216"/>
    <x v="65"/>
    <x v="68"/>
    <x v="80"/>
    <x v="6"/>
    <x v="1"/>
    <x v="12"/>
    <x v="27"/>
    <x v="1"/>
    <x v="53"/>
    <x v="62"/>
    <x v="259"/>
    <x v="63"/>
    <x v="470"/>
    <x v="203"/>
    <x v="1"/>
    <x v="12"/>
    <x v="0"/>
    <x v="1"/>
    <x v="1"/>
    <x v="1"/>
    <x v="0"/>
    <x v="3"/>
    <x v="451"/>
  </r>
  <r>
    <x v="1450"/>
    <x v="149"/>
    <x v="247"/>
    <x v="82"/>
    <x v="67"/>
    <x v="2"/>
    <x v="3"/>
    <x v="5"/>
    <x v="12"/>
    <x v="1"/>
    <x v="43"/>
    <x v="49"/>
    <x v="219"/>
    <x v="51"/>
    <x v="436"/>
    <x v="244"/>
    <x v="2"/>
    <x v="13"/>
    <x v="1"/>
    <x v="1"/>
    <x v="2"/>
    <x v="1"/>
    <x v="0"/>
    <x v="2"/>
    <x v="421"/>
  </r>
  <r>
    <x v="1451"/>
    <x v="183"/>
    <x v="44"/>
    <x v="22"/>
    <x v="79"/>
    <x v="4"/>
    <x v="0"/>
    <x v="4"/>
    <x v="7"/>
    <x v="1"/>
    <x v="5"/>
    <x v="6"/>
    <x v="34"/>
    <x v="7"/>
    <x v="88"/>
    <x v="328"/>
    <x v="1"/>
    <x v="4"/>
    <x v="1"/>
    <x v="0"/>
    <x v="1"/>
    <x v="1"/>
    <x v="0"/>
    <x v="4"/>
    <x v="87"/>
  </r>
  <r>
    <x v="1452"/>
    <x v="19"/>
    <x v="10"/>
    <x v="1"/>
    <x v="9"/>
    <x v="3"/>
    <x v="1"/>
    <x v="17"/>
    <x v="36"/>
    <x v="5"/>
    <x v="70"/>
    <x v="210"/>
    <x v="288"/>
    <x v="81"/>
    <x v="318"/>
    <x v="23"/>
    <x v="3"/>
    <x v="7"/>
    <x v="0"/>
    <x v="1"/>
    <x v="3"/>
    <x v="1"/>
    <x v="0"/>
    <x v="3"/>
    <x v="0"/>
  </r>
  <r>
    <x v="1453"/>
    <x v="139"/>
    <x v="278"/>
    <x v="7"/>
    <x v="62"/>
    <x v="3"/>
    <x v="0"/>
    <x v="5"/>
    <x v="9"/>
    <x v="0"/>
    <x v="7"/>
    <x v="0"/>
    <x v="50"/>
    <x v="11"/>
    <x v="114"/>
    <x v="321"/>
    <x v="1"/>
    <x v="6"/>
    <x v="2"/>
    <x v="2"/>
    <x v="1"/>
    <x v="1"/>
    <x v="0"/>
    <x v="3"/>
    <x v="110"/>
  </r>
  <r>
    <x v="1454"/>
    <x v="209"/>
    <x v="39"/>
    <x v="6"/>
    <x v="46"/>
    <x v="3"/>
    <x v="1"/>
    <x v="12"/>
    <x v="25"/>
    <x v="0"/>
    <x v="53"/>
    <x v="0"/>
    <x v="268"/>
    <x v="61"/>
    <x v="505"/>
    <x v="241"/>
    <x v="1"/>
    <x v="19"/>
    <x v="1"/>
    <x v="2"/>
    <x v="1"/>
    <x v="1"/>
    <x v="0"/>
    <x v="4"/>
    <x v="483"/>
  </r>
  <r>
    <x v="1455"/>
    <x v="295"/>
    <x v="42"/>
    <x v="99"/>
    <x v="16"/>
    <x v="0"/>
    <x v="1"/>
    <x v="22"/>
    <x v="46"/>
    <x v="0"/>
    <x v="91"/>
    <x v="0"/>
    <x v="404"/>
    <x v="105"/>
    <x v="629"/>
    <x v="93"/>
    <x v="1"/>
    <x v="1"/>
    <x v="0"/>
    <x v="1"/>
    <x v="1"/>
    <x v="1"/>
    <x v="0"/>
    <x v="0"/>
    <x v="600"/>
  </r>
  <r>
    <x v="1456"/>
    <x v="310"/>
    <x v="154"/>
    <x v="90"/>
    <x v="69"/>
    <x v="0"/>
    <x v="0"/>
    <x v="20"/>
    <x v="41"/>
    <x v="2"/>
    <x v="54"/>
    <x v="113"/>
    <x v="253"/>
    <x v="68"/>
    <x v="351"/>
    <x v="77"/>
    <x v="1"/>
    <x v="18"/>
    <x v="2"/>
    <x v="1"/>
    <x v="1"/>
    <x v="1"/>
    <x v="0"/>
    <x v="0"/>
    <x v="338"/>
  </r>
  <r>
    <x v="1457"/>
    <x v="183"/>
    <x v="143"/>
    <x v="96"/>
    <x v="91"/>
    <x v="0"/>
    <x v="0"/>
    <x v="23"/>
    <x v="47"/>
    <x v="5"/>
    <x v="75"/>
    <x v="220"/>
    <x v="312"/>
    <x v="93"/>
    <x v="96"/>
    <x v="0"/>
    <x v="1"/>
    <x v="12"/>
    <x v="0"/>
    <x v="1"/>
    <x v="1"/>
    <x v="1"/>
    <x v="0"/>
    <x v="3"/>
    <x v="94"/>
  </r>
  <r>
    <x v="1458"/>
    <x v="307"/>
    <x v="259"/>
    <x v="64"/>
    <x v="3"/>
    <x v="6"/>
    <x v="1"/>
    <x v="12"/>
    <x v="28"/>
    <x v="2"/>
    <x v="53"/>
    <x v="112"/>
    <x v="251"/>
    <x v="64"/>
    <x v="423"/>
    <x v="154"/>
    <x v="4"/>
    <x v="14"/>
    <x v="1"/>
    <x v="2"/>
    <x v="2"/>
    <x v="1"/>
    <x v="0"/>
    <x v="4"/>
    <x v="408"/>
  </r>
  <r>
    <x v="1459"/>
    <x v="60"/>
    <x v="155"/>
    <x v="79"/>
    <x v="12"/>
    <x v="2"/>
    <x v="3"/>
    <x v="8"/>
    <x v="18"/>
    <x v="4"/>
    <x v="59"/>
    <x v="179"/>
    <x v="261"/>
    <x v="68"/>
    <x v="403"/>
    <x v="103"/>
    <x v="1"/>
    <x v="15"/>
    <x v="1"/>
    <x v="0"/>
    <x v="1"/>
    <x v="1"/>
    <x v="0"/>
    <x v="0"/>
    <x v="388"/>
  </r>
  <r>
    <x v="1460"/>
    <x v="51"/>
    <x v="69"/>
    <x v="90"/>
    <x v="69"/>
    <x v="0"/>
    <x v="0"/>
    <x v="20"/>
    <x v="41"/>
    <x v="5"/>
    <x v="54"/>
    <x v="185"/>
    <x v="218"/>
    <x v="68"/>
    <x v="151"/>
    <x v="10"/>
    <x v="1"/>
    <x v="13"/>
    <x v="1"/>
    <x v="1"/>
    <x v="1"/>
    <x v="1"/>
    <x v="0"/>
    <x v="0"/>
    <x v="145"/>
  </r>
  <r>
    <x v="1461"/>
    <x v="151"/>
    <x v="97"/>
    <x v="12"/>
    <x v="56"/>
    <x v="3"/>
    <x v="0"/>
    <x v="9"/>
    <x v="22"/>
    <x v="4"/>
    <x v="16"/>
    <x v="83"/>
    <x v="75"/>
    <x v="33"/>
    <x v="42"/>
    <x v="44"/>
    <x v="1"/>
    <x v="5"/>
    <x v="2"/>
    <x v="1"/>
    <x v="1"/>
    <x v="1"/>
    <x v="0"/>
    <x v="4"/>
    <x v="43"/>
  </r>
  <r>
    <x v="1462"/>
    <x v="138"/>
    <x v="277"/>
    <x v="67"/>
    <x v="21"/>
    <x v="6"/>
    <x v="0"/>
    <x v="4"/>
    <x v="7"/>
    <x v="0"/>
    <x v="5"/>
    <x v="0"/>
    <x v="38"/>
    <x v="7"/>
    <x v="97"/>
    <x v="334"/>
    <x v="1"/>
    <x v="19"/>
    <x v="0"/>
    <x v="1"/>
    <x v="1"/>
    <x v="1"/>
    <x v="0"/>
    <x v="4"/>
    <x v="95"/>
  </r>
  <r>
    <x v="1463"/>
    <x v="205"/>
    <x v="50"/>
    <x v="6"/>
    <x v="46"/>
    <x v="3"/>
    <x v="0"/>
    <x v="12"/>
    <x v="25"/>
    <x v="3"/>
    <x v="27"/>
    <x v="90"/>
    <x v="126"/>
    <x v="37"/>
    <x v="194"/>
    <x v="163"/>
    <x v="1"/>
    <x v="7"/>
    <x v="2"/>
    <x v="1"/>
    <x v="1"/>
    <x v="1"/>
    <x v="0"/>
    <x v="4"/>
    <x v="188"/>
  </r>
  <r>
    <x v="1464"/>
    <x v="74"/>
    <x v="6"/>
    <x v="70"/>
    <x v="27"/>
    <x v="6"/>
    <x v="0"/>
    <x v="9"/>
    <x v="19"/>
    <x v="3"/>
    <x v="16"/>
    <x v="65"/>
    <x v="80"/>
    <x v="25"/>
    <x v="133"/>
    <x v="188"/>
    <x v="0"/>
    <x v="17"/>
    <x v="1"/>
    <x v="1"/>
    <x v="0"/>
    <x v="1"/>
    <x v="0"/>
    <x v="1"/>
    <x v="0"/>
  </r>
  <r>
    <x v="1465"/>
    <x v="41"/>
    <x v="139"/>
    <x v="26"/>
    <x v="8"/>
    <x v="4"/>
    <x v="1"/>
    <x v="5"/>
    <x v="10"/>
    <x v="3"/>
    <x v="19"/>
    <x v="71"/>
    <x v="96"/>
    <x v="25"/>
    <x v="186"/>
    <x v="249"/>
    <x v="1"/>
    <x v="14"/>
    <x v="2"/>
    <x v="1"/>
    <x v="1"/>
    <x v="1"/>
    <x v="0"/>
    <x v="0"/>
    <x v="180"/>
  </r>
  <r>
    <x v="1466"/>
    <x v="33"/>
    <x v="95"/>
    <x v="28"/>
    <x v="73"/>
    <x v="4"/>
    <x v="0"/>
    <x v="3"/>
    <x v="5"/>
    <x v="2"/>
    <x v="4"/>
    <x v="15"/>
    <x v="23"/>
    <x v="5"/>
    <x v="48"/>
    <x v="324"/>
    <x v="3"/>
    <x v="18"/>
    <x v="1"/>
    <x v="2"/>
    <x v="3"/>
    <x v="1"/>
    <x v="0"/>
    <x v="0"/>
    <x v="0"/>
  </r>
  <r>
    <x v="1467"/>
    <x v="91"/>
    <x v="88"/>
    <x v="33"/>
    <x v="87"/>
    <x v="5"/>
    <x v="0"/>
    <x v="11"/>
    <x v="23"/>
    <x v="2"/>
    <x v="23"/>
    <x v="56"/>
    <x v="123"/>
    <x v="34"/>
    <x v="207"/>
    <x v="211"/>
    <x v="3"/>
    <x v="13"/>
    <x v="0"/>
    <x v="2"/>
    <x v="3"/>
    <x v="1"/>
    <x v="0"/>
    <x v="0"/>
    <x v="0"/>
  </r>
  <r>
    <x v="1468"/>
    <x v="217"/>
    <x v="52"/>
    <x v="33"/>
    <x v="87"/>
    <x v="5"/>
    <x v="1"/>
    <x v="11"/>
    <x v="23"/>
    <x v="5"/>
    <x v="49"/>
    <x v="174"/>
    <x v="201"/>
    <x v="56"/>
    <x v="295"/>
    <x v="111"/>
    <x v="1"/>
    <x v="11"/>
    <x v="1"/>
    <x v="2"/>
    <x v="1"/>
    <x v="1"/>
    <x v="0"/>
    <x v="0"/>
    <x v="285"/>
  </r>
  <r>
    <x v="1469"/>
    <x v="119"/>
    <x v="139"/>
    <x v="53"/>
    <x v="29"/>
    <x v="1"/>
    <x v="3"/>
    <x v="3"/>
    <x v="6"/>
    <x v="4"/>
    <x v="30"/>
    <x v="126"/>
    <x v="144"/>
    <x v="35"/>
    <x v="297"/>
    <x v="263"/>
    <x v="3"/>
    <x v="14"/>
    <x v="2"/>
    <x v="2"/>
    <x v="3"/>
    <x v="1"/>
    <x v="0"/>
    <x v="4"/>
    <x v="0"/>
  </r>
  <r>
    <x v="1470"/>
    <x v="81"/>
    <x v="258"/>
    <x v="11"/>
    <x v="15"/>
    <x v="3"/>
    <x v="0"/>
    <x v="8"/>
    <x v="17"/>
    <x v="3"/>
    <x v="14"/>
    <x v="55"/>
    <x v="70"/>
    <x v="21"/>
    <x v="116"/>
    <x v="215"/>
    <x v="4"/>
    <x v="6"/>
    <x v="1"/>
    <x v="1"/>
    <x v="2"/>
    <x v="1"/>
    <x v="0"/>
    <x v="0"/>
    <x v="112"/>
  </r>
  <r>
    <x v="1471"/>
    <x v="296"/>
    <x v="90"/>
    <x v="46"/>
    <x v="85"/>
    <x v="1"/>
    <x v="2"/>
    <x v="5"/>
    <x v="11"/>
    <x v="3"/>
    <x v="31"/>
    <x v="100"/>
    <x v="152"/>
    <x v="40"/>
    <x v="292"/>
    <x v="220"/>
    <x v="1"/>
    <x v="16"/>
    <x v="0"/>
    <x v="1"/>
    <x v="1"/>
    <x v="1"/>
    <x v="0"/>
    <x v="4"/>
    <x v="282"/>
  </r>
  <r>
    <x v="1472"/>
    <x v="114"/>
    <x v="88"/>
    <x v="69"/>
    <x v="48"/>
    <x v="6"/>
    <x v="1"/>
    <x v="6"/>
    <x v="12"/>
    <x v="3"/>
    <x v="22"/>
    <x v="80"/>
    <x v="113"/>
    <x v="30"/>
    <x v="219"/>
    <x v="250"/>
    <x v="1"/>
    <x v="13"/>
    <x v="0"/>
    <x v="2"/>
    <x v="1"/>
    <x v="1"/>
    <x v="0"/>
    <x v="0"/>
    <x v="211"/>
  </r>
  <r>
    <x v="1473"/>
    <x v="90"/>
    <x v="161"/>
    <x v="9"/>
    <x v="95"/>
    <x v="3"/>
    <x v="2"/>
    <x v="19"/>
    <x v="39"/>
    <x v="0"/>
    <x v="93"/>
    <x v="0"/>
    <x v="410"/>
    <x v="104"/>
    <x v="657"/>
    <x v="149"/>
    <x v="1"/>
    <x v="8"/>
    <x v="1"/>
    <x v="0"/>
    <x v="1"/>
    <x v="2"/>
    <x v="0"/>
    <x v="0"/>
    <x v="623"/>
  </r>
  <r>
    <x v="1474"/>
    <x v="113"/>
    <x v="173"/>
    <x v="28"/>
    <x v="73"/>
    <x v="4"/>
    <x v="2"/>
    <x v="3"/>
    <x v="5"/>
    <x v="0"/>
    <x v="21"/>
    <x v="0"/>
    <x v="133"/>
    <x v="24"/>
    <x v="341"/>
    <x v="338"/>
    <x v="1"/>
    <x v="3"/>
    <x v="0"/>
    <x v="1"/>
    <x v="1"/>
    <x v="1"/>
    <x v="0"/>
    <x v="4"/>
    <x v="328"/>
  </r>
  <r>
    <x v="1475"/>
    <x v="169"/>
    <x v="8"/>
    <x v="50"/>
    <x v="10"/>
    <x v="1"/>
    <x v="0"/>
    <x v="5"/>
    <x v="11"/>
    <x v="1"/>
    <x v="7"/>
    <x v="8"/>
    <x v="45"/>
    <x v="13"/>
    <x v="84"/>
    <x v="272"/>
    <x v="4"/>
    <x v="0"/>
    <x v="0"/>
    <x v="1"/>
    <x v="2"/>
    <x v="1"/>
    <x v="0"/>
    <x v="0"/>
    <x v="83"/>
  </r>
  <r>
    <x v="1476"/>
    <x v="337"/>
    <x v="187"/>
    <x v="3"/>
    <x v="90"/>
    <x v="3"/>
    <x v="0"/>
    <x v="3"/>
    <x v="7"/>
    <x v="1"/>
    <x v="4"/>
    <x v="5"/>
    <x v="25"/>
    <x v="7"/>
    <x v="44"/>
    <x v="292"/>
    <x v="1"/>
    <x v="13"/>
    <x v="1"/>
    <x v="2"/>
    <x v="1"/>
    <x v="1"/>
    <x v="0"/>
    <x v="0"/>
    <x v="45"/>
  </r>
  <r>
    <x v="1477"/>
    <x v="171"/>
    <x v="242"/>
    <x v="69"/>
    <x v="48"/>
    <x v="6"/>
    <x v="1"/>
    <x v="6"/>
    <x v="12"/>
    <x v="4"/>
    <x v="22"/>
    <x v="101"/>
    <x v="103"/>
    <x v="30"/>
    <x v="187"/>
    <x v="221"/>
    <x v="1"/>
    <x v="4"/>
    <x v="0"/>
    <x v="2"/>
    <x v="1"/>
    <x v="1"/>
    <x v="0"/>
    <x v="4"/>
    <x v="181"/>
  </r>
  <r>
    <x v="1478"/>
    <x v="189"/>
    <x v="60"/>
    <x v="5"/>
    <x v="98"/>
    <x v="3"/>
    <x v="0"/>
    <x v="9"/>
    <x v="18"/>
    <x v="4"/>
    <x v="16"/>
    <x v="83"/>
    <x v="75"/>
    <x v="24"/>
    <x v="124"/>
    <x v="190"/>
    <x v="0"/>
    <x v="6"/>
    <x v="0"/>
    <x v="0"/>
    <x v="0"/>
    <x v="1"/>
    <x v="0"/>
    <x v="1"/>
    <x v="0"/>
  </r>
  <r>
    <x v="1479"/>
    <x v="247"/>
    <x v="106"/>
    <x v="3"/>
    <x v="90"/>
    <x v="3"/>
    <x v="0"/>
    <x v="3"/>
    <x v="7"/>
    <x v="2"/>
    <x v="4"/>
    <x v="15"/>
    <x v="23"/>
    <x v="7"/>
    <x v="32"/>
    <x v="273"/>
    <x v="1"/>
    <x v="10"/>
    <x v="1"/>
    <x v="0"/>
    <x v="1"/>
    <x v="1"/>
    <x v="0"/>
    <x v="0"/>
    <x v="33"/>
  </r>
  <r>
    <x v="1480"/>
    <x v="139"/>
    <x v="152"/>
    <x v="55"/>
    <x v="37"/>
    <x v="1"/>
    <x v="0"/>
    <x v="15"/>
    <x v="34"/>
    <x v="0"/>
    <x v="35"/>
    <x v="0"/>
    <x v="195"/>
    <x v="52"/>
    <x v="319"/>
    <x v="155"/>
    <x v="0"/>
    <x v="2"/>
    <x v="1"/>
    <x v="0"/>
    <x v="0"/>
    <x v="1"/>
    <x v="0"/>
    <x v="1"/>
    <x v="0"/>
  </r>
  <r>
    <x v="1481"/>
    <x v="316"/>
    <x v="88"/>
    <x v="0"/>
    <x v="97"/>
    <x v="3"/>
    <x v="0"/>
    <x v="11"/>
    <x v="26"/>
    <x v="1"/>
    <x v="23"/>
    <x v="26"/>
    <x v="129"/>
    <x v="38"/>
    <x v="183"/>
    <x v="145"/>
    <x v="1"/>
    <x v="13"/>
    <x v="0"/>
    <x v="0"/>
    <x v="1"/>
    <x v="1"/>
    <x v="0"/>
    <x v="0"/>
    <x v="177"/>
  </r>
  <r>
    <x v="1482"/>
    <x v="20"/>
    <x v="168"/>
    <x v="50"/>
    <x v="10"/>
    <x v="1"/>
    <x v="1"/>
    <x v="5"/>
    <x v="11"/>
    <x v="1"/>
    <x v="19"/>
    <x v="21"/>
    <x v="110"/>
    <x v="28"/>
    <x v="224"/>
    <x v="272"/>
    <x v="1"/>
    <x v="7"/>
    <x v="0"/>
    <x v="1"/>
    <x v="1"/>
    <x v="1"/>
    <x v="0"/>
    <x v="4"/>
    <x v="216"/>
  </r>
  <r>
    <x v="1483"/>
    <x v="258"/>
    <x v="61"/>
    <x v="58"/>
    <x v="5"/>
    <x v="1"/>
    <x v="0"/>
    <x v="9"/>
    <x v="20"/>
    <x v="2"/>
    <x v="16"/>
    <x v="42"/>
    <x v="87"/>
    <x v="29"/>
    <x v="137"/>
    <x v="170"/>
    <x v="1"/>
    <x v="14"/>
    <x v="2"/>
    <x v="1"/>
    <x v="1"/>
    <x v="1"/>
    <x v="0"/>
    <x v="4"/>
    <x v="131"/>
  </r>
  <r>
    <x v="1484"/>
    <x v="327"/>
    <x v="93"/>
    <x v="99"/>
    <x v="16"/>
    <x v="0"/>
    <x v="0"/>
    <x v="22"/>
    <x v="46"/>
    <x v="5"/>
    <x v="63"/>
    <x v="201"/>
    <x v="256"/>
    <x v="78"/>
    <x v="134"/>
    <x v="4"/>
    <x v="1"/>
    <x v="2"/>
    <x v="1"/>
    <x v="2"/>
    <x v="1"/>
    <x v="1"/>
    <x v="0"/>
    <x v="3"/>
    <x v="128"/>
  </r>
  <r>
    <x v="1485"/>
    <x v="253"/>
    <x v="268"/>
    <x v="4"/>
    <x v="66"/>
    <x v="3"/>
    <x v="0"/>
    <x v="14"/>
    <x v="31"/>
    <x v="2"/>
    <x v="33"/>
    <x v="74"/>
    <x v="162"/>
    <x v="47"/>
    <x v="233"/>
    <x v="125"/>
    <x v="1"/>
    <x v="7"/>
    <x v="0"/>
    <x v="2"/>
    <x v="1"/>
    <x v="1"/>
    <x v="0"/>
    <x v="0"/>
    <x v="225"/>
  </r>
  <r>
    <x v="1486"/>
    <x v="313"/>
    <x v="282"/>
    <x v="58"/>
    <x v="5"/>
    <x v="1"/>
    <x v="3"/>
    <x v="9"/>
    <x v="20"/>
    <x v="4"/>
    <x v="66"/>
    <x v="193"/>
    <x v="285"/>
    <x v="72"/>
    <x v="449"/>
    <x v="104"/>
    <x v="1"/>
    <x v="4"/>
    <x v="0"/>
    <x v="0"/>
    <x v="1"/>
    <x v="1"/>
    <x v="0"/>
    <x v="0"/>
    <x v="434"/>
  </r>
  <r>
    <x v="1487"/>
    <x v="216"/>
    <x v="38"/>
    <x v="60"/>
    <x v="68"/>
    <x v="6"/>
    <x v="0"/>
    <x v="5"/>
    <x v="9"/>
    <x v="3"/>
    <x v="7"/>
    <x v="34"/>
    <x v="37"/>
    <x v="11"/>
    <x v="68"/>
    <x v="277"/>
    <x v="3"/>
    <x v="5"/>
    <x v="1"/>
    <x v="1"/>
    <x v="3"/>
    <x v="1"/>
    <x v="0"/>
    <x v="0"/>
    <x v="0"/>
  </r>
  <r>
    <x v="1488"/>
    <x v="42"/>
    <x v="265"/>
    <x v="81"/>
    <x v="31"/>
    <x v="2"/>
    <x v="0"/>
    <x v="2"/>
    <x v="4"/>
    <x v="3"/>
    <x v="2"/>
    <x v="19"/>
    <x v="13"/>
    <x v="4"/>
    <x v="16"/>
    <x v="290"/>
    <x v="1"/>
    <x v="10"/>
    <x v="0"/>
    <x v="0"/>
    <x v="1"/>
    <x v="1"/>
    <x v="0"/>
    <x v="4"/>
    <x v="17"/>
  </r>
  <r>
    <x v="1489"/>
    <x v="30"/>
    <x v="240"/>
    <x v="44"/>
    <x v="53"/>
    <x v="5"/>
    <x v="4"/>
    <x v="6"/>
    <x v="12"/>
    <x v="1"/>
    <x v="57"/>
    <x v="68"/>
    <x v="279"/>
    <x v="59"/>
    <x v="547"/>
    <x v="294"/>
    <x v="4"/>
    <x v="1"/>
    <x v="0"/>
    <x v="1"/>
    <x v="2"/>
    <x v="1"/>
    <x v="0"/>
    <x v="4"/>
    <x v="524"/>
  </r>
  <r>
    <x v="1490"/>
    <x v="21"/>
    <x v="77"/>
    <x v="22"/>
    <x v="79"/>
    <x v="4"/>
    <x v="1"/>
    <x v="4"/>
    <x v="7"/>
    <x v="2"/>
    <x v="15"/>
    <x v="41"/>
    <x v="86"/>
    <x v="19"/>
    <x v="206"/>
    <x v="317"/>
    <x v="1"/>
    <x v="5"/>
    <x v="1"/>
    <x v="0"/>
    <x v="1"/>
    <x v="1"/>
    <x v="0"/>
    <x v="3"/>
    <x v="199"/>
  </r>
  <r>
    <x v="1491"/>
    <x v="296"/>
    <x v="201"/>
    <x v="53"/>
    <x v="29"/>
    <x v="1"/>
    <x v="0"/>
    <x v="3"/>
    <x v="6"/>
    <x v="2"/>
    <x v="4"/>
    <x v="15"/>
    <x v="23"/>
    <x v="6"/>
    <x v="40"/>
    <x v="302"/>
    <x v="1"/>
    <x v="8"/>
    <x v="1"/>
    <x v="2"/>
    <x v="1"/>
    <x v="1"/>
    <x v="0"/>
    <x v="4"/>
    <x v="41"/>
  </r>
  <r>
    <x v="1492"/>
    <x v="285"/>
    <x v="161"/>
    <x v="25"/>
    <x v="84"/>
    <x v="4"/>
    <x v="2"/>
    <x v="10"/>
    <x v="18"/>
    <x v="1"/>
    <x v="60"/>
    <x v="73"/>
    <x v="290"/>
    <x v="59"/>
    <x v="569"/>
    <x v="311"/>
    <x v="1"/>
    <x v="8"/>
    <x v="1"/>
    <x v="0"/>
    <x v="1"/>
    <x v="1"/>
    <x v="0"/>
    <x v="4"/>
    <x v="546"/>
  </r>
  <r>
    <x v="1493"/>
    <x v="263"/>
    <x v="75"/>
    <x v="4"/>
    <x v="66"/>
    <x v="3"/>
    <x v="0"/>
    <x v="14"/>
    <x v="31"/>
    <x v="5"/>
    <x v="33"/>
    <x v="144"/>
    <x v="138"/>
    <x v="47"/>
    <x v="117"/>
    <x v="40"/>
    <x v="1"/>
    <x v="3"/>
    <x v="1"/>
    <x v="1"/>
    <x v="1"/>
    <x v="1"/>
    <x v="0"/>
    <x v="4"/>
    <x v="113"/>
  </r>
  <r>
    <x v="1494"/>
    <x v="248"/>
    <x v="95"/>
    <x v="48"/>
    <x v="28"/>
    <x v="1"/>
    <x v="0"/>
    <x v="3"/>
    <x v="7"/>
    <x v="2"/>
    <x v="4"/>
    <x v="15"/>
    <x v="23"/>
    <x v="7"/>
    <x v="32"/>
    <x v="273"/>
    <x v="4"/>
    <x v="18"/>
    <x v="1"/>
    <x v="0"/>
    <x v="2"/>
    <x v="1"/>
    <x v="0"/>
    <x v="0"/>
    <x v="33"/>
  </r>
  <r>
    <x v="1495"/>
    <x v="215"/>
    <x v="178"/>
    <x v="45"/>
    <x v="30"/>
    <x v="1"/>
    <x v="0"/>
    <x v="7"/>
    <x v="15"/>
    <x v="3"/>
    <x v="11"/>
    <x v="46"/>
    <x v="55"/>
    <x v="18"/>
    <x v="80"/>
    <x v="213"/>
    <x v="1"/>
    <x v="6"/>
    <x v="0"/>
    <x v="1"/>
    <x v="1"/>
    <x v="1"/>
    <x v="0"/>
    <x v="4"/>
    <x v="79"/>
  </r>
  <r>
    <x v="1496"/>
    <x v="350"/>
    <x v="134"/>
    <x v="18"/>
    <x v="71"/>
    <x v="4"/>
    <x v="1"/>
    <x v="20"/>
    <x v="40"/>
    <x v="0"/>
    <x v="82"/>
    <x v="0"/>
    <x v="382"/>
    <x v="91"/>
    <x v="629"/>
    <x v="180"/>
    <x v="1"/>
    <x v="18"/>
    <x v="0"/>
    <x v="1"/>
    <x v="1"/>
    <x v="1"/>
    <x v="0"/>
    <x v="0"/>
    <x v="600"/>
  </r>
  <r>
    <x v="1497"/>
    <x v="294"/>
    <x v="141"/>
    <x v="54"/>
    <x v="61"/>
    <x v="1"/>
    <x v="2"/>
    <x v="12"/>
    <x v="27"/>
    <x v="2"/>
    <x v="69"/>
    <x v="143"/>
    <x v="316"/>
    <x v="75"/>
    <x v="539"/>
    <x v="171"/>
    <x v="1"/>
    <x v="8"/>
    <x v="1"/>
    <x v="1"/>
    <x v="1"/>
    <x v="1"/>
    <x v="0"/>
    <x v="4"/>
    <x v="516"/>
  </r>
  <r>
    <x v="1498"/>
    <x v="202"/>
    <x v="223"/>
    <x v="41"/>
    <x v="6"/>
    <x v="5"/>
    <x v="2"/>
    <x v="10"/>
    <x v="21"/>
    <x v="1"/>
    <x v="60"/>
    <x v="73"/>
    <x v="290"/>
    <x v="66"/>
    <x v="538"/>
    <x v="245"/>
    <x v="4"/>
    <x v="12"/>
    <x v="1"/>
    <x v="1"/>
    <x v="2"/>
    <x v="1"/>
    <x v="0"/>
    <x v="4"/>
    <x v="515"/>
  </r>
  <r>
    <x v="1499"/>
    <x v="108"/>
    <x v="263"/>
    <x v="68"/>
    <x v="80"/>
    <x v="6"/>
    <x v="0"/>
    <x v="12"/>
    <x v="27"/>
    <x v="4"/>
    <x v="27"/>
    <x v="112"/>
    <x v="120"/>
    <x v="39"/>
    <x v="150"/>
    <x v="105"/>
    <x v="4"/>
    <x v="12"/>
    <x v="1"/>
    <x v="1"/>
    <x v="2"/>
    <x v="1"/>
    <x v="0"/>
    <x v="4"/>
    <x v="14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500">
  <r>
    <x v="0"/>
    <x v="285"/>
    <x v="207"/>
    <x v="96"/>
    <x v="91"/>
    <x v="0"/>
    <x v="0"/>
    <x v="23"/>
    <x v="47"/>
    <x v="3"/>
    <x v="75"/>
    <x v="189"/>
    <x v="331"/>
    <x v="93"/>
    <x v="332"/>
    <x v="9"/>
    <x v="1"/>
    <x v="13"/>
    <x v="1"/>
    <x v="1"/>
    <x v="1"/>
    <x v="1"/>
    <x v="0"/>
    <x v="4"/>
    <x v="320"/>
    <x v="0"/>
    <x v="10"/>
    <x v="6"/>
  </r>
  <r>
    <x v="1"/>
    <x v="326"/>
    <x v="27"/>
    <x v="77"/>
    <x v="75"/>
    <x v="2"/>
    <x v="3"/>
    <x v="2"/>
    <x v="4"/>
    <x v="4"/>
    <x v="25"/>
    <x v="108"/>
    <x v="116"/>
    <x v="30"/>
    <x v="237"/>
    <x v="267"/>
    <x v="1"/>
    <x v="10"/>
    <x v="2"/>
    <x v="0"/>
    <x v="1"/>
    <x v="1"/>
    <x v="0"/>
    <x v="0"/>
    <x v="229"/>
    <x v="0"/>
    <x v="3"/>
    <x v="5"/>
  </r>
  <r>
    <x v="2"/>
    <x v="151"/>
    <x v="95"/>
    <x v="82"/>
    <x v="67"/>
    <x v="2"/>
    <x v="1"/>
    <x v="5"/>
    <x v="12"/>
    <x v="3"/>
    <x v="19"/>
    <x v="71"/>
    <x v="96"/>
    <x v="30"/>
    <x v="160"/>
    <x v="197"/>
    <x v="1"/>
    <x v="18"/>
    <x v="1"/>
    <x v="1"/>
    <x v="1"/>
    <x v="1"/>
    <x v="0"/>
    <x v="3"/>
    <x v="154"/>
    <x v="0"/>
    <x v="2"/>
    <x v="3"/>
  </r>
  <r>
    <x v="3"/>
    <x v="236"/>
    <x v="255"/>
    <x v="46"/>
    <x v="85"/>
    <x v="1"/>
    <x v="2"/>
    <x v="5"/>
    <x v="11"/>
    <x v="4"/>
    <x v="31"/>
    <x v="127"/>
    <x v="145"/>
    <x v="40"/>
    <x v="246"/>
    <x v="196"/>
    <x v="1"/>
    <x v="15"/>
    <x v="0"/>
    <x v="1"/>
    <x v="1"/>
    <x v="1"/>
    <x v="0"/>
    <x v="0"/>
    <x v="238"/>
    <x v="0"/>
    <x v="9"/>
    <x v="2"/>
  </r>
  <r>
    <x v="4"/>
    <x v="261"/>
    <x v="117"/>
    <x v="17"/>
    <x v="18"/>
    <x v="4"/>
    <x v="0"/>
    <x v="11"/>
    <x v="23"/>
    <x v="0"/>
    <x v="23"/>
    <x v="0"/>
    <x v="136"/>
    <x v="34"/>
    <x v="274"/>
    <x v="257"/>
    <x v="1"/>
    <x v="5"/>
    <x v="2"/>
    <x v="0"/>
    <x v="1"/>
    <x v="1"/>
    <x v="0"/>
    <x v="0"/>
    <x v="265"/>
    <x v="0"/>
    <x v="5"/>
    <x v="9"/>
  </r>
  <r>
    <x v="5"/>
    <x v="54"/>
    <x v="161"/>
    <x v="85"/>
    <x v="35"/>
    <x v="2"/>
    <x v="3"/>
    <x v="1"/>
    <x v="2"/>
    <x v="2"/>
    <x v="18"/>
    <x v="48"/>
    <x v="100"/>
    <x v="23"/>
    <x v="236"/>
    <x v="314"/>
    <x v="1"/>
    <x v="8"/>
    <x v="1"/>
    <x v="0"/>
    <x v="1"/>
    <x v="1"/>
    <x v="0"/>
    <x v="0"/>
    <x v="228"/>
    <x v="0"/>
    <x v="4"/>
    <x v="8"/>
  </r>
  <r>
    <x v="6"/>
    <x v="9"/>
    <x v="276"/>
    <x v="99"/>
    <x v="16"/>
    <x v="0"/>
    <x v="2"/>
    <x v="22"/>
    <x v="46"/>
    <x v="0"/>
    <x v="102"/>
    <x v="0"/>
    <x v="432"/>
    <x v="115"/>
    <x v="663"/>
    <x v="93"/>
    <x v="1"/>
    <x v="5"/>
    <x v="1"/>
    <x v="2"/>
    <x v="1"/>
    <x v="2"/>
    <x v="0"/>
    <x v="0"/>
    <x v="627"/>
    <x v="0"/>
    <x v="0"/>
    <x v="7"/>
  </r>
  <r>
    <x v="7"/>
    <x v="43"/>
    <x v="138"/>
    <x v="26"/>
    <x v="8"/>
    <x v="4"/>
    <x v="0"/>
    <x v="5"/>
    <x v="10"/>
    <x v="1"/>
    <x v="7"/>
    <x v="8"/>
    <x v="45"/>
    <x v="12"/>
    <x v="93"/>
    <x v="293"/>
    <x v="1"/>
    <x v="6"/>
    <x v="1"/>
    <x v="0"/>
    <x v="1"/>
    <x v="1"/>
    <x v="0"/>
    <x v="4"/>
    <x v="91"/>
    <x v="0"/>
    <x v="7"/>
    <x v="1"/>
  </r>
  <r>
    <x v="8"/>
    <x v="116"/>
    <x v="175"/>
    <x v="25"/>
    <x v="84"/>
    <x v="4"/>
    <x v="0"/>
    <x v="10"/>
    <x v="18"/>
    <x v="1"/>
    <x v="20"/>
    <x v="22"/>
    <x v="111"/>
    <x v="24"/>
    <x v="260"/>
    <x v="311"/>
    <x v="0"/>
    <x v="15"/>
    <x v="2"/>
    <x v="0"/>
    <x v="0"/>
    <x v="1"/>
    <x v="0"/>
    <x v="1"/>
    <x v="0"/>
    <x v="0"/>
    <x v="8"/>
    <x v="6"/>
  </r>
  <r>
    <x v="9"/>
    <x v="160"/>
    <x v="236"/>
    <x v="28"/>
    <x v="73"/>
    <x v="4"/>
    <x v="3"/>
    <x v="3"/>
    <x v="5"/>
    <x v="0"/>
    <x v="30"/>
    <x v="0"/>
    <x v="176"/>
    <x v="33"/>
    <x v="435"/>
    <x v="338"/>
    <x v="1"/>
    <x v="5"/>
    <x v="0"/>
    <x v="0"/>
    <x v="1"/>
    <x v="1"/>
    <x v="0"/>
    <x v="4"/>
    <x v="420"/>
    <x v="0"/>
    <x v="1"/>
    <x v="0"/>
  </r>
  <r>
    <x v="10"/>
    <x v="210"/>
    <x v="199"/>
    <x v="51"/>
    <x v="52"/>
    <x v="1"/>
    <x v="2"/>
    <x v="2"/>
    <x v="4"/>
    <x v="0"/>
    <x v="17"/>
    <x v="0"/>
    <x v="106"/>
    <x v="22"/>
    <x v="269"/>
    <x v="329"/>
    <x v="4"/>
    <x v="14"/>
    <x v="0"/>
    <x v="0"/>
    <x v="2"/>
    <x v="1"/>
    <x v="0"/>
    <x v="3"/>
    <x v="260"/>
    <x v="0"/>
    <x v="6"/>
    <x v="4"/>
  </r>
  <r>
    <x v="11"/>
    <x v="81"/>
    <x v="24"/>
    <x v="77"/>
    <x v="75"/>
    <x v="2"/>
    <x v="0"/>
    <x v="2"/>
    <x v="4"/>
    <x v="4"/>
    <x v="2"/>
    <x v="28"/>
    <x v="12"/>
    <x v="4"/>
    <x v="11"/>
    <x v="267"/>
    <x v="1"/>
    <x v="4"/>
    <x v="1"/>
    <x v="2"/>
    <x v="1"/>
    <x v="1"/>
    <x v="0"/>
    <x v="3"/>
    <x v="12"/>
    <x v="0"/>
    <x v="11"/>
    <x v="10"/>
  </r>
  <r>
    <x v="12"/>
    <x v="177"/>
    <x v="291"/>
    <x v="83"/>
    <x v="96"/>
    <x v="2"/>
    <x v="0"/>
    <x v="10"/>
    <x v="23"/>
    <x v="0"/>
    <x v="20"/>
    <x v="0"/>
    <x v="119"/>
    <x v="34"/>
    <x v="200"/>
    <x v="207"/>
    <x v="1"/>
    <x v="9"/>
    <x v="1"/>
    <x v="2"/>
    <x v="1"/>
    <x v="1"/>
    <x v="0"/>
    <x v="0"/>
    <x v="193"/>
    <x v="0"/>
    <x v="11"/>
    <x v="10"/>
  </r>
  <r>
    <x v="13"/>
    <x v="54"/>
    <x v="184"/>
    <x v="82"/>
    <x v="67"/>
    <x v="2"/>
    <x v="0"/>
    <x v="5"/>
    <x v="12"/>
    <x v="2"/>
    <x v="7"/>
    <x v="21"/>
    <x v="40"/>
    <x v="14"/>
    <x v="58"/>
    <x v="220"/>
    <x v="4"/>
    <x v="17"/>
    <x v="1"/>
    <x v="1"/>
    <x v="2"/>
    <x v="1"/>
    <x v="0"/>
    <x v="3"/>
    <x v="57"/>
    <x v="0"/>
    <x v="11"/>
    <x v="10"/>
  </r>
  <r>
    <x v="14"/>
    <x v="310"/>
    <x v="237"/>
    <x v="52"/>
    <x v="54"/>
    <x v="1"/>
    <x v="0"/>
    <x v="8"/>
    <x v="16"/>
    <x v="0"/>
    <x v="14"/>
    <x v="0"/>
    <x v="84"/>
    <x v="20"/>
    <x v="178"/>
    <x v="298"/>
    <x v="1"/>
    <x v="19"/>
    <x v="1"/>
    <x v="1"/>
    <x v="1"/>
    <x v="1"/>
    <x v="0"/>
    <x v="0"/>
    <x v="172"/>
    <x v="0"/>
    <x v="11"/>
    <x v="10"/>
  </r>
  <r>
    <x v="15"/>
    <x v="70"/>
    <x v="173"/>
    <x v="65"/>
    <x v="36"/>
    <x v="6"/>
    <x v="0"/>
    <x v="7"/>
    <x v="14"/>
    <x v="1"/>
    <x v="11"/>
    <x v="12"/>
    <x v="64"/>
    <x v="17"/>
    <x v="132"/>
    <x v="295"/>
    <x v="0"/>
    <x v="3"/>
    <x v="0"/>
    <x v="0"/>
    <x v="0"/>
    <x v="1"/>
    <x v="0"/>
    <x v="1"/>
    <x v="0"/>
    <x v="0"/>
    <x v="11"/>
    <x v="10"/>
  </r>
  <r>
    <x v="16"/>
    <x v="189"/>
    <x v="217"/>
    <x v="9"/>
    <x v="95"/>
    <x v="3"/>
    <x v="2"/>
    <x v="19"/>
    <x v="39"/>
    <x v="3"/>
    <x v="93"/>
    <x v="218"/>
    <x v="396"/>
    <x v="104"/>
    <x v="579"/>
    <x v="61"/>
    <x v="1"/>
    <x v="19"/>
    <x v="0"/>
    <x v="2"/>
    <x v="1"/>
    <x v="1"/>
    <x v="0"/>
    <x v="4"/>
    <x v="555"/>
    <x v="0"/>
    <x v="11"/>
    <x v="10"/>
  </r>
  <r>
    <x v="17"/>
    <x v="15"/>
    <x v="206"/>
    <x v="49"/>
    <x v="38"/>
    <x v="1"/>
    <x v="0"/>
    <x v="6"/>
    <x v="13"/>
    <x v="2"/>
    <x v="9"/>
    <x v="25"/>
    <x v="53"/>
    <x v="15"/>
    <x v="89"/>
    <x v="252"/>
    <x v="1"/>
    <x v="0"/>
    <x v="1"/>
    <x v="2"/>
    <x v="1"/>
    <x v="1"/>
    <x v="0"/>
    <x v="3"/>
    <x v="88"/>
    <x v="0"/>
    <x v="11"/>
    <x v="10"/>
  </r>
  <r>
    <x v="18"/>
    <x v="131"/>
    <x v="143"/>
    <x v="27"/>
    <x v="78"/>
    <x v="4"/>
    <x v="1"/>
    <x v="19"/>
    <x v="38"/>
    <x v="4"/>
    <x v="78"/>
    <x v="208"/>
    <x v="328"/>
    <x v="84"/>
    <x v="490"/>
    <x v="82"/>
    <x v="3"/>
    <x v="12"/>
    <x v="0"/>
    <x v="1"/>
    <x v="3"/>
    <x v="1"/>
    <x v="0"/>
    <x v="4"/>
    <x v="0"/>
    <x v="0"/>
    <x v="11"/>
    <x v="10"/>
  </r>
  <r>
    <x v="19"/>
    <x v="230"/>
    <x v="165"/>
    <x v="39"/>
    <x v="20"/>
    <x v="5"/>
    <x v="0"/>
    <x v="13"/>
    <x v="29"/>
    <x v="4"/>
    <x v="29"/>
    <x v="119"/>
    <x v="130"/>
    <x v="43"/>
    <x v="169"/>
    <x v="106"/>
    <x v="1"/>
    <x v="10"/>
    <x v="1"/>
    <x v="1"/>
    <x v="1"/>
    <x v="1"/>
    <x v="0"/>
    <x v="0"/>
    <x v="163"/>
    <x v="0"/>
    <x v="11"/>
    <x v="10"/>
  </r>
  <r>
    <x v="20"/>
    <x v="153"/>
    <x v="228"/>
    <x v="18"/>
    <x v="71"/>
    <x v="4"/>
    <x v="4"/>
    <x v="20"/>
    <x v="40"/>
    <x v="2"/>
    <x v="108"/>
    <x v="226"/>
    <x v="440"/>
    <x v="120"/>
    <x v="671"/>
    <x v="120"/>
    <x v="3"/>
    <x v="7"/>
    <x v="0"/>
    <x v="1"/>
    <x v="3"/>
    <x v="2"/>
    <x v="0"/>
    <x v="0"/>
    <x v="0"/>
    <x v="0"/>
    <x v="11"/>
    <x v="10"/>
  </r>
  <r>
    <x v="21"/>
    <x v="49"/>
    <x v="36"/>
    <x v="49"/>
    <x v="38"/>
    <x v="1"/>
    <x v="1"/>
    <x v="6"/>
    <x v="13"/>
    <x v="0"/>
    <x v="22"/>
    <x v="0"/>
    <x v="134"/>
    <x v="31"/>
    <x v="299"/>
    <x v="291"/>
    <x v="1"/>
    <x v="18"/>
    <x v="1"/>
    <x v="1"/>
    <x v="1"/>
    <x v="1"/>
    <x v="0"/>
    <x v="3"/>
    <x v="288"/>
    <x v="0"/>
    <x v="11"/>
    <x v="10"/>
  </r>
  <r>
    <x v="22"/>
    <x v="3"/>
    <x v="115"/>
    <x v="57"/>
    <x v="58"/>
    <x v="1"/>
    <x v="1"/>
    <x v="5"/>
    <x v="11"/>
    <x v="4"/>
    <x v="19"/>
    <x v="93"/>
    <x v="89"/>
    <x v="28"/>
    <x v="146"/>
    <x v="196"/>
    <x v="1"/>
    <x v="18"/>
    <x v="1"/>
    <x v="2"/>
    <x v="1"/>
    <x v="1"/>
    <x v="0"/>
    <x v="4"/>
    <x v="140"/>
    <x v="0"/>
    <x v="11"/>
    <x v="10"/>
  </r>
  <r>
    <x v="23"/>
    <x v="265"/>
    <x v="26"/>
    <x v="25"/>
    <x v="84"/>
    <x v="4"/>
    <x v="0"/>
    <x v="10"/>
    <x v="18"/>
    <x v="3"/>
    <x v="20"/>
    <x v="73"/>
    <x v="97"/>
    <x v="24"/>
    <x v="202"/>
    <x v="278"/>
    <x v="2"/>
    <x v="17"/>
    <x v="1"/>
    <x v="1"/>
    <x v="2"/>
    <x v="1"/>
    <x v="0"/>
    <x v="2"/>
    <x v="195"/>
    <x v="0"/>
    <x v="11"/>
    <x v="10"/>
  </r>
  <r>
    <x v="24"/>
    <x v="322"/>
    <x v="26"/>
    <x v="88"/>
    <x v="57"/>
    <x v="0"/>
    <x v="0"/>
    <x v="22"/>
    <x v="45"/>
    <x v="0"/>
    <x v="63"/>
    <x v="0"/>
    <x v="304"/>
    <x v="76"/>
    <x v="483"/>
    <x v="114"/>
    <x v="1"/>
    <x v="17"/>
    <x v="1"/>
    <x v="2"/>
    <x v="1"/>
    <x v="1"/>
    <x v="0"/>
    <x v="3"/>
    <x v="464"/>
    <x v="0"/>
    <x v="11"/>
    <x v="10"/>
  </r>
  <r>
    <x v="25"/>
    <x v="233"/>
    <x v="75"/>
    <x v="35"/>
    <x v="24"/>
    <x v="5"/>
    <x v="0"/>
    <x v="17"/>
    <x v="35"/>
    <x v="4"/>
    <x v="42"/>
    <x v="145"/>
    <x v="182"/>
    <x v="55"/>
    <x v="213"/>
    <x v="76"/>
    <x v="1"/>
    <x v="3"/>
    <x v="1"/>
    <x v="2"/>
    <x v="1"/>
    <x v="1"/>
    <x v="0"/>
    <x v="4"/>
    <x v="206"/>
    <x v="0"/>
    <x v="11"/>
    <x v="10"/>
  </r>
  <r>
    <x v="26"/>
    <x v="92"/>
    <x v="248"/>
    <x v="43"/>
    <x v="25"/>
    <x v="5"/>
    <x v="2"/>
    <x v="3"/>
    <x v="5"/>
    <x v="2"/>
    <x v="21"/>
    <x v="53"/>
    <x v="121"/>
    <x v="24"/>
    <x v="291"/>
    <x v="324"/>
    <x v="0"/>
    <x v="7"/>
    <x v="1"/>
    <x v="2"/>
    <x v="0"/>
    <x v="1"/>
    <x v="0"/>
    <x v="1"/>
    <x v="0"/>
    <x v="0"/>
    <x v="11"/>
    <x v="10"/>
  </r>
  <r>
    <x v="27"/>
    <x v="226"/>
    <x v="122"/>
    <x v="21"/>
    <x v="93"/>
    <x v="4"/>
    <x v="1"/>
    <x v="7"/>
    <x v="14"/>
    <x v="5"/>
    <x v="26"/>
    <x v="131"/>
    <x v="107"/>
    <x v="33"/>
    <x v="177"/>
    <x v="193"/>
    <x v="4"/>
    <x v="8"/>
    <x v="1"/>
    <x v="1"/>
    <x v="2"/>
    <x v="1"/>
    <x v="0"/>
    <x v="0"/>
    <x v="171"/>
    <x v="0"/>
    <x v="11"/>
    <x v="10"/>
  </r>
  <r>
    <x v="28"/>
    <x v="35"/>
    <x v="235"/>
    <x v="22"/>
    <x v="79"/>
    <x v="4"/>
    <x v="1"/>
    <x v="4"/>
    <x v="7"/>
    <x v="0"/>
    <x v="15"/>
    <x v="0"/>
    <x v="98"/>
    <x v="19"/>
    <x v="257"/>
    <x v="334"/>
    <x v="1"/>
    <x v="15"/>
    <x v="1"/>
    <x v="1"/>
    <x v="1"/>
    <x v="1"/>
    <x v="0"/>
    <x v="3"/>
    <x v="248"/>
    <x v="0"/>
    <x v="11"/>
    <x v="10"/>
  </r>
  <r>
    <x v="29"/>
    <x v="231"/>
    <x v="65"/>
    <x v="71"/>
    <x v="88"/>
    <x v="6"/>
    <x v="0"/>
    <x v="5"/>
    <x v="10"/>
    <x v="1"/>
    <x v="7"/>
    <x v="8"/>
    <x v="45"/>
    <x v="12"/>
    <x v="93"/>
    <x v="293"/>
    <x v="0"/>
    <x v="12"/>
    <x v="0"/>
    <x v="2"/>
    <x v="0"/>
    <x v="1"/>
    <x v="0"/>
    <x v="1"/>
    <x v="0"/>
    <x v="0"/>
    <x v="11"/>
    <x v="10"/>
  </r>
  <r>
    <x v="30"/>
    <x v="186"/>
    <x v="32"/>
    <x v="41"/>
    <x v="6"/>
    <x v="5"/>
    <x v="0"/>
    <x v="10"/>
    <x v="21"/>
    <x v="0"/>
    <x v="20"/>
    <x v="0"/>
    <x v="119"/>
    <x v="30"/>
    <x v="241"/>
    <x v="270"/>
    <x v="1"/>
    <x v="11"/>
    <x v="2"/>
    <x v="1"/>
    <x v="1"/>
    <x v="1"/>
    <x v="0"/>
    <x v="0"/>
    <x v="233"/>
    <x v="0"/>
    <x v="11"/>
    <x v="10"/>
  </r>
  <r>
    <x v="31"/>
    <x v="46"/>
    <x v="122"/>
    <x v="5"/>
    <x v="98"/>
    <x v="3"/>
    <x v="1"/>
    <x v="9"/>
    <x v="18"/>
    <x v="4"/>
    <x v="38"/>
    <x v="139"/>
    <x v="165"/>
    <x v="45"/>
    <x v="301"/>
    <x v="190"/>
    <x v="0"/>
    <x v="8"/>
    <x v="1"/>
    <x v="1"/>
    <x v="0"/>
    <x v="1"/>
    <x v="0"/>
    <x v="1"/>
    <x v="0"/>
    <x v="0"/>
    <x v="11"/>
    <x v="10"/>
  </r>
  <r>
    <x v="32"/>
    <x v="168"/>
    <x v="56"/>
    <x v="23"/>
    <x v="49"/>
    <x v="4"/>
    <x v="0"/>
    <x v="12"/>
    <x v="24"/>
    <x v="1"/>
    <x v="27"/>
    <x v="30"/>
    <x v="143"/>
    <x v="36"/>
    <x v="287"/>
    <x v="246"/>
    <x v="1"/>
    <x v="18"/>
    <x v="1"/>
    <x v="2"/>
    <x v="1"/>
    <x v="1"/>
    <x v="0"/>
    <x v="3"/>
    <x v="278"/>
    <x v="0"/>
    <x v="11"/>
    <x v="10"/>
  </r>
  <r>
    <x v="33"/>
    <x v="51"/>
    <x v="154"/>
    <x v="26"/>
    <x v="8"/>
    <x v="4"/>
    <x v="3"/>
    <x v="5"/>
    <x v="10"/>
    <x v="2"/>
    <x v="43"/>
    <x v="93"/>
    <x v="210"/>
    <x v="46"/>
    <x v="437"/>
    <x v="274"/>
    <x v="1"/>
    <x v="18"/>
    <x v="2"/>
    <x v="2"/>
    <x v="1"/>
    <x v="1"/>
    <x v="0"/>
    <x v="3"/>
    <x v="422"/>
    <x v="0"/>
    <x v="11"/>
    <x v="10"/>
  </r>
  <r>
    <x v="34"/>
    <x v="206"/>
    <x v="60"/>
    <x v="19"/>
    <x v="2"/>
    <x v="4"/>
    <x v="0"/>
    <x v="14"/>
    <x v="30"/>
    <x v="3"/>
    <x v="33"/>
    <x v="104"/>
    <x v="154"/>
    <x v="45"/>
    <x v="228"/>
    <x v="141"/>
    <x v="1"/>
    <x v="6"/>
    <x v="0"/>
    <x v="1"/>
    <x v="1"/>
    <x v="1"/>
    <x v="0"/>
    <x v="4"/>
    <x v="220"/>
    <x v="0"/>
    <x v="11"/>
    <x v="10"/>
  </r>
  <r>
    <x v="35"/>
    <x v="5"/>
    <x v="268"/>
    <x v="2"/>
    <x v="77"/>
    <x v="3"/>
    <x v="2"/>
    <x v="22"/>
    <x v="44"/>
    <x v="4"/>
    <x v="102"/>
    <x v="242"/>
    <x v="419"/>
    <x v="112"/>
    <x v="611"/>
    <x v="39"/>
    <x v="1"/>
    <x v="7"/>
    <x v="0"/>
    <x v="1"/>
    <x v="1"/>
    <x v="2"/>
    <x v="0"/>
    <x v="0"/>
    <x v="582"/>
    <x v="0"/>
    <x v="11"/>
    <x v="10"/>
  </r>
  <r>
    <x v="36"/>
    <x v="65"/>
    <x v="191"/>
    <x v="46"/>
    <x v="85"/>
    <x v="1"/>
    <x v="4"/>
    <x v="5"/>
    <x v="11"/>
    <x v="5"/>
    <x v="51"/>
    <x v="183"/>
    <x v="215"/>
    <x v="57"/>
    <x v="368"/>
    <x v="159"/>
    <x v="4"/>
    <x v="9"/>
    <x v="1"/>
    <x v="1"/>
    <x v="2"/>
    <x v="1"/>
    <x v="0"/>
    <x v="3"/>
    <x v="354"/>
    <x v="0"/>
    <x v="11"/>
    <x v="10"/>
  </r>
  <r>
    <x v="37"/>
    <x v="283"/>
    <x v="142"/>
    <x v="37"/>
    <x v="51"/>
    <x v="5"/>
    <x v="0"/>
    <x v="8"/>
    <x v="17"/>
    <x v="2"/>
    <x v="14"/>
    <x v="35"/>
    <x v="73"/>
    <x v="21"/>
    <x v="137"/>
    <x v="238"/>
    <x v="1"/>
    <x v="4"/>
    <x v="0"/>
    <x v="0"/>
    <x v="1"/>
    <x v="1"/>
    <x v="0"/>
    <x v="0"/>
    <x v="131"/>
    <x v="0"/>
    <x v="11"/>
    <x v="10"/>
  </r>
  <r>
    <x v="38"/>
    <x v="186"/>
    <x v="184"/>
    <x v="71"/>
    <x v="88"/>
    <x v="6"/>
    <x v="0"/>
    <x v="5"/>
    <x v="10"/>
    <x v="1"/>
    <x v="7"/>
    <x v="8"/>
    <x v="45"/>
    <x v="12"/>
    <x v="93"/>
    <x v="293"/>
    <x v="1"/>
    <x v="17"/>
    <x v="1"/>
    <x v="0"/>
    <x v="1"/>
    <x v="1"/>
    <x v="0"/>
    <x v="4"/>
    <x v="91"/>
    <x v="0"/>
    <x v="11"/>
    <x v="10"/>
  </r>
  <r>
    <x v="39"/>
    <x v="323"/>
    <x v="51"/>
    <x v="97"/>
    <x v="81"/>
    <x v="0"/>
    <x v="0"/>
    <x v="12"/>
    <x v="29"/>
    <x v="3"/>
    <x v="27"/>
    <x v="90"/>
    <x v="126"/>
    <x v="43"/>
    <x v="149"/>
    <x v="87"/>
    <x v="1"/>
    <x v="16"/>
    <x v="1"/>
    <x v="0"/>
    <x v="1"/>
    <x v="1"/>
    <x v="0"/>
    <x v="4"/>
    <x v="143"/>
    <x v="0"/>
    <x v="11"/>
    <x v="10"/>
  </r>
  <r>
    <x v="40"/>
    <x v="214"/>
    <x v="277"/>
    <x v="45"/>
    <x v="30"/>
    <x v="1"/>
    <x v="0"/>
    <x v="7"/>
    <x v="15"/>
    <x v="1"/>
    <x v="11"/>
    <x v="12"/>
    <x v="64"/>
    <x v="18"/>
    <x v="119"/>
    <x v="260"/>
    <x v="3"/>
    <x v="19"/>
    <x v="0"/>
    <x v="0"/>
    <x v="3"/>
    <x v="1"/>
    <x v="0"/>
    <x v="0"/>
    <x v="0"/>
    <x v="0"/>
    <x v="11"/>
    <x v="10"/>
  </r>
  <r>
    <x v="41"/>
    <x v="85"/>
    <x v="112"/>
    <x v="24"/>
    <x v="44"/>
    <x v="4"/>
    <x v="0"/>
    <x v="16"/>
    <x v="33"/>
    <x v="5"/>
    <x v="39"/>
    <x v="155"/>
    <x v="158"/>
    <x v="51"/>
    <x v="170"/>
    <x v="62"/>
    <x v="1"/>
    <x v="9"/>
    <x v="2"/>
    <x v="1"/>
    <x v="1"/>
    <x v="1"/>
    <x v="0"/>
    <x v="0"/>
    <x v="164"/>
    <x v="0"/>
    <x v="11"/>
    <x v="10"/>
  </r>
  <r>
    <x v="42"/>
    <x v="328"/>
    <x v="240"/>
    <x v="93"/>
    <x v="70"/>
    <x v="0"/>
    <x v="2"/>
    <x v="20"/>
    <x v="42"/>
    <x v="2"/>
    <x v="97"/>
    <x v="199"/>
    <x v="411"/>
    <x v="110"/>
    <x v="610"/>
    <x v="55"/>
    <x v="1"/>
    <x v="1"/>
    <x v="0"/>
    <x v="0"/>
    <x v="1"/>
    <x v="2"/>
    <x v="0"/>
    <x v="0"/>
    <x v="581"/>
    <x v="0"/>
    <x v="11"/>
    <x v="10"/>
  </r>
  <r>
    <x v="43"/>
    <x v="136"/>
    <x v="89"/>
    <x v="97"/>
    <x v="81"/>
    <x v="0"/>
    <x v="1"/>
    <x v="12"/>
    <x v="29"/>
    <x v="4"/>
    <x v="53"/>
    <x v="168"/>
    <x v="229"/>
    <x v="67"/>
    <x v="284"/>
    <x v="59"/>
    <x v="1"/>
    <x v="7"/>
    <x v="1"/>
    <x v="1"/>
    <x v="1"/>
    <x v="1"/>
    <x v="0"/>
    <x v="0"/>
    <x v="275"/>
    <x v="0"/>
    <x v="11"/>
    <x v="10"/>
  </r>
  <r>
    <x v="44"/>
    <x v="3"/>
    <x v="204"/>
    <x v="95"/>
    <x v="0"/>
    <x v="0"/>
    <x v="2"/>
    <x v="24"/>
    <x v="48"/>
    <x v="2"/>
    <x v="111"/>
    <x v="236"/>
    <x v="445"/>
    <x v="126"/>
    <x v="664"/>
    <x v="29"/>
    <x v="1"/>
    <x v="17"/>
    <x v="1"/>
    <x v="1"/>
    <x v="1"/>
    <x v="0"/>
    <x v="0"/>
    <x v="4"/>
    <x v="628"/>
    <x v="0"/>
    <x v="11"/>
    <x v="10"/>
  </r>
  <r>
    <x v="45"/>
    <x v="164"/>
    <x v="164"/>
    <x v="28"/>
    <x v="73"/>
    <x v="4"/>
    <x v="1"/>
    <x v="3"/>
    <x v="5"/>
    <x v="1"/>
    <x v="13"/>
    <x v="15"/>
    <x v="77"/>
    <x v="17"/>
    <x v="192"/>
    <x v="332"/>
    <x v="1"/>
    <x v="17"/>
    <x v="1"/>
    <x v="1"/>
    <x v="1"/>
    <x v="1"/>
    <x v="0"/>
    <x v="0"/>
    <x v="186"/>
    <x v="0"/>
    <x v="11"/>
    <x v="10"/>
  </r>
  <r>
    <x v="46"/>
    <x v="144"/>
    <x v="173"/>
    <x v="37"/>
    <x v="51"/>
    <x v="5"/>
    <x v="1"/>
    <x v="8"/>
    <x v="17"/>
    <x v="2"/>
    <x v="32"/>
    <x v="72"/>
    <x v="161"/>
    <x v="41"/>
    <x v="324"/>
    <x v="238"/>
    <x v="1"/>
    <x v="3"/>
    <x v="0"/>
    <x v="1"/>
    <x v="1"/>
    <x v="1"/>
    <x v="0"/>
    <x v="4"/>
    <x v="312"/>
    <x v="0"/>
    <x v="11"/>
    <x v="10"/>
  </r>
  <r>
    <x v="47"/>
    <x v="182"/>
    <x v="54"/>
    <x v="6"/>
    <x v="46"/>
    <x v="3"/>
    <x v="1"/>
    <x v="12"/>
    <x v="25"/>
    <x v="2"/>
    <x v="53"/>
    <x v="112"/>
    <x v="251"/>
    <x v="61"/>
    <x v="452"/>
    <x v="194"/>
    <x v="1"/>
    <x v="2"/>
    <x v="1"/>
    <x v="2"/>
    <x v="1"/>
    <x v="1"/>
    <x v="0"/>
    <x v="0"/>
    <x v="437"/>
    <x v="0"/>
    <x v="11"/>
    <x v="10"/>
  </r>
  <r>
    <x v="48"/>
    <x v="40"/>
    <x v="154"/>
    <x v="22"/>
    <x v="79"/>
    <x v="4"/>
    <x v="1"/>
    <x v="4"/>
    <x v="7"/>
    <x v="4"/>
    <x v="15"/>
    <x v="82"/>
    <x v="74"/>
    <x v="19"/>
    <x v="161"/>
    <x v="287"/>
    <x v="4"/>
    <x v="18"/>
    <x v="2"/>
    <x v="0"/>
    <x v="2"/>
    <x v="1"/>
    <x v="0"/>
    <x v="4"/>
    <x v="155"/>
    <x v="0"/>
    <x v="11"/>
    <x v="10"/>
  </r>
  <r>
    <x v="49"/>
    <x v="93"/>
    <x v="132"/>
    <x v="99"/>
    <x v="16"/>
    <x v="0"/>
    <x v="0"/>
    <x v="22"/>
    <x v="46"/>
    <x v="0"/>
    <x v="63"/>
    <x v="0"/>
    <x v="304"/>
    <x v="78"/>
    <x v="473"/>
    <x v="93"/>
    <x v="1"/>
    <x v="2"/>
    <x v="0"/>
    <x v="0"/>
    <x v="1"/>
    <x v="1"/>
    <x v="0"/>
    <x v="4"/>
    <x v="454"/>
    <x v="0"/>
    <x v="11"/>
    <x v="10"/>
  </r>
  <r>
    <x v="50"/>
    <x v="50"/>
    <x v="20"/>
    <x v="94"/>
    <x v="86"/>
    <x v="0"/>
    <x v="0"/>
    <x v="18"/>
    <x v="38"/>
    <x v="2"/>
    <x v="45"/>
    <x v="95"/>
    <x v="214"/>
    <x v="60"/>
    <x v="279"/>
    <x v="81"/>
    <x v="0"/>
    <x v="6"/>
    <x v="1"/>
    <x v="1"/>
    <x v="0"/>
    <x v="1"/>
    <x v="0"/>
    <x v="1"/>
    <x v="0"/>
    <x v="0"/>
    <x v="11"/>
    <x v="10"/>
  </r>
  <r>
    <x v="51"/>
    <x v="187"/>
    <x v="165"/>
    <x v="59"/>
    <x v="99"/>
    <x v="6"/>
    <x v="0"/>
    <x v="10"/>
    <x v="20"/>
    <x v="3"/>
    <x v="20"/>
    <x v="73"/>
    <x v="97"/>
    <x v="29"/>
    <x v="168"/>
    <x v="214"/>
    <x v="2"/>
    <x v="10"/>
    <x v="1"/>
    <x v="0"/>
    <x v="2"/>
    <x v="1"/>
    <x v="0"/>
    <x v="2"/>
    <x v="162"/>
    <x v="0"/>
    <x v="11"/>
    <x v="10"/>
  </r>
  <r>
    <x v="52"/>
    <x v="214"/>
    <x v="116"/>
    <x v="44"/>
    <x v="53"/>
    <x v="5"/>
    <x v="0"/>
    <x v="6"/>
    <x v="12"/>
    <x v="0"/>
    <x v="9"/>
    <x v="0"/>
    <x v="60"/>
    <x v="14"/>
    <x v="130"/>
    <x v="308"/>
    <x v="1"/>
    <x v="15"/>
    <x v="1"/>
    <x v="1"/>
    <x v="1"/>
    <x v="1"/>
    <x v="0"/>
    <x v="0"/>
    <x v="125"/>
    <x v="0"/>
    <x v="11"/>
    <x v="10"/>
  </r>
  <r>
    <x v="53"/>
    <x v="232"/>
    <x v="52"/>
    <x v="54"/>
    <x v="61"/>
    <x v="1"/>
    <x v="3"/>
    <x v="12"/>
    <x v="27"/>
    <x v="2"/>
    <x v="81"/>
    <x v="168"/>
    <x v="363"/>
    <x v="87"/>
    <x v="602"/>
    <x v="171"/>
    <x v="0"/>
    <x v="11"/>
    <x v="1"/>
    <x v="1"/>
    <x v="0"/>
    <x v="1"/>
    <x v="0"/>
    <x v="1"/>
    <x v="0"/>
    <x v="0"/>
    <x v="11"/>
    <x v="10"/>
  </r>
  <r>
    <x v="54"/>
    <x v="298"/>
    <x v="171"/>
    <x v="81"/>
    <x v="31"/>
    <x v="2"/>
    <x v="2"/>
    <x v="2"/>
    <x v="4"/>
    <x v="3"/>
    <x v="17"/>
    <x v="67"/>
    <x v="88"/>
    <x v="22"/>
    <x v="191"/>
    <x v="290"/>
    <x v="4"/>
    <x v="9"/>
    <x v="2"/>
    <x v="0"/>
    <x v="2"/>
    <x v="1"/>
    <x v="0"/>
    <x v="4"/>
    <x v="185"/>
    <x v="0"/>
    <x v="11"/>
    <x v="10"/>
  </r>
  <r>
    <x v="55"/>
    <x v="258"/>
    <x v="37"/>
    <x v="52"/>
    <x v="54"/>
    <x v="1"/>
    <x v="0"/>
    <x v="8"/>
    <x v="16"/>
    <x v="3"/>
    <x v="14"/>
    <x v="55"/>
    <x v="70"/>
    <x v="20"/>
    <x v="123"/>
    <x v="234"/>
    <x v="1"/>
    <x v="15"/>
    <x v="1"/>
    <x v="0"/>
    <x v="1"/>
    <x v="1"/>
    <x v="0"/>
    <x v="0"/>
    <x v="119"/>
    <x v="0"/>
    <x v="11"/>
    <x v="10"/>
  </r>
  <r>
    <x v="56"/>
    <x v="292"/>
    <x v="156"/>
    <x v="20"/>
    <x v="40"/>
    <x v="4"/>
    <x v="0"/>
    <x v="17"/>
    <x v="32"/>
    <x v="2"/>
    <x v="42"/>
    <x v="91"/>
    <x v="202"/>
    <x v="50"/>
    <x v="371"/>
    <x v="212"/>
    <x v="1"/>
    <x v="5"/>
    <x v="0"/>
    <x v="0"/>
    <x v="1"/>
    <x v="1"/>
    <x v="0"/>
    <x v="4"/>
    <x v="357"/>
    <x v="0"/>
    <x v="11"/>
    <x v="10"/>
  </r>
  <r>
    <x v="57"/>
    <x v="342"/>
    <x v="126"/>
    <x v="34"/>
    <x v="59"/>
    <x v="5"/>
    <x v="1"/>
    <x v="12"/>
    <x v="28"/>
    <x v="3"/>
    <x v="53"/>
    <x v="143"/>
    <x v="237"/>
    <x v="64"/>
    <x v="377"/>
    <x v="118"/>
    <x v="1"/>
    <x v="10"/>
    <x v="1"/>
    <x v="1"/>
    <x v="1"/>
    <x v="1"/>
    <x v="0"/>
    <x v="0"/>
    <x v="363"/>
    <x v="0"/>
    <x v="11"/>
    <x v="10"/>
  </r>
  <r>
    <x v="58"/>
    <x v="36"/>
    <x v="198"/>
    <x v="26"/>
    <x v="8"/>
    <x v="4"/>
    <x v="0"/>
    <x v="5"/>
    <x v="10"/>
    <x v="2"/>
    <x v="7"/>
    <x v="21"/>
    <x v="40"/>
    <x v="12"/>
    <x v="76"/>
    <x v="274"/>
    <x v="1"/>
    <x v="6"/>
    <x v="2"/>
    <x v="1"/>
    <x v="1"/>
    <x v="1"/>
    <x v="0"/>
    <x v="4"/>
    <x v="75"/>
    <x v="0"/>
    <x v="11"/>
    <x v="10"/>
  </r>
  <r>
    <x v="59"/>
    <x v="212"/>
    <x v="178"/>
    <x v="2"/>
    <x v="77"/>
    <x v="3"/>
    <x v="0"/>
    <x v="22"/>
    <x v="44"/>
    <x v="1"/>
    <x v="63"/>
    <x v="77"/>
    <x v="295"/>
    <x v="74"/>
    <x v="478"/>
    <x v="121"/>
    <x v="1"/>
    <x v="6"/>
    <x v="0"/>
    <x v="1"/>
    <x v="1"/>
    <x v="1"/>
    <x v="0"/>
    <x v="4"/>
    <x v="459"/>
    <x v="0"/>
    <x v="11"/>
    <x v="10"/>
  </r>
  <r>
    <x v="60"/>
    <x v="136"/>
    <x v="211"/>
    <x v="58"/>
    <x v="5"/>
    <x v="1"/>
    <x v="4"/>
    <x v="9"/>
    <x v="20"/>
    <x v="2"/>
    <x v="74"/>
    <x v="154"/>
    <x v="341"/>
    <x v="82"/>
    <x v="570"/>
    <x v="170"/>
    <x v="1"/>
    <x v="9"/>
    <x v="1"/>
    <x v="2"/>
    <x v="1"/>
    <x v="1"/>
    <x v="0"/>
    <x v="3"/>
    <x v="547"/>
    <x v="0"/>
    <x v="11"/>
    <x v="10"/>
  </r>
  <r>
    <x v="61"/>
    <x v="165"/>
    <x v="23"/>
    <x v="22"/>
    <x v="79"/>
    <x v="4"/>
    <x v="0"/>
    <x v="4"/>
    <x v="7"/>
    <x v="3"/>
    <x v="5"/>
    <x v="31"/>
    <x v="26"/>
    <x v="7"/>
    <x v="54"/>
    <x v="304"/>
    <x v="1"/>
    <x v="8"/>
    <x v="1"/>
    <x v="1"/>
    <x v="1"/>
    <x v="1"/>
    <x v="0"/>
    <x v="4"/>
    <x v="53"/>
    <x v="0"/>
    <x v="11"/>
    <x v="10"/>
  </r>
  <r>
    <x v="62"/>
    <x v="150"/>
    <x v="116"/>
    <x v="23"/>
    <x v="49"/>
    <x v="4"/>
    <x v="3"/>
    <x v="12"/>
    <x v="24"/>
    <x v="2"/>
    <x v="81"/>
    <x v="168"/>
    <x v="363"/>
    <x v="83"/>
    <x v="624"/>
    <x v="226"/>
    <x v="1"/>
    <x v="15"/>
    <x v="1"/>
    <x v="1"/>
    <x v="1"/>
    <x v="1"/>
    <x v="0"/>
    <x v="0"/>
    <x v="595"/>
    <x v="0"/>
    <x v="11"/>
    <x v="10"/>
  </r>
  <r>
    <x v="63"/>
    <x v="280"/>
    <x v="286"/>
    <x v="10"/>
    <x v="42"/>
    <x v="3"/>
    <x v="2"/>
    <x v="18"/>
    <x v="37"/>
    <x v="5"/>
    <x v="89"/>
    <x v="234"/>
    <x v="366"/>
    <x v="97"/>
    <x v="468"/>
    <x v="27"/>
    <x v="3"/>
    <x v="0"/>
    <x v="1"/>
    <x v="0"/>
    <x v="3"/>
    <x v="1"/>
    <x v="0"/>
    <x v="0"/>
    <x v="0"/>
    <x v="0"/>
    <x v="11"/>
    <x v="10"/>
  </r>
  <r>
    <x v="64"/>
    <x v="120"/>
    <x v="87"/>
    <x v="17"/>
    <x v="18"/>
    <x v="4"/>
    <x v="0"/>
    <x v="11"/>
    <x v="23"/>
    <x v="3"/>
    <x v="23"/>
    <x v="81"/>
    <x v="114"/>
    <x v="34"/>
    <x v="175"/>
    <x v="181"/>
    <x v="1"/>
    <x v="0"/>
    <x v="0"/>
    <x v="1"/>
    <x v="1"/>
    <x v="1"/>
    <x v="0"/>
    <x v="4"/>
    <x v="169"/>
    <x v="0"/>
    <x v="11"/>
    <x v="10"/>
  </r>
  <r>
    <x v="65"/>
    <x v="254"/>
    <x v="131"/>
    <x v="1"/>
    <x v="9"/>
    <x v="3"/>
    <x v="0"/>
    <x v="17"/>
    <x v="36"/>
    <x v="2"/>
    <x v="42"/>
    <x v="91"/>
    <x v="202"/>
    <x v="57"/>
    <x v="288"/>
    <x v="100"/>
    <x v="0"/>
    <x v="9"/>
    <x v="0"/>
    <x v="1"/>
    <x v="0"/>
    <x v="1"/>
    <x v="0"/>
    <x v="1"/>
    <x v="0"/>
    <x v="0"/>
    <x v="11"/>
    <x v="10"/>
  </r>
  <r>
    <x v="66"/>
    <x v="101"/>
    <x v="296"/>
    <x v="28"/>
    <x v="73"/>
    <x v="4"/>
    <x v="1"/>
    <x v="3"/>
    <x v="5"/>
    <x v="4"/>
    <x v="13"/>
    <x v="70"/>
    <x v="65"/>
    <x v="17"/>
    <x v="135"/>
    <x v="296"/>
    <x v="1"/>
    <x v="5"/>
    <x v="1"/>
    <x v="0"/>
    <x v="1"/>
    <x v="1"/>
    <x v="0"/>
    <x v="0"/>
    <x v="129"/>
    <x v="0"/>
    <x v="11"/>
    <x v="10"/>
  </r>
  <r>
    <x v="67"/>
    <x v="296"/>
    <x v="40"/>
    <x v="83"/>
    <x v="96"/>
    <x v="2"/>
    <x v="0"/>
    <x v="10"/>
    <x v="23"/>
    <x v="5"/>
    <x v="20"/>
    <x v="111"/>
    <x v="85"/>
    <x v="34"/>
    <x v="60"/>
    <x v="52"/>
    <x v="1"/>
    <x v="6"/>
    <x v="0"/>
    <x v="1"/>
    <x v="1"/>
    <x v="1"/>
    <x v="0"/>
    <x v="4"/>
    <x v="59"/>
    <x v="0"/>
    <x v="11"/>
    <x v="10"/>
  </r>
  <r>
    <x v="68"/>
    <x v="349"/>
    <x v="73"/>
    <x v="95"/>
    <x v="0"/>
    <x v="0"/>
    <x v="2"/>
    <x v="24"/>
    <x v="48"/>
    <x v="3"/>
    <x v="111"/>
    <x v="247"/>
    <x v="443"/>
    <x v="126"/>
    <x v="652"/>
    <x v="12"/>
    <x v="1"/>
    <x v="9"/>
    <x v="0"/>
    <x v="2"/>
    <x v="1"/>
    <x v="0"/>
    <x v="0"/>
    <x v="0"/>
    <x v="619"/>
    <x v="0"/>
    <x v="11"/>
    <x v="10"/>
  </r>
  <r>
    <x v="69"/>
    <x v="253"/>
    <x v="83"/>
    <x v="20"/>
    <x v="40"/>
    <x v="4"/>
    <x v="2"/>
    <x v="17"/>
    <x v="32"/>
    <x v="5"/>
    <x v="87"/>
    <x v="232"/>
    <x v="349"/>
    <x v="89"/>
    <x v="555"/>
    <x v="112"/>
    <x v="1"/>
    <x v="4"/>
    <x v="2"/>
    <x v="0"/>
    <x v="1"/>
    <x v="1"/>
    <x v="0"/>
    <x v="4"/>
    <x v="532"/>
    <x v="0"/>
    <x v="11"/>
    <x v="10"/>
  </r>
  <r>
    <x v="70"/>
    <x v="254"/>
    <x v="219"/>
    <x v="94"/>
    <x v="86"/>
    <x v="0"/>
    <x v="0"/>
    <x v="18"/>
    <x v="38"/>
    <x v="1"/>
    <x v="45"/>
    <x v="51"/>
    <x v="221"/>
    <x v="60"/>
    <x v="329"/>
    <x v="109"/>
    <x v="1"/>
    <x v="14"/>
    <x v="1"/>
    <x v="1"/>
    <x v="1"/>
    <x v="1"/>
    <x v="0"/>
    <x v="0"/>
    <x v="317"/>
    <x v="0"/>
    <x v="11"/>
    <x v="10"/>
  </r>
  <r>
    <x v="71"/>
    <x v="183"/>
    <x v="124"/>
    <x v="33"/>
    <x v="87"/>
    <x v="5"/>
    <x v="0"/>
    <x v="11"/>
    <x v="23"/>
    <x v="0"/>
    <x v="23"/>
    <x v="0"/>
    <x v="136"/>
    <x v="34"/>
    <x v="274"/>
    <x v="257"/>
    <x v="1"/>
    <x v="12"/>
    <x v="0"/>
    <x v="1"/>
    <x v="1"/>
    <x v="1"/>
    <x v="0"/>
    <x v="0"/>
    <x v="265"/>
    <x v="0"/>
    <x v="11"/>
    <x v="10"/>
  </r>
  <r>
    <x v="72"/>
    <x v="120"/>
    <x v="8"/>
    <x v="36"/>
    <x v="63"/>
    <x v="5"/>
    <x v="0"/>
    <x v="10"/>
    <x v="20"/>
    <x v="0"/>
    <x v="20"/>
    <x v="0"/>
    <x v="119"/>
    <x v="29"/>
    <x v="250"/>
    <x v="283"/>
    <x v="0"/>
    <x v="0"/>
    <x v="0"/>
    <x v="2"/>
    <x v="0"/>
    <x v="1"/>
    <x v="0"/>
    <x v="1"/>
    <x v="0"/>
    <x v="0"/>
    <x v="11"/>
    <x v="10"/>
  </r>
  <r>
    <x v="73"/>
    <x v="270"/>
    <x v="263"/>
    <x v="69"/>
    <x v="48"/>
    <x v="6"/>
    <x v="0"/>
    <x v="6"/>
    <x v="12"/>
    <x v="0"/>
    <x v="9"/>
    <x v="0"/>
    <x v="60"/>
    <x v="14"/>
    <x v="130"/>
    <x v="308"/>
    <x v="3"/>
    <x v="12"/>
    <x v="1"/>
    <x v="0"/>
    <x v="3"/>
    <x v="1"/>
    <x v="0"/>
    <x v="3"/>
    <x v="0"/>
    <x v="0"/>
    <x v="11"/>
    <x v="10"/>
  </r>
  <r>
    <x v="74"/>
    <x v="253"/>
    <x v="255"/>
    <x v="94"/>
    <x v="86"/>
    <x v="0"/>
    <x v="1"/>
    <x v="18"/>
    <x v="38"/>
    <x v="2"/>
    <x v="72"/>
    <x v="150"/>
    <x v="327"/>
    <x v="84"/>
    <x v="489"/>
    <x v="81"/>
    <x v="1"/>
    <x v="15"/>
    <x v="0"/>
    <x v="1"/>
    <x v="1"/>
    <x v="1"/>
    <x v="0"/>
    <x v="0"/>
    <x v="470"/>
    <x v="0"/>
    <x v="11"/>
    <x v="10"/>
  </r>
  <r>
    <x v="75"/>
    <x v="297"/>
    <x v="88"/>
    <x v="13"/>
    <x v="41"/>
    <x v="3"/>
    <x v="0"/>
    <x v="6"/>
    <x v="12"/>
    <x v="5"/>
    <x v="9"/>
    <x v="68"/>
    <x v="35"/>
    <x v="14"/>
    <x v="37"/>
    <x v="192"/>
    <x v="1"/>
    <x v="13"/>
    <x v="0"/>
    <x v="1"/>
    <x v="1"/>
    <x v="1"/>
    <x v="0"/>
    <x v="3"/>
    <x v="38"/>
    <x v="0"/>
    <x v="11"/>
    <x v="10"/>
  </r>
  <r>
    <x v="76"/>
    <x v="188"/>
    <x v="217"/>
    <x v="62"/>
    <x v="19"/>
    <x v="6"/>
    <x v="2"/>
    <x v="17"/>
    <x v="35"/>
    <x v="4"/>
    <x v="87"/>
    <x v="222"/>
    <x v="365"/>
    <x v="93"/>
    <x v="540"/>
    <x v="76"/>
    <x v="2"/>
    <x v="19"/>
    <x v="0"/>
    <x v="1"/>
    <x v="2"/>
    <x v="1"/>
    <x v="0"/>
    <x v="2"/>
    <x v="517"/>
    <x v="0"/>
    <x v="11"/>
    <x v="10"/>
  </r>
  <r>
    <x v="77"/>
    <x v="195"/>
    <x v="164"/>
    <x v="57"/>
    <x v="58"/>
    <x v="1"/>
    <x v="1"/>
    <x v="5"/>
    <x v="11"/>
    <x v="0"/>
    <x v="19"/>
    <x v="0"/>
    <x v="117"/>
    <x v="28"/>
    <x v="257"/>
    <x v="289"/>
    <x v="1"/>
    <x v="17"/>
    <x v="1"/>
    <x v="0"/>
    <x v="1"/>
    <x v="1"/>
    <x v="0"/>
    <x v="3"/>
    <x v="248"/>
    <x v="0"/>
    <x v="11"/>
    <x v="10"/>
  </r>
  <r>
    <x v="78"/>
    <x v="123"/>
    <x v="86"/>
    <x v="96"/>
    <x v="91"/>
    <x v="0"/>
    <x v="0"/>
    <x v="23"/>
    <x v="47"/>
    <x v="2"/>
    <x v="75"/>
    <x v="156"/>
    <x v="342"/>
    <x v="93"/>
    <x v="420"/>
    <x v="22"/>
    <x v="1"/>
    <x v="10"/>
    <x v="1"/>
    <x v="1"/>
    <x v="1"/>
    <x v="1"/>
    <x v="0"/>
    <x v="4"/>
    <x v="405"/>
    <x v="0"/>
    <x v="11"/>
    <x v="10"/>
  </r>
  <r>
    <x v="79"/>
    <x v="262"/>
    <x v="254"/>
    <x v="5"/>
    <x v="98"/>
    <x v="3"/>
    <x v="0"/>
    <x v="9"/>
    <x v="18"/>
    <x v="2"/>
    <x v="16"/>
    <x v="42"/>
    <x v="87"/>
    <x v="24"/>
    <x v="167"/>
    <x v="243"/>
    <x v="1"/>
    <x v="18"/>
    <x v="0"/>
    <x v="1"/>
    <x v="1"/>
    <x v="1"/>
    <x v="0"/>
    <x v="4"/>
    <x v="161"/>
    <x v="0"/>
    <x v="11"/>
    <x v="10"/>
  </r>
  <r>
    <x v="80"/>
    <x v="168"/>
    <x v="6"/>
    <x v="76"/>
    <x v="64"/>
    <x v="2"/>
    <x v="1"/>
    <x v="4"/>
    <x v="8"/>
    <x v="4"/>
    <x v="15"/>
    <x v="82"/>
    <x v="74"/>
    <x v="21"/>
    <x v="146"/>
    <x v="259"/>
    <x v="1"/>
    <x v="17"/>
    <x v="1"/>
    <x v="0"/>
    <x v="1"/>
    <x v="1"/>
    <x v="0"/>
    <x v="0"/>
    <x v="140"/>
    <x v="0"/>
    <x v="11"/>
    <x v="10"/>
  </r>
  <r>
    <x v="81"/>
    <x v="224"/>
    <x v="176"/>
    <x v="35"/>
    <x v="24"/>
    <x v="5"/>
    <x v="2"/>
    <x v="17"/>
    <x v="35"/>
    <x v="1"/>
    <x v="87"/>
    <x v="124"/>
    <x v="390"/>
    <x v="93"/>
    <x v="633"/>
    <x v="167"/>
    <x v="1"/>
    <x v="5"/>
    <x v="0"/>
    <x v="1"/>
    <x v="1"/>
    <x v="1"/>
    <x v="0"/>
    <x v="4"/>
    <x v="603"/>
    <x v="0"/>
    <x v="11"/>
    <x v="10"/>
  </r>
  <r>
    <x v="82"/>
    <x v="319"/>
    <x v="106"/>
    <x v="71"/>
    <x v="88"/>
    <x v="6"/>
    <x v="1"/>
    <x v="5"/>
    <x v="10"/>
    <x v="3"/>
    <x v="19"/>
    <x v="71"/>
    <x v="96"/>
    <x v="25"/>
    <x v="186"/>
    <x v="249"/>
    <x v="4"/>
    <x v="10"/>
    <x v="1"/>
    <x v="1"/>
    <x v="2"/>
    <x v="1"/>
    <x v="0"/>
    <x v="0"/>
    <x v="180"/>
    <x v="0"/>
    <x v="11"/>
    <x v="10"/>
  </r>
  <r>
    <x v="83"/>
    <x v="77"/>
    <x v="118"/>
    <x v="47"/>
    <x v="74"/>
    <x v="1"/>
    <x v="2"/>
    <x v="4"/>
    <x v="9"/>
    <x v="3"/>
    <x v="28"/>
    <x v="92"/>
    <x v="131"/>
    <x v="36"/>
    <x v="243"/>
    <x v="217"/>
    <x v="4"/>
    <x v="19"/>
    <x v="1"/>
    <x v="2"/>
    <x v="2"/>
    <x v="1"/>
    <x v="0"/>
    <x v="3"/>
    <x v="235"/>
    <x v="0"/>
    <x v="11"/>
    <x v="10"/>
  </r>
  <r>
    <x v="84"/>
    <x v="188"/>
    <x v="259"/>
    <x v="3"/>
    <x v="90"/>
    <x v="3"/>
    <x v="3"/>
    <x v="3"/>
    <x v="7"/>
    <x v="0"/>
    <x v="30"/>
    <x v="0"/>
    <x v="176"/>
    <x v="37"/>
    <x v="402"/>
    <x v="306"/>
    <x v="1"/>
    <x v="14"/>
    <x v="1"/>
    <x v="2"/>
    <x v="1"/>
    <x v="1"/>
    <x v="0"/>
    <x v="0"/>
    <x v="387"/>
    <x v="0"/>
    <x v="11"/>
    <x v="10"/>
  </r>
  <r>
    <x v="85"/>
    <x v="117"/>
    <x v="171"/>
    <x v="54"/>
    <x v="61"/>
    <x v="1"/>
    <x v="0"/>
    <x v="12"/>
    <x v="27"/>
    <x v="1"/>
    <x v="27"/>
    <x v="30"/>
    <x v="143"/>
    <x v="39"/>
    <x v="251"/>
    <x v="203"/>
    <x v="3"/>
    <x v="9"/>
    <x v="2"/>
    <x v="2"/>
    <x v="3"/>
    <x v="1"/>
    <x v="0"/>
    <x v="4"/>
    <x v="0"/>
    <x v="0"/>
    <x v="11"/>
    <x v="10"/>
  </r>
  <r>
    <x v="86"/>
    <x v="323"/>
    <x v="51"/>
    <x v="62"/>
    <x v="19"/>
    <x v="6"/>
    <x v="1"/>
    <x v="17"/>
    <x v="35"/>
    <x v="1"/>
    <x v="70"/>
    <x v="91"/>
    <x v="324"/>
    <x v="78"/>
    <x v="550"/>
    <x v="167"/>
    <x v="1"/>
    <x v="16"/>
    <x v="1"/>
    <x v="2"/>
    <x v="1"/>
    <x v="1"/>
    <x v="0"/>
    <x v="4"/>
    <x v="527"/>
    <x v="0"/>
    <x v="11"/>
    <x v="10"/>
  </r>
  <r>
    <x v="87"/>
    <x v="82"/>
    <x v="130"/>
    <x v="75"/>
    <x v="23"/>
    <x v="2"/>
    <x v="0"/>
    <x v="5"/>
    <x v="11"/>
    <x v="3"/>
    <x v="7"/>
    <x v="34"/>
    <x v="37"/>
    <x v="13"/>
    <x v="49"/>
    <x v="220"/>
    <x v="2"/>
    <x v="11"/>
    <x v="1"/>
    <x v="2"/>
    <x v="2"/>
    <x v="1"/>
    <x v="0"/>
    <x v="2"/>
    <x v="49"/>
    <x v="0"/>
    <x v="11"/>
    <x v="10"/>
  </r>
  <r>
    <x v="88"/>
    <x v="139"/>
    <x v="150"/>
    <x v="37"/>
    <x v="51"/>
    <x v="5"/>
    <x v="2"/>
    <x v="8"/>
    <x v="17"/>
    <x v="4"/>
    <x v="48"/>
    <x v="157"/>
    <x v="211"/>
    <x v="54"/>
    <x v="375"/>
    <x v="184"/>
    <x v="1"/>
    <x v="11"/>
    <x v="1"/>
    <x v="1"/>
    <x v="1"/>
    <x v="1"/>
    <x v="0"/>
    <x v="0"/>
    <x v="361"/>
    <x v="0"/>
    <x v="11"/>
    <x v="10"/>
  </r>
  <r>
    <x v="89"/>
    <x v="277"/>
    <x v="181"/>
    <x v="82"/>
    <x v="67"/>
    <x v="2"/>
    <x v="0"/>
    <x v="5"/>
    <x v="12"/>
    <x v="2"/>
    <x v="7"/>
    <x v="21"/>
    <x v="40"/>
    <x v="14"/>
    <x v="58"/>
    <x v="220"/>
    <x v="4"/>
    <x v="8"/>
    <x v="1"/>
    <x v="0"/>
    <x v="2"/>
    <x v="1"/>
    <x v="0"/>
    <x v="0"/>
    <x v="57"/>
    <x v="0"/>
    <x v="11"/>
    <x v="10"/>
  </r>
  <r>
    <x v="90"/>
    <x v="9"/>
    <x v="191"/>
    <x v="96"/>
    <x v="91"/>
    <x v="0"/>
    <x v="2"/>
    <x v="23"/>
    <x v="47"/>
    <x v="4"/>
    <x v="110"/>
    <x v="249"/>
    <x v="436"/>
    <x v="124"/>
    <x v="540"/>
    <x v="3"/>
    <x v="1"/>
    <x v="9"/>
    <x v="1"/>
    <x v="1"/>
    <x v="1"/>
    <x v="2"/>
    <x v="0"/>
    <x v="0"/>
    <x v="517"/>
    <x v="0"/>
    <x v="11"/>
    <x v="10"/>
  </r>
  <r>
    <x v="91"/>
    <x v="245"/>
    <x v="232"/>
    <x v="68"/>
    <x v="80"/>
    <x v="6"/>
    <x v="1"/>
    <x v="12"/>
    <x v="27"/>
    <x v="1"/>
    <x v="53"/>
    <x v="62"/>
    <x v="259"/>
    <x v="63"/>
    <x v="470"/>
    <x v="203"/>
    <x v="1"/>
    <x v="2"/>
    <x v="0"/>
    <x v="0"/>
    <x v="1"/>
    <x v="1"/>
    <x v="0"/>
    <x v="4"/>
    <x v="451"/>
    <x v="0"/>
    <x v="11"/>
    <x v="10"/>
  </r>
  <r>
    <x v="92"/>
    <x v="82"/>
    <x v="296"/>
    <x v="4"/>
    <x v="66"/>
    <x v="3"/>
    <x v="2"/>
    <x v="14"/>
    <x v="31"/>
    <x v="1"/>
    <x v="77"/>
    <x v="104"/>
    <x v="355"/>
    <x v="86"/>
    <x v="583"/>
    <x v="158"/>
    <x v="4"/>
    <x v="5"/>
    <x v="1"/>
    <x v="0"/>
    <x v="2"/>
    <x v="1"/>
    <x v="0"/>
    <x v="0"/>
    <x v="559"/>
    <x v="0"/>
    <x v="11"/>
    <x v="10"/>
  </r>
  <r>
    <x v="93"/>
    <x v="151"/>
    <x v="86"/>
    <x v="7"/>
    <x v="62"/>
    <x v="3"/>
    <x v="0"/>
    <x v="5"/>
    <x v="9"/>
    <x v="2"/>
    <x v="7"/>
    <x v="21"/>
    <x v="40"/>
    <x v="11"/>
    <x v="85"/>
    <x v="297"/>
    <x v="1"/>
    <x v="10"/>
    <x v="1"/>
    <x v="0"/>
    <x v="1"/>
    <x v="1"/>
    <x v="0"/>
    <x v="4"/>
    <x v="84"/>
    <x v="0"/>
    <x v="11"/>
    <x v="10"/>
  </r>
  <r>
    <x v="94"/>
    <x v="23"/>
    <x v="218"/>
    <x v="20"/>
    <x v="40"/>
    <x v="4"/>
    <x v="2"/>
    <x v="17"/>
    <x v="32"/>
    <x v="1"/>
    <x v="87"/>
    <x v="124"/>
    <x v="390"/>
    <x v="89"/>
    <x v="655"/>
    <x v="233"/>
    <x v="1"/>
    <x v="6"/>
    <x v="0"/>
    <x v="1"/>
    <x v="1"/>
    <x v="1"/>
    <x v="0"/>
    <x v="0"/>
    <x v="621"/>
    <x v="0"/>
    <x v="11"/>
    <x v="10"/>
  </r>
  <r>
    <x v="95"/>
    <x v="231"/>
    <x v="25"/>
    <x v="83"/>
    <x v="96"/>
    <x v="2"/>
    <x v="4"/>
    <x v="10"/>
    <x v="23"/>
    <x v="1"/>
    <x v="80"/>
    <x v="111"/>
    <x v="374"/>
    <x v="89"/>
    <x v="613"/>
    <x v="177"/>
    <x v="1"/>
    <x v="12"/>
    <x v="1"/>
    <x v="0"/>
    <x v="1"/>
    <x v="1"/>
    <x v="0"/>
    <x v="0"/>
    <x v="584"/>
    <x v="0"/>
    <x v="11"/>
    <x v="10"/>
  </r>
  <r>
    <x v="96"/>
    <x v="160"/>
    <x v="261"/>
    <x v="80"/>
    <x v="82"/>
    <x v="2"/>
    <x v="0"/>
    <x v="0"/>
    <x v="0"/>
    <x v="4"/>
    <x v="0"/>
    <x v="13"/>
    <x v="0"/>
    <x v="0"/>
    <x v="0"/>
    <x v="320"/>
    <x v="2"/>
    <x v="8"/>
    <x v="2"/>
    <x v="2"/>
    <x v="2"/>
    <x v="1"/>
    <x v="0"/>
    <x v="2"/>
    <x v="1"/>
    <x v="0"/>
    <x v="11"/>
    <x v="10"/>
  </r>
  <r>
    <x v="97"/>
    <x v="192"/>
    <x v="113"/>
    <x v="3"/>
    <x v="90"/>
    <x v="3"/>
    <x v="0"/>
    <x v="3"/>
    <x v="7"/>
    <x v="1"/>
    <x v="4"/>
    <x v="5"/>
    <x v="25"/>
    <x v="7"/>
    <x v="44"/>
    <x v="292"/>
    <x v="1"/>
    <x v="2"/>
    <x v="1"/>
    <x v="1"/>
    <x v="1"/>
    <x v="1"/>
    <x v="0"/>
    <x v="4"/>
    <x v="45"/>
    <x v="0"/>
    <x v="11"/>
    <x v="10"/>
  </r>
  <r>
    <x v="98"/>
    <x v="30"/>
    <x v="64"/>
    <x v="68"/>
    <x v="80"/>
    <x v="6"/>
    <x v="1"/>
    <x v="12"/>
    <x v="27"/>
    <x v="3"/>
    <x v="53"/>
    <x v="143"/>
    <x v="237"/>
    <x v="63"/>
    <x v="397"/>
    <x v="139"/>
    <x v="3"/>
    <x v="4"/>
    <x v="1"/>
    <x v="1"/>
    <x v="3"/>
    <x v="1"/>
    <x v="0"/>
    <x v="4"/>
    <x v="0"/>
    <x v="0"/>
    <x v="11"/>
    <x v="10"/>
  </r>
  <r>
    <x v="99"/>
    <x v="124"/>
    <x v="164"/>
    <x v="60"/>
    <x v="68"/>
    <x v="6"/>
    <x v="1"/>
    <x v="5"/>
    <x v="9"/>
    <x v="1"/>
    <x v="19"/>
    <x v="21"/>
    <x v="110"/>
    <x v="24"/>
    <x v="258"/>
    <x v="310"/>
    <x v="1"/>
    <x v="17"/>
    <x v="1"/>
    <x v="2"/>
    <x v="1"/>
    <x v="1"/>
    <x v="0"/>
    <x v="4"/>
    <x v="249"/>
    <x v="0"/>
    <x v="11"/>
    <x v="10"/>
  </r>
  <r>
    <x v="100"/>
    <x v="230"/>
    <x v="56"/>
    <x v="28"/>
    <x v="73"/>
    <x v="4"/>
    <x v="0"/>
    <x v="3"/>
    <x v="5"/>
    <x v="2"/>
    <x v="4"/>
    <x v="15"/>
    <x v="23"/>
    <x v="5"/>
    <x v="48"/>
    <x v="324"/>
    <x v="1"/>
    <x v="18"/>
    <x v="1"/>
    <x v="1"/>
    <x v="1"/>
    <x v="1"/>
    <x v="0"/>
    <x v="0"/>
    <x v="48"/>
    <x v="0"/>
    <x v="11"/>
    <x v="10"/>
  </r>
  <r>
    <x v="101"/>
    <x v="275"/>
    <x v="3"/>
    <x v="60"/>
    <x v="68"/>
    <x v="6"/>
    <x v="1"/>
    <x v="5"/>
    <x v="9"/>
    <x v="3"/>
    <x v="19"/>
    <x v="71"/>
    <x v="96"/>
    <x v="24"/>
    <x v="199"/>
    <x v="277"/>
    <x v="2"/>
    <x v="8"/>
    <x v="1"/>
    <x v="1"/>
    <x v="2"/>
    <x v="1"/>
    <x v="0"/>
    <x v="2"/>
    <x v="192"/>
    <x v="0"/>
    <x v="11"/>
    <x v="10"/>
  </r>
  <r>
    <x v="102"/>
    <x v="65"/>
    <x v="253"/>
    <x v="50"/>
    <x v="10"/>
    <x v="1"/>
    <x v="0"/>
    <x v="5"/>
    <x v="11"/>
    <x v="2"/>
    <x v="7"/>
    <x v="21"/>
    <x v="40"/>
    <x v="13"/>
    <x v="67"/>
    <x v="247"/>
    <x v="1"/>
    <x v="3"/>
    <x v="2"/>
    <x v="2"/>
    <x v="1"/>
    <x v="1"/>
    <x v="0"/>
    <x v="0"/>
    <x v="66"/>
    <x v="0"/>
    <x v="11"/>
    <x v="10"/>
  </r>
  <r>
    <x v="103"/>
    <x v="120"/>
    <x v="133"/>
    <x v="81"/>
    <x v="31"/>
    <x v="2"/>
    <x v="3"/>
    <x v="2"/>
    <x v="4"/>
    <x v="1"/>
    <x v="25"/>
    <x v="28"/>
    <x v="141"/>
    <x v="30"/>
    <x v="338"/>
    <x v="318"/>
    <x v="1"/>
    <x v="3"/>
    <x v="0"/>
    <x v="1"/>
    <x v="1"/>
    <x v="1"/>
    <x v="0"/>
    <x v="3"/>
    <x v="325"/>
    <x v="0"/>
    <x v="11"/>
    <x v="10"/>
  </r>
  <r>
    <x v="104"/>
    <x v="339"/>
    <x v="71"/>
    <x v="95"/>
    <x v="0"/>
    <x v="0"/>
    <x v="0"/>
    <x v="24"/>
    <x v="48"/>
    <x v="0"/>
    <x v="83"/>
    <x v="0"/>
    <x v="384"/>
    <x v="97"/>
    <x v="560"/>
    <x v="67"/>
    <x v="1"/>
    <x v="16"/>
    <x v="1"/>
    <x v="1"/>
    <x v="1"/>
    <x v="1"/>
    <x v="0"/>
    <x v="4"/>
    <x v="537"/>
    <x v="0"/>
    <x v="11"/>
    <x v="10"/>
  </r>
  <r>
    <x v="105"/>
    <x v="342"/>
    <x v="24"/>
    <x v="7"/>
    <x v="62"/>
    <x v="3"/>
    <x v="0"/>
    <x v="5"/>
    <x v="9"/>
    <x v="5"/>
    <x v="7"/>
    <x v="60"/>
    <x v="30"/>
    <x v="11"/>
    <x v="34"/>
    <x v="220"/>
    <x v="3"/>
    <x v="4"/>
    <x v="1"/>
    <x v="1"/>
    <x v="3"/>
    <x v="1"/>
    <x v="0"/>
    <x v="4"/>
    <x v="0"/>
    <x v="0"/>
    <x v="11"/>
    <x v="10"/>
  </r>
  <r>
    <x v="106"/>
    <x v="115"/>
    <x v="238"/>
    <x v="34"/>
    <x v="59"/>
    <x v="5"/>
    <x v="3"/>
    <x v="12"/>
    <x v="28"/>
    <x v="0"/>
    <x v="81"/>
    <x v="0"/>
    <x v="381"/>
    <x v="88"/>
    <x v="634"/>
    <x v="210"/>
    <x v="1"/>
    <x v="6"/>
    <x v="1"/>
    <x v="1"/>
    <x v="1"/>
    <x v="1"/>
    <x v="0"/>
    <x v="0"/>
    <x v="604"/>
    <x v="0"/>
    <x v="11"/>
    <x v="10"/>
  </r>
  <r>
    <x v="107"/>
    <x v="186"/>
    <x v="1"/>
    <x v="11"/>
    <x v="15"/>
    <x v="3"/>
    <x v="1"/>
    <x v="8"/>
    <x v="17"/>
    <x v="1"/>
    <x v="32"/>
    <x v="35"/>
    <x v="171"/>
    <x v="41"/>
    <x v="355"/>
    <x v="265"/>
    <x v="1"/>
    <x v="14"/>
    <x v="0"/>
    <x v="0"/>
    <x v="1"/>
    <x v="1"/>
    <x v="0"/>
    <x v="3"/>
    <x v="342"/>
    <x v="0"/>
    <x v="11"/>
    <x v="10"/>
  </r>
  <r>
    <x v="108"/>
    <x v="26"/>
    <x v="18"/>
    <x v="98"/>
    <x v="72"/>
    <x v="0"/>
    <x v="1"/>
    <x v="15"/>
    <x v="34"/>
    <x v="1"/>
    <x v="64"/>
    <x v="78"/>
    <x v="302"/>
    <x v="75"/>
    <x v="487"/>
    <x v="122"/>
    <x v="1"/>
    <x v="5"/>
    <x v="0"/>
    <x v="1"/>
    <x v="1"/>
    <x v="1"/>
    <x v="0"/>
    <x v="3"/>
    <x v="468"/>
    <x v="0"/>
    <x v="11"/>
    <x v="10"/>
  </r>
  <r>
    <x v="109"/>
    <x v="260"/>
    <x v="53"/>
    <x v="69"/>
    <x v="48"/>
    <x v="6"/>
    <x v="1"/>
    <x v="6"/>
    <x v="12"/>
    <x v="0"/>
    <x v="22"/>
    <x v="0"/>
    <x v="134"/>
    <x v="30"/>
    <x v="310"/>
    <x v="308"/>
    <x v="1"/>
    <x v="9"/>
    <x v="0"/>
    <x v="0"/>
    <x v="1"/>
    <x v="1"/>
    <x v="0"/>
    <x v="0"/>
    <x v="299"/>
    <x v="0"/>
    <x v="11"/>
    <x v="10"/>
  </r>
  <r>
    <x v="110"/>
    <x v="253"/>
    <x v="0"/>
    <x v="61"/>
    <x v="76"/>
    <x v="6"/>
    <x v="0"/>
    <x v="2"/>
    <x v="3"/>
    <x v="1"/>
    <x v="2"/>
    <x v="3"/>
    <x v="16"/>
    <x v="3"/>
    <x v="36"/>
    <x v="336"/>
    <x v="1"/>
    <x v="6"/>
    <x v="1"/>
    <x v="0"/>
    <x v="1"/>
    <x v="1"/>
    <x v="0"/>
    <x v="0"/>
    <x v="37"/>
    <x v="0"/>
    <x v="11"/>
    <x v="10"/>
  </r>
  <r>
    <x v="111"/>
    <x v="259"/>
    <x v="37"/>
    <x v="21"/>
    <x v="93"/>
    <x v="4"/>
    <x v="1"/>
    <x v="7"/>
    <x v="14"/>
    <x v="0"/>
    <x v="26"/>
    <x v="0"/>
    <x v="150"/>
    <x v="33"/>
    <x v="345"/>
    <x v="309"/>
    <x v="1"/>
    <x v="15"/>
    <x v="1"/>
    <x v="2"/>
    <x v="1"/>
    <x v="1"/>
    <x v="0"/>
    <x v="4"/>
    <x v="332"/>
    <x v="0"/>
    <x v="11"/>
    <x v="10"/>
  </r>
  <r>
    <x v="112"/>
    <x v="1"/>
    <x v="131"/>
    <x v="24"/>
    <x v="44"/>
    <x v="4"/>
    <x v="0"/>
    <x v="16"/>
    <x v="33"/>
    <x v="2"/>
    <x v="39"/>
    <x v="84"/>
    <x v="187"/>
    <x v="51"/>
    <x v="314"/>
    <x v="157"/>
    <x v="0"/>
    <x v="9"/>
    <x v="0"/>
    <x v="2"/>
    <x v="0"/>
    <x v="1"/>
    <x v="0"/>
    <x v="1"/>
    <x v="0"/>
    <x v="0"/>
    <x v="11"/>
    <x v="10"/>
  </r>
  <r>
    <x v="113"/>
    <x v="0"/>
    <x v="100"/>
    <x v="28"/>
    <x v="73"/>
    <x v="4"/>
    <x v="0"/>
    <x v="3"/>
    <x v="5"/>
    <x v="1"/>
    <x v="4"/>
    <x v="5"/>
    <x v="25"/>
    <x v="5"/>
    <x v="63"/>
    <x v="332"/>
    <x v="1"/>
    <x v="14"/>
    <x v="1"/>
    <x v="1"/>
    <x v="1"/>
    <x v="1"/>
    <x v="0"/>
    <x v="0"/>
    <x v="62"/>
    <x v="0"/>
    <x v="11"/>
    <x v="10"/>
  </r>
  <r>
    <x v="114"/>
    <x v="254"/>
    <x v="275"/>
    <x v="68"/>
    <x v="80"/>
    <x v="6"/>
    <x v="1"/>
    <x v="12"/>
    <x v="27"/>
    <x v="5"/>
    <x v="53"/>
    <x v="184"/>
    <x v="216"/>
    <x v="63"/>
    <x v="285"/>
    <x v="73"/>
    <x v="1"/>
    <x v="15"/>
    <x v="1"/>
    <x v="0"/>
    <x v="1"/>
    <x v="1"/>
    <x v="0"/>
    <x v="3"/>
    <x v="276"/>
    <x v="0"/>
    <x v="11"/>
    <x v="10"/>
  </r>
  <r>
    <x v="115"/>
    <x v="6"/>
    <x v="172"/>
    <x v="64"/>
    <x v="3"/>
    <x v="6"/>
    <x v="0"/>
    <x v="12"/>
    <x v="28"/>
    <x v="5"/>
    <x v="27"/>
    <x v="132"/>
    <x v="108"/>
    <x v="41"/>
    <x v="101"/>
    <x v="56"/>
    <x v="1"/>
    <x v="2"/>
    <x v="1"/>
    <x v="2"/>
    <x v="1"/>
    <x v="1"/>
    <x v="0"/>
    <x v="0"/>
    <x v="97"/>
    <x v="0"/>
    <x v="11"/>
    <x v="10"/>
  </r>
  <r>
    <x v="116"/>
    <x v="62"/>
    <x v="83"/>
    <x v="33"/>
    <x v="87"/>
    <x v="5"/>
    <x v="0"/>
    <x v="11"/>
    <x v="23"/>
    <x v="5"/>
    <x v="23"/>
    <x v="123"/>
    <x v="95"/>
    <x v="34"/>
    <x v="120"/>
    <x v="111"/>
    <x v="4"/>
    <x v="4"/>
    <x v="2"/>
    <x v="1"/>
    <x v="2"/>
    <x v="1"/>
    <x v="0"/>
    <x v="4"/>
    <x v="116"/>
    <x v="0"/>
    <x v="11"/>
    <x v="10"/>
  </r>
  <r>
    <x v="117"/>
    <x v="98"/>
    <x v="2"/>
    <x v="69"/>
    <x v="48"/>
    <x v="6"/>
    <x v="0"/>
    <x v="6"/>
    <x v="12"/>
    <x v="3"/>
    <x v="9"/>
    <x v="40"/>
    <x v="47"/>
    <x v="14"/>
    <x v="78"/>
    <x v="250"/>
    <x v="1"/>
    <x v="1"/>
    <x v="1"/>
    <x v="1"/>
    <x v="1"/>
    <x v="1"/>
    <x v="0"/>
    <x v="4"/>
    <x v="77"/>
    <x v="0"/>
    <x v="11"/>
    <x v="10"/>
  </r>
  <r>
    <x v="118"/>
    <x v="223"/>
    <x v="165"/>
    <x v="99"/>
    <x v="16"/>
    <x v="0"/>
    <x v="0"/>
    <x v="22"/>
    <x v="46"/>
    <x v="5"/>
    <x v="63"/>
    <x v="201"/>
    <x v="256"/>
    <x v="78"/>
    <x v="134"/>
    <x v="4"/>
    <x v="0"/>
    <x v="10"/>
    <x v="1"/>
    <x v="2"/>
    <x v="0"/>
    <x v="1"/>
    <x v="0"/>
    <x v="1"/>
    <x v="0"/>
    <x v="0"/>
    <x v="11"/>
    <x v="10"/>
  </r>
  <r>
    <x v="119"/>
    <x v="216"/>
    <x v="246"/>
    <x v="88"/>
    <x v="57"/>
    <x v="0"/>
    <x v="1"/>
    <x v="22"/>
    <x v="45"/>
    <x v="2"/>
    <x v="91"/>
    <x v="186"/>
    <x v="395"/>
    <x v="103"/>
    <x v="572"/>
    <x v="58"/>
    <x v="0"/>
    <x v="0"/>
    <x v="0"/>
    <x v="0"/>
    <x v="0"/>
    <x v="1"/>
    <x v="0"/>
    <x v="1"/>
    <x v="0"/>
    <x v="0"/>
    <x v="11"/>
    <x v="10"/>
  </r>
  <r>
    <x v="120"/>
    <x v="268"/>
    <x v="2"/>
    <x v="62"/>
    <x v="19"/>
    <x v="6"/>
    <x v="1"/>
    <x v="17"/>
    <x v="35"/>
    <x v="2"/>
    <x v="70"/>
    <x v="145"/>
    <x v="317"/>
    <x v="78"/>
    <x v="521"/>
    <x v="135"/>
    <x v="4"/>
    <x v="1"/>
    <x v="1"/>
    <x v="2"/>
    <x v="2"/>
    <x v="1"/>
    <x v="0"/>
    <x v="4"/>
    <x v="498"/>
    <x v="0"/>
    <x v="11"/>
    <x v="10"/>
  </r>
  <r>
    <x v="121"/>
    <x v="47"/>
    <x v="135"/>
    <x v="49"/>
    <x v="38"/>
    <x v="1"/>
    <x v="1"/>
    <x v="6"/>
    <x v="13"/>
    <x v="2"/>
    <x v="22"/>
    <x v="54"/>
    <x v="122"/>
    <x v="31"/>
    <x v="232"/>
    <x v="252"/>
    <x v="1"/>
    <x v="15"/>
    <x v="1"/>
    <x v="0"/>
    <x v="1"/>
    <x v="1"/>
    <x v="0"/>
    <x v="0"/>
    <x v="224"/>
    <x v="0"/>
    <x v="11"/>
    <x v="10"/>
  </r>
  <r>
    <x v="122"/>
    <x v="184"/>
    <x v="197"/>
    <x v="78"/>
    <x v="1"/>
    <x v="2"/>
    <x v="0"/>
    <x v="9"/>
    <x v="20"/>
    <x v="3"/>
    <x v="16"/>
    <x v="65"/>
    <x v="80"/>
    <x v="29"/>
    <x v="109"/>
    <x v="138"/>
    <x v="4"/>
    <x v="19"/>
    <x v="0"/>
    <x v="0"/>
    <x v="2"/>
    <x v="1"/>
    <x v="0"/>
    <x v="4"/>
    <x v="105"/>
    <x v="0"/>
    <x v="11"/>
    <x v="10"/>
  </r>
  <r>
    <x v="123"/>
    <x v="52"/>
    <x v="257"/>
    <x v="25"/>
    <x v="84"/>
    <x v="4"/>
    <x v="3"/>
    <x v="10"/>
    <x v="18"/>
    <x v="3"/>
    <x v="71"/>
    <x v="180"/>
    <x v="318"/>
    <x v="68"/>
    <x v="597"/>
    <x v="278"/>
    <x v="1"/>
    <x v="19"/>
    <x v="1"/>
    <x v="0"/>
    <x v="1"/>
    <x v="1"/>
    <x v="0"/>
    <x v="0"/>
    <x v="572"/>
    <x v="0"/>
    <x v="11"/>
    <x v="10"/>
  </r>
  <r>
    <x v="124"/>
    <x v="351"/>
    <x v="288"/>
    <x v="33"/>
    <x v="87"/>
    <x v="5"/>
    <x v="1"/>
    <x v="11"/>
    <x v="23"/>
    <x v="3"/>
    <x v="49"/>
    <x v="137"/>
    <x v="224"/>
    <x v="56"/>
    <x v="394"/>
    <x v="181"/>
    <x v="1"/>
    <x v="7"/>
    <x v="1"/>
    <x v="1"/>
    <x v="1"/>
    <x v="1"/>
    <x v="0"/>
    <x v="3"/>
    <x v="380"/>
    <x v="0"/>
    <x v="11"/>
    <x v="10"/>
  </r>
  <r>
    <x v="125"/>
    <x v="219"/>
    <x v="174"/>
    <x v="5"/>
    <x v="98"/>
    <x v="3"/>
    <x v="0"/>
    <x v="9"/>
    <x v="18"/>
    <x v="3"/>
    <x v="16"/>
    <x v="65"/>
    <x v="80"/>
    <x v="24"/>
    <x v="144"/>
    <x v="218"/>
    <x v="1"/>
    <x v="18"/>
    <x v="0"/>
    <x v="1"/>
    <x v="1"/>
    <x v="1"/>
    <x v="0"/>
    <x v="0"/>
    <x v="138"/>
    <x v="0"/>
    <x v="11"/>
    <x v="10"/>
  </r>
  <r>
    <x v="126"/>
    <x v="265"/>
    <x v="124"/>
    <x v="63"/>
    <x v="33"/>
    <x v="6"/>
    <x v="1"/>
    <x v="9"/>
    <x v="18"/>
    <x v="4"/>
    <x v="38"/>
    <x v="139"/>
    <x v="165"/>
    <x v="45"/>
    <x v="301"/>
    <x v="190"/>
    <x v="1"/>
    <x v="12"/>
    <x v="0"/>
    <x v="0"/>
    <x v="1"/>
    <x v="1"/>
    <x v="0"/>
    <x v="0"/>
    <x v="290"/>
    <x v="0"/>
    <x v="11"/>
    <x v="10"/>
  </r>
  <r>
    <x v="127"/>
    <x v="222"/>
    <x v="261"/>
    <x v="31"/>
    <x v="94"/>
    <x v="5"/>
    <x v="0"/>
    <x v="5"/>
    <x v="9"/>
    <x v="0"/>
    <x v="7"/>
    <x v="0"/>
    <x v="50"/>
    <x v="11"/>
    <x v="114"/>
    <x v="321"/>
    <x v="1"/>
    <x v="8"/>
    <x v="2"/>
    <x v="1"/>
    <x v="1"/>
    <x v="1"/>
    <x v="0"/>
    <x v="0"/>
    <x v="110"/>
    <x v="0"/>
    <x v="11"/>
    <x v="10"/>
  </r>
  <r>
    <x v="128"/>
    <x v="116"/>
    <x v="13"/>
    <x v="42"/>
    <x v="47"/>
    <x v="5"/>
    <x v="0"/>
    <x v="15"/>
    <x v="32"/>
    <x v="2"/>
    <x v="35"/>
    <x v="78"/>
    <x v="174"/>
    <x v="50"/>
    <x v="265"/>
    <x v="130"/>
    <x v="1"/>
    <x v="9"/>
    <x v="1"/>
    <x v="1"/>
    <x v="1"/>
    <x v="1"/>
    <x v="0"/>
    <x v="0"/>
    <x v="256"/>
    <x v="0"/>
    <x v="11"/>
    <x v="10"/>
  </r>
  <r>
    <x v="129"/>
    <x v="337"/>
    <x v="65"/>
    <x v="83"/>
    <x v="96"/>
    <x v="2"/>
    <x v="4"/>
    <x v="10"/>
    <x v="23"/>
    <x v="2"/>
    <x v="80"/>
    <x v="167"/>
    <x v="361"/>
    <x v="89"/>
    <x v="590"/>
    <x v="146"/>
    <x v="1"/>
    <x v="12"/>
    <x v="0"/>
    <x v="1"/>
    <x v="1"/>
    <x v="1"/>
    <x v="0"/>
    <x v="4"/>
    <x v="565"/>
    <x v="0"/>
    <x v="11"/>
    <x v="10"/>
  </r>
  <r>
    <x v="130"/>
    <x v="162"/>
    <x v="69"/>
    <x v="20"/>
    <x v="40"/>
    <x v="4"/>
    <x v="0"/>
    <x v="17"/>
    <x v="32"/>
    <x v="1"/>
    <x v="42"/>
    <x v="47"/>
    <x v="209"/>
    <x v="50"/>
    <x v="409"/>
    <x v="233"/>
    <x v="1"/>
    <x v="13"/>
    <x v="1"/>
    <x v="0"/>
    <x v="1"/>
    <x v="1"/>
    <x v="0"/>
    <x v="4"/>
    <x v="394"/>
    <x v="0"/>
    <x v="11"/>
    <x v="10"/>
  </r>
  <r>
    <x v="131"/>
    <x v="170"/>
    <x v="219"/>
    <x v="52"/>
    <x v="54"/>
    <x v="1"/>
    <x v="0"/>
    <x v="8"/>
    <x v="16"/>
    <x v="1"/>
    <x v="14"/>
    <x v="16"/>
    <x v="78"/>
    <x v="20"/>
    <x v="162"/>
    <x v="281"/>
    <x v="1"/>
    <x v="14"/>
    <x v="1"/>
    <x v="1"/>
    <x v="1"/>
    <x v="1"/>
    <x v="0"/>
    <x v="3"/>
    <x v="156"/>
    <x v="0"/>
    <x v="11"/>
    <x v="10"/>
  </r>
  <r>
    <x v="132"/>
    <x v="125"/>
    <x v="208"/>
    <x v="29"/>
    <x v="34"/>
    <x v="4"/>
    <x v="3"/>
    <x v="21"/>
    <x v="43"/>
    <x v="2"/>
    <x v="107"/>
    <x v="224"/>
    <x v="435"/>
    <x v="117"/>
    <x v="667"/>
    <x v="101"/>
    <x v="1"/>
    <x v="7"/>
    <x v="1"/>
    <x v="1"/>
    <x v="1"/>
    <x v="2"/>
    <x v="0"/>
    <x v="0"/>
    <x v="631"/>
    <x v="0"/>
    <x v="11"/>
    <x v="10"/>
  </r>
  <r>
    <x v="133"/>
    <x v="258"/>
    <x v="254"/>
    <x v="97"/>
    <x v="81"/>
    <x v="0"/>
    <x v="0"/>
    <x v="12"/>
    <x v="29"/>
    <x v="1"/>
    <x v="27"/>
    <x v="30"/>
    <x v="143"/>
    <x v="43"/>
    <x v="211"/>
    <x v="151"/>
    <x v="1"/>
    <x v="18"/>
    <x v="0"/>
    <x v="1"/>
    <x v="1"/>
    <x v="1"/>
    <x v="0"/>
    <x v="0"/>
    <x v="204"/>
    <x v="0"/>
    <x v="11"/>
    <x v="10"/>
  </r>
  <r>
    <x v="134"/>
    <x v="298"/>
    <x v="77"/>
    <x v="54"/>
    <x v="61"/>
    <x v="1"/>
    <x v="0"/>
    <x v="12"/>
    <x v="27"/>
    <x v="0"/>
    <x v="27"/>
    <x v="0"/>
    <x v="151"/>
    <x v="39"/>
    <x v="286"/>
    <x v="226"/>
    <x v="1"/>
    <x v="5"/>
    <x v="1"/>
    <x v="1"/>
    <x v="1"/>
    <x v="1"/>
    <x v="0"/>
    <x v="4"/>
    <x v="277"/>
    <x v="0"/>
    <x v="11"/>
    <x v="10"/>
  </r>
  <r>
    <x v="135"/>
    <x v="81"/>
    <x v="292"/>
    <x v="30"/>
    <x v="83"/>
    <x v="5"/>
    <x v="1"/>
    <x v="9"/>
    <x v="18"/>
    <x v="4"/>
    <x v="38"/>
    <x v="139"/>
    <x v="165"/>
    <x v="45"/>
    <x v="301"/>
    <x v="190"/>
    <x v="2"/>
    <x v="2"/>
    <x v="1"/>
    <x v="0"/>
    <x v="2"/>
    <x v="1"/>
    <x v="0"/>
    <x v="2"/>
    <x v="290"/>
    <x v="0"/>
    <x v="11"/>
    <x v="10"/>
  </r>
  <r>
    <x v="136"/>
    <x v="0"/>
    <x v="273"/>
    <x v="11"/>
    <x v="15"/>
    <x v="3"/>
    <x v="0"/>
    <x v="8"/>
    <x v="17"/>
    <x v="5"/>
    <x v="14"/>
    <x v="89"/>
    <x v="62"/>
    <x v="21"/>
    <x v="69"/>
    <x v="153"/>
    <x v="2"/>
    <x v="3"/>
    <x v="0"/>
    <x v="2"/>
    <x v="2"/>
    <x v="1"/>
    <x v="0"/>
    <x v="2"/>
    <x v="68"/>
    <x v="0"/>
    <x v="11"/>
    <x v="10"/>
  </r>
  <r>
    <x v="137"/>
    <x v="258"/>
    <x v="282"/>
    <x v="81"/>
    <x v="31"/>
    <x v="2"/>
    <x v="0"/>
    <x v="2"/>
    <x v="4"/>
    <x v="0"/>
    <x v="2"/>
    <x v="0"/>
    <x v="18"/>
    <x v="4"/>
    <x v="39"/>
    <x v="329"/>
    <x v="1"/>
    <x v="4"/>
    <x v="0"/>
    <x v="1"/>
    <x v="1"/>
    <x v="1"/>
    <x v="0"/>
    <x v="4"/>
    <x v="40"/>
    <x v="0"/>
    <x v="11"/>
    <x v="10"/>
  </r>
  <r>
    <x v="138"/>
    <x v="274"/>
    <x v="224"/>
    <x v="85"/>
    <x v="35"/>
    <x v="2"/>
    <x v="0"/>
    <x v="1"/>
    <x v="2"/>
    <x v="4"/>
    <x v="1"/>
    <x v="20"/>
    <x v="6"/>
    <x v="2"/>
    <x v="4"/>
    <x v="280"/>
    <x v="1"/>
    <x v="17"/>
    <x v="1"/>
    <x v="0"/>
    <x v="1"/>
    <x v="1"/>
    <x v="0"/>
    <x v="0"/>
    <x v="5"/>
    <x v="0"/>
    <x v="11"/>
    <x v="10"/>
  </r>
  <r>
    <x v="139"/>
    <x v="68"/>
    <x v="275"/>
    <x v="63"/>
    <x v="33"/>
    <x v="6"/>
    <x v="0"/>
    <x v="9"/>
    <x v="18"/>
    <x v="4"/>
    <x v="16"/>
    <x v="83"/>
    <x v="75"/>
    <x v="24"/>
    <x v="124"/>
    <x v="190"/>
    <x v="1"/>
    <x v="15"/>
    <x v="1"/>
    <x v="2"/>
    <x v="1"/>
    <x v="1"/>
    <x v="0"/>
    <x v="0"/>
    <x v="120"/>
    <x v="0"/>
    <x v="11"/>
    <x v="10"/>
  </r>
  <r>
    <x v="140"/>
    <x v="125"/>
    <x v="222"/>
    <x v="63"/>
    <x v="33"/>
    <x v="6"/>
    <x v="0"/>
    <x v="9"/>
    <x v="18"/>
    <x v="1"/>
    <x v="16"/>
    <x v="18"/>
    <x v="92"/>
    <x v="24"/>
    <x v="190"/>
    <x v="268"/>
    <x v="1"/>
    <x v="4"/>
    <x v="1"/>
    <x v="1"/>
    <x v="1"/>
    <x v="1"/>
    <x v="0"/>
    <x v="0"/>
    <x v="184"/>
    <x v="0"/>
    <x v="11"/>
    <x v="10"/>
  </r>
  <r>
    <x v="141"/>
    <x v="275"/>
    <x v="227"/>
    <x v="72"/>
    <x v="43"/>
    <x v="6"/>
    <x v="0"/>
    <x v="20"/>
    <x v="40"/>
    <x v="0"/>
    <x v="54"/>
    <x v="0"/>
    <x v="269"/>
    <x v="67"/>
    <x v="473"/>
    <x v="180"/>
    <x v="1"/>
    <x v="13"/>
    <x v="0"/>
    <x v="0"/>
    <x v="1"/>
    <x v="1"/>
    <x v="0"/>
    <x v="0"/>
    <x v="454"/>
    <x v="0"/>
    <x v="11"/>
    <x v="10"/>
  </r>
  <r>
    <x v="142"/>
    <x v="134"/>
    <x v="195"/>
    <x v="34"/>
    <x v="59"/>
    <x v="5"/>
    <x v="1"/>
    <x v="12"/>
    <x v="28"/>
    <x v="0"/>
    <x v="53"/>
    <x v="0"/>
    <x v="268"/>
    <x v="64"/>
    <x v="485"/>
    <x v="210"/>
    <x v="1"/>
    <x v="15"/>
    <x v="1"/>
    <x v="1"/>
    <x v="1"/>
    <x v="1"/>
    <x v="0"/>
    <x v="3"/>
    <x v="466"/>
    <x v="0"/>
    <x v="11"/>
    <x v="10"/>
  </r>
  <r>
    <x v="143"/>
    <x v="141"/>
    <x v="85"/>
    <x v="30"/>
    <x v="83"/>
    <x v="5"/>
    <x v="0"/>
    <x v="9"/>
    <x v="18"/>
    <x v="5"/>
    <x v="16"/>
    <x v="97"/>
    <x v="71"/>
    <x v="24"/>
    <x v="96"/>
    <x v="156"/>
    <x v="1"/>
    <x v="17"/>
    <x v="0"/>
    <x v="0"/>
    <x v="1"/>
    <x v="1"/>
    <x v="0"/>
    <x v="0"/>
    <x v="94"/>
    <x v="0"/>
    <x v="11"/>
    <x v="10"/>
  </r>
  <r>
    <x v="144"/>
    <x v="263"/>
    <x v="76"/>
    <x v="68"/>
    <x v="80"/>
    <x v="6"/>
    <x v="1"/>
    <x v="12"/>
    <x v="27"/>
    <x v="3"/>
    <x v="53"/>
    <x v="143"/>
    <x v="237"/>
    <x v="63"/>
    <x v="397"/>
    <x v="139"/>
    <x v="1"/>
    <x v="15"/>
    <x v="0"/>
    <x v="1"/>
    <x v="1"/>
    <x v="1"/>
    <x v="0"/>
    <x v="4"/>
    <x v="383"/>
    <x v="0"/>
    <x v="11"/>
    <x v="10"/>
  </r>
  <r>
    <x v="145"/>
    <x v="254"/>
    <x v="102"/>
    <x v="84"/>
    <x v="55"/>
    <x v="2"/>
    <x v="0"/>
    <x v="3"/>
    <x v="6"/>
    <x v="4"/>
    <x v="4"/>
    <x v="33"/>
    <x v="17"/>
    <x v="6"/>
    <x v="20"/>
    <x v="263"/>
    <x v="1"/>
    <x v="8"/>
    <x v="0"/>
    <x v="1"/>
    <x v="1"/>
    <x v="1"/>
    <x v="0"/>
    <x v="0"/>
    <x v="21"/>
    <x v="0"/>
    <x v="11"/>
    <x v="10"/>
  </r>
  <r>
    <x v="146"/>
    <x v="124"/>
    <x v="29"/>
    <x v="35"/>
    <x v="24"/>
    <x v="5"/>
    <x v="0"/>
    <x v="17"/>
    <x v="35"/>
    <x v="2"/>
    <x v="42"/>
    <x v="91"/>
    <x v="202"/>
    <x v="55"/>
    <x v="320"/>
    <x v="135"/>
    <x v="0"/>
    <x v="13"/>
    <x v="1"/>
    <x v="1"/>
    <x v="0"/>
    <x v="1"/>
    <x v="0"/>
    <x v="1"/>
    <x v="0"/>
    <x v="0"/>
    <x v="11"/>
    <x v="10"/>
  </r>
  <r>
    <x v="147"/>
    <x v="129"/>
    <x v="75"/>
    <x v="76"/>
    <x v="64"/>
    <x v="2"/>
    <x v="1"/>
    <x v="4"/>
    <x v="8"/>
    <x v="1"/>
    <x v="15"/>
    <x v="17"/>
    <x v="91"/>
    <x v="21"/>
    <x v="218"/>
    <x v="313"/>
    <x v="1"/>
    <x v="3"/>
    <x v="1"/>
    <x v="2"/>
    <x v="1"/>
    <x v="1"/>
    <x v="0"/>
    <x v="4"/>
    <x v="210"/>
    <x v="0"/>
    <x v="11"/>
    <x v="10"/>
  </r>
  <r>
    <x v="148"/>
    <x v="103"/>
    <x v="106"/>
    <x v="34"/>
    <x v="59"/>
    <x v="5"/>
    <x v="0"/>
    <x v="12"/>
    <x v="28"/>
    <x v="3"/>
    <x v="27"/>
    <x v="90"/>
    <x v="126"/>
    <x v="41"/>
    <x v="168"/>
    <x v="118"/>
    <x v="1"/>
    <x v="10"/>
    <x v="1"/>
    <x v="1"/>
    <x v="1"/>
    <x v="1"/>
    <x v="0"/>
    <x v="0"/>
    <x v="162"/>
    <x v="0"/>
    <x v="11"/>
    <x v="10"/>
  </r>
  <r>
    <x v="149"/>
    <x v="318"/>
    <x v="242"/>
    <x v="80"/>
    <x v="82"/>
    <x v="2"/>
    <x v="1"/>
    <x v="0"/>
    <x v="0"/>
    <x v="0"/>
    <x v="3"/>
    <x v="0"/>
    <x v="27"/>
    <x v="4"/>
    <x v="81"/>
    <x v="342"/>
    <x v="1"/>
    <x v="4"/>
    <x v="0"/>
    <x v="2"/>
    <x v="1"/>
    <x v="1"/>
    <x v="0"/>
    <x v="3"/>
    <x v="80"/>
    <x v="0"/>
    <x v="11"/>
    <x v="10"/>
  </r>
  <r>
    <x v="150"/>
    <x v="95"/>
    <x v="134"/>
    <x v="66"/>
    <x v="13"/>
    <x v="6"/>
    <x v="2"/>
    <x v="8"/>
    <x v="16"/>
    <x v="3"/>
    <x v="48"/>
    <x v="136"/>
    <x v="223"/>
    <x v="52"/>
    <x v="429"/>
    <x v="234"/>
    <x v="3"/>
    <x v="18"/>
    <x v="0"/>
    <x v="1"/>
    <x v="3"/>
    <x v="1"/>
    <x v="0"/>
    <x v="0"/>
    <x v="0"/>
    <x v="0"/>
    <x v="11"/>
    <x v="10"/>
  </r>
  <r>
    <x v="151"/>
    <x v="31"/>
    <x v="27"/>
    <x v="65"/>
    <x v="36"/>
    <x v="6"/>
    <x v="1"/>
    <x v="7"/>
    <x v="14"/>
    <x v="5"/>
    <x v="26"/>
    <x v="131"/>
    <x v="107"/>
    <x v="33"/>
    <x v="177"/>
    <x v="193"/>
    <x v="1"/>
    <x v="10"/>
    <x v="2"/>
    <x v="1"/>
    <x v="1"/>
    <x v="1"/>
    <x v="0"/>
    <x v="4"/>
    <x v="171"/>
    <x v="0"/>
    <x v="11"/>
    <x v="10"/>
  </r>
  <r>
    <x v="152"/>
    <x v="2"/>
    <x v="3"/>
    <x v="83"/>
    <x v="96"/>
    <x v="2"/>
    <x v="0"/>
    <x v="10"/>
    <x v="23"/>
    <x v="0"/>
    <x v="20"/>
    <x v="0"/>
    <x v="119"/>
    <x v="34"/>
    <x v="200"/>
    <x v="207"/>
    <x v="1"/>
    <x v="8"/>
    <x v="1"/>
    <x v="2"/>
    <x v="1"/>
    <x v="1"/>
    <x v="0"/>
    <x v="0"/>
    <x v="193"/>
    <x v="0"/>
    <x v="11"/>
    <x v="10"/>
  </r>
  <r>
    <x v="153"/>
    <x v="110"/>
    <x v="25"/>
    <x v="74"/>
    <x v="4"/>
    <x v="2"/>
    <x v="2"/>
    <x v="1"/>
    <x v="1"/>
    <x v="0"/>
    <x v="12"/>
    <x v="0"/>
    <x v="81"/>
    <x v="16"/>
    <x v="216"/>
    <x v="339"/>
    <x v="3"/>
    <x v="12"/>
    <x v="1"/>
    <x v="0"/>
    <x v="3"/>
    <x v="1"/>
    <x v="0"/>
    <x v="4"/>
    <x v="0"/>
    <x v="0"/>
    <x v="11"/>
    <x v="10"/>
  </r>
  <r>
    <x v="154"/>
    <x v="144"/>
    <x v="60"/>
    <x v="47"/>
    <x v="74"/>
    <x v="1"/>
    <x v="1"/>
    <x v="4"/>
    <x v="9"/>
    <x v="4"/>
    <x v="15"/>
    <x v="82"/>
    <x v="74"/>
    <x v="24"/>
    <x v="122"/>
    <x v="189"/>
    <x v="0"/>
    <x v="6"/>
    <x v="0"/>
    <x v="0"/>
    <x v="0"/>
    <x v="1"/>
    <x v="0"/>
    <x v="1"/>
    <x v="0"/>
    <x v="0"/>
    <x v="11"/>
    <x v="10"/>
  </r>
  <r>
    <x v="155"/>
    <x v="80"/>
    <x v="262"/>
    <x v="31"/>
    <x v="94"/>
    <x v="5"/>
    <x v="3"/>
    <x v="5"/>
    <x v="9"/>
    <x v="4"/>
    <x v="43"/>
    <x v="148"/>
    <x v="191"/>
    <x v="45"/>
    <x v="385"/>
    <x v="253"/>
    <x v="1"/>
    <x v="4"/>
    <x v="2"/>
    <x v="1"/>
    <x v="1"/>
    <x v="1"/>
    <x v="0"/>
    <x v="3"/>
    <x v="371"/>
    <x v="0"/>
    <x v="11"/>
    <x v="10"/>
  </r>
  <r>
    <x v="156"/>
    <x v="175"/>
    <x v="7"/>
    <x v="21"/>
    <x v="93"/>
    <x v="4"/>
    <x v="4"/>
    <x v="7"/>
    <x v="14"/>
    <x v="0"/>
    <x v="62"/>
    <x v="0"/>
    <x v="303"/>
    <x v="63"/>
    <x v="589"/>
    <x v="309"/>
    <x v="1"/>
    <x v="10"/>
    <x v="0"/>
    <x v="2"/>
    <x v="1"/>
    <x v="1"/>
    <x v="0"/>
    <x v="0"/>
    <x v="564"/>
    <x v="0"/>
    <x v="11"/>
    <x v="10"/>
  </r>
  <r>
    <x v="157"/>
    <x v="234"/>
    <x v="121"/>
    <x v="61"/>
    <x v="76"/>
    <x v="6"/>
    <x v="1"/>
    <x v="2"/>
    <x v="3"/>
    <x v="2"/>
    <x v="10"/>
    <x v="28"/>
    <x v="58"/>
    <x v="12"/>
    <x v="138"/>
    <x v="330"/>
    <x v="1"/>
    <x v="1"/>
    <x v="1"/>
    <x v="0"/>
    <x v="1"/>
    <x v="1"/>
    <x v="0"/>
    <x v="4"/>
    <x v="132"/>
    <x v="0"/>
    <x v="11"/>
    <x v="10"/>
  </r>
  <r>
    <x v="158"/>
    <x v="87"/>
    <x v="48"/>
    <x v="17"/>
    <x v="18"/>
    <x v="4"/>
    <x v="0"/>
    <x v="11"/>
    <x v="23"/>
    <x v="0"/>
    <x v="23"/>
    <x v="0"/>
    <x v="136"/>
    <x v="34"/>
    <x v="274"/>
    <x v="257"/>
    <x v="3"/>
    <x v="0"/>
    <x v="1"/>
    <x v="1"/>
    <x v="3"/>
    <x v="1"/>
    <x v="0"/>
    <x v="0"/>
    <x v="0"/>
    <x v="0"/>
    <x v="11"/>
    <x v="10"/>
  </r>
  <r>
    <x v="159"/>
    <x v="16"/>
    <x v="138"/>
    <x v="46"/>
    <x v="85"/>
    <x v="1"/>
    <x v="0"/>
    <x v="5"/>
    <x v="11"/>
    <x v="2"/>
    <x v="7"/>
    <x v="21"/>
    <x v="40"/>
    <x v="13"/>
    <x v="67"/>
    <x v="247"/>
    <x v="1"/>
    <x v="6"/>
    <x v="1"/>
    <x v="1"/>
    <x v="1"/>
    <x v="1"/>
    <x v="0"/>
    <x v="0"/>
    <x v="66"/>
    <x v="0"/>
    <x v="11"/>
    <x v="10"/>
  </r>
  <r>
    <x v="160"/>
    <x v="96"/>
    <x v="15"/>
    <x v="98"/>
    <x v="72"/>
    <x v="0"/>
    <x v="3"/>
    <x v="15"/>
    <x v="34"/>
    <x v="4"/>
    <x v="92"/>
    <x v="230"/>
    <x v="386"/>
    <x v="102"/>
    <x v="533"/>
    <x v="42"/>
    <x v="2"/>
    <x v="3"/>
    <x v="0"/>
    <x v="0"/>
    <x v="2"/>
    <x v="1"/>
    <x v="0"/>
    <x v="2"/>
    <x v="510"/>
    <x v="0"/>
    <x v="11"/>
    <x v="10"/>
  </r>
  <r>
    <x v="161"/>
    <x v="348"/>
    <x v="32"/>
    <x v="93"/>
    <x v="70"/>
    <x v="0"/>
    <x v="2"/>
    <x v="20"/>
    <x v="42"/>
    <x v="4"/>
    <x v="97"/>
    <x v="235"/>
    <x v="400"/>
    <x v="110"/>
    <x v="510"/>
    <x v="15"/>
    <x v="1"/>
    <x v="11"/>
    <x v="2"/>
    <x v="1"/>
    <x v="1"/>
    <x v="1"/>
    <x v="0"/>
    <x v="3"/>
    <x v="488"/>
    <x v="0"/>
    <x v="11"/>
    <x v="10"/>
  </r>
  <r>
    <x v="162"/>
    <x v="228"/>
    <x v="178"/>
    <x v="1"/>
    <x v="9"/>
    <x v="3"/>
    <x v="3"/>
    <x v="17"/>
    <x v="36"/>
    <x v="2"/>
    <x v="96"/>
    <x v="198"/>
    <x v="409"/>
    <x v="108"/>
    <x v="644"/>
    <x v="100"/>
    <x v="1"/>
    <x v="6"/>
    <x v="0"/>
    <x v="1"/>
    <x v="1"/>
    <x v="2"/>
    <x v="0"/>
    <x v="4"/>
    <x v="612"/>
    <x v="0"/>
    <x v="11"/>
    <x v="10"/>
  </r>
  <r>
    <x v="163"/>
    <x v="317"/>
    <x v="49"/>
    <x v="95"/>
    <x v="0"/>
    <x v="0"/>
    <x v="0"/>
    <x v="24"/>
    <x v="48"/>
    <x v="2"/>
    <x v="83"/>
    <x v="170"/>
    <x v="369"/>
    <x v="97"/>
    <x v="474"/>
    <x v="29"/>
    <x v="1"/>
    <x v="13"/>
    <x v="0"/>
    <x v="0"/>
    <x v="1"/>
    <x v="1"/>
    <x v="0"/>
    <x v="4"/>
    <x v="455"/>
    <x v="0"/>
    <x v="11"/>
    <x v="10"/>
  </r>
  <r>
    <x v="164"/>
    <x v="244"/>
    <x v="95"/>
    <x v="83"/>
    <x v="96"/>
    <x v="2"/>
    <x v="3"/>
    <x v="10"/>
    <x v="23"/>
    <x v="0"/>
    <x v="71"/>
    <x v="0"/>
    <x v="343"/>
    <x v="80"/>
    <x v="596"/>
    <x v="207"/>
    <x v="1"/>
    <x v="18"/>
    <x v="1"/>
    <x v="1"/>
    <x v="1"/>
    <x v="1"/>
    <x v="0"/>
    <x v="3"/>
    <x v="571"/>
    <x v="0"/>
    <x v="11"/>
    <x v="10"/>
  </r>
  <r>
    <x v="165"/>
    <x v="71"/>
    <x v="191"/>
    <x v="9"/>
    <x v="95"/>
    <x v="3"/>
    <x v="0"/>
    <x v="19"/>
    <x v="39"/>
    <x v="3"/>
    <x v="50"/>
    <x v="138"/>
    <x v="225"/>
    <x v="65"/>
    <x v="276"/>
    <x v="61"/>
    <x v="1"/>
    <x v="9"/>
    <x v="1"/>
    <x v="0"/>
    <x v="1"/>
    <x v="1"/>
    <x v="0"/>
    <x v="0"/>
    <x v="267"/>
    <x v="0"/>
    <x v="11"/>
    <x v="10"/>
  </r>
  <r>
    <x v="166"/>
    <x v="315"/>
    <x v="18"/>
    <x v="46"/>
    <x v="85"/>
    <x v="1"/>
    <x v="3"/>
    <x v="5"/>
    <x v="11"/>
    <x v="3"/>
    <x v="43"/>
    <x v="127"/>
    <x v="204"/>
    <x v="49"/>
    <x v="384"/>
    <x v="220"/>
    <x v="1"/>
    <x v="5"/>
    <x v="0"/>
    <x v="0"/>
    <x v="1"/>
    <x v="1"/>
    <x v="0"/>
    <x v="0"/>
    <x v="370"/>
    <x v="0"/>
    <x v="11"/>
    <x v="10"/>
  </r>
  <r>
    <x v="167"/>
    <x v="146"/>
    <x v="129"/>
    <x v="69"/>
    <x v="48"/>
    <x v="6"/>
    <x v="0"/>
    <x v="6"/>
    <x v="12"/>
    <x v="4"/>
    <x v="9"/>
    <x v="54"/>
    <x v="41"/>
    <x v="14"/>
    <x v="59"/>
    <x v="221"/>
    <x v="1"/>
    <x v="16"/>
    <x v="1"/>
    <x v="2"/>
    <x v="1"/>
    <x v="1"/>
    <x v="0"/>
    <x v="3"/>
    <x v="58"/>
    <x v="0"/>
    <x v="11"/>
    <x v="10"/>
  </r>
  <r>
    <x v="168"/>
    <x v="13"/>
    <x v="277"/>
    <x v="6"/>
    <x v="46"/>
    <x v="3"/>
    <x v="1"/>
    <x v="12"/>
    <x v="25"/>
    <x v="5"/>
    <x v="53"/>
    <x v="184"/>
    <x v="216"/>
    <x v="61"/>
    <x v="312"/>
    <x v="92"/>
    <x v="1"/>
    <x v="19"/>
    <x v="0"/>
    <x v="0"/>
    <x v="1"/>
    <x v="1"/>
    <x v="0"/>
    <x v="0"/>
    <x v="301"/>
    <x v="0"/>
    <x v="11"/>
    <x v="10"/>
  </r>
  <r>
    <x v="169"/>
    <x v="345"/>
    <x v="118"/>
    <x v="79"/>
    <x v="12"/>
    <x v="2"/>
    <x v="0"/>
    <x v="8"/>
    <x v="18"/>
    <x v="3"/>
    <x v="14"/>
    <x v="55"/>
    <x v="70"/>
    <x v="24"/>
    <x v="86"/>
    <x v="137"/>
    <x v="1"/>
    <x v="19"/>
    <x v="1"/>
    <x v="0"/>
    <x v="1"/>
    <x v="1"/>
    <x v="0"/>
    <x v="0"/>
    <x v="85"/>
    <x v="0"/>
    <x v="11"/>
    <x v="10"/>
  </r>
  <r>
    <x v="170"/>
    <x v="18"/>
    <x v="31"/>
    <x v="5"/>
    <x v="98"/>
    <x v="3"/>
    <x v="1"/>
    <x v="9"/>
    <x v="18"/>
    <x v="3"/>
    <x v="38"/>
    <x v="117"/>
    <x v="175"/>
    <x v="45"/>
    <x v="339"/>
    <x v="218"/>
    <x v="1"/>
    <x v="16"/>
    <x v="1"/>
    <x v="2"/>
    <x v="1"/>
    <x v="1"/>
    <x v="0"/>
    <x v="3"/>
    <x v="326"/>
    <x v="0"/>
    <x v="11"/>
    <x v="10"/>
  </r>
  <r>
    <x v="171"/>
    <x v="113"/>
    <x v="37"/>
    <x v="69"/>
    <x v="48"/>
    <x v="6"/>
    <x v="0"/>
    <x v="6"/>
    <x v="12"/>
    <x v="3"/>
    <x v="9"/>
    <x v="40"/>
    <x v="47"/>
    <x v="14"/>
    <x v="78"/>
    <x v="250"/>
    <x v="1"/>
    <x v="15"/>
    <x v="1"/>
    <x v="1"/>
    <x v="1"/>
    <x v="1"/>
    <x v="0"/>
    <x v="4"/>
    <x v="77"/>
    <x v="0"/>
    <x v="11"/>
    <x v="10"/>
  </r>
  <r>
    <x v="172"/>
    <x v="12"/>
    <x v="220"/>
    <x v="56"/>
    <x v="17"/>
    <x v="1"/>
    <x v="1"/>
    <x v="1"/>
    <x v="1"/>
    <x v="0"/>
    <x v="6"/>
    <x v="0"/>
    <x v="48"/>
    <x v="8"/>
    <x v="127"/>
    <x v="339"/>
    <x v="1"/>
    <x v="1"/>
    <x v="2"/>
    <x v="1"/>
    <x v="1"/>
    <x v="1"/>
    <x v="0"/>
    <x v="3"/>
    <x v="123"/>
    <x v="0"/>
    <x v="11"/>
    <x v="10"/>
  </r>
  <r>
    <x v="173"/>
    <x v="301"/>
    <x v="27"/>
    <x v="85"/>
    <x v="35"/>
    <x v="2"/>
    <x v="1"/>
    <x v="1"/>
    <x v="2"/>
    <x v="5"/>
    <x v="6"/>
    <x v="58"/>
    <x v="28"/>
    <x v="10"/>
    <x v="38"/>
    <x v="255"/>
    <x v="1"/>
    <x v="10"/>
    <x v="2"/>
    <x v="0"/>
    <x v="1"/>
    <x v="1"/>
    <x v="0"/>
    <x v="4"/>
    <x v="39"/>
    <x v="0"/>
    <x v="11"/>
    <x v="10"/>
  </r>
  <r>
    <x v="174"/>
    <x v="320"/>
    <x v="66"/>
    <x v="25"/>
    <x v="84"/>
    <x v="4"/>
    <x v="1"/>
    <x v="10"/>
    <x v="18"/>
    <x v="5"/>
    <x v="44"/>
    <x v="167"/>
    <x v="180"/>
    <x v="45"/>
    <x v="349"/>
    <x v="225"/>
    <x v="1"/>
    <x v="17"/>
    <x v="2"/>
    <x v="2"/>
    <x v="1"/>
    <x v="1"/>
    <x v="0"/>
    <x v="3"/>
    <x v="336"/>
    <x v="0"/>
    <x v="11"/>
    <x v="10"/>
  </r>
  <r>
    <x v="175"/>
    <x v="136"/>
    <x v="167"/>
    <x v="23"/>
    <x v="49"/>
    <x v="4"/>
    <x v="0"/>
    <x v="12"/>
    <x v="24"/>
    <x v="0"/>
    <x v="27"/>
    <x v="0"/>
    <x v="151"/>
    <x v="36"/>
    <x v="319"/>
    <x v="271"/>
    <x v="1"/>
    <x v="13"/>
    <x v="1"/>
    <x v="1"/>
    <x v="1"/>
    <x v="1"/>
    <x v="0"/>
    <x v="4"/>
    <x v="307"/>
    <x v="0"/>
    <x v="11"/>
    <x v="10"/>
  </r>
  <r>
    <x v="176"/>
    <x v="51"/>
    <x v="40"/>
    <x v="22"/>
    <x v="79"/>
    <x v="4"/>
    <x v="0"/>
    <x v="4"/>
    <x v="7"/>
    <x v="2"/>
    <x v="5"/>
    <x v="17"/>
    <x v="31"/>
    <x v="7"/>
    <x v="71"/>
    <x v="317"/>
    <x v="4"/>
    <x v="6"/>
    <x v="0"/>
    <x v="0"/>
    <x v="2"/>
    <x v="1"/>
    <x v="0"/>
    <x v="3"/>
    <x v="70"/>
    <x v="0"/>
    <x v="11"/>
    <x v="10"/>
  </r>
  <r>
    <x v="177"/>
    <x v="101"/>
    <x v="61"/>
    <x v="42"/>
    <x v="47"/>
    <x v="5"/>
    <x v="0"/>
    <x v="15"/>
    <x v="32"/>
    <x v="2"/>
    <x v="35"/>
    <x v="78"/>
    <x v="174"/>
    <x v="50"/>
    <x v="265"/>
    <x v="130"/>
    <x v="1"/>
    <x v="14"/>
    <x v="2"/>
    <x v="2"/>
    <x v="1"/>
    <x v="1"/>
    <x v="0"/>
    <x v="0"/>
    <x v="256"/>
    <x v="0"/>
    <x v="11"/>
    <x v="10"/>
  </r>
  <r>
    <x v="178"/>
    <x v="136"/>
    <x v="290"/>
    <x v="54"/>
    <x v="61"/>
    <x v="1"/>
    <x v="1"/>
    <x v="12"/>
    <x v="27"/>
    <x v="0"/>
    <x v="53"/>
    <x v="0"/>
    <x v="268"/>
    <x v="63"/>
    <x v="493"/>
    <x v="226"/>
    <x v="1"/>
    <x v="11"/>
    <x v="2"/>
    <x v="1"/>
    <x v="1"/>
    <x v="1"/>
    <x v="0"/>
    <x v="3"/>
    <x v="473"/>
    <x v="0"/>
    <x v="11"/>
    <x v="10"/>
  </r>
  <r>
    <x v="179"/>
    <x v="56"/>
    <x v="293"/>
    <x v="92"/>
    <x v="45"/>
    <x v="0"/>
    <x v="0"/>
    <x v="21"/>
    <x v="44"/>
    <x v="0"/>
    <x v="58"/>
    <x v="0"/>
    <x v="292"/>
    <x v="74"/>
    <x v="454"/>
    <x v="99"/>
    <x v="1"/>
    <x v="3"/>
    <x v="0"/>
    <x v="1"/>
    <x v="1"/>
    <x v="1"/>
    <x v="0"/>
    <x v="0"/>
    <x v="439"/>
    <x v="0"/>
    <x v="11"/>
    <x v="10"/>
  </r>
  <r>
    <x v="180"/>
    <x v="138"/>
    <x v="178"/>
    <x v="1"/>
    <x v="9"/>
    <x v="3"/>
    <x v="1"/>
    <x v="17"/>
    <x v="36"/>
    <x v="2"/>
    <x v="70"/>
    <x v="145"/>
    <x v="317"/>
    <x v="81"/>
    <x v="495"/>
    <x v="100"/>
    <x v="1"/>
    <x v="6"/>
    <x v="0"/>
    <x v="1"/>
    <x v="1"/>
    <x v="1"/>
    <x v="0"/>
    <x v="4"/>
    <x v="474"/>
    <x v="0"/>
    <x v="11"/>
    <x v="10"/>
  </r>
  <r>
    <x v="181"/>
    <x v="43"/>
    <x v="100"/>
    <x v="33"/>
    <x v="87"/>
    <x v="5"/>
    <x v="3"/>
    <x v="11"/>
    <x v="23"/>
    <x v="1"/>
    <x v="76"/>
    <x v="103"/>
    <x v="354"/>
    <x v="80"/>
    <x v="618"/>
    <x v="232"/>
    <x v="1"/>
    <x v="14"/>
    <x v="1"/>
    <x v="1"/>
    <x v="1"/>
    <x v="1"/>
    <x v="0"/>
    <x v="4"/>
    <x v="589"/>
    <x v="0"/>
    <x v="11"/>
    <x v="10"/>
  </r>
  <r>
    <x v="182"/>
    <x v="14"/>
    <x v="162"/>
    <x v="89"/>
    <x v="89"/>
    <x v="0"/>
    <x v="0"/>
    <x v="17"/>
    <x v="37"/>
    <x v="1"/>
    <x v="42"/>
    <x v="47"/>
    <x v="209"/>
    <x v="59"/>
    <x v="304"/>
    <x v="97"/>
    <x v="1"/>
    <x v="4"/>
    <x v="1"/>
    <x v="1"/>
    <x v="1"/>
    <x v="1"/>
    <x v="0"/>
    <x v="0"/>
    <x v="293"/>
    <x v="0"/>
    <x v="11"/>
    <x v="10"/>
  </r>
  <r>
    <x v="183"/>
    <x v="225"/>
    <x v="295"/>
    <x v="56"/>
    <x v="17"/>
    <x v="1"/>
    <x v="0"/>
    <x v="1"/>
    <x v="1"/>
    <x v="4"/>
    <x v="1"/>
    <x v="20"/>
    <x v="6"/>
    <x v="1"/>
    <x v="5"/>
    <x v="303"/>
    <x v="1"/>
    <x v="15"/>
    <x v="1"/>
    <x v="0"/>
    <x v="1"/>
    <x v="1"/>
    <x v="0"/>
    <x v="4"/>
    <x v="6"/>
    <x v="0"/>
    <x v="11"/>
    <x v="10"/>
  </r>
  <r>
    <x v="184"/>
    <x v="346"/>
    <x v="8"/>
    <x v="66"/>
    <x v="13"/>
    <x v="6"/>
    <x v="0"/>
    <x v="8"/>
    <x v="16"/>
    <x v="2"/>
    <x v="14"/>
    <x v="35"/>
    <x v="73"/>
    <x v="20"/>
    <x v="140"/>
    <x v="261"/>
    <x v="4"/>
    <x v="0"/>
    <x v="0"/>
    <x v="2"/>
    <x v="2"/>
    <x v="1"/>
    <x v="0"/>
    <x v="4"/>
    <x v="134"/>
    <x v="0"/>
    <x v="11"/>
    <x v="10"/>
  </r>
  <r>
    <x v="185"/>
    <x v="205"/>
    <x v="250"/>
    <x v="16"/>
    <x v="22"/>
    <x v="4"/>
    <x v="0"/>
    <x v="15"/>
    <x v="31"/>
    <x v="1"/>
    <x v="35"/>
    <x v="38"/>
    <x v="183"/>
    <x v="47"/>
    <x v="337"/>
    <x v="206"/>
    <x v="1"/>
    <x v="11"/>
    <x v="0"/>
    <x v="0"/>
    <x v="1"/>
    <x v="1"/>
    <x v="0"/>
    <x v="0"/>
    <x v="324"/>
    <x v="0"/>
    <x v="11"/>
    <x v="10"/>
  </r>
  <r>
    <x v="186"/>
    <x v="319"/>
    <x v="187"/>
    <x v="79"/>
    <x v="12"/>
    <x v="2"/>
    <x v="0"/>
    <x v="8"/>
    <x v="18"/>
    <x v="5"/>
    <x v="14"/>
    <x v="89"/>
    <x v="62"/>
    <x v="24"/>
    <x v="34"/>
    <x v="71"/>
    <x v="1"/>
    <x v="13"/>
    <x v="1"/>
    <x v="0"/>
    <x v="1"/>
    <x v="1"/>
    <x v="0"/>
    <x v="0"/>
    <x v="35"/>
    <x v="0"/>
    <x v="11"/>
    <x v="10"/>
  </r>
  <r>
    <x v="187"/>
    <x v="134"/>
    <x v="1"/>
    <x v="80"/>
    <x v="82"/>
    <x v="2"/>
    <x v="0"/>
    <x v="0"/>
    <x v="0"/>
    <x v="0"/>
    <x v="0"/>
    <x v="0"/>
    <x v="4"/>
    <x v="0"/>
    <x v="8"/>
    <x v="342"/>
    <x v="1"/>
    <x v="14"/>
    <x v="0"/>
    <x v="0"/>
    <x v="1"/>
    <x v="1"/>
    <x v="0"/>
    <x v="4"/>
    <x v="9"/>
    <x v="0"/>
    <x v="11"/>
    <x v="10"/>
  </r>
  <r>
    <x v="188"/>
    <x v="331"/>
    <x v="268"/>
    <x v="98"/>
    <x v="72"/>
    <x v="0"/>
    <x v="2"/>
    <x v="15"/>
    <x v="34"/>
    <x v="4"/>
    <x v="79"/>
    <x v="212"/>
    <x v="339"/>
    <x v="92"/>
    <x v="456"/>
    <x v="42"/>
    <x v="1"/>
    <x v="7"/>
    <x v="0"/>
    <x v="1"/>
    <x v="1"/>
    <x v="1"/>
    <x v="0"/>
    <x v="3"/>
    <x v="441"/>
    <x v="0"/>
    <x v="11"/>
    <x v="10"/>
  </r>
  <r>
    <x v="189"/>
    <x v="316"/>
    <x v="193"/>
    <x v="14"/>
    <x v="65"/>
    <x v="3"/>
    <x v="0"/>
    <x v="24"/>
    <x v="49"/>
    <x v="0"/>
    <x v="83"/>
    <x v="0"/>
    <x v="384"/>
    <x v="99"/>
    <x v="544"/>
    <x v="54"/>
    <x v="1"/>
    <x v="3"/>
    <x v="1"/>
    <x v="2"/>
    <x v="1"/>
    <x v="1"/>
    <x v="0"/>
    <x v="4"/>
    <x v="521"/>
    <x v="0"/>
    <x v="11"/>
    <x v="10"/>
  </r>
  <r>
    <x v="190"/>
    <x v="316"/>
    <x v="223"/>
    <x v="78"/>
    <x v="1"/>
    <x v="2"/>
    <x v="0"/>
    <x v="9"/>
    <x v="20"/>
    <x v="4"/>
    <x v="16"/>
    <x v="83"/>
    <x v="75"/>
    <x v="29"/>
    <x v="87"/>
    <x v="104"/>
    <x v="1"/>
    <x v="12"/>
    <x v="1"/>
    <x v="0"/>
    <x v="1"/>
    <x v="1"/>
    <x v="0"/>
    <x v="4"/>
    <x v="86"/>
    <x v="0"/>
    <x v="11"/>
    <x v="10"/>
  </r>
  <r>
    <x v="191"/>
    <x v="224"/>
    <x v="38"/>
    <x v="90"/>
    <x v="69"/>
    <x v="0"/>
    <x v="0"/>
    <x v="20"/>
    <x v="41"/>
    <x v="1"/>
    <x v="54"/>
    <x v="63"/>
    <x v="260"/>
    <x v="68"/>
    <x v="399"/>
    <x v="98"/>
    <x v="1"/>
    <x v="5"/>
    <x v="1"/>
    <x v="1"/>
    <x v="1"/>
    <x v="1"/>
    <x v="0"/>
    <x v="4"/>
    <x v="385"/>
    <x v="0"/>
    <x v="11"/>
    <x v="10"/>
  </r>
  <r>
    <x v="192"/>
    <x v="240"/>
    <x v="194"/>
    <x v="8"/>
    <x v="50"/>
    <x v="3"/>
    <x v="0"/>
    <x v="10"/>
    <x v="20"/>
    <x v="3"/>
    <x v="20"/>
    <x v="73"/>
    <x v="97"/>
    <x v="29"/>
    <x v="168"/>
    <x v="214"/>
    <x v="4"/>
    <x v="18"/>
    <x v="1"/>
    <x v="1"/>
    <x v="2"/>
    <x v="1"/>
    <x v="0"/>
    <x v="3"/>
    <x v="162"/>
    <x v="0"/>
    <x v="11"/>
    <x v="10"/>
  </r>
  <r>
    <x v="193"/>
    <x v="275"/>
    <x v="199"/>
    <x v="12"/>
    <x v="56"/>
    <x v="3"/>
    <x v="1"/>
    <x v="9"/>
    <x v="22"/>
    <x v="1"/>
    <x v="38"/>
    <x v="42"/>
    <x v="196"/>
    <x v="55"/>
    <x v="306"/>
    <x v="124"/>
    <x v="1"/>
    <x v="14"/>
    <x v="0"/>
    <x v="1"/>
    <x v="1"/>
    <x v="1"/>
    <x v="0"/>
    <x v="4"/>
    <x v="295"/>
    <x v="0"/>
    <x v="11"/>
    <x v="10"/>
  </r>
  <r>
    <x v="194"/>
    <x v="222"/>
    <x v="88"/>
    <x v="6"/>
    <x v="46"/>
    <x v="3"/>
    <x v="0"/>
    <x v="12"/>
    <x v="25"/>
    <x v="1"/>
    <x v="27"/>
    <x v="30"/>
    <x v="143"/>
    <x v="37"/>
    <x v="264"/>
    <x v="216"/>
    <x v="1"/>
    <x v="13"/>
    <x v="0"/>
    <x v="0"/>
    <x v="1"/>
    <x v="1"/>
    <x v="0"/>
    <x v="3"/>
    <x v="255"/>
    <x v="0"/>
    <x v="11"/>
    <x v="10"/>
  </r>
  <r>
    <x v="195"/>
    <x v="142"/>
    <x v="246"/>
    <x v="4"/>
    <x v="66"/>
    <x v="3"/>
    <x v="0"/>
    <x v="14"/>
    <x v="31"/>
    <x v="3"/>
    <x v="33"/>
    <x v="104"/>
    <x v="154"/>
    <x v="47"/>
    <x v="194"/>
    <x v="94"/>
    <x v="4"/>
    <x v="0"/>
    <x v="0"/>
    <x v="2"/>
    <x v="2"/>
    <x v="1"/>
    <x v="0"/>
    <x v="3"/>
    <x v="188"/>
    <x v="0"/>
    <x v="11"/>
    <x v="10"/>
  </r>
  <r>
    <x v="196"/>
    <x v="86"/>
    <x v="136"/>
    <x v="29"/>
    <x v="34"/>
    <x v="4"/>
    <x v="3"/>
    <x v="21"/>
    <x v="43"/>
    <x v="2"/>
    <x v="107"/>
    <x v="224"/>
    <x v="435"/>
    <x v="117"/>
    <x v="667"/>
    <x v="101"/>
    <x v="0"/>
    <x v="5"/>
    <x v="1"/>
    <x v="1"/>
    <x v="0"/>
    <x v="2"/>
    <x v="0"/>
    <x v="1"/>
    <x v="0"/>
    <x v="0"/>
    <x v="11"/>
    <x v="10"/>
  </r>
  <r>
    <x v="197"/>
    <x v="14"/>
    <x v="12"/>
    <x v="84"/>
    <x v="55"/>
    <x v="2"/>
    <x v="0"/>
    <x v="3"/>
    <x v="6"/>
    <x v="0"/>
    <x v="4"/>
    <x v="0"/>
    <x v="29"/>
    <x v="6"/>
    <x v="66"/>
    <x v="326"/>
    <x v="1"/>
    <x v="11"/>
    <x v="1"/>
    <x v="1"/>
    <x v="1"/>
    <x v="1"/>
    <x v="0"/>
    <x v="4"/>
    <x v="65"/>
    <x v="0"/>
    <x v="11"/>
    <x v="10"/>
  </r>
  <r>
    <x v="198"/>
    <x v="228"/>
    <x v="238"/>
    <x v="22"/>
    <x v="79"/>
    <x v="4"/>
    <x v="1"/>
    <x v="4"/>
    <x v="7"/>
    <x v="1"/>
    <x v="15"/>
    <x v="17"/>
    <x v="91"/>
    <x v="19"/>
    <x v="229"/>
    <x v="328"/>
    <x v="4"/>
    <x v="6"/>
    <x v="1"/>
    <x v="2"/>
    <x v="2"/>
    <x v="1"/>
    <x v="0"/>
    <x v="3"/>
    <x v="221"/>
    <x v="0"/>
    <x v="11"/>
    <x v="10"/>
  </r>
  <r>
    <x v="199"/>
    <x v="119"/>
    <x v="222"/>
    <x v="0"/>
    <x v="97"/>
    <x v="3"/>
    <x v="0"/>
    <x v="11"/>
    <x v="26"/>
    <x v="1"/>
    <x v="23"/>
    <x v="26"/>
    <x v="129"/>
    <x v="38"/>
    <x v="183"/>
    <x v="145"/>
    <x v="0"/>
    <x v="4"/>
    <x v="1"/>
    <x v="2"/>
    <x v="0"/>
    <x v="1"/>
    <x v="0"/>
    <x v="1"/>
    <x v="0"/>
    <x v="0"/>
    <x v="11"/>
    <x v="10"/>
  </r>
  <r>
    <x v="200"/>
    <x v="239"/>
    <x v="180"/>
    <x v="84"/>
    <x v="55"/>
    <x v="2"/>
    <x v="2"/>
    <x v="3"/>
    <x v="6"/>
    <x v="4"/>
    <x v="21"/>
    <x v="99"/>
    <x v="101"/>
    <x v="27"/>
    <x v="205"/>
    <x v="263"/>
    <x v="1"/>
    <x v="1"/>
    <x v="0"/>
    <x v="1"/>
    <x v="1"/>
    <x v="1"/>
    <x v="0"/>
    <x v="4"/>
    <x v="198"/>
    <x v="0"/>
    <x v="11"/>
    <x v="10"/>
  </r>
  <r>
    <x v="201"/>
    <x v="194"/>
    <x v="28"/>
    <x v="31"/>
    <x v="94"/>
    <x v="5"/>
    <x v="1"/>
    <x v="5"/>
    <x v="9"/>
    <x v="1"/>
    <x v="19"/>
    <x v="21"/>
    <x v="110"/>
    <x v="24"/>
    <x v="258"/>
    <x v="310"/>
    <x v="1"/>
    <x v="0"/>
    <x v="1"/>
    <x v="2"/>
    <x v="1"/>
    <x v="1"/>
    <x v="0"/>
    <x v="4"/>
    <x v="249"/>
    <x v="0"/>
    <x v="11"/>
    <x v="10"/>
  </r>
  <r>
    <x v="202"/>
    <x v="328"/>
    <x v="46"/>
    <x v="86"/>
    <x v="11"/>
    <x v="2"/>
    <x v="0"/>
    <x v="6"/>
    <x v="14"/>
    <x v="3"/>
    <x v="9"/>
    <x v="40"/>
    <x v="47"/>
    <x v="17"/>
    <x v="62"/>
    <x v="208"/>
    <x v="4"/>
    <x v="17"/>
    <x v="2"/>
    <x v="0"/>
    <x v="2"/>
    <x v="1"/>
    <x v="0"/>
    <x v="0"/>
    <x v="61"/>
    <x v="0"/>
    <x v="11"/>
    <x v="10"/>
  </r>
  <r>
    <x v="203"/>
    <x v="188"/>
    <x v="193"/>
    <x v="16"/>
    <x v="22"/>
    <x v="4"/>
    <x v="0"/>
    <x v="15"/>
    <x v="31"/>
    <x v="2"/>
    <x v="35"/>
    <x v="78"/>
    <x v="174"/>
    <x v="47"/>
    <x v="302"/>
    <x v="174"/>
    <x v="4"/>
    <x v="3"/>
    <x v="1"/>
    <x v="1"/>
    <x v="2"/>
    <x v="1"/>
    <x v="0"/>
    <x v="3"/>
    <x v="291"/>
    <x v="0"/>
    <x v="11"/>
    <x v="10"/>
  </r>
  <r>
    <x v="204"/>
    <x v="152"/>
    <x v="194"/>
    <x v="28"/>
    <x v="73"/>
    <x v="4"/>
    <x v="0"/>
    <x v="3"/>
    <x v="5"/>
    <x v="3"/>
    <x v="4"/>
    <x v="24"/>
    <x v="20"/>
    <x v="5"/>
    <x v="35"/>
    <x v="312"/>
    <x v="1"/>
    <x v="18"/>
    <x v="1"/>
    <x v="0"/>
    <x v="1"/>
    <x v="1"/>
    <x v="0"/>
    <x v="3"/>
    <x v="36"/>
    <x v="0"/>
    <x v="11"/>
    <x v="10"/>
  </r>
  <r>
    <x v="205"/>
    <x v="120"/>
    <x v="57"/>
    <x v="3"/>
    <x v="90"/>
    <x v="3"/>
    <x v="2"/>
    <x v="3"/>
    <x v="7"/>
    <x v="3"/>
    <x v="21"/>
    <x v="79"/>
    <x v="112"/>
    <x v="30"/>
    <x v="217"/>
    <x v="248"/>
    <x v="1"/>
    <x v="15"/>
    <x v="0"/>
    <x v="0"/>
    <x v="1"/>
    <x v="1"/>
    <x v="0"/>
    <x v="0"/>
    <x v="209"/>
    <x v="0"/>
    <x v="11"/>
    <x v="10"/>
  </r>
  <r>
    <x v="206"/>
    <x v="6"/>
    <x v="2"/>
    <x v="16"/>
    <x v="22"/>
    <x v="4"/>
    <x v="0"/>
    <x v="15"/>
    <x v="31"/>
    <x v="2"/>
    <x v="35"/>
    <x v="78"/>
    <x v="174"/>
    <x v="47"/>
    <x v="302"/>
    <x v="174"/>
    <x v="1"/>
    <x v="1"/>
    <x v="1"/>
    <x v="1"/>
    <x v="1"/>
    <x v="1"/>
    <x v="0"/>
    <x v="4"/>
    <x v="291"/>
    <x v="0"/>
    <x v="11"/>
    <x v="10"/>
  </r>
  <r>
    <x v="207"/>
    <x v="125"/>
    <x v="220"/>
    <x v="68"/>
    <x v="80"/>
    <x v="6"/>
    <x v="0"/>
    <x v="12"/>
    <x v="27"/>
    <x v="0"/>
    <x v="27"/>
    <x v="0"/>
    <x v="151"/>
    <x v="39"/>
    <x v="286"/>
    <x v="226"/>
    <x v="1"/>
    <x v="1"/>
    <x v="2"/>
    <x v="1"/>
    <x v="1"/>
    <x v="1"/>
    <x v="0"/>
    <x v="3"/>
    <x v="277"/>
    <x v="0"/>
    <x v="11"/>
    <x v="10"/>
  </r>
  <r>
    <x v="208"/>
    <x v="72"/>
    <x v="286"/>
    <x v="86"/>
    <x v="11"/>
    <x v="2"/>
    <x v="0"/>
    <x v="6"/>
    <x v="14"/>
    <x v="3"/>
    <x v="9"/>
    <x v="40"/>
    <x v="47"/>
    <x v="17"/>
    <x v="62"/>
    <x v="208"/>
    <x v="1"/>
    <x v="0"/>
    <x v="1"/>
    <x v="1"/>
    <x v="1"/>
    <x v="1"/>
    <x v="0"/>
    <x v="0"/>
    <x v="61"/>
    <x v="0"/>
    <x v="11"/>
    <x v="10"/>
  </r>
  <r>
    <x v="209"/>
    <x v="124"/>
    <x v="191"/>
    <x v="82"/>
    <x v="67"/>
    <x v="2"/>
    <x v="0"/>
    <x v="5"/>
    <x v="12"/>
    <x v="2"/>
    <x v="7"/>
    <x v="21"/>
    <x v="40"/>
    <x v="14"/>
    <x v="58"/>
    <x v="220"/>
    <x v="1"/>
    <x v="9"/>
    <x v="1"/>
    <x v="2"/>
    <x v="1"/>
    <x v="1"/>
    <x v="0"/>
    <x v="4"/>
    <x v="57"/>
    <x v="0"/>
    <x v="11"/>
    <x v="10"/>
  </r>
  <r>
    <x v="210"/>
    <x v="346"/>
    <x v="256"/>
    <x v="85"/>
    <x v="35"/>
    <x v="2"/>
    <x v="0"/>
    <x v="1"/>
    <x v="2"/>
    <x v="0"/>
    <x v="1"/>
    <x v="0"/>
    <x v="11"/>
    <x v="2"/>
    <x v="19"/>
    <x v="333"/>
    <x v="1"/>
    <x v="5"/>
    <x v="0"/>
    <x v="1"/>
    <x v="1"/>
    <x v="1"/>
    <x v="0"/>
    <x v="3"/>
    <x v="20"/>
    <x v="0"/>
    <x v="11"/>
    <x v="10"/>
  </r>
  <r>
    <x v="211"/>
    <x v="240"/>
    <x v="260"/>
    <x v="72"/>
    <x v="43"/>
    <x v="6"/>
    <x v="4"/>
    <x v="20"/>
    <x v="40"/>
    <x v="5"/>
    <x v="108"/>
    <x v="251"/>
    <x v="431"/>
    <x v="120"/>
    <x v="643"/>
    <x v="36"/>
    <x v="1"/>
    <x v="1"/>
    <x v="2"/>
    <x v="1"/>
    <x v="1"/>
    <x v="2"/>
    <x v="0"/>
    <x v="0"/>
    <x v="611"/>
    <x v="0"/>
    <x v="11"/>
    <x v="10"/>
  </r>
  <r>
    <x v="212"/>
    <x v="344"/>
    <x v="52"/>
    <x v="22"/>
    <x v="79"/>
    <x v="4"/>
    <x v="0"/>
    <x v="4"/>
    <x v="7"/>
    <x v="4"/>
    <x v="5"/>
    <x v="41"/>
    <x v="24"/>
    <x v="7"/>
    <x v="42"/>
    <x v="287"/>
    <x v="4"/>
    <x v="11"/>
    <x v="1"/>
    <x v="1"/>
    <x v="2"/>
    <x v="1"/>
    <x v="0"/>
    <x v="3"/>
    <x v="43"/>
    <x v="0"/>
    <x v="11"/>
    <x v="10"/>
  </r>
  <r>
    <x v="213"/>
    <x v="118"/>
    <x v="226"/>
    <x v="69"/>
    <x v="48"/>
    <x v="6"/>
    <x v="0"/>
    <x v="6"/>
    <x v="12"/>
    <x v="2"/>
    <x v="9"/>
    <x v="25"/>
    <x v="53"/>
    <x v="14"/>
    <x v="95"/>
    <x v="275"/>
    <x v="1"/>
    <x v="0"/>
    <x v="1"/>
    <x v="0"/>
    <x v="1"/>
    <x v="1"/>
    <x v="0"/>
    <x v="3"/>
    <x v="93"/>
    <x v="0"/>
    <x v="11"/>
    <x v="10"/>
  </r>
  <r>
    <x v="214"/>
    <x v="262"/>
    <x v="258"/>
    <x v="16"/>
    <x v="22"/>
    <x v="4"/>
    <x v="0"/>
    <x v="15"/>
    <x v="31"/>
    <x v="4"/>
    <x v="35"/>
    <x v="134"/>
    <x v="155"/>
    <x v="47"/>
    <x v="208"/>
    <x v="108"/>
    <x v="1"/>
    <x v="6"/>
    <x v="1"/>
    <x v="0"/>
    <x v="1"/>
    <x v="1"/>
    <x v="0"/>
    <x v="4"/>
    <x v="201"/>
    <x v="0"/>
    <x v="11"/>
    <x v="10"/>
  </r>
  <r>
    <x v="215"/>
    <x v="51"/>
    <x v="87"/>
    <x v="77"/>
    <x v="75"/>
    <x v="2"/>
    <x v="2"/>
    <x v="2"/>
    <x v="4"/>
    <x v="0"/>
    <x v="17"/>
    <x v="0"/>
    <x v="106"/>
    <x v="22"/>
    <x v="269"/>
    <x v="329"/>
    <x v="1"/>
    <x v="0"/>
    <x v="0"/>
    <x v="2"/>
    <x v="1"/>
    <x v="1"/>
    <x v="0"/>
    <x v="3"/>
    <x v="260"/>
    <x v="0"/>
    <x v="11"/>
    <x v="10"/>
  </r>
  <r>
    <x v="216"/>
    <x v="223"/>
    <x v="71"/>
    <x v="27"/>
    <x v="78"/>
    <x v="4"/>
    <x v="0"/>
    <x v="19"/>
    <x v="38"/>
    <x v="5"/>
    <x v="50"/>
    <x v="177"/>
    <x v="203"/>
    <x v="60"/>
    <x v="214"/>
    <x v="50"/>
    <x v="4"/>
    <x v="16"/>
    <x v="1"/>
    <x v="2"/>
    <x v="2"/>
    <x v="1"/>
    <x v="0"/>
    <x v="0"/>
    <x v="207"/>
    <x v="0"/>
    <x v="11"/>
    <x v="10"/>
  </r>
  <r>
    <x v="217"/>
    <x v="104"/>
    <x v="9"/>
    <x v="38"/>
    <x v="92"/>
    <x v="5"/>
    <x v="0"/>
    <x v="9"/>
    <x v="18"/>
    <x v="4"/>
    <x v="16"/>
    <x v="83"/>
    <x v="75"/>
    <x v="24"/>
    <x v="124"/>
    <x v="190"/>
    <x v="2"/>
    <x v="13"/>
    <x v="1"/>
    <x v="0"/>
    <x v="2"/>
    <x v="1"/>
    <x v="0"/>
    <x v="2"/>
    <x v="120"/>
    <x v="0"/>
    <x v="11"/>
    <x v="10"/>
  </r>
  <r>
    <x v="218"/>
    <x v="148"/>
    <x v="135"/>
    <x v="85"/>
    <x v="35"/>
    <x v="2"/>
    <x v="1"/>
    <x v="1"/>
    <x v="2"/>
    <x v="2"/>
    <x v="6"/>
    <x v="20"/>
    <x v="39"/>
    <x v="10"/>
    <x v="90"/>
    <x v="314"/>
    <x v="3"/>
    <x v="15"/>
    <x v="1"/>
    <x v="0"/>
    <x v="3"/>
    <x v="1"/>
    <x v="0"/>
    <x v="3"/>
    <x v="0"/>
    <x v="0"/>
    <x v="11"/>
    <x v="10"/>
  </r>
  <r>
    <x v="219"/>
    <x v="282"/>
    <x v="113"/>
    <x v="53"/>
    <x v="29"/>
    <x v="1"/>
    <x v="4"/>
    <x v="3"/>
    <x v="6"/>
    <x v="2"/>
    <x v="40"/>
    <x v="87"/>
    <x v="198"/>
    <x v="43"/>
    <x v="434"/>
    <x v="302"/>
    <x v="4"/>
    <x v="2"/>
    <x v="1"/>
    <x v="2"/>
    <x v="2"/>
    <x v="1"/>
    <x v="0"/>
    <x v="0"/>
    <x v="419"/>
    <x v="0"/>
    <x v="11"/>
    <x v="10"/>
  </r>
  <r>
    <x v="220"/>
    <x v="141"/>
    <x v="211"/>
    <x v="44"/>
    <x v="53"/>
    <x v="5"/>
    <x v="1"/>
    <x v="6"/>
    <x v="12"/>
    <x v="5"/>
    <x v="22"/>
    <x v="121"/>
    <x v="94"/>
    <x v="30"/>
    <x v="156"/>
    <x v="192"/>
    <x v="1"/>
    <x v="9"/>
    <x v="1"/>
    <x v="0"/>
    <x v="1"/>
    <x v="1"/>
    <x v="0"/>
    <x v="0"/>
    <x v="150"/>
    <x v="0"/>
    <x v="11"/>
    <x v="10"/>
  </r>
  <r>
    <x v="221"/>
    <x v="184"/>
    <x v="109"/>
    <x v="12"/>
    <x v="56"/>
    <x v="3"/>
    <x v="0"/>
    <x v="9"/>
    <x v="22"/>
    <x v="1"/>
    <x v="16"/>
    <x v="18"/>
    <x v="92"/>
    <x v="33"/>
    <x v="125"/>
    <x v="124"/>
    <x v="4"/>
    <x v="7"/>
    <x v="1"/>
    <x v="0"/>
    <x v="2"/>
    <x v="1"/>
    <x v="0"/>
    <x v="3"/>
    <x v="121"/>
    <x v="0"/>
    <x v="11"/>
    <x v="10"/>
  </r>
  <r>
    <x v="222"/>
    <x v="119"/>
    <x v="83"/>
    <x v="82"/>
    <x v="67"/>
    <x v="2"/>
    <x v="1"/>
    <x v="5"/>
    <x v="12"/>
    <x v="0"/>
    <x v="19"/>
    <x v="0"/>
    <x v="117"/>
    <x v="30"/>
    <x v="238"/>
    <x v="269"/>
    <x v="1"/>
    <x v="4"/>
    <x v="2"/>
    <x v="2"/>
    <x v="1"/>
    <x v="1"/>
    <x v="0"/>
    <x v="4"/>
    <x v="230"/>
    <x v="0"/>
    <x v="11"/>
    <x v="10"/>
  </r>
  <r>
    <x v="223"/>
    <x v="334"/>
    <x v="49"/>
    <x v="73"/>
    <x v="60"/>
    <x v="2"/>
    <x v="1"/>
    <x v="3"/>
    <x v="6"/>
    <x v="1"/>
    <x v="13"/>
    <x v="15"/>
    <x v="77"/>
    <x v="18"/>
    <x v="176"/>
    <x v="315"/>
    <x v="1"/>
    <x v="13"/>
    <x v="0"/>
    <x v="0"/>
    <x v="1"/>
    <x v="1"/>
    <x v="0"/>
    <x v="0"/>
    <x v="170"/>
    <x v="0"/>
    <x v="11"/>
    <x v="10"/>
  </r>
  <r>
    <x v="224"/>
    <x v="161"/>
    <x v="39"/>
    <x v="18"/>
    <x v="71"/>
    <x v="4"/>
    <x v="1"/>
    <x v="20"/>
    <x v="40"/>
    <x v="3"/>
    <x v="82"/>
    <x v="199"/>
    <x v="352"/>
    <x v="91"/>
    <x v="543"/>
    <x v="88"/>
    <x v="2"/>
    <x v="19"/>
    <x v="1"/>
    <x v="0"/>
    <x v="2"/>
    <x v="1"/>
    <x v="0"/>
    <x v="2"/>
    <x v="520"/>
    <x v="0"/>
    <x v="11"/>
    <x v="10"/>
  </r>
  <r>
    <x v="225"/>
    <x v="246"/>
    <x v="259"/>
    <x v="42"/>
    <x v="47"/>
    <x v="5"/>
    <x v="0"/>
    <x v="15"/>
    <x v="32"/>
    <x v="3"/>
    <x v="35"/>
    <x v="106"/>
    <x v="164"/>
    <x v="50"/>
    <x v="220"/>
    <x v="96"/>
    <x v="1"/>
    <x v="14"/>
    <x v="1"/>
    <x v="2"/>
    <x v="1"/>
    <x v="1"/>
    <x v="0"/>
    <x v="3"/>
    <x v="212"/>
    <x v="0"/>
    <x v="11"/>
    <x v="10"/>
  </r>
  <r>
    <x v="226"/>
    <x v="316"/>
    <x v="73"/>
    <x v="56"/>
    <x v="17"/>
    <x v="1"/>
    <x v="1"/>
    <x v="1"/>
    <x v="1"/>
    <x v="3"/>
    <x v="6"/>
    <x v="32"/>
    <x v="36"/>
    <x v="8"/>
    <x v="82"/>
    <x v="316"/>
    <x v="1"/>
    <x v="9"/>
    <x v="0"/>
    <x v="2"/>
    <x v="1"/>
    <x v="1"/>
    <x v="0"/>
    <x v="0"/>
    <x v="81"/>
    <x v="0"/>
    <x v="11"/>
    <x v="10"/>
  </r>
  <r>
    <x v="227"/>
    <x v="33"/>
    <x v="35"/>
    <x v="38"/>
    <x v="92"/>
    <x v="5"/>
    <x v="0"/>
    <x v="9"/>
    <x v="18"/>
    <x v="2"/>
    <x v="16"/>
    <x v="42"/>
    <x v="87"/>
    <x v="24"/>
    <x v="167"/>
    <x v="243"/>
    <x v="1"/>
    <x v="3"/>
    <x v="0"/>
    <x v="2"/>
    <x v="1"/>
    <x v="1"/>
    <x v="0"/>
    <x v="0"/>
    <x v="161"/>
    <x v="0"/>
    <x v="11"/>
    <x v="10"/>
  </r>
  <r>
    <x v="228"/>
    <x v="6"/>
    <x v="163"/>
    <x v="51"/>
    <x v="52"/>
    <x v="1"/>
    <x v="0"/>
    <x v="2"/>
    <x v="4"/>
    <x v="3"/>
    <x v="2"/>
    <x v="19"/>
    <x v="13"/>
    <x v="4"/>
    <x v="16"/>
    <x v="290"/>
    <x v="1"/>
    <x v="12"/>
    <x v="0"/>
    <x v="0"/>
    <x v="1"/>
    <x v="1"/>
    <x v="0"/>
    <x v="4"/>
    <x v="17"/>
    <x v="0"/>
    <x v="11"/>
    <x v="10"/>
  </r>
  <r>
    <x v="229"/>
    <x v="272"/>
    <x v="212"/>
    <x v="14"/>
    <x v="65"/>
    <x v="3"/>
    <x v="0"/>
    <x v="24"/>
    <x v="49"/>
    <x v="1"/>
    <x v="83"/>
    <x v="114"/>
    <x v="377"/>
    <x v="99"/>
    <x v="498"/>
    <x v="33"/>
    <x v="0"/>
    <x v="2"/>
    <x v="1"/>
    <x v="1"/>
    <x v="0"/>
    <x v="1"/>
    <x v="0"/>
    <x v="1"/>
    <x v="0"/>
    <x v="0"/>
    <x v="11"/>
    <x v="10"/>
  </r>
  <r>
    <x v="230"/>
    <x v="296"/>
    <x v="216"/>
    <x v="69"/>
    <x v="48"/>
    <x v="6"/>
    <x v="0"/>
    <x v="6"/>
    <x v="12"/>
    <x v="3"/>
    <x v="9"/>
    <x v="40"/>
    <x v="47"/>
    <x v="14"/>
    <x v="78"/>
    <x v="250"/>
    <x v="2"/>
    <x v="5"/>
    <x v="0"/>
    <x v="1"/>
    <x v="2"/>
    <x v="1"/>
    <x v="0"/>
    <x v="2"/>
    <x v="77"/>
    <x v="0"/>
    <x v="11"/>
    <x v="10"/>
  </r>
  <r>
    <x v="231"/>
    <x v="6"/>
    <x v="148"/>
    <x v="43"/>
    <x v="25"/>
    <x v="5"/>
    <x v="0"/>
    <x v="3"/>
    <x v="5"/>
    <x v="2"/>
    <x v="4"/>
    <x v="15"/>
    <x v="23"/>
    <x v="5"/>
    <x v="48"/>
    <x v="324"/>
    <x v="4"/>
    <x v="7"/>
    <x v="0"/>
    <x v="1"/>
    <x v="2"/>
    <x v="1"/>
    <x v="0"/>
    <x v="4"/>
    <x v="48"/>
    <x v="0"/>
    <x v="11"/>
    <x v="10"/>
  </r>
  <r>
    <x v="232"/>
    <x v="196"/>
    <x v="7"/>
    <x v="27"/>
    <x v="78"/>
    <x v="4"/>
    <x v="0"/>
    <x v="19"/>
    <x v="38"/>
    <x v="1"/>
    <x v="50"/>
    <x v="57"/>
    <x v="242"/>
    <x v="60"/>
    <x v="424"/>
    <x v="175"/>
    <x v="1"/>
    <x v="10"/>
    <x v="0"/>
    <x v="1"/>
    <x v="1"/>
    <x v="1"/>
    <x v="0"/>
    <x v="4"/>
    <x v="409"/>
    <x v="0"/>
    <x v="11"/>
    <x v="10"/>
  </r>
  <r>
    <x v="233"/>
    <x v="212"/>
    <x v="116"/>
    <x v="86"/>
    <x v="11"/>
    <x v="2"/>
    <x v="1"/>
    <x v="6"/>
    <x v="14"/>
    <x v="3"/>
    <x v="22"/>
    <x v="80"/>
    <x v="113"/>
    <x v="33"/>
    <x v="189"/>
    <x v="208"/>
    <x v="4"/>
    <x v="15"/>
    <x v="1"/>
    <x v="2"/>
    <x v="2"/>
    <x v="1"/>
    <x v="0"/>
    <x v="3"/>
    <x v="183"/>
    <x v="0"/>
    <x v="11"/>
    <x v="10"/>
  </r>
  <r>
    <x v="234"/>
    <x v="151"/>
    <x v="106"/>
    <x v="84"/>
    <x v="55"/>
    <x v="2"/>
    <x v="0"/>
    <x v="3"/>
    <x v="6"/>
    <x v="0"/>
    <x v="4"/>
    <x v="0"/>
    <x v="29"/>
    <x v="6"/>
    <x v="66"/>
    <x v="326"/>
    <x v="1"/>
    <x v="10"/>
    <x v="1"/>
    <x v="0"/>
    <x v="1"/>
    <x v="1"/>
    <x v="0"/>
    <x v="4"/>
    <x v="65"/>
    <x v="0"/>
    <x v="11"/>
    <x v="10"/>
  </r>
  <r>
    <x v="235"/>
    <x v="28"/>
    <x v="78"/>
    <x v="14"/>
    <x v="65"/>
    <x v="3"/>
    <x v="0"/>
    <x v="24"/>
    <x v="49"/>
    <x v="1"/>
    <x v="83"/>
    <x v="114"/>
    <x v="377"/>
    <x v="99"/>
    <x v="498"/>
    <x v="33"/>
    <x v="1"/>
    <x v="19"/>
    <x v="0"/>
    <x v="1"/>
    <x v="1"/>
    <x v="1"/>
    <x v="0"/>
    <x v="3"/>
    <x v="477"/>
    <x v="0"/>
    <x v="11"/>
    <x v="10"/>
  </r>
  <r>
    <x v="236"/>
    <x v="259"/>
    <x v="263"/>
    <x v="66"/>
    <x v="13"/>
    <x v="6"/>
    <x v="4"/>
    <x v="8"/>
    <x v="16"/>
    <x v="4"/>
    <x v="68"/>
    <x v="195"/>
    <x v="296"/>
    <x v="69"/>
    <x v="531"/>
    <x v="209"/>
    <x v="1"/>
    <x v="12"/>
    <x v="1"/>
    <x v="1"/>
    <x v="1"/>
    <x v="1"/>
    <x v="0"/>
    <x v="4"/>
    <x v="508"/>
    <x v="0"/>
    <x v="11"/>
    <x v="10"/>
  </r>
  <r>
    <x v="237"/>
    <x v="39"/>
    <x v="178"/>
    <x v="69"/>
    <x v="48"/>
    <x v="6"/>
    <x v="2"/>
    <x v="6"/>
    <x v="12"/>
    <x v="3"/>
    <x v="36"/>
    <x v="115"/>
    <x v="173"/>
    <x v="42"/>
    <x v="353"/>
    <x v="250"/>
    <x v="2"/>
    <x v="6"/>
    <x v="0"/>
    <x v="1"/>
    <x v="2"/>
    <x v="1"/>
    <x v="0"/>
    <x v="2"/>
    <x v="340"/>
    <x v="0"/>
    <x v="11"/>
    <x v="10"/>
  </r>
  <r>
    <x v="238"/>
    <x v="151"/>
    <x v="115"/>
    <x v="21"/>
    <x v="93"/>
    <x v="4"/>
    <x v="0"/>
    <x v="7"/>
    <x v="14"/>
    <x v="2"/>
    <x v="11"/>
    <x v="29"/>
    <x v="61"/>
    <x v="17"/>
    <x v="115"/>
    <x v="276"/>
    <x v="1"/>
    <x v="18"/>
    <x v="1"/>
    <x v="0"/>
    <x v="1"/>
    <x v="1"/>
    <x v="0"/>
    <x v="4"/>
    <x v="111"/>
    <x v="0"/>
    <x v="11"/>
    <x v="10"/>
  </r>
  <r>
    <x v="239"/>
    <x v="320"/>
    <x v="2"/>
    <x v="29"/>
    <x v="34"/>
    <x v="4"/>
    <x v="2"/>
    <x v="21"/>
    <x v="43"/>
    <x v="3"/>
    <x v="100"/>
    <x v="229"/>
    <x v="416"/>
    <x v="111"/>
    <x v="639"/>
    <x v="78"/>
    <x v="3"/>
    <x v="1"/>
    <x v="1"/>
    <x v="0"/>
    <x v="3"/>
    <x v="2"/>
    <x v="0"/>
    <x v="3"/>
    <x v="0"/>
    <x v="0"/>
    <x v="11"/>
    <x v="10"/>
  </r>
  <r>
    <x v="240"/>
    <x v="263"/>
    <x v="17"/>
    <x v="45"/>
    <x v="30"/>
    <x v="1"/>
    <x v="1"/>
    <x v="7"/>
    <x v="15"/>
    <x v="2"/>
    <x v="26"/>
    <x v="61"/>
    <x v="135"/>
    <x v="35"/>
    <x v="259"/>
    <x v="236"/>
    <x v="1"/>
    <x v="15"/>
    <x v="0"/>
    <x v="1"/>
    <x v="1"/>
    <x v="1"/>
    <x v="0"/>
    <x v="3"/>
    <x v="250"/>
    <x v="0"/>
    <x v="11"/>
    <x v="10"/>
  </r>
  <r>
    <x v="241"/>
    <x v="335"/>
    <x v="140"/>
    <x v="93"/>
    <x v="70"/>
    <x v="0"/>
    <x v="0"/>
    <x v="20"/>
    <x v="42"/>
    <x v="2"/>
    <x v="54"/>
    <x v="113"/>
    <x v="253"/>
    <x v="69"/>
    <x v="320"/>
    <x v="55"/>
    <x v="1"/>
    <x v="1"/>
    <x v="1"/>
    <x v="0"/>
    <x v="1"/>
    <x v="1"/>
    <x v="0"/>
    <x v="4"/>
    <x v="308"/>
    <x v="0"/>
    <x v="11"/>
    <x v="10"/>
  </r>
  <r>
    <x v="242"/>
    <x v="201"/>
    <x v="181"/>
    <x v="52"/>
    <x v="54"/>
    <x v="1"/>
    <x v="1"/>
    <x v="8"/>
    <x v="16"/>
    <x v="2"/>
    <x v="32"/>
    <x v="72"/>
    <x v="161"/>
    <x v="39"/>
    <x v="333"/>
    <x v="261"/>
    <x v="2"/>
    <x v="8"/>
    <x v="1"/>
    <x v="0"/>
    <x v="2"/>
    <x v="1"/>
    <x v="0"/>
    <x v="2"/>
    <x v="321"/>
    <x v="0"/>
    <x v="11"/>
    <x v="10"/>
  </r>
  <r>
    <x v="243"/>
    <x v="249"/>
    <x v="133"/>
    <x v="42"/>
    <x v="47"/>
    <x v="5"/>
    <x v="1"/>
    <x v="15"/>
    <x v="32"/>
    <x v="2"/>
    <x v="64"/>
    <x v="134"/>
    <x v="293"/>
    <x v="72"/>
    <x v="481"/>
    <x v="130"/>
    <x v="1"/>
    <x v="3"/>
    <x v="0"/>
    <x v="1"/>
    <x v="1"/>
    <x v="1"/>
    <x v="0"/>
    <x v="0"/>
    <x v="462"/>
    <x v="0"/>
    <x v="11"/>
    <x v="10"/>
  </r>
  <r>
    <x v="244"/>
    <x v="33"/>
    <x v="228"/>
    <x v="19"/>
    <x v="2"/>
    <x v="4"/>
    <x v="2"/>
    <x v="14"/>
    <x v="30"/>
    <x v="2"/>
    <x v="77"/>
    <x v="160"/>
    <x v="346"/>
    <x v="83"/>
    <x v="578"/>
    <x v="173"/>
    <x v="1"/>
    <x v="7"/>
    <x v="0"/>
    <x v="1"/>
    <x v="1"/>
    <x v="1"/>
    <x v="0"/>
    <x v="0"/>
    <x v="554"/>
    <x v="0"/>
    <x v="11"/>
    <x v="10"/>
  </r>
  <r>
    <x v="245"/>
    <x v="269"/>
    <x v="296"/>
    <x v="83"/>
    <x v="96"/>
    <x v="2"/>
    <x v="0"/>
    <x v="10"/>
    <x v="23"/>
    <x v="0"/>
    <x v="20"/>
    <x v="0"/>
    <x v="119"/>
    <x v="34"/>
    <x v="200"/>
    <x v="207"/>
    <x v="0"/>
    <x v="5"/>
    <x v="1"/>
    <x v="2"/>
    <x v="0"/>
    <x v="1"/>
    <x v="0"/>
    <x v="1"/>
    <x v="0"/>
    <x v="0"/>
    <x v="11"/>
    <x v="10"/>
  </r>
  <r>
    <x v="246"/>
    <x v="288"/>
    <x v="193"/>
    <x v="77"/>
    <x v="75"/>
    <x v="2"/>
    <x v="0"/>
    <x v="2"/>
    <x v="4"/>
    <x v="3"/>
    <x v="2"/>
    <x v="19"/>
    <x v="13"/>
    <x v="4"/>
    <x v="16"/>
    <x v="290"/>
    <x v="1"/>
    <x v="3"/>
    <x v="1"/>
    <x v="1"/>
    <x v="1"/>
    <x v="1"/>
    <x v="0"/>
    <x v="4"/>
    <x v="17"/>
    <x v="0"/>
    <x v="11"/>
    <x v="10"/>
  </r>
  <r>
    <x v="247"/>
    <x v="40"/>
    <x v="140"/>
    <x v="88"/>
    <x v="57"/>
    <x v="0"/>
    <x v="1"/>
    <x v="22"/>
    <x v="45"/>
    <x v="1"/>
    <x v="91"/>
    <x v="133"/>
    <x v="399"/>
    <x v="103"/>
    <x v="612"/>
    <x v="84"/>
    <x v="2"/>
    <x v="1"/>
    <x v="1"/>
    <x v="2"/>
    <x v="2"/>
    <x v="1"/>
    <x v="0"/>
    <x v="2"/>
    <x v="583"/>
    <x v="0"/>
    <x v="11"/>
    <x v="10"/>
  </r>
  <r>
    <x v="248"/>
    <x v="336"/>
    <x v="110"/>
    <x v="65"/>
    <x v="36"/>
    <x v="6"/>
    <x v="0"/>
    <x v="7"/>
    <x v="14"/>
    <x v="5"/>
    <x v="11"/>
    <x v="76"/>
    <x v="43"/>
    <x v="17"/>
    <x v="52"/>
    <x v="193"/>
    <x v="1"/>
    <x v="16"/>
    <x v="0"/>
    <x v="2"/>
    <x v="1"/>
    <x v="1"/>
    <x v="0"/>
    <x v="3"/>
    <x v="51"/>
    <x v="0"/>
    <x v="11"/>
    <x v="10"/>
  </r>
  <r>
    <x v="249"/>
    <x v="136"/>
    <x v="30"/>
    <x v="19"/>
    <x v="2"/>
    <x v="4"/>
    <x v="0"/>
    <x v="14"/>
    <x v="30"/>
    <x v="0"/>
    <x v="33"/>
    <x v="0"/>
    <x v="181"/>
    <x v="45"/>
    <x v="350"/>
    <x v="228"/>
    <x v="1"/>
    <x v="7"/>
    <x v="1"/>
    <x v="2"/>
    <x v="1"/>
    <x v="1"/>
    <x v="0"/>
    <x v="3"/>
    <x v="337"/>
    <x v="0"/>
    <x v="11"/>
    <x v="10"/>
  </r>
  <r>
    <x v="250"/>
    <x v="313"/>
    <x v="16"/>
    <x v="3"/>
    <x v="90"/>
    <x v="3"/>
    <x v="0"/>
    <x v="3"/>
    <x v="7"/>
    <x v="1"/>
    <x v="4"/>
    <x v="5"/>
    <x v="25"/>
    <x v="7"/>
    <x v="44"/>
    <x v="292"/>
    <x v="1"/>
    <x v="18"/>
    <x v="1"/>
    <x v="2"/>
    <x v="1"/>
    <x v="1"/>
    <x v="0"/>
    <x v="4"/>
    <x v="45"/>
    <x v="0"/>
    <x v="11"/>
    <x v="10"/>
  </r>
  <r>
    <x v="251"/>
    <x v="327"/>
    <x v="215"/>
    <x v="66"/>
    <x v="13"/>
    <x v="6"/>
    <x v="1"/>
    <x v="8"/>
    <x v="16"/>
    <x v="0"/>
    <x v="32"/>
    <x v="0"/>
    <x v="179"/>
    <x v="39"/>
    <x v="396"/>
    <x v="298"/>
    <x v="1"/>
    <x v="15"/>
    <x v="2"/>
    <x v="1"/>
    <x v="1"/>
    <x v="1"/>
    <x v="0"/>
    <x v="4"/>
    <x v="382"/>
    <x v="0"/>
    <x v="11"/>
    <x v="10"/>
  </r>
  <r>
    <x v="252"/>
    <x v="43"/>
    <x v="10"/>
    <x v="55"/>
    <x v="37"/>
    <x v="1"/>
    <x v="0"/>
    <x v="15"/>
    <x v="34"/>
    <x v="0"/>
    <x v="35"/>
    <x v="0"/>
    <x v="195"/>
    <x v="52"/>
    <x v="319"/>
    <x v="155"/>
    <x v="1"/>
    <x v="7"/>
    <x v="0"/>
    <x v="1"/>
    <x v="1"/>
    <x v="1"/>
    <x v="0"/>
    <x v="3"/>
    <x v="307"/>
    <x v="0"/>
    <x v="11"/>
    <x v="10"/>
  </r>
  <r>
    <x v="253"/>
    <x v="286"/>
    <x v="238"/>
    <x v="74"/>
    <x v="4"/>
    <x v="2"/>
    <x v="1"/>
    <x v="1"/>
    <x v="1"/>
    <x v="0"/>
    <x v="6"/>
    <x v="0"/>
    <x v="48"/>
    <x v="8"/>
    <x v="127"/>
    <x v="339"/>
    <x v="1"/>
    <x v="6"/>
    <x v="1"/>
    <x v="2"/>
    <x v="1"/>
    <x v="1"/>
    <x v="0"/>
    <x v="0"/>
    <x v="123"/>
    <x v="0"/>
    <x v="11"/>
    <x v="10"/>
  </r>
  <r>
    <x v="254"/>
    <x v="36"/>
    <x v="122"/>
    <x v="72"/>
    <x v="43"/>
    <x v="6"/>
    <x v="1"/>
    <x v="20"/>
    <x v="40"/>
    <x v="1"/>
    <x v="82"/>
    <x v="113"/>
    <x v="376"/>
    <x v="91"/>
    <x v="604"/>
    <x v="152"/>
    <x v="1"/>
    <x v="8"/>
    <x v="1"/>
    <x v="1"/>
    <x v="1"/>
    <x v="1"/>
    <x v="0"/>
    <x v="4"/>
    <x v="577"/>
    <x v="0"/>
    <x v="11"/>
    <x v="10"/>
  </r>
  <r>
    <x v="255"/>
    <x v="253"/>
    <x v="92"/>
    <x v="39"/>
    <x v="20"/>
    <x v="5"/>
    <x v="0"/>
    <x v="13"/>
    <x v="29"/>
    <x v="3"/>
    <x v="29"/>
    <x v="96"/>
    <x v="139"/>
    <x v="43"/>
    <x v="204"/>
    <x v="140"/>
    <x v="3"/>
    <x v="9"/>
    <x v="2"/>
    <x v="2"/>
    <x v="3"/>
    <x v="1"/>
    <x v="0"/>
    <x v="4"/>
    <x v="0"/>
    <x v="0"/>
    <x v="11"/>
    <x v="10"/>
  </r>
  <r>
    <x v="256"/>
    <x v="221"/>
    <x v="244"/>
    <x v="58"/>
    <x v="5"/>
    <x v="1"/>
    <x v="0"/>
    <x v="9"/>
    <x v="20"/>
    <x v="3"/>
    <x v="16"/>
    <x v="65"/>
    <x v="80"/>
    <x v="29"/>
    <x v="109"/>
    <x v="138"/>
    <x v="1"/>
    <x v="17"/>
    <x v="1"/>
    <x v="0"/>
    <x v="1"/>
    <x v="1"/>
    <x v="0"/>
    <x v="4"/>
    <x v="105"/>
    <x v="0"/>
    <x v="11"/>
    <x v="10"/>
  </r>
  <r>
    <x v="257"/>
    <x v="188"/>
    <x v="212"/>
    <x v="99"/>
    <x v="16"/>
    <x v="0"/>
    <x v="0"/>
    <x v="22"/>
    <x v="46"/>
    <x v="4"/>
    <x v="63"/>
    <x v="186"/>
    <x v="270"/>
    <x v="78"/>
    <x v="213"/>
    <x v="11"/>
    <x v="1"/>
    <x v="2"/>
    <x v="1"/>
    <x v="1"/>
    <x v="1"/>
    <x v="1"/>
    <x v="0"/>
    <x v="3"/>
    <x v="206"/>
    <x v="0"/>
    <x v="11"/>
    <x v="10"/>
  </r>
  <r>
    <x v="258"/>
    <x v="298"/>
    <x v="279"/>
    <x v="59"/>
    <x v="99"/>
    <x v="6"/>
    <x v="0"/>
    <x v="10"/>
    <x v="20"/>
    <x v="0"/>
    <x v="20"/>
    <x v="0"/>
    <x v="119"/>
    <x v="29"/>
    <x v="250"/>
    <x v="283"/>
    <x v="1"/>
    <x v="14"/>
    <x v="1"/>
    <x v="1"/>
    <x v="1"/>
    <x v="1"/>
    <x v="0"/>
    <x v="4"/>
    <x v="242"/>
    <x v="0"/>
    <x v="11"/>
    <x v="10"/>
  </r>
  <r>
    <x v="259"/>
    <x v="171"/>
    <x v="94"/>
    <x v="20"/>
    <x v="40"/>
    <x v="4"/>
    <x v="1"/>
    <x v="17"/>
    <x v="32"/>
    <x v="4"/>
    <x v="70"/>
    <x v="198"/>
    <x v="300"/>
    <x v="72"/>
    <x v="496"/>
    <x v="148"/>
    <x v="1"/>
    <x v="3"/>
    <x v="2"/>
    <x v="1"/>
    <x v="1"/>
    <x v="1"/>
    <x v="0"/>
    <x v="4"/>
    <x v="475"/>
    <x v="0"/>
    <x v="11"/>
    <x v="10"/>
  </r>
  <r>
    <x v="260"/>
    <x v="283"/>
    <x v="175"/>
    <x v="19"/>
    <x v="2"/>
    <x v="4"/>
    <x v="2"/>
    <x v="14"/>
    <x v="30"/>
    <x v="0"/>
    <x v="77"/>
    <x v="0"/>
    <x v="364"/>
    <x v="83"/>
    <x v="626"/>
    <x v="228"/>
    <x v="1"/>
    <x v="15"/>
    <x v="2"/>
    <x v="2"/>
    <x v="1"/>
    <x v="1"/>
    <x v="0"/>
    <x v="0"/>
    <x v="597"/>
    <x v="0"/>
    <x v="11"/>
    <x v="10"/>
  </r>
  <r>
    <x v="261"/>
    <x v="303"/>
    <x v="186"/>
    <x v="22"/>
    <x v="79"/>
    <x v="4"/>
    <x v="0"/>
    <x v="4"/>
    <x v="7"/>
    <x v="2"/>
    <x v="5"/>
    <x v="17"/>
    <x v="31"/>
    <x v="7"/>
    <x v="71"/>
    <x v="317"/>
    <x v="1"/>
    <x v="0"/>
    <x v="0"/>
    <x v="1"/>
    <x v="1"/>
    <x v="1"/>
    <x v="0"/>
    <x v="3"/>
    <x v="70"/>
    <x v="0"/>
    <x v="11"/>
    <x v="10"/>
  </r>
  <r>
    <x v="262"/>
    <x v="186"/>
    <x v="142"/>
    <x v="18"/>
    <x v="71"/>
    <x v="4"/>
    <x v="2"/>
    <x v="20"/>
    <x v="40"/>
    <x v="3"/>
    <x v="97"/>
    <x v="223"/>
    <x v="406"/>
    <x v="107"/>
    <x v="628"/>
    <x v="88"/>
    <x v="3"/>
    <x v="4"/>
    <x v="0"/>
    <x v="2"/>
    <x v="3"/>
    <x v="2"/>
    <x v="0"/>
    <x v="0"/>
    <x v="0"/>
    <x v="0"/>
    <x v="11"/>
    <x v="10"/>
  </r>
  <r>
    <x v="263"/>
    <x v="37"/>
    <x v="76"/>
    <x v="67"/>
    <x v="21"/>
    <x v="6"/>
    <x v="1"/>
    <x v="4"/>
    <x v="7"/>
    <x v="0"/>
    <x v="15"/>
    <x v="0"/>
    <x v="98"/>
    <x v="19"/>
    <x v="257"/>
    <x v="334"/>
    <x v="0"/>
    <x v="15"/>
    <x v="0"/>
    <x v="0"/>
    <x v="0"/>
    <x v="1"/>
    <x v="0"/>
    <x v="1"/>
    <x v="0"/>
    <x v="0"/>
    <x v="11"/>
    <x v="10"/>
  </r>
  <r>
    <x v="264"/>
    <x v="251"/>
    <x v="292"/>
    <x v="16"/>
    <x v="22"/>
    <x v="4"/>
    <x v="2"/>
    <x v="15"/>
    <x v="31"/>
    <x v="2"/>
    <x v="79"/>
    <x v="164"/>
    <x v="359"/>
    <x v="86"/>
    <x v="600"/>
    <x v="174"/>
    <x v="1"/>
    <x v="2"/>
    <x v="1"/>
    <x v="1"/>
    <x v="1"/>
    <x v="1"/>
    <x v="0"/>
    <x v="3"/>
    <x v="575"/>
    <x v="0"/>
    <x v="11"/>
    <x v="10"/>
  </r>
  <r>
    <x v="265"/>
    <x v="67"/>
    <x v="262"/>
    <x v="18"/>
    <x v="71"/>
    <x v="4"/>
    <x v="3"/>
    <x v="20"/>
    <x v="40"/>
    <x v="4"/>
    <x v="104"/>
    <x v="244"/>
    <x v="422"/>
    <x v="113"/>
    <x v="645"/>
    <x v="60"/>
    <x v="1"/>
    <x v="4"/>
    <x v="2"/>
    <x v="1"/>
    <x v="1"/>
    <x v="2"/>
    <x v="0"/>
    <x v="4"/>
    <x v="613"/>
    <x v="0"/>
    <x v="11"/>
    <x v="10"/>
  </r>
  <r>
    <x v="266"/>
    <x v="101"/>
    <x v="243"/>
    <x v="66"/>
    <x v="13"/>
    <x v="6"/>
    <x v="2"/>
    <x v="8"/>
    <x v="16"/>
    <x v="3"/>
    <x v="48"/>
    <x v="136"/>
    <x v="223"/>
    <x v="52"/>
    <x v="429"/>
    <x v="234"/>
    <x v="1"/>
    <x v="12"/>
    <x v="0"/>
    <x v="2"/>
    <x v="1"/>
    <x v="1"/>
    <x v="0"/>
    <x v="0"/>
    <x v="414"/>
    <x v="0"/>
    <x v="11"/>
    <x v="10"/>
  </r>
  <r>
    <x v="267"/>
    <x v="327"/>
    <x v="189"/>
    <x v="43"/>
    <x v="25"/>
    <x v="5"/>
    <x v="1"/>
    <x v="3"/>
    <x v="5"/>
    <x v="2"/>
    <x v="13"/>
    <x v="33"/>
    <x v="72"/>
    <x v="17"/>
    <x v="171"/>
    <x v="324"/>
    <x v="2"/>
    <x v="16"/>
    <x v="1"/>
    <x v="1"/>
    <x v="2"/>
    <x v="1"/>
    <x v="0"/>
    <x v="2"/>
    <x v="165"/>
    <x v="0"/>
    <x v="11"/>
    <x v="10"/>
  </r>
  <r>
    <x v="268"/>
    <x v="166"/>
    <x v="209"/>
    <x v="73"/>
    <x v="60"/>
    <x v="2"/>
    <x v="0"/>
    <x v="3"/>
    <x v="6"/>
    <x v="5"/>
    <x v="4"/>
    <x v="45"/>
    <x v="15"/>
    <x v="6"/>
    <x v="13"/>
    <x v="235"/>
    <x v="1"/>
    <x v="16"/>
    <x v="1"/>
    <x v="1"/>
    <x v="1"/>
    <x v="1"/>
    <x v="0"/>
    <x v="3"/>
    <x v="14"/>
    <x v="0"/>
    <x v="11"/>
    <x v="10"/>
  </r>
  <r>
    <x v="269"/>
    <x v="187"/>
    <x v="193"/>
    <x v="36"/>
    <x v="63"/>
    <x v="5"/>
    <x v="2"/>
    <x v="10"/>
    <x v="20"/>
    <x v="2"/>
    <x v="60"/>
    <x v="128"/>
    <x v="280"/>
    <x v="65"/>
    <x v="525"/>
    <x v="237"/>
    <x v="1"/>
    <x v="3"/>
    <x v="1"/>
    <x v="2"/>
    <x v="1"/>
    <x v="1"/>
    <x v="0"/>
    <x v="0"/>
    <x v="502"/>
    <x v="0"/>
    <x v="11"/>
    <x v="10"/>
  </r>
  <r>
    <x v="270"/>
    <x v="132"/>
    <x v="159"/>
    <x v="4"/>
    <x v="66"/>
    <x v="3"/>
    <x v="1"/>
    <x v="14"/>
    <x v="31"/>
    <x v="3"/>
    <x v="61"/>
    <x v="160"/>
    <x v="274"/>
    <x v="71"/>
    <x v="415"/>
    <x v="94"/>
    <x v="2"/>
    <x v="14"/>
    <x v="0"/>
    <x v="1"/>
    <x v="2"/>
    <x v="1"/>
    <x v="0"/>
    <x v="2"/>
    <x v="400"/>
    <x v="0"/>
    <x v="11"/>
    <x v="10"/>
  </r>
  <r>
    <x v="271"/>
    <x v="150"/>
    <x v="212"/>
    <x v="95"/>
    <x v="0"/>
    <x v="0"/>
    <x v="0"/>
    <x v="24"/>
    <x v="48"/>
    <x v="0"/>
    <x v="83"/>
    <x v="0"/>
    <x v="384"/>
    <x v="97"/>
    <x v="560"/>
    <x v="67"/>
    <x v="1"/>
    <x v="2"/>
    <x v="1"/>
    <x v="0"/>
    <x v="1"/>
    <x v="1"/>
    <x v="0"/>
    <x v="0"/>
    <x v="537"/>
    <x v="0"/>
    <x v="11"/>
    <x v="10"/>
  </r>
  <r>
    <x v="272"/>
    <x v="159"/>
    <x v="19"/>
    <x v="4"/>
    <x v="66"/>
    <x v="3"/>
    <x v="2"/>
    <x v="14"/>
    <x v="31"/>
    <x v="2"/>
    <x v="77"/>
    <x v="160"/>
    <x v="346"/>
    <x v="86"/>
    <x v="557"/>
    <x v="125"/>
    <x v="1"/>
    <x v="19"/>
    <x v="1"/>
    <x v="1"/>
    <x v="1"/>
    <x v="1"/>
    <x v="0"/>
    <x v="0"/>
    <x v="534"/>
    <x v="0"/>
    <x v="11"/>
    <x v="10"/>
  </r>
  <r>
    <x v="273"/>
    <x v="68"/>
    <x v="177"/>
    <x v="96"/>
    <x v="91"/>
    <x v="0"/>
    <x v="3"/>
    <x v="23"/>
    <x v="47"/>
    <x v="5"/>
    <x v="113"/>
    <x v="253"/>
    <x v="444"/>
    <x v="128"/>
    <x v="465"/>
    <x v="0"/>
    <x v="1"/>
    <x v="19"/>
    <x v="0"/>
    <x v="0"/>
    <x v="1"/>
    <x v="0"/>
    <x v="0"/>
    <x v="3"/>
    <x v="447"/>
    <x v="0"/>
    <x v="11"/>
    <x v="10"/>
  </r>
  <r>
    <x v="274"/>
    <x v="74"/>
    <x v="285"/>
    <x v="54"/>
    <x v="61"/>
    <x v="1"/>
    <x v="1"/>
    <x v="12"/>
    <x v="27"/>
    <x v="5"/>
    <x v="53"/>
    <x v="184"/>
    <x v="216"/>
    <x v="63"/>
    <x v="285"/>
    <x v="73"/>
    <x v="4"/>
    <x v="10"/>
    <x v="0"/>
    <x v="1"/>
    <x v="2"/>
    <x v="1"/>
    <x v="0"/>
    <x v="0"/>
    <x v="276"/>
    <x v="0"/>
    <x v="11"/>
    <x v="10"/>
  </r>
  <r>
    <x v="275"/>
    <x v="65"/>
    <x v="276"/>
    <x v="90"/>
    <x v="69"/>
    <x v="0"/>
    <x v="0"/>
    <x v="20"/>
    <x v="41"/>
    <x v="1"/>
    <x v="54"/>
    <x v="63"/>
    <x v="260"/>
    <x v="68"/>
    <x v="399"/>
    <x v="98"/>
    <x v="1"/>
    <x v="5"/>
    <x v="1"/>
    <x v="0"/>
    <x v="1"/>
    <x v="1"/>
    <x v="0"/>
    <x v="0"/>
    <x v="385"/>
    <x v="0"/>
    <x v="11"/>
    <x v="10"/>
  </r>
  <r>
    <x v="276"/>
    <x v="330"/>
    <x v="66"/>
    <x v="41"/>
    <x v="6"/>
    <x v="5"/>
    <x v="1"/>
    <x v="10"/>
    <x v="21"/>
    <x v="4"/>
    <x v="44"/>
    <x v="149"/>
    <x v="192"/>
    <x v="51"/>
    <x v="325"/>
    <x v="165"/>
    <x v="2"/>
    <x v="17"/>
    <x v="2"/>
    <x v="1"/>
    <x v="2"/>
    <x v="1"/>
    <x v="0"/>
    <x v="2"/>
    <x v="313"/>
    <x v="0"/>
    <x v="11"/>
    <x v="10"/>
  </r>
  <r>
    <x v="277"/>
    <x v="69"/>
    <x v="123"/>
    <x v="27"/>
    <x v="78"/>
    <x v="4"/>
    <x v="0"/>
    <x v="19"/>
    <x v="38"/>
    <x v="0"/>
    <x v="50"/>
    <x v="0"/>
    <x v="252"/>
    <x v="60"/>
    <x v="454"/>
    <x v="200"/>
    <x v="1"/>
    <x v="4"/>
    <x v="1"/>
    <x v="2"/>
    <x v="1"/>
    <x v="1"/>
    <x v="0"/>
    <x v="0"/>
    <x v="439"/>
    <x v="0"/>
    <x v="11"/>
    <x v="10"/>
  </r>
  <r>
    <x v="278"/>
    <x v="75"/>
    <x v="65"/>
    <x v="91"/>
    <x v="39"/>
    <x v="0"/>
    <x v="0"/>
    <x v="12"/>
    <x v="29"/>
    <x v="3"/>
    <x v="27"/>
    <x v="90"/>
    <x v="126"/>
    <x v="43"/>
    <x v="149"/>
    <x v="87"/>
    <x v="1"/>
    <x v="12"/>
    <x v="0"/>
    <x v="1"/>
    <x v="1"/>
    <x v="1"/>
    <x v="0"/>
    <x v="4"/>
    <x v="143"/>
    <x v="0"/>
    <x v="11"/>
    <x v="10"/>
  </r>
  <r>
    <x v="279"/>
    <x v="354"/>
    <x v="246"/>
    <x v="80"/>
    <x v="82"/>
    <x v="2"/>
    <x v="0"/>
    <x v="0"/>
    <x v="0"/>
    <x v="1"/>
    <x v="0"/>
    <x v="1"/>
    <x v="3"/>
    <x v="0"/>
    <x v="6"/>
    <x v="341"/>
    <x v="1"/>
    <x v="0"/>
    <x v="0"/>
    <x v="0"/>
    <x v="1"/>
    <x v="1"/>
    <x v="0"/>
    <x v="0"/>
    <x v="7"/>
    <x v="0"/>
    <x v="11"/>
    <x v="10"/>
  </r>
  <r>
    <x v="280"/>
    <x v="105"/>
    <x v="223"/>
    <x v="37"/>
    <x v="51"/>
    <x v="5"/>
    <x v="2"/>
    <x v="8"/>
    <x v="17"/>
    <x v="2"/>
    <x v="48"/>
    <x v="102"/>
    <x v="232"/>
    <x v="54"/>
    <x v="450"/>
    <x v="238"/>
    <x v="1"/>
    <x v="12"/>
    <x v="1"/>
    <x v="1"/>
    <x v="1"/>
    <x v="1"/>
    <x v="0"/>
    <x v="0"/>
    <x v="435"/>
    <x v="0"/>
    <x v="11"/>
    <x v="10"/>
  </r>
  <r>
    <x v="281"/>
    <x v="211"/>
    <x v="176"/>
    <x v="91"/>
    <x v="39"/>
    <x v="0"/>
    <x v="0"/>
    <x v="12"/>
    <x v="29"/>
    <x v="3"/>
    <x v="27"/>
    <x v="90"/>
    <x v="126"/>
    <x v="43"/>
    <x v="149"/>
    <x v="87"/>
    <x v="0"/>
    <x v="5"/>
    <x v="0"/>
    <x v="1"/>
    <x v="0"/>
    <x v="1"/>
    <x v="0"/>
    <x v="1"/>
    <x v="0"/>
    <x v="0"/>
    <x v="11"/>
    <x v="10"/>
  </r>
  <r>
    <x v="282"/>
    <x v="14"/>
    <x v="76"/>
    <x v="4"/>
    <x v="66"/>
    <x v="3"/>
    <x v="0"/>
    <x v="14"/>
    <x v="31"/>
    <x v="0"/>
    <x v="33"/>
    <x v="0"/>
    <x v="181"/>
    <x v="47"/>
    <x v="319"/>
    <x v="185"/>
    <x v="3"/>
    <x v="15"/>
    <x v="0"/>
    <x v="1"/>
    <x v="3"/>
    <x v="1"/>
    <x v="0"/>
    <x v="0"/>
    <x v="0"/>
    <x v="0"/>
    <x v="11"/>
    <x v="10"/>
  </r>
  <r>
    <x v="283"/>
    <x v="35"/>
    <x v="26"/>
    <x v="36"/>
    <x v="63"/>
    <x v="5"/>
    <x v="0"/>
    <x v="10"/>
    <x v="20"/>
    <x v="2"/>
    <x v="20"/>
    <x v="50"/>
    <x v="104"/>
    <x v="29"/>
    <x v="193"/>
    <x v="237"/>
    <x v="1"/>
    <x v="17"/>
    <x v="1"/>
    <x v="1"/>
    <x v="1"/>
    <x v="1"/>
    <x v="0"/>
    <x v="3"/>
    <x v="187"/>
    <x v="0"/>
    <x v="11"/>
    <x v="10"/>
  </r>
  <r>
    <x v="284"/>
    <x v="100"/>
    <x v="29"/>
    <x v="78"/>
    <x v="1"/>
    <x v="2"/>
    <x v="0"/>
    <x v="9"/>
    <x v="20"/>
    <x v="1"/>
    <x v="16"/>
    <x v="18"/>
    <x v="92"/>
    <x v="29"/>
    <x v="157"/>
    <x v="202"/>
    <x v="2"/>
    <x v="13"/>
    <x v="1"/>
    <x v="0"/>
    <x v="2"/>
    <x v="1"/>
    <x v="0"/>
    <x v="2"/>
    <x v="151"/>
    <x v="0"/>
    <x v="11"/>
    <x v="10"/>
  </r>
  <r>
    <x v="285"/>
    <x v="167"/>
    <x v="79"/>
    <x v="27"/>
    <x v="78"/>
    <x v="4"/>
    <x v="1"/>
    <x v="19"/>
    <x v="38"/>
    <x v="3"/>
    <x v="78"/>
    <x v="192"/>
    <x v="338"/>
    <x v="84"/>
    <x v="534"/>
    <x v="113"/>
    <x v="4"/>
    <x v="6"/>
    <x v="1"/>
    <x v="2"/>
    <x v="2"/>
    <x v="1"/>
    <x v="0"/>
    <x v="3"/>
    <x v="511"/>
    <x v="0"/>
    <x v="11"/>
    <x v="10"/>
  </r>
  <r>
    <x v="286"/>
    <x v="164"/>
    <x v="208"/>
    <x v="18"/>
    <x v="71"/>
    <x v="4"/>
    <x v="0"/>
    <x v="20"/>
    <x v="40"/>
    <x v="3"/>
    <x v="54"/>
    <x v="146"/>
    <x v="238"/>
    <x v="67"/>
    <x v="352"/>
    <x v="88"/>
    <x v="3"/>
    <x v="7"/>
    <x v="1"/>
    <x v="2"/>
    <x v="3"/>
    <x v="1"/>
    <x v="0"/>
    <x v="4"/>
    <x v="0"/>
    <x v="0"/>
    <x v="11"/>
    <x v="10"/>
  </r>
  <r>
    <x v="287"/>
    <x v="186"/>
    <x v="159"/>
    <x v="28"/>
    <x v="73"/>
    <x v="4"/>
    <x v="1"/>
    <x v="3"/>
    <x v="5"/>
    <x v="1"/>
    <x v="13"/>
    <x v="15"/>
    <x v="77"/>
    <x v="17"/>
    <x v="192"/>
    <x v="332"/>
    <x v="1"/>
    <x v="14"/>
    <x v="0"/>
    <x v="1"/>
    <x v="1"/>
    <x v="1"/>
    <x v="0"/>
    <x v="4"/>
    <x v="186"/>
    <x v="0"/>
    <x v="11"/>
    <x v="10"/>
  </r>
  <r>
    <x v="288"/>
    <x v="145"/>
    <x v="66"/>
    <x v="58"/>
    <x v="5"/>
    <x v="1"/>
    <x v="0"/>
    <x v="9"/>
    <x v="20"/>
    <x v="4"/>
    <x v="16"/>
    <x v="83"/>
    <x v="75"/>
    <x v="29"/>
    <x v="87"/>
    <x v="104"/>
    <x v="2"/>
    <x v="17"/>
    <x v="2"/>
    <x v="1"/>
    <x v="2"/>
    <x v="1"/>
    <x v="0"/>
    <x v="2"/>
    <x v="86"/>
    <x v="0"/>
    <x v="11"/>
    <x v="10"/>
  </r>
  <r>
    <x v="289"/>
    <x v="154"/>
    <x v="63"/>
    <x v="37"/>
    <x v="51"/>
    <x v="5"/>
    <x v="4"/>
    <x v="8"/>
    <x v="17"/>
    <x v="1"/>
    <x v="68"/>
    <x v="89"/>
    <x v="322"/>
    <x v="71"/>
    <x v="598"/>
    <x v="265"/>
    <x v="4"/>
    <x v="8"/>
    <x v="1"/>
    <x v="2"/>
    <x v="2"/>
    <x v="1"/>
    <x v="0"/>
    <x v="0"/>
    <x v="573"/>
    <x v="0"/>
    <x v="11"/>
    <x v="10"/>
  </r>
  <r>
    <x v="290"/>
    <x v="16"/>
    <x v="197"/>
    <x v="1"/>
    <x v="9"/>
    <x v="3"/>
    <x v="3"/>
    <x v="17"/>
    <x v="36"/>
    <x v="1"/>
    <x v="96"/>
    <x v="145"/>
    <x v="413"/>
    <x v="108"/>
    <x v="658"/>
    <x v="131"/>
    <x v="3"/>
    <x v="19"/>
    <x v="0"/>
    <x v="1"/>
    <x v="3"/>
    <x v="2"/>
    <x v="0"/>
    <x v="0"/>
    <x v="0"/>
    <x v="0"/>
    <x v="11"/>
    <x v="10"/>
  </r>
  <r>
    <x v="291"/>
    <x v="146"/>
    <x v="141"/>
    <x v="33"/>
    <x v="87"/>
    <x v="5"/>
    <x v="3"/>
    <x v="11"/>
    <x v="23"/>
    <x v="5"/>
    <x v="76"/>
    <x v="221"/>
    <x v="315"/>
    <x v="80"/>
    <x v="500"/>
    <x v="111"/>
    <x v="1"/>
    <x v="8"/>
    <x v="1"/>
    <x v="1"/>
    <x v="1"/>
    <x v="1"/>
    <x v="0"/>
    <x v="0"/>
    <x v="479"/>
    <x v="0"/>
    <x v="11"/>
    <x v="10"/>
  </r>
  <r>
    <x v="292"/>
    <x v="294"/>
    <x v="292"/>
    <x v="1"/>
    <x v="9"/>
    <x v="3"/>
    <x v="0"/>
    <x v="17"/>
    <x v="36"/>
    <x v="0"/>
    <x v="42"/>
    <x v="0"/>
    <x v="217"/>
    <x v="57"/>
    <x v="370"/>
    <x v="161"/>
    <x v="4"/>
    <x v="2"/>
    <x v="1"/>
    <x v="2"/>
    <x v="2"/>
    <x v="1"/>
    <x v="0"/>
    <x v="4"/>
    <x v="356"/>
    <x v="0"/>
    <x v="11"/>
    <x v="10"/>
  </r>
  <r>
    <x v="293"/>
    <x v="254"/>
    <x v="291"/>
    <x v="33"/>
    <x v="87"/>
    <x v="5"/>
    <x v="1"/>
    <x v="11"/>
    <x v="23"/>
    <x v="3"/>
    <x v="49"/>
    <x v="137"/>
    <x v="224"/>
    <x v="56"/>
    <x v="394"/>
    <x v="181"/>
    <x v="1"/>
    <x v="9"/>
    <x v="1"/>
    <x v="1"/>
    <x v="1"/>
    <x v="1"/>
    <x v="0"/>
    <x v="0"/>
    <x v="380"/>
    <x v="0"/>
    <x v="11"/>
    <x v="10"/>
  </r>
  <r>
    <x v="294"/>
    <x v="102"/>
    <x v="165"/>
    <x v="76"/>
    <x v="64"/>
    <x v="2"/>
    <x v="1"/>
    <x v="4"/>
    <x v="8"/>
    <x v="4"/>
    <x v="15"/>
    <x v="82"/>
    <x v="74"/>
    <x v="21"/>
    <x v="146"/>
    <x v="259"/>
    <x v="1"/>
    <x v="10"/>
    <x v="1"/>
    <x v="0"/>
    <x v="1"/>
    <x v="1"/>
    <x v="0"/>
    <x v="3"/>
    <x v="140"/>
    <x v="0"/>
    <x v="11"/>
    <x v="10"/>
  </r>
  <r>
    <x v="295"/>
    <x v="121"/>
    <x v="122"/>
    <x v="61"/>
    <x v="76"/>
    <x v="6"/>
    <x v="0"/>
    <x v="2"/>
    <x v="3"/>
    <x v="0"/>
    <x v="2"/>
    <x v="0"/>
    <x v="18"/>
    <x v="3"/>
    <x v="47"/>
    <x v="340"/>
    <x v="1"/>
    <x v="8"/>
    <x v="1"/>
    <x v="0"/>
    <x v="1"/>
    <x v="1"/>
    <x v="0"/>
    <x v="0"/>
    <x v="47"/>
    <x v="0"/>
    <x v="11"/>
    <x v="10"/>
  </r>
  <r>
    <x v="296"/>
    <x v="141"/>
    <x v="72"/>
    <x v="42"/>
    <x v="47"/>
    <x v="5"/>
    <x v="0"/>
    <x v="15"/>
    <x v="32"/>
    <x v="0"/>
    <x v="35"/>
    <x v="0"/>
    <x v="195"/>
    <x v="50"/>
    <x v="350"/>
    <x v="187"/>
    <x v="1"/>
    <x v="11"/>
    <x v="1"/>
    <x v="2"/>
    <x v="1"/>
    <x v="1"/>
    <x v="0"/>
    <x v="4"/>
    <x v="337"/>
    <x v="0"/>
    <x v="11"/>
    <x v="10"/>
  </r>
  <r>
    <x v="297"/>
    <x v="196"/>
    <x v="259"/>
    <x v="99"/>
    <x v="16"/>
    <x v="0"/>
    <x v="0"/>
    <x v="22"/>
    <x v="46"/>
    <x v="2"/>
    <x v="63"/>
    <x v="133"/>
    <x v="289"/>
    <x v="78"/>
    <x v="371"/>
    <x v="46"/>
    <x v="4"/>
    <x v="14"/>
    <x v="1"/>
    <x v="1"/>
    <x v="2"/>
    <x v="1"/>
    <x v="0"/>
    <x v="3"/>
    <x v="357"/>
    <x v="0"/>
    <x v="11"/>
    <x v="10"/>
  </r>
  <r>
    <x v="298"/>
    <x v="101"/>
    <x v="37"/>
    <x v="15"/>
    <x v="14"/>
    <x v="4"/>
    <x v="1"/>
    <x v="7"/>
    <x v="15"/>
    <x v="4"/>
    <x v="26"/>
    <x v="110"/>
    <x v="118"/>
    <x v="35"/>
    <x v="187"/>
    <x v="178"/>
    <x v="1"/>
    <x v="15"/>
    <x v="1"/>
    <x v="1"/>
    <x v="1"/>
    <x v="1"/>
    <x v="0"/>
    <x v="3"/>
    <x v="181"/>
    <x v="0"/>
    <x v="11"/>
    <x v="10"/>
  </r>
  <r>
    <x v="299"/>
    <x v="254"/>
    <x v="237"/>
    <x v="93"/>
    <x v="70"/>
    <x v="0"/>
    <x v="0"/>
    <x v="20"/>
    <x v="42"/>
    <x v="0"/>
    <x v="54"/>
    <x v="0"/>
    <x v="269"/>
    <x v="69"/>
    <x v="419"/>
    <x v="110"/>
    <x v="1"/>
    <x v="19"/>
    <x v="1"/>
    <x v="2"/>
    <x v="1"/>
    <x v="1"/>
    <x v="0"/>
    <x v="0"/>
    <x v="404"/>
    <x v="0"/>
    <x v="11"/>
    <x v="10"/>
  </r>
  <r>
    <x v="300"/>
    <x v="176"/>
    <x v="257"/>
    <x v="25"/>
    <x v="84"/>
    <x v="4"/>
    <x v="0"/>
    <x v="10"/>
    <x v="18"/>
    <x v="3"/>
    <x v="20"/>
    <x v="73"/>
    <x v="97"/>
    <x v="24"/>
    <x v="202"/>
    <x v="278"/>
    <x v="1"/>
    <x v="19"/>
    <x v="1"/>
    <x v="1"/>
    <x v="1"/>
    <x v="1"/>
    <x v="0"/>
    <x v="0"/>
    <x v="195"/>
    <x v="0"/>
    <x v="11"/>
    <x v="10"/>
  </r>
  <r>
    <x v="301"/>
    <x v="71"/>
    <x v="60"/>
    <x v="42"/>
    <x v="47"/>
    <x v="5"/>
    <x v="0"/>
    <x v="15"/>
    <x v="32"/>
    <x v="0"/>
    <x v="35"/>
    <x v="0"/>
    <x v="195"/>
    <x v="50"/>
    <x v="350"/>
    <x v="187"/>
    <x v="1"/>
    <x v="6"/>
    <x v="0"/>
    <x v="0"/>
    <x v="1"/>
    <x v="1"/>
    <x v="0"/>
    <x v="0"/>
    <x v="337"/>
    <x v="0"/>
    <x v="11"/>
    <x v="10"/>
  </r>
  <r>
    <x v="302"/>
    <x v="16"/>
    <x v="151"/>
    <x v="37"/>
    <x v="51"/>
    <x v="5"/>
    <x v="0"/>
    <x v="8"/>
    <x v="17"/>
    <x v="3"/>
    <x v="14"/>
    <x v="55"/>
    <x v="70"/>
    <x v="21"/>
    <x v="116"/>
    <x v="215"/>
    <x v="3"/>
    <x v="9"/>
    <x v="1"/>
    <x v="1"/>
    <x v="3"/>
    <x v="1"/>
    <x v="0"/>
    <x v="0"/>
    <x v="0"/>
    <x v="0"/>
    <x v="11"/>
    <x v="10"/>
  </r>
  <r>
    <x v="303"/>
    <x v="118"/>
    <x v="207"/>
    <x v="88"/>
    <x v="57"/>
    <x v="0"/>
    <x v="0"/>
    <x v="22"/>
    <x v="45"/>
    <x v="3"/>
    <x v="63"/>
    <x v="163"/>
    <x v="278"/>
    <x v="76"/>
    <x v="332"/>
    <x v="37"/>
    <x v="0"/>
    <x v="13"/>
    <x v="1"/>
    <x v="1"/>
    <x v="0"/>
    <x v="1"/>
    <x v="0"/>
    <x v="1"/>
    <x v="0"/>
    <x v="0"/>
    <x v="11"/>
    <x v="10"/>
  </r>
  <r>
    <x v="304"/>
    <x v="109"/>
    <x v="77"/>
    <x v="66"/>
    <x v="13"/>
    <x v="6"/>
    <x v="0"/>
    <x v="8"/>
    <x v="16"/>
    <x v="1"/>
    <x v="14"/>
    <x v="16"/>
    <x v="78"/>
    <x v="20"/>
    <x v="162"/>
    <x v="281"/>
    <x v="1"/>
    <x v="5"/>
    <x v="1"/>
    <x v="0"/>
    <x v="1"/>
    <x v="1"/>
    <x v="0"/>
    <x v="0"/>
    <x v="156"/>
    <x v="0"/>
    <x v="11"/>
    <x v="10"/>
  </r>
  <r>
    <x v="305"/>
    <x v="189"/>
    <x v="35"/>
    <x v="86"/>
    <x v="11"/>
    <x v="2"/>
    <x v="0"/>
    <x v="6"/>
    <x v="14"/>
    <x v="2"/>
    <x v="9"/>
    <x v="25"/>
    <x v="53"/>
    <x v="17"/>
    <x v="79"/>
    <x v="231"/>
    <x v="4"/>
    <x v="3"/>
    <x v="0"/>
    <x v="1"/>
    <x v="2"/>
    <x v="1"/>
    <x v="0"/>
    <x v="3"/>
    <x v="78"/>
    <x v="0"/>
    <x v="11"/>
    <x v="10"/>
  </r>
  <r>
    <x v="306"/>
    <x v="316"/>
    <x v="156"/>
    <x v="76"/>
    <x v="64"/>
    <x v="2"/>
    <x v="2"/>
    <x v="4"/>
    <x v="8"/>
    <x v="2"/>
    <x v="28"/>
    <x v="64"/>
    <x v="140"/>
    <x v="32"/>
    <x v="322"/>
    <x v="300"/>
    <x v="1"/>
    <x v="5"/>
    <x v="0"/>
    <x v="0"/>
    <x v="1"/>
    <x v="1"/>
    <x v="0"/>
    <x v="0"/>
    <x v="310"/>
    <x v="0"/>
    <x v="11"/>
    <x v="10"/>
  </r>
  <r>
    <x v="307"/>
    <x v="187"/>
    <x v="130"/>
    <x v="54"/>
    <x v="61"/>
    <x v="1"/>
    <x v="2"/>
    <x v="12"/>
    <x v="27"/>
    <x v="3"/>
    <x v="69"/>
    <x v="175"/>
    <x v="308"/>
    <x v="75"/>
    <x v="509"/>
    <x v="139"/>
    <x v="1"/>
    <x v="11"/>
    <x v="1"/>
    <x v="1"/>
    <x v="1"/>
    <x v="1"/>
    <x v="0"/>
    <x v="3"/>
    <x v="487"/>
    <x v="0"/>
    <x v="11"/>
    <x v="10"/>
  </r>
  <r>
    <x v="308"/>
    <x v="214"/>
    <x v="183"/>
    <x v="12"/>
    <x v="56"/>
    <x v="3"/>
    <x v="4"/>
    <x v="9"/>
    <x v="22"/>
    <x v="2"/>
    <x v="74"/>
    <x v="154"/>
    <x v="341"/>
    <x v="87"/>
    <x v="530"/>
    <x v="95"/>
    <x v="1"/>
    <x v="12"/>
    <x v="0"/>
    <x v="0"/>
    <x v="1"/>
    <x v="1"/>
    <x v="0"/>
    <x v="0"/>
    <x v="507"/>
    <x v="0"/>
    <x v="11"/>
    <x v="10"/>
  </r>
  <r>
    <x v="309"/>
    <x v="103"/>
    <x v="261"/>
    <x v="11"/>
    <x v="15"/>
    <x v="3"/>
    <x v="0"/>
    <x v="8"/>
    <x v="17"/>
    <x v="4"/>
    <x v="14"/>
    <x v="72"/>
    <x v="66"/>
    <x v="21"/>
    <x v="94"/>
    <x v="184"/>
    <x v="1"/>
    <x v="8"/>
    <x v="2"/>
    <x v="0"/>
    <x v="1"/>
    <x v="1"/>
    <x v="0"/>
    <x v="0"/>
    <x v="92"/>
    <x v="0"/>
    <x v="11"/>
    <x v="10"/>
  </r>
  <r>
    <x v="310"/>
    <x v="145"/>
    <x v="227"/>
    <x v="55"/>
    <x v="37"/>
    <x v="1"/>
    <x v="1"/>
    <x v="15"/>
    <x v="34"/>
    <x v="4"/>
    <x v="64"/>
    <x v="187"/>
    <x v="276"/>
    <x v="75"/>
    <x v="334"/>
    <x v="42"/>
    <x v="1"/>
    <x v="13"/>
    <x v="0"/>
    <x v="2"/>
    <x v="1"/>
    <x v="1"/>
    <x v="0"/>
    <x v="3"/>
    <x v="322"/>
    <x v="0"/>
    <x v="11"/>
    <x v="10"/>
  </r>
  <r>
    <x v="311"/>
    <x v="181"/>
    <x v="282"/>
    <x v="43"/>
    <x v="25"/>
    <x v="5"/>
    <x v="3"/>
    <x v="3"/>
    <x v="5"/>
    <x v="1"/>
    <x v="30"/>
    <x v="33"/>
    <x v="169"/>
    <x v="33"/>
    <x v="413"/>
    <x v="332"/>
    <x v="1"/>
    <x v="4"/>
    <x v="0"/>
    <x v="1"/>
    <x v="1"/>
    <x v="1"/>
    <x v="0"/>
    <x v="4"/>
    <x v="398"/>
    <x v="0"/>
    <x v="11"/>
    <x v="10"/>
  </r>
  <r>
    <x v="312"/>
    <x v="112"/>
    <x v="106"/>
    <x v="41"/>
    <x v="6"/>
    <x v="5"/>
    <x v="3"/>
    <x v="10"/>
    <x v="21"/>
    <x v="3"/>
    <x v="71"/>
    <x v="180"/>
    <x v="318"/>
    <x v="73"/>
    <x v="556"/>
    <x v="198"/>
    <x v="1"/>
    <x v="10"/>
    <x v="1"/>
    <x v="1"/>
    <x v="1"/>
    <x v="1"/>
    <x v="0"/>
    <x v="0"/>
    <x v="533"/>
    <x v="0"/>
    <x v="11"/>
    <x v="10"/>
  </r>
  <r>
    <x v="313"/>
    <x v="319"/>
    <x v="271"/>
    <x v="58"/>
    <x v="5"/>
    <x v="1"/>
    <x v="0"/>
    <x v="9"/>
    <x v="20"/>
    <x v="0"/>
    <x v="16"/>
    <x v="0"/>
    <x v="99"/>
    <x v="29"/>
    <x v="178"/>
    <x v="224"/>
    <x v="1"/>
    <x v="9"/>
    <x v="0"/>
    <x v="1"/>
    <x v="1"/>
    <x v="1"/>
    <x v="0"/>
    <x v="0"/>
    <x v="172"/>
    <x v="0"/>
    <x v="11"/>
    <x v="10"/>
  </r>
  <r>
    <x v="314"/>
    <x v="67"/>
    <x v="242"/>
    <x v="20"/>
    <x v="40"/>
    <x v="4"/>
    <x v="0"/>
    <x v="17"/>
    <x v="32"/>
    <x v="2"/>
    <x v="42"/>
    <x v="91"/>
    <x v="202"/>
    <x v="50"/>
    <x v="371"/>
    <x v="212"/>
    <x v="4"/>
    <x v="4"/>
    <x v="0"/>
    <x v="1"/>
    <x v="2"/>
    <x v="1"/>
    <x v="0"/>
    <x v="0"/>
    <x v="357"/>
    <x v="0"/>
    <x v="11"/>
    <x v="10"/>
  </r>
  <r>
    <x v="315"/>
    <x v="41"/>
    <x v="167"/>
    <x v="87"/>
    <x v="26"/>
    <x v="0"/>
    <x v="2"/>
    <x v="15"/>
    <x v="34"/>
    <x v="2"/>
    <x v="79"/>
    <x v="164"/>
    <x v="359"/>
    <x v="92"/>
    <x v="551"/>
    <x v="91"/>
    <x v="4"/>
    <x v="13"/>
    <x v="1"/>
    <x v="1"/>
    <x v="2"/>
    <x v="1"/>
    <x v="0"/>
    <x v="4"/>
    <x v="528"/>
    <x v="0"/>
    <x v="11"/>
    <x v="10"/>
  </r>
  <r>
    <x v="316"/>
    <x v="296"/>
    <x v="147"/>
    <x v="25"/>
    <x v="84"/>
    <x v="4"/>
    <x v="0"/>
    <x v="10"/>
    <x v="18"/>
    <x v="1"/>
    <x v="20"/>
    <x v="22"/>
    <x v="111"/>
    <x v="24"/>
    <x v="260"/>
    <x v="311"/>
    <x v="3"/>
    <x v="13"/>
    <x v="1"/>
    <x v="1"/>
    <x v="3"/>
    <x v="1"/>
    <x v="0"/>
    <x v="0"/>
    <x v="0"/>
    <x v="0"/>
    <x v="11"/>
    <x v="10"/>
  </r>
  <r>
    <x v="317"/>
    <x v="185"/>
    <x v="12"/>
    <x v="83"/>
    <x v="96"/>
    <x v="2"/>
    <x v="1"/>
    <x v="10"/>
    <x v="23"/>
    <x v="2"/>
    <x v="44"/>
    <x v="94"/>
    <x v="212"/>
    <x v="56"/>
    <x v="346"/>
    <x v="146"/>
    <x v="1"/>
    <x v="11"/>
    <x v="1"/>
    <x v="0"/>
    <x v="1"/>
    <x v="1"/>
    <x v="0"/>
    <x v="3"/>
    <x v="333"/>
    <x v="0"/>
    <x v="11"/>
    <x v="10"/>
  </r>
  <r>
    <x v="318"/>
    <x v="83"/>
    <x v="138"/>
    <x v="81"/>
    <x v="31"/>
    <x v="2"/>
    <x v="1"/>
    <x v="2"/>
    <x v="4"/>
    <x v="2"/>
    <x v="10"/>
    <x v="28"/>
    <x v="58"/>
    <x v="14"/>
    <x v="128"/>
    <x v="305"/>
    <x v="0"/>
    <x v="6"/>
    <x v="1"/>
    <x v="0"/>
    <x v="0"/>
    <x v="1"/>
    <x v="0"/>
    <x v="1"/>
    <x v="0"/>
    <x v="0"/>
    <x v="11"/>
    <x v="10"/>
  </r>
  <r>
    <x v="319"/>
    <x v="17"/>
    <x v="208"/>
    <x v="80"/>
    <x v="82"/>
    <x v="2"/>
    <x v="2"/>
    <x v="0"/>
    <x v="0"/>
    <x v="3"/>
    <x v="8"/>
    <x v="39"/>
    <x v="46"/>
    <x v="9"/>
    <x v="110"/>
    <x v="331"/>
    <x v="2"/>
    <x v="7"/>
    <x v="1"/>
    <x v="0"/>
    <x v="2"/>
    <x v="1"/>
    <x v="0"/>
    <x v="2"/>
    <x v="106"/>
    <x v="0"/>
    <x v="11"/>
    <x v="10"/>
  </r>
  <r>
    <x v="320"/>
    <x v="129"/>
    <x v="222"/>
    <x v="21"/>
    <x v="93"/>
    <x v="4"/>
    <x v="0"/>
    <x v="7"/>
    <x v="14"/>
    <x v="1"/>
    <x v="11"/>
    <x v="12"/>
    <x v="64"/>
    <x v="17"/>
    <x v="132"/>
    <x v="295"/>
    <x v="1"/>
    <x v="4"/>
    <x v="1"/>
    <x v="2"/>
    <x v="1"/>
    <x v="1"/>
    <x v="0"/>
    <x v="3"/>
    <x v="127"/>
    <x v="0"/>
    <x v="11"/>
    <x v="10"/>
  </r>
  <r>
    <x v="321"/>
    <x v="108"/>
    <x v="235"/>
    <x v="98"/>
    <x v="72"/>
    <x v="0"/>
    <x v="0"/>
    <x v="15"/>
    <x v="34"/>
    <x v="2"/>
    <x v="35"/>
    <x v="78"/>
    <x v="174"/>
    <x v="52"/>
    <x v="227"/>
    <x v="91"/>
    <x v="1"/>
    <x v="15"/>
    <x v="1"/>
    <x v="2"/>
    <x v="1"/>
    <x v="1"/>
    <x v="0"/>
    <x v="4"/>
    <x v="219"/>
    <x v="0"/>
    <x v="11"/>
    <x v="10"/>
  </r>
  <r>
    <x v="322"/>
    <x v="324"/>
    <x v="97"/>
    <x v="54"/>
    <x v="61"/>
    <x v="1"/>
    <x v="0"/>
    <x v="12"/>
    <x v="27"/>
    <x v="4"/>
    <x v="27"/>
    <x v="112"/>
    <x v="120"/>
    <x v="39"/>
    <x v="150"/>
    <x v="105"/>
    <x v="1"/>
    <x v="5"/>
    <x v="2"/>
    <x v="0"/>
    <x v="1"/>
    <x v="1"/>
    <x v="0"/>
    <x v="4"/>
    <x v="144"/>
    <x v="0"/>
    <x v="11"/>
    <x v="10"/>
  </r>
  <r>
    <x v="323"/>
    <x v="4"/>
    <x v="39"/>
    <x v="11"/>
    <x v="15"/>
    <x v="3"/>
    <x v="0"/>
    <x v="8"/>
    <x v="17"/>
    <x v="1"/>
    <x v="14"/>
    <x v="16"/>
    <x v="78"/>
    <x v="21"/>
    <x v="154"/>
    <x v="265"/>
    <x v="1"/>
    <x v="19"/>
    <x v="1"/>
    <x v="2"/>
    <x v="1"/>
    <x v="1"/>
    <x v="0"/>
    <x v="0"/>
    <x v="148"/>
    <x v="0"/>
    <x v="11"/>
    <x v="10"/>
  </r>
  <r>
    <x v="324"/>
    <x v="354"/>
    <x v="71"/>
    <x v="29"/>
    <x v="34"/>
    <x v="4"/>
    <x v="1"/>
    <x v="21"/>
    <x v="43"/>
    <x v="5"/>
    <x v="88"/>
    <x v="233"/>
    <x v="356"/>
    <x v="96"/>
    <x v="453"/>
    <x v="24"/>
    <x v="1"/>
    <x v="16"/>
    <x v="1"/>
    <x v="1"/>
    <x v="1"/>
    <x v="1"/>
    <x v="0"/>
    <x v="4"/>
    <x v="438"/>
    <x v="0"/>
    <x v="11"/>
    <x v="10"/>
  </r>
  <r>
    <x v="325"/>
    <x v="99"/>
    <x v="190"/>
    <x v="71"/>
    <x v="88"/>
    <x v="6"/>
    <x v="2"/>
    <x v="5"/>
    <x v="10"/>
    <x v="1"/>
    <x v="31"/>
    <x v="34"/>
    <x v="170"/>
    <x v="37"/>
    <x v="374"/>
    <x v="293"/>
    <x v="1"/>
    <x v="11"/>
    <x v="0"/>
    <x v="0"/>
    <x v="1"/>
    <x v="1"/>
    <x v="0"/>
    <x v="4"/>
    <x v="360"/>
    <x v="0"/>
    <x v="11"/>
    <x v="10"/>
  </r>
  <r>
    <x v="326"/>
    <x v="150"/>
    <x v="73"/>
    <x v="75"/>
    <x v="23"/>
    <x v="2"/>
    <x v="0"/>
    <x v="5"/>
    <x v="11"/>
    <x v="0"/>
    <x v="7"/>
    <x v="0"/>
    <x v="50"/>
    <x v="13"/>
    <x v="97"/>
    <x v="289"/>
    <x v="1"/>
    <x v="9"/>
    <x v="0"/>
    <x v="0"/>
    <x v="1"/>
    <x v="1"/>
    <x v="0"/>
    <x v="4"/>
    <x v="95"/>
    <x v="0"/>
    <x v="11"/>
    <x v="10"/>
  </r>
  <r>
    <x v="327"/>
    <x v="213"/>
    <x v="139"/>
    <x v="48"/>
    <x v="28"/>
    <x v="1"/>
    <x v="0"/>
    <x v="3"/>
    <x v="7"/>
    <x v="2"/>
    <x v="4"/>
    <x v="15"/>
    <x v="23"/>
    <x v="7"/>
    <x v="32"/>
    <x v="273"/>
    <x v="1"/>
    <x v="14"/>
    <x v="2"/>
    <x v="2"/>
    <x v="1"/>
    <x v="1"/>
    <x v="0"/>
    <x v="4"/>
    <x v="33"/>
    <x v="0"/>
    <x v="11"/>
    <x v="10"/>
  </r>
  <r>
    <x v="328"/>
    <x v="130"/>
    <x v="221"/>
    <x v="55"/>
    <x v="37"/>
    <x v="1"/>
    <x v="1"/>
    <x v="15"/>
    <x v="34"/>
    <x v="2"/>
    <x v="64"/>
    <x v="134"/>
    <x v="293"/>
    <x v="75"/>
    <x v="452"/>
    <x v="91"/>
    <x v="1"/>
    <x v="8"/>
    <x v="1"/>
    <x v="2"/>
    <x v="1"/>
    <x v="1"/>
    <x v="0"/>
    <x v="0"/>
    <x v="437"/>
    <x v="0"/>
    <x v="11"/>
    <x v="10"/>
  </r>
  <r>
    <x v="329"/>
    <x v="235"/>
    <x v="88"/>
    <x v="29"/>
    <x v="34"/>
    <x v="4"/>
    <x v="2"/>
    <x v="21"/>
    <x v="43"/>
    <x v="1"/>
    <x v="100"/>
    <x v="153"/>
    <x v="424"/>
    <x v="111"/>
    <x v="662"/>
    <x v="132"/>
    <x v="1"/>
    <x v="13"/>
    <x v="0"/>
    <x v="1"/>
    <x v="1"/>
    <x v="2"/>
    <x v="0"/>
    <x v="3"/>
    <x v="626"/>
    <x v="0"/>
    <x v="11"/>
    <x v="10"/>
  </r>
  <r>
    <x v="330"/>
    <x v="204"/>
    <x v="216"/>
    <x v="53"/>
    <x v="29"/>
    <x v="1"/>
    <x v="2"/>
    <x v="3"/>
    <x v="6"/>
    <x v="0"/>
    <x v="21"/>
    <x v="0"/>
    <x v="133"/>
    <x v="27"/>
    <x v="326"/>
    <x v="326"/>
    <x v="4"/>
    <x v="5"/>
    <x v="0"/>
    <x v="0"/>
    <x v="2"/>
    <x v="1"/>
    <x v="0"/>
    <x v="0"/>
    <x v="314"/>
    <x v="0"/>
    <x v="11"/>
    <x v="10"/>
  </r>
  <r>
    <x v="331"/>
    <x v="39"/>
    <x v="287"/>
    <x v="9"/>
    <x v="95"/>
    <x v="3"/>
    <x v="2"/>
    <x v="19"/>
    <x v="39"/>
    <x v="0"/>
    <x v="93"/>
    <x v="0"/>
    <x v="410"/>
    <x v="104"/>
    <x v="657"/>
    <x v="149"/>
    <x v="1"/>
    <x v="13"/>
    <x v="1"/>
    <x v="1"/>
    <x v="1"/>
    <x v="2"/>
    <x v="0"/>
    <x v="4"/>
    <x v="623"/>
    <x v="0"/>
    <x v="11"/>
    <x v="10"/>
  </r>
  <r>
    <x v="332"/>
    <x v="89"/>
    <x v="95"/>
    <x v="57"/>
    <x v="58"/>
    <x v="1"/>
    <x v="1"/>
    <x v="5"/>
    <x v="11"/>
    <x v="0"/>
    <x v="19"/>
    <x v="0"/>
    <x v="117"/>
    <x v="28"/>
    <x v="257"/>
    <x v="289"/>
    <x v="1"/>
    <x v="18"/>
    <x v="1"/>
    <x v="1"/>
    <x v="1"/>
    <x v="1"/>
    <x v="0"/>
    <x v="4"/>
    <x v="248"/>
    <x v="0"/>
    <x v="11"/>
    <x v="10"/>
  </r>
  <r>
    <x v="333"/>
    <x v="240"/>
    <x v="181"/>
    <x v="71"/>
    <x v="88"/>
    <x v="6"/>
    <x v="0"/>
    <x v="5"/>
    <x v="10"/>
    <x v="1"/>
    <x v="7"/>
    <x v="8"/>
    <x v="45"/>
    <x v="12"/>
    <x v="93"/>
    <x v="293"/>
    <x v="4"/>
    <x v="8"/>
    <x v="1"/>
    <x v="2"/>
    <x v="2"/>
    <x v="1"/>
    <x v="0"/>
    <x v="4"/>
    <x v="91"/>
    <x v="0"/>
    <x v="11"/>
    <x v="10"/>
  </r>
  <r>
    <x v="334"/>
    <x v="337"/>
    <x v="58"/>
    <x v="9"/>
    <x v="95"/>
    <x v="3"/>
    <x v="0"/>
    <x v="19"/>
    <x v="39"/>
    <x v="5"/>
    <x v="50"/>
    <x v="177"/>
    <x v="203"/>
    <x v="65"/>
    <x v="151"/>
    <x v="16"/>
    <x v="1"/>
    <x v="5"/>
    <x v="1"/>
    <x v="1"/>
    <x v="1"/>
    <x v="1"/>
    <x v="0"/>
    <x v="0"/>
    <x v="145"/>
    <x v="0"/>
    <x v="11"/>
    <x v="10"/>
  </r>
  <r>
    <x v="335"/>
    <x v="125"/>
    <x v="287"/>
    <x v="79"/>
    <x v="12"/>
    <x v="2"/>
    <x v="0"/>
    <x v="8"/>
    <x v="18"/>
    <x v="1"/>
    <x v="14"/>
    <x v="16"/>
    <x v="78"/>
    <x v="24"/>
    <x v="131"/>
    <x v="201"/>
    <x v="1"/>
    <x v="13"/>
    <x v="1"/>
    <x v="0"/>
    <x v="1"/>
    <x v="1"/>
    <x v="0"/>
    <x v="3"/>
    <x v="126"/>
    <x v="0"/>
    <x v="11"/>
    <x v="10"/>
  </r>
  <r>
    <x v="336"/>
    <x v="226"/>
    <x v="241"/>
    <x v="16"/>
    <x v="22"/>
    <x v="4"/>
    <x v="2"/>
    <x v="15"/>
    <x v="31"/>
    <x v="2"/>
    <x v="79"/>
    <x v="164"/>
    <x v="359"/>
    <x v="86"/>
    <x v="600"/>
    <x v="174"/>
    <x v="1"/>
    <x v="8"/>
    <x v="0"/>
    <x v="1"/>
    <x v="1"/>
    <x v="1"/>
    <x v="0"/>
    <x v="0"/>
    <x v="575"/>
    <x v="0"/>
    <x v="11"/>
    <x v="10"/>
  </r>
  <r>
    <x v="337"/>
    <x v="212"/>
    <x v="73"/>
    <x v="13"/>
    <x v="41"/>
    <x v="3"/>
    <x v="1"/>
    <x v="6"/>
    <x v="12"/>
    <x v="3"/>
    <x v="22"/>
    <x v="80"/>
    <x v="113"/>
    <x v="30"/>
    <x v="219"/>
    <x v="250"/>
    <x v="1"/>
    <x v="9"/>
    <x v="0"/>
    <x v="2"/>
    <x v="1"/>
    <x v="1"/>
    <x v="0"/>
    <x v="4"/>
    <x v="211"/>
    <x v="0"/>
    <x v="11"/>
    <x v="10"/>
  </r>
  <r>
    <x v="338"/>
    <x v="128"/>
    <x v="278"/>
    <x v="44"/>
    <x v="53"/>
    <x v="5"/>
    <x v="2"/>
    <x v="6"/>
    <x v="12"/>
    <x v="1"/>
    <x v="36"/>
    <x v="40"/>
    <x v="194"/>
    <x v="42"/>
    <x v="416"/>
    <x v="294"/>
    <x v="1"/>
    <x v="6"/>
    <x v="2"/>
    <x v="2"/>
    <x v="1"/>
    <x v="1"/>
    <x v="0"/>
    <x v="4"/>
    <x v="401"/>
    <x v="0"/>
    <x v="11"/>
    <x v="10"/>
  </r>
  <r>
    <x v="339"/>
    <x v="120"/>
    <x v="179"/>
    <x v="94"/>
    <x v="86"/>
    <x v="0"/>
    <x v="0"/>
    <x v="18"/>
    <x v="38"/>
    <x v="2"/>
    <x v="45"/>
    <x v="95"/>
    <x v="214"/>
    <x v="60"/>
    <x v="279"/>
    <x v="81"/>
    <x v="1"/>
    <x v="14"/>
    <x v="0"/>
    <x v="1"/>
    <x v="1"/>
    <x v="1"/>
    <x v="0"/>
    <x v="3"/>
    <x v="270"/>
    <x v="0"/>
    <x v="11"/>
    <x v="10"/>
  </r>
  <r>
    <x v="340"/>
    <x v="68"/>
    <x v="264"/>
    <x v="2"/>
    <x v="77"/>
    <x v="3"/>
    <x v="0"/>
    <x v="22"/>
    <x v="44"/>
    <x v="3"/>
    <x v="63"/>
    <x v="163"/>
    <x v="278"/>
    <x v="74"/>
    <x v="383"/>
    <x v="64"/>
    <x v="1"/>
    <x v="17"/>
    <x v="1"/>
    <x v="1"/>
    <x v="1"/>
    <x v="1"/>
    <x v="0"/>
    <x v="3"/>
    <x v="369"/>
    <x v="0"/>
    <x v="11"/>
    <x v="10"/>
  </r>
  <r>
    <x v="341"/>
    <x v="157"/>
    <x v="78"/>
    <x v="92"/>
    <x v="45"/>
    <x v="0"/>
    <x v="1"/>
    <x v="21"/>
    <x v="44"/>
    <x v="1"/>
    <x v="88"/>
    <x v="125"/>
    <x v="392"/>
    <x v="101"/>
    <x v="584"/>
    <x v="79"/>
    <x v="1"/>
    <x v="19"/>
    <x v="0"/>
    <x v="0"/>
    <x v="1"/>
    <x v="1"/>
    <x v="0"/>
    <x v="3"/>
    <x v="560"/>
    <x v="0"/>
    <x v="11"/>
    <x v="10"/>
  </r>
  <r>
    <x v="342"/>
    <x v="72"/>
    <x v="166"/>
    <x v="55"/>
    <x v="37"/>
    <x v="1"/>
    <x v="0"/>
    <x v="15"/>
    <x v="34"/>
    <x v="2"/>
    <x v="35"/>
    <x v="78"/>
    <x v="174"/>
    <x v="52"/>
    <x v="227"/>
    <x v="91"/>
    <x v="1"/>
    <x v="0"/>
    <x v="1"/>
    <x v="2"/>
    <x v="1"/>
    <x v="1"/>
    <x v="0"/>
    <x v="3"/>
    <x v="219"/>
    <x v="0"/>
    <x v="11"/>
    <x v="10"/>
  </r>
  <r>
    <x v="343"/>
    <x v="61"/>
    <x v="155"/>
    <x v="92"/>
    <x v="45"/>
    <x v="0"/>
    <x v="0"/>
    <x v="21"/>
    <x v="44"/>
    <x v="2"/>
    <x v="58"/>
    <x v="125"/>
    <x v="275"/>
    <x v="74"/>
    <x v="357"/>
    <x v="53"/>
    <x v="0"/>
    <x v="15"/>
    <x v="1"/>
    <x v="0"/>
    <x v="0"/>
    <x v="1"/>
    <x v="0"/>
    <x v="1"/>
    <x v="0"/>
    <x v="0"/>
    <x v="11"/>
    <x v="10"/>
  </r>
  <r>
    <x v="344"/>
    <x v="85"/>
    <x v="32"/>
    <x v="81"/>
    <x v="31"/>
    <x v="2"/>
    <x v="1"/>
    <x v="2"/>
    <x v="4"/>
    <x v="1"/>
    <x v="10"/>
    <x v="11"/>
    <x v="63"/>
    <x v="14"/>
    <x v="142"/>
    <x v="318"/>
    <x v="4"/>
    <x v="11"/>
    <x v="2"/>
    <x v="1"/>
    <x v="2"/>
    <x v="1"/>
    <x v="0"/>
    <x v="0"/>
    <x v="136"/>
    <x v="0"/>
    <x v="11"/>
    <x v="10"/>
  </r>
  <r>
    <x v="345"/>
    <x v="168"/>
    <x v="109"/>
    <x v="39"/>
    <x v="20"/>
    <x v="5"/>
    <x v="4"/>
    <x v="13"/>
    <x v="29"/>
    <x v="3"/>
    <x v="94"/>
    <x v="219"/>
    <x v="398"/>
    <x v="98"/>
    <x v="635"/>
    <x v="140"/>
    <x v="1"/>
    <x v="7"/>
    <x v="1"/>
    <x v="1"/>
    <x v="1"/>
    <x v="1"/>
    <x v="0"/>
    <x v="3"/>
    <x v="605"/>
    <x v="0"/>
    <x v="11"/>
    <x v="10"/>
  </r>
  <r>
    <x v="346"/>
    <x v="282"/>
    <x v="52"/>
    <x v="38"/>
    <x v="92"/>
    <x v="5"/>
    <x v="0"/>
    <x v="9"/>
    <x v="18"/>
    <x v="1"/>
    <x v="16"/>
    <x v="18"/>
    <x v="92"/>
    <x v="24"/>
    <x v="190"/>
    <x v="268"/>
    <x v="1"/>
    <x v="11"/>
    <x v="1"/>
    <x v="0"/>
    <x v="1"/>
    <x v="1"/>
    <x v="0"/>
    <x v="4"/>
    <x v="184"/>
    <x v="0"/>
    <x v="11"/>
    <x v="10"/>
  </r>
  <r>
    <x v="347"/>
    <x v="235"/>
    <x v="264"/>
    <x v="88"/>
    <x v="57"/>
    <x v="0"/>
    <x v="1"/>
    <x v="22"/>
    <x v="45"/>
    <x v="5"/>
    <x v="91"/>
    <x v="238"/>
    <x v="373"/>
    <x v="103"/>
    <x v="369"/>
    <x v="7"/>
    <x v="4"/>
    <x v="17"/>
    <x v="1"/>
    <x v="0"/>
    <x v="2"/>
    <x v="1"/>
    <x v="0"/>
    <x v="3"/>
    <x v="355"/>
    <x v="0"/>
    <x v="11"/>
    <x v="10"/>
  </r>
  <r>
    <x v="348"/>
    <x v="334"/>
    <x v="115"/>
    <x v="65"/>
    <x v="36"/>
    <x v="6"/>
    <x v="1"/>
    <x v="7"/>
    <x v="14"/>
    <x v="2"/>
    <x v="26"/>
    <x v="61"/>
    <x v="135"/>
    <x v="33"/>
    <x v="282"/>
    <x v="276"/>
    <x v="1"/>
    <x v="18"/>
    <x v="1"/>
    <x v="2"/>
    <x v="1"/>
    <x v="1"/>
    <x v="0"/>
    <x v="0"/>
    <x v="273"/>
    <x v="0"/>
    <x v="11"/>
    <x v="10"/>
  </r>
  <r>
    <x v="349"/>
    <x v="186"/>
    <x v="173"/>
    <x v="59"/>
    <x v="99"/>
    <x v="6"/>
    <x v="0"/>
    <x v="10"/>
    <x v="20"/>
    <x v="1"/>
    <x v="20"/>
    <x v="22"/>
    <x v="111"/>
    <x v="29"/>
    <x v="222"/>
    <x v="262"/>
    <x v="1"/>
    <x v="3"/>
    <x v="0"/>
    <x v="2"/>
    <x v="1"/>
    <x v="1"/>
    <x v="0"/>
    <x v="3"/>
    <x v="214"/>
    <x v="0"/>
    <x v="11"/>
    <x v="10"/>
  </r>
  <r>
    <x v="350"/>
    <x v="102"/>
    <x v="118"/>
    <x v="88"/>
    <x v="57"/>
    <x v="0"/>
    <x v="0"/>
    <x v="22"/>
    <x v="45"/>
    <x v="0"/>
    <x v="63"/>
    <x v="0"/>
    <x v="304"/>
    <x v="76"/>
    <x v="483"/>
    <x v="114"/>
    <x v="1"/>
    <x v="19"/>
    <x v="1"/>
    <x v="0"/>
    <x v="1"/>
    <x v="1"/>
    <x v="0"/>
    <x v="4"/>
    <x v="464"/>
    <x v="0"/>
    <x v="11"/>
    <x v="10"/>
  </r>
  <r>
    <x v="351"/>
    <x v="157"/>
    <x v="268"/>
    <x v="85"/>
    <x v="35"/>
    <x v="2"/>
    <x v="0"/>
    <x v="1"/>
    <x v="2"/>
    <x v="1"/>
    <x v="1"/>
    <x v="2"/>
    <x v="10"/>
    <x v="2"/>
    <x v="14"/>
    <x v="325"/>
    <x v="1"/>
    <x v="7"/>
    <x v="0"/>
    <x v="2"/>
    <x v="1"/>
    <x v="1"/>
    <x v="0"/>
    <x v="4"/>
    <x v="15"/>
    <x v="0"/>
    <x v="11"/>
    <x v="10"/>
  </r>
  <r>
    <x v="352"/>
    <x v="53"/>
    <x v="83"/>
    <x v="93"/>
    <x v="70"/>
    <x v="0"/>
    <x v="0"/>
    <x v="20"/>
    <x v="42"/>
    <x v="2"/>
    <x v="54"/>
    <x v="113"/>
    <x v="253"/>
    <x v="69"/>
    <x v="320"/>
    <x v="55"/>
    <x v="1"/>
    <x v="4"/>
    <x v="2"/>
    <x v="2"/>
    <x v="1"/>
    <x v="1"/>
    <x v="0"/>
    <x v="4"/>
    <x v="308"/>
    <x v="0"/>
    <x v="11"/>
    <x v="10"/>
  </r>
  <r>
    <x v="353"/>
    <x v="252"/>
    <x v="187"/>
    <x v="25"/>
    <x v="84"/>
    <x v="4"/>
    <x v="0"/>
    <x v="10"/>
    <x v="18"/>
    <x v="3"/>
    <x v="20"/>
    <x v="73"/>
    <x v="97"/>
    <x v="24"/>
    <x v="202"/>
    <x v="278"/>
    <x v="1"/>
    <x v="13"/>
    <x v="1"/>
    <x v="1"/>
    <x v="1"/>
    <x v="1"/>
    <x v="0"/>
    <x v="3"/>
    <x v="195"/>
    <x v="0"/>
    <x v="11"/>
    <x v="10"/>
  </r>
  <r>
    <x v="354"/>
    <x v="343"/>
    <x v="87"/>
    <x v="3"/>
    <x v="90"/>
    <x v="3"/>
    <x v="0"/>
    <x v="3"/>
    <x v="7"/>
    <x v="2"/>
    <x v="4"/>
    <x v="15"/>
    <x v="23"/>
    <x v="7"/>
    <x v="32"/>
    <x v="273"/>
    <x v="1"/>
    <x v="0"/>
    <x v="0"/>
    <x v="2"/>
    <x v="1"/>
    <x v="1"/>
    <x v="0"/>
    <x v="3"/>
    <x v="33"/>
    <x v="0"/>
    <x v="11"/>
    <x v="10"/>
  </r>
  <r>
    <x v="355"/>
    <x v="25"/>
    <x v="83"/>
    <x v="75"/>
    <x v="23"/>
    <x v="2"/>
    <x v="0"/>
    <x v="5"/>
    <x v="11"/>
    <x v="0"/>
    <x v="7"/>
    <x v="0"/>
    <x v="50"/>
    <x v="13"/>
    <x v="97"/>
    <x v="289"/>
    <x v="1"/>
    <x v="4"/>
    <x v="2"/>
    <x v="0"/>
    <x v="1"/>
    <x v="1"/>
    <x v="0"/>
    <x v="0"/>
    <x v="95"/>
    <x v="0"/>
    <x v="11"/>
    <x v="10"/>
  </r>
  <r>
    <x v="356"/>
    <x v="115"/>
    <x v="73"/>
    <x v="71"/>
    <x v="88"/>
    <x v="6"/>
    <x v="0"/>
    <x v="5"/>
    <x v="10"/>
    <x v="0"/>
    <x v="7"/>
    <x v="0"/>
    <x v="50"/>
    <x v="12"/>
    <x v="104"/>
    <x v="307"/>
    <x v="4"/>
    <x v="9"/>
    <x v="0"/>
    <x v="0"/>
    <x v="2"/>
    <x v="1"/>
    <x v="0"/>
    <x v="3"/>
    <x v="100"/>
    <x v="0"/>
    <x v="11"/>
    <x v="10"/>
  </r>
  <r>
    <x v="357"/>
    <x v="163"/>
    <x v="87"/>
    <x v="29"/>
    <x v="34"/>
    <x v="4"/>
    <x v="0"/>
    <x v="21"/>
    <x v="43"/>
    <x v="2"/>
    <x v="58"/>
    <x v="125"/>
    <x v="275"/>
    <x v="71"/>
    <x v="426"/>
    <x v="101"/>
    <x v="1"/>
    <x v="0"/>
    <x v="0"/>
    <x v="0"/>
    <x v="1"/>
    <x v="1"/>
    <x v="0"/>
    <x v="3"/>
    <x v="411"/>
    <x v="0"/>
    <x v="11"/>
    <x v="10"/>
  </r>
  <r>
    <x v="358"/>
    <x v="107"/>
    <x v="223"/>
    <x v="58"/>
    <x v="5"/>
    <x v="1"/>
    <x v="0"/>
    <x v="9"/>
    <x v="20"/>
    <x v="5"/>
    <x v="16"/>
    <x v="97"/>
    <x v="71"/>
    <x v="29"/>
    <x v="52"/>
    <x v="72"/>
    <x v="1"/>
    <x v="12"/>
    <x v="1"/>
    <x v="0"/>
    <x v="1"/>
    <x v="1"/>
    <x v="0"/>
    <x v="0"/>
    <x v="51"/>
    <x v="0"/>
    <x v="11"/>
    <x v="10"/>
  </r>
  <r>
    <x v="359"/>
    <x v="121"/>
    <x v="165"/>
    <x v="1"/>
    <x v="9"/>
    <x v="3"/>
    <x v="0"/>
    <x v="17"/>
    <x v="36"/>
    <x v="3"/>
    <x v="42"/>
    <x v="124"/>
    <x v="190"/>
    <x v="57"/>
    <x v="230"/>
    <x v="76"/>
    <x v="4"/>
    <x v="10"/>
    <x v="1"/>
    <x v="0"/>
    <x v="2"/>
    <x v="1"/>
    <x v="0"/>
    <x v="0"/>
    <x v="222"/>
    <x v="0"/>
    <x v="11"/>
    <x v="10"/>
  </r>
  <r>
    <x v="360"/>
    <x v="252"/>
    <x v="251"/>
    <x v="42"/>
    <x v="47"/>
    <x v="5"/>
    <x v="0"/>
    <x v="15"/>
    <x v="32"/>
    <x v="0"/>
    <x v="35"/>
    <x v="0"/>
    <x v="195"/>
    <x v="50"/>
    <x v="350"/>
    <x v="187"/>
    <x v="2"/>
    <x v="9"/>
    <x v="1"/>
    <x v="0"/>
    <x v="2"/>
    <x v="1"/>
    <x v="0"/>
    <x v="2"/>
    <x v="337"/>
    <x v="0"/>
    <x v="11"/>
    <x v="10"/>
  </r>
  <r>
    <x v="361"/>
    <x v="148"/>
    <x v="172"/>
    <x v="42"/>
    <x v="47"/>
    <x v="5"/>
    <x v="3"/>
    <x v="15"/>
    <x v="32"/>
    <x v="1"/>
    <x v="92"/>
    <x v="134"/>
    <x v="403"/>
    <x v="99"/>
    <x v="654"/>
    <x v="160"/>
    <x v="4"/>
    <x v="2"/>
    <x v="1"/>
    <x v="1"/>
    <x v="2"/>
    <x v="1"/>
    <x v="0"/>
    <x v="0"/>
    <x v="620"/>
    <x v="0"/>
    <x v="11"/>
    <x v="10"/>
  </r>
  <r>
    <x v="362"/>
    <x v="126"/>
    <x v="290"/>
    <x v="21"/>
    <x v="93"/>
    <x v="4"/>
    <x v="1"/>
    <x v="7"/>
    <x v="14"/>
    <x v="0"/>
    <x v="26"/>
    <x v="0"/>
    <x v="150"/>
    <x v="33"/>
    <x v="345"/>
    <x v="309"/>
    <x v="1"/>
    <x v="11"/>
    <x v="2"/>
    <x v="2"/>
    <x v="1"/>
    <x v="1"/>
    <x v="0"/>
    <x v="3"/>
    <x v="332"/>
    <x v="0"/>
    <x v="11"/>
    <x v="10"/>
  </r>
  <r>
    <x v="363"/>
    <x v="37"/>
    <x v="21"/>
    <x v="93"/>
    <x v="70"/>
    <x v="0"/>
    <x v="3"/>
    <x v="20"/>
    <x v="42"/>
    <x v="3"/>
    <x v="104"/>
    <x v="235"/>
    <x v="427"/>
    <x v="116"/>
    <x v="625"/>
    <x v="34"/>
    <x v="1"/>
    <x v="14"/>
    <x v="1"/>
    <x v="0"/>
    <x v="1"/>
    <x v="2"/>
    <x v="0"/>
    <x v="3"/>
    <x v="596"/>
    <x v="0"/>
    <x v="11"/>
    <x v="10"/>
  </r>
  <r>
    <x v="364"/>
    <x v="86"/>
    <x v="94"/>
    <x v="63"/>
    <x v="33"/>
    <x v="6"/>
    <x v="0"/>
    <x v="9"/>
    <x v="18"/>
    <x v="0"/>
    <x v="16"/>
    <x v="0"/>
    <x v="99"/>
    <x v="24"/>
    <x v="210"/>
    <x v="288"/>
    <x v="4"/>
    <x v="3"/>
    <x v="2"/>
    <x v="1"/>
    <x v="2"/>
    <x v="1"/>
    <x v="0"/>
    <x v="0"/>
    <x v="203"/>
    <x v="0"/>
    <x v="11"/>
    <x v="10"/>
  </r>
  <r>
    <x v="365"/>
    <x v="97"/>
    <x v="185"/>
    <x v="19"/>
    <x v="2"/>
    <x v="4"/>
    <x v="2"/>
    <x v="14"/>
    <x v="30"/>
    <x v="3"/>
    <x v="77"/>
    <x v="191"/>
    <x v="337"/>
    <x v="83"/>
    <x v="552"/>
    <x v="141"/>
    <x v="1"/>
    <x v="10"/>
    <x v="1"/>
    <x v="1"/>
    <x v="1"/>
    <x v="1"/>
    <x v="0"/>
    <x v="3"/>
    <x v="529"/>
    <x v="0"/>
    <x v="11"/>
    <x v="10"/>
  </r>
  <r>
    <x v="366"/>
    <x v="267"/>
    <x v="41"/>
    <x v="13"/>
    <x v="41"/>
    <x v="3"/>
    <x v="0"/>
    <x v="6"/>
    <x v="12"/>
    <x v="1"/>
    <x v="9"/>
    <x v="10"/>
    <x v="56"/>
    <x v="14"/>
    <x v="111"/>
    <x v="294"/>
    <x v="1"/>
    <x v="14"/>
    <x v="1"/>
    <x v="1"/>
    <x v="1"/>
    <x v="1"/>
    <x v="0"/>
    <x v="4"/>
    <x v="107"/>
    <x v="0"/>
    <x v="11"/>
    <x v="10"/>
  </r>
  <r>
    <x v="367"/>
    <x v="208"/>
    <x v="26"/>
    <x v="84"/>
    <x v="55"/>
    <x v="2"/>
    <x v="3"/>
    <x v="3"/>
    <x v="6"/>
    <x v="0"/>
    <x v="30"/>
    <x v="0"/>
    <x v="176"/>
    <x v="35"/>
    <x v="421"/>
    <x v="326"/>
    <x v="1"/>
    <x v="17"/>
    <x v="1"/>
    <x v="1"/>
    <x v="1"/>
    <x v="1"/>
    <x v="0"/>
    <x v="4"/>
    <x v="406"/>
    <x v="0"/>
    <x v="11"/>
    <x v="10"/>
  </r>
  <r>
    <x v="368"/>
    <x v="34"/>
    <x v="108"/>
    <x v="23"/>
    <x v="49"/>
    <x v="4"/>
    <x v="0"/>
    <x v="12"/>
    <x v="24"/>
    <x v="0"/>
    <x v="27"/>
    <x v="0"/>
    <x v="151"/>
    <x v="36"/>
    <x v="319"/>
    <x v="271"/>
    <x v="1"/>
    <x v="13"/>
    <x v="0"/>
    <x v="0"/>
    <x v="1"/>
    <x v="1"/>
    <x v="0"/>
    <x v="0"/>
    <x v="307"/>
    <x v="0"/>
    <x v="11"/>
    <x v="10"/>
  </r>
  <r>
    <x v="369"/>
    <x v="346"/>
    <x v="87"/>
    <x v="22"/>
    <x v="79"/>
    <x v="4"/>
    <x v="0"/>
    <x v="4"/>
    <x v="7"/>
    <x v="3"/>
    <x v="5"/>
    <x v="31"/>
    <x v="26"/>
    <x v="7"/>
    <x v="54"/>
    <x v="304"/>
    <x v="0"/>
    <x v="0"/>
    <x v="0"/>
    <x v="0"/>
    <x v="0"/>
    <x v="1"/>
    <x v="0"/>
    <x v="1"/>
    <x v="0"/>
    <x v="0"/>
    <x v="11"/>
    <x v="10"/>
  </r>
  <r>
    <x v="370"/>
    <x v="176"/>
    <x v="23"/>
    <x v="87"/>
    <x v="26"/>
    <x v="0"/>
    <x v="1"/>
    <x v="15"/>
    <x v="34"/>
    <x v="1"/>
    <x v="64"/>
    <x v="78"/>
    <x v="302"/>
    <x v="75"/>
    <x v="487"/>
    <x v="122"/>
    <x v="1"/>
    <x v="8"/>
    <x v="1"/>
    <x v="2"/>
    <x v="1"/>
    <x v="1"/>
    <x v="0"/>
    <x v="4"/>
    <x v="468"/>
    <x v="0"/>
    <x v="11"/>
    <x v="10"/>
  </r>
  <r>
    <x v="371"/>
    <x v="237"/>
    <x v="218"/>
    <x v="61"/>
    <x v="76"/>
    <x v="6"/>
    <x v="0"/>
    <x v="2"/>
    <x v="3"/>
    <x v="2"/>
    <x v="2"/>
    <x v="11"/>
    <x v="14"/>
    <x v="3"/>
    <x v="29"/>
    <x v="330"/>
    <x v="1"/>
    <x v="6"/>
    <x v="0"/>
    <x v="2"/>
    <x v="1"/>
    <x v="1"/>
    <x v="0"/>
    <x v="3"/>
    <x v="30"/>
    <x v="0"/>
    <x v="11"/>
    <x v="10"/>
  </r>
  <r>
    <x v="372"/>
    <x v="281"/>
    <x v="184"/>
    <x v="43"/>
    <x v="25"/>
    <x v="5"/>
    <x v="0"/>
    <x v="3"/>
    <x v="5"/>
    <x v="4"/>
    <x v="4"/>
    <x v="33"/>
    <x v="17"/>
    <x v="5"/>
    <x v="28"/>
    <x v="296"/>
    <x v="1"/>
    <x v="17"/>
    <x v="1"/>
    <x v="0"/>
    <x v="1"/>
    <x v="1"/>
    <x v="0"/>
    <x v="0"/>
    <x v="29"/>
    <x v="0"/>
    <x v="11"/>
    <x v="10"/>
  </r>
  <r>
    <x v="373"/>
    <x v="197"/>
    <x v="247"/>
    <x v="73"/>
    <x v="60"/>
    <x v="2"/>
    <x v="0"/>
    <x v="3"/>
    <x v="6"/>
    <x v="4"/>
    <x v="4"/>
    <x v="33"/>
    <x v="17"/>
    <x v="6"/>
    <x v="20"/>
    <x v="263"/>
    <x v="2"/>
    <x v="13"/>
    <x v="1"/>
    <x v="1"/>
    <x v="2"/>
    <x v="1"/>
    <x v="0"/>
    <x v="2"/>
    <x v="21"/>
    <x v="0"/>
    <x v="11"/>
    <x v="10"/>
  </r>
  <r>
    <x v="374"/>
    <x v="199"/>
    <x v="163"/>
    <x v="91"/>
    <x v="39"/>
    <x v="0"/>
    <x v="0"/>
    <x v="12"/>
    <x v="29"/>
    <x v="3"/>
    <x v="27"/>
    <x v="90"/>
    <x v="126"/>
    <x v="43"/>
    <x v="149"/>
    <x v="87"/>
    <x v="1"/>
    <x v="12"/>
    <x v="0"/>
    <x v="0"/>
    <x v="1"/>
    <x v="1"/>
    <x v="0"/>
    <x v="4"/>
    <x v="143"/>
    <x v="0"/>
    <x v="11"/>
    <x v="10"/>
  </r>
  <r>
    <x v="375"/>
    <x v="105"/>
    <x v="58"/>
    <x v="49"/>
    <x v="38"/>
    <x v="1"/>
    <x v="0"/>
    <x v="6"/>
    <x v="13"/>
    <x v="2"/>
    <x v="9"/>
    <x v="25"/>
    <x v="53"/>
    <x v="15"/>
    <x v="89"/>
    <x v="252"/>
    <x v="1"/>
    <x v="5"/>
    <x v="1"/>
    <x v="0"/>
    <x v="1"/>
    <x v="1"/>
    <x v="0"/>
    <x v="4"/>
    <x v="88"/>
    <x v="0"/>
    <x v="11"/>
    <x v="10"/>
  </r>
  <r>
    <x v="376"/>
    <x v="9"/>
    <x v="231"/>
    <x v="49"/>
    <x v="38"/>
    <x v="1"/>
    <x v="4"/>
    <x v="6"/>
    <x v="13"/>
    <x v="1"/>
    <x v="57"/>
    <x v="68"/>
    <x v="279"/>
    <x v="60"/>
    <x v="535"/>
    <x v="275"/>
    <x v="4"/>
    <x v="9"/>
    <x v="0"/>
    <x v="2"/>
    <x v="2"/>
    <x v="1"/>
    <x v="0"/>
    <x v="4"/>
    <x v="512"/>
    <x v="0"/>
    <x v="11"/>
    <x v="10"/>
  </r>
  <r>
    <x v="377"/>
    <x v="135"/>
    <x v="12"/>
    <x v="63"/>
    <x v="33"/>
    <x v="6"/>
    <x v="2"/>
    <x v="9"/>
    <x v="18"/>
    <x v="1"/>
    <x v="55"/>
    <x v="65"/>
    <x v="267"/>
    <x v="59"/>
    <x v="519"/>
    <x v="268"/>
    <x v="1"/>
    <x v="11"/>
    <x v="1"/>
    <x v="1"/>
    <x v="1"/>
    <x v="1"/>
    <x v="0"/>
    <x v="4"/>
    <x v="496"/>
    <x v="0"/>
    <x v="11"/>
    <x v="10"/>
  </r>
  <r>
    <x v="378"/>
    <x v="141"/>
    <x v="148"/>
    <x v="20"/>
    <x v="40"/>
    <x v="4"/>
    <x v="1"/>
    <x v="17"/>
    <x v="32"/>
    <x v="4"/>
    <x v="70"/>
    <x v="198"/>
    <x v="300"/>
    <x v="72"/>
    <x v="496"/>
    <x v="148"/>
    <x v="1"/>
    <x v="7"/>
    <x v="0"/>
    <x v="1"/>
    <x v="1"/>
    <x v="1"/>
    <x v="0"/>
    <x v="0"/>
    <x v="475"/>
    <x v="0"/>
    <x v="11"/>
    <x v="10"/>
  </r>
  <r>
    <x v="379"/>
    <x v="320"/>
    <x v="151"/>
    <x v="51"/>
    <x v="52"/>
    <x v="1"/>
    <x v="0"/>
    <x v="2"/>
    <x v="4"/>
    <x v="0"/>
    <x v="2"/>
    <x v="0"/>
    <x v="18"/>
    <x v="4"/>
    <x v="39"/>
    <x v="329"/>
    <x v="1"/>
    <x v="9"/>
    <x v="1"/>
    <x v="1"/>
    <x v="1"/>
    <x v="1"/>
    <x v="0"/>
    <x v="0"/>
    <x v="40"/>
    <x v="0"/>
    <x v="11"/>
    <x v="10"/>
  </r>
  <r>
    <x v="380"/>
    <x v="213"/>
    <x v="37"/>
    <x v="9"/>
    <x v="95"/>
    <x v="3"/>
    <x v="4"/>
    <x v="19"/>
    <x v="39"/>
    <x v="5"/>
    <x v="106"/>
    <x v="250"/>
    <x v="425"/>
    <x v="118"/>
    <x v="592"/>
    <x v="16"/>
    <x v="2"/>
    <x v="15"/>
    <x v="1"/>
    <x v="1"/>
    <x v="2"/>
    <x v="2"/>
    <x v="0"/>
    <x v="2"/>
    <x v="567"/>
    <x v="0"/>
    <x v="11"/>
    <x v="10"/>
  </r>
  <r>
    <x v="381"/>
    <x v="235"/>
    <x v="275"/>
    <x v="60"/>
    <x v="68"/>
    <x v="6"/>
    <x v="0"/>
    <x v="5"/>
    <x v="9"/>
    <x v="1"/>
    <x v="7"/>
    <x v="8"/>
    <x v="45"/>
    <x v="11"/>
    <x v="98"/>
    <x v="310"/>
    <x v="0"/>
    <x v="15"/>
    <x v="1"/>
    <x v="0"/>
    <x v="0"/>
    <x v="1"/>
    <x v="0"/>
    <x v="1"/>
    <x v="0"/>
    <x v="0"/>
    <x v="11"/>
    <x v="10"/>
  </r>
  <r>
    <x v="382"/>
    <x v="337"/>
    <x v="249"/>
    <x v="74"/>
    <x v="4"/>
    <x v="2"/>
    <x v="1"/>
    <x v="1"/>
    <x v="1"/>
    <x v="1"/>
    <x v="6"/>
    <x v="7"/>
    <x v="44"/>
    <x v="8"/>
    <x v="112"/>
    <x v="335"/>
    <x v="1"/>
    <x v="16"/>
    <x v="1"/>
    <x v="1"/>
    <x v="1"/>
    <x v="1"/>
    <x v="0"/>
    <x v="3"/>
    <x v="108"/>
    <x v="0"/>
    <x v="11"/>
    <x v="10"/>
  </r>
  <r>
    <x v="383"/>
    <x v="236"/>
    <x v="259"/>
    <x v="11"/>
    <x v="15"/>
    <x v="3"/>
    <x v="4"/>
    <x v="8"/>
    <x v="17"/>
    <x v="3"/>
    <x v="68"/>
    <x v="173"/>
    <x v="307"/>
    <x v="71"/>
    <x v="549"/>
    <x v="215"/>
    <x v="1"/>
    <x v="14"/>
    <x v="1"/>
    <x v="1"/>
    <x v="1"/>
    <x v="1"/>
    <x v="0"/>
    <x v="3"/>
    <x v="526"/>
    <x v="0"/>
    <x v="11"/>
    <x v="10"/>
  </r>
  <r>
    <x v="384"/>
    <x v="175"/>
    <x v="63"/>
    <x v="17"/>
    <x v="18"/>
    <x v="4"/>
    <x v="0"/>
    <x v="11"/>
    <x v="23"/>
    <x v="2"/>
    <x v="23"/>
    <x v="56"/>
    <x v="123"/>
    <x v="34"/>
    <x v="207"/>
    <x v="211"/>
    <x v="0"/>
    <x v="8"/>
    <x v="1"/>
    <x v="0"/>
    <x v="0"/>
    <x v="1"/>
    <x v="0"/>
    <x v="1"/>
    <x v="0"/>
    <x v="0"/>
    <x v="11"/>
    <x v="10"/>
  </r>
  <r>
    <x v="385"/>
    <x v="170"/>
    <x v="69"/>
    <x v="53"/>
    <x v="29"/>
    <x v="1"/>
    <x v="3"/>
    <x v="3"/>
    <x v="6"/>
    <x v="1"/>
    <x v="30"/>
    <x v="33"/>
    <x v="169"/>
    <x v="35"/>
    <x v="395"/>
    <x v="315"/>
    <x v="1"/>
    <x v="13"/>
    <x v="1"/>
    <x v="0"/>
    <x v="1"/>
    <x v="1"/>
    <x v="0"/>
    <x v="0"/>
    <x v="381"/>
    <x v="0"/>
    <x v="11"/>
    <x v="10"/>
  </r>
  <r>
    <x v="386"/>
    <x v="162"/>
    <x v="248"/>
    <x v="83"/>
    <x v="96"/>
    <x v="2"/>
    <x v="1"/>
    <x v="10"/>
    <x v="23"/>
    <x v="3"/>
    <x v="44"/>
    <x v="128"/>
    <x v="205"/>
    <x v="56"/>
    <x v="300"/>
    <x v="115"/>
    <x v="1"/>
    <x v="7"/>
    <x v="1"/>
    <x v="1"/>
    <x v="1"/>
    <x v="1"/>
    <x v="0"/>
    <x v="0"/>
    <x v="289"/>
    <x v="0"/>
    <x v="11"/>
    <x v="10"/>
  </r>
  <r>
    <x v="387"/>
    <x v="300"/>
    <x v="29"/>
    <x v="66"/>
    <x v="13"/>
    <x v="6"/>
    <x v="0"/>
    <x v="8"/>
    <x v="16"/>
    <x v="5"/>
    <x v="14"/>
    <x v="89"/>
    <x v="62"/>
    <x v="20"/>
    <x v="77"/>
    <x v="169"/>
    <x v="4"/>
    <x v="13"/>
    <x v="1"/>
    <x v="1"/>
    <x v="2"/>
    <x v="1"/>
    <x v="0"/>
    <x v="4"/>
    <x v="76"/>
    <x v="0"/>
    <x v="11"/>
    <x v="10"/>
  </r>
  <r>
    <x v="388"/>
    <x v="306"/>
    <x v="18"/>
    <x v="25"/>
    <x v="84"/>
    <x v="4"/>
    <x v="2"/>
    <x v="10"/>
    <x v="18"/>
    <x v="1"/>
    <x v="60"/>
    <x v="73"/>
    <x v="290"/>
    <x v="59"/>
    <x v="569"/>
    <x v="311"/>
    <x v="1"/>
    <x v="5"/>
    <x v="0"/>
    <x v="2"/>
    <x v="1"/>
    <x v="1"/>
    <x v="0"/>
    <x v="4"/>
    <x v="546"/>
    <x v="0"/>
    <x v="11"/>
    <x v="10"/>
  </r>
  <r>
    <x v="389"/>
    <x v="271"/>
    <x v="14"/>
    <x v="79"/>
    <x v="12"/>
    <x v="2"/>
    <x v="1"/>
    <x v="8"/>
    <x v="18"/>
    <x v="3"/>
    <x v="32"/>
    <x v="102"/>
    <x v="153"/>
    <x v="45"/>
    <x v="226"/>
    <x v="137"/>
    <x v="2"/>
    <x v="2"/>
    <x v="1"/>
    <x v="0"/>
    <x v="2"/>
    <x v="1"/>
    <x v="0"/>
    <x v="2"/>
    <x v="218"/>
    <x v="0"/>
    <x v="11"/>
    <x v="10"/>
  </r>
  <r>
    <x v="390"/>
    <x v="249"/>
    <x v="276"/>
    <x v="11"/>
    <x v="15"/>
    <x v="3"/>
    <x v="0"/>
    <x v="8"/>
    <x v="17"/>
    <x v="2"/>
    <x v="14"/>
    <x v="35"/>
    <x v="73"/>
    <x v="21"/>
    <x v="137"/>
    <x v="238"/>
    <x v="1"/>
    <x v="5"/>
    <x v="1"/>
    <x v="1"/>
    <x v="1"/>
    <x v="1"/>
    <x v="0"/>
    <x v="0"/>
    <x v="131"/>
    <x v="0"/>
    <x v="11"/>
    <x v="10"/>
  </r>
  <r>
    <x v="391"/>
    <x v="295"/>
    <x v="108"/>
    <x v="67"/>
    <x v="21"/>
    <x v="6"/>
    <x v="1"/>
    <x v="4"/>
    <x v="7"/>
    <x v="4"/>
    <x v="15"/>
    <x v="82"/>
    <x v="74"/>
    <x v="19"/>
    <x v="161"/>
    <x v="287"/>
    <x v="1"/>
    <x v="13"/>
    <x v="0"/>
    <x v="0"/>
    <x v="1"/>
    <x v="1"/>
    <x v="0"/>
    <x v="4"/>
    <x v="155"/>
    <x v="0"/>
    <x v="11"/>
    <x v="10"/>
  </r>
  <r>
    <x v="392"/>
    <x v="29"/>
    <x v="246"/>
    <x v="20"/>
    <x v="40"/>
    <x v="4"/>
    <x v="1"/>
    <x v="17"/>
    <x v="32"/>
    <x v="2"/>
    <x v="70"/>
    <x v="145"/>
    <x v="317"/>
    <x v="72"/>
    <x v="559"/>
    <x v="212"/>
    <x v="4"/>
    <x v="0"/>
    <x v="0"/>
    <x v="1"/>
    <x v="2"/>
    <x v="1"/>
    <x v="0"/>
    <x v="0"/>
    <x v="536"/>
    <x v="0"/>
    <x v="11"/>
    <x v="10"/>
  </r>
  <r>
    <x v="393"/>
    <x v="78"/>
    <x v="103"/>
    <x v="86"/>
    <x v="11"/>
    <x v="2"/>
    <x v="1"/>
    <x v="6"/>
    <x v="14"/>
    <x v="3"/>
    <x v="22"/>
    <x v="80"/>
    <x v="113"/>
    <x v="33"/>
    <x v="189"/>
    <x v="208"/>
    <x v="1"/>
    <x v="4"/>
    <x v="1"/>
    <x v="0"/>
    <x v="1"/>
    <x v="1"/>
    <x v="0"/>
    <x v="3"/>
    <x v="183"/>
    <x v="0"/>
    <x v="11"/>
    <x v="10"/>
  </r>
  <r>
    <x v="394"/>
    <x v="350"/>
    <x v="182"/>
    <x v="26"/>
    <x v="8"/>
    <x v="4"/>
    <x v="0"/>
    <x v="5"/>
    <x v="10"/>
    <x v="0"/>
    <x v="7"/>
    <x v="0"/>
    <x v="50"/>
    <x v="12"/>
    <x v="104"/>
    <x v="307"/>
    <x v="0"/>
    <x v="4"/>
    <x v="0"/>
    <x v="2"/>
    <x v="0"/>
    <x v="1"/>
    <x v="0"/>
    <x v="1"/>
    <x v="0"/>
    <x v="0"/>
    <x v="11"/>
    <x v="10"/>
  </r>
  <r>
    <x v="395"/>
    <x v="350"/>
    <x v="169"/>
    <x v="11"/>
    <x v="15"/>
    <x v="3"/>
    <x v="0"/>
    <x v="8"/>
    <x v="17"/>
    <x v="4"/>
    <x v="14"/>
    <x v="72"/>
    <x v="66"/>
    <x v="21"/>
    <x v="94"/>
    <x v="184"/>
    <x v="1"/>
    <x v="16"/>
    <x v="1"/>
    <x v="0"/>
    <x v="1"/>
    <x v="1"/>
    <x v="0"/>
    <x v="0"/>
    <x v="92"/>
    <x v="0"/>
    <x v="11"/>
    <x v="10"/>
  </r>
  <r>
    <x v="396"/>
    <x v="201"/>
    <x v="224"/>
    <x v="44"/>
    <x v="53"/>
    <x v="5"/>
    <x v="0"/>
    <x v="6"/>
    <x v="12"/>
    <x v="3"/>
    <x v="9"/>
    <x v="40"/>
    <x v="47"/>
    <x v="14"/>
    <x v="78"/>
    <x v="250"/>
    <x v="3"/>
    <x v="17"/>
    <x v="1"/>
    <x v="2"/>
    <x v="3"/>
    <x v="1"/>
    <x v="0"/>
    <x v="0"/>
    <x v="0"/>
    <x v="0"/>
    <x v="11"/>
    <x v="10"/>
  </r>
  <r>
    <x v="397"/>
    <x v="246"/>
    <x v="99"/>
    <x v="38"/>
    <x v="92"/>
    <x v="5"/>
    <x v="1"/>
    <x v="9"/>
    <x v="18"/>
    <x v="5"/>
    <x v="38"/>
    <x v="154"/>
    <x v="157"/>
    <x v="45"/>
    <x v="249"/>
    <x v="156"/>
    <x v="1"/>
    <x v="6"/>
    <x v="1"/>
    <x v="1"/>
    <x v="1"/>
    <x v="1"/>
    <x v="0"/>
    <x v="3"/>
    <x v="241"/>
    <x v="0"/>
    <x v="11"/>
    <x v="10"/>
  </r>
  <r>
    <x v="398"/>
    <x v="244"/>
    <x v="239"/>
    <x v="3"/>
    <x v="90"/>
    <x v="3"/>
    <x v="0"/>
    <x v="3"/>
    <x v="7"/>
    <x v="1"/>
    <x v="4"/>
    <x v="5"/>
    <x v="25"/>
    <x v="7"/>
    <x v="44"/>
    <x v="292"/>
    <x v="4"/>
    <x v="14"/>
    <x v="0"/>
    <x v="1"/>
    <x v="2"/>
    <x v="1"/>
    <x v="0"/>
    <x v="3"/>
    <x v="45"/>
    <x v="0"/>
    <x v="11"/>
    <x v="10"/>
  </r>
  <r>
    <x v="399"/>
    <x v="116"/>
    <x v="129"/>
    <x v="0"/>
    <x v="97"/>
    <x v="3"/>
    <x v="1"/>
    <x v="11"/>
    <x v="26"/>
    <x v="2"/>
    <x v="49"/>
    <x v="103"/>
    <x v="233"/>
    <x v="62"/>
    <x v="358"/>
    <x v="116"/>
    <x v="4"/>
    <x v="16"/>
    <x v="1"/>
    <x v="2"/>
    <x v="2"/>
    <x v="1"/>
    <x v="0"/>
    <x v="3"/>
    <x v="344"/>
    <x v="0"/>
    <x v="11"/>
    <x v="10"/>
  </r>
  <r>
    <x v="400"/>
    <x v="70"/>
    <x v="9"/>
    <x v="59"/>
    <x v="99"/>
    <x v="6"/>
    <x v="1"/>
    <x v="10"/>
    <x v="20"/>
    <x v="2"/>
    <x v="44"/>
    <x v="94"/>
    <x v="212"/>
    <x v="50"/>
    <x v="414"/>
    <x v="237"/>
    <x v="1"/>
    <x v="13"/>
    <x v="1"/>
    <x v="2"/>
    <x v="1"/>
    <x v="1"/>
    <x v="0"/>
    <x v="4"/>
    <x v="399"/>
    <x v="0"/>
    <x v="11"/>
    <x v="10"/>
  </r>
  <r>
    <x v="401"/>
    <x v="88"/>
    <x v="62"/>
    <x v="87"/>
    <x v="26"/>
    <x v="0"/>
    <x v="1"/>
    <x v="15"/>
    <x v="34"/>
    <x v="4"/>
    <x v="64"/>
    <x v="187"/>
    <x v="276"/>
    <x v="75"/>
    <x v="334"/>
    <x v="42"/>
    <x v="4"/>
    <x v="1"/>
    <x v="0"/>
    <x v="1"/>
    <x v="2"/>
    <x v="1"/>
    <x v="0"/>
    <x v="0"/>
    <x v="322"/>
    <x v="0"/>
    <x v="11"/>
    <x v="10"/>
  </r>
  <r>
    <x v="402"/>
    <x v="167"/>
    <x v="273"/>
    <x v="76"/>
    <x v="64"/>
    <x v="2"/>
    <x v="3"/>
    <x v="4"/>
    <x v="8"/>
    <x v="0"/>
    <x v="37"/>
    <x v="0"/>
    <x v="207"/>
    <x v="41"/>
    <x v="458"/>
    <x v="323"/>
    <x v="3"/>
    <x v="3"/>
    <x v="0"/>
    <x v="1"/>
    <x v="3"/>
    <x v="1"/>
    <x v="0"/>
    <x v="3"/>
    <x v="0"/>
    <x v="0"/>
    <x v="11"/>
    <x v="10"/>
  </r>
  <r>
    <x v="403"/>
    <x v="201"/>
    <x v="230"/>
    <x v="87"/>
    <x v="26"/>
    <x v="0"/>
    <x v="2"/>
    <x v="15"/>
    <x v="34"/>
    <x v="4"/>
    <x v="79"/>
    <x v="212"/>
    <x v="339"/>
    <x v="92"/>
    <x v="456"/>
    <x v="42"/>
    <x v="1"/>
    <x v="11"/>
    <x v="0"/>
    <x v="0"/>
    <x v="1"/>
    <x v="1"/>
    <x v="0"/>
    <x v="4"/>
    <x v="441"/>
    <x v="0"/>
    <x v="11"/>
    <x v="10"/>
  </r>
  <r>
    <x v="404"/>
    <x v="44"/>
    <x v="101"/>
    <x v="69"/>
    <x v="48"/>
    <x v="6"/>
    <x v="0"/>
    <x v="6"/>
    <x v="12"/>
    <x v="1"/>
    <x v="9"/>
    <x v="10"/>
    <x v="56"/>
    <x v="14"/>
    <x v="111"/>
    <x v="294"/>
    <x v="1"/>
    <x v="1"/>
    <x v="1"/>
    <x v="1"/>
    <x v="1"/>
    <x v="1"/>
    <x v="0"/>
    <x v="0"/>
    <x v="107"/>
    <x v="0"/>
    <x v="11"/>
    <x v="10"/>
  </r>
  <r>
    <x v="405"/>
    <x v="166"/>
    <x v="258"/>
    <x v="15"/>
    <x v="14"/>
    <x v="4"/>
    <x v="4"/>
    <x v="7"/>
    <x v="15"/>
    <x v="2"/>
    <x v="62"/>
    <x v="131"/>
    <x v="286"/>
    <x v="67"/>
    <x v="530"/>
    <x v="236"/>
    <x v="1"/>
    <x v="6"/>
    <x v="1"/>
    <x v="2"/>
    <x v="1"/>
    <x v="1"/>
    <x v="0"/>
    <x v="4"/>
    <x v="507"/>
    <x v="0"/>
    <x v="11"/>
    <x v="10"/>
  </r>
  <r>
    <x v="406"/>
    <x v="88"/>
    <x v="137"/>
    <x v="18"/>
    <x v="71"/>
    <x v="4"/>
    <x v="0"/>
    <x v="20"/>
    <x v="40"/>
    <x v="0"/>
    <x v="54"/>
    <x v="0"/>
    <x v="269"/>
    <x v="67"/>
    <x v="473"/>
    <x v="180"/>
    <x v="1"/>
    <x v="19"/>
    <x v="0"/>
    <x v="0"/>
    <x v="1"/>
    <x v="1"/>
    <x v="0"/>
    <x v="4"/>
    <x v="454"/>
    <x v="0"/>
    <x v="11"/>
    <x v="10"/>
  </r>
  <r>
    <x v="407"/>
    <x v="162"/>
    <x v="253"/>
    <x v="17"/>
    <x v="18"/>
    <x v="4"/>
    <x v="1"/>
    <x v="11"/>
    <x v="23"/>
    <x v="2"/>
    <x v="49"/>
    <x v="103"/>
    <x v="233"/>
    <x v="56"/>
    <x v="430"/>
    <x v="211"/>
    <x v="1"/>
    <x v="3"/>
    <x v="2"/>
    <x v="1"/>
    <x v="1"/>
    <x v="1"/>
    <x v="0"/>
    <x v="3"/>
    <x v="415"/>
    <x v="0"/>
    <x v="11"/>
    <x v="10"/>
  </r>
  <r>
    <x v="408"/>
    <x v="99"/>
    <x v="131"/>
    <x v="26"/>
    <x v="8"/>
    <x v="4"/>
    <x v="1"/>
    <x v="5"/>
    <x v="10"/>
    <x v="1"/>
    <x v="19"/>
    <x v="21"/>
    <x v="110"/>
    <x v="25"/>
    <x v="239"/>
    <x v="293"/>
    <x v="1"/>
    <x v="9"/>
    <x v="0"/>
    <x v="1"/>
    <x v="1"/>
    <x v="1"/>
    <x v="0"/>
    <x v="4"/>
    <x v="231"/>
    <x v="0"/>
    <x v="11"/>
    <x v="10"/>
  </r>
  <r>
    <x v="409"/>
    <x v="299"/>
    <x v="56"/>
    <x v="51"/>
    <x v="52"/>
    <x v="1"/>
    <x v="2"/>
    <x v="2"/>
    <x v="4"/>
    <x v="4"/>
    <x v="17"/>
    <x v="86"/>
    <x v="82"/>
    <x v="22"/>
    <x v="165"/>
    <x v="267"/>
    <x v="1"/>
    <x v="18"/>
    <x v="1"/>
    <x v="2"/>
    <x v="1"/>
    <x v="1"/>
    <x v="0"/>
    <x v="0"/>
    <x v="159"/>
    <x v="0"/>
    <x v="11"/>
    <x v="10"/>
  </r>
  <r>
    <x v="410"/>
    <x v="27"/>
    <x v="183"/>
    <x v="54"/>
    <x v="61"/>
    <x v="1"/>
    <x v="0"/>
    <x v="12"/>
    <x v="27"/>
    <x v="0"/>
    <x v="27"/>
    <x v="0"/>
    <x v="151"/>
    <x v="39"/>
    <x v="286"/>
    <x v="226"/>
    <x v="1"/>
    <x v="12"/>
    <x v="0"/>
    <x v="1"/>
    <x v="1"/>
    <x v="1"/>
    <x v="0"/>
    <x v="4"/>
    <x v="277"/>
    <x v="0"/>
    <x v="11"/>
    <x v="10"/>
  </r>
  <r>
    <x v="411"/>
    <x v="288"/>
    <x v="281"/>
    <x v="63"/>
    <x v="33"/>
    <x v="6"/>
    <x v="3"/>
    <x v="9"/>
    <x v="18"/>
    <x v="4"/>
    <x v="66"/>
    <x v="193"/>
    <x v="285"/>
    <x v="68"/>
    <x v="504"/>
    <x v="190"/>
    <x v="3"/>
    <x v="8"/>
    <x v="1"/>
    <x v="0"/>
    <x v="3"/>
    <x v="1"/>
    <x v="0"/>
    <x v="0"/>
    <x v="0"/>
    <x v="0"/>
    <x v="11"/>
    <x v="10"/>
  </r>
  <r>
    <x v="412"/>
    <x v="319"/>
    <x v="112"/>
    <x v="99"/>
    <x v="16"/>
    <x v="0"/>
    <x v="0"/>
    <x v="22"/>
    <x v="46"/>
    <x v="2"/>
    <x v="63"/>
    <x v="133"/>
    <x v="289"/>
    <x v="78"/>
    <x v="371"/>
    <x v="46"/>
    <x v="1"/>
    <x v="9"/>
    <x v="2"/>
    <x v="0"/>
    <x v="1"/>
    <x v="1"/>
    <x v="0"/>
    <x v="0"/>
    <x v="357"/>
    <x v="0"/>
    <x v="11"/>
    <x v="10"/>
  </r>
  <r>
    <x v="413"/>
    <x v="133"/>
    <x v="254"/>
    <x v="38"/>
    <x v="92"/>
    <x v="5"/>
    <x v="1"/>
    <x v="9"/>
    <x v="18"/>
    <x v="2"/>
    <x v="38"/>
    <x v="83"/>
    <x v="186"/>
    <x v="45"/>
    <x v="376"/>
    <x v="243"/>
    <x v="4"/>
    <x v="18"/>
    <x v="0"/>
    <x v="1"/>
    <x v="2"/>
    <x v="1"/>
    <x v="0"/>
    <x v="4"/>
    <x v="362"/>
    <x v="0"/>
    <x v="11"/>
    <x v="10"/>
  </r>
  <r>
    <x v="414"/>
    <x v="236"/>
    <x v="282"/>
    <x v="26"/>
    <x v="8"/>
    <x v="4"/>
    <x v="0"/>
    <x v="5"/>
    <x v="10"/>
    <x v="0"/>
    <x v="7"/>
    <x v="0"/>
    <x v="50"/>
    <x v="12"/>
    <x v="104"/>
    <x v="307"/>
    <x v="4"/>
    <x v="4"/>
    <x v="0"/>
    <x v="0"/>
    <x v="2"/>
    <x v="1"/>
    <x v="0"/>
    <x v="0"/>
    <x v="100"/>
    <x v="0"/>
    <x v="11"/>
    <x v="10"/>
  </r>
  <r>
    <x v="415"/>
    <x v="332"/>
    <x v="169"/>
    <x v="91"/>
    <x v="39"/>
    <x v="0"/>
    <x v="0"/>
    <x v="12"/>
    <x v="29"/>
    <x v="1"/>
    <x v="27"/>
    <x v="30"/>
    <x v="143"/>
    <x v="43"/>
    <x v="211"/>
    <x v="151"/>
    <x v="1"/>
    <x v="16"/>
    <x v="1"/>
    <x v="2"/>
    <x v="1"/>
    <x v="1"/>
    <x v="0"/>
    <x v="3"/>
    <x v="204"/>
    <x v="0"/>
    <x v="11"/>
    <x v="10"/>
  </r>
  <r>
    <x v="416"/>
    <x v="230"/>
    <x v="167"/>
    <x v="52"/>
    <x v="54"/>
    <x v="1"/>
    <x v="0"/>
    <x v="8"/>
    <x v="16"/>
    <x v="5"/>
    <x v="14"/>
    <x v="89"/>
    <x v="62"/>
    <x v="20"/>
    <x v="77"/>
    <x v="169"/>
    <x v="1"/>
    <x v="13"/>
    <x v="1"/>
    <x v="1"/>
    <x v="1"/>
    <x v="1"/>
    <x v="0"/>
    <x v="0"/>
    <x v="76"/>
    <x v="0"/>
    <x v="11"/>
    <x v="10"/>
  </r>
  <r>
    <x v="417"/>
    <x v="228"/>
    <x v="9"/>
    <x v="39"/>
    <x v="20"/>
    <x v="5"/>
    <x v="0"/>
    <x v="13"/>
    <x v="29"/>
    <x v="2"/>
    <x v="29"/>
    <x v="66"/>
    <x v="147"/>
    <x v="43"/>
    <x v="242"/>
    <x v="172"/>
    <x v="1"/>
    <x v="13"/>
    <x v="1"/>
    <x v="2"/>
    <x v="1"/>
    <x v="1"/>
    <x v="0"/>
    <x v="0"/>
    <x v="234"/>
    <x v="0"/>
    <x v="11"/>
    <x v="10"/>
  </r>
  <r>
    <x v="418"/>
    <x v="346"/>
    <x v="154"/>
    <x v="89"/>
    <x v="89"/>
    <x v="0"/>
    <x v="0"/>
    <x v="17"/>
    <x v="37"/>
    <x v="0"/>
    <x v="42"/>
    <x v="0"/>
    <x v="217"/>
    <x v="59"/>
    <x v="350"/>
    <x v="128"/>
    <x v="1"/>
    <x v="18"/>
    <x v="2"/>
    <x v="1"/>
    <x v="1"/>
    <x v="1"/>
    <x v="0"/>
    <x v="3"/>
    <x v="337"/>
    <x v="0"/>
    <x v="11"/>
    <x v="10"/>
  </r>
  <r>
    <x v="419"/>
    <x v="177"/>
    <x v="85"/>
    <x v="62"/>
    <x v="19"/>
    <x v="6"/>
    <x v="0"/>
    <x v="17"/>
    <x v="35"/>
    <x v="0"/>
    <x v="42"/>
    <x v="0"/>
    <x v="217"/>
    <x v="55"/>
    <x v="398"/>
    <x v="195"/>
    <x v="1"/>
    <x v="17"/>
    <x v="0"/>
    <x v="2"/>
    <x v="1"/>
    <x v="1"/>
    <x v="0"/>
    <x v="3"/>
    <x v="384"/>
    <x v="0"/>
    <x v="11"/>
    <x v="10"/>
  </r>
  <r>
    <x v="420"/>
    <x v="273"/>
    <x v="265"/>
    <x v="85"/>
    <x v="35"/>
    <x v="2"/>
    <x v="0"/>
    <x v="1"/>
    <x v="2"/>
    <x v="1"/>
    <x v="1"/>
    <x v="2"/>
    <x v="10"/>
    <x v="2"/>
    <x v="14"/>
    <x v="325"/>
    <x v="1"/>
    <x v="10"/>
    <x v="0"/>
    <x v="0"/>
    <x v="1"/>
    <x v="1"/>
    <x v="0"/>
    <x v="0"/>
    <x v="15"/>
    <x v="0"/>
    <x v="11"/>
    <x v="10"/>
  </r>
  <r>
    <x v="421"/>
    <x v="321"/>
    <x v="160"/>
    <x v="41"/>
    <x v="6"/>
    <x v="5"/>
    <x v="2"/>
    <x v="10"/>
    <x v="21"/>
    <x v="4"/>
    <x v="60"/>
    <x v="180"/>
    <x v="262"/>
    <x v="66"/>
    <x v="451"/>
    <x v="165"/>
    <x v="1"/>
    <x v="1"/>
    <x v="1"/>
    <x v="0"/>
    <x v="1"/>
    <x v="1"/>
    <x v="0"/>
    <x v="0"/>
    <x v="436"/>
    <x v="0"/>
    <x v="11"/>
    <x v="10"/>
  </r>
  <r>
    <x v="422"/>
    <x v="4"/>
    <x v="19"/>
    <x v="93"/>
    <x v="70"/>
    <x v="0"/>
    <x v="0"/>
    <x v="20"/>
    <x v="42"/>
    <x v="5"/>
    <x v="54"/>
    <x v="185"/>
    <x v="218"/>
    <x v="69"/>
    <x v="117"/>
    <x v="6"/>
    <x v="1"/>
    <x v="19"/>
    <x v="1"/>
    <x v="2"/>
    <x v="1"/>
    <x v="1"/>
    <x v="0"/>
    <x v="4"/>
    <x v="113"/>
    <x v="0"/>
    <x v="11"/>
    <x v="10"/>
  </r>
  <r>
    <x v="423"/>
    <x v="223"/>
    <x v="67"/>
    <x v="96"/>
    <x v="91"/>
    <x v="0"/>
    <x v="1"/>
    <x v="23"/>
    <x v="47"/>
    <x v="3"/>
    <x v="101"/>
    <x v="231"/>
    <x v="417"/>
    <x v="115"/>
    <x v="532"/>
    <x v="9"/>
    <x v="2"/>
    <x v="10"/>
    <x v="1"/>
    <x v="1"/>
    <x v="2"/>
    <x v="2"/>
    <x v="0"/>
    <x v="2"/>
    <x v="509"/>
    <x v="0"/>
    <x v="11"/>
    <x v="10"/>
  </r>
  <r>
    <x v="424"/>
    <x v="203"/>
    <x v="126"/>
    <x v="16"/>
    <x v="22"/>
    <x v="4"/>
    <x v="0"/>
    <x v="15"/>
    <x v="31"/>
    <x v="2"/>
    <x v="35"/>
    <x v="78"/>
    <x v="174"/>
    <x v="47"/>
    <x v="302"/>
    <x v="174"/>
    <x v="1"/>
    <x v="10"/>
    <x v="1"/>
    <x v="2"/>
    <x v="1"/>
    <x v="1"/>
    <x v="0"/>
    <x v="4"/>
    <x v="291"/>
    <x v="0"/>
    <x v="11"/>
    <x v="10"/>
  </r>
  <r>
    <x v="425"/>
    <x v="114"/>
    <x v="293"/>
    <x v="73"/>
    <x v="60"/>
    <x v="2"/>
    <x v="1"/>
    <x v="3"/>
    <x v="6"/>
    <x v="0"/>
    <x v="13"/>
    <x v="0"/>
    <x v="83"/>
    <x v="18"/>
    <x v="197"/>
    <x v="326"/>
    <x v="1"/>
    <x v="3"/>
    <x v="0"/>
    <x v="0"/>
    <x v="1"/>
    <x v="1"/>
    <x v="0"/>
    <x v="0"/>
    <x v="190"/>
    <x v="0"/>
    <x v="11"/>
    <x v="10"/>
  </r>
  <r>
    <x v="426"/>
    <x v="112"/>
    <x v="174"/>
    <x v="41"/>
    <x v="6"/>
    <x v="5"/>
    <x v="0"/>
    <x v="10"/>
    <x v="21"/>
    <x v="2"/>
    <x v="20"/>
    <x v="50"/>
    <x v="104"/>
    <x v="30"/>
    <x v="188"/>
    <x v="225"/>
    <x v="1"/>
    <x v="18"/>
    <x v="0"/>
    <x v="2"/>
    <x v="1"/>
    <x v="1"/>
    <x v="0"/>
    <x v="3"/>
    <x v="182"/>
    <x v="0"/>
    <x v="11"/>
    <x v="10"/>
  </r>
  <r>
    <x v="427"/>
    <x v="156"/>
    <x v="58"/>
    <x v="4"/>
    <x v="66"/>
    <x v="3"/>
    <x v="0"/>
    <x v="14"/>
    <x v="31"/>
    <x v="2"/>
    <x v="33"/>
    <x v="74"/>
    <x v="162"/>
    <x v="47"/>
    <x v="233"/>
    <x v="125"/>
    <x v="1"/>
    <x v="5"/>
    <x v="1"/>
    <x v="2"/>
    <x v="1"/>
    <x v="1"/>
    <x v="0"/>
    <x v="0"/>
    <x v="225"/>
    <x v="0"/>
    <x v="11"/>
    <x v="10"/>
  </r>
  <r>
    <x v="428"/>
    <x v="73"/>
    <x v="36"/>
    <x v="53"/>
    <x v="29"/>
    <x v="1"/>
    <x v="0"/>
    <x v="3"/>
    <x v="6"/>
    <x v="0"/>
    <x v="4"/>
    <x v="0"/>
    <x v="29"/>
    <x v="6"/>
    <x v="66"/>
    <x v="326"/>
    <x v="1"/>
    <x v="18"/>
    <x v="1"/>
    <x v="2"/>
    <x v="1"/>
    <x v="1"/>
    <x v="0"/>
    <x v="4"/>
    <x v="65"/>
    <x v="0"/>
    <x v="11"/>
    <x v="10"/>
  </r>
  <r>
    <x v="429"/>
    <x v="275"/>
    <x v="15"/>
    <x v="16"/>
    <x v="22"/>
    <x v="4"/>
    <x v="0"/>
    <x v="15"/>
    <x v="31"/>
    <x v="0"/>
    <x v="35"/>
    <x v="0"/>
    <x v="195"/>
    <x v="47"/>
    <x v="370"/>
    <x v="229"/>
    <x v="0"/>
    <x v="3"/>
    <x v="0"/>
    <x v="1"/>
    <x v="0"/>
    <x v="1"/>
    <x v="0"/>
    <x v="1"/>
    <x v="0"/>
    <x v="0"/>
    <x v="11"/>
    <x v="10"/>
  </r>
  <r>
    <x v="430"/>
    <x v="301"/>
    <x v="231"/>
    <x v="6"/>
    <x v="46"/>
    <x v="3"/>
    <x v="1"/>
    <x v="12"/>
    <x v="25"/>
    <x v="3"/>
    <x v="53"/>
    <x v="143"/>
    <x v="237"/>
    <x v="61"/>
    <x v="415"/>
    <x v="163"/>
    <x v="0"/>
    <x v="9"/>
    <x v="0"/>
    <x v="0"/>
    <x v="0"/>
    <x v="1"/>
    <x v="0"/>
    <x v="1"/>
    <x v="0"/>
    <x v="0"/>
    <x v="11"/>
    <x v="10"/>
  </r>
  <r>
    <x v="431"/>
    <x v="16"/>
    <x v="96"/>
    <x v="59"/>
    <x v="99"/>
    <x v="6"/>
    <x v="1"/>
    <x v="10"/>
    <x v="20"/>
    <x v="3"/>
    <x v="44"/>
    <x v="128"/>
    <x v="205"/>
    <x v="50"/>
    <x v="377"/>
    <x v="214"/>
    <x v="1"/>
    <x v="15"/>
    <x v="1"/>
    <x v="0"/>
    <x v="1"/>
    <x v="1"/>
    <x v="0"/>
    <x v="4"/>
    <x v="363"/>
    <x v="0"/>
    <x v="11"/>
    <x v="10"/>
  </r>
  <r>
    <x v="432"/>
    <x v="42"/>
    <x v="117"/>
    <x v="13"/>
    <x v="41"/>
    <x v="3"/>
    <x v="3"/>
    <x v="6"/>
    <x v="12"/>
    <x v="0"/>
    <x v="47"/>
    <x v="0"/>
    <x v="246"/>
    <x v="51"/>
    <x v="517"/>
    <x v="308"/>
    <x v="1"/>
    <x v="5"/>
    <x v="2"/>
    <x v="1"/>
    <x v="1"/>
    <x v="1"/>
    <x v="0"/>
    <x v="4"/>
    <x v="494"/>
    <x v="0"/>
    <x v="11"/>
    <x v="10"/>
  </r>
  <r>
    <x v="433"/>
    <x v="183"/>
    <x v="273"/>
    <x v="1"/>
    <x v="9"/>
    <x v="3"/>
    <x v="0"/>
    <x v="17"/>
    <x v="36"/>
    <x v="2"/>
    <x v="42"/>
    <x v="91"/>
    <x v="202"/>
    <x v="57"/>
    <x v="288"/>
    <x v="100"/>
    <x v="1"/>
    <x v="3"/>
    <x v="0"/>
    <x v="1"/>
    <x v="1"/>
    <x v="1"/>
    <x v="0"/>
    <x v="3"/>
    <x v="279"/>
    <x v="0"/>
    <x v="11"/>
    <x v="10"/>
  </r>
  <r>
    <x v="434"/>
    <x v="189"/>
    <x v="15"/>
    <x v="24"/>
    <x v="44"/>
    <x v="4"/>
    <x v="1"/>
    <x v="16"/>
    <x v="33"/>
    <x v="2"/>
    <x v="67"/>
    <x v="140"/>
    <x v="306"/>
    <x v="73"/>
    <x v="518"/>
    <x v="157"/>
    <x v="1"/>
    <x v="3"/>
    <x v="0"/>
    <x v="2"/>
    <x v="1"/>
    <x v="1"/>
    <x v="0"/>
    <x v="3"/>
    <x v="495"/>
    <x v="0"/>
    <x v="11"/>
    <x v="10"/>
  </r>
  <r>
    <x v="435"/>
    <x v="67"/>
    <x v="183"/>
    <x v="25"/>
    <x v="84"/>
    <x v="4"/>
    <x v="3"/>
    <x v="10"/>
    <x v="18"/>
    <x v="1"/>
    <x v="71"/>
    <x v="94"/>
    <x v="335"/>
    <x v="68"/>
    <x v="632"/>
    <x v="311"/>
    <x v="1"/>
    <x v="12"/>
    <x v="0"/>
    <x v="1"/>
    <x v="1"/>
    <x v="1"/>
    <x v="0"/>
    <x v="3"/>
    <x v="602"/>
    <x v="0"/>
    <x v="11"/>
    <x v="10"/>
  </r>
  <r>
    <x v="436"/>
    <x v="76"/>
    <x v="202"/>
    <x v="67"/>
    <x v="21"/>
    <x v="6"/>
    <x v="0"/>
    <x v="4"/>
    <x v="7"/>
    <x v="3"/>
    <x v="5"/>
    <x v="31"/>
    <x v="26"/>
    <x v="7"/>
    <x v="54"/>
    <x v="304"/>
    <x v="1"/>
    <x v="4"/>
    <x v="1"/>
    <x v="1"/>
    <x v="1"/>
    <x v="1"/>
    <x v="0"/>
    <x v="3"/>
    <x v="53"/>
    <x v="0"/>
    <x v="11"/>
    <x v="10"/>
  </r>
  <r>
    <x v="437"/>
    <x v="282"/>
    <x v="21"/>
    <x v="58"/>
    <x v="5"/>
    <x v="1"/>
    <x v="0"/>
    <x v="9"/>
    <x v="20"/>
    <x v="3"/>
    <x v="16"/>
    <x v="65"/>
    <x v="80"/>
    <x v="29"/>
    <x v="109"/>
    <x v="138"/>
    <x v="1"/>
    <x v="14"/>
    <x v="1"/>
    <x v="1"/>
    <x v="1"/>
    <x v="1"/>
    <x v="0"/>
    <x v="4"/>
    <x v="105"/>
    <x v="0"/>
    <x v="11"/>
    <x v="10"/>
  </r>
  <r>
    <x v="438"/>
    <x v="342"/>
    <x v="19"/>
    <x v="36"/>
    <x v="63"/>
    <x v="5"/>
    <x v="1"/>
    <x v="10"/>
    <x v="20"/>
    <x v="0"/>
    <x v="44"/>
    <x v="0"/>
    <x v="228"/>
    <x v="50"/>
    <x v="469"/>
    <x v="283"/>
    <x v="1"/>
    <x v="19"/>
    <x v="1"/>
    <x v="2"/>
    <x v="1"/>
    <x v="1"/>
    <x v="0"/>
    <x v="0"/>
    <x v="450"/>
    <x v="0"/>
    <x v="11"/>
    <x v="10"/>
  </r>
  <r>
    <x v="439"/>
    <x v="5"/>
    <x v="31"/>
    <x v="38"/>
    <x v="92"/>
    <x v="5"/>
    <x v="3"/>
    <x v="9"/>
    <x v="18"/>
    <x v="1"/>
    <x v="66"/>
    <x v="83"/>
    <x v="313"/>
    <x v="68"/>
    <x v="582"/>
    <x v="268"/>
    <x v="4"/>
    <x v="16"/>
    <x v="1"/>
    <x v="2"/>
    <x v="2"/>
    <x v="1"/>
    <x v="0"/>
    <x v="3"/>
    <x v="558"/>
    <x v="0"/>
    <x v="11"/>
    <x v="10"/>
  </r>
  <r>
    <x v="440"/>
    <x v="257"/>
    <x v="297"/>
    <x v="33"/>
    <x v="87"/>
    <x v="5"/>
    <x v="1"/>
    <x v="11"/>
    <x v="23"/>
    <x v="1"/>
    <x v="49"/>
    <x v="56"/>
    <x v="241"/>
    <x v="56"/>
    <x v="457"/>
    <x v="232"/>
    <x v="4"/>
    <x v="19"/>
    <x v="1"/>
    <x v="1"/>
    <x v="2"/>
    <x v="1"/>
    <x v="0"/>
    <x v="0"/>
    <x v="442"/>
    <x v="0"/>
    <x v="11"/>
    <x v="10"/>
  </r>
  <r>
    <x v="441"/>
    <x v="213"/>
    <x v="151"/>
    <x v="17"/>
    <x v="18"/>
    <x v="4"/>
    <x v="3"/>
    <x v="11"/>
    <x v="23"/>
    <x v="3"/>
    <x v="76"/>
    <x v="190"/>
    <x v="336"/>
    <x v="80"/>
    <x v="568"/>
    <x v="181"/>
    <x v="1"/>
    <x v="9"/>
    <x v="1"/>
    <x v="0"/>
    <x v="1"/>
    <x v="1"/>
    <x v="0"/>
    <x v="4"/>
    <x v="545"/>
    <x v="0"/>
    <x v="11"/>
    <x v="10"/>
  </r>
  <r>
    <x v="442"/>
    <x v="264"/>
    <x v="83"/>
    <x v="65"/>
    <x v="36"/>
    <x v="6"/>
    <x v="2"/>
    <x v="7"/>
    <x v="14"/>
    <x v="3"/>
    <x v="41"/>
    <x v="122"/>
    <x v="189"/>
    <x v="45"/>
    <x v="381"/>
    <x v="251"/>
    <x v="1"/>
    <x v="4"/>
    <x v="2"/>
    <x v="1"/>
    <x v="1"/>
    <x v="1"/>
    <x v="0"/>
    <x v="3"/>
    <x v="367"/>
    <x v="0"/>
    <x v="11"/>
    <x v="10"/>
  </r>
  <r>
    <x v="443"/>
    <x v="199"/>
    <x v="52"/>
    <x v="65"/>
    <x v="36"/>
    <x v="6"/>
    <x v="1"/>
    <x v="7"/>
    <x v="14"/>
    <x v="2"/>
    <x v="26"/>
    <x v="61"/>
    <x v="135"/>
    <x v="33"/>
    <x v="282"/>
    <x v="276"/>
    <x v="1"/>
    <x v="11"/>
    <x v="1"/>
    <x v="1"/>
    <x v="1"/>
    <x v="1"/>
    <x v="0"/>
    <x v="4"/>
    <x v="273"/>
    <x v="0"/>
    <x v="11"/>
    <x v="10"/>
  </r>
  <r>
    <x v="444"/>
    <x v="334"/>
    <x v="86"/>
    <x v="46"/>
    <x v="85"/>
    <x v="1"/>
    <x v="0"/>
    <x v="5"/>
    <x v="11"/>
    <x v="3"/>
    <x v="7"/>
    <x v="34"/>
    <x v="37"/>
    <x v="13"/>
    <x v="49"/>
    <x v="220"/>
    <x v="1"/>
    <x v="10"/>
    <x v="1"/>
    <x v="2"/>
    <x v="1"/>
    <x v="1"/>
    <x v="0"/>
    <x v="0"/>
    <x v="49"/>
    <x v="0"/>
    <x v="11"/>
    <x v="10"/>
  </r>
  <r>
    <x v="445"/>
    <x v="176"/>
    <x v="80"/>
    <x v="57"/>
    <x v="58"/>
    <x v="1"/>
    <x v="3"/>
    <x v="5"/>
    <x v="11"/>
    <x v="5"/>
    <x v="43"/>
    <x v="165"/>
    <x v="177"/>
    <x v="49"/>
    <x v="298"/>
    <x v="159"/>
    <x v="1"/>
    <x v="14"/>
    <x v="1"/>
    <x v="0"/>
    <x v="1"/>
    <x v="1"/>
    <x v="0"/>
    <x v="3"/>
    <x v="287"/>
    <x v="0"/>
    <x v="11"/>
    <x v="10"/>
  </r>
  <r>
    <x v="446"/>
    <x v="170"/>
    <x v="121"/>
    <x v="49"/>
    <x v="38"/>
    <x v="1"/>
    <x v="1"/>
    <x v="6"/>
    <x v="13"/>
    <x v="4"/>
    <x v="22"/>
    <x v="101"/>
    <x v="103"/>
    <x v="31"/>
    <x v="173"/>
    <x v="199"/>
    <x v="1"/>
    <x v="1"/>
    <x v="1"/>
    <x v="1"/>
    <x v="1"/>
    <x v="1"/>
    <x v="0"/>
    <x v="4"/>
    <x v="167"/>
    <x v="0"/>
    <x v="11"/>
    <x v="10"/>
  </r>
  <r>
    <x v="447"/>
    <x v="236"/>
    <x v="174"/>
    <x v="61"/>
    <x v="76"/>
    <x v="6"/>
    <x v="0"/>
    <x v="2"/>
    <x v="3"/>
    <x v="1"/>
    <x v="2"/>
    <x v="3"/>
    <x v="16"/>
    <x v="3"/>
    <x v="36"/>
    <x v="336"/>
    <x v="1"/>
    <x v="18"/>
    <x v="0"/>
    <x v="2"/>
    <x v="1"/>
    <x v="1"/>
    <x v="0"/>
    <x v="4"/>
    <x v="37"/>
    <x v="0"/>
    <x v="11"/>
    <x v="10"/>
  </r>
  <r>
    <x v="448"/>
    <x v="105"/>
    <x v="28"/>
    <x v="33"/>
    <x v="87"/>
    <x v="5"/>
    <x v="1"/>
    <x v="11"/>
    <x v="23"/>
    <x v="2"/>
    <x v="49"/>
    <x v="103"/>
    <x v="233"/>
    <x v="56"/>
    <x v="430"/>
    <x v="211"/>
    <x v="1"/>
    <x v="0"/>
    <x v="1"/>
    <x v="0"/>
    <x v="1"/>
    <x v="1"/>
    <x v="0"/>
    <x v="0"/>
    <x v="415"/>
    <x v="0"/>
    <x v="11"/>
    <x v="10"/>
  </r>
  <r>
    <x v="449"/>
    <x v="259"/>
    <x v="156"/>
    <x v="26"/>
    <x v="8"/>
    <x v="4"/>
    <x v="1"/>
    <x v="5"/>
    <x v="10"/>
    <x v="2"/>
    <x v="19"/>
    <x v="49"/>
    <x v="102"/>
    <x v="25"/>
    <x v="209"/>
    <x v="274"/>
    <x v="4"/>
    <x v="5"/>
    <x v="0"/>
    <x v="1"/>
    <x v="2"/>
    <x v="1"/>
    <x v="0"/>
    <x v="0"/>
    <x v="202"/>
    <x v="0"/>
    <x v="11"/>
    <x v="10"/>
  </r>
  <r>
    <x v="450"/>
    <x v="64"/>
    <x v="177"/>
    <x v="4"/>
    <x v="66"/>
    <x v="3"/>
    <x v="0"/>
    <x v="14"/>
    <x v="31"/>
    <x v="0"/>
    <x v="33"/>
    <x v="0"/>
    <x v="181"/>
    <x v="47"/>
    <x v="319"/>
    <x v="185"/>
    <x v="0"/>
    <x v="19"/>
    <x v="0"/>
    <x v="0"/>
    <x v="0"/>
    <x v="1"/>
    <x v="0"/>
    <x v="1"/>
    <x v="0"/>
    <x v="0"/>
    <x v="11"/>
    <x v="10"/>
  </r>
  <r>
    <x v="451"/>
    <x v="183"/>
    <x v="123"/>
    <x v="97"/>
    <x v="81"/>
    <x v="0"/>
    <x v="0"/>
    <x v="12"/>
    <x v="29"/>
    <x v="3"/>
    <x v="27"/>
    <x v="90"/>
    <x v="126"/>
    <x v="43"/>
    <x v="149"/>
    <x v="87"/>
    <x v="1"/>
    <x v="4"/>
    <x v="1"/>
    <x v="1"/>
    <x v="1"/>
    <x v="1"/>
    <x v="0"/>
    <x v="3"/>
    <x v="143"/>
    <x v="0"/>
    <x v="11"/>
    <x v="10"/>
  </r>
  <r>
    <x v="452"/>
    <x v="20"/>
    <x v="120"/>
    <x v="35"/>
    <x v="24"/>
    <x v="5"/>
    <x v="1"/>
    <x v="17"/>
    <x v="35"/>
    <x v="1"/>
    <x v="70"/>
    <x v="91"/>
    <x v="324"/>
    <x v="78"/>
    <x v="550"/>
    <x v="167"/>
    <x v="1"/>
    <x v="14"/>
    <x v="0"/>
    <x v="1"/>
    <x v="1"/>
    <x v="1"/>
    <x v="0"/>
    <x v="3"/>
    <x v="527"/>
    <x v="0"/>
    <x v="11"/>
    <x v="10"/>
  </r>
  <r>
    <x v="453"/>
    <x v="265"/>
    <x v="261"/>
    <x v="60"/>
    <x v="68"/>
    <x v="6"/>
    <x v="0"/>
    <x v="5"/>
    <x v="9"/>
    <x v="2"/>
    <x v="7"/>
    <x v="21"/>
    <x v="40"/>
    <x v="11"/>
    <x v="85"/>
    <x v="297"/>
    <x v="1"/>
    <x v="8"/>
    <x v="2"/>
    <x v="0"/>
    <x v="1"/>
    <x v="1"/>
    <x v="0"/>
    <x v="3"/>
    <x v="84"/>
    <x v="0"/>
    <x v="11"/>
    <x v="10"/>
  </r>
  <r>
    <x v="454"/>
    <x v="166"/>
    <x v="170"/>
    <x v="56"/>
    <x v="17"/>
    <x v="1"/>
    <x v="0"/>
    <x v="1"/>
    <x v="1"/>
    <x v="4"/>
    <x v="1"/>
    <x v="20"/>
    <x v="6"/>
    <x v="1"/>
    <x v="5"/>
    <x v="303"/>
    <x v="1"/>
    <x v="11"/>
    <x v="0"/>
    <x v="1"/>
    <x v="1"/>
    <x v="1"/>
    <x v="0"/>
    <x v="4"/>
    <x v="6"/>
    <x v="0"/>
    <x v="11"/>
    <x v="10"/>
  </r>
  <r>
    <x v="455"/>
    <x v="102"/>
    <x v="189"/>
    <x v="90"/>
    <x v="69"/>
    <x v="0"/>
    <x v="0"/>
    <x v="20"/>
    <x v="41"/>
    <x v="1"/>
    <x v="54"/>
    <x v="63"/>
    <x v="260"/>
    <x v="68"/>
    <x v="399"/>
    <x v="98"/>
    <x v="4"/>
    <x v="16"/>
    <x v="1"/>
    <x v="1"/>
    <x v="2"/>
    <x v="1"/>
    <x v="0"/>
    <x v="3"/>
    <x v="385"/>
    <x v="0"/>
    <x v="11"/>
    <x v="10"/>
  </r>
  <r>
    <x v="456"/>
    <x v="334"/>
    <x v="122"/>
    <x v="38"/>
    <x v="92"/>
    <x v="5"/>
    <x v="2"/>
    <x v="9"/>
    <x v="18"/>
    <x v="1"/>
    <x v="55"/>
    <x v="65"/>
    <x v="267"/>
    <x v="59"/>
    <x v="519"/>
    <x v="268"/>
    <x v="1"/>
    <x v="8"/>
    <x v="1"/>
    <x v="1"/>
    <x v="1"/>
    <x v="1"/>
    <x v="0"/>
    <x v="0"/>
    <x v="496"/>
    <x v="0"/>
    <x v="11"/>
    <x v="10"/>
  </r>
  <r>
    <x v="457"/>
    <x v="194"/>
    <x v="118"/>
    <x v="98"/>
    <x v="72"/>
    <x v="0"/>
    <x v="1"/>
    <x v="15"/>
    <x v="34"/>
    <x v="1"/>
    <x v="64"/>
    <x v="78"/>
    <x v="302"/>
    <x v="75"/>
    <x v="487"/>
    <x v="122"/>
    <x v="1"/>
    <x v="19"/>
    <x v="1"/>
    <x v="1"/>
    <x v="1"/>
    <x v="1"/>
    <x v="0"/>
    <x v="4"/>
    <x v="468"/>
    <x v="0"/>
    <x v="11"/>
    <x v="10"/>
  </r>
  <r>
    <x v="458"/>
    <x v="168"/>
    <x v="79"/>
    <x v="73"/>
    <x v="60"/>
    <x v="2"/>
    <x v="1"/>
    <x v="3"/>
    <x v="6"/>
    <x v="4"/>
    <x v="13"/>
    <x v="70"/>
    <x v="65"/>
    <x v="18"/>
    <x v="122"/>
    <x v="263"/>
    <x v="1"/>
    <x v="6"/>
    <x v="1"/>
    <x v="0"/>
    <x v="1"/>
    <x v="1"/>
    <x v="0"/>
    <x v="0"/>
    <x v="118"/>
    <x v="0"/>
    <x v="11"/>
    <x v="10"/>
  </r>
  <r>
    <x v="459"/>
    <x v="42"/>
    <x v="278"/>
    <x v="37"/>
    <x v="51"/>
    <x v="5"/>
    <x v="0"/>
    <x v="8"/>
    <x v="17"/>
    <x v="1"/>
    <x v="14"/>
    <x v="16"/>
    <x v="78"/>
    <x v="21"/>
    <x v="154"/>
    <x v="265"/>
    <x v="1"/>
    <x v="6"/>
    <x v="2"/>
    <x v="2"/>
    <x v="1"/>
    <x v="1"/>
    <x v="0"/>
    <x v="4"/>
    <x v="148"/>
    <x v="0"/>
    <x v="11"/>
    <x v="10"/>
  </r>
  <r>
    <x v="460"/>
    <x v="338"/>
    <x v="131"/>
    <x v="23"/>
    <x v="49"/>
    <x v="4"/>
    <x v="1"/>
    <x v="12"/>
    <x v="24"/>
    <x v="0"/>
    <x v="53"/>
    <x v="0"/>
    <x v="268"/>
    <x v="59"/>
    <x v="520"/>
    <x v="271"/>
    <x v="4"/>
    <x v="9"/>
    <x v="0"/>
    <x v="1"/>
    <x v="2"/>
    <x v="1"/>
    <x v="0"/>
    <x v="0"/>
    <x v="497"/>
    <x v="0"/>
    <x v="11"/>
    <x v="10"/>
  </r>
  <r>
    <x v="461"/>
    <x v="246"/>
    <x v="238"/>
    <x v="5"/>
    <x v="98"/>
    <x v="3"/>
    <x v="2"/>
    <x v="9"/>
    <x v="18"/>
    <x v="0"/>
    <x v="55"/>
    <x v="0"/>
    <x v="277"/>
    <x v="59"/>
    <x v="537"/>
    <x v="288"/>
    <x v="1"/>
    <x v="6"/>
    <x v="1"/>
    <x v="2"/>
    <x v="1"/>
    <x v="1"/>
    <x v="0"/>
    <x v="4"/>
    <x v="514"/>
    <x v="0"/>
    <x v="11"/>
    <x v="10"/>
  </r>
  <r>
    <x v="462"/>
    <x v="49"/>
    <x v="161"/>
    <x v="64"/>
    <x v="3"/>
    <x v="6"/>
    <x v="3"/>
    <x v="12"/>
    <x v="28"/>
    <x v="4"/>
    <x v="81"/>
    <x v="214"/>
    <x v="344"/>
    <x v="88"/>
    <x v="526"/>
    <x v="85"/>
    <x v="1"/>
    <x v="8"/>
    <x v="1"/>
    <x v="0"/>
    <x v="1"/>
    <x v="1"/>
    <x v="0"/>
    <x v="3"/>
    <x v="503"/>
    <x v="0"/>
    <x v="11"/>
    <x v="10"/>
  </r>
  <r>
    <x v="463"/>
    <x v="262"/>
    <x v="158"/>
    <x v="87"/>
    <x v="26"/>
    <x v="0"/>
    <x v="2"/>
    <x v="15"/>
    <x v="34"/>
    <x v="3"/>
    <x v="79"/>
    <x v="194"/>
    <x v="347"/>
    <x v="92"/>
    <x v="516"/>
    <x v="65"/>
    <x v="1"/>
    <x v="6"/>
    <x v="0"/>
    <x v="2"/>
    <x v="1"/>
    <x v="1"/>
    <x v="0"/>
    <x v="0"/>
    <x v="493"/>
    <x v="0"/>
    <x v="11"/>
    <x v="10"/>
  </r>
  <r>
    <x v="464"/>
    <x v="71"/>
    <x v="150"/>
    <x v="95"/>
    <x v="0"/>
    <x v="0"/>
    <x v="1"/>
    <x v="24"/>
    <x v="48"/>
    <x v="3"/>
    <x v="105"/>
    <x v="236"/>
    <x v="428"/>
    <x v="119"/>
    <x v="573"/>
    <x v="12"/>
    <x v="1"/>
    <x v="11"/>
    <x v="1"/>
    <x v="1"/>
    <x v="1"/>
    <x v="2"/>
    <x v="0"/>
    <x v="4"/>
    <x v="550"/>
    <x v="0"/>
    <x v="11"/>
    <x v="10"/>
  </r>
  <r>
    <x v="465"/>
    <x v="302"/>
    <x v="24"/>
    <x v="8"/>
    <x v="50"/>
    <x v="3"/>
    <x v="0"/>
    <x v="10"/>
    <x v="20"/>
    <x v="2"/>
    <x v="20"/>
    <x v="50"/>
    <x v="104"/>
    <x v="29"/>
    <x v="193"/>
    <x v="237"/>
    <x v="1"/>
    <x v="4"/>
    <x v="1"/>
    <x v="1"/>
    <x v="1"/>
    <x v="1"/>
    <x v="0"/>
    <x v="0"/>
    <x v="187"/>
    <x v="0"/>
    <x v="11"/>
    <x v="10"/>
  </r>
  <r>
    <x v="466"/>
    <x v="67"/>
    <x v="155"/>
    <x v="85"/>
    <x v="35"/>
    <x v="2"/>
    <x v="0"/>
    <x v="1"/>
    <x v="2"/>
    <x v="2"/>
    <x v="1"/>
    <x v="7"/>
    <x v="8"/>
    <x v="2"/>
    <x v="10"/>
    <x v="314"/>
    <x v="1"/>
    <x v="15"/>
    <x v="1"/>
    <x v="1"/>
    <x v="1"/>
    <x v="1"/>
    <x v="0"/>
    <x v="0"/>
    <x v="11"/>
    <x v="0"/>
    <x v="11"/>
    <x v="10"/>
  </r>
  <r>
    <x v="467"/>
    <x v="174"/>
    <x v="114"/>
    <x v="10"/>
    <x v="42"/>
    <x v="3"/>
    <x v="0"/>
    <x v="18"/>
    <x v="37"/>
    <x v="1"/>
    <x v="45"/>
    <x v="51"/>
    <x v="221"/>
    <x v="59"/>
    <x v="356"/>
    <x v="136"/>
    <x v="1"/>
    <x v="3"/>
    <x v="0"/>
    <x v="0"/>
    <x v="1"/>
    <x v="1"/>
    <x v="0"/>
    <x v="3"/>
    <x v="343"/>
    <x v="0"/>
    <x v="11"/>
    <x v="10"/>
  </r>
  <r>
    <x v="468"/>
    <x v="240"/>
    <x v="55"/>
    <x v="22"/>
    <x v="79"/>
    <x v="4"/>
    <x v="2"/>
    <x v="4"/>
    <x v="7"/>
    <x v="1"/>
    <x v="28"/>
    <x v="31"/>
    <x v="148"/>
    <x v="30"/>
    <x v="364"/>
    <x v="328"/>
    <x v="4"/>
    <x v="3"/>
    <x v="1"/>
    <x v="0"/>
    <x v="2"/>
    <x v="1"/>
    <x v="0"/>
    <x v="4"/>
    <x v="350"/>
    <x v="0"/>
    <x v="11"/>
    <x v="10"/>
  </r>
  <r>
    <x v="469"/>
    <x v="199"/>
    <x v="216"/>
    <x v="46"/>
    <x v="85"/>
    <x v="1"/>
    <x v="0"/>
    <x v="5"/>
    <x v="11"/>
    <x v="1"/>
    <x v="7"/>
    <x v="8"/>
    <x v="45"/>
    <x v="13"/>
    <x v="84"/>
    <x v="272"/>
    <x v="1"/>
    <x v="5"/>
    <x v="0"/>
    <x v="1"/>
    <x v="1"/>
    <x v="1"/>
    <x v="0"/>
    <x v="4"/>
    <x v="83"/>
    <x v="0"/>
    <x v="11"/>
    <x v="10"/>
  </r>
  <r>
    <x v="470"/>
    <x v="32"/>
    <x v="24"/>
    <x v="9"/>
    <x v="95"/>
    <x v="3"/>
    <x v="1"/>
    <x v="19"/>
    <x v="39"/>
    <x v="3"/>
    <x v="78"/>
    <x v="192"/>
    <x v="338"/>
    <x v="89"/>
    <x v="486"/>
    <x v="61"/>
    <x v="2"/>
    <x v="4"/>
    <x v="1"/>
    <x v="1"/>
    <x v="2"/>
    <x v="1"/>
    <x v="0"/>
    <x v="2"/>
    <x v="467"/>
    <x v="0"/>
    <x v="11"/>
    <x v="10"/>
  </r>
  <r>
    <x v="471"/>
    <x v="318"/>
    <x v="286"/>
    <x v="94"/>
    <x v="86"/>
    <x v="0"/>
    <x v="0"/>
    <x v="18"/>
    <x v="38"/>
    <x v="2"/>
    <x v="45"/>
    <x v="95"/>
    <x v="214"/>
    <x v="60"/>
    <x v="279"/>
    <x v="81"/>
    <x v="1"/>
    <x v="0"/>
    <x v="1"/>
    <x v="1"/>
    <x v="1"/>
    <x v="1"/>
    <x v="0"/>
    <x v="4"/>
    <x v="270"/>
    <x v="0"/>
    <x v="11"/>
    <x v="10"/>
  </r>
  <r>
    <x v="472"/>
    <x v="63"/>
    <x v="82"/>
    <x v="60"/>
    <x v="68"/>
    <x v="6"/>
    <x v="2"/>
    <x v="5"/>
    <x v="9"/>
    <x v="2"/>
    <x v="31"/>
    <x v="71"/>
    <x v="160"/>
    <x v="36"/>
    <x v="361"/>
    <x v="297"/>
    <x v="1"/>
    <x v="8"/>
    <x v="1"/>
    <x v="0"/>
    <x v="1"/>
    <x v="1"/>
    <x v="0"/>
    <x v="4"/>
    <x v="347"/>
    <x v="0"/>
    <x v="11"/>
    <x v="10"/>
  </r>
  <r>
    <x v="473"/>
    <x v="190"/>
    <x v="131"/>
    <x v="77"/>
    <x v="75"/>
    <x v="2"/>
    <x v="0"/>
    <x v="2"/>
    <x v="4"/>
    <x v="3"/>
    <x v="2"/>
    <x v="19"/>
    <x v="13"/>
    <x v="4"/>
    <x v="16"/>
    <x v="290"/>
    <x v="1"/>
    <x v="9"/>
    <x v="0"/>
    <x v="0"/>
    <x v="1"/>
    <x v="1"/>
    <x v="0"/>
    <x v="0"/>
    <x v="17"/>
    <x v="0"/>
    <x v="11"/>
    <x v="10"/>
  </r>
  <r>
    <x v="474"/>
    <x v="306"/>
    <x v="205"/>
    <x v="5"/>
    <x v="98"/>
    <x v="3"/>
    <x v="0"/>
    <x v="9"/>
    <x v="18"/>
    <x v="5"/>
    <x v="16"/>
    <x v="97"/>
    <x v="71"/>
    <x v="24"/>
    <x v="96"/>
    <x v="156"/>
    <x v="1"/>
    <x v="10"/>
    <x v="1"/>
    <x v="0"/>
    <x v="1"/>
    <x v="1"/>
    <x v="0"/>
    <x v="4"/>
    <x v="94"/>
    <x v="0"/>
    <x v="11"/>
    <x v="10"/>
  </r>
  <r>
    <x v="475"/>
    <x v="181"/>
    <x v="148"/>
    <x v="96"/>
    <x v="91"/>
    <x v="0"/>
    <x v="0"/>
    <x v="23"/>
    <x v="47"/>
    <x v="0"/>
    <x v="75"/>
    <x v="0"/>
    <x v="358"/>
    <x v="93"/>
    <x v="523"/>
    <x v="63"/>
    <x v="1"/>
    <x v="7"/>
    <x v="0"/>
    <x v="1"/>
    <x v="1"/>
    <x v="1"/>
    <x v="0"/>
    <x v="4"/>
    <x v="500"/>
    <x v="0"/>
    <x v="11"/>
    <x v="10"/>
  </r>
  <r>
    <x v="476"/>
    <x v="136"/>
    <x v="188"/>
    <x v="87"/>
    <x v="26"/>
    <x v="0"/>
    <x v="0"/>
    <x v="15"/>
    <x v="34"/>
    <x v="2"/>
    <x v="35"/>
    <x v="78"/>
    <x v="174"/>
    <x v="52"/>
    <x v="227"/>
    <x v="91"/>
    <x v="1"/>
    <x v="7"/>
    <x v="1"/>
    <x v="1"/>
    <x v="1"/>
    <x v="1"/>
    <x v="0"/>
    <x v="4"/>
    <x v="219"/>
    <x v="0"/>
    <x v="11"/>
    <x v="10"/>
  </r>
  <r>
    <x v="477"/>
    <x v="9"/>
    <x v="94"/>
    <x v="89"/>
    <x v="89"/>
    <x v="0"/>
    <x v="0"/>
    <x v="17"/>
    <x v="37"/>
    <x v="3"/>
    <x v="42"/>
    <x v="124"/>
    <x v="190"/>
    <x v="59"/>
    <x v="196"/>
    <x v="48"/>
    <x v="3"/>
    <x v="3"/>
    <x v="2"/>
    <x v="1"/>
    <x v="3"/>
    <x v="1"/>
    <x v="0"/>
    <x v="0"/>
    <x v="0"/>
    <x v="0"/>
    <x v="11"/>
    <x v="10"/>
  </r>
  <r>
    <x v="478"/>
    <x v="111"/>
    <x v="42"/>
    <x v="9"/>
    <x v="95"/>
    <x v="3"/>
    <x v="0"/>
    <x v="19"/>
    <x v="39"/>
    <x v="2"/>
    <x v="50"/>
    <x v="105"/>
    <x v="234"/>
    <x v="65"/>
    <x v="330"/>
    <x v="86"/>
    <x v="1"/>
    <x v="1"/>
    <x v="0"/>
    <x v="1"/>
    <x v="1"/>
    <x v="1"/>
    <x v="0"/>
    <x v="4"/>
    <x v="318"/>
    <x v="0"/>
    <x v="11"/>
    <x v="10"/>
  </r>
  <r>
    <x v="479"/>
    <x v="154"/>
    <x v="88"/>
    <x v="43"/>
    <x v="25"/>
    <x v="5"/>
    <x v="1"/>
    <x v="3"/>
    <x v="5"/>
    <x v="5"/>
    <x v="13"/>
    <x v="87"/>
    <x v="59"/>
    <x v="17"/>
    <x v="113"/>
    <x v="273"/>
    <x v="1"/>
    <x v="13"/>
    <x v="0"/>
    <x v="1"/>
    <x v="1"/>
    <x v="1"/>
    <x v="0"/>
    <x v="4"/>
    <x v="109"/>
    <x v="0"/>
    <x v="11"/>
    <x v="10"/>
  </r>
  <r>
    <x v="480"/>
    <x v="253"/>
    <x v="245"/>
    <x v="16"/>
    <x v="22"/>
    <x v="4"/>
    <x v="1"/>
    <x v="15"/>
    <x v="31"/>
    <x v="4"/>
    <x v="64"/>
    <x v="187"/>
    <x v="276"/>
    <x v="71"/>
    <x v="431"/>
    <x v="108"/>
    <x v="3"/>
    <x v="10"/>
    <x v="1"/>
    <x v="1"/>
    <x v="3"/>
    <x v="1"/>
    <x v="0"/>
    <x v="0"/>
    <x v="0"/>
    <x v="0"/>
    <x v="11"/>
    <x v="10"/>
  </r>
  <r>
    <x v="481"/>
    <x v="303"/>
    <x v="119"/>
    <x v="11"/>
    <x v="15"/>
    <x v="3"/>
    <x v="2"/>
    <x v="8"/>
    <x v="17"/>
    <x v="1"/>
    <x v="48"/>
    <x v="55"/>
    <x v="240"/>
    <x v="54"/>
    <x v="479"/>
    <x v="265"/>
    <x v="1"/>
    <x v="6"/>
    <x v="1"/>
    <x v="0"/>
    <x v="1"/>
    <x v="1"/>
    <x v="0"/>
    <x v="3"/>
    <x v="460"/>
    <x v="0"/>
    <x v="11"/>
    <x v="10"/>
  </r>
  <r>
    <x v="482"/>
    <x v="196"/>
    <x v="218"/>
    <x v="52"/>
    <x v="54"/>
    <x v="1"/>
    <x v="1"/>
    <x v="8"/>
    <x v="16"/>
    <x v="3"/>
    <x v="32"/>
    <x v="102"/>
    <x v="153"/>
    <x v="39"/>
    <x v="300"/>
    <x v="234"/>
    <x v="1"/>
    <x v="6"/>
    <x v="0"/>
    <x v="1"/>
    <x v="1"/>
    <x v="1"/>
    <x v="0"/>
    <x v="4"/>
    <x v="289"/>
    <x v="0"/>
    <x v="11"/>
    <x v="10"/>
  </r>
  <r>
    <x v="483"/>
    <x v="105"/>
    <x v="32"/>
    <x v="52"/>
    <x v="54"/>
    <x v="1"/>
    <x v="1"/>
    <x v="8"/>
    <x v="16"/>
    <x v="1"/>
    <x v="32"/>
    <x v="35"/>
    <x v="171"/>
    <x v="39"/>
    <x v="366"/>
    <x v="281"/>
    <x v="1"/>
    <x v="11"/>
    <x v="2"/>
    <x v="0"/>
    <x v="1"/>
    <x v="1"/>
    <x v="0"/>
    <x v="4"/>
    <x v="352"/>
    <x v="0"/>
    <x v="11"/>
    <x v="10"/>
  </r>
  <r>
    <x v="484"/>
    <x v="175"/>
    <x v="106"/>
    <x v="44"/>
    <x v="53"/>
    <x v="5"/>
    <x v="2"/>
    <x v="6"/>
    <x v="12"/>
    <x v="1"/>
    <x v="36"/>
    <x v="40"/>
    <x v="194"/>
    <x v="42"/>
    <x v="416"/>
    <x v="294"/>
    <x v="2"/>
    <x v="10"/>
    <x v="1"/>
    <x v="1"/>
    <x v="2"/>
    <x v="1"/>
    <x v="0"/>
    <x v="2"/>
    <x v="401"/>
    <x v="0"/>
    <x v="11"/>
    <x v="10"/>
  </r>
  <r>
    <x v="485"/>
    <x v="125"/>
    <x v="45"/>
    <x v="93"/>
    <x v="70"/>
    <x v="0"/>
    <x v="0"/>
    <x v="20"/>
    <x v="42"/>
    <x v="5"/>
    <x v="54"/>
    <x v="185"/>
    <x v="218"/>
    <x v="69"/>
    <x v="117"/>
    <x v="6"/>
    <x v="2"/>
    <x v="12"/>
    <x v="0"/>
    <x v="2"/>
    <x v="2"/>
    <x v="1"/>
    <x v="0"/>
    <x v="2"/>
    <x v="113"/>
    <x v="0"/>
    <x v="11"/>
    <x v="10"/>
  </r>
  <r>
    <x v="486"/>
    <x v="245"/>
    <x v="266"/>
    <x v="8"/>
    <x v="50"/>
    <x v="3"/>
    <x v="1"/>
    <x v="10"/>
    <x v="20"/>
    <x v="1"/>
    <x v="44"/>
    <x v="50"/>
    <x v="220"/>
    <x v="50"/>
    <x v="446"/>
    <x v="262"/>
    <x v="1"/>
    <x v="0"/>
    <x v="0"/>
    <x v="1"/>
    <x v="1"/>
    <x v="1"/>
    <x v="0"/>
    <x v="3"/>
    <x v="431"/>
    <x v="0"/>
    <x v="11"/>
    <x v="10"/>
  </r>
  <r>
    <x v="487"/>
    <x v="5"/>
    <x v="77"/>
    <x v="55"/>
    <x v="37"/>
    <x v="1"/>
    <x v="1"/>
    <x v="15"/>
    <x v="34"/>
    <x v="0"/>
    <x v="64"/>
    <x v="0"/>
    <x v="311"/>
    <x v="75"/>
    <x v="520"/>
    <x v="155"/>
    <x v="4"/>
    <x v="5"/>
    <x v="1"/>
    <x v="0"/>
    <x v="2"/>
    <x v="1"/>
    <x v="0"/>
    <x v="0"/>
    <x v="497"/>
    <x v="0"/>
    <x v="11"/>
    <x v="10"/>
  </r>
  <r>
    <x v="488"/>
    <x v="310"/>
    <x v="255"/>
    <x v="68"/>
    <x v="80"/>
    <x v="6"/>
    <x v="1"/>
    <x v="12"/>
    <x v="27"/>
    <x v="1"/>
    <x v="53"/>
    <x v="62"/>
    <x v="259"/>
    <x v="63"/>
    <x v="470"/>
    <x v="203"/>
    <x v="1"/>
    <x v="15"/>
    <x v="0"/>
    <x v="1"/>
    <x v="1"/>
    <x v="1"/>
    <x v="0"/>
    <x v="0"/>
    <x v="451"/>
    <x v="0"/>
    <x v="11"/>
    <x v="10"/>
  </r>
  <r>
    <x v="489"/>
    <x v="40"/>
    <x v="199"/>
    <x v="61"/>
    <x v="76"/>
    <x v="6"/>
    <x v="0"/>
    <x v="2"/>
    <x v="3"/>
    <x v="3"/>
    <x v="2"/>
    <x v="19"/>
    <x v="13"/>
    <x v="3"/>
    <x v="22"/>
    <x v="319"/>
    <x v="1"/>
    <x v="14"/>
    <x v="0"/>
    <x v="2"/>
    <x v="1"/>
    <x v="1"/>
    <x v="0"/>
    <x v="3"/>
    <x v="23"/>
    <x v="0"/>
    <x v="11"/>
    <x v="10"/>
  </r>
  <r>
    <x v="490"/>
    <x v="51"/>
    <x v="176"/>
    <x v="13"/>
    <x v="41"/>
    <x v="3"/>
    <x v="0"/>
    <x v="6"/>
    <x v="12"/>
    <x v="1"/>
    <x v="9"/>
    <x v="10"/>
    <x v="56"/>
    <x v="14"/>
    <x v="111"/>
    <x v="294"/>
    <x v="1"/>
    <x v="5"/>
    <x v="0"/>
    <x v="1"/>
    <x v="1"/>
    <x v="1"/>
    <x v="0"/>
    <x v="4"/>
    <x v="107"/>
    <x v="0"/>
    <x v="11"/>
    <x v="10"/>
  </r>
  <r>
    <x v="491"/>
    <x v="8"/>
    <x v="22"/>
    <x v="85"/>
    <x v="35"/>
    <x v="2"/>
    <x v="1"/>
    <x v="1"/>
    <x v="2"/>
    <x v="4"/>
    <x v="6"/>
    <x v="48"/>
    <x v="32"/>
    <x v="10"/>
    <x v="56"/>
    <x v="280"/>
    <x v="1"/>
    <x v="1"/>
    <x v="1"/>
    <x v="1"/>
    <x v="1"/>
    <x v="1"/>
    <x v="0"/>
    <x v="4"/>
    <x v="55"/>
    <x v="0"/>
    <x v="11"/>
    <x v="10"/>
  </r>
  <r>
    <x v="492"/>
    <x v="117"/>
    <x v="48"/>
    <x v="87"/>
    <x v="26"/>
    <x v="0"/>
    <x v="0"/>
    <x v="15"/>
    <x v="34"/>
    <x v="0"/>
    <x v="35"/>
    <x v="0"/>
    <x v="195"/>
    <x v="52"/>
    <x v="319"/>
    <x v="155"/>
    <x v="1"/>
    <x v="0"/>
    <x v="1"/>
    <x v="1"/>
    <x v="1"/>
    <x v="1"/>
    <x v="0"/>
    <x v="0"/>
    <x v="307"/>
    <x v="0"/>
    <x v="11"/>
    <x v="10"/>
  </r>
  <r>
    <x v="493"/>
    <x v="32"/>
    <x v="142"/>
    <x v="45"/>
    <x v="30"/>
    <x v="1"/>
    <x v="0"/>
    <x v="7"/>
    <x v="15"/>
    <x v="3"/>
    <x v="11"/>
    <x v="46"/>
    <x v="55"/>
    <x v="18"/>
    <x v="80"/>
    <x v="213"/>
    <x v="4"/>
    <x v="4"/>
    <x v="0"/>
    <x v="0"/>
    <x v="2"/>
    <x v="1"/>
    <x v="0"/>
    <x v="0"/>
    <x v="79"/>
    <x v="0"/>
    <x v="11"/>
    <x v="10"/>
  </r>
  <r>
    <x v="494"/>
    <x v="292"/>
    <x v="82"/>
    <x v="0"/>
    <x v="97"/>
    <x v="3"/>
    <x v="1"/>
    <x v="11"/>
    <x v="26"/>
    <x v="4"/>
    <x v="49"/>
    <x v="159"/>
    <x v="213"/>
    <x v="62"/>
    <x v="244"/>
    <x v="57"/>
    <x v="1"/>
    <x v="8"/>
    <x v="1"/>
    <x v="1"/>
    <x v="1"/>
    <x v="1"/>
    <x v="0"/>
    <x v="4"/>
    <x v="236"/>
    <x v="0"/>
    <x v="11"/>
    <x v="10"/>
  </r>
  <r>
    <x v="495"/>
    <x v="322"/>
    <x v="166"/>
    <x v="95"/>
    <x v="0"/>
    <x v="0"/>
    <x v="1"/>
    <x v="24"/>
    <x v="48"/>
    <x v="2"/>
    <x v="105"/>
    <x v="217"/>
    <x v="430"/>
    <x v="119"/>
    <x v="630"/>
    <x v="29"/>
    <x v="0"/>
    <x v="0"/>
    <x v="1"/>
    <x v="0"/>
    <x v="0"/>
    <x v="2"/>
    <x v="0"/>
    <x v="1"/>
    <x v="0"/>
    <x v="0"/>
    <x v="11"/>
    <x v="10"/>
  </r>
  <r>
    <x v="496"/>
    <x v="163"/>
    <x v="176"/>
    <x v="76"/>
    <x v="64"/>
    <x v="2"/>
    <x v="1"/>
    <x v="4"/>
    <x v="8"/>
    <x v="1"/>
    <x v="15"/>
    <x v="17"/>
    <x v="91"/>
    <x v="21"/>
    <x v="218"/>
    <x v="313"/>
    <x v="1"/>
    <x v="5"/>
    <x v="0"/>
    <x v="0"/>
    <x v="1"/>
    <x v="1"/>
    <x v="0"/>
    <x v="4"/>
    <x v="210"/>
    <x v="0"/>
    <x v="11"/>
    <x v="10"/>
  </r>
  <r>
    <x v="497"/>
    <x v="14"/>
    <x v="242"/>
    <x v="29"/>
    <x v="34"/>
    <x v="4"/>
    <x v="3"/>
    <x v="21"/>
    <x v="43"/>
    <x v="1"/>
    <x v="107"/>
    <x v="178"/>
    <x v="438"/>
    <x v="117"/>
    <x v="672"/>
    <x v="132"/>
    <x v="1"/>
    <x v="4"/>
    <x v="0"/>
    <x v="1"/>
    <x v="1"/>
    <x v="2"/>
    <x v="0"/>
    <x v="4"/>
    <x v="634"/>
    <x v="0"/>
    <x v="11"/>
    <x v="10"/>
  </r>
  <r>
    <x v="498"/>
    <x v="262"/>
    <x v="120"/>
    <x v="87"/>
    <x v="26"/>
    <x v="0"/>
    <x v="2"/>
    <x v="15"/>
    <x v="34"/>
    <x v="0"/>
    <x v="79"/>
    <x v="0"/>
    <x v="379"/>
    <x v="92"/>
    <x v="609"/>
    <x v="155"/>
    <x v="3"/>
    <x v="14"/>
    <x v="0"/>
    <x v="1"/>
    <x v="3"/>
    <x v="1"/>
    <x v="0"/>
    <x v="0"/>
    <x v="0"/>
    <x v="0"/>
    <x v="11"/>
    <x v="10"/>
  </r>
  <r>
    <x v="499"/>
    <x v="240"/>
    <x v="141"/>
    <x v="16"/>
    <x v="22"/>
    <x v="4"/>
    <x v="1"/>
    <x v="15"/>
    <x v="31"/>
    <x v="2"/>
    <x v="64"/>
    <x v="134"/>
    <x v="293"/>
    <x v="71"/>
    <x v="506"/>
    <x v="174"/>
    <x v="1"/>
    <x v="8"/>
    <x v="1"/>
    <x v="0"/>
    <x v="1"/>
    <x v="1"/>
    <x v="0"/>
    <x v="4"/>
    <x v="484"/>
    <x v="0"/>
    <x v="11"/>
    <x v="10"/>
  </r>
  <r>
    <x v="500"/>
    <x v="160"/>
    <x v="79"/>
    <x v="24"/>
    <x v="44"/>
    <x v="4"/>
    <x v="3"/>
    <x v="16"/>
    <x v="33"/>
    <x v="5"/>
    <x v="95"/>
    <x v="240"/>
    <x v="388"/>
    <x v="100"/>
    <x v="564"/>
    <x v="62"/>
    <x v="1"/>
    <x v="6"/>
    <x v="1"/>
    <x v="0"/>
    <x v="1"/>
    <x v="1"/>
    <x v="0"/>
    <x v="3"/>
    <x v="541"/>
    <x v="0"/>
    <x v="11"/>
    <x v="10"/>
  </r>
  <r>
    <x v="501"/>
    <x v="42"/>
    <x v="180"/>
    <x v="66"/>
    <x v="13"/>
    <x v="6"/>
    <x v="0"/>
    <x v="8"/>
    <x v="16"/>
    <x v="0"/>
    <x v="14"/>
    <x v="0"/>
    <x v="84"/>
    <x v="20"/>
    <x v="178"/>
    <x v="298"/>
    <x v="2"/>
    <x v="1"/>
    <x v="0"/>
    <x v="0"/>
    <x v="2"/>
    <x v="1"/>
    <x v="0"/>
    <x v="2"/>
    <x v="172"/>
    <x v="0"/>
    <x v="11"/>
    <x v="10"/>
  </r>
  <r>
    <x v="502"/>
    <x v="22"/>
    <x v="245"/>
    <x v="20"/>
    <x v="40"/>
    <x v="4"/>
    <x v="1"/>
    <x v="17"/>
    <x v="32"/>
    <x v="1"/>
    <x v="70"/>
    <x v="91"/>
    <x v="324"/>
    <x v="72"/>
    <x v="580"/>
    <x v="233"/>
    <x v="4"/>
    <x v="10"/>
    <x v="1"/>
    <x v="2"/>
    <x v="2"/>
    <x v="1"/>
    <x v="0"/>
    <x v="4"/>
    <x v="556"/>
    <x v="0"/>
    <x v="11"/>
    <x v="10"/>
  </r>
  <r>
    <x v="503"/>
    <x v="112"/>
    <x v="43"/>
    <x v="59"/>
    <x v="99"/>
    <x v="6"/>
    <x v="1"/>
    <x v="10"/>
    <x v="20"/>
    <x v="1"/>
    <x v="44"/>
    <x v="50"/>
    <x v="220"/>
    <x v="50"/>
    <x v="446"/>
    <x v="262"/>
    <x v="3"/>
    <x v="8"/>
    <x v="1"/>
    <x v="2"/>
    <x v="3"/>
    <x v="1"/>
    <x v="0"/>
    <x v="3"/>
    <x v="0"/>
    <x v="0"/>
    <x v="11"/>
    <x v="10"/>
  </r>
  <r>
    <x v="504"/>
    <x v="221"/>
    <x v="296"/>
    <x v="22"/>
    <x v="79"/>
    <x v="4"/>
    <x v="0"/>
    <x v="4"/>
    <x v="7"/>
    <x v="1"/>
    <x v="5"/>
    <x v="6"/>
    <x v="34"/>
    <x v="7"/>
    <x v="88"/>
    <x v="328"/>
    <x v="1"/>
    <x v="5"/>
    <x v="1"/>
    <x v="0"/>
    <x v="1"/>
    <x v="1"/>
    <x v="0"/>
    <x v="4"/>
    <x v="87"/>
    <x v="0"/>
    <x v="11"/>
    <x v="10"/>
  </r>
  <r>
    <x v="505"/>
    <x v="261"/>
    <x v="283"/>
    <x v="38"/>
    <x v="92"/>
    <x v="5"/>
    <x v="3"/>
    <x v="9"/>
    <x v="18"/>
    <x v="2"/>
    <x v="66"/>
    <x v="139"/>
    <x v="305"/>
    <x v="68"/>
    <x v="562"/>
    <x v="243"/>
    <x v="1"/>
    <x v="12"/>
    <x v="0"/>
    <x v="2"/>
    <x v="1"/>
    <x v="1"/>
    <x v="0"/>
    <x v="3"/>
    <x v="539"/>
    <x v="0"/>
    <x v="11"/>
    <x v="10"/>
  </r>
  <r>
    <x v="506"/>
    <x v="246"/>
    <x v="16"/>
    <x v="74"/>
    <x v="4"/>
    <x v="2"/>
    <x v="0"/>
    <x v="1"/>
    <x v="1"/>
    <x v="2"/>
    <x v="1"/>
    <x v="7"/>
    <x v="8"/>
    <x v="1"/>
    <x v="12"/>
    <x v="327"/>
    <x v="1"/>
    <x v="18"/>
    <x v="1"/>
    <x v="2"/>
    <x v="1"/>
    <x v="1"/>
    <x v="0"/>
    <x v="0"/>
    <x v="13"/>
    <x v="0"/>
    <x v="11"/>
    <x v="10"/>
  </r>
  <r>
    <x v="507"/>
    <x v="234"/>
    <x v="72"/>
    <x v="66"/>
    <x v="13"/>
    <x v="6"/>
    <x v="0"/>
    <x v="8"/>
    <x v="16"/>
    <x v="3"/>
    <x v="14"/>
    <x v="55"/>
    <x v="70"/>
    <x v="20"/>
    <x v="123"/>
    <x v="234"/>
    <x v="1"/>
    <x v="11"/>
    <x v="1"/>
    <x v="2"/>
    <x v="1"/>
    <x v="1"/>
    <x v="0"/>
    <x v="4"/>
    <x v="119"/>
    <x v="0"/>
    <x v="11"/>
    <x v="10"/>
  </r>
  <r>
    <x v="508"/>
    <x v="305"/>
    <x v="19"/>
    <x v="78"/>
    <x v="1"/>
    <x v="2"/>
    <x v="1"/>
    <x v="9"/>
    <x v="20"/>
    <x v="5"/>
    <x v="38"/>
    <x v="154"/>
    <x v="157"/>
    <x v="50"/>
    <x v="177"/>
    <x v="72"/>
    <x v="1"/>
    <x v="19"/>
    <x v="1"/>
    <x v="2"/>
    <x v="1"/>
    <x v="1"/>
    <x v="0"/>
    <x v="0"/>
    <x v="171"/>
    <x v="0"/>
    <x v="11"/>
    <x v="10"/>
  </r>
  <r>
    <x v="509"/>
    <x v="139"/>
    <x v="59"/>
    <x v="57"/>
    <x v="58"/>
    <x v="1"/>
    <x v="2"/>
    <x v="5"/>
    <x v="11"/>
    <x v="4"/>
    <x v="31"/>
    <x v="127"/>
    <x v="145"/>
    <x v="40"/>
    <x v="246"/>
    <x v="196"/>
    <x v="1"/>
    <x v="19"/>
    <x v="0"/>
    <x v="1"/>
    <x v="1"/>
    <x v="1"/>
    <x v="0"/>
    <x v="0"/>
    <x v="238"/>
    <x v="0"/>
    <x v="11"/>
    <x v="10"/>
  </r>
  <r>
    <x v="510"/>
    <x v="290"/>
    <x v="4"/>
    <x v="28"/>
    <x v="73"/>
    <x v="4"/>
    <x v="0"/>
    <x v="3"/>
    <x v="5"/>
    <x v="5"/>
    <x v="4"/>
    <x v="45"/>
    <x v="15"/>
    <x v="5"/>
    <x v="18"/>
    <x v="273"/>
    <x v="1"/>
    <x v="4"/>
    <x v="1"/>
    <x v="2"/>
    <x v="1"/>
    <x v="1"/>
    <x v="0"/>
    <x v="4"/>
    <x v="19"/>
    <x v="0"/>
    <x v="11"/>
    <x v="10"/>
  </r>
  <r>
    <x v="511"/>
    <x v="44"/>
    <x v="29"/>
    <x v="42"/>
    <x v="47"/>
    <x v="5"/>
    <x v="1"/>
    <x v="15"/>
    <x v="32"/>
    <x v="5"/>
    <x v="64"/>
    <x v="203"/>
    <x v="264"/>
    <x v="72"/>
    <x v="318"/>
    <x v="43"/>
    <x v="0"/>
    <x v="13"/>
    <x v="1"/>
    <x v="1"/>
    <x v="0"/>
    <x v="1"/>
    <x v="0"/>
    <x v="1"/>
    <x v="0"/>
    <x v="0"/>
    <x v="11"/>
    <x v="10"/>
  </r>
  <r>
    <x v="512"/>
    <x v="279"/>
    <x v="230"/>
    <x v="33"/>
    <x v="87"/>
    <x v="5"/>
    <x v="1"/>
    <x v="11"/>
    <x v="23"/>
    <x v="4"/>
    <x v="49"/>
    <x v="159"/>
    <x v="213"/>
    <x v="56"/>
    <x v="348"/>
    <x v="147"/>
    <x v="4"/>
    <x v="11"/>
    <x v="0"/>
    <x v="2"/>
    <x v="2"/>
    <x v="1"/>
    <x v="0"/>
    <x v="4"/>
    <x v="335"/>
    <x v="0"/>
    <x v="11"/>
    <x v="10"/>
  </r>
  <r>
    <x v="513"/>
    <x v="270"/>
    <x v="191"/>
    <x v="84"/>
    <x v="55"/>
    <x v="2"/>
    <x v="2"/>
    <x v="3"/>
    <x v="6"/>
    <x v="4"/>
    <x v="21"/>
    <x v="99"/>
    <x v="101"/>
    <x v="27"/>
    <x v="205"/>
    <x v="263"/>
    <x v="1"/>
    <x v="9"/>
    <x v="1"/>
    <x v="1"/>
    <x v="1"/>
    <x v="1"/>
    <x v="0"/>
    <x v="0"/>
    <x v="198"/>
    <x v="0"/>
    <x v="11"/>
    <x v="10"/>
  </r>
  <r>
    <x v="514"/>
    <x v="244"/>
    <x v="294"/>
    <x v="26"/>
    <x v="8"/>
    <x v="4"/>
    <x v="1"/>
    <x v="5"/>
    <x v="10"/>
    <x v="0"/>
    <x v="19"/>
    <x v="0"/>
    <x v="117"/>
    <x v="25"/>
    <x v="272"/>
    <x v="307"/>
    <x v="1"/>
    <x v="18"/>
    <x v="0"/>
    <x v="0"/>
    <x v="1"/>
    <x v="1"/>
    <x v="0"/>
    <x v="0"/>
    <x v="263"/>
    <x v="0"/>
    <x v="11"/>
    <x v="10"/>
  </r>
  <r>
    <x v="515"/>
    <x v="24"/>
    <x v="69"/>
    <x v="75"/>
    <x v="23"/>
    <x v="2"/>
    <x v="0"/>
    <x v="5"/>
    <x v="11"/>
    <x v="3"/>
    <x v="7"/>
    <x v="34"/>
    <x v="37"/>
    <x v="13"/>
    <x v="49"/>
    <x v="220"/>
    <x v="1"/>
    <x v="13"/>
    <x v="1"/>
    <x v="1"/>
    <x v="1"/>
    <x v="1"/>
    <x v="0"/>
    <x v="0"/>
    <x v="49"/>
    <x v="0"/>
    <x v="11"/>
    <x v="10"/>
  </r>
  <r>
    <x v="516"/>
    <x v="33"/>
    <x v="156"/>
    <x v="81"/>
    <x v="31"/>
    <x v="2"/>
    <x v="0"/>
    <x v="2"/>
    <x v="4"/>
    <x v="5"/>
    <x v="2"/>
    <x v="37"/>
    <x v="9"/>
    <x v="4"/>
    <x v="7"/>
    <x v="239"/>
    <x v="4"/>
    <x v="5"/>
    <x v="0"/>
    <x v="1"/>
    <x v="2"/>
    <x v="1"/>
    <x v="0"/>
    <x v="0"/>
    <x v="8"/>
    <x v="0"/>
    <x v="11"/>
    <x v="10"/>
  </r>
  <r>
    <x v="517"/>
    <x v="55"/>
    <x v="123"/>
    <x v="58"/>
    <x v="5"/>
    <x v="1"/>
    <x v="0"/>
    <x v="9"/>
    <x v="20"/>
    <x v="2"/>
    <x v="16"/>
    <x v="42"/>
    <x v="87"/>
    <x v="29"/>
    <x v="137"/>
    <x v="170"/>
    <x v="4"/>
    <x v="4"/>
    <x v="1"/>
    <x v="1"/>
    <x v="2"/>
    <x v="1"/>
    <x v="0"/>
    <x v="0"/>
    <x v="131"/>
    <x v="0"/>
    <x v="11"/>
    <x v="10"/>
  </r>
  <r>
    <x v="518"/>
    <x v="257"/>
    <x v="258"/>
    <x v="23"/>
    <x v="49"/>
    <x v="4"/>
    <x v="0"/>
    <x v="12"/>
    <x v="24"/>
    <x v="2"/>
    <x v="27"/>
    <x v="62"/>
    <x v="137"/>
    <x v="36"/>
    <x v="252"/>
    <x v="226"/>
    <x v="1"/>
    <x v="6"/>
    <x v="1"/>
    <x v="1"/>
    <x v="1"/>
    <x v="1"/>
    <x v="0"/>
    <x v="4"/>
    <x v="244"/>
    <x v="0"/>
    <x v="11"/>
    <x v="10"/>
  </r>
  <r>
    <x v="519"/>
    <x v="23"/>
    <x v="15"/>
    <x v="10"/>
    <x v="42"/>
    <x v="3"/>
    <x v="0"/>
    <x v="18"/>
    <x v="37"/>
    <x v="4"/>
    <x v="45"/>
    <x v="150"/>
    <x v="193"/>
    <x v="59"/>
    <x v="203"/>
    <x v="51"/>
    <x v="1"/>
    <x v="3"/>
    <x v="0"/>
    <x v="0"/>
    <x v="1"/>
    <x v="1"/>
    <x v="0"/>
    <x v="4"/>
    <x v="196"/>
    <x v="0"/>
    <x v="11"/>
    <x v="10"/>
  </r>
  <r>
    <x v="520"/>
    <x v="144"/>
    <x v="245"/>
    <x v="66"/>
    <x v="13"/>
    <x v="6"/>
    <x v="0"/>
    <x v="8"/>
    <x v="16"/>
    <x v="5"/>
    <x v="14"/>
    <x v="89"/>
    <x v="62"/>
    <x v="20"/>
    <x v="77"/>
    <x v="169"/>
    <x v="1"/>
    <x v="10"/>
    <x v="1"/>
    <x v="2"/>
    <x v="1"/>
    <x v="1"/>
    <x v="0"/>
    <x v="3"/>
    <x v="76"/>
    <x v="0"/>
    <x v="11"/>
    <x v="10"/>
  </r>
  <r>
    <x v="521"/>
    <x v="249"/>
    <x v="136"/>
    <x v="19"/>
    <x v="2"/>
    <x v="4"/>
    <x v="0"/>
    <x v="14"/>
    <x v="30"/>
    <x v="3"/>
    <x v="33"/>
    <x v="104"/>
    <x v="154"/>
    <x v="45"/>
    <x v="228"/>
    <x v="141"/>
    <x v="1"/>
    <x v="5"/>
    <x v="1"/>
    <x v="0"/>
    <x v="1"/>
    <x v="1"/>
    <x v="0"/>
    <x v="0"/>
    <x v="220"/>
    <x v="0"/>
    <x v="11"/>
    <x v="10"/>
  </r>
  <r>
    <x v="522"/>
    <x v="73"/>
    <x v="244"/>
    <x v="82"/>
    <x v="67"/>
    <x v="2"/>
    <x v="0"/>
    <x v="5"/>
    <x v="12"/>
    <x v="2"/>
    <x v="7"/>
    <x v="21"/>
    <x v="40"/>
    <x v="14"/>
    <x v="58"/>
    <x v="220"/>
    <x v="1"/>
    <x v="17"/>
    <x v="1"/>
    <x v="1"/>
    <x v="1"/>
    <x v="1"/>
    <x v="0"/>
    <x v="3"/>
    <x v="57"/>
    <x v="0"/>
    <x v="11"/>
    <x v="10"/>
  </r>
  <r>
    <x v="523"/>
    <x v="60"/>
    <x v="48"/>
    <x v="13"/>
    <x v="41"/>
    <x v="3"/>
    <x v="0"/>
    <x v="6"/>
    <x v="12"/>
    <x v="1"/>
    <x v="9"/>
    <x v="10"/>
    <x v="56"/>
    <x v="14"/>
    <x v="111"/>
    <x v="294"/>
    <x v="2"/>
    <x v="0"/>
    <x v="1"/>
    <x v="0"/>
    <x v="2"/>
    <x v="1"/>
    <x v="0"/>
    <x v="2"/>
    <x v="107"/>
    <x v="0"/>
    <x v="11"/>
    <x v="10"/>
  </r>
  <r>
    <x v="524"/>
    <x v="23"/>
    <x v="149"/>
    <x v="56"/>
    <x v="17"/>
    <x v="1"/>
    <x v="0"/>
    <x v="1"/>
    <x v="1"/>
    <x v="5"/>
    <x v="1"/>
    <x v="27"/>
    <x v="5"/>
    <x v="1"/>
    <x v="2"/>
    <x v="284"/>
    <x v="1"/>
    <x v="16"/>
    <x v="1"/>
    <x v="2"/>
    <x v="1"/>
    <x v="1"/>
    <x v="0"/>
    <x v="4"/>
    <x v="3"/>
    <x v="0"/>
    <x v="11"/>
    <x v="10"/>
  </r>
  <r>
    <x v="525"/>
    <x v="137"/>
    <x v="8"/>
    <x v="82"/>
    <x v="67"/>
    <x v="2"/>
    <x v="2"/>
    <x v="5"/>
    <x v="12"/>
    <x v="2"/>
    <x v="31"/>
    <x v="71"/>
    <x v="160"/>
    <x v="42"/>
    <x v="309"/>
    <x v="220"/>
    <x v="1"/>
    <x v="0"/>
    <x v="0"/>
    <x v="0"/>
    <x v="1"/>
    <x v="1"/>
    <x v="0"/>
    <x v="0"/>
    <x v="298"/>
    <x v="0"/>
    <x v="11"/>
    <x v="10"/>
  </r>
  <r>
    <x v="526"/>
    <x v="40"/>
    <x v="180"/>
    <x v="54"/>
    <x v="61"/>
    <x v="1"/>
    <x v="0"/>
    <x v="12"/>
    <x v="27"/>
    <x v="0"/>
    <x v="27"/>
    <x v="0"/>
    <x v="151"/>
    <x v="39"/>
    <x v="286"/>
    <x v="226"/>
    <x v="1"/>
    <x v="1"/>
    <x v="0"/>
    <x v="1"/>
    <x v="1"/>
    <x v="1"/>
    <x v="0"/>
    <x v="4"/>
    <x v="277"/>
    <x v="0"/>
    <x v="11"/>
    <x v="10"/>
  </r>
  <r>
    <x v="527"/>
    <x v="50"/>
    <x v="293"/>
    <x v="1"/>
    <x v="9"/>
    <x v="3"/>
    <x v="3"/>
    <x v="17"/>
    <x v="36"/>
    <x v="3"/>
    <x v="96"/>
    <x v="222"/>
    <x v="405"/>
    <x v="108"/>
    <x v="614"/>
    <x v="76"/>
    <x v="2"/>
    <x v="3"/>
    <x v="0"/>
    <x v="1"/>
    <x v="2"/>
    <x v="2"/>
    <x v="0"/>
    <x v="2"/>
    <x v="585"/>
    <x v="0"/>
    <x v="11"/>
    <x v="10"/>
  </r>
  <r>
    <x v="528"/>
    <x v="100"/>
    <x v="59"/>
    <x v="15"/>
    <x v="14"/>
    <x v="4"/>
    <x v="1"/>
    <x v="7"/>
    <x v="15"/>
    <x v="2"/>
    <x v="26"/>
    <x v="61"/>
    <x v="135"/>
    <x v="35"/>
    <x v="259"/>
    <x v="236"/>
    <x v="1"/>
    <x v="19"/>
    <x v="0"/>
    <x v="2"/>
    <x v="1"/>
    <x v="1"/>
    <x v="0"/>
    <x v="3"/>
    <x v="250"/>
    <x v="0"/>
    <x v="11"/>
    <x v="10"/>
  </r>
  <r>
    <x v="529"/>
    <x v="349"/>
    <x v="297"/>
    <x v="81"/>
    <x v="31"/>
    <x v="2"/>
    <x v="0"/>
    <x v="2"/>
    <x v="4"/>
    <x v="0"/>
    <x v="2"/>
    <x v="0"/>
    <x v="18"/>
    <x v="4"/>
    <x v="39"/>
    <x v="329"/>
    <x v="4"/>
    <x v="19"/>
    <x v="1"/>
    <x v="1"/>
    <x v="2"/>
    <x v="1"/>
    <x v="0"/>
    <x v="0"/>
    <x v="40"/>
    <x v="0"/>
    <x v="11"/>
    <x v="10"/>
  </r>
  <r>
    <x v="530"/>
    <x v="104"/>
    <x v="174"/>
    <x v="63"/>
    <x v="33"/>
    <x v="6"/>
    <x v="1"/>
    <x v="9"/>
    <x v="18"/>
    <x v="3"/>
    <x v="38"/>
    <x v="117"/>
    <x v="175"/>
    <x v="45"/>
    <x v="339"/>
    <x v="218"/>
    <x v="1"/>
    <x v="18"/>
    <x v="0"/>
    <x v="1"/>
    <x v="1"/>
    <x v="1"/>
    <x v="0"/>
    <x v="4"/>
    <x v="326"/>
    <x v="0"/>
    <x v="11"/>
    <x v="10"/>
  </r>
  <r>
    <x v="531"/>
    <x v="277"/>
    <x v="261"/>
    <x v="30"/>
    <x v="83"/>
    <x v="5"/>
    <x v="4"/>
    <x v="9"/>
    <x v="18"/>
    <x v="3"/>
    <x v="74"/>
    <x v="188"/>
    <x v="330"/>
    <x v="75"/>
    <x v="585"/>
    <x v="218"/>
    <x v="1"/>
    <x v="8"/>
    <x v="2"/>
    <x v="2"/>
    <x v="1"/>
    <x v="1"/>
    <x v="0"/>
    <x v="3"/>
    <x v="561"/>
    <x v="0"/>
    <x v="11"/>
    <x v="10"/>
  </r>
  <r>
    <x v="532"/>
    <x v="315"/>
    <x v="193"/>
    <x v="12"/>
    <x v="56"/>
    <x v="3"/>
    <x v="0"/>
    <x v="9"/>
    <x v="22"/>
    <x v="1"/>
    <x v="16"/>
    <x v="18"/>
    <x v="92"/>
    <x v="33"/>
    <x v="125"/>
    <x v="124"/>
    <x v="1"/>
    <x v="3"/>
    <x v="1"/>
    <x v="1"/>
    <x v="1"/>
    <x v="1"/>
    <x v="0"/>
    <x v="4"/>
    <x v="121"/>
    <x v="0"/>
    <x v="11"/>
    <x v="10"/>
  </r>
  <r>
    <x v="533"/>
    <x v="244"/>
    <x v="180"/>
    <x v="81"/>
    <x v="31"/>
    <x v="2"/>
    <x v="2"/>
    <x v="2"/>
    <x v="4"/>
    <x v="0"/>
    <x v="17"/>
    <x v="0"/>
    <x v="106"/>
    <x v="22"/>
    <x v="269"/>
    <x v="329"/>
    <x v="1"/>
    <x v="1"/>
    <x v="0"/>
    <x v="0"/>
    <x v="1"/>
    <x v="1"/>
    <x v="0"/>
    <x v="4"/>
    <x v="260"/>
    <x v="0"/>
    <x v="11"/>
    <x v="10"/>
  </r>
  <r>
    <x v="534"/>
    <x v="5"/>
    <x v="119"/>
    <x v="82"/>
    <x v="67"/>
    <x v="2"/>
    <x v="1"/>
    <x v="5"/>
    <x v="12"/>
    <x v="2"/>
    <x v="19"/>
    <x v="49"/>
    <x v="102"/>
    <x v="30"/>
    <x v="185"/>
    <x v="220"/>
    <x v="1"/>
    <x v="6"/>
    <x v="1"/>
    <x v="1"/>
    <x v="1"/>
    <x v="1"/>
    <x v="0"/>
    <x v="4"/>
    <x v="179"/>
    <x v="0"/>
    <x v="11"/>
    <x v="10"/>
  </r>
  <r>
    <x v="535"/>
    <x v="223"/>
    <x v="24"/>
    <x v="10"/>
    <x v="42"/>
    <x v="3"/>
    <x v="4"/>
    <x v="18"/>
    <x v="37"/>
    <x v="0"/>
    <x v="103"/>
    <x v="0"/>
    <x v="434"/>
    <x v="114"/>
    <x v="670"/>
    <x v="166"/>
    <x v="1"/>
    <x v="4"/>
    <x v="1"/>
    <x v="0"/>
    <x v="1"/>
    <x v="2"/>
    <x v="0"/>
    <x v="3"/>
    <x v="633"/>
    <x v="0"/>
    <x v="11"/>
    <x v="10"/>
  </r>
  <r>
    <x v="536"/>
    <x v="85"/>
    <x v="180"/>
    <x v="12"/>
    <x v="56"/>
    <x v="3"/>
    <x v="0"/>
    <x v="9"/>
    <x v="22"/>
    <x v="2"/>
    <x v="16"/>
    <x v="42"/>
    <x v="87"/>
    <x v="33"/>
    <x v="99"/>
    <x v="95"/>
    <x v="1"/>
    <x v="1"/>
    <x v="0"/>
    <x v="1"/>
    <x v="1"/>
    <x v="1"/>
    <x v="0"/>
    <x v="0"/>
    <x v="96"/>
    <x v="0"/>
    <x v="11"/>
    <x v="10"/>
  </r>
  <r>
    <x v="537"/>
    <x v="284"/>
    <x v="25"/>
    <x v="14"/>
    <x v="65"/>
    <x v="3"/>
    <x v="1"/>
    <x v="24"/>
    <x v="49"/>
    <x v="4"/>
    <x v="105"/>
    <x v="245"/>
    <x v="423"/>
    <x v="121"/>
    <x v="441"/>
    <x v="2"/>
    <x v="1"/>
    <x v="12"/>
    <x v="1"/>
    <x v="1"/>
    <x v="1"/>
    <x v="2"/>
    <x v="0"/>
    <x v="0"/>
    <x v="426"/>
    <x v="0"/>
    <x v="11"/>
    <x v="10"/>
  </r>
  <r>
    <x v="538"/>
    <x v="23"/>
    <x v="68"/>
    <x v="9"/>
    <x v="95"/>
    <x v="3"/>
    <x v="1"/>
    <x v="19"/>
    <x v="39"/>
    <x v="3"/>
    <x v="78"/>
    <x v="192"/>
    <x v="338"/>
    <x v="89"/>
    <x v="486"/>
    <x v="61"/>
    <x v="1"/>
    <x v="0"/>
    <x v="0"/>
    <x v="0"/>
    <x v="1"/>
    <x v="1"/>
    <x v="0"/>
    <x v="3"/>
    <x v="467"/>
    <x v="0"/>
    <x v="11"/>
    <x v="10"/>
  </r>
  <r>
    <x v="539"/>
    <x v="342"/>
    <x v="235"/>
    <x v="1"/>
    <x v="9"/>
    <x v="3"/>
    <x v="2"/>
    <x v="17"/>
    <x v="36"/>
    <x v="3"/>
    <x v="87"/>
    <x v="204"/>
    <x v="378"/>
    <x v="95"/>
    <x v="554"/>
    <x v="76"/>
    <x v="1"/>
    <x v="15"/>
    <x v="1"/>
    <x v="0"/>
    <x v="1"/>
    <x v="1"/>
    <x v="0"/>
    <x v="0"/>
    <x v="531"/>
    <x v="0"/>
    <x v="11"/>
    <x v="10"/>
  </r>
  <r>
    <x v="540"/>
    <x v="355"/>
    <x v="139"/>
    <x v="69"/>
    <x v="48"/>
    <x v="6"/>
    <x v="0"/>
    <x v="6"/>
    <x v="12"/>
    <x v="0"/>
    <x v="9"/>
    <x v="0"/>
    <x v="60"/>
    <x v="14"/>
    <x v="130"/>
    <x v="308"/>
    <x v="1"/>
    <x v="14"/>
    <x v="2"/>
    <x v="1"/>
    <x v="1"/>
    <x v="1"/>
    <x v="0"/>
    <x v="0"/>
    <x v="125"/>
    <x v="0"/>
    <x v="11"/>
    <x v="10"/>
  </r>
  <r>
    <x v="541"/>
    <x v="136"/>
    <x v="88"/>
    <x v="16"/>
    <x v="22"/>
    <x v="4"/>
    <x v="0"/>
    <x v="15"/>
    <x v="31"/>
    <x v="1"/>
    <x v="35"/>
    <x v="38"/>
    <x v="183"/>
    <x v="47"/>
    <x v="337"/>
    <x v="206"/>
    <x v="1"/>
    <x v="13"/>
    <x v="0"/>
    <x v="2"/>
    <x v="1"/>
    <x v="1"/>
    <x v="0"/>
    <x v="4"/>
    <x v="324"/>
    <x v="0"/>
    <x v="11"/>
    <x v="10"/>
  </r>
  <r>
    <x v="542"/>
    <x v="151"/>
    <x v="81"/>
    <x v="23"/>
    <x v="49"/>
    <x v="4"/>
    <x v="1"/>
    <x v="12"/>
    <x v="24"/>
    <x v="0"/>
    <x v="53"/>
    <x v="0"/>
    <x v="268"/>
    <x v="59"/>
    <x v="520"/>
    <x v="271"/>
    <x v="1"/>
    <x v="1"/>
    <x v="2"/>
    <x v="1"/>
    <x v="1"/>
    <x v="1"/>
    <x v="0"/>
    <x v="0"/>
    <x v="497"/>
    <x v="0"/>
    <x v="11"/>
    <x v="10"/>
  </r>
  <r>
    <x v="543"/>
    <x v="61"/>
    <x v="83"/>
    <x v="66"/>
    <x v="13"/>
    <x v="6"/>
    <x v="1"/>
    <x v="8"/>
    <x v="16"/>
    <x v="3"/>
    <x v="32"/>
    <x v="102"/>
    <x v="153"/>
    <x v="39"/>
    <x v="300"/>
    <x v="234"/>
    <x v="3"/>
    <x v="4"/>
    <x v="2"/>
    <x v="1"/>
    <x v="3"/>
    <x v="1"/>
    <x v="0"/>
    <x v="4"/>
    <x v="0"/>
    <x v="0"/>
    <x v="11"/>
    <x v="10"/>
  </r>
  <r>
    <x v="544"/>
    <x v="158"/>
    <x v="255"/>
    <x v="92"/>
    <x v="45"/>
    <x v="0"/>
    <x v="0"/>
    <x v="21"/>
    <x v="44"/>
    <x v="0"/>
    <x v="58"/>
    <x v="0"/>
    <x v="292"/>
    <x v="74"/>
    <x v="454"/>
    <x v="99"/>
    <x v="1"/>
    <x v="15"/>
    <x v="0"/>
    <x v="1"/>
    <x v="1"/>
    <x v="1"/>
    <x v="0"/>
    <x v="0"/>
    <x v="439"/>
    <x v="0"/>
    <x v="11"/>
    <x v="10"/>
  </r>
  <r>
    <x v="545"/>
    <x v="90"/>
    <x v="34"/>
    <x v="63"/>
    <x v="33"/>
    <x v="6"/>
    <x v="3"/>
    <x v="9"/>
    <x v="18"/>
    <x v="1"/>
    <x v="66"/>
    <x v="83"/>
    <x v="313"/>
    <x v="68"/>
    <x v="582"/>
    <x v="268"/>
    <x v="1"/>
    <x v="2"/>
    <x v="1"/>
    <x v="1"/>
    <x v="1"/>
    <x v="1"/>
    <x v="0"/>
    <x v="0"/>
    <x v="558"/>
    <x v="0"/>
    <x v="11"/>
    <x v="10"/>
  </r>
  <r>
    <x v="546"/>
    <x v="320"/>
    <x v="4"/>
    <x v="35"/>
    <x v="24"/>
    <x v="5"/>
    <x v="0"/>
    <x v="17"/>
    <x v="35"/>
    <x v="0"/>
    <x v="42"/>
    <x v="0"/>
    <x v="217"/>
    <x v="55"/>
    <x v="398"/>
    <x v="195"/>
    <x v="1"/>
    <x v="4"/>
    <x v="1"/>
    <x v="1"/>
    <x v="1"/>
    <x v="1"/>
    <x v="0"/>
    <x v="4"/>
    <x v="384"/>
    <x v="0"/>
    <x v="11"/>
    <x v="10"/>
  </r>
  <r>
    <x v="547"/>
    <x v="43"/>
    <x v="64"/>
    <x v="89"/>
    <x v="89"/>
    <x v="0"/>
    <x v="1"/>
    <x v="17"/>
    <x v="37"/>
    <x v="1"/>
    <x v="70"/>
    <x v="91"/>
    <x v="324"/>
    <x v="83"/>
    <x v="511"/>
    <x v="97"/>
    <x v="1"/>
    <x v="4"/>
    <x v="1"/>
    <x v="0"/>
    <x v="1"/>
    <x v="1"/>
    <x v="0"/>
    <x v="3"/>
    <x v="489"/>
    <x v="0"/>
    <x v="11"/>
    <x v="10"/>
  </r>
  <r>
    <x v="548"/>
    <x v="177"/>
    <x v="275"/>
    <x v="34"/>
    <x v="59"/>
    <x v="5"/>
    <x v="1"/>
    <x v="12"/>
    <x v="28"/>
    <x v="3"/>
    <x v="53"/>
    <x v="143"/>
    <x v="237"/>
    <x v="64"/>
    <x v="377"/>
    <x v="118"/>
    <x v="1"/>
    <x v="15"/>
    <x v="1"/>
    <x v="1"/>
    <x v="1"/>
    <x v="1"/>
    <x v="0"/>
    <x v="3"/>
    <x v="363"/>
    <x v="0"/>
    <x v="11"/>
    <x v="10"/>
  </r>
  <r>
    <x v="549"/>
    <x v="278"/>
    <x v="252"/>
    <x v="90"/>
    <x v="69"/>
    <x v="0"/>
    <x v="0"/>
    <x v="20"/>
    <x v="41"/>
    <x v="4"/>
    <x v="54"/>
    <x v="169"/>
    <x v="231"/>
    <x v="68"/>
    <x v="213"/>
    <x v="28"/>
    <x v="1"/>
    <x v="2"/>
    <x v="1"/>
    <x v="0"/>
    <x v="1"/>
    <x v="1"/>
    <x v="0"/>
    <x v="3"/>
    <x v="206"/>
    <x v="0"/>
    <x v="11"/>
    <x v="10"/>
  </r>
  <r>
    <x v="550"/>
    <x v="139"/>
    <x v="63"/>
    <x v="16"/>
    <x v="22"/>
    <x v="4"/>
    <x v="1"/>
    <x v="15"/>
    <x v="31"/>
    <x v="0"/>
    <x v="64"/>
    <x v="0"/>
    <x v="311"/>
    <x v="71"/>
    <x v="558"/>
    <x v="229"/>
    <x v="2"/>
    <x v="8"/>
    <x v="1"/>
    <x v="0"/>
    <x v="2"/>
    <x v="1"/>
    <x v="0"/>
    <x v="2"/>
    <x v="535"/>
    <x v="0"/>
    <x v="11"/>
    <x v="10"/>
  </r>
  <r>
    <x v="551"/>
    <x v="162"/>
    <x v="78"/>
    <x v="39"/>
    <x v="20"/>
    <x v="5"/>
    <x v="2"/>
    <x v="13"/>
    <x v="29"/>
    <x v="1"/>
    <x v="73"/>
    <x v="96"/>
    <x v="340"/>
    <x v="79"/>
    <x v="588"/>
    <x v="204"/>
    <x v="1"/>
    <x v="19"/>
    <x v="0"/>
    <x v="1"/>
    <x v="1"/>
    <x v="1"/>
    <x v="0"/>
    <x v="0"/>
    <x v="563"/>
    <x v="0"/>
    <x v="11"/>
    <x v="10"/>
  </r>
  <r>
    <x v="552"/>
    <x v="282"/>
    <x v="258"/>
    <x v="38"/>
    <x v="92"/>
    <x v="5"/>
    <x v="0"/>
    <x v="9"/>
    <x v="18"/>
    <x v="1"/>
    <x v="16"/>
    <x v="18"/>
    <x v="92"/>
    <x v="24"/>
    <x v="190"/>
    <x v="268"/>
    <x v="1"/>
    <x v="6"/>
    <x v="1"/>
    <x v="2"/>
    <x v="1"/>
    <x v="1"/>
    <x v="0"/>
    <x v="3"/>
    <x v="184"/>
    <x v="0"/>
    <x v="11"/>
    <x v="10"/>
  </r>
  <r>
    <x v="553"/>
    <x v="23"/>
    <x v="75"/>
    <x v="47"/>
    <x v="74"/>
    <x v="1"/>
    <x v="1"/>
    <x v="4"/>
    <x v="9"/>
    <x v="3"/>
    <x v="15"/>
    <x v="64"/>
    <x v="79"/>
    <x v="24"/>
    <x v="143"/>
    <x v="217"/>
    <x v="1"/>
    <x v="3"/>
    <x v="1"/>
    <x v="1"/>
    <x v="1"/>
    <x v="1"/>
    <x v="0"/>
    <x v="0"/>
    <x v="137"/>
    <x v="0"/>
    <x v="11"/>
    <x v="10"/>
  </r>
  <r>
    <x v="554"/>
    <x v="254"/>
    <x v="155"/>
    <x v="54"/>
    <x v="61"/>
    <x v="1"/>
    <x v="1"/>
    <x v="12"/>
    <x v="27"/>
    <x v="1"/>
    <x v="53"/>
    <x v="62"/>
    <x v="259"/>
    <x v="63"/>
    <x v="470"/>
    <x v="203"/>
    <x v="1"/>
    <x v="15"/>
    <x v="1"/>
    <x v="0"/>
    <x v="1"/>
    <x v="1"/>
    <x v="0"/>
    <x v="4"/>
    <x v="451"/>
    <x v="0"/>
    <x v="11"/>
    <x v="10"/>
  </r>
  <r>
    <x v="555"/>
    <x v="354"/>
    <x v="267"/>
    <x v="55"/>
    <x v="37"/>
    <x v="1"/>
    <x v="1"/>
    <x v="15"/>
    <x v="34"/>
    <x v="3"/>
    <x v="64"/>
    <x v="164"/>
    <x v="284"/>
    <x v="75"/>
    <x v="401"/>
    <x v="65"/>
    <x v="1"/>
    <x v="13"/>
    <x v="1"/>
    <x v="1"/>
    <x v="1"/>
    <x v="1"/>
    <x v="0"/>
    <x v="4"/>
    <x v="386"/>
    <x v="0"/>
    <x v="11"/>
    <x v="10"/>
  </r>
  <r>
    <x v="556"/>
    <x v="308"/>
    <x v="90"/>
    <x v="34"/>
    <x v="59"/>
    <x v="5"/>
    <x v="2"/>
    <x v="12"/>
    <x v="28"/>
    <x v="5"/>
    <x v="69"/>
    <x v="209"/>
    <x v="287"/>
    <x v="77"/>
    <x v="392"/>
    <x v="56"/>
    <x v="1"/>
    <x v="16"/>
    <x v="0"/>
    <x v="1"/>
    <x v="1"/>
    <x v="1"/>
    <x v="0"/>
    <x v="3"/>
    <x v="378"/>
    <x v="0"/>
    <x v="11"/>
    <x v="10"/>
  </r>
  <r>
    <x v="557"/>
    <x v="121"/>
    <x v="9"/>
    <x v="83"/>
    <x v="96"/>
    <x v="2"/>
    <x v="1"/>
    <x v="10"/>
    <x v="23"/>
    <x v="4"/>
    <x v="44"/>
    <x v="149"/>
    <x v="192"/>
    <x v="56"/>
    <x v="240"/>
    <x v="83"/>
    <x v="1"/>
    <x v="13"/>
    <x v="1"/>
    <x v="0"/>
    <x v="1"/>
    <x v="1"/>
    <x v="0"/>
    <x v="4"/>
    <x v="232"/>
    <x v="0"/>
    <x v="11"/>
    <x v="10"/>
  </r>
  <r>
    <x v="558"/>
    <x v="111"/>
    <x v="172"/>
    <x v="92"/>
    <x v="45"/>
    <x v="0"/>
    <x v="0"/>
    <x v="21"/>
    <x v="44"/>
    <x v="4"/>
    <x v="58"/>
    <x v="178"/>
    <x v="254"/>
    <x v="74"/>
    <x v="208"/>
    <x v="14"/>
    <x v="1"/>
    <x v="2"/>
    <x v="1"/>
    <x v="1"/>
    <x v="1"/>
    <x v="1"/>
    <x v="0"/>
    <x v="4"/>
    <x v="201"/>
    <x v="0"/>
    <x v="11"/>
    <x v="10"/>
  </r>
  <r>
    <x v="559"/>
    <x v="139"/>
    <x v="6"/>
    <x v="82"/>
    <x v="67"/>
    <x v="2"/>
    <x v="0"/>
    <x v="5"/>
    <x v="12"/>
    <x v="1"/>
    <x v="7"/>
    <x v="8"/>
    <x v="45"/>
    <x v="14"/>
    <x v="75"/>
    <x v="244"/>
    <x v="4"/>
    <x v="17"/>
    <x v="1"/>
    <x v="1"/>
    <x v="2"/>
    <x v="1"/>
    <x v="0"/>
    <x v="4"/>
    <x v="74"/>
    <x v="0"/>
    <x v="11"/>
    <x v="10"/>
  </r>
  <r>
    <x v="560"/>
    <x v="355"/>
    <x v="14"/>
    <x v="39"/>
    <x v="20"/>
    <x v="5"/>
    <x v="0"/>
    <x v="13"/>
    <x v="29"/>
    <x v="4"/>
    <x v="29"/>
    <x v="119"/>
    <x v="130"/>
    <x v="43"/>
    <x v="169"/>
    <x v="106"/>
    <x v="1"/>
    <x v="2"/>
    <x v="1"/>
    <x v="1"/>
    <x v="1"/>
    <x v="1"/>
    <x v="0"/>
    <x v="3"/>
    <x v="163"/>
    <x v="0"/>
    <x v="11"/>
    <x v="10"/>
  </r>
  <r>
    <x v="561"/>
    <x v="50"/>
    <x v="243"/>
    <x v="11"/>
    <x v="15"/>
    <x v="3"/>
    <x v="0"/>
    <x v="8"/>
    <x v="17"/>
    <x v="1"/>
    <x v="14"/>
    <x v="16"/>
    <x v="78"/>
    <x v="21"/>
    <x v="154"/>
    <x v="265"/>
    <x v="1"/>
    <x v="12"/>
    <x v="0"/>
    <x v="0"/>
    <x v="1"/>
    <x v="1"/>
    <x v="0"/>
    <x v="0"/>
    <x v="148"/>
    <x v="0"/>
    <x v="11"/>
    <x v="10"/>
  </r>
  <r>
    <x v="562"/>
    <x v="51"/>
    <x v="7"/>
    <x v="59"/>
    <x v="99"/>
    <x v="6"/>
    <x v="1"/>
    <x v="10"/>
    <x v="20"/>
    <x v="3"/>
    <x v="44"/>
    <x v="128"/>
    <x v="205"/>
    <x v="50"/>
    <x v="377"/>
    <x v="214"/>
    <x v="4"/>
    <x v="10"/>
    <x v="0"/>
    <x v="0"/>
    <x v="2"/>
    <x v="1"/>
    <x v="0"/>
    <x v="0"/>
    <x v="363"/>
    <x v="0"/>
    <x v="11"/>
    <x v="10"/>
  </r>
  <r>
    <x v="563"/>
    <x v="122"/>
    <x v="159"/>
    <x v="16"/>
    <x v="22"/>
    <x v="4"/>
    <x v="0"/>
    <x v="15"/>
    <x v="31"/>
    <x v="4"/>
    <x v="35"/>
    <x v="134"/>
    <x v="155"/>
    <x v="47"/>
    <x v="208"/>
    <x v="108"/>
    <x v="1"/>
    <x v="14"/>
    <x v="0"/>
    <x v="1"/>
    <x v="1"/>
    <x v="1"/>
    <x v="0"/>
    <x v="4"/>
    <x v="201"/>
    <x v="0"/>
    <x v="11"/>
    <x v="10"/>
  </r>
  <r>
    <x v="564"/>
    <x v="47"/>
    <x v="235"/>
    <x v="44"/>
    <x v="53"/>
    <x v="5"/>
    <x v="4"/>
    <x v="6"/>
    <x v="12"/>
    <x v="1"/>
    <x v="57"/>
    <x v="68"/>
    <x v="279"/>
    <x v="59"/>
    <x v="547"/>
    <x v="294"/>
    <x v="1"/>
    <x v="15"/>
    <x v="1"/>
    <x v="1"/>
    <x v="1"/>
    <x v="1"/>
    <x v="0"/>
    <x v="0"/>
    <x v="524"/>
    <x v="0"/>
    <x v="11"/>
    <x v="10"/>
  </r>
  <r>
    <x v="565"/>
    <x v="81"/>
    <x v="9"/>
    <x v="0"/>
    <x v="97"/>
    <x v="3"/>
    <x v="0"/>
    <x v="11"/>
    <x v="26"/>
    <x v="2"/>
    <x v="23"/>
    <x v="56"/>
    <x v="123"/>
    <x v="38"/>
    <x v="155"/>
    <x v="116"/>
    <x v="1"/>
    <x v="13"/>
    <x v="1"/>
    <x v="2"/>
    <x v="1"/>
    <x v="1"/>
    <x v="0"/>
    <x v="0"/>
    <x v="149"/>
    <x v="0"/>
    <x v="11"/>
    <x v="10"/>
  </r>
  <r>
    <x v="566"/>
    <x v="188"/>
    <x v="189"/>
    <x v="73"/>
    <x v="60"/>
    <x v="2"/>
    <x v="0"/>
    <x v="3"/>
    <x v="6"/>
    <x v="5"/>
    <x v="4"/>
    <x v="45"/>
    <x v="15"/>
    <x v="6"/>
    <x v="13"/>
    <x v="235"/>
    <x v="0"/>
    <x v="16"/>
    <x v="1"/>
    <x v="1"/>
    <x v="0"/>
    <x v="1"/>
    <x v="0"/>
    <x v="1"/>
    <x v="0"/>
    <x v="0"/>
    <x v="11"/>
    <x v="10"/>
  </r>
  <r>
    <x v="567"/>
    <x v="256"/>
    <x v="139"/>
    <x v="41"/>
    <x v="6"/>
    <x v="5"/>
    <x v="1"/>
    <x v="10"/>
    <x v="21"/>
    <x v="1"/>
    <x v="44"/>
    <x v="50"/>
    <x v="220"/>
    <x v="51"/>
    <x v="440"/>
    <x v="245"/>
    <x v="3"/>
    <x v="14"/>
    <x v="2"/>
    <x v="1"/>
    <x v="3"/>
    <x v="1"/>
    <x v="0"/>
    <x v="0"/>
    <x v="0"/>
    <x v="0"/>
    <x v="11"/>
    <x v="10"/>
  </r>
  <r>
    <x v="568"/>
    <x v="38"/>
    <x v="68"/>
    <x v="43"/>
    <x v="25"/>
    <x v="5"/>
    <x v="0"/>
    <x v="3"/>
    <x v="5"/>
    <x v="3"/>
    <x v="4"/>
    <x v="24"/>
    <x v="20"/>
    <x v="5"/>
    <x v="35"/>
    <x v="312"/>
    <x v="1"/>
    <x v="0"/>
    <x v="0"/>
    <x v="1"/>
    <x v="1"/>
    <x v="1"/>
    <x v="0"/>
    <x v="0"/>
    <x v="36"/>
    <x v="0"/>
    <x v="11"/>
    <x v="10"/>
  </r>
  <r>
    <x v="569"/>
    <x v="10"/>
    <x v="76"/>
    <x v="79"/>
    <x v="12"/>
    <x v="2"/>
    <x v="1"/>
    <x v="8"/>
    <x v="18"/>
    <x v="1"/>
    <x v="32"/>
    <x v="35"/>
    <x v="171"/>
    <x v="45"/>
    <x v="311"/>
    <x v="201"/>
    <x v="1"/>
    <x v="15"/>
    <x v="0"/>
    <x v="0"/>
    <x v="1"/>
    <x v="1"/>
    <x v="0"/>
    <x v="4"/>
    <x v="300"/>
    <x v="0"/>
    <x v="11"/>
    <x v="10"/>
  </r>
  <r>
    <x v="570"/>
    <x v="211"/>
    <x v="19"/>
    <x v="10"/>
    <x v="42"/>
    <x v="3"/>
    <x v="1"/>
    <x v="18"/>
    <x v="37"/>
    <x v="3"/>
    <x v="72"/>
    <x v="182"/>
    <x v="319"/>
    <x v="83"/>
    <x v="477"/>
    <x v="80"/>
    <x v="1"/>
    <x v="19"/>
    <x v="1"/>
    <x v="1"/>
    <x v="1"/>
    <x v="1"/>
    <x v="0"/>
    <x v="3"/>
    <x v="458"/>
    <x v="0"/>
    <x v="11"/>
    <x v="10"/>
  </r>
  <r>
    <x v="571"/>
    <x v="130"/>
    <x v="196"/>
    <x v="61"/>
    <x v="76"/>
    <x v="6"/>
    <x v="0"/>
    <x v="2"/>
    <x v="3"/>
    <x v="3"/>
    <x v="2"/>
    <x v="19"/>
    <x v="13"/>
    <x v="3"/>
    <x v="22"/>
    <x v="319"/>
    <x v="1"/>
    <x v="5"/>
    <x v="1"/>
    <x v="2"/>
    <x v="1"/>
    <x v="1"/>
    <x v="0"/>
    <x v="0"/>
    <x v="23"/>
    <x v="0"/>
    <x v="11"/>
    <x v="10"/>
  </r>
  <r>
    <x v="572"/>
    <x v="250"/>
    <x v="8"/>
    <x v="0"/>
    <x v="97"/>
    <x v="3"/>
    <x v="0"/>
    <x v="11"/>
    <x v="26"/>
    <x v="5"/>
    <x v="23"/>
    <x v="123"/>
    <x v="95"/>
    <x v="38"/>
    <x v="53"/>
    <x v="32"/>
    <x v="4"/>
    <x v="0"/>
    <x v="0"/>
    <x v="1"/>
    <x v="2"/>
    <x v="1"/>
    <x v="0"/>
    <x v="3"/>
    <x v="52"/>
    <x v="0"/>
    <x v="11"/>
    <x v="10"/>
  </r>
  <r>
    <x v="573"/>
    <x v="148"/>
    <x v="36"/>
    <x v="35"/>
    <x v="24"/>
    <x v="5"/>
    <x v="0"/>
    <x v="17"/>
    <x v="35"/>
    <x v="2"/>
    <x v="42"/>
    <x v="91"/>
    <x v="202"/>
    <x v="55"/>
    <x v="320"/>
    <x v="135"/>
    <x v="0"/>
    <x v="18"/>
    <x v="1"/>
    <x v="0"/>
    <x v="0"/>
    <x v="1"/>
    <x v="0"/>
    <x v="1"/>
    <x v="0"/>
    <x v="0"/>
    <x v="11"/>
    <x v="10"/>
  </r>
  <r>
    <x v="574"/>
    <x v="25"/>
    <x v="144"/>
    <x v="10"/>
    <x v="42"/>
    <x v="3"/>
    <x v="0"/>
    <x v="18"/>
    <x v="37"/>
    <x v="4"/>
    <x v="45"/>
    <x v="150"/>
    <x v="193"/>
    <x v="59"/>
    <x v="203"/>
    <x v="51"/>
    <x v="2"/>
    <x v="17"/>
    <x v="1"/>
    <x v="1"/>
    <x v="2"/>
    <x v="1"/>
    <x v="0"/>
    <x v="2"/>
    <x v="196"/>
    <x v="0"/>
    <x v="11"/>
    <x v="10"/>
  </r>
  <r>
    <x v="575"/>
    <x v="74"/>
    <x v="251"/>
    <x v="10"/>
    <x v="42"/>
    <x v="3"/>
    <x v="0"/>
    <x v="18"/>
    <x v="37"/>
    <x v="2"/>
    <x v="45"/>
    <x v="95"/>
    <x v="214"/>
    <x v="59"/>
    <x v="314"/>
    <x v="109"/>
    <x v="1"/>
    <x v="9"/>
    <x v="1"/>
    <x v="2"/>
    <x v="1"/>
    <x v="1"/>
    <x v="0"/>
    <x v="3"/>
    <x v="303"/>
    <x v="0"/>
    <x v="11"/>
    <x v="10"/>
  </r>
  <r>
    <x v="576"/>
    <x v="337"/>
    <x v="11"/>
    <x v="27"/>
    <x v="78"/>
    <x v="4"/>
    <x v="0"/>
    <x v="19"/>
    <x v="38"/>
    <x v="2"/>
    <x v="50"/>
    <x v="105"/>
    <x v="234"/>
    <x v="60"/>
    <x v="379"/>
    <x v="144"/>
    <x v="1"/>
    <x v="16"/>
    <x v="1"/>
    <x v="0"/>
    <x v="1"/>
    <x v="1"/>
    <x v="0"/>
    <x v="4"/>
    <x v="365"/>
    <x v="0"/>
    <x v="11"/>
    <x v="10"/>
  </r>
  <r>
    <x v="577"/>
    <x v="148"/>
    <x v="213"/>
    <x v="92"/>
    <x v="45"/>
    <x v="0"/>
    <x v="1"/>
    <x v="21"/>
    <x v="44"/>
    <x v="4"/>
    <x v="88"/>
    <x v="224"/>
    <x v="370"/>
    <x v="101"/>
    <x v="431"/>
    <x v="14"/>
    <x v="3"/>
    <x v="3"/>
    <x v="1"/>
    <x v="2"/>
    <x v="3"/>
    <x v="1"/>
    <x v="0"/>
    <x v="0"/>
    <x v="0"/>
    <x v="0"/>
    <x v="11"/>
    <x v="10"/>
  </r>
  <r>
    <x v="578"/>
    <x v="159"/>
    <x v="244"/>
    <x v="22"/>
    <x v="79"/>
    <x v="4"/>
    <x v="1"/>
    <x v="4"/>
    <x v="7"/>
    <x v="3"/>
    <x v="15"/>
    <x v="64"/>
    <x v="79"/>
    <x v="19"/>
    <x v="181"/>
    <x v="304"/>
    <x v="2"/>
    <x v="17"/>
    <x v="1"/>
    <x v="1"/>
    <x v="2"/>
    <x v="1"/>
    <x v="0"/>
    <x v="2"/>
    <x v="175"/>
    <x v="0"/>
    <x v="11"/>
    <x v="10"/>
  </r>
  <r>
    <x v="579"/>
    <x v="299"/>
    <x v="49"/>
    <x v="46"/>
    <x v="85"/>
    <x v="1"/>
    <x v="1"/>
    <x v="5"/>
    <x v="11"/>
    <x v="3"/>
    <x v="19"/>
    <x v="71"/>
    <x v="96"/>
    <x v="28"/>
    <x v="172"/>
    <x v="220"/>
    <x v="1"/>
    <x v="13"/>
    <x v="0"/>
    <x v="1"/>
    <x v="1"/>
    <x v="1"/>
    <x v="0"/>
    <x v="3"/>
    <x v="166"/>
    <x v="0"/>
    <x v="11"/>
    <x v="10"/>
  </r>
  <r>
    <x v="580"/>
    <x v="203"/>
    <x v="251"/>
    <x v="35"/>
    <x v="24"/>
    <x v="5"/>
    <x v="1"/>
    <x v="17"/>
    <x v="35"/>
    <x v="0"/>
    <x v="70"/>
    <x v="0"/>
    <x v="332"/>
    <x v="78"/>
    <x v="571"/>
    <x v="195"/>
    <x v="1"/>
    <x v="9"/>
    <x v="1"/>
    <x v="1"/>
    <x v="1"/>
    <x v="1"/>
    <x v="0"/>
    <x v="0"/>
    <x v="548"/>
    <x v="0"/>
    <x v="11"/>
    <x v="10"/>
  </r>
  <r>
    <x v="581"/>
    <x v="152"/>
    <x v="254"/>
    <x v="58"/>
    <x v="5"/>
    <x v="1"/>
    <x v="4"/>
    <x v="9"/>
    <x v="20"/>
    <x v="0"/>
    <x v="74"/>
    <x v="0"/>
    <x v="357"/>
    <x v="82"/>
    <x v="619"/>
    <x v="224"/>
    <x v="1"/>
    <x v="18"/>
    <x v="0"/>
    <x v="1"/>
    <x v="1"/>
    <x v="1"/>
    <x v="0"/>
    <x v="3"/>
    <x v="590"/>
    <x v="0"/>
    <x v="11"/>
    <x v="10"/>
  </r>
  <r>
    <x v="582"/>
    <x v="191"/>
    <x v="243"/>
    <x v="12"/>
    <x v="56"/>
    <x v="3"/>
    <x v="0"/>
    <x v="9"/>
    <x v="22"/>
    <x v="4"/>
    <x v="16"/>
    <x v="83"/>
    <x v="75"/>
    <x v="33"/>
    <x v="42"/>
    <x v="44"/>
    <x v="1"/>
    <x v="12"/>
    <x v="0"/>
    <x v="1"/>
    <x v="1"/>
    <x v="1"/>
    <x v="0"/>
    <x v="0"/>
    <x v="43"/>
    <x v="0"/>
    <x v="11"/>
    <x v="10"/>
  </r>
  <r>
    <x v="583"/>
    <x v="282"/>
    <x v="245"/>
    <x v="70"/>
    <x v="27"/>
    <x v="6"/>
    <x v="0"/>
    <x v="9"/>
    <x v="19"/>
    <x v="0"/>
    <x v="16"/>
    <x v="0"/>
    <x v="99"/>
    <x v="25"/>
    <x v="200"/>
    <x v="264"/>
    <x v="1"/>
    <x v="10"/>
    <x v="1"/>
    <x v="1"/>
    <x v="1"/>
    <x v="1"/>
    <x v="0"/>
    <x v="3"/>
    <x v="193"/>
    <x v="0"/>
    <x v="11"/>
    <x v="10"/>
  </r>
  <r>
    <x v="584"/>
    <x v="227"/>
    <x v="83"/>
    <x v="43"/>
    <x v="25"/>
    <x v="5"/>
    <x v="0"/>
    <x v="3"/>
    <x v="5"/>
    <x v="3"/>
    <x v="4"/>
    <x v="24"/>
    <x v="20"/>
    <x v="5"/>
    <x v="35"/>
    <x v="312"/>
    <x v="1"/>
    <x v="4"/>
    <x v="2"/>
    <x v="1"/>
    <x v="1"/>
    <x v="1"/>
    <x v="0"/>
    <x v="0"/>
    <x v="36"/>
    <x v="0"/>
    <x v="11"/>
    <x v="10"/>
  </r>
  <r>
    <x v="585"/>
    <x v="100"/>
    <x v="272"/>
    <x v="36"/>
    <x v="63"/>
    <x v="5"/>
    <x v="0"/>
    <x v="10"/>
    <x v="20"/>
    <x v="0"/>
    <x v="20"/>
    <x v="0"/>
    <x v="119"/>
    <x v="29"/>
    <x v="250"/>
    <x v="283"/>
    <x v="1"/>
    <x v="2"/>
    <x v="2"/>
    <x v="0"/>
    <x v="1"/>
    <x v="1"/>
    <x v="0"/>
    <x v="4"/>
    <x v="242"/>
    <x v="0"/>
    <x v="11"/>
    <x v="10"/>
  </r>
  <r>
    <x v="586"/>
    <x v="14"/>
    <x v="151"/>
    <x v="24"/>
    <x v="44"/>
    <x v="4"/>
    <x v="2"/>
    <x v="16"/>
    <x v="33"/>
    <x v="3"/>
    <x v="84"/>
    <x v="202"/>
    <x v="360"/>
    <x v="90"/>
    <x v="576"/>
    <x v="123"/>
    <x v="3"/>
    <x v="9"/>
    <x v="1"/>
    <x v="2"/>
    <x v="3"/>
    <x v="1"/>
    <x v="0"/>
    <x v="0"/>
    <x v="0"/>
    <x v="0"/>
    <x v="11"/>
    <x v="10"/>
  </r>
  <r>
    <x v="587"/>
    <x v="267"/>
    <x v="84"/>
    <x v="79"/>
    <x v="12"/>
    <x v="2"/>
    <x v="1"/>
    <x v="8"/>
    <x v="18"/>
    <x v="2"/>
    <x v="32"/>
    <x v="72"/>
    <x v="161"/>
    <x v="45"/>
    <x v="273"/>
    <x v="169"/>
    <x v="1"/>
    <x v="12"/>
    <x v="1"/>
    <x v="1"/>
    <x v="1"/>
    <x v="1"/>
    <x v="0"/>
    <x v="4"/>
    <x v="264"/>
    <x v="0"/>
    <x v="11"/>
    <x v="10"/>
  </r>
  <r>
    <x v="588"/>
    <x v="75"/>
    <x v="272"/>
    <x v="44"/>
    <x v="53"/>
    <x v="5"/>
    <x v="0"/>
    <x v="6"/>
    <x v="12"/>
    <x v="0"/>
    <x v="9"/>
    <x v="0"/>
    <x v="60"/>
    <x v="14"/>
    <x v="130"/>
    <x v="308"/>
    <x v="1"/>
    <x v="2"/>
    <x v="2"/>
    <x v="2"/>
    <x v="1"/>
    <x v="1"/>
    <x v="0"/>
    <x v="4"/>
    <x v="125"/>
    <x v="0"/>
    <x v="11"/>
    <x v="10"/>
  </r>
  <r>
    <x v="589"/>
    <x v="107"/>
    <x v="173"/>
    <x v="75"/>
    <x v="23"/>
    <x v="2"/>
    <x v="0"/>
    <x v="5"/>
    <x v="11"/>
    <x v="1"/>
    <x v="7"/>
    <x v="8"/>
    <x v="45"/>
    <x v="13"/>
    <x v="84"/>
    <x v="272"/>
    <x v="1"/>
    <x v="3"/>
    <x v="0"/>
    <x v="1"/>
    <x v="1"/>
    <x v="1"/>
    <x v="0"/>
    <x v="4"/>
    <x v="83"/>
    <x v="0"/>
    <x v="11"/>
    <x v="10"/>
  </r>
  <r>
    <x v="590"/>
    <x v="214"/>
    <x v="35"/>
    <x v="19"/>
    <x v="2"/>
    <x v="4"/>
    <x v="0"/>
    <x v="14"/>
    <x v="30"/>
    <x v="5"/>
    <x v="33"/>
    <x v="144"/>
    <x v="138"/>
    <x v="45"/>
    <x v="151"/>
    <x v="74"/>
    <x v="1"/>
    <x v="3"/>
    <x v="0"/>
    <x v="2"/>
    <x v="1"/>
    <x v="1"/>
    <x v="0"/>
    <x v="0"/>
    <x v="145"/>
    <x v="0"/>
    <x v="11"/>
    <x v="10"/>
  </r>
  <r>
    <x v="591"/>
    <x v="29"/>
    <x v="111"/>
    <x v="18"/>
    <x v="71"/>
    <x v="4"/>
    <x v="2"/>
    <x v="20"/>
    <x v="40"/>
    <x v="5"/>
    <x v="97"/>
    <x v="241"/>
    <x v="394"/>
    <x v="107"/>
    <x v="541"/>
    <x v="36"/>
    <x v="1"/>
    <x v="11"/>
    <x v="0"/>
    <x v="1"/>
    <x v="1"/>
    <x v="1"/>
    <x v="0"/>
    <x v="0"/>
    <x v="518"/>
    <x v="0"/>
    <x v="11"/>
    <x v="10"/>
  </r>
  <r>
    <x v="592"/>
    <x v="168"/>
    <x v="125"/>
    <x v="14"/>
    <x v="65"/>
    <x v="3"/>
    <x v="1"/>
    <x v="24"/>
    <x v="49"/>
    <x v="1"/>
    <x v="105"/>
    <x v="170"/>
    <x v="433"/>
    <x v="121"/>
    <x v="646"/>
    <x v="33"/>
    <x v="0"/>
    <x v="17"/>
    <x v="0"/>
    <x v="1"/>
    <x v="0"/>
    <x v="2"/>
    <x v="0"/>
    <x v="1"/>
    <x v="0"/>
    <x v="0"/>
    <x v="11"/>
    <x v="10"/>
  </r>
  <r>
    <x v="593"/>
    <x v="118"/>
    <x v="171"/>
    <x v="62"/>
    <x v="19"/>
    <x v="6"/>
    <x v="0"/>
    <x v="17"/>
    <x v="35"/>
    <x v="0"/>
    <x v="42"/>
    <x v="0"/>
    <x v="217"/>
    <x v="55"/>
    <x v="398"/>
    <x v="195"/>
    <x v="1"/>
    <x v="9"/>
    <x v="2"/>
    <x v="1"/>
    <x v="1"/>
    <x v="1"/>
    <x v="0"/>
    <x v="0"/>
    <x v="384"/>
    <x v="0"/>
    <x v="11"/>
    <x v="10"/>
  </r>
  <r>
    <x v="594"/>
    <x v="130"/>
    <x v="282"/>
    <x v="82"/>
    <x v="67"/>
    <x v="2"/>
    <x v="2"/>
    <x v="5"/>
    <x v="12"/>
    <x v="4"/>
    <x v="31"/>
    <x v="127"/>
    <x v="145"/>
    <x v="42"/>
    <x v="223"/>
    <x v="164"/>
    <x v="1"/>
    <x v="4"/>
    <x v="0"/>
    <x v="0"/>
    <x v="1"/>
    <x v="1"/>
    <x v="0"/>
    <x v="4"/>
    <x v="215"/>
    <x v="0"/>
    <x v="11"/>
    <x v="10"/>
  </r>
  <r>
    <x v="595"/>
    <x v="135"/>
    <x v="56"/>
    <x v="87"/>
    <x v="26"/>
    <x v="0"/>
    <x v="0"/>
    <x v="15"/>
    <x v="34"/>
    <x v="0"/>
    <x v="35"/>
    <x v="0"/>
    <x v="195"/>
    <x v="52"/>
    <x v="319"/>
    <x v="155"/>
    <x v="1"/>
    <x v="18"/>
    <x v="1"/>
    <x v="2"/>
    <x v="1"/>
    <x v="1"/>
    <x v="0"/>
    <x v="4"/>
    <x v="307"/>
    <x v="0"/>
    <x v="11"/>
    <x v="10"/>
  </r>
  <r>
    <x v="596"/>
    <x v="346"/>
    <x v="64"/>
    <x v="68"/>
    <x v="80"/>
    <x v="6"/>
    <x v="2"/>
    <x v="12"/>
    <x v="27"/>
    <x v="2"/>
    <x v="69"/>
    <x v="143"/>
    <x v="316"/>
    <x v="75"/>
    <x v="539"/>
    <x v="171"/>
    <x v="3"/>
    <x v="4"/>
    <x v="1"/>
    <x v="1"/>
    <x v="3"/>
    <x v="1"/>
    <x v="0"/>
    <x v="0"/>
    <x v="0"/>
    <x v="0"/>
    <x v="11"/>
    <x v="10"/>
  </r>
  <r>
    <x v="597"/>
    <x v="92"/>
    <x v="57"/>
    <x v="17"/>
    <x v="18"/>
    <x v="4"/>
    <x v="1"/>
    <x v="11"/>
    <x v="23"/>
    <x v="0"/>
    <x v="49"/>
    <x v="0"/>
    <x v="250"/>
    <x v="56"/>
    <x v="485"/>
    <x v="257"/>
    <x v="1"/>
    <x v="15"/>
    <x v="0"/>
    <x v="2"/>
    <x v="1"/>
    <x v="1"/>
    <x v="0"/>
    <x v="0"/>
    <x v="466"/>
    <x v="0"/>
    <x v="11"/>
    <x v="10"/>
  </r>
  <r>
    <x v="598"/>
    <x v="319"/>
    <x v="271"/>
    <x v="9"/>
    <x v="95"/>
    <x v="3"/>
    <x v="1"/>
    <x v="19"/>
    <x v="39"/>
    <x v="3"/>
    <x v="78"/>
    <x v="192"/>
    <x v="338"/>
    <x v="89"/>
    <x v="486"/>
    <x v="61"/>
    <x v="1"/>
    <x v="9"/>
    <x v="0"/>
    <x v="0"/>
    <x v="1"/>
    <x v="1"/>
    <x v="0"/>
    <x v="4"/>
    <x v="467"/>
    <x v="0"/>
    <x v="11"/>
    <x v="10"/>
  </r>
  <r>
    <x v="599"/>
    <x v="173"/>
    <x v="101"/>
    <x v="31"/>
    <x v="94"/>
    <x v="5"/>
    <x v="0"/>
    <x v="5"/>
    <x v="9"/>
    <x v="2"/>
    <x v="7"/>
    <x v="21"/>
    <x v="40"/>
    <x v="11"/>
    <x v="85"/>
    <x v="297"/>
    <x v="1"/>
    <x v="1"/>
    <x v="1"/>
    <x v="1"/>
    <x v="1"/>
    <x v="1"/>
    <x v="0"/>
    <x v="0"/>
    <x v="84"/>
    <x v="0"/>
    <x v="11"/>
    <x v="10"/>
  </r>
  <r>
    <x v="600"/>
    <x v="38"/>
    <x v="174"/>
    <x v="40"/>
    <x v="32"/>
    <x v="5"/>
    <x v="0"/>
    <x v="7"/>
    <x v="15"/>
    <x v="3"/>
    <x v="11"/>
    <x v="46"/>
    <x v="55"/>
    <x v="18"/>
    <x v="80"/>
    <x v="213"/>
    <x v="1"/>
    <x v="18"/>
    <x v="0"/>
    <x v="0"/>
    <x v="1"/>
    <x v="1"/>
    <x v="0"/>
    <x v="0"/>
    <x v="79"/>
    <x v="0"/>
    <x v="11"/>
    <x v="10"/>
  </r>
  <r>
    <x v="601"/>
    <x v="7"/>
    <x v="232"/>
    <x v="79"/>
    <x v="12"/>
    <x v="2"/>
    <x v="2"/>
    <x v="8"/>
    <x v="18"/>
    <x v="3"/>
    <x v="48"/>
    <x v="136"/>
    <x v="223"/>
    <x v="59"/>
    <x v="362"/>
    <x v="137"/>
    <x v="1"/>
    <x v="2"/>
    <x v="0"/>
    <x v="0"/>
    <x v="1"/>
    <x v="1"/>
    <x v="0"/>
    <x v="0"/>
    <x v="348"/>
    <x v="0"/>
    <x v="11"/>
    <x v="10"/>
  </r>
  <r>
    <x v="602"/>
    <x v="84"/>
    <x v="190"/>
    <x v="8"/>
    <x v="50"/>
    <x v="3"/>
    <x v="1"/>
    <x v="10"/>
    <x v="20"/>
    <x v="4"/>
    <x v="44"/>
    <x v="149"/>
    <x v="192"/>
    <x v="50"/>
    <x v="334"/>
    <x v="183"/>
    <x v="1"/>
    <x v="11"/>
    <x v="0"/>
    <x v="1"/>
    <x v="1"/>
    <x v="1"/>
    <x v="0"/>
    <x v="3"/>
    <x v="322"/>
    <x v="0"/>
    <x v="11"/>
    <x v="10"/>
  </r>
  <r>
    <x v="603"/>
    <x v="166"/>
    <x v="218"/>
    <x v="24"/>
    <x v="44"/>
    <x v="4"/>
    <x v="0"/>
    <x v="16"/>
    <x v="33"/>
    <x v="2"/>
    <x v="39"/>
    <x v="84"/>
    <x v="187"/>
    <x v="51"/>
    <x v="314"/>
    <x v="157"/>
    <x v="4"/>
    <x v="6"/>
    <x v="0"/>
    <x v="1"/>
    <x v="2"/>
    <x v="1"/>
    <x v="0"/>
    <x v="0"/>
    <x v="303"/>
    <x v="0"/>
    <x v="11"/>
    <x v="10"/>
  </r>
  <r>
    <x v="604"/>
    <x v="288"/>
    <x v="248"/>
    <x v="96"/>
    <x v="91"/>
    <x v="0"/>
    <x v="0"/>
    <x v="23"/>
    <x v="47"/>
    <x v="4"/>
    <x v="75"/>
    <x v="206"/>
    <x v="321"/>
    <x v="93"/>
    <x v="213"/>
    <x v="3"/>
    <x v="1"/>
    <x v="7"/>
    <x v="1"/>
    <x v="1"/>
    <x v="1"/>
    <x v="1"/>
    <x v="0"/>
    <x v="0"/>
    <x v="206"/>
    <x v="0"/>
    <x v="11"/>
    <x v="10"/>
  </r>
  <r>
    <x v="605"/>
    <x v="341"/>
    <x v="49"/>
    <x v="90"/>
    <x v="69"/>
    <x v="0"/>
    <x v="0"/>
    <x v="20"/>
    <x v="41"/>
    <x v="1"/>
    <x v="54"/>
    <x v="63"/>
    <x v="260"/>
    <x v="68"/>
    <x v="399"/>
    <x v="98"/>
    <x v="4"/>
    <x v="13"/>
    <x v="0"/>
    <x v="2"/>
    <x v="2"/>
    <x v="1"/>
    <x v="0"/>
    <x v="0"/>
    <x v="385"/>
    <x v="0"/>
    <x v="11"/>
    <x v="10"/>
  </r>
  <r>
    <x v="606"/>
    <x v="174"/>
    <x v="8"/>
    <x v="56"/>
    <x v="17"/>
    <x v="1"/>
    <x v="4"/>
    <x v="1"/>
    <x v="1"/>
    <x v="0"/>
    <x v="24"/>
    <x v="0"/>
    <x v="149"/>
    <x v="26"/>
    <x v="380"/>
    <x v="339"/>
    <x v="1"/>
    <x v="0"/>
    <x v="0"/>
    <x v="2"/>
    <x v="1"/>
    <x v="1"/>
    <x v="0"/>
    <x v="0"/>
    <x v="366"/>
    <x v="0"/>
    <x v="11"/>
    <x v="10"/>
  </r>
  <r>
    <x v="607"/>
    <x v="22"/>
    <x v="190"/>
    <x v="63"/>
    <x v="33"/>
    <x v="6"/>
    <x v="1"/>
    <x v="9"/>
    <x v="18"/>
    <x v="0"/>
    <x v="38"/>
    <x v="0"/>
    <x v="208"/>
    <x v="45"/>
    <x v="439"/>
    <x v="288"/>
    <x v="1"/>
    <x v="11"/>
    <x v="0"/>
    <x v="0"/>
    <x v="1"/>
    <x v="1"/>
    <x v="0"/>
    <x v="4"/>
    <x v="424"/>
    <x v="0"/>
    <x v="11"/>
    <x v="10"/>
  </r>
  <r>
    <x v="608"/>
    <x v="210"/>
    <x v="73"/>
    <x v="76"/>
    <x v="64"/>
    <x v="2"/>
    <x v="1"/>
    <x v="4"/>
    <x v="8"/>
    <x v="4"/>
    <x v="15"/>
    <x v="82"/>
    <x v="74"/>
    <x v="21"/>
    <x v="146"/>
    <x v="259"/>
    <x v="1"/>
    <x v="9"/>
    <x v="0"/>
    <x v="0"/>
    <x v="1"/>
    <x v="1"/>
    <x v="0"/>
    <x v="4"/>
    <x v="140"/>
    <x v="0"/>
    <x v="11"/>
    <x v="10"/>
  </r>
  <r>
    <x v="609"/>
    <x v="179"/>
    <x v="166"/>
    <x v="57"/>
    <x v="58"/>
    <x v="1"/>
    <x v="0"/>
    <x v="5"/>
    <x v="11"/>
    <x v="5"/>
    <x v="7"/>
    <x v="60"/>
    <x v="30"/>
    <x v="13"/>
    <x v="21"/>
    <x v="159"/>
    <x v="4"/>
    <x v="0"/>
    <x v="1"/>
    <x v="2"/>
    <x v="2"/>
    <x v="1"/>
    <x v="0"/>
    <x v="0"/>
    <x v="22"/>
    <x v="0"/>
    <x v="11"/>
    <x v="10"/>
  </r>
  <r>
    <x v="610"/>
    <x v="271"/>
    <x v="221"/>
    <x v="91"/>
    <x v="39"/>
    <x v="0"/>
    <x v="2"/>
    <x v="12"/>
    <x v="29"/>
    <x v="5"/>
    <x v="69"/>
    <x v="209"/>
    <x v="287"/>
    <x v="79"/>
    <x v="344"/>
    <x v="35"/>
    <x v="1"/>
    <x v="8"/>
    <x v="1"/>
    <x v="0"/>
    <x v="1"/>
    <x v="1"/>
    <x v="0"/>
    <x v="0"/>
    <x v="331"/>
    <x v="0"/>
    <x v="11"/>
    <x v="10"/>
  </r>
  <r>
    <x v="611"/>
    <x v="149"/>
    <x v="171"/>
    <x v="91"/>
    <x v="39"/>
    <x v="0"/>
    <x v="1"/>
    <x v="12"/>
    <x v="29"/>
    <x v="3"/>
    <x v="53"/>
    <x v="143"/>
    <x v="237"/>
    <x v="67"/>
    <x v="347"/>
    <x v="87"/>
    <x v="1"/>
    <x v="9"/>
    <x v="2"/>
    <x v="1"/>
    <x v="1"/>
    <x v="1"/>
    <x v="0"/>
    <x v="3"/>
    <x v="334"/>
    <x v="0"/>
    <x v="11"/>
    <x v="10"/>
  </r>
  <r>
    <x v="612"/>
    <x v="161"/>
    <x v="107"/>
    <x v="14"/>
    <x v="65"/>
    <x v="3"/>
    <x v="0"/>
    <x v="24"/>
    <x v="49"/>
    <x v="4"/>
    <x v="83"/>
    <x v="217"/>
    <x v="345"/>
    <x v="99"/>
    <x v="213"/>
    <x v="2"/>
    <x v="1"/>
    <x v="0"/>
    <x v="0"/>
    <x v="0"/>
    <x v="1"/>
    <x v="1"/>
    <x v="0"/>
    <x v="0"/>
    <x v="206"/>
    <x v="0"/>
    <x v="11"/>
    <x v="10"/>
  </r>
  <r>
    <x v="613"/>
    <x v="299"/>
    <x v="254"/>
    <x v="22"/>
    <x v="79"/>
    <x v="4"/>
    <x v="2"/>
    <x v="4"/>
    <x v="7"/>
    <x v="4"/>
    <x v="28"/>
    <x v="116"/>
    <x v="124"/>
    <x v="30"/>
    <x v="271"/>
    <x v="287"/>
    <x v="1"/>
    <x v="18"/>
    <x v="0"/>
    <x v="2"/>
    <x v="1"/>
    <x v="1"/>
    <x v="0"/>
    <x v="4"/>
    <x v="262"/>
    <x v="0"/>
    <x v="11"/>
    <x v="10"/>
  </r>
  <r>
    <x v="614"/>
    <x v="278"/>
    <x v="56"/>
    <x v="60"/>
    <x v="68"/>
    <x v="6"/>
    <x v="1"/>
    <x v="5"/>
    <x v="9"/>
    <x v="3"/>
    <x v="19"/>
    <x v="71"/>
    <x v="96"/>
    <x v="24"/>
    <x v="199"/>
    <x v="277"/>
    <x v="0"/>
    <x v="18"/>
    <x v="1"/>
    <x v="1"/>
    <x v="0"/>
    <x v="1"/>
    <x v="0"/>
    <x v="1"/>
    <x v="0"/>
    <x v="0"/>
    <x v="11"/>
    <x v="10"/>
  </r>
  <r>
    <x v="615"/>
    <x v="293"/>
    <x v="237"/>
    <x v="99"/>
    <x v="16"/>
    <x v="0"/>
    <x v="0"/>
    <x v="22"/>
    <x v="46"/>
    <x v="2"/>
    <x v="63"/>
    <x v="133"/>
    <x v="289"/>
    <x v="78"/>
    <x v="371"/>
    <x v="46"/>
    <x v="1"/>
    <x v="19"/>
    <x v="1"/>
    <x v="0"/>
    <x v="1"/>
    <x v="1"/>
    <x v="0"/>
    <x v="4"/>
    <x v="357"/>
    <x v="0"/>
    <x v="11"/>
    <x v="10"/>
  </r>
  <r>
    <x v="616"/>
    <x v="334"/>
    <x v="283"/>
    <x v="65"/>
    <x v="36"/>
    <x v="6"/>
    <x v="2"/>
    <x v="7"/>
    <x v="14"/>
    <x v="4"/>
    <x v="41"/>
    <x v="142"/>
    <x v="178"/>
    <x v="45"/>
    <x v="343"/>
    <x v="222"/>
    <x v="1"/>
    <x v="12"/>
    <x v="0"/>
    <x v="0"/>
    <x v="1"/>
    <x v="1"/>
    <x v="0"/>
    <x v="0"/>
    <x v="330"/>
    <x v="0"/>
    <x v="11"/>
    <x v="10"/>
  </r>
  <r>
    <x v="617"/>
    <x v="198"/>
    <x v="122"/>
    <x v="41"/>
    <x v="6"/>
    <x v="5"/>
    <x v="0"/>
    <x v="10"/>
    <x v="21"/>
    <x v="3"/>
    <x v="20"/>
    <x v="73"/>
    <x v="97"/>
    <x v="30"/>
    <x v="163"/>
    <x v="198"/>
    <x v="1"/>
    <x v="8"/>
    <x v="1"/>
    <x v="2"/>
    <x v="1"/>
    <x v="1"/>
    <x v="0"/>
    <x v="4"/>
    <x v="157"/>
    <x v="0"/>
    <x v="11"/>
    <x v="10"/>
  </r>
  <r>
    <x v="618"/>
    <x v="342"/>
    <x v="184"/>
    <x v="46"/>
    <x v="85"/>
    <x v="1"/>
    <x v="0"/>
    <x v="5"/>
    <x v="11"/>
    <x v="2"/>
    <x v="7"/>
    <x v="21"/>
    <x v="40"/>
    <x v="13"/>
    <x v="67"/>
    <x v="247"/>
    <x v="2"/>
    <x v="17"/>
    <x v="1"/>
    <x v="1"/>
    <x v="2"/>
    <x v="1"/>
    <x v="0"/>
    <x v="2"/>
    <x v="66"/>
    <x v="0"/>
    <x v="11"/>
    <x v="10"/>
  </r>
  <r>
    <x v="619"/>
    <x v="265"/>
    <x v="43"/>
    <x v="46"/>
    <x v="85"/>
    <x v="1"/>
    <x v="0"/>
    <x v="5"/>
    <x v="11"/>
    <x v="5"/>
    <x v="7"/>
    <x v="60"/>
    <x v="30"/>
    <x v="13"/>
    <x v="21"/>
    <x v="159"/>
    <x v="4"/>
    <x v="8"/>
    <x v="1"/>
    <x v="0"/>
    <x v="2"/>
    <x v="1"/>
    <x v="0"/>
    <x v="0"/>
    <x v="22"/>
    <x v="0"/>
    <x v="11"/>
    <x v="10"/>
  </r>
  <r>
    <x v="620"/>
    <x v="237"/>
    <x v="114"/>
    <x v="71"/>
    <x v="88"/>
    <x v="6"/>
    <x v="2"/>
    <x v="5"/>
    <x v="10"/>
    <x v="0"/>
    <x v="31"/>
    <x v="0"/>
    <x v="177"/>
    <x v="37"/>
    <x v="404"/>
    <x v="307"/>
    <x v="1"/>
    <x v="3"/>
    <x v="0"/>
    <x v="1"/>
    <x v="1"/>
    <x v="1"/>
    <x v="0"/>
    <x v="4"/>
    <x v="389"/>
    <x v="0"/>
    <x v="11"/>
    <x v="10"/>
  </r>
  <r>
    <x v="621"/>
    <x v="173"/>
    <x v="107"/>
    <x v="76"/>
    <x v="64"/>
    <x v="2"/>
    <x v="0"/>
    <x v="4"/>
    <x v="8"/>
    <x v="0"/>
    <x v="5"/>
    <x v="0"/>
    <x v="38"/>
    <x v="8"/>
    <x v="92"/>
    <x v="323"/>
    <x v="1"/>
    <x v="0"/>
    <x v="0"/>
    <x v="2"/>
    <x v="1"/>
    <x v="1"/>
    <x v="0"/>
    <x v="0"/>
    <x v="90"/>
    <x v="0"/>
    <x v="11"/>
    <x v="10"/>
  </r>
  <r>
    <x v="622"/>
    <x v="18"/>
    <x v="214"/>
    <x v="97"/>
    <x v="81"/>
    <x v="0"/>
    <x v="0"/>
    <x v="12"/>
    <x v="29"/>
    <x v="5"/>
    <x v="27"/>
    <x v="132"/>
    <x v="108"/>
    <x v="43"/>
    <x v="77"/>
    <x v="35"/>
    <x v="1"/>
    <x v="18"/>
    <x v="1"/>
    <x v="1"/>
    <x v="1"/>
    <x v="1"/>
    <x v="0"/>
    <x v="4"/>
    <x v="76"/>
    <x v="0"/>
    <x v="11"/>
    <x v="10"/>
  </r>
  <r>
    <x v="623"/>
    <x v="117"/>
    <x v="233"/>
    <x v="52"/>
    <x v="54"/>
    <x v="1"/>
    <x v="0"/>
    <x v="8"/>
    <x v="16"/>
    <x v="0"/>
    <x v="14"/>
    <x v="0"/>
    <x v="84"/>
    <x v="20"/>
    <x v="178"/>
    <x v="298"/>
    <x v="1"/>
    <x v="3"/>
    <x v="1"/>
    <x v="1"/>
    <x v="1"/>
    <x v="1"/>
    <x v="0"/>
    <x v="0"/>
    <x v="172"/>
    <x v="0"/>
    <x v="11"/>
    <x v="10"/>
  </r>
  <r>
    <x v="624"/>
    <x v="2"/>
    <x v="129"/>
    <x v="80"/>
    <x v="82"/>
    <x v="2"/>
    <x v="1"/>
    <x v="0"/>
    <x v="0"/>
    <x v="3"/>
    <x v="3"/>
    <x v="23"/>
    <x v="19"/>
    <x v="4"/>
    <x v="43"/>
    <x v="331"/>
    <x v="1"/>
    <x v="16"/>
    <x v="1"/>
    <x v="1"/>
    <x v="1"/>
    <x v="1"/>
    <x v="0"/>
    <x v="3"/>
    <x v="44"/>
    <x v="0"/>
    <x v="11"/>
    <x v="10"/>
  </r>
  <r>
    <x v="625"/>
    <x v="37"/>
    <x v="121"/>
    <x v="59"/>
    <x v="99"/>
    <x v="6"/>
    <x v="1"/>
    <x v="10"/>
    <x v="20"/>
    <x v="2"/>
    <x v="44"/>
    <x v="94"/>
    <x v="212"/>
    <x v="50"/>
    <x v="414"/>
    <x v="237"/>
    <x v="1"/>
    <x v="1"/>
    <x v="1"/>
    <x v="1"/>
    <x v="1"/>
    <x v="1"/>
    <x v="0"/>
    <x v="4"/>
    <x v="399"/>
    <x v="0"/>
    <x v="11"/>
    <x v="10"/>
  </r>
  <r>
    <x v="626"/>
    <x v="137"/>
    <x v="116"/>
    <x v="77"/>
    <x v="75"/>
    <x v="2"/>
    <x v="0"/>
    <x v="2"/>
    <x v="4"/>
    <x v="2"/>
    <x v="2"/>
    <x v="11"/>
    <x v="14"/>
    <x v="4"/>
    <x v="25"/>
    <x v="305"/>
    <x v="1"/>
    <x v="15"/>
    <x v="1"/>
    <x v="1"/>
    <x v="1"/>
    <x v="1"/>
    <x v="0"/>
    <x v="4"/>
    <x v="26"/>
    <x v="0"/>
    <x v="11"/>
    <x v="10"/>
  </r>
  <r>
    <x v="627"/>
    <x v="237"/>
    <x v="27"/>
    <x v="91"/>
    <x v="39"/>
    <x v="0"/>
    <x v="0"/>
    <x v="12"/>
    <x v="29"/>
    <x v="5"/>
    <x v="27"/>
    <x v="132"/>
    <x v="108"/>
    <x v="43"/>
    <x v="77"/>
    <x v="35"/>
    <x v="1"/>
    <x v="10"/>
    <x v="2"/>
    <x v="1"/>
    <x v="1"/>
    <x v="1"/>
    <x v="0"/>
    <x v="3"/>
    <x v="76"/>
    <x v="0"/>
    <x v="11"/>
    <x v="10"/>
  </r>
  <r>
    <x v="628"/>
    <x v="12"/>
    <x v="46"/>
    <x v="97"/>
    <x v="81"/>
    <x v="0"/>
    <x v="0"/>
    <x v="12"/>
    <x v="29"/>
    <x v="0"/>
    <x v="27"/>
    <x v="0"/>
    <x v="151"/>
    <x v="43"/>
    <x v="250"/>
    <x v="179"/>
    <x v="2"/>
    <x v="17"/>
    <x v="2"/>
    <x v="2"/>
    <x v="2"/>
    <x v="1"/>
    <x v="0"/>
    <x v="2"/>
    <x v="242"/>
    <x v="0"/>
    <x v="11"/>
    <x v="10"/>
  </r>
  <r>
    <x v="629"/>
    <x v="180"/>
    <x v="102"/>
    <x v="75"/>
    <x v="23"/>
    <x v="2"/>
    <x v="0"/>
    <x v="5"/>
    <x v="11"/>
    <x v="0"/>
    <x v="7"/>
    <x v="0"/>
    <x v="50"/>
    <x v="13"/>
    <x v="97"/>
    <x v="289"/>
    <x v="1"/>
    <x v="8"/>
    <x v="0"/>
    <x v="1"/>
    <x v="1"/>
    <x v="1"/>
    <x v="0"/>
    <x v="4"/>
    <x v="95"/>
    <x v="0"/>
    <x v="11"/>
    <x v="10"/>
  </r>
  <r>
    <x v="630"/>
    <x v="347"/>
    <x v="98"/>
    <x v="47"/>
    <x v="74"/>
    <x v="1"/>
    <x v="0"/>
    <x v="4"/>
    <x v="9"/>
    <x v="2"/>
    <x v="5"/>
    <x v="17"/>
    <x v="31"/>
    <x v="11"/>
    <x v="45"/>
    <x v="242"/>
    <x v="0"/>
    <x v="19"/>
    <x v="0"/>
    <x v="1"/>
    <x v="0"/>
    <x v="1"/>
    <x v="0"/>
    <x v="1"/>
    <x v="0"/>
    <x v="0"/>
    <x v="11"/>
    <x v="10"/>
  </r>
  <r>
    <x v="631"/>
    <x v="267"/>
    <x v="171"/>
    <x v="9"/>
    <x v="95"/>
    <x v="3"/>
    <x v="0"/>
    <x v="19"/>
    <x v="39"/>
    <x v="5"/>
    <x v="50"/>
    <x v="177"/>
    <x v="203"/>
    <x v="65"/>
    <x v="151"/>
    <x v="16"/>
    <x v="1"/>
    <x v="9"/>
    <x v="2"/>
    <x v="2"/>
    <x v="1"/>
    <x v="1"/>
    <x v="0"/>
    <x v="3"/>
    <x v="145"/>
    <x v="0"/>
    <x v="11"/>
    <x v="10"/>
  </r>
  <r>
    <x v="632"/>
    <x v="120"/>
    <x v="103"/>
    <x v="9"/>
    <x v="95"/>
    <x v="3"/>
    <x v="0"/>
    <x v="19"/>
    <x v="39"/>
    <x v="2"/>
    <x v="50"/>
    <x v="105"/>
    <x v="234"/>
    <x v="65"/>
    <x v="330"/>
    <x v="86"/>
    <x v="1"/>
    <x v="4"/>
    <x v="1"/>
    <x v="2"/>
    <x v="1"/>
    <x v="1"/>
    <x v="0"/>
    <x v="0"/>
    <x v="318"/>
    <x v="0"/>
    <x v="11"/>
    <x v="10"/>
  </r>
  <r>
    <x v="633"/>
    <x v="69"/>
    <x v="21"/>
    <x v="55"/>
    <x v="37"/>
    <x v="1"/>
    <x v="1"/>
    <x v="15"/>
    <x v="34"/>
    <x v="2"/>
    <x v="64"/>
    <x v="134"/>
    <x v="293"/>
    <x v="75"/>
    <x v="452"/>
    <x v="91"/>
    <x v="1"/>
    <x v="14"/>
    <x v="1"/>
    <x v="1"/>
    <x v="1"/>
    <x v="1"/>
    <x v="0"/>
    <x v="4"/>
    <x v="437"/>
    <x v="0"/>
    <x v="11"/>
    <x v="10"/>
  </r>
  <r>
    <x v="634"/>
    <x v="203"/>
    <x v="77"/>
    <x v="97"/>
    <x v="81"/>
    <x v="0"/>
    <x v="3"/>
    <x v="12"/>
    <x v="29"/>
    <x v="3"/>
    <x v="81"/>
    <x v="197"/>
    <x v="351"/>
    <x v="91"/>
    <x v="536"/>
    <x v="87"/>
    <x v="1"/>
    <x v="5"/>
    <x v="1"/>
    <x v="2"/>
    <x v="1"/>
    <x v="1"/>
    <x v="0"/>
    <x v="3"/>
    <x v="513"/>
    <x v="0"/>
    <x v="11"/>
    <x v="10"/>
  </r>
  <r>
    <x v="635"/>
    <x v="238"/>
    <x v="290"/>
    <x v="57"/>
    <x v="58"/>
    <x v="1"/>
    <x v="2"/>
    <x v="5"/>
    <x v="11"/>
    <x v="4"/>
    <x v="31"/>
    <x v="127"/>
    <x v="145"/>
    <x v="40"/>
    <x v="246"/>
    <x v="196"/>
    <x v="1"/>
    <x v="11"/>
    <x v="2"/>
    <x v="2"/>
    <x v="1"/>
    <x v="1"/>
    <x v="0"/>
    <x v="4"/>
    <x v="238"/>
    <x v="0"/>
    <x v="11"/>
    <x v="10"/>
  </r>
  <r>
    <x v="636"/>
    <x v="126"/>
    <x v="131"/>
    <x v="31"/>
    <x v="94"/>
    <x v="5"/>
    <x v="0"/>
    <x v="5"/>
    <x v="9"/>
    <x v="3"/>
    <x v="7"/>
    <x v="34"/>
    <x v="37"/>
    <x v="11"/>
    <x v="68"/>
    <x v="277"/>
    <x v="1"/>
    <x v="9"/>
    <x v="0"/>
    <x v="0"/>
    <x v="1"/>
    <x v="1"/>
    <x v="0"/>
    <x v="4"/>
    <x v="67"/>
    <x v="0"/>
    <x v="11"/>
    <x v="10"/>
  </r>
  <r>
    <x v="637"/>
    <x v="165"/>
    <x v="100"/>
    <x v="4"/>
    <x v="66"/>
    <x v="3"/>
    <x v="1"/>
    <x v="14"/>
    <x v="31"/>
    <x v="0"/>
    <x v="61"/>
    <x v="0"/>
    <x v="299"/>
    <x v="71"/>
    <x v="520"/>
    <x v="185"/>
    <x v="1"/>
    <x v="14"/>
    <x v="1"/>
    <x v="0"/>
    <x v="1"/>
    <x v="1"/>
    <x v="0"/>
    <x v="0"/>
    <x v="497"/>
    <x v="0"/>
    <x v="11"/>
    <x v="10"/>
  </r>
  <r>
    <x v="638"/>
    <x v="94"/>
    <x v="17"/>
    <x v="85"/>
    <x v="35"/>
    <x v="2"/>
    <x v="1"/>
    <x v="1"/>
    <x v="2"/>
    <x v="3"/>
    <x v="6"/>
    <x v="32"/>
    <x v="36"/>
    <x v="10"/>
    <x v="73"/>
    <x v="301"/>
    <x v="2"/>
    <x v="15"/>
    <x v="0"/>
    <x v="1"/>
    <x v="2"/>
    <x v="1"/>
    <x v="0"/>
    <x v="2"/>
    <x v="72"/>
    <x v="0"/>
    <x v="11"/>
    <x v="10"/>
  </r>
  <r>
    <x v="639"/>
    <x v="283"/>
    <x v="84"/>
    <x v="3"/>
    <x v="90"/>
    <x v="3"/>
    <x v="3"/>
    <x v="3"/>
    <x v="7"/>
    <x v="2"/>
    <x v="30"/>
    <x v="70"/>
    <x v="159"/>
    <x v="37"/>
    <x v="340"/>
    <x v="273"/>
    <x v="4"/>
    <x v="12"/>
    <x v="1"/>
    <x v="0"/>
    <x v="2"/>
    <x v="1"/>
    <x v="0"/>
    <x v="0"/>
    <x v="327"/>
    <x v="0"/>
    <x v="11"/>
    <x v="10"/>
  </r>
  <r>
    <x v="640"/>
    <x v="320"/>
    <x v="151"/>
    <x v="44"/>
    <x v="53"/>
    <x v="5"/>
    <x v="1"/>
    <x v="6"/>
    <x v="12"/>
    <x v="0"/>
    <x v="22"/>
    <x v="0"/>
    <x v="134"/>
    <x v="30"/>
    <x v="310"/>
    <x v="308"/>
    <x v="1"/>
    <x v="9"/>
    <x v="1"/>
    <x v="0"/>
    <x v="1"/>
    <x v="1"/>
    <x v="0"/>
    <x v="0"/>
    <x v="299"/>
    <x v="0"/>
    <x v="11"/>
    <x v="10"/>
  </r>
  <r>
    <x v="641"/>
    <x v="176"/>
    <x v="126"/>
    <x v="62"/>
    <x v="19"/>
    <x v="6"/>
    <x v="2"/>
    <x v="17"/>
    <x v="35"/>
    <x v="1"/>
    <x v="87"/>
    <x v="124"/>
    <x v="390"/>
    <x v="93"/>
    <x v="633"/>
    <x v="167"/>
    <x v="1"/>
    <x v="10"/>
    <x v="1"/>
    <x v="1"/>
    <x v="1"/>
    <x v="1"/>
    <x v="0"/>
    <x v="0"/>
    <x v="603"/>
    <x v="0"/>
    <x v="11"/>
    <x v="10"/>
  </r>
  <r>
    <x v="642"/>
    <x v="167"/>
    <x v="165"/>
    <x v="62"/>
    <x v="19"/>
    <x v="6"/>
    <x v="2"/>
    <x v="17"/>
    <x v="35"/>
    <x v="2"/>
    <x v="87"/>
    <x v="176"/>
    <x v="385"/>
    <x v="93"/>
    <x v="610"/>
    <x v="135"/>
    <x v="1"/>
    <x v="10"/>
    <x v="1"/>
    <x v="2"/>
    <x v="1"/>
    <x v="1"/>
    <x v="0"/>
    <x v="0"/>
    <x v="581"/>
    <x v="0"/>
    <x v="11"/>
    <x v="10"/>
  </r>
  <r>
    <x v="643"/>
    <x v="330"/>
    <x v="258"/>
    <x v="38"/>
    <x v="92"/>
    <x v="5"/>
    <x v="1"/>
    <x v="9"/>
    <x v="18"/>
    <x v="4"/>
    <x v="38"/>
    <x v="139"/>
    <x v="165"/>
    <x v="45"/>
    <x v="301"/>
    <x v="190"/>
    <x v="1"/>
    <x v="6"/>
    <x v="1"/>
    <x v="0"/>
    <x v="1"/>
    <x v="1"/>
    <x v="0"/>
    <x v="4"/>
    <x v="290"/>
    <x v="0"/>
    <x v="11"/>
    <x v="10"/>
  </r>
  <r>
    <x v="644"/>
    <x v="300"/>
    <x v="191"/>
    <x v="55"/>
    <x v="37"/>
    <x v="1"/>
    <x v="2"/>
    <x v="15"/>
    <x v="34"/>
    <x v="1"/>
    <x v="79"/>
    <x v="106"/>
    <x v="371"/>
    <x v="92"/>
    <x v="581"/>
    <x v="122"/>
    <x v="1"/>
    <x v="9"/>
    <x v="1"/>
    <x v="2"/>
    <x v="1"/>
    <x v="1"/>
    <x v="0"/>
    <x v="4"/>
    <x v="557"/>
    <x v="0"/>
    <x v="11"/>
    <x v="10"/>
  </r>
  <r>
    <x v="645"/>
    <x v="64"/>
    <x v="139"/>
    <x v="42"/>
    <x v="47"/>
    <x v="5"/>
    <x v="2"/>
    <x v="15"/>
    <x v="32"/>
    <x v="4"/>
    <x v="79"/>
    <x v="212"/>
    <x v="339"/>
    <x v="89"/>
    <x v="501"/>
    <x v="69"/>
    <x v="2"/>
    <x v="14"/>
    <x v="2"/>
    <x v="0"/>
    <x v="2"/>
    <x v="1"/>
    <x v="0"/>
    <x v="2"/>
    <x v="480"/>
    <x v="0"/>
    <x v="11"/>
    <x v="10"/>
  </r>
  <r>
    <x v="646"/>
    <x v="10"/>
    <x v="111"/>
    <x v="57"/>
    <x v="58"/>
    <x v="1"/>
    <x v="0"/>
    <x v="5"/>
    <x v="11"/>
    <x v="5"/>
    <x v="7"/>
    <x v="60"/>
    <x v="30"/>
    <x v="13"/>
    <x v="21"/>
    <x v="159"/>
    <x v="1"/>
    <x v="11"/>
    <x v="0"/>
    <x v="0"/>
    <x v="1"/>
    <x v="1"/>
    <x v="0"/>
    <x v="4"/>
    <x v="22"/>
    <x v="0"/>
    <x v="11"/>
    <x v="10"/>
  </r>
  <r>
    <x v="647"/>
    <x v="147"/>
    <x v="63"/>
    <x v="54"/>
    <x v="61"/>
    <x v="1"/>
    <x v="0"/>
    <x v="12"/>
    <x v="27"/>
    <x v="3"/>
    <x v="27"/>
    <x v="90"/>
    <x v="126"/>
    <x v="39"/>
    <x v="179"/>
    <x v="139"/>
    <x v="4"/>
    <x v="8"/>
    <x v="1"/>
    <x v="1"/>
    <x v="2"/>
    <x v="1"/>
    <x v="0"/>
    <x v="0"/>
    <x v="173"/>
    <x v="0"/>
    <x v="11"/>
    <x v="10"/>
  </r>
  <r>
    <x v="648"/>
    <x v="184"/>
    <x v="114"/>
    <x v="37"/>
    <x v="51"/>
    <x v="5"/>
    <x v="2"/>
    <x v="8"/>
    <x v="17"/>
    <x v="2"/>
    <x v="48"/>
    <x v="102"/>
    <x v="232"/>
    <x v="54"/>
    <x v="450"/>
    <x v="238"/>
    <x v="1"/>
    <x v="3"/>
    <x v="0"/>
    <x v="0"/>
    <x v="1"/>
    <x v="1"/>
    <x v="0"/>
    <x v="0"/>
    <x v="435"/>
    <x v="0"/>
    <x v="11"/>
    <x v="10"/>
  </r>
  <r>
    <x v="649"/>
    <x v="328"/>
    <x v="103"/>
    <x v="95"/>
    <x v="0"/>
    <x v="0"/>
    <x v="0"/>
    <x v="24"/>
    <x v="48"/>
    <x v="5"/>
    <x v="83"/>
    <x v="228"/>
    <x v="334"/>
    <x v="97"/>
    <x v="151"/>
    <x v="1"/>
    <x v="1"/>
    <x v="4"/>
    <x v="1"/>
    <x v="2"/>
    <x v="1"/>
    <x v="1"/>
    <x v="0"/>
    <x v="4"/>
    <x v="145"/>
    <x v="0"/>
    <x v="11"/>
    <x v="10"/>
  </r>
  <r>
    <x v="650"/>
    <x v="336"/>
    <x v="179"/>
    <x v="68"/>
    <x v="80"/>
    <x v="6"/>
    <x v="3"/>
    <x v="12"/>
    <x v="27"/>
    <x v="1"/>
    <x v="81"/>
    <x v="112"/>
    <x v="375"/>
    <x v="87"/>
    <x v="623"/>
    <x v="203"/>
    <x v="1"/>
    <x v="14"/>
    <x v="0"/>
    <x v="1"/>
    <x v="1"/>
    <x v="1"/>
    <x v="0"/>
    <x v="0"/>
    <x v="594"/>
    <x v="0"/>
    <x v="11"/>
    <x v="10"/>
  </r>
  <r>
    <x v="651"/>
    <x v="139"/>
    <x v="142"/>
    <x v="83"/>
    <x v="96"/>
    <x v="2"/>
    <x v="0"/>
    <x v="10"/>
    <x v="23"/>
    <x v="2"/>
    <x v="20"/>
    <x v="50"/>
    <x v="104"/>
    <x v="34"/>
    <x v="148"/>
    <x v="146"/>
    <x v="1"/>
    <x v="4"/>
    <x v="0"/>
    <x v="1"/>
    <x v="1"/>
    <x v="1"/>
    <x v="0"/>
    <x v="3"/>
    <x v="142"/>
    <x v="0"/>
    <x v="11"/>
    <x v="10"/>
  </r>
  <r>
    <x v="652"/>
    <x v="81"/>
    <x v="236"/>
    <x v="28"/>
    <x v="73"/>
    <x v="4"/>
    <x v="2"/>
    <x v="3"/>
    <x v="5"/>
    <x v="3"/>
    <x v="21"/>
    <x v="79"/>
    <x v="112"/>
    <x v="24"/>
    <x v="262"/>
    <x v="312"/>
    <x v="1"/>
    <x v="5"/>
    <x v="0"/>
    <x v="2"/>
    <x v="1"/>
    <x v="1"/>
    <x v="0"/>
    <x v="3"/>
    <x v="253"/>
    <x v="0"/>
    <x v="11"/>
    <x v="10"/>
  </r>
  <r>
    <x v="653"/>
    <x v="62"/>
    <x v="21"/>
    <x v="64"/>
    <x v="3"/>
    <x v="6"/>
    <x v="1"/>
    <x v="12"/>
    <x v="28"/>
    <x v="0"/>
    <x v="53"/>
    <x v="0"/>
    <x v="268"/>
    <x v="64"/>
    <x v="485"/>
    <x v="210"/>
    <x v="1"/>
    <x v="14"/>
    <x v="1"/>
    <x v="0"/>
    <x v="1"/>
    <x v="1"/>
    <x v="0"/>
    <x v="4"/>
    <x v="466"/>
    <x v="0"/>
    <x v="11"/>
    <x v="10"/>
  </r>
  <r>
    <x v="654"/>
    <x v="198"/>
    <x v="224"/>
    <x v="40"/>
    <x v="32"/>
    <x v="5"/>
    <x v="0"/>
    <x v="7"/>
    <x v="15"/>
    <x v="2"/>
    <x v="11"/>
    <x v="29"/>
    <x v="61"/>
    <x v="18"/>
    <x v="99"/>
    <x v="236"/>
    <x v="1"/>
    <x v="17"/>
    <x v="1"/>
    <x v="1"/>
    <x v="1"/>
    <x v="1"/>
    <x v="0"/>
    <x v="0"/>
    <x v="96"/>
    <x v="0"/>
    <x v="11"/>
    <x v="10"/>
  </r>
  <r>
    <x v="655"/>
    <x v="102"/>
    <x v="255"/>
    <x v="63"/>
    <x v="33"/>
    <x v="6"/>
    <x v="1"/>
    <x v="9"/>
    <x v="18"/>
    <x v="1"/>
    <x v="38"/>
    <x v="42"/>
    <x v="196"/>
    <x v="45"/>
    <x v="411"/>
    <x v="268"/>
    <x v="1"/>
    <x v="15"/>
    <x v="0"/>
    <x v="0"/>
    <x v="1"/>
    <x v="1"/>
    <x v="0"/>
    <x v="0"/>
    <x v="396"/>
    <x v="0"/>
    <x v="11"/>
    <x v="10"/>
  </r>
  <r>
    <x v="656"/>
    <x v="221"/>
    <x v="129"/>
    <x v="93"/>
    <x v="70"/>
    <x v="0"/>
    <x v="2"/>
    <x v="20"/>
    <x v="42"/>
    <x v="5"/>
    <x v="97"/>
    <x v="241"/>
    <x v="394"/>
    <x v="110"/>
    <x v="418"/>
    <x v="6"/>
    <x v="1"/>
    <x v="16"/>
    <x v="1"/>
    <x v="2"/>
    <x v="1"/>
    <x v="1"/>
    <x v="0"/>
    <x v="3"/>
    <x v="403"/>
    <x v="0"/>
    <x v="11"/>
    <x v="10"/>
  </r>
  <r>
    <x v="657"/>
    <x v="334"/>
    <x v="134"/>
    <x v="81"/>
    <x v="31"/>
    <x v="2"/>
    <x v="0"/>
    <x v="2"/>
    <x v="4"/>
    <x v="3"/>
    <x v="2"/>
    <x v="19"/>
    <x v="13"/>
    <x v="4"/>
    <x v="16"/>
    <x v="290"/>
    <x v="0"/>
    <x v="18"/>
    <x v="0"/>
    <x v="1"/>
    <x v="0"/>
    <x v="1"/>
    <x v="0"/>
    <x v="1"/>
    <x v="0"/>
    <x v="0"/>
    <x v="11"/>
    <x v="10"/>
  </r>
  <r>
    <x v="658"/>
    <x v="283"/>
    <x v="18"/>
    <x v="92"/>
    <x v="45"/>
    <x v="0"/>
    <x v="1"/>
    <x v="21"/>
    <x v="44"/>
    <x v="0"/>
    <x v="88"/>
    <x v="0"/>
    <x v="397"/>
    <x v="101"/>
    <x v="615"/>
    <x v="99"/>
    <x v="1"/>
    <x v="5"/>
    <x v="0"/>
    <x v="0"/>
    <x v="1"/>
    <x v="1"/>
    <x v="0"/>
    <x v="0"/>
    <x v="586"/>
    <x v="0"/>
    <x v="11"/>
    <x v="10"/>
  </r>
  <r>
    <x v="659"/>
    <x v="333"/>
    <x v="169"/>
    <x v="12"/>
    <x v="56"/>
    <x v="3"/>
    <x v="0"/>
    <x v="9"/>
    <x v="22"/>
    <x v="2"/>
    <x v="16"/>
    <x v="42"/>
    <x v="87"/>
    <x v="33"/>
    <x v="99"/>
    <x v="95"/>
    <x v="1"/>
    <x v="16"/>
    <x v="1"/>
    <x v="2"/>
    <x v="1"/>
    <x v="1"/>
    <x v="0"/>
    <x v="4"/>
    <x v="96"/>
    <x v="0"/>
    <x v="11"/>
    <x v="10"/>
  </r>
  <r>
    <x v="660"/>
    <x v="301"/>
    <x v="248"/>
    <x v="56"/>
    <x v="17"/>
    <x v="1"/>
    <x v="1"/>
    <x v="1"/>
    <x v="1"/>
    <x v="4"/>
    <x v="6"/>
    <x v="48"/>
    <x v="32"/>
    <x v="8"/>
    <x v="65"/>
    <x v="303"/>
    <x v="4"/>
    <x v="7"/>
    <x v="1"/>
    <x v="0"/>
    <x v="2"/>
    <x v="1"/>
    <x v="0"/>
    <x v="0"/>
    <x v="64"/>
    <x v="0"/>
    <x v="11"/>
    <x v="10"/>
  </r>
  <r>
    <x v="661"/>
    <x v="81"/>
    <x v="4"/>
    <x v="21"/>
    <x v="93"/>
    <x v="4"/>
    <x v="0"/>
    <x v="7"/>
    <x v="14"/>
    <x v="1"/>
    <x v="11"/>
    <x v="12"/>
    <x v="64"/>
    <x v="17"/>
    <x v="132"/>
    <x v="295"/>
    <x v="4"/>
    <x v="4"/>
    <x v="1"/>
    <x v="0"/>
    <x v="2"/>
    <x v="1"/>
    <x v="0"/>
    <x v="0"/>
    <x v="127"/>
    <x v="0"/>
    <x v="11"/>
    <x v="10"/>
  </r>
  <r>
    <x v="662"/>
    <x v="33"/>
    <x v="268"/>
    <x v="80"/>
    <x v="82"/>
    <x v="2"/>
    <x v="2"/>
    <x v="0"/>
    <x v="0"/>
    <x v="2"/>
    <x v="8"/>
    <x v="23"/>
    <x v="52"/>
    <x v="9"/>
    <x v="126"/>
    <x v="337"/>
    <x v="1"/>
    <x v="7"/>
    <x v="0"/>
    <x v="2"/>
    <x v="1"/>
    <x v="1"/>
    <x v="0"/>
    <x v="4"/>
    <x v="122"/>
    <x v="0"/>
    <x v="11"/>
    <x v="10"/>
  </r>
  <r>
    <x v="663"/>
    <x v="212"/>
    <x v="90"/>
    <x v="98"/>
    <x v="72"/>
    <x v="0"/>
    <x v="0"/>
    <x v="15"/>
    <x v="34"/>
    <x v="0"/>
    <x v="35"/>
    <x v="0"/>
    <x v="195"/>
    <x v="52"/>
    <x v="319"/>
    <x v="155"/>
    <x v="1"/>
    <x v="16"/>
    <x v="0"/>
    <x v="0"/>
    <x v="1"/>
    <x v="1"/>
    <x v="0"/>
    <x v="3"/>
    <x v="307"/>
    <x v="0"/>
    <x v="11"/>
    <x v="10"/>
  </r>
  <r>
    <x v="664"/>
    <x v="4"/>
    <x v="80"/>
    <x v="68"/>
    <x v="80"/>
    <x v="6"/>
    <x v="1"/>
    <x v="12"/>
    <x v="27"/>
    <x v="1"/>
    <x v="53"/>
    <x v="62"/>
    <x v="259"/>
    <x v="63"/>
    <x v="470"/>
    <x v="203"/>
    <x v="1"/>
    <x v="14"/>
    <x v="1"/>
    <x v="1"/>
    <x v="1"/>
    <x v="1"/>
    <x v="0"/>
    <x v="0"/>
    <x v="451"/>
    <x v="0"/>
    <x v="11"/>
    <x v="10"/>
  </r>
  <r>
    <x v="665"/>
    <x v="212"/>
    <x v="207"/>
    <x v="68"/>
    <x v="80"/>
    <x v="6"/>
    <x v="0"/>
    <x v="12"/>
    <x v="27"/>
    <x v="2"/>
    <x v="27"/>
    <x v="62"/>
    <x v="137"/>
    <x v="39"/>
    <x v="212"/>
    <x v="171"/>
    <x v="1"/>
    <x v="13"/>
    <x v="1"/>
    <x v="1"/>
    <x v="1"/>
    <x v="1"/>
    <x v="0"/>
    <x v="3"/>
    <x v="205"/>
    <x v="0"/>
    <x v="11"/>
    <x v="10"/>
  </r>
  <r>
    <x v="666"/>
    <x v="69"/>
    <x v="234"/>
    <x v="27"/>
    <x v="78"/>
    <x v="4"/>
    <x v="0"/>
    <x v="19"/>
    <x v="38"/>
    <x v="0"/>
    <x v="50"/>
    <x v="0"/>
    <x v="252"/>
    <x v="60"/>
    <x v="454"/>
    <x v="200"/>
    <x v="1"/>
    <x v="18"/>
    <x v="1"/>
    <x v="1"/>
    <x v="1"/>
    <x v="1"/>
    <x v="0"/>
    <x v="0"/>
    <x v="439"/>
    <x v="0"/>
    <x v="11"/>
    <x v="10"/>
  </r>
  <r>
    <x v="667"/>
    <x v="218"/>
    <x v="141"/>
    <x v="75"/>
    <x v="23"/>
    <x v="2"/>
    <x v="0"/>
    <x v="5"/>
    <x v="11"/>
    <x v="1"/>
    <x v="7"/>
    <x v="8"/>
    <x v="45"/>
    <x v="13"/>
    <x v="84"/>
    <x v="272"/>
    <x v="1"/>
    <x v="8"/>
    <x v="1"/>
    <x v="0"/>
    <x v="1"/>
    <x v="1"/>
    <x v="0"/>
    <x v="4"/>
    <x v="83"/>
    <x v="0"/>
    <x v="11"/>
    <x v="10"/>
  </r>
  <r>
    <x v="668"/>
    <x v="101"/>
    <x v="89"/>
    <x v="83"/>
    <x v="96"/>
    <x v="2"/>
    <x v="0"/>
    <x v="10"/>
    <x v="23"/>
    <x v="0"/>
    <x v="20"/>
    <x v="0"/>
    <x v="119"/>
    <x v="34"/>
    <x v="200"/>
    <x v="207"/>
    <x v="2"/>
    <x v="7"/>
    <x v="1"/>
    <x v="1"/>
    <x v="2"/>
    <x v="1"/>
    <x v="0"/>
    <x v="2"/>
    <x v="193"/>
    <x v="0"/>
    <x v="11"/>
    <x v="10"/>
  </r>
  <r>
    <x v="669"/>
    <x v="56"/>
    <x v="47"/>
    <x v="97"/>
    <x v="81"/>
    <x v="0"/>
    <x v="1"/>
    <x v="12"/>
    <x v="29"/>
    <x v="0"/>
    <x v="53"/>
    <x v="0"/>
    <x v="268"/>
    <x v="67"/>
    <x v="469"/>
    <x v="179"/>
    <x v="1"/>
    <x v="10"/>
    <x v="0"/>
    <x v="1"/>
    <x v="1"/>
    <x v="1"/>
    <x v="0"/>
    <x v="3"/>
    <x v="450"/>
    <x v="0"/>
    <x v="11"/>
    <x v="10"/>
  </r>
  <r>
    <x v="670"/>
    <x v="36"/>
    <x v="266"/>
    <x v="72"/>
    <x v="43"/>
    <x v="6"/>
    <x v="2"/>
    <x v="20"/>
    <x v="40"/>
    <x v="1"/>
    <x v="97"/>
    <x v="146"/>
    <x v="414"/>
    <x v="107"/>
    <x v="660"/>
    <x v="152"/>
    <x v="3"/>
    <x v="0"/>
    <x v="0"/>
    <x v="0"/>
    <x v="3"/>
    <x v="2"/>
    <x v="0"/>
    <x v="3"/>
    <x v="0"/>
    <x v="0"/>
    <x v="11"/>
    <x v="10"/>
  </r>
  <r>
    <x v="671"/>
    <x v="339"/>
    <x v="161"/>
    <x v="27"/>
    <x v="78"/>
    <x v="4"/>
    <x v="0"/>
    <x v="19"/>
    <x v="38"/>
    <x v="0"/>
    <x v="50"/>
    <x v="0"/>
    <x v="252"/>
    <x v="60"/>
    <x v="454"/>
    <x v="200"/>
    <x v="1"/>
    <x v="8"/>
    <x v="1"/>
    <x v="0"/>
    <x v="1"/>
    <x v="1"/>
    <x v="0"/>
    <x v="0"/>
    <x v="439"/>
    <x v="0"/>
    <x v="11"/>
    <x v="10"/>
  </r>
  <r>
    <x v="672"/>
    <x v="339"/>
    <x v="193"/>
    <x v="8"/>
    <x v="50"/>
    <x v="3"/>
    <x v="1"/>
    <x v="10"/>
    <x v="20"/>
    <x v="5"/>
    <x v="44"/>
    <x v="167"/>
    <x v="180"/>
    <x v="50"/>
    <x v="285"/>
    <x v="146"/>
    <x v="1"/>
    <x v="3"/>
    <x v="1"/>
    <x v="2"/>
    <x v="1"/>
    <x v="1"/>
    <x v="0"/>
    <x v="4"/>
    <x v="276"/>
    <x v="0"/>
    <x v="11"/>
    <x v="10"/>
  </r>
  <r>
    <x v="673"/>
    <x v="32"/>
    <x v="206"/>
    <x v="2"/>
    <x v="77"/>
    <x v="3"/>
    <x v="0"/>
    <x v="22"/>
    <x v="44"/>
    <x v="5"/>
    <x v="63"/>
    <x v="201"/>
    <x v="256"/>
    <x v="74"/>
    <x v="231"/>
    <x v="19"/>
    <x v="1"/>
    <x v="0"/>
    <x v="1"/>
    <x v="0"/>
    <x v="1"/>
    <x v="1"/>
    <x v="0"/>
    <x v="3"/>
    <x v="223"/>
    <x v="0"/>
    <x v="11"/>
    <x v="10"/>
  </r>
  <r>
    <x v="674"/>
    <x v="19"/>
    <x v="151"/>
    <x v="51"/>
    <x v="52"/>
    <x v="1"/>
    <x v="0"/>
    <x v="2"/>
    <x v="4"/>
    <x v="0"/>
    <x v="2"/>
    <x v="0"/>
    <x v="18"/>
    <x v="4"/>
    <x v="39"/>
    <x v="329"/>
    <x v="1"/>
    <x v="9"/>
    <x v="1"/>
    <x v="0"/>
    <x v="1"/>
    <x v="1"/>
    <x v="0"/>
    <x v="4"/>
    <x v="40"/>
    <x v="0"/>
    <x v="11"/>
    <x v="10"/>
  </r>
  <r>
    <x v="675"/>
    <x v="117"/>
    <x v="93"/>
    <x v="50"/>
    <x v="10"/>
    <x v="1"/>
    <x v="1"/>
    <x v="5"/>
    <x v="11"/>
    <x v="1"/>
    <x v="19"/>
    <x v="21"/>
    <x v="110"/>
    <x v="28"/>
    <x v="224"/>
    <x v="272"/>
    <x v="1"/>
    <x v="2"/>
    <x v="1"/>
    <x v="0"/>
    <x v="1"/>
    <x v="1"/>
    <x v="0"/>
    <x v="0"/>
    <x v="216"/>
    <x v="0"/>
    <x v="11"/>
    <x v="10"/>
  </r>
  <r>
    <x v="676"/>
    <x v="248"/>
    <x v="119"/>
    <x v="56"/>
    <x v="17"/>
    <x v="1"/>
    <x v="0"/>
    <x v="1"/>
    <x v="1"/>
    <x v="0"/>
    <x v="1"/>
    <x v="0"/>
    <x v="11"/>
    <x v="1"/>
    <x v="24"/>
    <x v="339"/>
    <x v="4"/>
    <x v="6"/>
    <x v="1"/>
    <x v="1"/>
    <x v="2"/>
    <x v="1"/>
    <x v="0"/>
    <x v="4"/>
    <x v="25"/>
    <x v="0"/>
    <x v="11"/>
    <x v="10"/>
  </r>
  <r>
    <x v="677"/>
    <x v="229"/>
    <x v="281"/>
    <x v="13"/>
    <x v="41"/>
    <x v="3"/>
    <x v="0"/>
    <x v="6"/>
    <x v="12"/>
    <x v="5"/>
    <x v="9"/>
    <x v="68"/>
    <x v="35"/>
    <x v="14"/>
    <x v="37"/>
    <x v="192"/>
    <x v="1"/>
    <x v="8"/>
    <x v="1"/>
    <x v="1"/>
    <x v="1"/>
    <x v="1"/>
    <x v="0"/>
    <x v="4"/>
    <x v="38"/>
    <x v="0"/>
    <x v="11"/>
    <x v="10"/>
  </r>
  <r>
    <x v="678"/>
    <x v="29"/>
    <x v="186"/>
    <x v="48"/>
    <x v="28"/>
    <x v="1"/>
    <x v="1"/>
    <x v="3"/>
    <x v="7"/>
    <x v="3"/>
    <x v="13"/>
    <x v="53"/>
    <x v="69"/>
    <x v="19"/>
    <x v="129"/>
    <x v="248"/>
    <x v="1"/>
    <x v="0"/>
    <x v="0"/>
    <x v="1"/>
    <x v="1"/>
    <x v="1"/>
    <x v="0"/>
    <x v="3"/>
    <x v="124"/>
    <x v="0"/>
    <x v="11"/>
    <x v="10"/>
  </r>
  <r>
    <x v="679"/>
    <x v="78"/>
    <x v="74"/>
    <x v="73"/>
    <x v="60"/>
    <x v="2"/>
    <x v="3"/>
    <x v="3"/>
    <x v="6"/>
    <x v="2"/>
    <x v="30"/>
    <x v="70"/>
    <x v="159"/>
    <x v="35"/>
    <x v="365"/>
    <x v="302"/>
    <x v="4"/>
    <x v="2"/>
    <x v="0"/>
    <x v="1"/>
    <x v="2"/>
    <x v="1"/>
    <x v="0"/>
    <x v="3"/>
    <x v="351"/>
    <x v="0"/>
    <x v="11"/>
    <x v="10"/>
  </r>
  <r>
    <x v="680"/>
    <x v="219"/>
    <x v="117"/>
    <x v="42"/>
    <x v="47"/>
    <x v="5"/>
    <x v="1"/>
    <x v="15"/>
    <x v="32"/>
    <x v="4"/>
    <x v="64"/>
    <x v="187"/>
    <x v="276"/>
    <x v="72"/>
    <x v="387"/>
    <x v="69"/>
    <x v="4"/>
    <x v="5"/>
    <x v="2"/>
    <x v="1"/>
    <x v="2"/>
    <x v="1"/>
    <x v="0"/>
    <x v="4"/>
    <x v="373"/>
    <x v="0"/>
    <x v="11"/>
    <x v="10"/>
  </r>
  <r>
    <x v="681"/>
    <x v="295"/>
    <x v="263"/>
    <x v="8"/>
    <x v="50"/>
    <x v="3"/>
    <x v="0"/>
    <x v="10"/>
    <x v="20"/>
    <x v="0"/>
    <x v="20"/>
    <x v="0"/>
    <x v="119"/>
    <x v="29"/>
    <x v="250"/>
    <x v="283"/>
    <x v="1"/>
    <x v="12"/>
    <x v="1"/>
    <x v="1"/>
    <x v="1"/>
    <x v="1"/>
    <x v="0"/>
    <x v="4"/>
    <x v="242"/>
    <x v="0"/>
    <x v="11"/>
    <x v="10"/>
  </r>
  <r>
    <x v="682"/>
    <x v="260"/>
    <x v="103"/>
    <x v="86"/>
    <x v="11"/>
    <x v="2"/>
    <x v="1"/>
    <x v="6"/>
    <x v="14"/>
    <x v="1"/>
    <x v="22"/>
    <x v="25"/>
    <x v="128"/>
    <x v="33"/>
    <x v="255"/>
    <x v="256"/>
    <x v="1"/>
    <x v="4"/>
    <x v="1"/>
    <x v="0"/>
    <x v="1"/>
    <x v="1"/>
    <x v="0"/>
    <x v="4"/>
    <x v="246"/>
    <x v="0"/>
    <x v="11"/>
    <x v="10"/>
  </r>
  <r>
    <x v="683"/>
    <x v="245"/>
    <x v="277"/>
    <x v="53"/>
    <x v="29"/>
    <x v="1"/>
    <x v="0"/>
    <x v="3"/>
    <x v="6"/>
    <x v="2"/>
    <x v="4"/>
    <x v="15"/>
    <x v="23"/>
    <x v="6"/>
    <x v="40"/>
    <x v="302"/>
    <x v="3"/>
    <x v="19"/>
    <x v="0"/>
    <x v="2"/>
    <x v="3"/>
    <x v="1"/>
    <x v="0"/>
    <x v="0"/>
    <x v="0"/>
    <x v="0"/>
    <x v="11"/>
    <x v="10"/>
  </r>
  <r>
    <x v="684"/>
    <x v="16"/>
    <x v="179"/>
    <x v="90"/>
    <x v="69"/>
    <x v="0"/>
    <x v="1"/>
    <x v="20"/>
    <x v="41"/>
    <x v="5"/>
    <x v="82"/>
    <x v="226"/>
    <x v="333"/>
    <x v="93"/>
    <x v="349"/>
    <x v="10"/>
    <x v="1"/>
    <x v="14"/>
    <x v="0"/>
    <x v="0"/>
    <x v="1"/>
    <x v="1"/>
    <x v="0"/>
    <x v="0"/>
    <x v="336"/>
    <x v="0"/>
    <x v="11"/>
    <x v="10"/>
  </r>
  <r>
    <x v="685"/>
    <x v="149"/>
    <x v="15"/>
    <x v="61"/>
    <x v="76"/>
    <x v="6"/>
    <x v="2"/>
    <x v="2"/>
    <x v="3"/>
    <x v="2"/>
    <x v="17"/>
    <x v="44"/>
    <x v="93"/>
    <x v="19"/>
    <x v="234"/>
    <x v="330"/>
    <x v="1"/>
    <x v="3"/>
    <x v="0"/>
    <x v="1"/>
    <x v="1"/>
    <x v="1"/>
    <x v="0"/>
    <x v="4"/>
    <x v="226"/>
    <x v="0"/>
    <x v="11"/>
    <x v="10"/>
  </r>
  <r>
    <x v="686"/>
    <x v="297"/>
    <x v="266"/>
    <x v="7"/>
    <x v="62"/>
    <x v="3"/>
    <x v="0"/>
    <x v="5"/>
    <x v="9"/>
    <x v="3"/>
    <x v="7"/>
    <x v="34"/>
    <x v="37"/>
    <x v="11"/>
    <x v="68"/>
    <x v="277"/>
    <x v="1"/>
    <x v="0"/>
    <x v="0"/>
    <x v="1"/>
    <x v="1"/>
    <x v="1"/>
    <x v="0"/>
    <x v="0"/>
    <x v="67"/>
    <x v="0"/>
    <x v="11"/>
    <x v="10"/>
  </r>
  <r>
    <x v="687"/>
    <x v="152"/>
    <x v="268"/>
    <x v="44"/>
    <x v="53"/>
    <x v="5"/>
    <x v="0"/>
    <x v="6"/>
    <x v="12"/>
    <x v="5"/>
    <x v="9"/>
    <x v="68"/>
    <x v="35"/>
    <x v="14"/>
    <x v="37"/>
    <x v="192"/>
    <x v="3"/>
    <x v="7"/>
    <x v="0"/>
    <x v="0"/>
    <x v="3"/>
    <x v="1"/>
    <x v="0"/>
    <x v="4"/>
    <x v="0"/>
    <x v="0"/>
    <x v="11"/>
    <x v="10"/>
  </r>
  <r>
    <x v="688"/>
    <x v="303"/>
    <x v="208"/>
    <x v="37"/>
    <x v="51"/>
    <x v="5"/>
    <x v="0"/>
    <x v="8"/>
    <x v="17"/>
    <x v="4"/>
    <x v="14"/>
    <x v="72"/>
    <x v="66"/>
    <x v="21"/>
    <x v="94"/>
    <x v="184"/>
    <x v="1"/>
    <x v="7"/>
    <x v="1"/>
    <x v="1"/>
    <x v="1"/>
    <x v="1"/>
    <x v="0"/>
    <x v="3"/>
    <x v="92"/>
    <x v="0"/>
    <x v="11"/>
    <x v="10"/>
  </r>
  <r>
    <x v="689"/>
    <x v="3"/>
    <x v="202"/>
    <x v="50"/>
    <x v="10"/>
    <x v="1"/>
    <x v="1"/>
    <x v="5"/>
    <x v="11"/>
    <x v="2"/>
    <x v="19"/>
    <x v="49"/>
    <x v="102"/>
    <x v="28"/>
    <x v="198"/>
    <x v="247"/>
    <x v="1"/>
    <x v="4"/>
    <x v="1"/>
    <x v="2"/>
    <x v="1"/>
    <x v="1"/>
    <x v="0"/>
    <x v="4"/>
    <x v="191"/>
    <x v="0"/>
    <x v="11"/>
    <x v="10"/>
  </r>
  <r>
    <x v="690"/>
    <x v="269"/>
    <x v="116"/>
    <x v="82"/>
    <x v="67"/>
    <x v="2"/>
    <x v="1"/>
    <x v="5"/>
    <x v="12"/>
    <x v="3"/>
    <x v="19"/>
    <x v="71"/>
    <x v="96"/>
    <x v="30"/>
    <x v="160"/>
    <x v="197"/>
    <x v="1"/>
    <x v="15"/>
    <x v="1"/>
    <x v="1"/>
    <x v="1"/>
    <x v="1"/>
    <x v="0"/>
    <x v="3"/>
    <x v="154"/>
    <x v="0"/>
    <x v="11"/>
    <x v="10"/>
  </r>
  <r>
    <x v="691"/>
    <x v="42"/>
    <x v="156"/>
    <x v="40"/>
    <x v="32"/>
    <x v="5"/>
    <x v="0"/>
    <x v="7"/>
    <x v="15"/>
    <x v="3"/>
    <x v="11"/>
    <x v="46"/>
    <x v="55"/>
    <x v="18"/>
    <x v="80"/>
    <x v="213"/>
    <x v="1"/>
    <x v="5"/>
    <x v="0"/>
    <x v="0"/>
    <x v="1"/>
    <x v="1"/>
    <x v="0"/>
    <x v="4"/>
    <x v="79"/>
    <x v="0"/>
    <x v="11"/>
    <x v="10"/>
  </r>
  <r>
    <x v="692"/>
    <x v="244"/>
    <x v="133"/>
    <x v="57"/>
    <x v="58"/>
    <x v="1"/>
    <x v="0"/>
    <x v="5"/>
    <x v="11"/>
    <x v="1"/>
    <x v="7"/>
    <x v="8"/>
    <x v="45"/>
    <x v="13"/>
    <x v="84"/>
    <x v="272"/>
    <x v="1"/>
    <x v="3"/>
    <x v="0"/>
    <x v="0"/>
    <x v="1"/>
    <x v="1"/>
    <x v="0"/>
    <x v="0"/>
    <x v="83"/>
    <x v="0"/>
    <x v="11"/>
    <x v="10"/>
  </r>
  <r>
    <x v="693"/>
    <x v="220"/>
    <x v="277"/>
    <x v="52"/>
    <x v="54"/>
    <x v="1"/>
    <x v="0"/>
    <x v="8"/>
    <x v="16"/>
    <x v="2"/>
    <x v="14"/>
    <x v="35"/>
    <x v="73"/>
    <x v="20"/>
    <x v="140"/>
    <x v="261"/>
    <x v="1"/>
    <x v="19"/>
    <x v="0"/>
    <x v="2"/>
    <x v="1"/>
    <x v="1"/>
    <x v="0"/>
    <x v="3"/>
    <x v="134"/>
    <x v="0"/>
    <x v="11"/>
    <x v="10"/>
  </r>
  <r>
    <x v="694"/>
    <x v="2"/>
    <x v="211"/>
    <x v="38"/>
    <x v="92"/>
    <x v="5"/>
    <x v="0"/>
    <x v="9"/>
    <x v="18"/>
    <x v="4"/>
    <x v="16"/>
    <x v="83"/>
    <x v="75"/>
    <x v="24"/>
    <x v="124"/>
    <x v="190"/>
    <x v="1"/>
    <x v="9"/>
    <x v="1"/>
    <x v="2"/>
    <x v="1"/>
    <x v="1"/>
    <x v="0"/>
    <x v="4"/>
    <x v="120"/>
    <x v="0"/>
    <x v="11"/>
    <x v="10"/>
  </r>
  <r>
    <x v="695"/>
    <x v="69"/>
    <x v="150"/>
    <x v="36"/>
    <x v="63"/>
    <x v="5"/>
    <x v="0"/>
    <x v="10"/>
    <x v="20"/>
    <x v="4"/>
    <x v="20"/>
    <x v="94"/>
    <x v="90"/>
    <x v="29"/>
    <x v="141"/>
    <x v="183"/>
    <x v="2"/>
    <x v="11"/>
    <x v="1"/>
    <x v="1"/>
    <x v="2"/>
    <x v="1"/>
    <x v="0"/>
    <x v="2"/>
    <x v="135"/>
    <x v="0"/>
    <x v="11"/>
    <x v="10"/>
  </r>
  <r>
    <x v="696"/>
    <x v="190"/>
    <x v="151"/>
    <x v="3"/>
    <x v="90"/>
    <x v="3"/>
    <x v="0"/>
    <x v="3"/>
    <x v="7"/>
    <x v="4"/>
    <x v="4"/>
    <x v="33"/>
    <x v="17"/>
    <x v="7"/>
    <x v="15"/>
    <x v="219"/>
    <x v="1"/>
    <x v="9"/>
    <x v="1"/>
    <x v="0"/>
    <x v="1"/>
    <x v="1"/>
    <x v="0"/>
    <x v="4"/>
    <x v="16"/>
    <x v="0"/>
    <x v="11"/>
    <x v="10"/>
  </r>
  <r>
    <x v="697"/>
    <x v="263"/>
    <x v="277"/>
    <x v="87"/>
    <x v="26"/>
    <x v="0"/>
    <x v="0"/>
    <x v="15"/>
    <x v="34"/>
    <x v="3"/>
    <x v="35"/>
    <x v="106"/>
    <x v="164"/>
    <x v="52"/>
    <x v="182"/>
    <x v="65"/>
    <x v="0"/>
    <x v="19"/>
    <x v="0"/>
    <x v="2"/>
    <x v="0"/>
    <x v="1"/>
    <x v="0"/>
    <x v="1"/>
    <x v="0"/>
    <x v="0"/>
    <x v="11"/>
    <x v="10"/>
  </r>
  <r>
    <x v="698"/>
    <x v="104"/>
    <x v="276"/>
    <x v="65"/>
    <x v="36"/>
    <x v="6"/>
    <x v="2"/>
    <x v="7"/>
    <x v="14"/>
    <x v="2"/>
    <x v="41"/>
    <x v="88"/>
    <x v="200"/>
    <x v="45"/>
    <x v="417"/>
    <x v="276"/>
    <x v="1"/>
    <x v="5"/>
    <x v="1"/>
    <x v="0"/>
    <x v="1"/>
    <x v="1"/>
    <x v="0"/>
    <x v="0"/>
    <x v="402"/>
    <x v="0"/>
    <x v="11"/>
    <x v="10"/>
  </r>
  <r>
    <x v="699"/>
    <x v="309"/>
    <x v="167"/>
    <x v="40"/>
    <x v="32"/>
    <x v="5"/>
    <x v="3"/>
    <x v="7"/>
    <x v="15"/>
    <x v="2"/>
    <x v="52"/>
    <x v="110"/>
    <x v="247"/>
    <x v="58"/>
    <x v="476"/>
    <x v="236"/>
    <x v="1"/>
    <x v="13"/>
    <x v="1"/>
    <x v="1"/>
    <x v="1"/>
    <x v="1"/>
    <x v="0"/>
    <x v="4"/>
    <x v="457"/>
    <x v="0"/>
    <x v="11"/>
    <x v="10"/>
  </r>
  <r>
    <x v="700"/>
    <x v="137"/>
    <x v="245"/>
    <x v="39"/>
    <x v="20"/>
    <x v="5"/>
    <x v="0"/>
    <x v="13"/>
    <x v="29"/>
    <x v="3"/>
    <x v="29"/>
    <x v="96"/>
    <x v="139"/>
    <x v="43"/>
    <x v="204"/>
    <x v="140"/>
    <x v="1"/>
    <x v="10"/>
    <x v="1"/>
    <x v="1"/>
    <x v="1"/>
    <x v="1"/>
    <x v="0"/>
    <x v="4"/>
    <x v="197"/>
    <x v="0"/>
    <x v="11"/>
    <x v="10"/>
  </r>
  <r>
    <x v="701"/>
    <x v="195"/>
    <x v="245"/>
    <x v="69"/>
    <x v="48"/>
    <x v="6"/>
    <x v="1"/>
    <x v="6"/>
    <x v="12"/>
    <x v="1"/>
    <x v="22"/>
    <x v="25"/>
    <x v="128"/>
    <x v="30"/>
    <x v="280"/>
    <x v="294"/>
    <x v="1"/>
    <x v="10"/>
    <x v="1"/>
    <x v="0"/>
    <x v="1"/>
    <x v="1"/>
    <x v="0"/>
    <x v="4"/>
    <x v="271"/>
    <x v="0"/>
    <x v="11"/>
    <x v="10"/>
  </r>
  <r>
    <x v="702"/>
    <x v="122"/>
    <x v="36"/>
    <x v="73"/>
    <x v="60"/>
    <x v="2"/>
    <x v="0"/>
    <x v="3"/>
    <x v="6"/>
    <x v="3"/>
    <x v="4"/>
    <x v="24"/>
    <x v="20"/>
    <x v="6"/>
    <x v="30"/>
    <x v="286"/>
    <x v="1"/>
    <x v="18"/>
    <x v="1"/>
    <x v="0"/>
    <x v="1"/>
    <x v="1"/>
    <x v="0"/>
    <x v="4"/>
    <x v="31"/>
    <x v="0"/>
    <x v="11"/>
    <x v="10"/>
  </r>
  <r>
    <x v="703"/>
    <x v="123"/>
    <x v="22"/>
    <x v="15"/>
    <x v="14"/>
    <x v="4"/>
    <x v="0"/>
    <x v="7"/>
    <x v="15"/>
    <x v="4"/>
    <x v="11"/>
    <x v="61"/>
    <x v="51"/>
    <x v="18"/>
    <x v="59"/>
    <x v="178"/>
    <x v="3"/>
    <x v="1"/>
    <x v="1"/>
    <x v="0"/>
    <x v="3"/>
    <x v="1"/>
    <x v="0"/>
    <x v="3"/>
    <x v="0"/>
    <x v="0"/>
    <x v="11"/>
    <x v="10"/>
  </r>
  <r>
    <x v="704"/>
    <x v="79"/>
    <x v="121"/>
    <x v="87"/>
    <x v="26"/>
    <x v="0"/>
    <x v="0"/>
    <x v="15"/>
    <x v="34"/>
    <x v="3"/>
    <x v="35"/>
    <x v="106"/>
    <x v="164"/>
    <x v="52"/>
    <x v="182"/>
    <x v="65"/>
    <x v="1"/>
    <x v="1"/>
    <x v="1"/>
    <x v="2"/>
    <x v="1"/>
    <x v="1"/>
    <x v="0"/>
    <x v="4"/>
    <x v="176"/>
    <x v="0"/>
    <x v="11"/>
    <x v="10"/>
  </r>
  <r>
    <x v="705"/>
    <x v="154"/>
    <x v="241"/>
    <x v="12"/>
    <x v="56"/>
    <x v="3"/>
    <x v="2"/>
    <x v="9"/>
    <x v="22"/>
    <x v="1"/>
    <x v="55"/>
    <x v="65"/>
    <x v="267"/>
    <x v="68"/>
    <x v="432"/>
    <x v="124"/>
    <x v="1"/>
    <x v="8"/>
    <x v="0"/>
    <x v="1"/>
    <x v="1"/>
    <x v="1"/>
    <x v="0"/>
    <x v="4"/>
    <x v="417"/>
    <x v="0"/>
    <x v="11"/>
    <x v="10"/>
  </r>
  <r>
    <x v="706"/>
    <x v="323"/>
    <x v="92"/>
    <x v="3"/>
    <x v="90"/>
    <x v="3"/>
    <x v="1"/>
    <x v="3"/>
    <x v="7"/>
    <x v="3"/>
    <x v="13"/>
    <x v="53"/>
    <x v="69"/>
    <x v="19"/>
    <x v="129"/>
    <x v="248"/>
    <x v="1"/>
    <x v="9"/>
    <x v="2"/>
    <x v="1"/>
    <x v="1"/>
    <x v="1"/>
    <x v="0"/>
    <x v="0"/>
    <x v="124"/>
    <x v="0"/>
    <x v="11"/>
    <x v="10"/>
  </r>
  <r>
    <x v="707"/>
    <x v="216"/>
    <x v="19"/>
    <x v="89"/>
    <x v="89"/>
    <x v="0"/>
    <x v="0"/>
    <x v="17"/>
    <x v="37"/>
    <x v="4"/>
    <x v="42"/>
    <x v="145"/>
    <x v="182"/>
    <x v="59"/>
    <x v="150"/>
    <x v="26"/>
    <x v="1"/>
    <x v="19"/>
    <x v="1"/>
    <x v="0"/>
    <x v="1"/>
    <x v="1"/>
    <x v="0"/>
    <x v="4"/>
    <x v="144"/>
    <x v="0"/>
    <x v="11"/>
    <x v="10"/>
  </r>
  <r>
    <x v="708"/>
    <x v="100"/>
    <x v="288"/>
    <x v="14"/>
    <x v="65"/>
    <x v="3"/>
    <x v="2"/>
    <x v="24"/>
    <x v="49"/>
    <x v="3"/>
    <x v="111"/>
    <x v="247"/>
    <x v="443"/>
    <x v="127"/>
    <x v="628"/>
    <x v="8"/>
    <x v="1"/>
    <x v="7"/>
    <x v="1"/>
    <x v="2"/>
    <x v="1"/>
    <x v="0"/>
    <x v="0"/>
    <x v="0"/>
    <x v="599"/>
    <x v="0"/>
    <x v="11"/>
    <x v="10"/>
  </r>
  <r>
    <x v="709"/>
    <x v="120"/>
    <x v="216"/>
    <x v="47"/>
    <x v="74"/>
    <x v="1"/>
    <x v="2"/>
    <x v="4"/>
    <x v="9"/>
    <x v="1"/>
    <x v="28"/>
    <x v="31"/>
    <x v="148"/>
    <x v="36"/>
    <x v="315"/>
    <x v="266"/>
    <x v="1"/>
    <x v="5"/>
    <x v="0"/>
    <x v="1"/>
    <x v="1"/>
    <x v="1"/>
    <x v="0"/>
    <x v="4"/>
    <x v="304"/>
    <x v="0"/>
    <x v="11"/>
    <x v="10"/>
  </r>
  <r>
    <x v="710"/>
    <x v="268"/>
    <x v="0"/>
    <x v="80"/>
    <x v="82"/>
    <x v="2"/>
    <x v="0"/>
    <x v="0"/>
    <x v="0"/>
    <x v="0"/>
    <x v="0"/>
    <x v="0"/>
    <x v="4"/>
    <x v="0"/>
    <x v="8"/>
    <x v="342"/>
    <x v="1"/>
    <x v="6"/>
    <x v="1"/>
    <x v="1"/>
    <x v="1"/>
    <x v="1"/>
    <x v="0"/>
    <x v="0"/>
    <x v="9"/>
    <x v="0"/>
    <x v="11"/>
    <x v="10"/>
  </r>
  <r>
    <x v="711"/>
    <x v="130"/>
    <x v="127"/>
    <x v="74"/>
    <x v="4"/>
    <x v="2"/>
    <x v="0"/>
    <x v="1"/>
    <x v="1"/>
    <x v="1"/>
    <x v="1"/>
    <x v="2"/>
    <x v="10"/>
    <x v="1"/>
    <x v="17"/>
    <x v="335"/>
    <x v="1"/>
    <x v="0"/>
    <x v="0"/>
    <x v="1"/>
    <x v="1"/>
    <x v="1"/>
    <x v="0"/>
    <x v="0"/>
    <x v="18"/>
    <x v="0"/>
    <x v="11"/>
    <x v="10"/>
  </r>
  <r>
    <x v="712"/>
    <x v="16"/>
    <x v="44"/>
    <x v="6"/>
    <x v="46"/>
    <x v="3"/>
    <x v="0"/>
    <x v="12"/>
    <x v="25"/>
    <x v="2"/>
    <x v="27"/>
    <x v="62"/>
    <x v="137"/>
    <x v="37"/>
    <x v="227"/>
    <x v="194"/>
    <x v="4"/>
    <x v="4"/>
    <x v="1"/>
    <x v="1"/>
    <x v="2"/>
    <x v="1"/>
    <x v="0"/>
    <x v="0"/>
    <x v="219"/>
    <x v="0"/>
    <x v="11"/>
    <x v="10"/>
  </r>
  <r>
    <x v="713"/>
    <x v="269"/>
    <x v="201"/>
    <x v="99"/>
    <x v="16"/>
    <x v="0"/>
    <x v="3"/>
    <x v="22"/>
    <x v="46"/>
    <x v="1"/>
    <x v="109"/>
    <x v="186"/>
    <x v="442"/>
    <x v="123"/>
    <x v="668"/>
    <x v="68"/>
    <x v="0"/>
    <x v="8"/>
    <x v="1"/>
    <x v="0"/>
    <x v="0"/>
    <x v="2"/>
    <x v="0"/>
    <x v="1"/>
    <x v="0"/>
    <x v="0"/>
    <x v="11"/>
    <x v="10"/>
  </r>
  <r>
    <x v="714"/>
    <x v="19"/>
    <x v="97"/>
    <x v="29"/>
    <x v="34"/>
    <x v="4"/>
    <x v="0"/>
    <x v="21"/>
    <x v="43"/>
    <x v="0"/>
    <x v="58"/>
    <x v="0"/>
    <x v="292"/>
    <x v="71"/>
    <x v="497"/>
    <x v="162"/>
    <x v="1"/>
    <x v="5"/>
    <x v="2"/>
    <x v="1"/>
    <x v="1"/>
    <x v="1"/>
    <x v="0"/>
    <x v="4"/>
    <x v="476"/>
    <x v="0"/>
    <x v="11"/>
    <x v="10"/>
  </r>
  <r>
    <x v="715"/>
    <x v="290"/>
    <x v="278"/>
    <x v="28"/>
    <x v="73"/>
    <x v="4"/>
    <x v="2"/>
    <x v="3"/>
    <x v="5"/>
    <x v="1"/>
    <x v="21"/>
    <x v="24"/>
    <x v="127"/>
    <x v="24"/>
    <x v="321"/>
    <x v="332"/>
    <x v="1"/>
    <x v="6"/>
    <x v="2"/>
    <x v="1"/>
    <x v="1"/>
    <x v="1"/>
    <x v="0"/>
    <x v="0"/>
    <x v="309"/>
    <x v="0"/>
    <x v="11"/>
    <x v="10"/>
  </r>
  <r>
    <x v="716"/>
    <x v="142"/>
    <x v="139"/>
    <x v="71"/>
    <x v="88"/>
    <x v="6"/>
    <x v="1"/>
    <x v="5"/>
    <x v="10"/>
    <x v="1"/>
    <x v="19"/>
    <x v="21"/>
    <x v="110"/>
    <x v="25"/>
    <x v="239"/>
    <x v="293"/>
    <x v="1"/>
    <x v="14"/>
    <x v="2"/>
    <x v="1"/>
    <x v="1"/>
    <x v="1"/>
    <x v="0"/>
    <x v="0"/>
    <x v="231"/>
    <x v="0"/>
    <x v="11"/>
    <x v="10"/>
  </r>
  <r>
    <x v="717"/>
    <x v="234"/>
    <x v="264"/>
    <x v="68"/>
    <x v="80"/>
    <x v="6"/>
    <x v="1"/>
    <x v="12"/>
    <x v="27"/>
    <x v="5"/>
    <x v="53"/>
    <x v="184"/>
    <x v="216"/>
    <x v="63"/>
    <x v="285"/>
    <x v="73"/>
    <x v="1"/>
    <x v="17"/>
    <x v="1"/>
    <x v="2"/>
    <x v="1"/>
    <x v="1"/>
    <x v="0"/>
    <x v="0"/>
    <x v="276"/>
    <x v="0"/>
    <x v="11"/>
    <x v="10"/>
  </r>
  <r>
    <x v="718"/>
    <x v="352"/>
    <x v="236"/>
    <x v="79"/>
    <x v="12"/>
    <x v="2"/>
    <x v="1"/>
    <x v="8"/>
    <x v="18"/>
    <x v="0"/>
    <x v="32"/>
    <x v="0"/>
    <x v="179"/>
    <x v="45"/>
    <x v="345"/>
    <x v="223"/>
    <x v="1"/>
    <x v="5"/>
    <x v="0"/>
    <x v="0"/>
    <x v="1"/>
    <x v="1"/>
    <x v="0"/>
    <x v="0"/>
    <x v="332"/>
    <x v="0"/>
    <x v="11"/>
    <x v="10"/>
  </r>
  <r>
    <x v="719"/>
    <x v="69"/>
    <x v="170"/>
    <x v="3"/>
    <x v="90"/>
    <x v="3"/>
    <x v="0"/>
    <x v="3"/>
    <x v="7"/>
    <x v="0"/>
    <x v="4"/>
    <x v="0"/>
    <x v="29"/>
    <x v="7"/>
    <x v="57"/>
    <x v="306"/>
    <x v="1"/>
    <x v="11"/>
    <x v="0"/>
    <x v="0"/>
    <x v="1"/>
    <x v="1"/>
    <x v="0"/>
    <x v="0"/>
    <x v="56"/>
    <x v="0"/>
    <x v="11"/>
    <x v="10"/>
  </r>
  <r>
    <x v="720"/>
    <x v="60"/>
    <x v="97"/>
    <x v="31"/>
    <x v="94"/>
    <x v="5"/>
    <x v="1"/>
    <x v="5"/>
    <x v="9"/>
    <x v="0"/>
    <x v="19"/>
    <x v="0"/>
    <x v="117"/>
    <x v="24"/>
    <x v="281"/>
    <x v="321"/>
    <x v="1"/>
    <x v="5"/>
    <x v="2"/>
    <x v="2"/>
    <x v="1"/>
    <x v="1"/>
    <x v="0"/>
    <x v="4"/>
    <x v="272"/>
    <x v="0"/>
    <x v="11"/>
    <x v="10"/>
  </r>
  <r>
    <x v="721"/>
    <x v="346"/>
    <x v="104"/>
    <x v="8"/>
    <x v="50"/>
    <x v="3"/>
    <x v="3"/>
    <x v="10"/>
    <x v="20"/>
    <x v="1"/>
    <x v="71"/>
    <x v="94"/>
    <x v="335"/>
    <x v="72"/>
    <x v="607"/>
    <x v="262"/>
    <x v="1"/>
    <x v="12"/>
    <x v="0"/>
    <x v="1"/>
    <x v="1"/>
    <x v="1"/>
    <x v="0"/>
    <x v="4"/>
    <x v="580"/>
    <x v="0"/>
    <x v="11"/>
    <x v="10"/>
  </r>
  <r>
    <x v="722"/>
    <x v="88"/>
    <x v="22"/>
    <x v="84"/>
    <x v="55"/>
    <x v="2"/>
    <x v="0"/>
    <x v="3"/>
    <x v="6"/>
    <x v="5"/>
    <x v="4"/>
    <x v="45"/>
    <x v="15"/>
    <x v="6"/>
    <x v="13"/>
    <x v="235"/>
    <x v="4"/>
    <x v="1"/>
    <x v="1"/>
    <x v="0"/>
    <x v="2"/>
    <x v="1"/>
    <x v="0"/>
    <x v="4"/>
    <x v="14"/>
    <x v="0"/>
    <x v="11"/>
    <x v="10"/>
  </r>
  <r>
    <x v="723"/>
    <x v="102"/>
    <x v="98"/>
    <x v="81"/>
    <x v="31"/>
    <x v="2"/>
    <x v="1"/>
    <x v="2"/>
    <x v="4"/>
    <x v="5"/>
    <x v="10"/>
    <x v="75"/>
    <x v="42"/>
    <x v="14"/>
    <x v="70"/>
    <x v="239"/>
    <x v="1"/>
    <x v="19"/>
    <x v="0"/>
    <x v="1"/>
    <x v="1"/>
    <x v="1"/>
    <x v="0"/>
    <x v="4"/>
    <x v="69"/>
    <x v="0"/>
    <x v="11"/>
    <x v="10"/>
  </r>
  <r>
    <x v="724"/>
    <x v="218"/>
    <x v="142"/>
    <x v="60"/>
    <x v="68"/>
    <x v="6"/>
    <x v="0"/>
    <x v="5"/>
    <x v="9"/>
    <x v="0"/>
    <x v="7"/>
    <x v="0"/>
    <x v="50"/>
    <x v="11"/>
    <x v="114"/>
    <x v="321"/>
    <x v="0"/>
    <x v="4"/>
    <x v="0"/>
    <x v="1"/>
    <x v="0"/>
    <x v="1"/>
    <x v="0"/>
    <x v="1"/>
    <x v="0"/>
    <x v="0"/>
    <x v="11"/>
    <x v="10"/>
  </r>
  <r>
    <x v="725"/>
    <x v="62"/>
    <x v="253"/>
    <x v="19"/>
    <x v="2"/>
    <x v="4"/>
    <x v="0"/>
    <x v="14"/>
    <x v="30"/>
    <x v="2"/>
    <x v="33"/>
    <x v="74"/>
    <x v="162"/>
    <x v="45"/>
    <x v="275"/>
    <x v="173"/>
    <x v="1"/>
    <x v="3"/>
    <x v="2"/>
    <x v="0"/>
    <x v="1"/>
    <x v="1"/>
    <x v="0"/>
    <x v="3"/>
    <x v="266"/>
    <x v="0"/>
    <x v="11"/>
    <x v="10"/>
  </r>
  <r>
    <x v="726"/>
    <x v="185"/>
    <x v="209"/>
    <x v="75"/>
    <x v="23"/>
    <x v="2"/>
    <x v="1"/>
    <x v="5"/>
    <x v="11"/>
    <x v="2"/>
    <x v="19"/>
    <x v="49"/>
    <x v="102"/>
    <x v="28"/>
    <x v="198"/>
    <x v="247"/>
    <x v="1"/>
    <x v="16"/>
    <x v="1"/>
    <x v="2"/>
    <x v="1"/>
    <x v="1"/>
    <x v="0"/>
    <x v="0"/>
    <x v="191"/>
    <x v="0"/>
    <x v="11"/>
    <x v="10"/>
  </r>
  <r>
    <x v="727"/>
    <x v="140"/>
    <x v="176"/>
    <x v="82"/>
    <x v="67"/>
    <x v="2"/>
    <x v="0"/>
    <x v="5"/>
    <x v="12"/>
    <x v="3"/>
    <x v="7"/>
    <x v="34"/>
    <x v="37"/>
    <x v="14"/>
    <x v="41"/>
    <x v="197"/>
    <x v="1"/>
    <x v="5"/>
    <x v="0"/>
    <x v="2"/>
    <x v="1"/>
    <x v="1"/>
    <x v="0"/>
    <x v="0"/>
    <x v="42"/>
    <x v="0"/>
    <x v="11"/>
    <x v="10"/>
  </r>
  <r>
    <x v="728"/>
    <x v="329"/>
    <x v="277"/>
    <x v="73"/>
    <x v="60"/>
    <x v="2"/>
    <x v="2"/>
    <x v="3"/>
    <x v="6"/>
    <x v="2"/>
    <x v="21"/>
    <x v="53"/>
    <x v="121"/>
    <x v="27"/>
    <x v="270"/>
    <x v="302"/>
    <x v="1"/>
    <x v="19"/>
    <x v="0"/>
    <x v="0"/>
    <x v="1"/>
    <x v="1"/>
    <x v="0"/>
    <x v="3"/>
    <x v="261"/>
    <x v="0"/>
    <x v="11"/>
    <x v="10"/>
  </r>
  <r>
    <x v="729"/>
    <x v="86"/>
    <x v="250"/>
    <x v="51"/>
    <x v="52"/>
    <x v="1"/>
    <x v="0"/>
    <x v="2"/>
    <x v="4"/>
    <x v="5"/>
    <x v="2"/>
    <x v="37"/>
    <x v="9"/>
    <x v="4"/>
    <x v="7"/>
    <x v="239"/>
    <x v="2"/>
    <x v="11"/>
    <x v="0"/>
    <x v="2"/>
    <x v="2"/>
    <x v="1"/>
    <x v="0"/>
    <x v="2"/>
    <x v="8"/>
    <x v="0"/>
    <x v="11"/>
    <x v="10"/>
  </r>
  <r>
    <x v="730"/>
    <x v="227"/>
    <x v="203"/>
    <x v="70"/>
    <x v="27"/>
    <x v="6"/>
    <x v="0"/>
    <x v="9"/>
    <x v="19"/>
    <x v="0"/>
    <x v="16"/>
    <x v="0"/>
    <x v="99"/>
    <x v="25"/>
    <x v="200"/>
    <x v="264"/>
    <x v="1"/>
    <x v="12"/>
    <x v="1"/>
    <x v="1"/>
    <x v="1"/>
    <x v="1"/>
    <x v="0"/>
    <x v="4"/>
    <x v="193"/>
    <x v="0"/>
    <x v="11"/>
    <x v="10"/>
  </r>
  <r>
    <x v="731"/>
    <x v="55"/>
    <x v="214"/>
    <x v="97"/>
    <x v="81"/>
    <x v="0"/>
    <x v="0"/>
    <x v="12"/>
    <x v="29"/>
    <x v="0"/>
    <x v="27"/>
    <x v="0"/>
    <x v="151"/>
    <x v="43"/>
    <x v="250"/>
    <x v="179"/>
    <x v="1"/>
    <x v="18"/>
    <x v="1"/>
    <x v="0"/>
    <x v="1"/>
    <x v="1"/>
    <x v="0"/>
    <x v="4"/>
    <x v="242"/>
    <x v="0"/>
    <x v="11"/>
    <x v="10"/>
  </r>
  <r>
    <x v="732"/>
    <x v="263"/>
    <x v="109"/>
    <x v="50"/>
    <x v="10"/>
    <x v="1"/>
    <x v="0"/>
    <x v="5"/>
    <x v="11"/>
    <x v="0"/>
    <x v="7"/>
    <x v="0"/>
    <x v="50"/>
    <x v="13"/>
    <x v="97"/>
    <x v="289"/>
    <x v="1"/>
    <x v="7"/>
    <x v="1"/>
    <x v="0"/>
    <x v="1"/>
    <x v="1"/>
    <x v="0"/>
    <x v="4"/>
    <x v="95"/>
    <x v="0"/>
    <x v="11"/>
    <x v="10"/>
  </r>
  <r>
    <x v="733"/>
    <x v="305"/>
    <x v="61"/>
    <x v="63"/>
    <x v="33"/>
    <x v="6"/>
    <x v="0"/>
    <x v="9"/>
    <x v="18"/>
    <x v="4"/>
    <x v="16"/>
    <x v="83"/>
    <x v="75"/>
    <x v="24"/>
    <x v="124"/>
    <x v="190"/>
    <x v="3"/>
    <x v="14"/>
    <x v="2"/>
    <x v="0"/>
    <x v="3"/>
    <x v="1"/>
    <x v="0"/>
    <x v="4"/>
    <x v="0"/>
    <x v="0"/>
    <x v="11"/>
    <x v="10"/>
  </r>
  <r>
    <x v="734"/>
    <x v="86"/>
    <x v="22"/>
    <x v="93"/>
    <x v="70"/>
    <x v="0"/>
    <x v="1"/>
    <x v="20"/>
    <x v="42"/>
    <x v="2"/>
    <x v="82"/>
    <x v="169"/>
    <x v="368"/>
    <x v="94"/>
    <x v="521"/>
    <x v="55"/>
    <x v="1"/>
    <x v="1"/>
    <x v="1"/>
    <x v="1"/>
    <x v="1"/>
    <x v="1"/>
    <x v="0"/>
    <x v="3"/>
    <x v="498"/>
    <x v="0"/>
    <x v="11"/>
    <x v="10"/>
  </r>
  <r>
    <x v="735"/>
    <x v="117"/>
    <x v="109"/>
    <x v="80"/>
    <x v="82"/>
    <x v="2"/>
    <x v="0"/>
    <x v="0"/>
    <x v="0"/>
    <x v="0"/>
    <x v="0"/>
    <x v="0"/>
    <x v="4"/>
    <x v="0"/>
    <x v="8"/>
    <x v="342"/>
    <x v="0"/>
    <x v="7"/>
    <x v="1"/>
    <x v="2"/>
    <x v="0"/>
    <x v="1"/>
    <x v="0"/>
    <x v="1"/>
    <x v="0"/>
    <x v="0"/>
    <x v="11"/>
    <x v="10"/>
  </r>
  <r>
    <x v="736"/>
    <x v="291"/>
    <x v="176"/>
    <x v="62"/>
    <x v="19"/>
    <x v="6"/>
    <x v="2"/>
    <x v="17"/>
    <x v="35"/>
    <x v="0"/>
    <x v="87"/>
    <x v="0"/>
    <x v="393"/>
    <x v="93"/>
    <x v="649"/>
    <x v="195"/>
    <x v="1"/>
    <x v="5"/>
    <x v="0"/>
    <x v="1"/>
    <x v="1"/>
    <x v="1"/>
    <x v="0"/>
    <x v="4"/>
    <x v="616"/>
    <x v="0"/>
    <x v="11"/>
    <x v="10"/>
  </r>
  <r>
    <x v="737"/>
    <x v="21"/>
    <x v="274"/>
    <x v="17"/>
    <x v="18"/>
    <x v="4"/>
    <x v="1"/>
    <x v="11"/>
    <x v="23"/>
    <x v="0"/>
    <x v="49"/>
    <x v="0"/>
    <x v="250"/>
    <x v="56"/>
    <x v="485"/>
    <x v="257"/>
    <x v="4"/>
    <x v="18"/>
    <x v="2"/>
    <x v="0"/>
    <x v="2"/>
    <x v="1"/>
    <x v="0"/>
    <x v="0"/>
    <x v="466"/>
    <x v="0"/>
    <x v="11"/>
    <x v="10"/>
  </r>
  <r>
    <x v="738"/>
    <x v="270"/>
    <x v="86"/>
    <x v="79"/>
    <x v="12"/>
    <x v="2"/>
    <x v="0"/>
    <x v="8"/>
    <x v="18"/>
    <x v="5"/>
    <x v="14"/>
    <x v="89"/>
    <x v="62"/>
    <x v="24"/>
    <x v="34"/>
    <x v="71"/>
    <x v="4"/>
    <x v="10"/>
    <x v="1"/>
    <x v="1"/>
    <x v="2"/>
    <x v="1"/>
    <x v="0"/>
    <x v="0"/>
    <x v="35"/>
    <x v="0"/>
    <x v="11"/>
    <x v="10"/>
  </r>
  <r>
    <x v="739"/>
    <x v="232"/>
    <x v="207"/>
    <x v="4"/>
    <x v="66"/>
    <x v="3"/>
    <x v="1"/>
    <x v="14"/>
    <x v="31"/>
    <x v="1"/>
    <x v="61"/>
    <x v="74"/>
    <x v="291"/>
    <x v="71"/>
    <x v="488"/>
    <x v="158"/>
    <x v="1"/>
    <x v="13"/>
    <x v="1"/>
    <x v="0"/>
    <x v="1"/>
    <x v="1"/>
    <x v="0"/>
    <x v="0"/>
    <x v="469"/>
    <x v="0"/>
    <x v="11"/>
    <x v="10"/>
  </r>
  <r>
    <x v="740"/>
    <x v="138"/>
    <x v="276"/>
    <x v="88"/>
    <x v="57"/>
    <x v="0"/>
    <x v="0"/>
    <x v="22"/>
    <x v="45"/>
    <x v="4"/>
    <x v="63"/>
    <x v="186"/>
    <x v="270"/>
    <x v="76"/>
    <x v="254"/>
    <x v="18"/>
    <x v="0"/>
    <x v="5"/>
    <x v="1"/>
    <x v="1"/>
    <x v="0"/>
    <x v="1"/>
    <x v="0"/>
    <x v="1"/>
    <x v="0"/>
    <x v="0"/>
    <x v="11"/>
    <x v="10"/>
  </r>
  <r>
    <x v="741"/>
    <x v="243"/>
    <x v="182"/>
    <x v="36"/>
    <x v="63"/>
    <x v="5"/>
    <x v="2"/>
    <x v="10"/>
    <x v="20"/>
    <x v="4"/>
    <x v="60"/>
    <x v="180"/>
    <x v="262"/>
    <x v="65"/>
    <x v="456"/>
    <x v="183"/>
    <x v="1"/>
    <x v="4"/>
    <x v="0"/>
    <x v="1"/>
    <x v="1"/>
    <x v="1"/>
    <x v="0"/>
    <x v="0"/>
    <x v="441"/>
    <x v="0"/>
    <x v="11"/>
    <x v="10"/>
  </r>
  <r>
    <x v="742"/>
    <x v="193"/>
    <x v="148"/>
    <x v="2"/>
    <x v="77"/>
    <x v="3"/>
    <x v="2"/>
    <x v="22"/>
    <x v="44"/>
    <x v="5"/>
    <x v="102"/>
    <x v="248"/>
    <x v="412"/>
    <x v="112"/>
    <x v="555"/>
    <x v="19"/>
    <x v="4"/>
    <x v="7"/>
    <x v="0"/>
    <x v="0"/>
    <x v="2"/>
    <x v="2"/>
    <x v="0"/>
    <x v="4"/>
    <x v="532"/>
    <x v="0"/>
    <x v="11"/>
    <x v="10"/>
  </r>
  <r>
    <x v="743"/>
    <x v="66"/>
    <x v="4"/>
    <x v="95"/>
    <x v="0"/>
    <x v="0"/>
    <x v="1"/>
    <x v="24"/>
    <x v="48"/>
    <x v="1"/>
    <x v="105"/>
    <x v="170"/>
    <x v="433"/>
    <x v="119"/>
    <x v="656"/>
    <x v="47"/>
    <x v="4"/>
    <x v="4"/>
    <x v="1"/>
    <x v="0"/>
    <x v="2"/>
    <x v="2"/>
    <x v="0"/>
    <x v="0"/>
    <x v="622"/>
    <x v="0"/>
    <x v="11"/>
    <x v="10"/>
  </r>
  <r>
    <x v="744"/>
    <x v="251"/>
    <x v="269"/>
    <x v="24"/>
    <x v="44"/>
    <x v="4"/>
    <x v="2"/>
    <x v="16"/>
    <x v="33"/>
    <x v="1"/>
    <x v="84"/>
    <x v="118"/>
    <x v="380"/>
    <x v="90"/>
    <x v="631"/>
    <x v="186"/>
    <x v="1"/>
    <x v="16"/>
    <x v="0"/>
    <x v="1"/>
    <x v="1"/>
    <x v="1"/>
    <x v="0"/>
    <x v="4"/>
    <x v="601"/>
    <x v="0"/>
    <x v="11"/>
    <x v="10"/>
  </r>
  <r>
    <x v="745"/>
    <x v="282"/>
    <x v="128"/>
    <x v="51"/>
    <x v="52"/>
    <x v="1"/>
    <x v="0"/>
    <x v="2"/>
    <x v="4"/>
    <x v="3"/>
    <x v="2"/>
    <x v="19"/>
    <x v="13"/>
    <x v="4"/>
    <x v="16"/>
    <x v="290"/>
    <x v="1"/>
    <x v="13"/>
    <x v="1"/>
    <x v="2"/>
    <x v="1"/>
    <x v="1"/>
    <x v="0"/>
    <x v="3"/>
    <x v="17"/>
    <x v="0"/>
    <x v="11"/>
    <x v="10"/>
  </r>
  <r>
    <x v="746"/>
    <x v="289"/>
    <x v="216"/>
    <x v="72"/>
    <x v="43"/>
    <x v="6"/>
    <x v="3"/>
    <x v="20"/>
    <x v="40"/>
    <x v="2"/>
    <x v="104"/>
    <x v="216"/>
    <x v="429"/>
    <x v="113"/>
    <x v="666"/>
    <x v="120"/>
    <x v="1"/>
    <x v="5"/>
    <x v="0"/>
    <x v="0"/>
    <x v="1"/>
    <x v="2"/>
    <x v="0"/>
    <x v="4"/>
    <x v="630"/>
    <x v="0"/>
    <x v="11"/>
    <x v="10"/>
  </r>
  <r>
    <x v="747"/>
    <x v="260"/>
    <x v="124"/>
    <x v="77"/>
    <x v="75"/>
    <x v="2"/>
    <x v="1"/>
    <x v="2"/>
    <x v="4"/>
    <x v="0"/>
    <x v="10"/>
    <x v="0"/>
    <x v="67"/>
    <x v="14"/>
    <x v="158"/>
    <x v="329"/>
    <x v="1"/>
    <x v="12"/>
    <x v="0"/>
    <x v="1"/>
    <x v="1"/>
    <x v="1"/>
    <x v="0"/>
    <x v="4"/>
    <x v="152"/>
    <x v="0"/>
    <x v="11"/>
    <x v="10"/>
  </r>
  <r>
    <x v="748"/>
    <x v="320"/>
    <x v="8"/>
    <x v="11"/>
    <x v="15"/>
    <x v="3"/>
    <x v="0"/>
    <x v="8"/>
    <x v="17"/>
    <x v="1"/>
    <x v="14"/>
    <x v="16"/>
    <x v="78"/>
    <x v="21"/>
    <x v="154"/>
    <x v="265"/>
    <x v="1"/>
    <x v="0"/>
    <x v="0"/>
    <x v="0"/>
    <x v="1"/>
    <x v="1"/>
    <x v="0"/>
    <x v="4"/>
    <x v="148"/>
    <x v="0"/>
    <x v="11"/>
    <x v="10"/>
  </r>
  <r>
    <x v="749"/>
    <x v="213"/>
    <x v="28"/>
    <x v="11"/>
    <x v="15"/>
    <x v="3"/>
    <x v="1"/>
    <x v="8"/>
    <x v="17"/>
    <x v="0"/>
    <x v="32"/>
    <x v="0"/>
    <x v="179"/>
    <x v="41"/>
    <x v="386"/>
    <x v="285"/>
    <x v="2"/>
    <x v="0"/>
    <x v="1"/>
    <x v="0"/>
    <x v="2"/>
    <x v="1"/>
    <x v="0"/>
    <x v="2"/>
    <x v="372"/>
    <x v="0"/>
    <x v="11"/>
    <x v="10"/>
  </r>
  <r>
    <x v="750"/>
    <x v="141"/>
    <x v="228"/>
    <x v="11"/>
    <x v="15"/>
    <x v="3"/>
    <x v="0"/>
    <x v="8"/>
    <x v="17"/>
    <x v="0"/>
    <x v="14"/>
    <x v="0"/>
    <x v="84"/>
    <x v="21"/>
    <x v="174"/>
    <x v="285"/>
    <x v="1"/>
    <x v="7"/>
    <x v="0"/>
    <x v="0"/>
    <x v="1"/>
    <x v="1"/>
    <x v="0"/>
    <x v="4"/>
    <x v="168"/>
    <x v="0"/>
    <x v="11"/>
    <x v="10"/>
  </r>
  <r>
    <x v="751"/>
    <x v="126"/>
    <x v="186"/>
    <x v="34"/>
    <x v="59"/>
    <x v="5"/>
    <x v="0"/>
    <x v="12"/>
    <x v="28"/>
    <x v="2"/>
    <x v="27"/>
    <x v="62"/>
    <x v="137"/>
    <x v="41"/>
    <x v="201"/>
    <x v="154"/>
    <x v="1"/>
    <x v="0"/>
    <x v="0"/>
    <x v="0"/>
    <x v="1"/>
    <x v="1"/>
    <x v="0"/>
    <x v="0"/>
    <x v="194"/>
    <x v="0"/>
    <x v="11"/>
    <x v="10"/>
  </r>
  <r>
    <x v="752"/>
    <x v="220"/>
    <x v="222"/>
    <x v="99"/>
    <x v="16"/>
    <x v="0"/>
    <x v="0"/>
    <x v="22"/>
    <x v="46"/>
    <x v="3"/>
    <x v="63"/>
    <x v="163"/>
    <x v="278"/>
    <x v="78"/>
    <x v="305"/>
    <x v="25"/>
    <x v="1"/>
    <x v="4"/>
    <x v="1"/>
    <x v="1"/>
    <x v="1"/>
    <x v="1"/>
    <x v="0"/>
    <x v="0"/>
    <x v="294"/>
    <x v="0"/>
    <x v="11"/>
    <x v="10"/>
  </r>
  <r>
    <x v="753"/>
    <x v="268"/>
    <x v="130"/>
    <x v="89"/>
    <x v="89"/>
    <x v="0"/>
    <x v="1"/>
    <x v="17"/>
    <x v="37"/>
    <x v="0"/>
    <x v="70"/>
    <x v="0"/>
    <x v="332"/>
    <x v="83"/>
    <x v="542"/>
    <x v="128"/>
    <x v="1"/>
    <x v="11"/>
    <x v="1"/>
    <x v="0"/>
    <x v="1"/>
    <x v="1"/>
    <x v="0"/>
    <x v="0"/>
    <x v="519"/>
    <x v="0"/>
    <x v="11"/>
    <x v="10"/>
  </r>
  <r>
    <x v="754"/>
    <x v="62"/>
    <x v="281"/>
    <x v="22"/>
    <x v="79"/>
    <x v="4"/>
    <x v="1"/>
    <x v="4"/>
    <x v="7"/>
    <x v="4"/>
    <x v="15"/>
    <x v="82"/>
    <x v="74"/>
    <x v="19"/>
    <x v="161"/>
    <x v="287"/>
    <x v="1"/>
    <x v="8"/>
    <x v="1"/>
    <x v="1"/>
    <x v="1"/>
    <x v="1"/>
    <x v="0"/>
    <x v="0"/>
    <x v="155"/>
    <x v="0"/>
    <x v="11"/>
    <x v="10"/>
  </r>
  <r>
    <x v="755"/>
    <x v="331"/>
    <x v="37"/>
    <x v="47"/>
    <x v="74"/>
    <x v="1"/>
    <x v="0"/>
    <x v="4"/>
    <x v="9"/>
    <x v="0"/>
    <x v="5"/>
    <x v="0"/>
    <x v="38"/>
    <x v="11"/>
    <x v="74"/>
    <x v="287"/>
    <x v="1"/>
    <x v="15"/>
    <x v="1"/>
    <x v="0"/>
    <x v="1"/>
    <x v="1"/>
    <x v="0"/>
    <x v="3"/>
    <x v="73"/>
    <x v="0"/>
    <x v="11"/>
    <x v="10"/>
  </r>
  <r>
    <x v="756"/>
    <x v="245"/>
    <x v="48"/>
    <x v="94"/>
    <x v="86"/>
    <x v="0"/>
    <x v="0"/>
    <x v="18"/>
    <x v="38"/>
    <x v="0"/>
    <x v="45"/>
    <x v="0"/>
    <x v="230"/>
    <x v="60"/>
    <x v="370"/>
    <x v="133"/>
    <x v="2"/>
    <x v="0"/>
    <x v="1"/>
    <x v="0"/>
    <x v="2"/>
    <x v="1"/>
    <x v="0"/>
    <x v="2"/>
    <x v="356"/>
    <x v="0"/>
    <x v="11"/>
    <x v="10"/>
  </r>
  <r>
    <x v="757"/>
    <x v="99"/>
    <x v="250"/>
    <x v="65"/>
    <x v="36"/>
    <x v="6"/>
    <x v="0"/>
    <x v="7"/>
    <x v="14"/>
    <x v="1"/>
    <x v="11"/>
    <x v="12"/>
    <x v="64"/>
    <x v="17"/>
    <x v="132"/>
    <x v="295"/>
    <x v="1"/>
    <x v="11"/>
    <x v="0"/>
    <x v="0"/>
    <x v="1"/>
    <x v="1"/>
    <x v="0"/>
    <x v="3"/>
    <x v="127"/>
    <x v="0"/>
    <x v="11"/>
    <x v="10"/>
  </r>
  <r>
    <x v="758"/>
    <x v="126"/>
    <x v="143"/>
    <x v="8"/>
    <x v="50"/>
    <x v="3"/>
    <x v="1"/>
    <x v="10"/>
    <x v="20"/>
    <x v="3"/>
    <x v="44"/>
    <x v="128"/>
    <x v="205"/>
    <x v="50"/>
    <x v="377"/>
    <x v="214"/>
    <x v="1"/>
    <x v="12"/>
    <x v="0"/>
    <x v="0"/>
    <x v="1"/>
    <x v="1"/>
    <x v="0"/>
    <x v="4"/>
    <x v="363"/>
    <x v="0"/>
    <x v="11"/>
    <x v="10"/>
  </r>
  <r>
    <x v="759"/>
    <x v="314"/>
    <x v="285"/>
    <x v="40"/>
    <x v="32"/>
    <x v="5"/>
    <x v="3"/>
    <x v="7"/>
    <x v="15"/>
    <x v="1"/>
    <x v="52"/>
    <x v="61"/>
    <x v="258"/>
    <x v="58"/>
    <x v="499"/>
    <x v="260"/>
    <x v="1"/>
    <x v="10"/>
    <x v="0"/>
    <x v="0"/>
    <x v="1"/>
    <x v="1"/>
    <x v="0"/>
    <x v="0"/>
    <x v="478"/>
    <x v="0"/>
    <x v="11"/>
    <x v="10"/>
  </r>
  <r>
    <x v="760"/>
    <x v="319"/>
    <x v="163"/>
    <x v="11"/>
    <x v="15"/>
    <x v="3"/>
    <x v="1"/>
    <x v="8"/>
    <x v="17"/>
    <x v="3"/>
    <x v="32"/>
    <x v="102"/>
    <x v="153"/>
    <x v="41"/>
    <x v="283"/>
    <x v="215"/>
    <x v="4"/>
    <x v="12"/>
    <x v="0"/>
    <x v="2"/>
    <x v="2"/>
    <x v="1"/>
    <x v="0"/>
    <x v="3"/>
    <x v="274"/>
    <x v="0"/>
    <x v="11"/>
    <x v="10"/>
  </r>
  <r>
    <x v="761"/>
    <x v="280"/>
    <x v="96"/>
    <x v="36"/>
    <x v="63"/>
    <x v="5"/>
    <x v="0"/>
    <x v="10"/>
    <x v="20"/>
    <x v="2"/>
    <x v="20"/>
    <x v="50"/>
    <x v="104"/>
    <x v="29"/>
    <x v="193"/>
    <x v="237"/>
    <x v="1"/>
    <x v="15"/>
    <x v="1"/>
    <x v="0"/>
    <x v="1"/>
    <x v="1"/>
    <x v="0"/>
    <x v="4"/>
    <x v="187"/>
    <x v="0"/>
    <x v="11"/>
    <x v="10"/>
  </r>
  <r>
    <x v="762"/>
    <x v="251"/>
    <x v="115"/>
    <x v="5"/>
    <x v="98"/>
    <x v="3"/>
    <x v="1"/>
    <x v="9"/>
    <x v="18"/>
    <x v="2"/>
    <x v="38"/>
    <x v="83"/>
    <x v="186"/>
    <x v="45"/>
    <x v="376"/>
    <x v="243"/>
    <x v="1"/>
    <x v="18"/>
    <x v="1"/>
    <x v="1"/>
    <x v="1"/>
    <x v="1"/>
    <x v="0"/>
    <x v="3"/>
    <x v="362"/>
    <x v="0"/>
    <x v="11"/>
    <x v="10"/>
  </r>
  <r>
    <x v="763"/>
    <x v="134"/>
    <x v="240"/>
    <x v="84"/>
    <x v="55"/>
    <x v="2"/>
    <x v="1"/>
    <x v="3"/>
    <x v="6"/>
    <x v="3"/>
    <x v="13"/>
    <x v="53"/>
    <x v="69"/>
    <x v="18"/>
    <x v="139"/>
    <x v="286"/>
    <x v="1"/>
    <x v="1"/>
    <x v="0"/>
    <x v="1"/>
    <x v="1"/>
    <x v="1"/>
    <x v="0"/>
    <x v="0"/>
    <x v="133"/>
    <x v="0"/>
    <x v="11"/>
    <x v="10"/>
  </r>
  <r>
    <x v="764"/>
    <x v="37"/>
    <x v="105"/>
    <x v="35"/>
    <x v="24"/>
    <x v="5"/>
    <x v="2"/>
    <x v="17"/>
    <x v="35"/>
    <x v="3"/>
    <x v="87"/>
    <x v="204"/>
    <x v="378"/>
    <x v="93"/>
    <x v="577"/>
    <x v="102"/>
    <x v="1"/>
    <x v="17"/>
    <x v="1"/>
    <x v="1"/>
    <x v="1"/>
    <x v="1"/>
    <x v="0"/>
    <x v="4"/>
    <x v="553"/>
    <x v="0"/>
    <x v="11"/>
    <x v="10"/>
  </r>
  <r>
    <x v="765"/>
    <x v="88"/>
    <x v="25"/>
    <x v="19"/>
    <x v="2"/>
    <x v="4"/>
    <x v="0"/>
    <x v="14"/>
    <x v="30"/>
    <x v="3"/>
    <x v="33"/>
    <x v="104"/>
    <x v="154"/>
    <x v="45"/>
    <x v="228"/>
    <x v="141"/>
    <x v="1"/>
    <x v="12"/>
    <x v="1"/>
    <x v="2"/>
    <x v="1"/>
    <x v="1"/>
    <x v="0"/>
    <x v="3"/>
    <x v="220"/>
    <x v="0"/>
    <x v="11"/>
    <x v="10"/>
  </r>
  <r>
    <x v="766"/>
    <x v="219"/>
    <x v="244"/>
    <x v="32"/>
    <x v="7"/>
    <x v="5"/>
    <x v="0"/>
    <x v="14"/>
    <x v="30"/>
    <x v="0"/>
    <x v="33"/>
    <x v="0"/>
    <x v="181"/>
    <x v="45"/>
    <x v="350"/>
    <x v="228"/>
    <x v="1"/>
    <x v="17"/>
    <x v="1"/>
    <x v="2"/>
    <x v="1"/>
    <x v="1"/>
    <x v="0"/>
    <x v="4"/>
    <x v="337"/>
    <x v="0"/>
    <x v="11"/>
    <x v="10"/>
  </r>
  <r>
    <x v="767"/>
    <x v="350"/>
    <x v="109"/>
    <x v="59"/>
    <x v="99"/>
    <x v="6"/>
    <x v="0"/>
    <x v="10"/>
    <x v="20"/>
    <x v="2"/>
    <x v="20"/>
    <x v="50"/>
    <x v="104"/>
    <x v="29"/>
    <x v="193"/>
    <x v="237"/>
    <x v="4"/>
    <x v="7"/>
    <x v="1"/>
    <x v="2"/>
    <x v="2"/>
    <x v="1"/>
    <x v="0"/>
    <x v="0"/>
    <x v="187"/>
    <x v="0"/>
    <x v="11"/>
    <x v="10"/>
  </r>
  <r>
    <x v="768"/>
    <x v="232"/>
    <x v="147"/>
    <x v="96"/>
    <x v="91"/>
    <x v="0"/>
    <x v="1"/>
    <x v="23"/>
    <x v="47"/>
    <x v="2"/>
    <x v="101"/>
    <x v="206"/>
    <x v="420"/>
    <x v="115"/>
    <x v="594"/>
    <x v="22"/>
    <x v="1"/>
    <x v="13"/>
    <x v="1"/>
    <x v="0"/>
    <x v="1"/>
    <x v="2"/>
    <x v="0"/>
    <x v="0"/>
    <x v="569"/>
    <x v="0"/>
    <x v="11"/>
    <x v="10"/>
  </r>
  <r>
    <x v="769"/>
    <x v="61"/>
    <x v="36"/>
    <x v="85"/>
    <x v="35"/>
    <x v="2"/>
    <x v="1"/>
    <x v="1"/>
    <x v="2"/>
    <x v="5"/>
    <x v="6"/>
    <x v="58"/>
    <x v="28"/>
    <x v="10"/>
    <x v="38"/>
    <x v="255"/>
    <x v="1"/>
    <x v="18"/>
    <x v="1"/>
    <x v="0"/>
    <x v="1"/>
    <x v="1"/>
    <x v="0"/>
    <x v="0"/>
    <x v="39"/>
    <x v="0"/>
    <x v="11"/>
    <x v="10"/>
  </r>
  <r>
    <x v="770"/>
    <x v="69"/>
    <x v="217"/>
    <x v="17"/>
    <x v="18"/>
    <x v="4"/>
    <x v="1"/>
    <x v="11"/>
    <x v="23"/>
    <x v="3"/>
    <x v="49"/>
    <x v="137"/>
    <x v="224"/>
    <x v="56"/>
    <x v="394"/>
    <x v="181"/>
    <x v="1"/>
    <x v="19"/>
    <x v="0"/>
    <x v="1"/>
    <x v="1"/>
    <x v="1"/>
    <x v="0"/>
    <x v="4"/>
    <x v="380"/>
    <x v="0"/>
    <x v="11"/>
    <x v="10"/>
  </r>
  <r>
    <x v="771"/>
    <x v="123"/>
    <x v="42"/>
    <x v="12"/>
    <x v="56"/>
    <x v="3"/>
    <x v="0"/>
    <x v="9"/>
    <x v="22"/>
    <x v="4"/>
    <x v="16"/>
    <x v="83"/>
    <x v="75"/>
    <x v="33"/>
    <x v="42"/>
    <x v="44"/>
    <x v="1"/>
    <x v="1"/>
    <x v="0"/>
    <x v="2"/>
    <x v="1"/>
    <x v="1"/>
    <x v="0"/>
    <x v="4"/>
    <x v="43"/>
    <x v="0"/>
    <x v="11"/>
    <x v="10"/>
  </r>
  <r>
    <x v="772"/>
    <x v="175"/>
    <x v="269"/>
    <x v="27"/>
    <x v="78"/>
    <x v="4"/>
    <x v="0"/>
    <x v="19"/>
    <x v="38"/>
    <x v="0"/>
    <x v="50"/>
    <x v="0"/>
    <x v="252"/>
    <x v="60"/>
    <x v="454"/>
    <x v="200"/>
    <x v="2"/>
    <x v="16"/>
    <x v="0"/>
    <x v="1"/>
    <x v="2"/>
    <x v="1"/>
    <x v="0"/>
    <x v="2"/>
    <x v="439"/>
    <x v="0"/>
    <x v="11"/>
    <x v="10"/>
  </r>
  <r>
    <x v="773"/>
    <x v="72"/>
    <x v="282"/>
    <x v="22"/>
    <x v="79"/>
    <x v="4"/>
    <x v="1"/>
    <x v="4"/>
    <x v="7"/>
    <x v="2"/>
    <x v="15"/>
    <x v="41"/>
    <x v="86"/>
    <x v="19"/>
    <x v="206"/>
    <x v="317"/>
    <x v="3"/>
    <x v="4"/>
    <x v="0"/>
    <x v="1"/>
    <x v="3"/>
    <x v="1"/>
    <x v="0"/>
    <x v="4"/>
    <x v="0"/>
    <x v="0"/>
    <x v="11"/>
    <x v="10"/>
  </r>
  <r>
    <x v="774"/>
    <x v="207"/>
    <x v="215"/>
    <x v="2"/>
    <x v="77"/>
    <x v="3"/>
    <x v="2"/>
    <x v="22"/>
    <x v="44"/>
    <x v="0"/>
    <x v="102"/>
    <x v="0"/>
    <x v="432"/>
    <x v="112"/>
    <x v="669"/>
    <x v="150"/>
    <x v="1"/>
    <x v="15"/>
    <x v="2"/>
    <x v="2"/>
    <x v="1"/>
    <x v="2"/>
    <x v="0"/>
    <x v="4"/>
    <x v="632"/>
    <x v="0"/>
    <x v="11"/>
    <x v="10"/>
  </r>
  <r>
    <x v="775"/>
    <x v="56"/>
    <x v="264"/>
    <x v="77"/>
    <x v="75"/>
    <x v="2"/>
    <x v="1"/>
    <x v="2"/>
    <x v="4"/>
    <x v="4"/>
    <x v="10"/>
    <x v="59"/>
    <x v="49"/>
    <x v="14"/>
    <x v="91"/>
    <x v="267"/>
    <x v="4"/>
    <x v="17"/>
    <x v="1"/>
    <x v="0"/>
    <x v="2"/>
    <x v="1"/>
    <x v="0"/>
    <x v="4"/>
    <x v="89"/>
    <x v="0"/>
    <x v="11"/>
    <x v="10"/>
  </r>
  <r>
    <x v="776"/>
    <x v="258"/>
    <x v="9"/>
    <x v="25"/>
    <x v="84"/>
    <x v="4"/>
    <x v="0"/>
    <x v="10"/>
    <x v="18"/>
    <x v="0"/>
    <x v="20"/>
    <x v="0"/>
    <x v="119"/>
    <x v="24"/>
    <x v="286"/>
    <x v="322"/>
    <x v="1"/>
    <x v="13"/>
    <x v="1"/>
    <x v="2"/>
    <x v="1"/>
    <x v="1"/>
    <x v="0"/>
    <x v="4"/>
    <x v="277"/>
    <x v="0"/>
    <x v="11"/>
    <x v="10"/>
  </r>
  <r>
    <x v="777"/>
    <x v="121"/>
    <x v="179"/>
    <x v="85"/>
    <x v="35"/>
    <x v="2"/>
    <x v="0"/>
    <x v="1"/>
    <x v="2"/>
    <x v="1"/>
    <x v="1"/>
    <x v="2"/>
    <x v="10"/>
    <x v="2"/>
    <x v="14"/>
    <x v="325"/>
    <x v="1"/>
    <x v="14"/>
    <x v="0"/>
    <x v="0"/>
    <x v="1"/>
    <x v="1"/>
    <x v="0"/>
    <x v="4"/>
    <x v="15"/>
    <x v="0"/>
    <x v="11"/>
    <x v="10"/>
  </r>
  <r>
    <x v="778"/>
    <x v="205"/>
    <x v="29"/>
    <x v="8"/>
    <x v="50"/>
    <x v="3"/>
    <x v="1"/>
    <x v="10"/>
    <x v="20"/>
    <x v="2"/>
    <x v="44"/>
    <x v="94"/>
    <x v="212"/>
    <x v="50"/>
    <x v="414"/>
    <x v="237"/>
    <x v="1"/>
    <x v="13"/>
    <x v="1"/>
    <x v="0"/>
    <x v="1"/>
    <x v="1"/>
    <x v="0"/>
    <x v="4"/>
    <x v="399"/>
    <x v="0"/>
    <x v="11"/>
    <x v="10"/>
  </r>
  <r>
    <x v="779"/>
    <x v="315"/>
    <x v="245"/>
    <x v="68"/>
    <x v="80"/>
    <x v="6"/>
    <x v="2"/>
    <x v="12"/>
    <x v="27"/>
    <x v="2"/>
    <x v="69"/>
    <x v="143"/>
    <x v="316"/>
    <x v="75"/>
    <x v="539"/>
    <x v="171"/>
    <x v="1"/>
    <x v="10"/>
    <x v="1"/>
    <x v="2"/>
    <x v="1"/>
    <x v="1"/>
    <x v="0"/>
    <x v="0"/>
    <x v="516"/>
    <x v="0"/>
    <x v="11"/>
    <x v="10"/>
  </r>
  <r>
    <x v="780"/>
    <x v="165"/>
    <x v="271"/>
    <x v="99"/>
    <x v="16"/>
    <x v="0"/>
    <x v="1"/>
    <x v="22"/>
    <x v="46"/>
    <x v="3"/>
    <x v="91"/>
    <x v="211"/>
    <x v="389"/>
    <x v="105"/>
    <x v="512"/>
    <x v="25"/>
    <x v="2"/>
    <x v="9"/>
    <x v="0"/>
    <x v="0"/>
    <x v="2"/>
    <x v="1"/>
    <x v="0"/>
    <x v="2"/>
    <x v="490"/>
    <x v="0"/>
    <x v="11"/>
    <x v="10"/>
  </r>
  <r>
    <x v="781"/>
    <x v="259"/>
    <x v="55"/>
    <x v="42"/>
    <x v="47"/>
    <x v="5"/>
    <x v="0"/>
    <x v="15"/>
    <x v="32"/>
    <x v="2"/>
    <x v="35"/>
    <x v="78"/>
    <x v="174"/>
    <x v="50"/>
    <x v="265"/>
    <x v="130"/>
    <x v="1"/>
    <x v="3"/>
    <x v="1"/>
    <x v="2"/>
    <x v="1"/>
    <x v="1"/>
    <x v="0"/>
    <x v="4"/>
    <x v="256"/>
    <x v="0"/>
    <x v="11"/>
    <x v="10"/>
  </r>
  <r>
    <x v="782"/>
    <x v="340"/>
    <x v="59"/>
    <x v="97"/>
    <x v="81"/>
    <x v="0"/>
    <x v="1"/>
    <x v="12"/>
    <x v="29"/>
    <x v="0"/>
    <x v="53"/>
    <x v="0"/>
    <x v="268"/>
    <x v="67"/>
    <x v="469"/>
    <x v="179"/>
    <x v="1"/>
    <x v="19"/>
    <x v="0"/>
    <x v="1"/>
    <x v="1"/>
    <x v="1"/>
    <x v="0"/>
    <x v="4"/>
    <x v="450"/>
    <x v="0"/>
    <x v="11"/>
    <x v="10"/>
  </r>
  <r>
    <x v="783"/>
    <x v="146"/>
    <x v="74"/>
    <x v="98"/>
    <x v="72"/>
    <x v="0"/>
    <x v="0"/>
    <x v="15"/>
    <x v="34"/>
    <x v="1"/>
    <x v="35"/>
    <x v="38"/>
    <x v="183"/>
    <x v="52"/>
    <x v="277"/>
    <x v="122"/>
    <x v="0"/>
    <x v="2"/>
    <x v="0"/>
    <x v="0"/>
    <x v="0"/>
    <x v="1"/>
    <x v="0"/>
    <x v="1"/>
    <x v="0"/>
    <x v="0"/>
    <x v="11"/>
    <x v="10"/>
  </r>
  <r>
    <x v="784"/>
    <x v="161"/>
    <x v="38"/>
    <x v="56"/>
    <x v="17"/>
    <x v="1"/>
    <x v="0"/>
    <x v="1"/>
    <x v="1"/>
    <x v="1"/>
    <x v="1"/>
    <x v="2"/>
    <x v="10"/>
    <x v="1"/>
    <x v="17"/>
    <x v="335"/>
    <x v="1"/>
    <x v="5"/>
    <x v="1"/>
    <x v="0"/>
    <x v="1"/>
    <x v="1"/>
    <x v="0"/>
    <x v="4"/>
    <x v="18"/>
    <x v="0"/>
    <x v="11"/>
    <x v="10"/>
  </r>
  <r>
    <x v="785"/>
    <x v="347"/>
    <x v="105"/>
    <x v="56"/>
    <x v="17"/>
    <x v="1"/>
    <x v="4"/>
    <x v="1"/>
    <x v="1"/>
    <x v="4"/>
    <x v="24"/>
    <x v="107"/>
    <x v="115"/>
    <x v="26"/>
    <x v="266"/>
    <x v="303"/>
    <x v="2"/>
    <x v="17"/>
    <x v="1"/>
    <x v="0"/>
    <x v="2"/>
    <x v="1"/>
    <x v="0"/>
    <x v="2"/>
    <x v="257"/>
    <x v="0"/>
    <x v="11"/>
    <x v="10"/>
  </r>
  <r>
    <x v="786"/>
    <x v="113"/>
    <x v="26"/>
    <x v="25"/>
    <x v="84"/>
    <x v="4"/>
    <x v="0"/>
    <x v="10"/>
    <x v="18"/>
    <x v="2"/>
    <x v="20"/>
    <x v="50"/>
    <x v="104"/>
    <x v="24"/>
    <x v="227"/>
    <x v="299"/>
    <x v="1"/>
    <x v="17"/>
    <x v="1"/>
    <x v="1"/>
    <x v="1"/>
    <x v="1"/>
    <x v="0"/>
    <x v="0"/>
    <x v="219"/>
    <x v="0"/>
    <x v="11"/>
    <x v="10"/>
  </r>
  <r>
    <x v="787"/>
    <x v="157"/>
    <x v="269"/>
    <x v="31"/>
    <x v="94"/>
    <x v="5"/>
    <x v="2"/>
    <x v="5"/>
    <x v="9"/>
    <x v="4"/>
    <x v="31"/>
    <x v="127"/>
    <x v="145"/>
    <x v="36"/>
    <x v="293"/>
    <x v="253"/>
    <x v="1"/>
    <x v="16"/>
    <x v="0"/>
    <x v="2"/>
    <x v="1"/>
    <x v="1"/>
    <x v="0"/>
    <x v="0"/>
    <x v="283"/>
    <x v="0"/>
    <x v="11"/>
    <x v="10"/>
  </r>
  <r>
    <x v="788"/>
    <x v="35"/>
    <x v="96"/>
    <x v="3"/>
    <x v="90"/>
    <x v="3"/>
    <x v="1"/>
    <x v="3"/>
    <x v="7"/>
    <x v="5"/>
    <x v="13"/>
    <x v="87"/>
    <x v="59"/>
    <x v="19"/>
    <x v="83"/>
    <x v="191"/>
    <x v="4"/>
    <x v="15"/>
    <x v="1"/>
    <x v="0"/>
    <x v="2"/>
    <x v="1"/>
    <x v="0"/>
    <x v="0"/>
    <x v="82"/>
    <x v="0"/>
    <x v="11"/>
    <x v="10"/>
  </r>
  <r>
    <x v="789"/>
    <x v="85"/>
    <x v="203"/>
    <x v="26"/>
    <x v="8"/>
    <x v="4"/>
    <x v="2"/>
    <x v="5"/>
    <x v="10"/>
    <x v="4"/>
    <x v="31"/>
    <x v="127"/>
    <x v="145"/>
    <x v="37"/>
    <x v="271"/>
    <x v="220"/>
    <x v="1"/>
    <x v="12"/>
    <x v="1"/>
    <x v="1"/>
    <x v="1"/>
    <x v="1"/>
    <x v="0"/>
    <x v="4"/>
    <x v="262"/>
    <x v="0"/>
    <x v="11"/>
    <x v="10"/>
  </r>
  <r>
    <x v="790"/>
    <x v="320"/>
    <x v="186"/>
    <x v="12"/>
    <x v="56"/>
    <x v="3"/>
    <x v="1"/>
    <x v="9"/>
    <x v="22"/>
    <x v="1"/>
    <x v="38"/>
    <x v="42"/>
    <x v="196"/>
    <x v="55"/>
    <x v="306"/>
    <x v="124"/>
    <x v="1"/>
    <x v="0"/>
    <x v="0"/>
    <x v="1"/>
    <x v="1"/>
    <x v="1"/>
    <x v="0"/>
    <x v="0"/>
    <x v="295"/>
    <x v="0"/>
    <x v="11"/>
    <x v="10"/>
  </r>
  <r>
    <x v="791"/>
    <x v="80"/>
    <x v="117"/>
    <x v="44"/>
    <x v="53"/>
    <x v="5"/>
    <x v="0"/>
    <x v="6"/>
    <x v="12"/>
    <x v="0"/>
    <x v="9"/>
    <x v="0"/>
    <x v="60"/>
    <x v="14"/>
    <x v="130"/>
    <x v="308"/>
    <x v="1"/>
    <x v="5"/>
    <x v="2"/>
    <x v="2"/>
    <x v="1"/>
    <x v="1"/>
    <x v="0"/>
    <x v="4"/>
    <x v="125"/>
    <x v="0"/>
    <x v="11"/>
    <x v="10"/>
  </r>
  <r>
    <x v="792"/>
    <x v="353"/>
    <x v="282"/>
    <x v="80"/>
    <x v="82"/>
    <x v="2"/>
    <x v="1"/>
    <x v="0"/>
    <x v="0"/>
    <x v="2"/>
    <x v="3"/>
    <x v="13"/>
    <x v="22"/>
    <x v="4"/>
    <x v="55"/>
    <x v="337"/>
    <x v="1"/>
    <x v="4"/>
    <x v="0"/>
    <x v="1"/>
    <x v="1"/>
    <x v="1"/>
    <x v="0"/>
    <x v="0"/>
    <x v="54"/>
    <x v="0"/>
    <x v="11"/>
    <x v="10"/>
  </r>
  <r>
    <x v="793"/>
    <x v="308"/>
    <x v="191"/>
    <x v="40"/>
    <x v="32"/>
    <x v="5"/>
    <x v="0"/>
    <x v="7"/>
    <x v="15"/>
    <x v="0"/>
    <x v="11"/>
    <x v="0"/>
    <x v="68"/>
    <x v="18"/>
    <x v="136"/>
    <x v="279"/>
    <x v="1"/>
    <x v="9"/>
    <x v="1"/>
    <x v="1"/>
    <x v="1"/>
    <x v="1"/>
    <x v="0"/>
    <x v="0"/>
    <x v="130"/>
    <x v="0"/>
    <x v="11"/>
    <x v="10"/>
  </r>
  <r>
    <x v="794"/>
    <x v="265"/>
    <x v="284"/>
    <x v="36"/>
    <x v="63"/>
    <x v="5"/>
    <x v="0"/>
    <x v="10"/>
    <x v="20"/>
    <x v="5"/>
    <x v="20"/>
    <x v="111"/>
    <x v="85"/>
    <x v="29"/>
    <x v="117"/>
    <x v="146"/>
    <x v="1"/>
    <x v="17"/>
    <x v="0"/>
    <x v="1"/>
    <x v="1"/>
    <x v="1"/>
    <x v="0"/>
    <x v="4"/>
    <x v="113"/>
    <x v="0"/>
    <x v="11"/>
    <x v="10"/>
  </r>
  <r>
    <x v="795"/>
    <x v="30"/>
    <x v="62"/>
    <x v="95"/>
    <x v="0"/>
    <x v="0"/>
    <x v="0"/>
    <x v="24"/>
    <x v="48"/>
    <x v="1"/>
    <x v="83"/>
    <x v="114"/>
    <x v="377"/>
    <x v="97"/>
    <x v="524"/>
    <x v="47"/>
    <x v="1"/>
    <x v="1"/>
    <x v="0"/>
    <x v="0"/>
    <x v="1"/>
    <x v="1"/>
    <x v="0"/>
    <x v="0"/>
    <x v="501"/>
    <x v="0"/>
    <x v="11"/>
    <x v="10"/>
  </r>
  <r>
    <x v="796"/>
    <x v="14"/>
    <x v="129"/>
    <x v="97"/>
    <x v="81"/>
    <x v="0"/>
    <x v="1"/>
    <x v="12"/>
    <x v="29"/>
    <x v="1"/>
    <x v="53"/>
    <x v="62"/>
    <x v="259"/>
    <x v="67"/>
    <x v="440"/>
    <x v="151"/>
    <x v="1"/>
    <x v="16"/>
    <x v="1"/>
    <x v="1"/>
    <x v="1"/>
    <x v="1"/>
    <x v="0"/>
    <x v="3"/>
    <x v="425"/>
    <x v="0"/>
    <x v="11"/>
    <x v="10"/>
  </r>
  <r>
    <x v="797"/>
    <x v="355"/>
    <x v="185"/>
    <x v="77"/>
    <x v="75"/>
    <x v="2"/>
    <x v="1"/>
    <x v="2"/>
    <x v="4"/>
    <x v="5"/>
    <x v="10"/>
    <x v="75"/>
    <x v="42"/>
    <x v="14"/>
    <x v="70"/>
    <x v="239"/>
    <x v="4"/>
    <x v="10"/>
    <x v="1"/>
    <x v="2"/>
    <x v="2"/>
    <x v="1"/>
    <x v="0"/>
    <x v="4"/>
    <x v="69"/>
    <x v="0"/>
    <x v="11"/>
    <x v="10"/>
  </r>
  <r>
    <x v="798"/>
    <x v="183"/>
    <x v="154"/>
    <x v="25"/>
    <x v="84"/>
    <x v="4"/>
    <x v="0"/>
    <x v="10"/>
    <x v="18"/>
    <x v="2"/>
    <x v="20"/>
    <x v="50"/>
    <x v="104"/>
    <x v="24"/>
    <x v="227"/>
    <x v="299"/>
    <x v="0"/>
    <x v="18"/>
    <x v="2"/>
    <x v="0"/>
    <x v="0"/>
    <x v="1"/>
    <x v="0"/>
    <x v="1"/>
    <x v="0"/>
    <x v="0"/>
    <x v="11"/>
    <x v="10"/>
  </r>
  <r>
    <x v="799"/>
    <x v="117"/>
    <x v="97"/>
    <x v="24"/>
    <x v="44"/>
    <x v="4"/>
    <x v="0"/>
    <x v="16"/>
    <x v="33"/>
    <x v="1"/>
    <x v="39"/>
    <x v="43"/>
    <x v="197"/>
    <x v="51"/>
    <x v="354"/>
    <x v="186"/>
    <x v="1"/>
    <x v="5"/>
    <x v="2"/>
    <x v="1"/>
    <x v="1"/>
    <x v="1"/>
    <x v="0"/>
    <x v="3"/>
    <x v="341"/>
    <x v="0"/>
    <x v="11"/>
    <x v="10"/>
  </r>
  <r>
    <x v="800"/>
    <x v="230"/>
    <x v="93"/>
    <x v="8"/>
    <x v="50"/>
    <x v="3"/>
    <x v="0"/>
    <x v="10"/>
    <x v="20"/>
    <x v="0"/>
    <x v="20"/>
    <x v="0"/>
    <x v="119"/>
    <x v="29"/>
    <x v="250"/>
    <x v="283"/>
    <x v="1"/>
    <x v="2"/>
    <x v="1"/>
    <x v="2"/>
    <x v="1"/>
    <x v="1"/>
    <x v="0"/>
    <x v="3"/>
    <x v="242"/>
    <x v="0"/>
    <x v="11"/>
    <x v="10"/>
  </r>
  <r>
    <x v="801"/>
    <x v="350"/>
    <x v="2"/>
    <x v="62"/>
    <x v="19"/>
    <x v="6"/>
    <x v="0"/>
    <x v="17"/>
    <x v="35"/>
    <x v="3"/>
    <x v="42"/>
    <x v="124"/>
    <x v="190"/>
    <x v="55"/>
    <x v="267"/>
    <x v="102"/>
    <x v="1"/>
    <x v="1"/>
    <x v="1"/>
    <x v="0"/>
    <x v="1"/>
    <x v="1"/>
    <x v="0"/>
    <x v="0"/>
    <x v="258"/>
    <x v="0"/>
    <x v="11"/>
    <x v="10"/>
  </r>
  <r>
    <x v="802"/>
    <x v="60"/>
    <x v="257"/>
    <x v="36"/>
    <x v="63"/>
    <x v="5"/>
    <x v="0"/>
    <x v="10"/>
    <x v="20"/>
    <x v="4"/>
    <x v="20"/>
    <x v="94"/>
    <x v="90"/>
    <x v="29"/>
    <x v="141"/>
    <x v="183"/>
    <x v="0"/>
    <x v="19"/>
    <x v="1"/>
    <x v="1"/>
    <x v="0"/>
    <x v="1"/>
    <x v="0"/>
    <x v="1"/>
    <x v="0"/>
    <x v="0"/>
    <x v="11"/>
    <x v="10"/>
  </r>
  <r>
    <x v="803"/>
    <x v="314"/>
    <x v="183"/>
    <x v="80"/>
    <x v="82"/>
    <x v="2"/>
    <x v="0"/>
    <x v="0"/>
    <x v="0"/>
    <x v="3"/>
    <x v="0"/>
    <x v="9"/>
    <x v="1"/>
    <x v="0"/>
    <x v="1"/>
    <x v="331"/>
    <x v="1"/>
    <x v="12"/>
    <x v="0"/>
    <x v="1"/>
    <x v="1"/>
    <x v="1"/>
    <x v="0"/>
    <x v="3"/>
    <x v="2"/>
    <x v="0"/>
    <x v="11"/>
    <x v="10"/>
  </r>
  <r>
    <x v="804"/>
    <x v="329"/>
    <x v="163"/>
    <x v="30"/>
    <x v="83"/>
    <x v="5"/>
    <x v="1"/>
    <x v="9"/>
    <x v="18"/>
    <x v="0"/>
    <x v="38"/>
    <x v="0"/>
    <x v="208"/>
    <x v="45"/>
    <x v="439"/>
    <x v="288"/>
    <x v="4"/>
    <x v="12"/>
    <x v="0"/>
    <x v="1"/>
    <x v="2"/>
    <x v="1"/>
    <x v="0"/>
    <x v="3"/>
    <x v="424"/>
    <x v="0"/>
    <x v="11"/>
    <x v="10"/>
  </r>
  <r>
    <x v="805"/>
    <x v="228"/>
    <x v="229"/>
    <x v="31"/>
    <x v="94"/>
    <x v="5"/>
    <x v="0"/>
    <x v="5"/>
    <x v="9"/>
    <x v="5"/>
    <x v="7"/>
    <x v="60"/>
    <x v="30"/>
    <x v="11"/>
    <x v="34"/>
    <x v="220"/>
    <x v="2"/>
    <x v="16"/>
    <x v="1"/>
    <x v="1"/>
    <x v="2"/>
    <x v="1"/>
    <x v="0"/>
    <x v="2"/>
    <x v="35"/>
    <x v="0"/>
    <x v="11"/>
    <x v="10"/>
  </r>
  <r>
    <x v="806"/>
    <x v="306"/>
    <x v="285"/>
    <x v="14"/>
    <x v="65"/>
    <x v="3"/>
    <x v="0"/>
    <x v="24"/>
    <x v="49"/>
    <x v="2"/>
    <x v="83"/>
    <x v="170"/>
    <x v="369"/>
    <x v="99"/>
    <x v="444"/>
    <x v="17"/>
    <x v="1"/>
    <x v="10"/>
    <x v="0"/>
    <x v="0"/>
    <x v="1"/>
    <x v="1"/>
    <x v="0"/>
    <x v="4"/>
    <x v="429"/>
    <x v="0"/>
    <x v="11"/>
    <x v="10"/>
  </r>
  <r>
    <x v="807"/>
    <x v="330"/>
    <x v="133"/>
    <x v="69"/>
    <x v="48"/>
    <x v="6"/>
    <x v="1"/>
    <x v="6"/>
    <x v="12"/>
    <x v="3"/>
    <x v="22"/>
    <x v="80"/>
    <x v="113"/>
    <x v="30"/>
    <x v="219"/>
    <x v="250"/>
    <x v="1"/>
    <x v="3"/>
    <x v="0"/>
    <x v="0"/>
    <x v="1"/>
    <x v="1"/>
    <x v="0"/>
    <x v="4"/>
    <x v="211"/>
    <x v="0"/>
    <x v="11"/>
    <x v="10"/>
  </r>
  <r>
    <x v="808"/>
    <x v="54"/>
    <x v="136"/>
    <x v="67"/>
    <x v="21"/>
    <x v="6"/>
    <x v="3"/>
    <x v="4"/>
    <x v="7"/>
    <x v="2"/>
    <x v="37"/>
    <x v="82"/>
    <x v="185"/>
    <x v="37"/>
    <x v="427"/>
    <x v="317"/>
    <x v="1"/>
    <x v="5"/>
    <x v="1"/>
    <x v="1"/>
    <x v="1"/>
    <x v="1"/>
    <x v="0"/>
    <x v="3"/>
    <x v="412"/>
    <x v="0"/>
    <x v="11"/>
    <x v="10"/>
  </r>
  <r>
    <x v="809"/>
    <x v="2"/>
    <x v="110"/>
    <x v="93"/>
    <x v="70"/>
    <x v="0"/>
    <x v="1"/>
    <x v="20"/>
    <x v="42"/>
    <x v="3"/>
    <x v="82"/>
    <x v="199"/>
    <x v="352"/>
    <x v="94"/>
    <x v="472"/>
    <x v="34"/>
    <x v="1"/>
    <x v="16"/>
    <x v="0"/>
    <x v="1"/>
    <x v="1"/>
    <x v="1"/>
    <x v="0"/>
    <x v="0"/>
    <x v="453"/>
    <x v="0"/>
    <x v="11"/>
    <x v="10"/>
  </r>
  <r>
    <x v="810"/>
    <x v="278"/>
    <x v="38"/>
    <x v="76"/>
    <x v="64"/>
    <x v="2"/>
    <x v="0"/>
    <x v="4"/>
    <x v="8"/>
    <x v="3"/>
    <x v="5"/>
    <x v="31"/>
    <x v="26"/>
    <x v="8"/>
    <x v="46"/>
    <x v="282"/>
    <x v="1"/>
    <x v="5"/>
    <x v="1"/>
    <x v="0"/>
    <x v="1"/>
    <x v="1"/>
    <x v="0"/>
    <x v="0"/>
    <x v="46"/>
    <x v="0"/>
    <x v="11"/>
    <x v="10"/>
  </r>
  <r>
    <x v="811"/>
    <x v="168"/>
    <x v="72"/>
    <x v="1"/>
    <x v="9"/>
    <x v="3"/>
    <x v="0"/>
    <x v="17"/>
    <x v="36"/>
    <x v="2"/>
    <x v="42"/>
    <x v="91"/>
    <x v="202"/>
    <x v="57"/>
    <x v="288"/>
    <x v="100"/>
    <x v="0"/>
    <x v="11"/>
    <x v="1"/>
    <x v="1"/>
    <x v="0"/>
    <x v="1"/>
    <x v="0"/>
    <x v="1"/>
    <x v="0"/>
    <x v="0"/>
    <x v="11"/>
    <x v="10"/>
  </r>
  <r>
    <x v="812"/>
    <x v="330"/>
    <x v="33"/>
    <x v="6"/>
    <x v="46"/>
    <x v="3"/>
    <x v="0"/>
    <x v="12"/>
    <x v="25"/>
    <x v="2"/>
    <x v="27"/>
    <x v="62"/>
    <x v="137"/>
    <x v="37"/>
    <x v="227"/>
    <x v="194"/>
    <x v="1"/>
    <x v="9"/>
    <x v="0"/>
    <x v="1"/>
    <x v="1"/>
    <x v="1"/>
    <x v="0"/>
    <x v="4"/>
    <x v="219"/>
    <x v="0"/>
    <x v="11"/>
    <x v="10"/>
  </r>
  <r>
    <x v="813"/>
    <x v="295"/>
    <x v="85"/>
    <x v="85"/>
    <x v="35"/>
    <x v="2"/>
    <x v="0"/>
    <x v="1"/>
    <x v="2"/>
    <x v="4"/>
    <x v="1"/>
    <x v="20"/>
    <x v="6"/>
    <x v="2"/>
    <x v="4"/>
    <x v="280"/>
    <x v="1"/>
    <x v="17"/>
    <x v="0"/>
    <x v="0"/>
    <x v="1"/>
    <x v="1"/>
    <x v="0"/>
    <x v="3"/>
    <x v="5"/>
    <x v="0"/>
    <x v="11"/>
    <x v="10"/>
  </r>
  <r>
    <x v="814"/>
    <x v="84"/>
    <x v="71"/>
    <x v="20"/>
    <x v="40"/>
    <x v="4"/>
    <x v="0"/>
    <x v="17"/>
    <x v="32"/>
    <x v="1"/>
    <x v="42"/>
    <x v="47"/>
    <x v="209"/>
    <x v="50"/>
    <x v="409"/>
    <x v="233"/>
    <x v="1"/>
    <x v="16"/>
    <x v="1"/>
    <x v="1"/>
    <x v="1"/>
    <x v="1"/>
    <x v="0"/>
    <x v="4"/>
    <x v="394"/>
    <x v="0"/>
    <x v="11"/>
    <x v="10"/>
  </r>
  <r>
    <x v="815"/>
    <x v="39"/>
    <x v="118"/>
    <x v="82"/>
    <x v="67"/>
    <x v="2"/>
    <x v="0"/>
    <x v="5"/>
    <x v="12"/>
    <x v="2"/>
    <x v="7"/>
    <x v="21"/>
    <x v="40"/>
    <x v="14"/>
    <x v="58"/>
    <x v="220"/>
    <x v="2"/>
    <x v="19"/>
    <x v="1"/>
    <x v="1"/>
    <x v="2"/>
    <x v="1"/>
    <x v="0"/>
    <x v="2"/>
    <x v="57"/>
    <x v="0"/>
    <x v="11"/>
    <x v="10"/>
  </r>
  <r>
    <x v="816"/>
    <x v="213"/>
    <x v="137"/>
    <x v="60"/>
    <x v="68"/>
    <x v="6"/>
    <x v="1"/>
    <x v="5"/>
    <x v="9"/>
    <x v="2"/>
    <x v="19"/>
    <x v="49"/>
    <x v="102"/>
    <x v="24"/>
    <x v="225"/>
    <x v="297"/>
    <x v="1"/>
    <x v="19"/>
    <x v="0"/>
    <x v="0"/>
    <x v="1"/>
    <x v="1"/>
    <x v="0"/>
    <x v="4"/>
    <x v="217"/>
    <x v="0"/>
    <x v="11"/>
    <x v="10"/>
  </r>
  <r>
    <x v="817"/>
    <x v="147"/>
    <x v="105"/>
    <x v="68"/>
    <x v="80"/>
    <x v="6"/>
    <x v="0"/>
    <x v="12"/>
    <x v="27"/>
    <x v="0"/>
    <x v="27"/>
    <x v="0"/>
    <x v="151"/>
    <x v="39"/>
    <x v="286"/>
    <x v="226"/>
    <x v="1"/>
    <x v="17"/>
    <x v="1"/>
    <x v="2"/>
    <x v="1"/>
    <x v="1"/>
    <x v="0"/>
    <x v="4"/>
    <x v="277"/>
    <x v="0"/>
    <x v="11"/>
    <x v="10"/>
  </r>
  <r>
    <x v="818"/>
    <x v="77"/>
    <x v="287"/>
    <x v="99"/>
    <x v="16"/>
    <x v="0"/>
    <x v="1"/>
    <x v="22"/>
    <x v="46"/>
    <x v="1"/>
    <x v="91"/>
    <x v="133"/>
    <x v="399"/>
    <x v="105"/>
    <x v="599"/>
    <x v="68"/>
    <x v="1"/>
    <x v="13"/>
    <x v="1"/>
    <x v="2"/>
    <x v="1"/>
    <x v="1"/>
    <x v="0"/>
    <x v="4"/>
    <x v="574"/>
    <x v="0"/>
    <x v="11"/>
    <x v="10"/>
  </r>
  <r>
    <x v="819"/>
    <x v="123"/>
    <x v="285"/>
    <x v="21"/>
    <x v="93"/>
    <x v="4"/>
    <x v="1"/>
    <x v="7"/>
    <x v="14"/>
    <x v="3"/>
    <x v="26"/>
    <x v="88"/>
    <x v="125"/>
    <x v="33"/>
    <x v="248"/>
    <x v="251"/>
    <x v="1"/>
    <x v="10"/>
    <x v="0"/>
    <x v="2"/>
    <x v="1"/>
    <x v="1"/>
    <x v="0"/>
    <x v="4"/>
    <x v="240"/>
    <x v="0"/>
    <x v="11"/>
    <x v="10"/>
  </r>
  <r>
    <x v="820"/>
    <x v="30"/>
    <x v="152"/>
    <x v="27"/>
    <x v="78"/>
    <x v="4"/>
    <x v="1"/>
    <x v="19"/>
    <x v="38"/>
    <x v="0"/>
    <x v="78"/>
    <x v="0"/>
    <x v="367"/>
    <x v="84"/>
    <x v="615"/>
    <x v="200"/>
    <x v="1"/>
    <x v="2"/>
    <x v="1"/>
    <x v="0"/>
    <x v="1"/>
    <x v="1"/>
    <x v="0"/>
    <x v="4"/>
    <x v="586"/>
    <x v="0"/>
    <x v="11"/>
    <x v="10"/>
  </r>
  <r>
    <x v="821"/>
    <x v="106"/>
    <x v="225"/>
    <x v="31"/>
    <x v="94"/>
    <x v="5"/>
    <x v="2"/>
    <x v="5"/>
    <x v="9"/>
    <x v="1"/>
    <x v="31"/>
    <x v="34"/>
    <x v="170"/>
    <x v="36"/>
    <x v="390"/>
    <x v="310"/>
    <x v="1"/>
    <x v="10"/>
    <x v="1"/>
    <x v="2"/>
    <x v="1"/>
    <x v="1"/>
    <x v="0"/>
    <x v="4"/>
    <x v="376"/>
    <x v="0"/>
    <x v="11"/>
    <x v="10"/>
  </r>
  <r>
    <x v="822"/>
    <x v="299"/>
    <x v="197"/>
    <x v="12"/>
    <x v="56"/>
    <x v="3"/>
    <x v="3"/>
    <x v="9"/>
    <x v="22"/>
    <x v="1"/>
    <x v="66"/>
    <x v="83"/>
    <x v="313"/>
    <x v="78"/>
    <x v="514"/>
    <x v="124"/>
    <x v="4"/>
    <x v="19"/>
    <x v="0"/>
    <x v="1"/>
    <x v="2"/>
    <x v="1"/>
    <x v="0"/>
    <x v="3"/>
    <x v="492"/>
    <x v="0"/>
    <x v="11"/>
    <x v="10"/>
  </r>
  <r>
    <x v="823"/>
    <x v="314"/>
    <x v="23"/>
    <x v="80"/>
    <x v="82"/>
    <x v="2"/>
    <x v="0"/>
    <x v="0"/>
    <x v="0"/>
    <x v="3"/>
    <x v="0"/>
    <x v="9"/>
    <x v="1"/>
    <x v="0"/>
    <x v="1"/>
    <x v="331"/>
    <x v="1"/>
    <x v="8"/>
    <x v="1"/>
    <x v="1"/>
    <x v="1"/>
    <x v="1"/>
    <x v="0"/>
    <x v="4"/>
    <x v="2"/>
    <x v="0"/>
    <x v="11"/>
    <x v="10"/>
  </r>
  <r>
    <x v="824"/>
    <x v="279"/>
    <x v="157"/>
    <x v="11"/>
    <x v="15"/>
    <x v="3"/>
    <x v="1"/>
    <x v="8"/>
    <x v="17"/>
    <x v="2"/>
    <x v="32"/>
    <x v="72"/>
    <x v="161"/>
    <x v="41"/>
    <x v="324"/>
    <x v="238"/>
    <x v="2"/>
    <x v="19"/>
    <x v="0"/>
    <x v="1"/>
    <x v="2"/>
    <x v="1"/>
    <x v="0"/>
    <x v="2"/>
    <x v="312"/>
    <x v="0"/>
    <x v="11"/>
    <x v="10"/>
  </r>
  <r>
    <x v="825"/>
    <x v="199"/>
    <x v="258"/>
    <x v="78"/>
    <x v="1"/>
    <x v="2"/>
    <x v="0"/>
    <x v="9"/>
    <x v="20"/>
    <x v="0"/>
    <x v="16"/>
    <x v="0"/>
    <x v="99"/>
    <x v="29"/>
    <x v="178"/>
    <x v="224"/>
    <x v="3"/>
    <x v="6"/>
    <x v="1"/>
    <x v="2"/>
    <x v="3"/>
    <x v="1"/>
    <x v="0"/>
    <x v="3"/>
    <x v="0"/>
    <x v="0"/>
    <x v="11"/>
    <x v="10"/>
  </r>
  <r>
    <x v="826"/>
    <x v="353"/>
    <x v="272"/>
    <x v="46"/>
    <x v="85"/>
    <x v="1"/>
    <x v="0"/>
    <x v="5"/>
    <x v="11"/>
    <x v="4"/>
    <x v="7"/>
    <x v="49"/>
    <x v="33"/>
    <x v="13"/>
    <x v="33"/>
    <x v="196"/>
    <x v="1"/>
    <x v="2"/>
    <x v="2"/>
    <x v="1"/>
    <x v="1"/>
    <x v="1"/>
    <x v="0"/>
    <x v="4"/>
    <x v="34"/>
    <x v="0"/>
    <x v="11"/>
    <x v="10"/>
  </r>
  <r>
    <x v="827"/>
    <x v="298"/>
    <x v="6"/>
    <x v="14"/>
    <x v="65"/>
    <x v="3"/>
    <x v="3"/>
    <x v="24"/>
    <x v="49"/>
    <x v="1"/>
    <x v="114"/>
    <x v="217"/>
    <x v="448"/>
    <x v="129"/>
    <x v="674"/>
    <x v="33"/>
    <x v="1"/>
    <x v="17"/>
    <x v="1"/>
    <x v="0"/>
    <x v="1"/>
    <x v="0"/>
    <x v="0"/>
    <x v="3"/>
    <x v="636"/>
    <x v="0"/>
    <x v="11"/>
    <x v="10"/>
  </r>
  <r>
    <x v="828"/>
    <x v="41"/>
    <x v="67"/>
    <x v="82"/>
    <x v="67"/>
    <x v="2"/>
    <x v="0"/>
    <x v="5"/>
    <x v="12"/>
    <x v="2"/>
    <x v="7"/>
    <x v="21"/>
    <x v="40"/>
    <x v="14"/>
    <x v="58"/>
    <x v="220"/>
    <x v="2"/>
    <x v="10"/>
    <x v="1"/>
    <x v="1"/>
    <x v="2"/>
    <x v="1"/>
    <x v="0"/>
    <x v="2"/>
    <x v="57"/>
    <x v="0"/>
    <x v="11"/>
    <x v="10"/>
  </r>
  <r>
    <x v="829"/>
    <x v="53"/>
    <x v="263"/>
    <x v="18"/>
    <x v="71"/>
    <x v="4"/>
    <x v="0"/>
    <x v="20"/>
    <x v="40"/>
    <x v="4"/>
    <x v="54"/>
    <x v="169"/>
    <x v="231"/>
    <x v="67"/>
    <x v="290"/>
    <x v="60"/>
    <x v="4"/>
    <x v="12"/>
    <x v="1"/>
    <x v="2"/>
    <x v="2"/>
    <x v="1"/>
    <x v="0"/>
    <x v="4"/>
    <x v="281"/>
    <x v="0"/>
    <x v="11"/>
    <x v="10"/>
  </r>
  <r>
    <x v="830"/>
    <x v="340"/>
    <x v="172"/>
    <x v="79"/>
    <x v="12"/>
    <x v="2"/>
    <x v="0"/>
    <x v="8"/>
    <x v="18"/>
    <x v="2"/>
    <x v="14"/>
    <x v="35"/>
    <x v="73"/>
    <x v="24"/>
    <x v="105"/>
    <x v="169"/>
    <x v="1"/>
    <x v="2"/>
    <x v="1"/>
    <x v="0"/>
    <x v="1"/>
    <x v="1"/>
    <x v="0"/>
    <x v="0"/>
    <x v="101"/>
    <x v="0"/>
    <x v="11"/>
    <x v="10"/>
  </r>
  <r>
    <x v="831"/>
    <x v="91"/>
    <x v="23"/>
    <x v="65"/>
    <x v="36"/>
    <x v="6"/>
    <x v="4"/>
    <x v="7"/>
    <x v="14"/>
    <x v="2"/>
    <x v="62"/>
    <x v="131"/>
    <x v="286"/>
    <x v="63"/>
    <x v="548"/>
    <x v="276"/>
    <x v="1"/>
    <x v="8"/>
    <x v="1"/>
    <x v="2"/>
    <x v="1"/>
    <x v="1"/>
    <x v="0"/>
    <x v="0"/>
    <x v="525"/>
    <x v="0"/>
    <x v="11"/>
    <x v="10"/>
  </r>
  <r>
    <x v="832"/>
    <x v="316"/>
    <x v="245"/>
    <x v="16"/>
    <x v="22"/>
    <x v="4"/>
    <x v="0"/>
    <x v="15"/>
    <x v="31"/>
    <x v="1"/>
    <x v="35"/>
    <x v="38"/>
    <x v="183"/>
    <x v="47"/>
    <x v="337"/>
    <x v="206"/>
    <x v="1"/>
    <x v="10"/>
    <x v="1"/>
    <x v="0"/>
    <x v="1"/>
    <x v="1"/>
    <x v="0"/>
    <x v="4"/>
    <x v="324"/>
    <x v="0"/>
    <x v="11"/>
    <x v="10"/>
  </r>
  <r>
    <x v="833"/>
    <x v="285"/>
    <x v="192"/>
    <x v="2"/>
    <x v="77"/>
    <x v="3"/>
    <x v="0"/>
    <x v="22"/>
    <x v="44"/>
    <x v="5"/>
    <x v="63"/>
    <x v="201"/>
    <x v="256"/>
    <x v="74"/>
    <x v="231"/>
    <x v="19"/>
    <x v="1"/>
    <x v="2"/>
    <x v="1"/>
    <x v="1"/>
    <x v="1"/>
    <x v="1"/>
    <x v="0"/>
    <x v="0"/>
    <x v="223"/>
    <x v="0"/>
    <x v="11"/>
    <x v="10"/>
  </r>
  <r>
    <x v="834"/>
    <x v="269"/>
    <x v="135"/>
    <x v="41"/>
    <x v="6"/>
    <x v="5"/>
    <x v="1"/>
    <x v="10"/>
    <x v="21"/>
    <x v="0"/>
    <x v="44"/>
    <x v="0"/>
    <x v="228"/>
    <x v="51"/>
    <x v="460"/>
    <x v="270"/>
    <x v="1"/>
    <x v="15"/>
    <x v="1"/>
    <x v="0"/>
    <x v="1"/>
    <x v="1"/>
    <x v="0"/>
    <x v="0"/>
    <x v="443"/>
    <x v="0"/>
    <x v="11"/>
    <x v="10"/>
  </r>
  <r>
    <x v="835"/>
    <x v="34"/>
    <x v="197"/>
    <x v="53"/>
    <x v="29"/>
    <x v="1"/>
    <x v="0"/>
    <x v="3"/>
    <x v="6"/>
    <x v="1"/>
    <x v="4"/>
    <x v="5"/>
    <x v="25"/>
    <x v="6"/>
    <x v="51"/>
    <x v="315"/>
    <x v="3"/>
    <x v="19"/>
    <x v="0"/>
    <x v="2"/>
    <x v="3"/>
    <x v="1"/>
    <x v="0"/>
    <x v="3"/>
    <x v="0"/>
    <x v="0"/>
    <x v="11"/>
    <x v="10"/>
  </r>
  <r>
    <x v="836"/>
    <x v="317"/>
    <x v="96"/>
    <x v="81"/>
    <x v="31"/>
    <x v="2"/>
    <x v="2"/>
    <x v="2"/>
    <x v="4"/>
    <x v="3"/>
    <x v="17"/>
    <x v="67"/>
    <x v="88"/>
    <x v="22"/>
    <x v="191"/>
    <x v="290"/>
    <x v="1"/>
    <x v="15"/>
    <x v="1"/>
    <x v="2"/>
    <x v="1"/>
    <x v="1"/>
    <x v="0"/>
    <x v="0"/>
    <x v="185"/>
    <x v="0"/>
    <x v="11"/>
    <x v="10"/>
  </r>
  <r>
    <x v="837"/>
    <x v="274"/>
    <x v="11"/>
    <x v="39"/>
    <x v="20"/>
    <x v="5"/>
    <x v="1"/>
    <x v="13"/>
    <x v="29"/>
    <x v="4"/>
    <x v="56"/>
    <x v="171"/>
    <x v="243"/>
    <x v="67"/>
    <x v="378"/>
    <x v="106"/>
    <x v="4"/>
    <x v="16"/>
    <x v="1"/>
    <x v="1"/>
    <x v="2"/>
    <x v="1"/>
    <x v="0"/>
    <x v="4"/>
    <x v="364"/>
    <x v="0"/>
    <x v="11"/>
    <x v="10"/>
  </r>
  <r>
    <x v="838"/>
    <x v="149"/>
    <x v="74"/>
    <x v="42"/>
    <x v="47"/>
    <x v="5"/>
    <x v="0"/>
    <x v="15"/>
    <x v="32"/>
    <x v="0"/>
    <x v="35"/>
    <x v="0"/>
    <x v="195"/>
    <x v="50"/>
    <x v="350"/>
    <x v="187"/>
    <x v="1"/>
    <x v="2"/>
    <x v="0"/>
    <x v="0"/>
    <x v="1"/>
    <x v="1"/>
    <x v="0"/>
    <x v="0"/>
    <x v="337"/>
    <x v="0"/>
    <x v="11"/>
    <x v="10"/>
  </r>
  <r>
    <x v="839"/>
    <x v="227"/>
    <x v="152"/>
    <x v="44"/>
    <x v="53"/>
    <x v="5"/>
    <x v="0"/>
    <x v="6"/>
    <x v="12"/>
    <x v="1"/>
    <x v="9"/>
    <x v="10"/>
    <x v="56"/>
    <x v="14"/>
    <x v="111"/>
    <x v="294"/>
    <x v="0"/>
    <x v="2"/>
    <x v="1"/>
    <x v="1"/>
    <x v="0"/>
    <x v="1"/>
    <x v="0"/>
    <x v="1"/>
    <x v="0"/>
    <x v="0"/>
    <x v="11"/>
    <x v="10"/>
  </r>
  <r>
    <x v="840"/>
    <x v="35"/>
    <x v="249"/>
    <x v="2"/>
    <x v="77"/>
    <x v="3"/>
    <x v="1"/>
    <x v="22"/>
    <x v="44"/>
    <x v="4"/>
    <x v="91"/>
    <x v="227"/>
    <x v="383"/>
    <x v="101"/>
    <x v="522"/>
    <x v="38"/>
    <x v="1"/>
    <x v="16"/>
    <x v="1"/>
    <x v="0"/>
    <x v="1"/>
    <x v="1"/>
    <x v="0"/>
    <x v="3"/>
    <x v="499"/>
    <x v="0"/>
    <x v="11"/>
    <x v="10"/>
  </r>
  <r>
    <x v="841"/>
    <x v="28"/>
    <x v="32"/>
    <x v="86"/>
    <x v="11"/>
    <x v="2"/>
    <x v="0"/>
    <x v="6"/>
    <x v="14"/>
    <x v="5"/>
    <x v="9"/>
    <x v="68"/>
    <x v="35"/>
    <x v="17"/>
    <x v="27"/>
    <x v="134"/>
    <x v="4"/>
    <x v="11"/>
    <x v="2"/>
    <x v="2"/>
    <x v="2"/>
    <x v="1"/>
    <x v="0"/>
    <x v="3"/>
    <x v="28"/>
    <x v="0"/>
    <x v="11"/>
    <x v="10"/>
  </r>
  <r>
    <x v="842"/>
    <x v="352"/>
    <x v="68"/>
    <x v="9"/>
    <x v="95"/>
    <x v="3"/>
    <x v="2"/>
    <x v="19"/>
    <x v="39"/>
    <x v="1"/>
    <x v="93"/>
    <x v="138"/>
    <x v="407"/>
    <x v="104"/>
    <x v="641"/>
    <x v="117"/>
    <x v="0"/>
    <x v="0"/>
    <x v="0"/>
    <x v="1"/>
    <x v="0"/>
    <x v="2"/>
    <x v="0"/>
    <x v="1"/>
    <x v="0"/>
    <x v="0"/>
    <x v="11"/>
    <x v="10"/>
  </r>
  <r>
    <x v="843"/>
    <x v="341"/>
    <x v="240"/>
    <x v="97"/>
    <x v="81"/>
    <x v="0"/>
    <x v="1"/>
    <x v="12"/>
    <x v="29"/>
    <x v="4"/>
    <x v="53"/>
    <x v="168"/>
    <x v="229"/>
    <x v="67"/>
    <x v="284"/>
    <x v="59"/>
    <x v="1"/>
    <x v="1"/>
    <x v="0"/>
    <x v="0"/>
    <x v="1"/>
    <x v="1"/>
    <x v="0"/>
    <x v="3"/>
    <x v="275"/>
    <x v="0"/>
    <x v="11"/>
    <x v="10"/>
  </r>
  <r>
    <x v="844"/>
    <x v="173"/>
    <x v="30"/>
    <x v="45"/>
    <x v="30"/>
    <x v="1"/>
    <x v="0"/>
    <x v="7"/>
    <x v="15"/>
    <x v="1"/>
    <x v="11"/>
    <x v="12"/>
    <x v="64"/>
    <x v="18"/>
    <x v="119"/>
    <x v="260"/>
    <x v="1"/>
    <x v="7"/>
    <x v="1"/>
    <x v="1"/>
    <x v="1"/>
    <x v="1"/>
    <x v="0"/>
    <x v="0"/>
    <x v="115"/>
    <x v="0"/>
    <x v="11"/>
    <x v="10"/>
  </r>
  <r>
    <x v="845"/>
    <x v="304"/>
    <x v="157"/>
    <x v="11"/>
    <x v="15"/>
    <x v="3"/>
    <x v="3"/>
    <x v="8"/>
    <x v="17"/>
    <x v="0"/>
    <x v="59"/>
    <x v="0"/>
    <x v="296"/>
    <x v="64"/>
    <x v="567"/>
    <x v="285"/>
    <x v="1"/>
    <x v="19"/>
    <x v="0"/>
    <x v="0"/>
    <x v="1"/>
    <x v="1"/>
    <x v="0"/>
    <x v="0"/>
    <x v="544"/>
    <x v="0"/>
    <x v="11"/>
    <x v="10"/>
  </r>
  <r>
    <x v="846"/>
    <x v="349"/>
    <x v="98"/>
    <x v="45"/>
    <x v="30"/>
    <x v="1"/>
    <x v="1"/>
    <x v="7"/>
    <x v="15"/>
    <x v="5"/>
    <x v="26"/>
    <x v="131"/>
    <x v="107"/>
    <x v="35"/>
    <x v="153"/>
    <x v="143"/>
    <x v="1"/>
    <x v="19"/>
    <x v="0"/>
    <x v="1"/>
    <x v="1"/>
    <x v="1"/>
    <x v="0"/>
    <x v="3"/>
    <x v="147"/>
    <x v="0"/>
    <x v="11"/>
    <x v="10"/>
  </r>
  <r>
    <x v="847"/>
    <x v="249"/>
    <x v="294"/>
    <x v="37"/>
    <x v="51"/>
    <x v="5"/>
    <x v="0"/>
    <x v="8"/>
    <x v="17"/>
    <x v="2"/>
    <x v="14"/>
    <x v="35"/>
    <x v="73"/>
    <x v="21"/>
    <x v="137"/>
    <x v="238"/>
    <x v="4"/>
    <x v="18"/>
    <x v="0"/>
    <x v="1"/>
    <x v="2"/>
    <x v="1"/>
    <x v="0"/>
    <x v="0"/>
    <x v="131"/>
    <x v="0"/>
    <x v="11"/>
    <x v="10"/>
  </r>
  <r>
    <x v="848"/>
    <x v="139"/>
    <x v="85"/>
    <x v="51"/>
    <x v="52"/>
    <x v="1"/>
    <x v="0"/>
    <x v="2"/>
    <x v="4"/>
    <x v="3"/>
    <x v="2"/>
    <x v="19"/>
    <x v="13"/>
    <x v="4"/>
    <x v="16"/>
    <x v="290"/>
    <x v="1"/>
    <x v="17"/>
    <x v="0"/>
    <x v="1"/>
    <x v="1"/>
    <x v="1"/>
    <x v="0"/>
    <x v="3"/>
    <x v="17"/>
    <x v="0"/>
    <x v="11"/>
    <x v="10"/>
  </r>
  <r>
    <x v="849"/>
    <x v="99"/>
    <x v="21"/>
    <x v="4"/>
    <x v="66"/>
    <x v="3"/>
    <x v="0"/>
    <x v="14"/>
    <x v="31"/>
    <x v="3"/>
    <x v="33"/>
    <x v="104"/>
    <x v="154"/>
    <x v="47"/>
    <x v="194"/>
    <x v="94"/>
    <x v="1"/>
    <x v="14"/>
    <x v="1"/>
    <x v="1"/>
    <x v="1"/>
    <x v="1"/>
    <x v="0"/>
    <x v="3"/>
    <x v="188"/>
    <x v="0"/>
    <x v="11"/>
    <x v="10"/>
  </r>
  <r>
    <x v="850"/>
    <x v="331"/>
    <x v="137"/>
    <x v="42"/>
    <x v="47"/>
    <x v="5"/>
    <x v="0"/>
    <x v="15"/>
    <x v="32"/>
    <x v="1"/>
    <x v="35"/>
    <x v="38"/>
    <x v="183"/>
    <x v="50"/>
    <x v="307"/>
    <x v="160"/>
    <x v="1"/>
    <x v="19"/>
    <x v="0"/>
    <x v="2"/>
    <x v="1"/>
    <x v="1"/>
    <x v="0"/>
    <x v="0"/>
    <x v="296"/>
    <x v="0"/>
    <x v="11"/>
    <x v="10"/>
  </r>
  <r>
    <x v="851"/>
    <x v="105"/>
    <x v="288"/>
    <x v="27"/>
    <x v="78"/>
    <x v="4"/>
    <x v="1"/>
    <x v="19"/>
    <x v="38"/>
    <x v="3"/>
    <x v="78"/>
    <x v="192"/>
    <x v="338"/>
    <x v="84"/>
    <x v="534"/>
    <x v="113"/>
    <x v="4"/>
    <x v="7"/>
    <x v="1"/>
    <x v="0"/>
    <x v="2"/>
    <x v="1"/>
    <x v="0"/>
    <x v="4"/>
    <x v="511"/>
    <x v="0"/>
    <x v="11"/>
    <x v="10"/>
  </r>
  <r>
    <x v="852"/>
    <x v="70"/>
    <x v="28"/>
    <x v="13"/>
    <x v="41"/>
    <x v="3"/>
    <x v="2"/>
    <x v="6"/>
    <x v="12"/>
    <x v="1"/>
    <x v="36"/>
    <x v="40"/>
    <x v="194"/>
    <x v="42"/>
    <x v="416"/>
    <x v="294"/>
    <x v="4"/>
    <x v="0"/>
    <x v="1"/>
    <x v="1"/>
    <x v="2"/>
    <x v="1"/>
    <x v="0"/>
    <x v="3"/>
    <x v="401"/>
    <x v="0"/>
    <x v="11"/>
    <x v="10"/>
  </r>
  <r>
    <x v="853"/>
    <x v="212"/>
    <x v="235"/>
    <x v="20"/>
    <x v="40"/>
    <x v="4"/>
    <x v="1"/>
    <x v="17"/>
    <x v="32"/>
    <x v="0"/>
    <x v="70"/>
    <x v="0"/>
    <x v="332"/>
    <x v="72"/>
    <x v="603"/>
    <x v="258"/>
    <x v="0"/>
    <x v="15"/>
    <x v="1"/>
    <x v="0"/>
    <x v="0"/>
    <x v="1"/>
    <x v="0"/>
    <x v="1"/>
    <x v="0"/>
    <x v="0"/>
    <x v="11"/>
    <x v="10"/>
  </r>
  <r>
    <x v="854"/>
    <x v="146"/>
    <x v="13"/>
    <x v="47"/>
    <x v="74"/>
    <x v="1"/>
    <x v="2"/>
    <x v="4"/>
    <x v="9"/>
    <x v="3"/>
    <x v="28"/>
    <x v="92"/>
    <x v="131"/>
    <x v="36"/>
    <x v="243"/>
    <x v="217"/>
    <x v="1"/>
    <x v="9"/>
    <x v="1"/>
    <x v="0"/>
    <x v="1"/>
    <x v="1"/>
    <x v="0"/>
    <x v="4"/>
    <x v="235"/>
    <x v="0"/>
    <x v="11"/>
    <x v="10"/>
  </r>
  <r>
    <x v="855"/>
    <x v="254"/>
    <x v="116"/>
    <x v="41"/>
    <x v="6"/>
    <x v="5"/>
    <x v="0"/>
    <x v="10"/>
    <x v="21"/>
    <x v="5"/>
    <x v="20"/>
    <x v="111"/>
    <x v="85"/>
    <x v="30"/>
    <x v="107"/>
    <x v="126"/>
    <x v="2"/>
    <x v="15"/>
    <x v="1"/>
    <x v="1"/>
    <x v="2"/>
    <x v="1"/>
    <x v="0"/>
    <x v="2"/>
    <x v="103"/>
    <x v="0"/>
    <x v="11"/>
    <x v="10"/>
  </r>
  <r>
    <x v="856"/>
    <x v="175"/>
    <x v="228"/>
    <x v="55"/>
    <x v="37"/>
    <x v="1"/>
    <x v="0"/>
    <x v="15"/>
    <x v="34"/>
    <x v="3"/>
    <x v="35"/>
    <x v="106"/>
    <x v="164"/>
    <x v="52"/>
    <x v="182"/>
    <x v="65"/>
    <x v="1"/>
    <x v="7"/>
    <x v="0"/>
    <x v="0"/>
    <x v="1"/>
    <x v="1"/>
    <x v="0"/>
    <x v="3"/>
    <x v="176"/>
    <x v="0"/>
    <x v="11"/>
    <x v="10"/>
  </r>
  <r>
    <x v="857"/>
    <x v="271"/>
    <x v="206"/>
    <x v="56"/>
    <x v="17"/>
    <x v="1"/>
    <x v="0"/>
    <x v="1"/>
    <x v="1"/>
    <x v="4"/>
    <x v="1"/>
    <x v="20"/>
    <x v="6"/>
    <x v="1"/>
    <x v="5"/>
    <x v="303"/>
    <x v="1"/>
    <x v="0"/>
    <x v="1"/>
    <x v="0"/>
    <x v="1"/>
    <x v="1"/>
    <x v="0"/>
    <x v="3"/>
    <x v="6"/>
    <x v="0"/>
    <x v="11"/>
    <x v="10"/>
  </r>
  <r>
    <x v="858"/>
    <x v="217"/>
    <x v="287"/>
    <x v="35"/>
    <x v="24"/>
    <x v="5"/>
    <x v="0"/>
    <x v="17"/>
    <x v="35"/>
    <x v="0"/>
    <x v="42"/>
    <x v="0"/>
    <x v="217"/>
    <x v="55"/>
    <x v="398"/>
    <x v="195"/>
    <x v="1"/>
    <x v="13"/>
    <x v="1"/>
    <x v="1"/>
    <x v="1"/>
    <x v="1"/>
    <x v="0"/>
    <x v="4"/>
    <x v="384"/>
    <x v="0"/>
    <x v="11"/>
    <x v="10"/>
  </r>
  <r>
    <x v="859"/>
    <x v="339"/>
    <x v="216"/>
    <x v="97"/>
    <x v="81"/>
    <x v="0"/>
    <x v="1"/>
    <x v="12"/>
    <x v="29"/>
    <x v="3"/>
    <x v="53"/>
    <x v="143"/>
    <x v="237"/>
    <x v="67"/>
    <x v="347"/>
    <x v="87"/>
    <x v="1"/>
    <x v="5"/>
    <x v="0"/>
    <x v="1"/>
    <x v="1"/>
    <x v="1"/>
    <x v="0"/>
    <x v="4"/>
    <x v="334"/>
    <x v="0"/>
    <x v="11"/>
    <x v="10"/>
  </r>
  <r>
    <x v="860"/>
    <x v="336"/>
    <x v="90"/>
    <x v="42"/>
    <x v="47"/>
    <x v="5"/>
    <x v="0"/>
    <x v="15"/>
    <x v="32"/>
    <x v="3"/>
    <x v="35"/>
    <x v="106"/>
    <x v="164"/>
    <x v="50"/>
    <x v="220"/>
    <x v="96"/>
    <x v="1"/>
    <x v="16"/>
    <x v="0"/>
    <x v="0"/>
    <x v="1"/>
    <x v="1"/>
    <x v="0"/>
    <x v="3"/>
    <x v="212"/>
    <x v="0"/>
    <x v="11"/>
    <x v="10"/>
  </r>
  <r>
    <x v="861"/>
    <x v="314"/>
    <x v="173"/>
    <x v="76"/>
    <x v="64"/>
    <x v="2"/>
    <x v="0"/>
    <x v="4"/>
    <x v="8"/>
    <x v="0"/>
    <x v="5"/>
    <x v="0"/>
    <x v="38"/>
    <x v="8"/>
    <x v="92"/>
    <x v="323"/>
    <x v="1"/>
    <x v="3"/>
    <x v="0"/>
    <x v="2"/>
    <x v="1"/>
    <x v="1"/>
    <x v="0"/>
    <x v="3"/>
    <x v="90"/>
    <x v="0"/>
    <x v="11"/>
    <x v="10"/>
  </r>
  <r>
    <x v="862"/>
    <x v="92"/>
    <x v="149"/>
    <x v="24"/>
    <x v="44"/>
    <x v="4"/>
    <x v="0"/>
    <x v="16"/>
    <x v="33"/>
    <x v="4"/>
    <x v="39"/>
    <x v="140"/>
    <x v="166"/>
    <x v="51"/>
    <x v="213"/>
    <x v="90"/>
    <x v="4"/>
    <x v="16"/>
    <x v="1"/>
    <x v="2"/>
    <x v="2"/>
    <x v="1"/>
    <x v="0"/>
    <x v="0"/>
    <x v="206"/>
    <x v="0"/>
    <x v="11"/>
    <x v="10"/>
  </r>
  <r>
    <x v="863"/>
    <x v="173"/>
    <x v="101"/>
    <x v="59"/>
    <x v="99"/>
    <x v="6"/>
    <x v="0"/>
    <x v="10"/>
    <x v="20"/>
    <x v="2"/>
    <x v="20"/>
    <x v="50"/>
    <x v="104"/>
    <x v="29"/>
    <x v="193"/>
    <x v="237"/>
    <x v="1"/>
    <x v="1"/>
    <x v="1"/>
    <x v="1"/>
    <x v="1"/>
    <x v="1"/>
    <x v="0"/>
    <x v="0"/>
    <x v="187"/>
    <x v="0"/>
    <x v="11"/>
    <x v="10"/>
  </r>
  <r>
    <x v="864"/>
    <x v="143"/>
    <x v="267"/>
    <x v="30"/>
    <x v="83"/>
    <x v="5"/>
    <x v="2"/>
    <x v="9"/>
    <x v="18"/>
    <x v="3"/>
    <x v="55"/>
    <x v="147"/>
    <x v="244"/>
    <x v="59"/>
    <x v="462"/>
    <x v="218"/>
    <x v="1"/>
    <x v="13"/>
    <x v="1"/>
    <x v="1"/>
    <x v="1"/>
    <x v="1"/>
    <x v="0"/>
    <x v="0"/>
    <x v="445"/>
    <x v="0"/>
    <x v="11"/>
    <x v="10"/>
  </r>
  <r>
    <x v="865"/>
    <x v="246"/>
    <x v="136"/>
    <x v="44"/>
    <x v="53"/>
    <x v="5"/>
    <x v="1"/>
    <x v="6"/>
    <x v="12"/>
    <x v="5"/>
    <x v="22"/>
    <x v="121"/>
    <x v="94"/>
    <x v="30"/>
    <x v="156"/>
    <x v="192"/>
    <x v="1"/>
    <x v="5"/>
    <x v="1"/>
    <x v="1"/>
    <x v="1"/>
    <x v="1"/>
    <x v="0"/>
    <x v="0"/>
    <x v="150"/>
    <x v="0"/>
    <x v="11"/>
    <x v="10"/>
  </r>
  <r>
    <x v="866"/>
    <x v="254"/>
    <x v="108"/>
    <x v="69"/>
    <x v="48"/>
    <x v="6"/>
    <x v="0"/>
    <x v="6"/>
    <x v="12"/>
    <x v="4"/>
    <x v="9"/>
    <x v="54"/>
    <x v="41"/>
    <x v="14"/>
    <x v="59"/>
    <x v="221"/>
    <x v="4"/>
    <x v="13"/>
    <x v="0"/>
    <x v="0"/>
    <x v="2"/>
    <x v="1"/>
    <x v="0"/>
    <x v="0"/>
    <x v="58"/>
    <x v="0"/>
    <x v="11"/>
    <x v="10"/>
  </r>
  <r>
    <x v="867"/>
    <x v="168"/>
    <x v="134"/>
    <x v="22"/>
    <x v="79"/>
    <x v="4"/>
    <x v="0"/>
    <x v="4"/>
    <x v="7"/>
    <x v="3"/>
    <x v="5"/>
    <x v="31"/>
    <x v="26"/>
    <x v="7"/>
    <x v="54"/>
    <x v="304"/>
    <x v="1"/>
    <x v="18"/>
    <x v="0"/>
    <x v="0"/>
    <x v="1"/>
    <x v="1"/>
    <x v="0"/>
    <x v="4"/>
    <x v="53"/>
    <x v="0"/>
    <x v="11"/>
    <x v="10"/>
  </r>
  <r>
    <x v="868"/>
    <x v="157"/>
    <x v="28"/>
    <x v="82"/>
    <x v="67"/>
    <x v="2"/>
    <x v="0"/>
    <x v="5"/>
    <x v="12"/>
    <x v="1"/>
    <x v="7"/>
    <x v="8"/>
    <x v="45"/>
    <x v="14"/>
    <x v="75"/>
    <x v="244"/>
    <x v="1"/>
    <x v="0"/>
    <x v="1"/>
    <x v="1"/>
    <x v="1"/>
    <x v="1"/>
    <x v="0"/>
    <x v="3"/>
    <x v="74"/>
    <x v="0"/>
    <x v="11"/>
    <x v="10"/>
  </r>
  <r>
    <x v="869"/>
    <x v="53"/>
    <x v="66"/>
    <x v="28"/>
    <x v="73"/>
    <x v="4"/>
    <x v="1"/>
    <x v="3"/>
    <x v="5"/>
    <x v="1"/>
    <x v="13"/>
    <x v="15"/>
    <x v="77"/>
    <x v="17"/>
    <x v="192"/>
    <x v="332"/>
    <x v="1"/>
    <x v="17"/>
    <x v="2"/>
    <x v="1"/>
    <x v="1"/>
    <x v="1"/>
    <x v="0"/>
    <x v="4"/>
    <x v="186"/>
    <x v="0"/>
    <x v="11"/>
    <x v="10"/>
  </r>
  <r>
    <x v="870"/>
    <x v="279"/>
    <x v="183"/>
    <x v="59"/>
    <x v="99"/>
    <x v="6"/>
    <x v="1"/>
    <x v="10"/>
    <x v="20"/>
    <x v="2"/>
    <x v="44"/>
    <x v="94"/>
    <x v="212"/>
    <x v="50"/>
    <x v="414"/>
    <x v="237"/>
    <x v="1"/>
    <x v="12"/>
    <x v="0"/>
    <x v="0"/>
    <x v="1"/>
    <x v="1"/>
    <x v="0"/>
    <x v="3"/>
    <x v="399"/>
    <x v="0"/>
    <x v="11"/>
    <x v="10"/>
  </r>
  <r>
    <x v="871"/>
    <x v="93"/>
    <x v="281"/>
    <x v="81"/>
    <x v="31"/>
    <x v="2"/>
    <x v="1"/>
    <x v="2"/>
    <x v="4"/>
    <x v="3"/>
    <x v="10"/>
    <x v="44"/>
    <x v="54"/>
    <x v="14"/>
    <x v="108"/>
    <x v="290"/>
    <x v="1"/>
    <x v="8"/>
    <x v="1"/>
    <x v="1"/>
    <x v="1"/>
    <x v="1"/>
    <x v="0"/>
    <x v="0"/>
    <x v="104"/>
    <x v="0"/>
    <x v="11"/>
    <x v="10"/>
  </r>
  <r>
    <x v="872"/>
    <x v="36"/>
    <x v="274"/>
    <x v="39"/>
    <x v="20"/>
    <x v="5"/>
    <x v="2"/>
    <x v="13"/>
    <x v="29"/>
    <x v="1"/>
    <x v="73"/>
    <x v="96"/>
    <x v="340"/>
    <x v="79"/>
    <x v="588"/>
    <x v="204"/>
    <x v="3"/>
    <x v="18"/>
    <x v="2"/>
    <x v="2"/>
    <x v="3"/>
    <x v="1"/>
    <x v="0"/>
    <x v="4"/>
    <x v="0"/>
    <x v="0"/>
    <x v="11"/>
    <x v="10"/>
  </r>
  <r>
    <x v="873"/>
    <x v="329"/>
    <x v="5"/>
    <x v="6"/>
    <x v="46"/>
    <x v="3"/>
    <x v="4"/>
    <x v="12"/>
    <x v="25"/>
    <x v="5"/>
    <x v="90"/>
    <x v="237"/>
    <x v="372"/>
    <x v="93"/>
    <x v="565"/>
    <x v="92"/>
    <x v="1"/>
    <x v="12"/>
    <x v="1"/>
    <x v="0"/>
    <x v="1"/>
    <x v="1"/>
    <x v="0"/>
    <x v="4"/>
    <x v="542"/>
    <x v="0"/>
    <x v="11"/>
    <x v="10"/>
  </r>
  <r>
    <x v="874"/>
    <x v="90"/>
    <x v="164"/>
    <x v="70"/>
    <x v="27"/>
    <x v="6"/>
    <x v="1"/>
    <x v="9"/>
    <x v="19"/>
    <x v="1"/>
    <x v="38"/>
    <x v="42"/>
    <x v="196"/>
    <x v="46"/>
    <x v="393"/>
    <x v="240"/>
    <x v="4"/>
    <x v="17"/>
    <x v="1"/>
    <x v="2"/>
    <x v="2"/>
    <x v="1"/>
    <x v="0"/>
    <x v="4"/>
    <x v="379"/>
    <x v="0"/>
    <x v="11"/>
    <x v="10"/>
  </r>
  <r>
    <x v="875"/>
    <x v="335"/>
    <x v="290"/>
    <x v="38"/>
    <x v="92"/>
    <x v="5"/>
    <x v="1"/>
    <x v="9"/>
    <x v="18"/>
    <x v="3"/>
    <x v="38"/>
    <x v="117"/>
    <x v="175"/>
    <x v="45"/>
    <x v="339"/>
    <x v="218"/>
    <x v="1"/>
    <x v="11"/>
    <x v="2"/>
    <x v="0"/>
    <x v="1"/>
    <x v="1"/>
    <x v="0"/>
    <x v="0"/>
    <x v="326"/>
    <x v="0"/>
    <x v="11"/>
    <x v="10"/>
  </r>
  <r>
    <x v="876"/>
    <x v="51"/>
    <x v="227"/>
    <x v="44"/>
    <x v="53"/>
    <x v="5"/>
    <x v="1"/>
    <x v="6"/>
    <x v="12"/>
    <x v="1"/>
    <x v="22"/>
    <x v="25"/>
    <x v="128"/>
    <x v="30"/>
    <x v="280"/>
    <x v="294"/>
    <x v="1"/>
    <x v="13"/>
    <x v="0"/>
    <x v="1"/>
    <x v="1"/>
    <x v="1"/>
    <x v="0"/>
    <x v="4"/>
    <x v="271"/>
    <x v="0"/>
    <x v="11"/>
    <x v="10"/>
  </r>
  <r>
    <x v="877"/>
    <x v="329"/>
    <x v="137"/>
    <x v="0"/>
    <x v="97"/>
    <x v="3"/>
    <x v="0"/>
    <x v="11"/>
    <x v="26"/>
    <x v="0"/>
    <x v="23"/>
    <x v="0"/>
    <x v="136"/>
    <x v="38"/>
    <x v="215"/>
    <x v="176"/>
    <x v="2"/>
    <x v="19"/>
    <x v="0"/>
    <x v="2"/>
    <x v="2"/>
    <x v="1"/>
    <x v="0"/>
    <x v="2"/>
    <x v="208"/>
    <x v="0"/>
    <x v="11"/>
    <x v="10"/>
  </r>
  <r>
    <x v="878"/>
    <x v="131"/>
    <x v="55"/>
    <x v="85"/>
    <x v="35"/>
    <x v="2"/>
    <x v="1"/>
    <x v="1"/>
    <x v="2"/>
    <x v="1"/>
    <x v="6"/>
    <x v="7"/>
    <x v="44"/>
    <x v="10"/>
    <x v="102"/>
    <x v="325"/>
    <x v="1"/>
    <x v="3"/>
    <x v="1"/>
    <x v="2"/>
    <x v="1"/>
    <x v="1"/>
    <x v="0"/>
    <x v="4"/>
    <x v="98"/>
    <x v="0"/>
    <x v="11"/>
    <x v="10"/>
  </r>
  <r>
    <x v="879"/>
    <x v="83"/>
    <x v="270"/>
    <x v="5"/>
    <x v="98"/>
    <x v="3"/>
    <x v="0"/>
    <x v="9"/>
    <x v="18"/>
    <x v="0"/>
    <x v="16"/>
    <x v="0"/>
    <x v="99"/>
    <x v="24"/>
    <x v="210"/>
    <x v="288"/>
    <x v="1"/>
    <x v="11"/>
    <x v="1"/>
    <x v="2"/>
    <x v="1"/>
    <x v="1"/>
    <x v="0"/>
    <x v="3"/>
    <x v="203"/>
    <x v="0"/>
    <x v="11"/>
    <x v="10"/>
  </r>
  <r>
    <x v="880"/>
    <x v="163"/>
    <x v="291"/>
    <x v="85"/>
    <x v="35"/>
    <x v="2"/>
    <x v="1"/>
    <x v="1"/>
    <x v="2"/>
    <x v="5"/>
    <x v="6"/>
    <x v="58"/>
    <x v="28"/>
    <x v="10"/>
    <x v="38"/>
    <x v="255"/>
    <x v="1"/>
    <x v="9"/>
    <x v="1"/>
    <x v="1"/>
    <x v="1"/>
    <x v="1"/>
    <x v="0"/>
    <x v="0"/>
    <x v="39"/>
    <x v="0"/>
    <x v="11"/>
    <x v="10"/>
  </r>
  <r>
    <x v="881"/>
    <x v="328"/>
    <x v="189"/>
    <x v="1"/>
    <x v="9"/>
    <x v="3"/>
    <x v="0"/>
    <x v="17"/>
    <x v="36"/>
    <x v="2"/>
    <x v="42"/>
    <x v="91"/>
    <x v="202"/>
    <x v="57"/>
    <x v="288"/>
    <x v="100"/>
    <x v="0"/>
    <x v="16"/>
    <x v="1"/>
    <x v="0"/>
    <x v="0"/>
    <x v="1"/>
    <x v="0"/>
    <x v="1"/>
    <x v="0"/>
    <x v="0"/>
    <x v="11"/>
    <x v="10"/>
  </r>
  <r>
    <x v="882"/>
    <x v="271"/>
    <x v="22"/>
    <x v="71"/>
    <x v="88"/>
    <x v="6"/>
    <x v="0"/>
    <x v="5"/>
    <x v="10"/>
    <x v="2"/>
    <x v="7"/>
    <x v="21"/>
    <x v="40"/>
    <x v="12"/>
    <x v="76"/>
    <x v="274"/>
    <x v="1"/>
    <x v="1"/>
    <x v="1"/>
    <x v="0"/>
    <x v="1"/>
    <x v="1"/>
    <x v="0"/>
    <x v="3"/>
    <x v="75"/>
    <x v="0"/>
    <x v="11"/>
    <x v="10"/>
  </r>
  <r>
    <x v="883"/>
    <x v="26"/>
    <x v="144"/>
    <x v="86"/>
    <x v="11"/>
    <x v="2"/>
    <x v="3"/>
    <x v="6"/>
    <x v="14"/>
    <x v="3"/>
    <x v="47"/>
    <x v="135"/>
    <x v="222"/>
    <x v="55"/>
    <x v="410"/>
    <x v="208"/>
    <x v="1"/>
    <x v="17"/>
    <x v="1"/>
    <x v="1"/>
    <x v="1"/>
    <x v="1"/>
    <x v="0"/>
    <x v="0"/>
    <x v="395"/>
    <x v="0"/>
    <x v="11"/>
    <x v="10"/>
  </r>
  <r>
    <x v="884"/>
    <x v="45"/>
    <x v="228"/>
    <x v="28"/>
    <x v="73"/>
    <x v="4"/>
    <x v="0"/>
    <x v="3"/>
    <x v="5"/>
    <x v="1"/>
    <x v="4"/>
    <x v="5"/>
    <x v="25"/>
    <x v="5"/>
    <x v="63"/>
    <x v="332"/>
    <x v="2"/>
    <x v="7"/>
    <x v="0"/>
    <x v="1"/>
    <x v="2"/>
    <x v="1"/>
    <x v="0"/>
    <x v="2"/>
    <x v="62"/>
    <x v="0"/>
    <x v="11"/>
    <x v="10"/>
  </r>
  <r>
    <x v="885"/>
    <x v="215"/>
    <x v="5"/>
    <x v="36"/>
    <x v="63"/>
    <x v="5"/>
    <x v="0"/>
    <x v="10"/>
    <x v="20"/>
    <x v="1"/>
    <x v="20"/>
    <x v="22"/>
    <x v="111"/>
    <x v="29"/>
    <x v="222"/>
    <x v="262"/>
    <x v="3"/>
    <x v="12"/>
    <x v="1"/>
    <x v="1"/>
    <x v="3"/>
    <x v="1"/>
    <x v="0"/>
    <x v="4"/>
    <x v="0"/>
    <x v="0"/>
    <x v="11"/>
    <x v="10"/>
  </r>
  <r>
    <x v="886"/>
    <x v="332"/>
    <x v="223"/>
    <x v="67"/>
    <x v="21"/>
    <x v="6"/>
    <x v="0"/>
    <x v="4"/>
    <x v="7"/>
    <x v="2"/>
    <x v="5"/>
    <x v="17"/>
    <x v="31"/>
    <x v="7"/>
    <x v="71"/>
    <x v="317"/>
    <x v="1"/>
    <x v="12"/>
    <x v="1"/>
    <x v="1"/>
    <x v="1"/>
    <x v="1"/>
    <x v="0"/>
    <x v="4"/>
    <x v="70"/>
    <x v="0"/>
    <x v="11"/>
    <x v="10"/>
  </r>
  <r>
    <x v="887"/>
    <x v="324"/>
    <x v="82"/>
    <x v="33"/>
    <x v="87"/>
    <x v="5"/>
    <x v="0"/>
    <x v="11"/>
    <x v="23"/>
    <x v="0"/>
    <x v="23"/>
    <x v="0"/>
    <x v="136"/>
    <x v="34"/>
    <x v="274"/>
    <x v="257"/>
    <x v="1"/>
    <x v="8"/>
    <x v="1"/>
    <x v="1"/>
    <x v="1"/>
    <x v="1"/>
    <x v="0"/>
    <x v="4"/>
    <x v="265"/>
    <x v="0"/>
    <x v="11"/>
    <x v="10"/>
  </r>
  <r>
    <x v="888"/>
    <x v="146"/>
    <x v="175"/>
    <x v="48"/>
    <x v="28"/>
    <x v="1"/>
    <x v="0"/>
    <x v="3"/>
    <x v="7"/>
    <x v="3"/>
    <x v="4"/>
    <x v="24"/>
    <x v="20"/>
    <x v="7"/>
    <x v="26"/>
    <x v="248"/>
    <x v="1"/>
    <x v="15"/>
    <x v="2"/>
    <x v="0"/>
    <x v="1"/>
    <x v="1"/>
    <x v="0"/>
    <x v="0"/>
    <x v="27"/>
    <x v="0"/>
    <x v="11"/>
    <x v="10"/>
  </r>
  <r>
    <x v="889"/>
    <x v="74"/>
    <x v="248"/>
    <x v="22"/>
    <x v="79"/>
    <x v="4"/>
    <x v="4"/>
    <x v="4"/>
    <x v="7"/>
    <x v="1"/>
    <x v="46"/>
    <x v="52"/>
    <x v="235"/>
    <x v="45"/>
    <x v="515"/>
    <x v="328"/>
    <x v="3"/>
    <x v="7"/>
    <x v="1"/>
    <x v="2"/>
    <x v="3"/>
    <x v="1"/>
    <x v="0"/>
    <x v="4"/>
    <x v="0"/>
    <x v="0"/>
    <x v="11"/>
    <x v="10"/>
  </r>
  <r>
    <x v="890"/>
    <x v="83"/>
    <x v="257"/>
    <x v="67"/>
    <x v="21"/>
    <x v="6"/>
    <x v="4"/>
    <x v="4"/>
    <x v="7"/>
    <x v="1"/>
    <x v="46"/>
    <x v="52"/>
    <x v="235"/>
    <x v="45"/>
    <x v="515"/>
    <x v="328"/>
    <x v="0"/>
    <x v="19"/>
    <x v="1"/>
    <x v="2"/>
    <x v="0"/>
    <x v="1"/>
    <x v="0"/>
    <x v="1"/>
    <x v="0"/>
    <x v="0"/>
    <x v="11"/>
    <x v="10"/>
  </r>
  <r>
    <x v="891"/>
    <x v="230"/>
    <x v="22"/>
    <x v="12"/>
    <x v="56"/>
    <x v="3"/>
    <x v="0"/>
    <x v="9"/>
    <x v="22"/>
    <x v="2"/>
    <x v="16"/>
    <x v="42"/>
    <x v="87"/>
    <x v="33"/>
    <x v="99"/>
    <x v="95"/>
    <x v="1"/>
    <x v="1"/>
    <x v="1"/>
    <x v="2"/>
    <x v="1"/>
    <x v="1"/>
    <x v="0"/>
    <x v="0"/>
    <x v="96"/>
    <x v="0"/>
    <x v="11"/>
    <x v="10"/>
  </r>
  <r>
    <x v="892"/>
    <x v="101"/>
    <x v="76"/>
    <x v="32"/>
    <x v="7"/>
    <x v="5"/>
    <x v="1"/>
    <x v="14"/>
    <x v="30"/>
    <x v="0"/>
    <x v="61"/>
    <x v="0"/>
    <x v="299"/>
    <x v="68"/>
    <x v="542"/>
    <x v="228"/>
    <x v="1"/>
    <x v="15"/>
    <x v="0"/>
    <x v="2"/>
    <x v="1"/>
    <x v="1"/>
    <x v="0"/>
    <x v="4"/>
    <x v="519"/>
    <x v="0"/>
    <x v="11"/>
    <x v="10"/>
  </r>
  <r>
    <x v="893"/>
    <x v="256"/>
    <x v="108"/>
    <x v="88"/>
    <x v="57"/>
    <x v="0"/>
    <x v="1"/>
    <x v="22"/>
    <x v="45"/>
    <x v="2"/>
    <x v="91"/>
    <x v="186"/>
    <x v="395"/>
    <x v="103"/>
    <x v="572"/>
    <x v="58"/>
    <x v="1"/>
    <x v="13"/>
    <x v="0"/>
    <x v="1"/>
    <x v="1"/>
    <x v="1"/>
    <x v="0"/>
    <x v="0"/>
    <x v="549"/>
    <x v="0"/>
    <x v="11"/>
    <x v="10"/>
  </r>
  <r>
    <x v="894"/>
    <x v="351"/>
    <x v="161"/>
    <x v="90"/>
    <x v="69"/>
    <x v="0"/>
    <x v="0"/>
    <x v="20"/>
    <x v="41"/>
    <x v="3"/>
    <x v="54"/>
    <x v="146"/>
    <x v="238"/>
    <x v="68"/>
    <x v="289"/>
    <x v="49"/>
    <x v="1"/>
    <x v="8"/>
    <x v="1"/>
    <x v="0"/>
    <x v="1"/>
    <x v="1"/>
    <x v="0"/>
    <x v="0"/>
    <x v="280"/>
    <x v="0"/>
    <x v="11"/>
    <x v="10"/>
  </r>
  <r>
    <x v="895"/>
    <x v="343"/>
    <x v="260"/>
    <x v="41"/>
    <x v="6"/>
    <x v="5"/>
    <x v="3"/>
    <x v="10"/>
    <x v="21"/>
    <x v="5"/>
    <x v="71"/>
    <x v="213"/>
    <x v="297"/>
    <x v="73"/>
    <x v="484"/>
    <x v="126"/>
    <x v="1"/>
    <x v="1"/>
    <x v="2"/>
    <x v="0"/>
    <x v="1"/>
    <x v="1"/>
    <x v="0"/>
    <x v="3"/>
    <x v="465"/>
    <x v="0"/>
    <x v="11"/>
    <x v="10"/>
  </r>
  <r>
    <x v="896"/>
    <x v="87"/>
    <x v="126"/>
    <x v="99"/>
    <x v="16"/>
    <x v="0"/>
    <x v="2"/>
    <x v="22"/>
    <x v="46"/>
    <x v="2"/>
    <x v="102"/>
    <x v="211"/>
    <x v="426"/>
    <x v="115"/>
    <x v="638"/>
    <x v="46"/>
    <x v="1"/>
    <x v="10"/>
    <x v="1"/>
    <x v="0"/>
    <x v="1"/>
    <x v="2"/>
    <x v="0"/>
    <x v="4"/>
    <x v="608"/>
    <x v="0"/>
    <x v="11"/>
    <x v="10"/>
  </r>
  <r>
    <x v="897"/>
    <x v="84"/>
    <x v="253"/>
    <x v="4"/>
    <x v="66"/>
    <x v="3"/>
    <x v="2"/>
    <x v="14"/>
    <x v="31"/>
    <x v="2"/>
    <x v="77"/>
    <x v="160"/>
    <x v="346"/>
    <x v="86"/>
    <x v="557"/>
    <x v="125"/>
    <x v="2"/>
    <x v="3"/>
    <x v="2"/>
    <x v="0"/>
    <x v="2"/>
    <x v="1"/>
    <x v="0"/>
    <x v="2"/>
    <x v="534"/>
    <x v="0"/>
    <x v="11"/>
    <x v="10"/>
  </r>
  <r>
    <x v="898"/>
    <x v="67"/>
    <x v="296"/>
    <x v="43"/>
    <x v="25"/>
    <x v="5"/>
    <x v="1"/>
    <x v="3"/>
    <x v="5"/>
    <x v="3"/>
    <x v="13"/>
    <x v="53"/>
    <x v="69"/>
    <x v="17"/>
    <x v="152"/>
    <x v="312"/>
    <x v="4"/>
    <x v="5"/>
    <x v="1"/>
    <x v="2"/>
    <x v="2"/>
    <x v="1"/>
    <x v="0"/>
    <x v="3"/>
    <x v="146"/>
    <x v="0"/>
    <x v="11"/>
    <x v="10"/>
  </r>
  <r>
    <x v="899"/>
    <x v="316"/>
    <x v="177"/>
    <x v="43"/>
    <x v="25"/>
    <x v="5"/>
    <x v="0"/>
    <x v="3"/>
    <x v="5"/>
    <x v="1"/>
    <x v="4"/>
    <x v="5"/>
    <x v="25"/>
    <x v="5"/>
    <x v="63"/>
    <x v="332"/>
    <x v="4"/>
    <x v="19"/>
    <x v="0"/>
    <x v="1"/>
    <x v="2"/>
    <x v="1"/>
    <x v="0"/>
    <x v="3"/>
    <x v="62"/>
    <x v="0"/>
    <x v="11"/>
    <x v="10"/>
  </r>
  <r>
    <x v="900"/>
    <x v="217"/>
    <x v="22"/>
    <x v="49"/>
    <x v="38"/>
    <x v="1"/>
    <x v="2"/>
    <x v="6"/>
    <x v="13"/>
    <x v="0"/>
    <x v="36"/>
    <x v="0"/>
    <x v="199"/>
    <x v="44"/>
    <x v="428"/>
    <x v="291"/>
    <x v="3"/>
    <x v="1"/>
    <x v="1"/>
    <x v="2"/>
    <x v="3"/>
    <x v="1"/>
    <x v="0"/>
    <x v="3"/>
    <x v="0"/>
    <x v="0"/>
    <x v="11"/>
    <x v="10"/>
  </r>
  <r>
    <x v="901"/>
    <x v="69"/>
    <x v="262"/>
    <x v="53"/>
    <x v="29"/>
    <x v="1"/>
    <x v="2"/>
    <x v="3"/>
    <x v="6"/>
    <x v="0"/>
    <x v="21"/>
    <x v="0"/>
    <x v="133"/>
    <x v="27"/>
    <x v="326"/>
    <x v="326"/>
    <x v="1"/>
    <x v="4"/>
    <x v="2"/>
    <x v="1"/>
    <x v="1"/>
    <x v="1"/>
    <x v="0"/>
    <x v="4"/>
    <x v="314"/>
    <x v="0"/>
    <x v="11"/>
    <x v="10"/>
  </r>
  <r>
    <x v="902"/>
    <x v="180"/>
    <x v="252"/>
    <x v="40"/>
    <x v="32"/>
    <x v="5"/>
    <x v="1"/>
    <x v="7"/>
    <x v="15"/>
    <x v="0"/>
    <x v="26"/>
    <x v="0"/>
    <x v="150"/>
    <x v="35"/>
    <x v="323"/>
    <x v="279"/>
    <x v="1"/>
    <x v="2"/>
    <x v="1"/>
    <x v="0"/>
    <x v="1"/>
    <x v="1"/>
    <x v="0"/>
    <x v="3"/>
    <x v="311"/>
    <x v="0"/>
    <x v="11"/>
    <x v="10"/>
  </r>
  <r>
    <x v="903"/>
    <x v="29"/>
    <x v="294"/>
    <x v="16"/>
    <x v="22"/>
    <x v="4"/>
    <x v="0"/>
    <x v="15"/>
    <x v="31"/>
    <x v="4"/>
    <x v="35"/>
    <x v="134"/>
    <x v="155"/>
    <x v="47"/>
    <x v="208"/>
    <x v="108"/>
    <x v="1"/>
    <x v="18"/>
    <x v="0"/>
    <x v="1"/>
    <x v="1"/>
    <x v="1"/>
    <x v="0"/>
    <x v="4"/>
    <x v="201"/>
    <x v="0"/>
    <x v="11"/>
    <x v="10"/>
  </r>
  <r>
    <x v="904"/>
    <x v="332"/>
    <x v="133"/>
    <x v="79"/>
    <x v="12"/>
    <x v="2"/>
    <x v="1"/>
    <x v="8"/>
    <x v="18"/>
    <x v="0"/>
    <x v="32"/>
    <x v="0"/>
    <x v="179"/>
    <x v="45"/>
    <x v="345"/>
    <x v="223"/>
    <x v="1"/>
    <x v="3"/>
    <x v="0"/>
    <x v="1"/>
    <x v="1"/>
    <x v="1"/>
    <x v="0"/>
    <x v="0"/>
    <x v="332"/>
    <x v="0"/>
    <x v="11"/>
    <x v="10"/>
  </r>
  <r>
    <x v="905"/>
    <x v="26"/>
    <x v="7"/>
    <x v="2"/>
    <x v="77"/>
    <x v="3"/>
    <x v="0"/>
    <x v="22"/>
    <x v="44"/>
    <x v="0"/>
    <x v="63"/>
    <x v="0"/>
    <x v="304"/>
    <x v="74"/>
    <x v="513"/>
    <x v="150"/>
    <x v="1"/>
    <x v="10"/>
    <x v="0"/>
    <x v="1"/>
    <x v="1"/>
    <x v="1"/>
    <x v="0"/>
    <x v="3"/>
    <x v="491"/>
    <x v="0"/>
    <x v="11"/>
    <x v="10"/>
  </r>
  <r>
    <x v="906"/>
    <x v="225"/>
    <x v="83"/>
    <x v="63"/>
    <x v="33"/>
    <x v="6"/>
    <x v="3"/>
    <x v="9"/>
    <x v="18"/>
    <x v="1"/>
    <x v="66"/>
    <x v="83"/>
    <x v="313"/>
    <x v="68"/>
    <x v="582"/>
    <x v="268"/>
    <x v="1"/>
    <x v="4"/>
    <x v="2"/>
    <x v="1"/>
    <x v="1"/>
    <x v="1"/>
    <x v="0"/>
    <x v="4"/>
    <x v="558"/>
    <x v="0"/>
    <x v="11"/>
    <x v="10"/>
  </r>
  <r>
    <x v="907"/>
    <x v="32"/>
    <x v="187"/>
    <x v="81"/>
    <x v="31"/>
    <x v="2"/>
    <x v="0"/>
    <x v="2"/>
    <x v="4"/>
    <x v="1"/>
    <x v="2"/>
    <x v="3"/>
    <x v="16"/>
    <x v="4"/>
    <x v="31"/>
    <x v="318"/>
    <x v="3"/>
    <x v="13"/>
    <x v="1"/>
    <x v="1"/>
    <x v="3"/>
    <x v="1"/>
    <x v="0"/>
    <x v="4"/>
    <x v="0"/>
    <x v="0"/>
    <x v="11"/>
    <x v="10"/>
  </r>
  <r>
    <x v="908"/>
    <x v="76"/>
    <x v="280"/>
    <x v="95"/>
    <x v="0"/>
    <x v="0"/>
    <x v="0"/>
    <x v="24"/>
    <x v="48"/>
    <x v="4"/>
    <x v="83"/>
    <x v="217"/>
    <x v="345"/>
    <x v="97"/>
    <x v="290"/>
    <x v="5"/>
    <x v="2"/>
    <x v="1"/>
    <x v="1"/>
    <x v="2"/>
    <x v="2"/>
    <x v="1"/>
    <x v="0"/>
    <x v="2"/>
    <x v="281"/>
    <x v="0"/>
    <x v="11"/>
    <x v="10"/>
  </r>
  <r>
    <x v="909"/>
    <x v="57"/>
    <x v="194"/>
    <x v="85"/>
    <x v="35"/>
    <x v="2"/>
    <x v="3"/>
    <x v="1"/>
    <x v="2"/>
    <x v="0"/>
    <x v="18"/>
    <x v="0"/>
    <x v="115"/>
    <x v="23"/>
    <x v="296"/>
    <x v="333"/>
    <x v="1"/>
    <x v="18"/>
    <x v="1"/>
    <x v="1"/>
    <x v="1"/>
    <x v="1"/>
    <x v="0"/>
    <x v="4"/>
    <x v="286"/>
    <x v="0"/>
    <x v="11"/>
    <x v="10"/>
  </r>
  <r>
    <x v="910"/>
    <x v="242"/>
    <x v="144"/>
    <x v="14"/>
    <x v="65"/>
    <x v="3"/>
    <x v="0"/>
    <x v="24"/>
    <x v="49"/>
    <x v="2"/>
    <x v="83"/>
    <x v="170"/>
    <x v="369"/>
    <x v="99"/>
    <x v="444"/>
    <x v="17"/>
    <x v="1"/>
    <x v="17"/>
    <x v="1"/>
    <x v="1"/>
    <x v="1"/>
    <x v="1"/>
    <x v="0"/>
    <x v="4"/>
    <x v="429"/>
    <x v="0"/>
    <x v="11"/>
    <x v="10"/>
  </r>
  <r>
    <x v="911"/>
    <x v="34"/>
    <x v="96"/>
    <x v="86"/>
    <x v="11"/>
    <x v="2"/>
    <x v="0"/>
    <x v="6"/>
    <x v="14"/>
    <x v="5"/>
    <x v="9"/>
    <x v="68"/>
    <x v="35"/>
    <x v="17"/>
    <x v="27"/>
    <x v="134"/>
    <x v="1"/>
    <x v="15"/>
    <x v="1"/>
    <x v="1"/>
    <x v="1"/>
    <x v="1"/>
    <x v="0"/>
    <x v="3"/>
    <x v="28"/>
    <x v="0"/>
    <x v="11"/>
    <x v="10"/>
  </r>
  <r>
    <x v="912"/>
    <x v="312"/>
    <x v="39"/>
    <x v="63"/>
    <x v="33"/>
    <x v="6"/>
    <x v="0"/>
    <x v="9"/>
    <x v="18"/>
    <x v="2"/>
    <x v="16"/>
    <x v="42"/>
    <x v="87"/>
    <x v="24"/>
    <x v="167"/>
    <x v="243"/>
    <x v="1"/>
    <x v="19"/>
    <x v="1"/>
    <x v="1"/>
    <x v="1"/>
    <x v="1"/>
    <x v="0"/>
    <x v="3"/>
    <x v="161"/>
    <x v="0"/>
    <x v="11"/>
    <x v="10"/>
  </r>
  <r>
    <x v="913"/>
    <x v="61"/>
    <x v="269"/>
    <x v="90"/>
    <x v="69"/>
    <x v="0"/>
    <x v="2"/>
    <x v="20"/>
    <x v="41"/>
    <x v="5"/>
    <x v="97"/>
    <x v="241"/>
    <x v="394"/>
    <x v="109"/>
    <x v="468"/>
    <x v="10"/>
    <x v="1"/>
    <x v="16"/>
    <x v="0"/>
    <x v="2"/>
    <x v="1"/>
    <x v="1"/>
    <x v="0"/>
    <x v="4"/>
    <x v="449"/>
    <x v="0"/>
    <x v="11"/>
    <x v="10"/>
  </r>
  <r>
    <x v="914"/>
    <x v="40"/>
    <x v="198"/>
    <x v="92"/>
    <x v="45"/>
    <x v="0"/>
    <x v="0"/>
    <x v="21"/>
    <x v="44"/>
    <x v="0"/>
    <x v="58"/>
    <x v="0"/>
    <x v="292"/>
    <x v="74"/>
    <x v="454"/>
    <x v="99"/>
    <x v="4"/>
    <x v="6"/>
    <x v="2"/>
    <x v="0"/>
    <x v="2"/>
    <x v="1"/>
    <x v="0"/>
    <x v="0"/>
    <x v="439"/>
    <x v="0"/>
    <x v="11"/>
    <x v="10"/>
  </r>
  <r>
    <x v="915"/>
    <x v="161"/>
    <x v="232"/>
    <x v="90"/>
    <x v="69"/>
    <x v="0"/>
    <x v="0"/>
    <x v="20"/>
    <x v="41"/>
    <x v="1"/>
    <x v="54"/>
    <x v="63"/>
    <x v="260"/>
    <x v="68"/>
    <x v="399"/>
    <x v="98"/>
    <x v="2"/>
    <x v="2"/>
    <x v="0"/>
    <x v="2"/>
    <x v="2"/>
    <x v="1"/>
    <x v="0"/>
    <x v="2"/>
    <x v="385"/>
    <x v="0"/>
    <x v="11"/>
    <x v="10"/>
  </r>
  <r>
    <x v="916"/>
    <x v="306"/>
    <x v="252"/>
    <x v="39"/>
    <x v="20"/>
    <x v="5"/>
    <x v="1"/>
    <x v="13"/>
    <x v="29"/>
    <x v="3"/>
    <x v="56"/>
    <x v="152"/>
    <x v="255"/>
    <x v="67"/>
    <x v="425"/>
    <x v="140"/>
    <x v="1"/>
    <x v="2"/>
    <x v="1"/>
    <x v="1"/>
    <x v="1"/>
    <x v="1"/>
    <x v="0"/>
    <x v="0"/>
    <x v="410"/>
    <x v="0"/>
    <x v="11"/>
    <x v="10"/>
  </r>
  <r>
    <x v="917"/>
    <x v="298"/>
    <x v="24"/>
    <x v="63"/>
    <x v="33"/>
    <x v="6"/>
    <x v="0"/>
    <x v="9"/>
    <x v="18"/>
    <x v="2"/>
    <x v="16"/>
    <x v="42"/>
    <x v="87"/>
    <x v="24"/>
    <x v="167"/>
    <x v="243"/>
    <x v="2"/>
    <x v="4"/>
    <x v="1"/>
    <x v="0"/>
    <x v="2"/>
    <x v="1"/>
    <x v="0"/>
    <x v="2"/>
    <x v="161"/>
    <x v="0"/>
    <x v="11"/>
    <x v="10"/>
  </r>
  <r>
    <x v="918"/>
    <x v="245"/>
    <x v="216"/>
    <x v="67"/>
    <x v="21"/>
    <x v="6"/>
    <x v="0"/>
    <x v="4"/>
    <x v="7"/>
    <x v="1"/>
    <x v="5"/>
    <x v="6"/>
    <x v="34"/>
    <x v="7"/>
    <x v="88"/>
    <x v="328"/>
    <x v="3"/>
    <x v="5"/>
    <x v="0"/>
    <x v="1"/>
    <x v="3"/>
    <x v="1"/>
    <x v="0"/>
    <x v="0"/>
    <x v="0"/>
    <x v="0"/>
    <x v="11"/>
    <x v="10"/>
  </r>
  <r>
    <x v="919"/>
    <x v="7"/>
    <x v="56"/>
    <x v="95"/>
    <x v="0"/>
    <x v="0"/>
    <x v="0"/>
    <x v="24"/>
    <x v="48"/>
    <x v="0"/>
    <x v="83"/>
    <x v="0"/>
    <x v="384"/>
    <x v="97"/>
    <x v="560"/>
    <x v="67"/>
    <x v="1"/>
    <x v="18"/>
    <x v="1"/>
    <x v="0"/>
    <x v="1"/>
    <x v="1"/>
    <x v="0"/>
    <x v="3"/>
    <x v="537"/>
    <x v="0"/>
    <x v="11"/>
    <x v="10"/>
  </r>
  <r>
    <x v="920"/>
    <x v="272"/>
    <x v="171"/>
    <x v="27"/>
    <x v="78"/>
    <x v="4"/>
    <x v="1"/>
    <x v="19"/>
    <x v="38"/>
    <x v="0"/>
    <x v="78"/>
    <x v="0"/>
    <x v="367"/>
    <x v="84"/>
    <x v="615"/>
    <x v="200"/>
    <x v="1"/>
    <x v="9"/>
    <x v="2"/>
    <x v="1"/>
    <x v="1"/>
    <x v="1"/>
    <x v="0"/>
    <x v="3"/>
    <x v="586"/>
    <x v="0"/>
    <x v="11"/>
    <x v="10"/>
  </r>
  <r>
    <x v="921"/>
    <x v="39"/>
    <x v="238"/>
    <x v="43"/>
    <x v="25"/>
    <x v="5"/>
    <x v="0"/>
    <x v="3"/>
    <x v="5"/>
    <x v="1"/>
    <x v="4"/>
    <x v="5"/>
    <x v="25"/>
    <x v="5"/>
    <x v="63"/>
    <x v="332"/>
    <x v="1"/>
    <x v="6"/>
    <x v="1"/>
    <x v="0"/>
    <x v="1"/>
    <x v="1"/>
    <x v="0"/>
    <x v="4"/>
    <x v="62"/>
    <x v="0"/>
    <x v="11"/>
    <x v="10"/>
  </r>
  <r>
    <x v="922"/>
    <x v="173"/>
    <x v="42"/>
    <x v="0"/>
    <x v="97"/>
    <x v="3"/>
    <x v="1"/>
    <x v="11"/>
    <x v="26"/>
    <x v="5"/>
    <x v="49"/>
    <x v="174"/>
    <x v="201"/>
    <x v="62"/>
    <x v="180"/>
    <x v="32"/>
    <x v="1"/>
    <x v="1"/>
    <x v="0"/>
    <x v="2"/>
    <x v="1"/>
    <x v="1"/>
    <x v="0"/>
    <x v="4"/>
    <x v="174"/>
    <x v="0"/>
    <x v="11"/>
    <x v="10"/>
  </r>
  <r>
    <x v="923"/>
    <x v="233"/>
    <x v="109"/>
    <x v="46"/>
    <x v="85"/>
    <x v="1"/>
    <x v="2"/>
    <x v="5"/>
    <x v="11"/>
    <x v="1"/>
    <x v="31"/>
    <x v="34"/>
    <x v="170"/>
    <x v="40"/>
    <x v="360"/>
    <x v="272"/>
    <x v="1"/>
    <x v="7"/>
    <x v="1"/>
    <x v="1"/>
    <x v="1"/>
    <x v="1"/>
    <x v="0"/>
    <x v="0"/>
    <x v="346"/>
    <x v="0"/>
    <x v="11"/>
    <x v="10"/>
  </r>
  <r>
    <x v="924"/>
    <x v="138"/>
    <x v="18"/>
    <x v="79"/>
    <x v="12"/>
    <x v="2"/>
    <x v="0"/>
    <x v="8"/>
    <x v="18"/>
    <x v="2"/>
    <x v="14"/>
    <x v="35"/>
    <x v="73"/>
    <x v="24"/>
    <x v="105"/>
    <x v="169"/>
    <x v="1"/>
    <x v="5"/>
    <x v="0"/>
    <x v="1"/>
    <x v="1"/>
    <x v="1"/>
    <x v="0"/>
    <x v="4"/>
    <x v="101"/>
    <x v="0"/>
    <x v="11"/>
    <x v="10"/>
  </r>
  <r>
    <x v="925"/>
    <x v="259"/>
    <x v="289"/>
    <x v="27"/>
    <x v="78"/>
    <x v="4"/>
    <x v="1"/>
    <x v="19"/>
    <x v="38"/>
    <x v="0"/>
    <x v="78"/>
    <x v="0"/>
    <x v="367"/>
    <x v="84"/>
    <x v="615"/>
    <x v="200"/>
    <x v="1"/>
    <x v="16"/>
    <x v="0"/>
    <x v="1"/>
    <x v="1"/>
    <x v="1"/>
    <x v="0"/>
    <x v="3"/>
    <x v="586"/>
    <x v="0"/>
    <x v="11"/>
    <x v="10"/>
  </r>
  <r>
    <x v="926"/>
    <x v="65"/>
    <x v="252"/>
    <x v="10"/>
    <x v="42"/>
    <x v="3"/>
    <x v="0"/>
    <x v="18"/>
    <x v="37"/>
    <x v="4"/>
    <x v="45"/>
    <x v="150"/>
    <x v="193"/>
    <x v="59"/>
    <x v="203"/>
    <x v="51"/>
    <x v="1"/>
    <x v="2"/>
    <x v="1"/>
    <x v="0"/>
    <x v="1"/>
    <x v="1"/>
    <x v="0"/>
    <x v="4"/>
    <x v="196"/>
    <x v="0"/>
    <x v="11"/>
    <x v="10"/>
  </r>
  <r>
    <x v="927"/>
    <x v="305"/>
    <x v="157"/>
    <x v="38"/>
    <x v="92"/>
    <x v="5"/>
    <x v="0"/>
    <x v="9"/>
    <x v="18"/>
    <x v="1"/>
    <x v="16"/>
    <x v="18"/>
    <x v="92"/>
    <x v="24"/>
    <x v="190"/>
    <x v="268"/>
    <x v="4"/>
    <x v="19"/>
    <x v="0"/>
    <x v="0"/>
    <x v="2"/>
    <x v="1"/>
    <x v="0"/>
    <x v="4"/>
    <x v="184"/>
    <x v="0"/>
    <x v="11"/>
    <x v="10"/>
  </r>
  <r>
    <x v="928"/>
    <x v="321"/>
    <x v="172"/>
    <x v="34"/>
    <x v="59"/>
    <x v="5"/>
    <x v="2"/>
    <x v="12"/>
    <x v="28"/>
    <x v="2"/>
    <x v="69"/>
    <x v="143"/>
    <x v="316"/>
    <x v="77"/>
    <x v="529"/>
    <x v="154"/>
    <x v="1"/>
    <x v="2"/>
    <x v="1"/>
    <x v="1"/>
    <x v="1"/>
    <x v="1"/>
    <x v="0"/>
    <x v="3"/>
    <x v="506"/>
    <x v="0"/>
    <x v="11"/>
    <x v="10"/>
  </r>
  <r>
    <x v="929"/>
    <x v="337"/>
    <x v="209"/>
    <x v="75"/>
    <x v="23"/>
    <x v="2"/>
    <x v="0"/>
    <x v="5"/>
    <x v="11"/>
    <x v="3"/>
    <x v="7"/>
    <x v="34"/>
    <x v="37"/>
    <x v="13"/>
    <x v="49"/>
    <x v="220"/>
    <x v="1"/>
    <x v="16"/>
    <x v="1"/>
    <x v="2"/>
    <x v="1"/>
    <x v="1"/>
    <x v="0"/>
    <x v="4"/>
    <x v="49"/>
    <x v="0"/>
    <x v="11"/>
    <x v="10"/>
  </r>
  <r>
    <x v="930"/>
    <x v="303"/>
    <x v="95"/>
    <x v="80"/>
    <x v="82"/>
    <x v="2"/>
    <x v="0"/>
    <x v="0"/>
    <x v="0"/>
    <x v="0"/>
    <x v="0"/>
    <x v="0"/>
    <x v="4"/>
    <x v="0"/>
    <x v="8"/>
    <x v="342"/>
    <x v="3"/>
    <x v="18"/>
    <x v="1"/>
    <x v="2"/>
    <x v="3"/>
    <x v="1"/>
    <x v="0"/>
    <x v="3"/>
    <x v="0"/>
    <x v="0"/>
    <x v="11"/>
    <x v="10"/>
  </r>
  <r>
    <x v="931"/>
    <x v="302"/>
    <x v="115"/>
    <x v="63"/>
    <x v="33"/>
    <x v="6"/>
    <x v="0"/>
    <x v="9"/>
    <x v="18"/>
    <x v="4"/>
    <x v="16"/>
    <x v="83"/>
    <x v="75"/>
    <x v="24"/>
    <x v="124"/>
    <x v="190"/>
    <x v="1"/>
    <x v="18"/>
    <x v="1"/>
    <x v="1"/>
    <x v="1"/>
    <x v="1"/>
    <x v="0"/>
    <x v="4"/>
    <x v="120"/>
    <x v="0"/>
    <x v="11"/>
    <x v="10"/>
  </r>
  <r>
    <x v="932"/>
    <x v="163"/>
    <x v="170"/>
    <x v="0"/>
    <x v="97"/>
    <x v="3"/>
    <x v="0"/>
    <x v="11"/>
    <x v="26"/>
    <x v="1"/>
    <x v="23"/>
    <x v="26"/>
    <x v="129"/>
    <x v="38"/>
    <x v="183"/>
    <x v="145"/>
    <x v="1"/>
    <x v="11"/>
    <x v="0"/>
    <x v="0"/>
    <x v="1"/>
    <x v="1"/>
    <x v="0"/>
    <x v="4"/>
    <x v="177"/>
    <x v="0"/>
    <x v="11"/>
    <x v="10"/>
  </r>
  <r>
    <x v="933"/>
    <x v="45"/>
    <x v="69"/>
    <x v="16"/>
    <x v="22"/>
    <x v="4"/>
    <x v="2"/>
    <x v="15"/>
    <x v="31"/>
    <x v="1"/>
    <x v="79"/>
    <x v="106"/>
    <x v="371"/>
    <x v="86"/>
    <x v="620"/>
    <x v="206"/>
    <x v="1"/>
    <x v="13"/>
    <x v="1"/>
    <x v="1"/>
    <x v="1"/>
    <x v="1"/>
    <x v="0"/>
    <x v="4"/>
    <x v="591"/>
    <x v="0"/>
    <x v="11"/>
    <x v="10"/>
  </r>
  <r>
    <x v="934"/>
    <x v="265"/>
    <x v="201"/>
    <x v="68"/>
    <x v="80"/>
    <x v="6"/>
    <x v="2"/>
    <x v="12"/>
    <x v="27"/>
    <x v="2"/>
    <x v="69"/>
    <x v="143"/>
    <x v="316"/>
    <x v="75"/>
    <x v="539"/>
    <x v="171"/>
    <x v="1"/>
    <x v="8"/>
    <x v="1"/>
    <x v="1"/>
    <x v="1"/>
    <x v="1"/>
    <x v="0"/>
    <x v="4"/>
    <x v="516"/>
    <x v="0"/>
    <x v="11"/>
    <x v="10"/>
  </r>
  <r>
    <x v="935"/>
    <x v="179"/>
    <x v="10"/>
    <x v="27"/>
    <x v="78"/>
    <x v="4"/>
    <x v="0"/>
    <x v="19"/>
    <x v="38"/>
    <x v="0"/>
    <x v="50"/>
    <x v="0"/>
    <x v="252"/>
    <x v="60"/>
    <x v="454"/>
    <x v="200"/>
    <x v="1"/>
    <x v="7"/>
    <x v="0"/>
    <x v="1"/>
    <x v="1"/>
    <x v="1"/>
    <x v="0"/>
    <x v="3"/>
    <x v="439"/>
    <x v="0"/>
    <x v="11"/>
    <x v="10"/>
  </r>
  <r>
    <x v="936"/>
    <x v="142"/>
    <x v="87"/>
    <x v="5"/>
    <x v="98"/>
    <x v="3"/>
    <x v="1"/>
    <x v="9"/>
    <x v="18"/>
    <x v="2"/>
    <x v="38"/>
    <x v="83"/>
    <x v="186"/>
    <x v="45"/>
    <x v="376"/>
    <x v="243"/>
    <x v="3"/>
    <x v="0"/>
    <x v="0"/>
    <x v="1"/>
    <x v="3"/>
    <x v="1"/>
    <x v="0"/>
    <x v="3"/>
    <x v="0"/>
    <x v="0"/>
    <x v="11"/>
    <x v="10"/>
  </r>
  <r>
    <x v="937"/>
    <x v="328"/>
    <x v="234"/>
    <x v="97"/>
    <x v="81"/>
    <x v="0"/>
    <x v="1"/>
    <x v="12"/>
    <x v="29"/>
    <x v="3"/>
    <x v="53"/>
    <x v="143"/>
    <x v="237"/>
    <x v="67"/>
    <x v="347"/>
    <x v="87"/>
    <x v="4"/>
    <x v="18"/>
    <x v="1"/>
    <x v="1"/>
    <x v="2"/>
    <x v="1"/>
    <x v="0"/>
    <x v="0"/>
    <x v="334"/>
    <x v="0"/>
    <x v="11"/>
    <x v="10"/>
  </r>
  <r>
    <x v="938"/>
    <x v="263"/>
    <x v="30"/>
    <x v="40"/>
    <x v="32"/>
    <x v="5"/>
    <x v="1"/>
    <x v="7"/>
    <x v="15"/>
    <x v="1"/>
    <x v="26"/>
    <x v="29"/>
    <x v="142"/>
    <x v="35"/>
    <x v="294"/>
    <x v="260"/>
    <x v="1"/>
    <x v="7"/>
    <x v="1"/>
    <x v="0"/>
    <x v="1"/>
    <x v="1"/>
    <x v="0"/>
    <x v="0"/>
    <x v="284"/>
    <x v="0"/>
    <x v="11"/>
    <x v="10"/>
  </r>
  <r>
    <x v="939"/>
    <x v="36"/>
    <x v="132"/>
    <x v="4"/>
    <x v="66"/>
    <x v="3"/>
    <x v="0"/>
    <x v="14"/>
    <x v="31"/>
    <x v="1"/>
    <x v="33"/>
    <x v="36"/>
    <x v="172"/>
    <x v="47"/>
    <x v="278"/>
    <x v="158"/>
    <x v="1"/>
    <x v="2"/>
    <x v="0"/>
    <x v="2"/>
    <x v="1"/>
    <x v="1"/>
    <x v="0"/>
    <x v="0"/>
    <x v="269"/>
    <x v="0"/>
    <x v="11"/>
    <x v="10"/>
  </r>
  <r>
    <x v="940"/>
    <x v="124"/>
    <x v="53"/>
    <x v="12"/>
    <x v="56"/>
    <x v="3"/>
    <x v="1"/>
    <x v="9"/>
    <x v="22"/>
    <x v="0"/>
    <x v="38"/>
    <x v="0"/>
    <x v="208"/>
    <x v="55"/>
    <x v="345"/>
    <x v="156"/>
    <x v="1"/>
    <x v="9"/>
    <x v="0"/>
    <x v="0"/>
    <x v="1"/>
    <x v="1"/>
    <x v="0"/>
    <x v="0"/>
    <x v="332"/>
    <x v="0"/>
    <x v="11"/>
    <x v="10"/>
  </r>
  <r>
    <x v="941"/>
    <x v="101"/>
    <x v="206"/>
    <x v="11"/>
    <x v="15"/>
    <x v="3"/>
    <x v="2"/>
    <x v="8"/>
    <x v="17"/>
    <x v="1"/>
    <x v="48"/>
    <x v="55"/>
    <x v="240"/>
    <x v="54"/>
    <x v="479"/>
    <x v="265"/>
    <x v="0"/>
    <x v="0"/>
    <x v="1"/>
    <x v="1"/>
    <x v="0"/>
    <x v="1"/>
    <x v="0"/>
    <x v="1"/>
    <x v="0"/>
    <x v="0"/>
    <x v="11"/>
    <x v="10"/>
  </r>
  <r>
    <x v="942"/>
    <x v="197"/>
    <x v="16"/>
    <x v="57"/>
    <x v="58"/>
    <x v="1"/>
    <x v="0"/>
    <x v="5"/>
    <x v="11"/>
    <x v="0"/>
    <x v="7"/>
    <x v="0"/>
    <x v="50"/>
    <x v="13"/>
    <x v="97"/>
    <x v="289"/>
    <x v="4"/>
    <x v="18"/>
    <x v="1"/>
    <x v="1"/>
    <x v="2"/>
    <x v="1"/>
    <x v="0"/>
    <x v="4"/>
    <x v="95"/>
    <x v="0"/>
    <x v="11"/>
    <x v="10"/>
  </r>
  <r>
    <x v="943"/>
    <x v="146"/>
    <x v="161"/>
    <x v="8"/>
    <x v="50"/>
    <x v="3"/>
    <x v="2"/>
    <x v="10"/>
    <x v="20"/>
    <x v="1"/>
    <x v="60"/>
    <x v="73"/>
    <x v="290"/>
    <x v="65"/>
    <x v="546"/>
    <x v="262"/>
    <x v="1"/>
    <x v="8"/>
    <x v="1"/>
    <x v="1"/>
    <x v="1"/>
    <x v="1"/>
    <x v="0"/>
    <x v="0"/>
    <x v="523"/>
    <x v="0"/>
    <x v="11"/>
    <x v="10"/>
  </r>
  <r>
    <x v="944"/>
    <x v="26"/>
    <x v="268"/>
    <x v="90"/>
    <x v="69"/>
    <x v="0"/>
    <x v="2"/>
    <x v="20"/>
    <x v="41"/>
    <x v="1"/>
    <x v="97"/>
    <x v="146"/>
    <x v="414"/>
    <x v="109"/>
    <x v="650"/>
    <x v="98"/>
    <x v="2"/>
    <x v="7"/>
    <x v="0"/>
    <x v="1"/>
    <x v="2"/>
    <x v="2"/>
    <x v="0"/>
    <x v="2"/>
    <x v="617"/>
    <x v="0"/>
    <x v="11"/>
    <x v="10"/>
  </r>
  <r>
    <x v="945"/>
    <x v="178"/>
    <x v="181"/>
    <x v="39"/>
    <x v="20"/>
    <x v="5"/>
    <x v="1"/>
    <x v="13"/>
    <x v="29"/>
    <x v="3"/>
    <x v="56"/>
    <x v="152"/>
    <x v="255"/>
    <x v="67"/>
    <x v="425"/>
    <x v="140"/>
    <x v="1"/>
    <x v="8"/>
    <x v="1"/>
    <x v="2"/>
    <x v="1"/>
    <x v="1"/>
    <x v="0"/>
    <x v="4"/>
    <x v="410"/>
    <x v="0"/>
    <x v="11"/>
    <x v="10"/>
  </r>
  <r>
    <x v="946"/>
    <x v="90"/>
    <x v="140"/>
    <x v="67"/>
    <x v="21"/>
    <x v="6"/>
    <x v="1"/>
    <x v="4"/>
    <x v="7"/>
    <x v="3"/>
    <x v="15"/>
    <x v="64"/>
    <x v="79"/>
    <x v="19"/>
    <x v="181"/>
    <x v="304"/>
    <x v="2"/>
    <x v="1"/>
    <x v="1"/>
    <x v="1"/>
    <x v="2"/>
    <x v="1"/>
    <x v="0"/>
    <x v="2"/>
    <x v="175"/>
    <x v="0"/>
    <x v="11"/>
    <x v="10"/>
  </r>
  <r>
    <x v="947"/>
    <x v="74"/>
    <x v="212"/>
    <x v="30"/>
    <x v="83"/>
    <x v="5"/>
    <x v="0"/>
    <x v="9"/>
    <x v="18"/>
    <x v="1"/>
    <x v="16"/>
    <x v="18"/>
    <x v="92"/>
    <x v="24"/>
    <x v="190"/>
    <x v="268"/>
    <x v="1"/>
    <x v="2"/>
    <x v="1"/>
    <x v="2"/>
    <x v="1"/>
    <x v="1"/>
    <x v="0"/>
    <x v="4"/>
    <x v="184"/>
    <x v="0"/>
    <x v="11"/>
    <x v="10"/>
  </r>
  <r>
    <x v="948"/>
    <x v="48"/>
    <x v="164"/>
    <x v="71"/>
    <x v="88"/>
    <x v="6"/>
    <x v="0"/>
    <x v="5"/>
    <x v="10"/>
    <x v="2"/>
    <x v="7"/>
    <x v="21"/>
    <x v="40"/>
    <x v="12"/>
    <x v="76"/>
    <x v="274"/>
    <x v="1"/>
    <x v="17"/>
    <x v="1"/>
    <x v="2"/>
    <x v="1"/>
    <x v="1"/>
    <x v="0"/>
    <x v="4"/>
    <x v="75"/>
    <x v="0"/>
    <x v="11"/>
    <x v="10"/>
  </r>
  <r>
    <x v="949"/>
    <x v="138"/>
    <x v="77"/>
    <x v="23"/>
    <x v="49"/>
    <x v="4"/>
    <x v="0"/>
    <x v="12"/>
    <x v="24"/>
    <x v="1"/>
    <x v="27"/>
    <x v="30"/>
    <x v="143"/>
    <x v="36"/>
    <x v="287"/>
    <x v="246"/>
    <x v="0"/>
    <x v="5"/>
    <x v="1"/>
    <x v="1"/>
    <x v="0"/>
    <x v="1"/>
    <x v="0"/>
    <x v="1"/>
    <x v="0"/>
    <x v="0"/>
    <x v="11"/>
    <x v="10"/>
  </r>
  <r>
    <x v="950"/>
    <x v="151"/>
    <x v="75"/>
    <x v="68"/>
    <x v="80"/>
    <x v="6"/>
    <x v="2"/>
    <x v="12"/>
    <x v="27"/>
    <x v="4"/>
    <x v="69"/>
    <x v="197"/>
    <x v="298"/>
    <x v="75"/>
    <x v="467"/>
    <x v="105"/>
    <x v="1"/>
    <x v="3"/>
    <x v="1"/>
    <x v="1"/>
    <x v="1"/>
    <x v="1"/>
    <x v="0"/>
    <x v="4"/>
    <x v="448"/>
    <x v="0"/>
    <x v="11"/>
    <x v="10"/>
  </r>
  <r>
    <x v="951"/>
    <x v="155"/>
    <x v="23"/>
    <x v="7"/>
    <x v="62"/>
    <x v="3"/>
    <x v="0"/>
    <x v="5"/>
    <x v="9"/>
    <x v="5"/>
    <x v="7"/>
    <x v="60"/>
    <x v="30"/>
    <x v="11"/>
    <x v="34"/>
    <x v="220"/>
    <x v="4"/>
    <x v="8"/>
    <x v="1"/>
    <x v="0"/>
    <x v="2"/>
    <x v="1"/>
    <x v="0"/>
    <x v="4"/>
    <x v="35"/>
    <x v="0"/>
    <x v="11"/>
    <x v="10"/>
  </r>
  <r>
    <x v="952"/>
    <x v="332"/>
    <x v="104"/>
    <x v="49"/>
    <x v="38"/>
    <x v="1"/>
    <x v="0"/>
    <x v="6"/>
    <x v="13"/>
    <x v="2"/>
    <x v="9"/>
    <x v="25"/>
    <x v="53"/>
    <x v="15"/>
    <x v="89"/>
    <x v="252"/>
    <x v="1"/>
    <x v="12"/>
    <x v="0"/>
    <x v="1"/>
    <x v="1"/>
    <x v="1"/>
    <x v="0"/>
    <x v="3"/>
    <x v="88"/>
    <x v="0"/>
    <x v="11"/>
    <x v="10"/>
  </r>
  <r>
    <x v="953"/>
    <x v="117"/>
    <x v="38"/>
    <x v="20"/>
    <x v="40"/>
    <x v="4"/>
    <x v="2"/>
    <x v="17"/>
    <x v="32"/>
    <x v="5"/>
    <x v="87"/>
    <x v="232"/>
    <x v="349"/>
    <x v="89"/>
    <x v="555"/>
    <x v="112"/>
    <x v="1"/>
    <x v="5"/>
    <x v="1"/>
    <x v="1"/>
    <x v="1"/>
    <x v="1"/>
    <x v="0"/>
    <x v="4"/>
    <x v="532"/>
    <x v="0"/>
    <x v="11"/>
    <x v="10"/>
  </r>
  <r>
    <x v="954"/>
    <x v="13"/>
    <x v="175"/>
    <x v="69"/>
    <x v="48"/>
    <x v="6"/>
    <x v="0"/>
    <x v="6"/>
    <x v="12"/>
    <x v="0"/>
    <x v="9"/>
    <x v="0"/>
    <x v="60"/>
    <x v="14"/>
    <x v="130"/>
    <x v="308"/>
    <x v="1"/>
    <x v="15"/>
    <x v="2"/>
    <x v="1"/>
    <x v="1"/>
    <x v="1"/>
    <x v="0"/>
    <x v="4"/>
    <x v="125"/>
    <x v="0"/>
    <x v="11"/>
    <x v="10"/>
  </r>
  <r>
    <x v="955"/>
    <x v="76"/>
    <x v="98"/>
    <x v="54"/>
    <x v="61"/>
    <x v="1"/>
    <x v="0"/>
    <x v="12"/>
    <x v="27"/>
    <x v="3"/>
    <x v="27"/>
    <x v="90"/>
    <x v="126"/>
    <x v="39"/>
    <x v="179"/>
    <x v="139"/>
    <x v="2"/>
    <x v="19"/>
    <x v="0"/>
    <x v="2"/>
    <x v="2"/>
    <x v="1"/>
    <x v="0"/>
    <x v="2"/>
    <x v="173"/>
    <x v="0"/>
    <x v="11"/>
    <x v="10"/>
  </r>
  <r>
    <x v="956"/>
    <x v="298"/>
    <x v="10"/>
    <x v="89"/>
    <x v="89"/>
    <x v="0"/>
    <x v="0"/>
    <x v="17"/>
    <x v="37"/>
    <x v="4"/>
    <x v="42"/>
    <x v="145"/>
    <x v="182"/>
    <x v="59"/>
    <x v="150"/>
    <x v="26"/>
    <x v="1"/>
    <x v="7"/>
    <x v="0"/>
    <x v="1"/>
    <x v="1"/>
    <x v="1"/>
    <x v="0"/>
    <x v="3"/>
    <x v="144"/>
    <x v="0"/>
    <x v="11"/>
    <x v="10"/>
  </r>
  <r>
    <x v="957"/>
    <x v="247"/>
    <x v="3"/>
    <x v="8"/>
    <x v="50"/>
    <x v="3"/>
    <x v="1"/>
    <x v="10"/>
    <x v="20"/>
    <x v="1"/>
    <x v="44"/>
    <x v="50"/>
    <x v="220"/>
    <x v="50"/>
    <x v="446"/>
    <x v="262"/>
    <x v="1"/>
    <x v="8"/>
    <x v="1"/>
    <x v="2"/>
    <x v="1"/>
    <x v="1"/>
    <x v="0"/>
    <x v="3"/>
    <x v="431"/>
    <x v="0"/>
    <x v="11"/>
    <x v="10"/>
  </r>
  <r>
    <x v="958"/>
    <x v="333"/>
    <x v="3"/>
    <x v="11"/>
    <x v="15"/>
    <x v="3"/>
    <x v="2"/>
    <x v="8"/>
    <x v="17"/>
    <x v="2"/>
    <x v="48"/>
    <x v="102"/>
    <x v="232"/>
    <x v="54"/>
    <x v="450"/>
    <x v="238"/>
    <x v="1"/>
    <x v="8"/>
    <x v="1"/>
    <x v="0"/>
    <x v="1"/>
    <x v="1"/>
    <x v="0"/>
    <x v="3"/>
    <x v="435"/>
    <x v="0"/>
    <x v="11"/>
    <x v="10"/>
  </r>
  <r>
    <x v="959"/>
    <x v="316"/>
    <x v="162"/>
    <x v="95"/>
    <x v="0"/>
    <x v="0"/>
    <x v="2"/>
    <x v="24"/>
    <x v="48"/>
    <x v="3"/>
    <x v="111"/>
    <x v="247"/>
    <x v="443"/>
    <x v="126"/>
    <x v="652"/>
    <x v="12"/>
    <x v="1"/>
    <x v="4"/>
    <x v="1"/>
    <x v="0"/>
    <x v="1"/>
    <x v="0"/>
    <x v="0"/>
    <x v="0"/>
    <x v="619"/>
    <x v="0"/>
    <x v="11"/>
    <x v="10"/>
  </r>
  <r>
    <x v="960"/>
    <x v="98"/>
    <x v="38"/>
    <x v="82"/>
    <x v="67"/>
    <x v="2"/>
    <x v="2"/>
    <x v="5"/>
    <x v="12"/>
    <x v="1"/>
    <x v="31"/>
    <x v="34"/>
    <x v="170"/>
    <x v="42"/>
    <x v="342"/>
    <x v="244"/>
    <x v="1"/>
    <x v="5"/>
    <x v="1"/>
    <x v="0"/>
    <x v="1"/>
    <x v="1"/>
    <x v="0"/>
    <x v="0"/>
    <x v="329"/>
    <x v="0"/>
    <x v="11"/>
    <x v="10"/>
  </r>
  <r>
    <x v="961"/>
    <x v="320"/>
    <x v="54"/>
    <x v="76"/>
    <x v="64"/>
    <x v="2"/>
    <x v="1"/>
    <x v="4"/>
    <x v="8"/>
    <x v="1"/>
    <x v="15"/>
    <x v="17"/>
    <x v="91"/>
    <x v="21"/>
    <x v="218"/>
    <x v="313"/>
    <x v="1"/>
    <x v="2"/>
    <x v="1"/>
    <x v="1"/>
    <x v="1"/>
    <x v="1"/>
    <x v="0"/>
    <x v="4"/>
    <x v="210"/>
    <x v="0"/>
    <x v="11"/>
    <x v="10"/>
  </r>
  <r>
    <x v="962"/>
    <x v="285"/>
    <x v="224"/>
    <x v="63"/>
    <x v="33"/>
    <x v="6"/>
    <x v="1"/>
    <x v="9"/>
    <x v="18"/>
    <x v="0"/>
    <x v="38"/>
    <x v="0"/>
    <x v="208"/>
    <x v="45"/>
    <x v="439"/>
    <x v="288"/>
    <x v="1"/>
    <x v="17"/>
    <x v="1"/>
    <x v="2"/>
    <x v="1"/>
    <x v="1"/>
    <x v="0"/>
    <x v="4"/>
    <x v="424"/>
    <x v="0"/>
    <x v="11"/>
    <x v="10"/>
  </r>
  <r>
    <x v="963"/>
    <x v="231"/>
    <x v="179"/>
    <x v="0"/>
    <x v="97"/>
    <x v="3"/>
    <x v="0"/>
    <x v="11"/>
    <x v="26"/>
    <x v="2"/>
    <x v="23"/>
    <x v="56"/>
    <x v="123"/>
    <x v="38"/>
    <x v="155"/>
    <x v="116"/>
    <x v="1"/>
    <x v="14"/>
    <x v="0"/>
    <x v="1"/>
    <x v="1"/>
    <x v="1"/>
    <x v="0"/>
    <x v="3"/>
    <x v="149"/>
    <x v="0"/>
    <x v="11"/>
    <x v="10"/>
  </r>
  <r>
    <x v="964"/>
    <x v="18"/>
    <x v="143"/>
    <x v="1"/>
    <x v="9"/>
    <x v="3"/>
    <x v="1"/>
    <x v="17"/>
    <x v="36"/>
    <x v="2"/>
    <x v="70"/>
    <x v="145"/>
    <x v="317"/>
    <x v="81"/>
    <x v="495"/>
    <x v="100"/>
    <x v="1"/>
    <x v="12"/>
    <x v="0"/>
    <x v="2"/>
    <x v="1"/>
    <x v="1"/>
    <x v="0"/>
    <x v="0"/>
    <x v="474"/>
    <x v="0"/>
    <x v="11"/>
    <x v="10"/>
  </r>
  <r>
    <x v="965"/>
    <x v="100"/>
    <x v="255"/>
    <x v="60"/>
    <x v="68"/>
    <x v="6"/>
    <x v="0"/>
    <x v="5"/>
    <x v="9"/>
    <x v="4"/>
    <x v="7"/>
    <x v="49"/>
    <x v="33"/>
    <x v="11"/>
    <x v="50"/>
    <x v="253"/>
    <x v="1"/>
    <x v="15"/>
    <x v="0"/>
    <x v="1"/>
    <x v="1"/>
    <x v="1"/>
    <x v="0"/>
    <x v="4"/>
    <x v="50"/>
    <x v="0"/>
    <x v="11"/>
    <x v="10"/>
  </r>
  <r>
    <x v="966"/>
    <x v="324"/>
    <x v="197"/>
    <x v="76"/>
    <x v="64"/>
    <x v="2"/>
    <x v="1"/>
    <x v="4"/>
    <x v="8"/>
    <x v="0"/>
    <x v="15"/>
    <x v="0"/>
    <x v="98"/>
    <x v="21"/>
    <x v="238"/>
    <x v="323"/>
    <x v="0"/>
    <x v="19"/>
    <x v="0"/>
    <x v="0"/>
    <x v="0"/>
    <x v="1"/>
    <x v="0"/>
    <x v="1"/>
    <x v="0"/>
    <x v="0"/>
    <x v="11"/>
    <x v="10"/>
  </r>
  <r>
    <x v="967"/>
    <x v="23"/>
    <x v="108"/>
    <x v="5"/>
    <x v="98"/>
    <x v="3"/>
    <x v="1"/>
    <x v="9"/>
    <x v="18"/>
    <x v="1"/>
    <x v="38"/>
    <x v="42"/>
    <x v="196"/>
    <x v="45"/>
    <x v="411"/>
    <x v="268"/>
    <x v="1"/>
    <x v="13"/>
    <x v="0"/>
    <x v="2"/>
    <x v="1"/>
    <x v="1"/>
    <x v="0"/>
    <x v="0"/>
    <x v="396"/>
    <x v="0"/>
    <x v="11"/>
    <x v="10"/>
  </r>
  <r>
    <x v="968"/>
    <x v="57"/>
    <x v="212"/>
    <x v="73"/>
    <x v="60"/>
    <x v="2"/>
    <x v="1"/>
    <x v="3"/>
    <x v="6"/>
    <x v="1"/>
    <x v="13"/>
    <x v="15"/>
    <x v="77"/>
    <x v="18"/>
    <x v="176"/>
    <x v="315"/>
    <x v="3"/>
    <x v="2"/>
    <x v="1"/>
    <x v="1"/>
    <x v="3"/>
    <x v="1"/>
    <x v="0"/>
    <x v="0"/>
    <x v="0"/>
    <x v="0"/>
    <x v="11"/>
    <x v="10"/>
  </r>
  <r>
    <x v="969"/>
    <x v="238"/>
    <x v="189"/>
    <x v="86"/>
    <x v="11"/>
    <x v="2"/>
    <x v="2"/>
    <x v="6"/>
    <x v="14"/>
    <x v="1"/>
    <x v="36"/>
    <x v="40"/>
    <x v="194"/>
    <x v="45"/>
    <x v="388"/>
    <x v="256"/>
    <x v="1"/>
    <x v="16"/>
    <x v="1"/>
    <x v="2"/>
    <x v="1"/>
    <x v="1"/>
    <x v="0"/>
    <x v="0"/>
    <x v="374"/>
    <x v="0"/>
    <x v="11"/>
    <x v="10"/>
  </r>
  <r>
    <x v="970"/>
    <x v="13"/>
    <x v="111"/>
    <x v="6"/>
    <x v="46"/>
    <x v="3"/>
    <x v="3"/>
    <x v="12"/>
    <x v="25"/>
    <x v="3"/>
    <x v="81"/>
    <x v="197"/>
    <x v="351"/>
    <x v="85"/>
    <x v="587"/>
    <x v="163"/>
    <x v="1"/>
    <x v="11"/>
    <x v="0"/>
    <x v="0"/>
    <x v="1"/>
    <x v="1"/>
    <x v="0"/>
    <x v="0"/>
    <x v="562"/>
    <x v="0"/>
    <x v="11"/>
    <x v="10"/>
  </r>
  <r>
    <x v="971"/>
    <x v="243"/>
    <x v="272"/>
    <x v="71"/>
    <x v="88"/>
    <x v="6"/>
    <x v="3"/>
    <x v="5"/>
    <x v="10"/>
    <x v="1"/>
    <x v="43"/>
    <x v="49"/>
    <x v="219"/>
    <x v="46"/>
    <x v="459"/>
    <x v="293"/>
    <x v="0"/>
    <x v="2"/>
    <x v="2"/>
    <x v="0"/>
    <x v="0"/>
    <x v="1"/>
    <x v="0"/>
    <x v="1"/>
    <x v="0"/>
    <x v="0"/>
    <x v="11"/>
    <x v="10"/>
  </r>
  <r>
    <x v="972"/>
    <x v="167"/>
    <x v="22"/>
    <x v="83"/>
    <x v="96"/>
    <x v="2"/>
    <x v="0"/>
    <x v="10"/>
    <x v="23"/>
    <x v="5"/>
    <x v="20"/>
    <x v="111"/>
    <x v="85"/>
    <x v="34"/>
    <x v="60"/>
    <x v="52"/>
    <x v="3"/>
    <x v="1"/>
    <x v="1"/>
    <x v="2"/>
    <x v="3"/>
    <x v="1"/>
    <x v="0"/>
    <x v="0"/>
    <x v="0"/>
    <x v="0"/>
    <x v="11"/>
    <x v="10"/>
  </r>
  <r>
    <x v="973"/>
    <x v="326"/>
    <x v="221"/>
    <x v="13"/>
    <x v="41"/>
    <x v="3"/>
    <x v="1"/>
    <x v="6"/>
    <x v="12"/>
    <x v="2"/>
    <x v="22"/>
    <x v="54"/>
    <x v="122"/>
    <x v="30"/>
    <x v="247"/>
    <x v="275"/>
    <x v="1"/>
    <x v="8"/>
    <x v="1"/>
    <x v="2"/>
    <x v="1"/>
    <x v="1"/>
    <x v="0"/>
    <x v="0"/>
    <x v="239"/>
    <x v="0"/>
    <x v="11"/>
    <x v="10"/>
  </r>
  <r>
    <x v="974"/>
    <x v="152"/>
    <x v="45"/>
    <x v="53"/>
    <x v="29"/>
    <x v="1"/>
    <x v="0"/>
    <x v="3"/>
    <x v="6"/>
    <x v="3"/>
    <x v="4"/>
    <x v="24"/>
    <x v="20"/>
    <x v="6"/>
    <x v="30"/>
    <x v="286"/>
    <x v="1"/>
    <x v="12"/>
    <x v="0"/>
    <x v="2"/>
    <x v="1"/>
    <x v="1"/>
    <x v="0"/>
    <x v="3"/>
    <x v="31"/>
    <x v="0"/>
    <x v="11"/>
    <x v="10"/>
  </r>
  <r>
    <x v="975"/>
    <x v="229"/>
    <x v="269"/>
    <x v="81"/>
    <x v="31"/>
    <x v="2"/>
    <x v="2"/>
    <x v="2"/>
    <x v="4"/>
    <x v="3"/>
    <x v="17"/>
    <x v="67"/>
    <x v="88"/>
    <x v="22"/>
    <x v="191"/>
    <x v="290"/>
    <x v="1"/>
    <x v="16"/>
    <x v="0"/>
    <x v="0"/>
    <x v="1"/>
    <x v="1"/>
    <x v="0"/>
    <x v="0"/>
    <x v="185"/>
    <x v="0"/>
    <x v="11"/>
    <x v="10"/>
  </r>
  <r>
    <x v="976"/>
    <x v="185"/>
    <x v="63"/>
    <x v="49"/>
    <x v="38"/>
    <x v="1"/>
    <x v="1"/>
    <x v="6"/>
    <x v="13"/>
    <x v="0"/>
    <x v="22"/>
    <x v="0"/>
    <x v="134"/>
    <x v="31"/>
    <x v="299"/>
    <x v="291"/>
    <x v="0"/>
    <x v="8"/>
    <x v="1"/>
    <x v="1"/>
    <x v="0"/>
    <x v="1"/>
    <x v="0"/>
    <x v="1"/>
    <x v="0"/>
    <x v="0"/>
    <x v="11"/>
    <x v="10"/>
  </r>
  <r>
    <x v="977"/>
    <x v="245"/>
    <x v="26"/>
    <x v="23"/>
    <x v="49"/>
    <x v="4"/>
    <x v="0"/>
    <x v="12"/>
    <x v="24"/>
    <x v="2"/>
    <x v="27"/>
    <x v="62"/>
    <x v="137"/>
    <x v="36"/>
    <x v="252"/>
    <x v="226"/>
    <x v="4"/>
    <x v="17"/>
    <x v="1"/>
    <x v="1"/>
    <x v="2"/>
    <x v="1"/>
    <x v="0"/>
    <x v="4"/>
    <x v="244"/>
    <x v="0"/>
    <x v="11"/>
    <x v="10"/>
  </r>
  <r>
    <x v="978"/>
    <x v="186"/>
    <x v="168"/>
    <x v="18"/>
    <x v="71"/>
    <x v="4"/>
    <x v="1"/>
    <x v="20"/>
    <x v="40"/>
    <x v="1"/>
    <x v="82"/>
    <x v="113"/>
    <x v="376"/>
    <x v="91"/>
    <x v="604"/>
    <x v="152"/>
    <x v="1"/>
    <x v="7"/>
    <x v="0"/>
    <x v="1"/>
    <x v="1"/>
    <x v="1"/>
    <x v="0"/>
    <x v="3"/>
    <x v="577"/>
    <x v="0"/>
    <x v="11"/>
    <x v="10"/>
  </r>
  <r>
    <x v="979"/>
    <x v="30"/>
    <x v="36"/>
    <x v="5"/>
    <x v="98"/>
    <x v="3"/>
    <x v="1"/>
    <x v="9"/>
    <x v="18"/>
    <x v="3"/>
    <x v="38"/>
    <x v="117"/>
    <x v="175"/>
    <x v="45"/>
    <x v="339"/>
    <x v="218"/>
    <x v="1"/>
    <x v="18"/>
    <x v="1"/>
    <x v="1"/>
    <x v="1"/>
    <x v="1"/>
    <x v="0"/>
    <x v="0"/>
    <x v="326"/>
    <x v="0"/>
    <x v="11"/>
    <x v="10"/>
  </r>
  <r>
    <x v="980"/>
    <x v="41"/>
    <x v="140"/>
    <x v="18"/>
    <x v="71"/>
    <x v="4"/>
    <x v="0"/>
    <x v="20"/>
    <x v="40"/>
    <x v="5"/>
    <x v="54"/>
    <x v="185"/>
    <x v="218"/>
    <x v="67"/>
    <x v="214"/>
    <x v="36"/>
    <x v="2"/>
    <x v="1"/>
    <x v="1"/>
    <x v="0"/>
    <x v="2"/>
    <x v="1"/>
    <x v="0"/>
    <x v="2"/>
    <x v="207"/>
    <x v="0"/>
    <x v="11"/>
    <x v="10"/>
  </r>
  <r>
    <x v="981"/>
    <x v="77"/>
    <x v="110"/>
    <x v="59"/>
    <x v="99"/>
    <x v="6"/>
    <x v="1"/>
    <x v="10"/>
    <x v="20"/>
    <x v="3"/>
    <x v="44"/>
    <x v="128"/>
    <x v="205"/>
    <x v="50"/>
    <x v="377"/>
    <x v="214"/>
    <x v="1"/>
    <x v="16"/>
    <x v="0"/>
    <x v="0"/>
    <x v="1"/>
    <x v="1"/>
    <x v="0"/>
    <x v="0"/>
    <x v="363"/>
    <x v="0"/>
    <x v="11"/>
    <x v="10"/>
  </r>
  <r>
    <x v="982"/>
    <x v="155"/>
    <x v="135"/>
    <x v="89"/>
    <x v="89"/>
    <x v="0"/>
    <x v="0"/>
    <x v="17"/>
    <x v="37"/>
    <x v="4"/>
    <x v="42"/>
    <x v="145"/>
    <x v="182"/>
    <x v="59"/>
    <x v="150"/>
    <x v="26"/>
    <x v="1"/>
    <x v="15"/>
    <x v="1"/>
    <x v="1"/>
    <x v="1"/>
    <x v="1"/>
    <x v="0"/>
    <x v="0"/>
    <x v="144"/>
    <x v="0"/>
    <x v="11"/>
    <x v="10"/>
  </r>
  <r>
    <x v="983"/>
    <x v="41"/>
    <x v="42"/>
    <x v="43"/>
    <x v="25"/>
    <x v="5"/>
    <x v="0"/>
    <x v="3"/>
    <x v="5"/>
    <x v="2"/>
    <x v="4"/>
    <x v="15"/>
    <x v="23"/>
    <x v="5"/>
    <x v="48"/>
    <x v="324"/>
    <x v="2"/>
    <x v="1"/>
    <x v="0"/>
    <x v="2"/>
    <x v="2"/>
    <x v="1"/>
    <x v="0"/>
    <x v="2"/>
    <x v="48"/>
    <x v="0"/>
    <x v="11"/>
    <x v="10"/>
  </r>
  <r>
    <x v="984"/>
    <x v="281"/>
    <x v="264"/>
    <x v="48"/>
    <x v="28"/>
    <x v="1"/>
    <x v="1"/>
    <x v="3"/>
    <x v="7"/>
    <x v="1"/>
    <x v="13"/>
    <x v="15"/>
    <x v="77"/>
    <x v="19"/>
    <x v="166"/>
    <x v="292"/>
    <x v="4"/>
    <x v="17"/>
    <x v="1"/>
    <x v="0"/>
    <x v="2"/>
    <x v="1"/>
    <x v="0"/>
    <x v="3"/>
    <x v="160"/>
    <x v="0"/>
    <x v="11"/>
    <x v="10"/>
  </r>
  <r>
    <x v="985"/>
    <x v="298"/>
    <x v="68"/>
    <x v="82"/>
    <x v="67"/>
    <x v="2"/>
    <x v="2"/>
    <x v="5"/>
    <x v="12"/>
    <x v="1"/>
    <x v="31"/>
    <x v="34"/>
    <x v="170"/>
    <x v="42"/>
    <x v="342"/>
    <x v="244"/>
    <x v="1"/>
    <x v="0"/>
    <x v="0"/>
    <x v="0"/>
    <x v="1"/>
    <x v="1"/>
    <x v="0"/>
    <x v="3"/>
    <x v="329"/>
    <x v="0"/>
    <x v="11"/>
    <x v="10"/>
  </r>
  <r>
    <x v="986"/>
    <x v="207"/>
    <x v="139"/>
    <x v="49"/>
    <x v="38"/>
    <x v="1"/>
    <x v="3"/>
    <x v="6"/>
    <x v="13"/>
    <x v="0"/>
    <x v="47"/>
    <x v="0"/>
    <x v="246"/>
    <x v="53"/>
    <x v="502"/>
    <x v="291"/>
    <x v="4"/>
    <x v="14"/>
    <x v="2"/>
    <x v="1"/>
    <x v="2"/>
    <x v="1"/>
    <x v="0"/>
    <x v="4"/>
    <x v="481"/>
    <x v="0"/>
    <x v="11"/>
    <x v="10"/>
  </r>
  <r>
    <x v="987"/>
    <x v="281"/>
    <x v="245"/>
    <x v="9"/>
    <x v="95"/>
    <x v="3"/>
    <x v="0"/>
    <x v="19"/>
    <x v="39"/>
    <x v="0"/>
    <x v="50"/>
    <x v="0"/>
    <x v="252"/>
    <x v="65"/>
    <x v="419"/>
    <x v="149"/>
    <x v="2"/>
    <x v="10"/>
    <x v="1"/>
    <x v="1"/>
    <x v="2"/>
    <x v="1"/>
    <x v="0"/>
    <x v="2"/>
    <x v="404"/>
    <x v="0"/>
    <x v="11"/>
    <x v="10"/>
  </r>
  <r>
    <x v="988"/>
    <x v="146"/>
    <x v="105"/>
    <x v="88"/>
    <x v="57"/>
    <x v="0"/>
    <x v="0"/>
    <x v="22"/>
    <x v="45"/>
    <x v="0"/>
    <x v="63"/>
    <x v="0"/>
    <x v="304"/>
    <x v="76"/>
    <x v="483"/>
    <x v="114"/>
    <x v="1"/>
    <x v="17"/>
    <x v="1"/>
    <x v="1"/>
    <x v="1"/>
    <x v="1"/>
    <x v="0"/>
    <x v="3"/>
    <x v="464"/>
    <x v="0"/>
    <x v="11"/>
    <x v="10"/>
  </r>
  <r>
    <x v="989"/>
    <x v="230"/>
    <x v="140"/>
    <x v="58"/>
    <x v="5"/>
    <x v="1"/>
    <x v="1"/>
    <x v="9"/>
    <x v="20"/>
    <x v="0"/>
    <x v="38"/>
    <x v="0"/>
    <x v="208"/>
    <x v="50"/>
    <x v="396"/>
    <x v="224"/>
    <x v="1"/>
    <x v="1"/>
    <x v="1"/>
    <x v="0"/>
    <x v="1"/>
    <x v="1"/>
    <x v="0"/>
    <x v="3"/>
    <x v="382"/>
    <x v="0"/>
    <x v="11"/>
    <x v="10"/>
  </r>
  <r>
    <x v="990"/>
    <x v="165"/>
    <x v="98"/>
    <x v="98"/>
    <x v="72"/>
    <x v="0"/>
    <x v="2"/>
    <x v="15"/>
    <x v="34"/>
    <x v="3"/>
    <x v="79"/>
    <x v="194"/>
    <x v="347"/>
    <x v="92"/>
    <x v="516"/>
    <x v="65"/>
    <x v="3"/>
    <x v="19"/>
    <x v="0"/>
    <x v="1"/>
    <x v="3"/>
    <x v="1"/>
    <x v="0"/>
    <x v="3"/>
    <x v="0"/>
    <x v="0"/>
    <x v="11"/>
    <x v="10"/>
  </r>
  <r>
    <x v="991"/>
    <x v="91"/>
    <x v="248"/>
    <x v="9"/>
    <x v="95"/>
    <x v="3"/>
    <x v="0"/>
    <x v="19"/>
    <x v="39"/>
    <x v="0"/>
    <x v="50"/>
    <x v="0"/>
    <x v="252"/>
    <x v="65"/>
    <x v="419"/>
    <x v="149"/>
    <x v="1"/>
    <x v="7"/>
    <x v="1"/>
    <x v="2"/>
    <x v="1"/>
    <x v="1"/>
    <x v="0"/>
    <x v="3"/>
    <x v="404"/>
    <x v="0"/>
    <x v="11"/>
    <x v="10"/>
  </r>
  <r>
    <x v="992"/>
    <x v="328"/>
    <x v="175"/>
    <x v="61"/>
    <x v="76"/>
    <x v="6"/>
    <x v="0"/>
    <x v="2"/>
    <x v="3"/>
    <x v="2"/>
    <x v="2"/>
    <x v="11"/>
    <x v="14"/>
    <x v="3"/>
    <x v="29"/>
    <x v="330"/>
    <x v="1"/>
    <x v="15"/>
    <x v="2"/>
    <x v="2"/>
    <x v="1"/>
    <x v="1"/>
    <x v="0"/>
    <x v="4"/>
    <x v="30"/>
    <x v="0"/>
    <x v="11"/>
    <x v="10"/>
  </r>
  <r>
    <x v="993"/>
    <x v="248"/>
    <x v="294"/>
    <x v="38"/>
    <x v="92"/>
    <x v="5"/>
    <x v="0"/>
    <x v="9"/>
    <x v="18"/>
    <x v="1"/>
    <x v="16"/>
    <x v="18"/>
    <x v="92"/>
    <x v="24"/>
    <x v="190"/>
    <x v="268"/>
    <x v="1"/>
    <x v="18"/>
    <x v="0"/>
    <x v="2"/>
    <x v="1"/>
    <x v="1"/>
    <x v="0"/>
    <x v="0"/>
    <x v="184"/>
    <x v="0"/>
    <x v="11"/>
    <x v="10"/>
  </r>
  <r>
    <x v="994"/>
    <x v="120"/>
    <x v="57"/>
    <x v="5"/>
    <x v="98"/>
    <x v="3"/>
    <x v="3"/>
    <x v="9"/>
    <x v="18"/>
    <x v="0"/>
    <x v="66"/>
    <x v="0"/>
    <x v="320"/>
    <x v="68"/>
    <x v="601"/>
    <x v="288"/>
    <x v="1"/>
    <x v="15"/>
    <x v="0"/>
    <x v="2"/>
    <x v="1"/>
    <x v="1"/>
    <x v="0"/>
    <x v="3"/>
    <x v="576"/>
    <x v="0"/>
    <x v="11"/>
    <x v="10"/>
  </r>
  <r>
    <x v="995"/>
    <x v="74"/>
    <x v="186"/>
    <x v="96"/>
    <x v="91"/>
    <x v="0"/>
    <x v="0"/>
    <x v="23"/>
    <x v="47"/>
    <x v="4"/>
    <x v="75"/>
    <x v="206"/>
    <x v="321"/>
    <x v="93"/>
    <x v="213"/>
    <x v="3"/>
    <x v="1"/>
    <x v="0"/>
    <x v="0"/>
    <x v="0"/>
    <x v="1"/>
    <x v="1"/>
    <x v="0"/>
    <x v="0"/>
    <x v="206"/>
    <x v="0"/>
    <x v="11"/>
    <x v="10"/>
  </r>
  <r>
    <x v="996"/>
    <x v="222"/>
    <x v="100"/>
    <x v="55"/>
    <x v="37"/>
    <x v="1"/>
    <x v="1"/>
    <x v="15"/>
    <x v="34"/>
    <x v="4"/>
    <x v="64"/>
    <x v="187"/>
    <x v="276"/>
    <x v="75"/>
    <x v="334"/>
    <x v="42"/>
    <x v="1"/>
    <x v="14"/>
    <x v="1"/>
    <x v="1"/>
    <x v="1"/>
    <x v="1"/>
    <x v="0"/>
    <x v="4"/>
    <x v="322"/>
    <x v="0"/>
    <x v="11"/>
    <x v="10"/>
  </r>
  <r>
    <x v="997"/>
    <x v="12"/>
    <x v="29"/>
    <x v="77"/>
    <x v="75"/>
    <x v="2"/>
    <x v="0"/>
    <x v="2"/>
    <x v="4"/>
    <x v="4"/>
    <x v="2"/>
    <x v="28"/>
    <x v="12"/>
    <x v="4"/>
    <x v="11"/>
    <x v="267"/>
    <x v="3"/>
    <x v="13"/>
    <x v="1"/>
    <x v="0"/>
    <x v="3"/>
    <x v="1"/>
    <x v="0"/>
    <x v="0"/>
    <x v="0"/>
    <x v="0"/>
    <x v="11"/>
    <x v="10"/>
  </r>
  <r>
    <x v="998"/>
    <x v="220"/>
    <x v="121"/>
    <x v="69"/>
    <x v="48"/>
    <x v="6"/>
    <x v="1"/>
    <x v="6"/>
    <x v="12"/>
    <x v="5"/>
    <x v="22"/>
    <x v="121"/>
    <x v="94"/>
    <x v="30"/>
    <x v="156"/>
    <x v="192"/>
    <x v="4"/>
    <x v="1"/>
    <x v="1"/>
    <x v="0"/>
    <x v="2"/>
    <x v="1"/>
    <x v="0"/>
    <x v="3"/>
    <x v="150"/>
    <x v="0"/>
    <x v="11"/>
    <x v="10"/>
  </r>
  <r>
    <x v="999"/>
    <x v="44"/>
    <x v="102"/>
    <x v="9"/>
    <x v="95"/>
    <x v="3"/>
    <x v="2"/>
    <x v="19"/>
    <x v="39"/>
    <x v="2"/>
    <x v="93"/>
    <x v="192"/>
    <x v="401"/>
    <x v="104"/>
    <x v="616"/>
    <x v="86"/>
    <x v="2"/>
    <x v="8"/>
    <x v="0"/>
    <x v="0"/>
    <x v="2"/>
    <x v="1"/>
    <x v="0"/>
    <x v="2"/>
    <x v="587"/>
    <x v="0"/>
    <x v="11"/>
    <x v="10"/>
  </r>
  <r>
    <x v="1000"/>
    <x v="4"/>
    <x v="12"/>
    <x v="31"/>
    <x v="94"/>
    <x v="5"/>
    <x v="0"/>
    <x v="5"/>
    <x v="9"/>
    <x v="2"/>
    <x v="7"/>
    <x v="21"/>
    <x v="40"/>
    <x v="11"/>
    <x v="85"/>
    <x v="297"/>
    <x v="1"/>
    <x v="11"/>
    <x v="1"/>
    <x v="0"/>
    <x v="1"/>
    <x v="1"/>
    <x v="0"/>
    <x v="4"/>
    <x v="84"/>
    <x v="0"/>
    <x v="11"/>
    <x v="10"/>
  </r>
  <r>
    <x v="1001"/>
    <x v="27"/>
    <x v="92"/>
    <x v="97"/>
    <x v="81"/>
    <x v="0"/>
    <x v="0"/>
    <x v="12"/>
    <x v="29"/>
    <x v="0"/>
    <x v="27"/>
    <x v="0"/>
    <x v="151"/>
    <x v="43"/>
    <x v="250"/>
    <x v="179"/>
    <x v="1"/>
    <x v="9"/>
    <x v="2"/>
    <x v="1"/>
    <x v="1"/>
    <x v="1"/>
    <x v="0"/>
    <x v="0"/>
    <x v="242"/>
    <x v="0"/>
    <x v="11"/>
    <x v="10"/>
  </r>
  <r>
    <x v="1002"/>
    <x v="291"/>
    <x v="182"/>
    <x v="66"/>
    <x v="13"/>
    <x v="6"/>
    <x v="1"/>
    <x v="8"/>
    <x v="16"/>
    <x v="3"/>
    <x v="32"/>
    <x v="102"/>
    <x v="153"/>
    <x v="39"/>
    <x v="300"/>
    <x v="234"/>
    <x v="2"/>
    <x v="4"/>
    <x v="0"/>
    <x v="1"/>
    <x v="2"/>
    <x v="1"/>
    <x v="0"/>
    <x v="2"/>
    <x v="289"/>
    <x v="0"/>
    <x v="11"/>
    <x v="10"/>
  </r>
  <r>
    <x v="1003"/>
    <x v="143"/>
    <x v="115"/>
    <x v="25"/>
    <x v="84"/>
    <x v="4"/>
    <x v="0"/>
    <x v="10"/>
    <x v="18"/>
    <x v="1"/>
    <x v="20"/>
    <x v="22"/>
    <x v="111"/>
    <x v="24"/>
    <x v="260"/>
    <x v="311"/>
    <x v="1"/>
    <x v="18"/>
    <x v="1"/>
    <x v="1"/>
    <x v="1"/>
    <x v="1"/>
    <x v="0"/>
    <x v="3"/>
    <x v="251"/>
    <x v="0"/>
    <x v="11"/>
    <x v="10"/>
  </r>
  <r>
    <x v="1004"/>
    <x v="101"/>
    <x v="229"/>
    <x v="17"/>
    <x v="18"/>
    <x v="4"/>
    <x v="1"/>
    <x v="11"/>
    <x v="23"/>
    <x v="0"/>
    <x v="49"/>
    <x v="0"/>
    <x v="250"/>
    <x v="56"/>
    <x v="485"/>
    <x v="257"/>
    <x v="1"/>
    <x v="16"/>
    <x v="1"/>
    <x v="2"/>
    <x v="1"/>
    <x v="1"/>
    <x v="0"/>
    <x v="0"/>
    <x v="466"/>
    <x v="0"/>
    <x v="11"/>
    <x v="10"/>
  </r>
  <r>
    <x v="1005"/>
    <x v="148"/>
    <x v="225"/>
    <x v="8"/>
    <x v="50"/>
    <x v="3"/>
    <x v="0"/>
    <x v="10"/>
    <x v="20"/>
    <x v="3"/>
    <x v="20"/>
    <x v="73"/>
    <x v="97"/>
    <x v="29"/>
    <x v="168"/>
    <x v="214"/>
    <x v="2"/>
    <x v="10"/>
    <x v="1"/>
    <x v="2"/>
    <x v="2"/>
    <x v="1"/>
    <x v="0"/>
    <x v="2"/>
    <x v="162"/>
    <x v="0"/>
    <x v="11"/>
    <x v="10"/>
  </r>
  <r>
    <x v="1006"/>
    <x v="168"/>
    <x v="219"/>
    <x v="41"/>
    <x v="6"/>
    <x v="5"/>
    <x v="1"/>
    <x v="10"/>
    <x v="21"/>
    <x v="3"/>
    <x v="44"/>
    <x v="128"/>
    <x v="205"/>
    <x v="51"/>
    <x v="367"/>
    <x v="198"/>
    <x v="1"/>
    <x v="14"/>
    <x v="1"/>
    <x v="2"/>
    <x v="1"/>
    <x v="1"/>
    <x v="0"/>
    <x v="3"/>
    <x v="353"/>
    <x v="0"/>
    <x v="11"/>
    <x v="10"/>
  </r>
  <r>
    <x v="1007"/>
    <x v="56"/>
    <x v="0"/>
    <x v="49"/>
    <x v="38"/>
    <x v="1"/>
    <x v="0"/>
    <x v="6"/>
    <x v="13"/>
    <x v="4"/>
    <x v="9"/>
    <x v="54"/>
    <x v="41"/>
    <x v="15"/>
    <x v="50"/>
    <x v="199"/>
    <x v="1"/>
    <x v="6"/>
    <x v="1"/>
    <x v="1"/>
    <x v="1"/>
    <x v="1"/>
    <x v="0"/>
    <x v="3"/>
    <x v="50"/>
    <x v="0"/>
    <x v="11"/>
    <x v="10"/>
  </r>
  <r>
    <x v="1008"/>
    <x v="223"/>
    <x v="267"/>
    <x v="83"/>
    <x v="96"/>
    <x v="2"/>
    <x v="2"/>
    <x v="10"/>
    <x v="23"/>
    <x v="2"/>
    <x v="60"/>
    <x v="128"/>
    <x v="280"/>
    <x v="70"/>
    <x v="466"/>
    <x v="146"/>
    <x v="0"/>
    <x v="13"/>
    <x v="1"/>
    <x v="2"/>
    <x v="0"/>
    <x v="1"/>
    <x v="0"/>
    <x v="1"/>
    <x v="0"/>
    <x v="0"/>
    <x v="11"/>
    <x v="10"/>
  </r>
  <r>
    <x v="1009"/>
    <x v="205"/>
    <x v="152"/>
    <x v="99"/>
    <x v="16"/>
    <x v="0"/>
    <x v="0"/>
    <x v="22"/>
    <x v="46"/>
    <x v="3"/>
    <x v="63"/>
    <x v="163"/>
    <x v="278"/>
    <x v="78"/>
    <x v="305"/>
    <x v="25"/>
    <x v="1"/>
    <x v="2"/>
    <x v="1"/>
    <x v="1"/>
    <x v="1"/>
    <x v="1"/>
    <x v="0"/>
    <x v="4"/>
    <x v="294"/>
    <x v="0"/>
    <x v="11"/>
    <x v="10"/>
  </r>
  <r>
    <x v="1010"/>
    <x v="1"/>
    <x v="254"/>
    <x v="87"/>
    <x v="26"/>
    <x v="0"/>
    <x v="0"/>
    <x v="15"/>
    <x v="34"/>
    <x v="2"/>
    <x v="35"/>
    <x v="78"/>
    <x v="174"/>
    <x v="52"/>
    <x v="227"/>
    <x v="91"/>
    <x v="1"/>
    <x v="18"/>
    <x v="0"/>
    <x v="0"/>
    <x v="1"/>
    <x v="1"/>
    <x v="0"/>
    <x v="4"/>
    <x v="219"/>
    <x v="0"/>
    <x v="11"/>
    <x v="10"/>
  </r>
  <r>
    <x v="1011"/>
    <x v="108"/>
    <x v="82"/>
    <x v="71"/>
    <x v="88"/>
    <x v="6"/>
    <x v="0"/>
    <x v="5"/>
    <x v="10"/>
    <x v="1"/>
    <x v="7"/>
    <x v="8"/>
    <x v="45"/>
    <x v="12"/>
    <x v="93"/>
    <x v="293"/>
    <x v="1"/>
    <x v="8"/>
    <x v="1"/>
    <x v="1"/>
    <x v="1"/>
    <x v="1"/>
    <x v="0"/>
    <x v="3"/>
    <x v="91"/>
    <x v="0"/>
    <x v="11"/>
    <x v="10"/>
  </r>
  <r>
    <x v="1012"/>
    <x v="242"/>
    <x v="68"/>
    <x v="13"/>
    <x v="41"/>
    <x v="3"/>
    <x v="1"/>
    <x v="6"/>
    <x v="12"/>
    <x v="4"/>
    <x v="22"/>
    <x v="101"/>
    <x v="103"/>
    <x v="30"/>
    <x v="187"/>
    <x v="221"/>
    <x v="1"/>
    <x v="0"/>
    <x v="0"/>
    <x v="1"/>
    <x v="1"/>
    <x v="1"/>
    <x v="0"/>
    <x v="3"/>
    <x v="181"/>
    <x v="0"/>
    <x v="11"/>
    <x v="10"/>
  </r>
  <r>
    <x v="1013"/>
    <x v="118"/>
    <x v="139"/>
    <x v="44"/>
    <x v="53"/>
    <x v="5"/>
    <x v="0"/>
    <x v="6"/>
    <x v="12"/>
    <x v="4"/>
    <x v="9"/>
    <x v="54"/>
    <x v="41"/>
    <x v="14"/>
    <x v="59"/>
    <x v="221"/>
    <x v="1"/>
    <x v="14"/>
    <x v="2"/>
    <x v="0"/>
    <x v="1"/>
    <x v="1"/>
    <x v="0"/>
    <x v="0"/>
    <x v="58"/>
    <x v="0"/>
    <x v="11"/>
    <x v="10"/>
  </r>
  <r>
    <x v="1014"/>
    <x v="266"/>
    <x v="210"/>
    <x v="9"/>
    <x v="95"/>
    <x v="3"/>
    <x v="2"/>
    <x v="19"/>
    <x v="39"/>
    <x v="0"/>
    <x v="93"/>
    <x v="0"/>
    <x v="410"/>
    <x v="104"/>
    <x v="657"/>
    <x v="149"/>
    <x v="0"/>
    <x v="11"/>
    <x v="0"/>
    <x v="0"/>
    <x v="0"/>
    <x v="2"/>
    <x v="0"/>
    <x v="1"/>
    <x v="0"/>
    <x v="0"/>
    <x v="11"/>
    <x v="10"/>
  </r>
  <r>
    <x v="1015"/>
    <x v="237"/>
    <x v="151"/>
    <x v="96"/>
    <x v="91"/>
    <x v="0"/>
    <x v="0"/>
    <x v="23"/>
    <x v="47"/>
    <x v="0"/>
    <x v="75"/>
    <x v="0"/>
    <x v="358"/>
    <x v="93"/>
    <x v="523"/>
    <x v="63"/>
    <x v="1"/>
    <x v="9"/>
    <x v="1"/>
    <x v="1"/>
    <x v="1"/>
    <x v="1"/>
    <x v="0"/>
    <x v="4"/>
    <x v="500"/>
    <x v="0"/>
    <x v="11"/>
    <x v="10"/>
  </r>
  <r>
    <x v="1016"/>
    <x v="75"/>
    <x v="236"/>
    <x v="94"/>
    <x v="86"/>
    <x v="0"/>
    <x v="1"/>
    <x v="18"/>
    <x v="38"/>
    <x v="5"/>
    <x v="72"/>
    <x v="215"/>
    <x v="301"/>
    <x v="84"/>
    <x v="285"/>
    <x v="13"/>
    <x v="1"/>
    <x v="5"/>
    <x v="0"/>
    <x v="2"/>
    <x v="1"/>
    <x v="1"/>
    <x v="0"/>
    <x v="3"/>
    <x v="276"/>
    <x v="0"/>
    <x v="11"/>
    <x v="10"/>
  </r>
  <r>
    <x v="1017"/>
    <x v="24"/>
    <x v="88"/>
    <x v="47"/>
    <x v="74"/>
    <x v="1"/>
    <x v="0"/>
    <x v="4"/>
    <x v="9"/>
    <x v="1"/>
    <x v="5"/>
    <x v="6"/>
    <x v="34"/>
    <x v="11"/>
    <x v="61"/>
    <x v="266"/>
    <x v="1"/>
    <x v="13"/>
    <x v="0"/>
    <x v="1"/>
    <x v="1"/>
    <x v="1"/>
    <x v="0"/>
    <x v="4"/>
    <x v="60"/>
    <x v="0"/>
    <x v="11"/>
    <x v="10"/>
  </r>
  <r>
    <x v="1018"/>
    <x v="9"/>
    <x v="251"/>
    <x v="36"/>
    <x v="63"/>
    <x v="5"/>
    <x v="1"/>
    <x v="10"/>
    <x v="20"/>
    <x v="0"/>
    <x v="44"/>
    <x v="0"/>
    <x v="228"/>
    <x v="50"/>
    <x v="469"/>
    <x v="283"/>
    <x v="4"/>
    <x v="9"/>
    <x v="1"/>
    <x v="1"/>
    <x v="2"/>
    <x v="1"/>
    <x v="0"/>
    <x v="0"/>
    <x v="450"/>
    <x v="0"/>
    <x v="11"/>
    <x v="10"/>
  </r>
  <r>
    <x v="1019"/>
    <x v="69"/>
    <x v="22"/>
    <x v="69"/>
    <x v="48"/>
    <x v="6"/>
    <x v="0"/>
    <x v="6"/>
    <x v="12"/>
    <x v="5"/>
    <x v="9"/>
    <x v="68"/>
    <x v="35"/>
    <x v="14"/>
    <x v="37"/>
    <x v="192"/>
    <x v="2"/>
    <x v="1"/>
    <x v="1"/>
    <x v="1"/>
    <x v="2"/>
    <x v="1"/>
    <x v="0"/>
    <x v="2"/>
    <x v="38"/>
    <x v="0"/>
    <x v="11"/>
    <x v="10"/>
  </r>
  <r>
    <x v="1020"/>
    <x v="51"/>
    <x v="126"/>
    <x v="31"/>
    <x v="94"/>
    <x v="5"/>
    <x v="1"/>
    <x v="5"/>
    <x v="9"/>
    <x v="2"/>
    <x v="19"/>
    <x v="49"/>
    <x v="102"/>
    <x v="24"/>
    <x v="225"/>
    <x v="297"/>
    <x v="1"/>
    <x v="10"/>
    <x v="1"/>
    <x v="1"/>
    <x v="1"/>
    <x v="1"/>
    <x v="0"/>
    <x v="0"/>
    <x v="217"/>
    <x v="0"/>
    <x v="11"/>
    <x v="10"/>
  </r>
  <r>
    <x v="1021"/>
    <x v="241"/>
    <x v="145"/>
    <x v="20"/>
    <x v="40"/>
    <x v="4"/>
    <x v="0"/>
    <x v="17"/>
    <x v="32"/>
    <x v="4"/>
    <x v="42"/>
    <x v="145"/>
    <x v="182"/>
    <x v="50"/>
    <x v="290"/>
    <x v="148"/>
    <x v="2"/>
    <x v="10"/>
    <x v="1"/>
    <x v="2"/>
    <x v="2"/>
    <x v="1"/>
    <x v="0"/>
    <x v="2"/>
    <x v="281"/>
    <x v="0"/>
    <x v="11"/>
    <x v="10"/>
  </r>
  <r>
    <x v="1022"/>
    <x v="278"/>
    <x v="142"/>
    <x v="45"/>
    <x v="30"/>
    <x v="1"/>
    <x v="1"/>
    <x v="7"/>
    <x v="15"/>
    <x v="1"/>
    <x v="26"/>
    <x v="29"/>
    <x v="142"/>
    <x v="35"/>
    <x v="294"/>
    <x v="260"/>
    <x v="1"/>
    <x v="4"/>
    <x v="0"/>
    <x v="1"/>
    <x v="1"/>
    <x v="1"/>
    <x v="0"/>
    <x v="0"/>
    <x v="284"/>
    <x v="0"/>
    <x v="11"/>
    <x v="10"/>
  </r>
  <r>
    <x v="1023"/>
    <x v="204"/>
    <x v="176"/>
    <x v="66"/>
    <x v="13"/>
    <x v="6"/>
    <x v="0"/>
    <x v="8"/>
    <x v="16"/>
    <x v="1"/>
    <x v="14"/>
    <x v="16"/>
    <x v="78"/>
    <x v="20"/>
    <x v="162"/>
    <x v="281"/>
    <x v="1"/>
    <x v="5"/>
    <x v="0"/>
    <x v="0"/>
    <x v="1"/>
    <x v="1"/>
    <x v="0"/>
    <x v="4"/>
    <x v="156"/>
    <x v="0"/>
    <x v="11"/>
    <x v="10"/>
  </r>
  <r>
    <x v="1024"/>
    <x v="300"/>
    <x v="262"/>
    <x v="54"/>
    <x v="61"/>
    <x v="1"/>
    <x v="0"/>
    <x v="12"/>
    <x v="27"/>
    <x v="3"/>
    <x v="27"/>
    <x v="90"/>
    <x v="126"/>
    <x v="39"/>
    <x v="179"/>
    <x v="139"/>
    <x v="1"/>
    <x v="4"/>
    <x v="2"/>
    <x v="1"/>
    <x v="1"/>
    <x v="1"/>
    <x v="0"/>
    <x v="0"/>
    <x v="173"/>
    <x v="0"/>
    <x v="11"/>
    <x v="10"/>
  </r>
  <r>
    <x v="1025"/>
    <x v="24"/>
    <x v="46"/>
    <x v="42"/>
    <x v="47"/>
    <x v="5"/>
    <x v="1"/>
    <x v="15"/>
    <x v="32"/>
    <x v="0"/>
    <x v="64"/>
    <x v="0"/>
    <x v="311"/>
    <x v="72"/>
    <x v="542"/>
    <x v="187"/>
    <x v="0"/>
    <x v="17"/>
    <x v="2"/>
    <x v="2"/>
    <x v="0"/>
    <x v="1"/>
    <x v="0"/>
    <x v="1"/>
    <x v="0"/>
    <x v="0"/>
    <x v="11"/>
    <x v="10"/>
  </r>
  <r>
    <x v="1026"/>
    <x v="252"/>
    <x v="117"/>
    <x v="53"/>
    <x v="29"/>
    <x v="1"/>
    <x v="3"/>
    <x v="3"/>
    <x v="6"/>
    <x v="1"/>
    <x v="30"/>
    <x v="33"/>
    <x v="169"/>
    <x v="35"/>
    <x v="395"/>
    <x v="315"/>
    <x v="1"/>
    <x v="5"/>
    <x v="2"/>
    <x v="1"/>
    <x v="1"/>
    <x v="1"/>
    <x v="0"/>
    <x v="0"/>
    <x v="381"/>
    <x v="0"/>
    <x v="11"/>
    <x v="10"/>
  </r>
  <r>
    <x v="1027"/>
    <x v="304"/>
    <x v="64"/>
    <x v="80"/>
    <x v="82"/>
    <x v="2"/>
    <x v="0"/>
    <x v="0"/>
    <x v="0"/>
    <x v="2"/>
    <x v="0"/>
    <x v="4"/>
    <x v="2"/>
    <x v="0"/>
    <x v="3"/>
    <x v="337"/>
    <x v="4"/>
    <x v="4"/>
    <x v="1"/>
    <x v="2"/>
    <x v="2"/>
    <x v="1"/>
    <x v="0"/>
    <x v="3"/>
    <x v="4"/>
    <x v="0"/>
    <x v="11"/>
    <x v="10"/>
  </r>
  <r>
    <x v="1028"/>
    <x v="177"/>
    <x v="61"/>
    <x v="43"/>
    <x v="25"/>
    <x v="5"/>
    <x v="1"/>
    <x v="3"/>
    <x v="5"/>
    <x v="2"/>
    <x v="13"/>
    <x v="33"/>
    <x v="72"/>
    <x v="17"/>
    <x v="171"/>
    <x v="324"/>
    <x v="1"/>
    <x v="14"/>
    <x v="2"/>
    <x v="0"/>
    <x v="1"/>
    <x v="1"/>
    <x v="0"/>
    <x v="0"/>
    <x v="165"/>
    <x v="0"/>
    <x v="11"/>
    <x v="10"/>
  </r>
  <r>
    <x v="1029"/>
    <x v="166"/>
    <x v="42"/>
    <x v="1"/>
    <x v="9"/>
    <x v="3"/>
    <x v="0"/>
    <x v="17"/>
    <x v="36"/>
    <x v="3"/>
    <x v="42"/>
    <x v="124"/>
    <x v="190"/>
    <x v="57"/>
    <x v="230"/>
    <x v="76"/>
    <x v="1"/>
    <x v="1"/>
    <x v="0"/>
    <x v="1"/>
    <x v="1"/>
    <x v="1"/>
    <x v="0"/>
    <x v="4"/>
    <x v="222"/>
    <x v="0"/>
    <x v="11"/>
    <x v="10"/>
  </r>
  <r>
    <x v="1030"/>
    <x v="92"/>
    <x v="215"/>
    <x v="68"/>
    <x v="80"/>
    <x v="6"/>
    <x v="1"/>
    <x v="12"/>
    <x v="27"/>
    <x v="1"/>
    <x v="53"/>
    <x v="62"/>
    <x v="259"/>
    <x v="63"/>
    <x v="470"/>
    <x v="203"/>
    <x v="1"/>
    <x v="15"/>
    <x v="2"/>
    <x v="1"/>
    <x v="1"/>
    <x v="1"/>
    <x v="0"/>
    <x v="4"/>
    <x v="451"/>
    <x v="0"/>
    <x v="11"/>
    <x v="10"/>
  </r>
  <r>
    <x v="1031"/>
    <x v="207"/>
    <x v="157"/>
    <x v="42"/>
    <x v="47"/>
    <x v="5"/>
    <x v="0"/>
    <x v="15"/>
    <x v="32"/>
    <x v="0"/>
    <x v="35"/>
    <x v="0"/>
    <x v="195"/>
    <x v="50"/>
    <x v="350"/>
    <x v="187"/>
    <x v="1"/>
    <x v="19"/>
    <x v="0"/>
    <x v="0"/>
    <x v="1"/>
    <x v="1"/>
    <x v="0"/>
    <x v="0"/>
    <x v="337"/>
    <x v="0"/>
    <x v="11"/>
    <x v="10"/>
  </r>
  <r>
    <x v="1032"/>
    <x v="98"/>
    <x v="232"/>
    <x v="66"/>
    <x v="13"/>
    <x v="6"/>
    <x v="3"/>
    <x v="8"/>
    <x v="16"/>
    <x v="3"/>
    <x v="59"/>
    <x v="157"/>
    <x v="272"/>
    <x v="63"/>
    <x v="503"/>
    <x v="234"/>
    <x v="1"/>
    <x v="2"/>
    <x v="0"/>
    <x v="1"/>
    <x v="1"/>
    <x v="1"/>
    <x v="0"/>
    <x v="4"/>
    <x v="482"/>
    <x v="0"/>
    <x v="11"/>
    <x v="10"/>
  </r>
  <r>
    <x v="1033"/>
    <x v="12"/>
    <x v="230"/>
    <x v="99"/>
    <x v="16"/>
    <x v="0"/>
    <x v="0"/>
    <x v="22"/>
    <x v="46"/>
    <x v="4"/>
    <x v="63"/>
    <x v="186"/>
    <x v="270"/>
    <x v="78"/>
    <x v="213"/>
    <x v="11"/>
    <x v="1"/>
    <x v="11"/>
    <x v="0"/>
    <x v="0"/>
    <x v="1"/>
    <x v="1"/>
    <x v="0"/>
    <x v="4"/>
    <x v="206"/>
    <x v="0"/>
    <x v="11"/>
    <x v="10"/>
  </r>
  <r>
    <x v="1034"/>
    <x v="155"/>
    <x v="292"/>
    <x v="46"/>
    <x v="85"/>
    <x v="1"/>
    <x v="0"/>
    <x v="5"/>
    <x v="11"/>
    <x v="4"/>
    <x v="7"/>
    <x v="49"/>
    <x v="33"/>
    <x v="13"/>
    <x v="33"/>
    <x v="196"/>
    <x v="1"/>
    <x v="2"/>
    <x v="1"/>
    <x v="0"/>
    <x v="1"/>
    <x v="1"/>
    <x v="0"/>
    <x v="0"/>
    <x v="34"/>
    <x v="0"/>
    <x v="11"/>
    <x v="10"/>
  </r>
  <r>
    <x v="1035"/>
    <x v="322"/>
    <x v="248"/>
    <x v="2"/>
    <x v="77"/>
    <x v="3"/>
    <x v="1"/>
    <x v="22"/>
    <x v="44"/>
    <x v="0"/>
    <x v="91"/>
    <x v="0"/>
    <x v="404"/>
    <x v="101"/>
    <x v="653"/>
    <x v="150"/>
    <x v="0"/>
    <x v="7"/>
    <x v="1"/>
    <x v="0"/>
    <x v="0"/>
    <x v="1"/>
    <x v="0"/>
    <x v="1"/>
    <x v="0"/>
    <x v="0"/>
    <x v="11"/>
    <x v="10"/>
  </r>
  <r>
    <x v="1036"/>
    <x v="18"/>
    <x v="162"/>
    <x v="86"/>
    <x v="11"/>
    <x v="2"/>
    <x v="3"/>
    <x v="6"/>
    <x v="14"/>
    <x v="5"/>
    <x v="47"/>
    <x v="172"/>
    <x v="199"/>
    <x v="55"/>
    <x v="316"/>
    <x v="134"/>
    <x v="1"/>
    <x v="4"/>
    <x v="1"/>
    <x v="2"/>
    <x v="1"/>
    <x v="1"/>
    <x v="0"/>
    <x v="3"/>
    <x v="305"/>
    <x v="0"/>
    <x v="11"/>
    <x v="10"/>
  </r>
  <r>
    <x v="1037"/>
    <x v="182"/>
    <x v="236"/>
    <x v="13"/>
    <x v="41"/>
    <x v="3"/>
    <x v="0"/>
    <x v="6"/>
    <x v="12"/>
    <x v="1"/>
    <x v="9"/>
    <x v="10"/>
    <x v="56"/>
    <x v="14"/>
    <x v="111"/>
    <x v="294"/>
    <x v="1"/>
    <x v="5"/>
    <x v="0"/>
    <x v="1"/>
    <x v="1"/>
    <x v="1"/>
    <x v="0"/>
    <x v="4"/>
    <x v="107"/>
    <x v="0"/>
    <x v="11"/>
    <x v="10"/>
  </r>
  <r>
    <x v="1038"/>
    <x v="167"/>
    <x v="72"/>
    <x v="81"/>
    <x v="31"/>
    <x v="2"/>
    <x v="1"/>
    <x v="2"/>
    <x v="4"/>
    <x v="0"/>
    <x v="10"/>
    <x v="0"/>
    <x v="67"/>
    <x v="14"/>
    <x v="158"/>
    <x v="329"/>
    <x v="1"/>
    <x v="11"/>
    <x v="1"/>
    <x v="1"/>
    <x v="1"/>
    <x v="1"/>
    <x v="0"/>
    <x v="3"/>
    <x v="152"/>
    <x v="0"/>
    <x v="11"/>
    <x v="10"/>
  </r>
  <r>
    <x v="1039"/>
    <x v="253"/>
    <x v="283"/>
    <x v="67"/>
    <x v="21"/>
    <x v="6"/>
    <x v="0"/>
    <x v="4"/>
    <x v="7"/>
    <x v="2"/>
    <x v="5"/>
    <x v="17"/>
    <x v="31"/>
    <x v="7"/>
    <x v="71"/>
    <x v="317"/>
    <x v="1"/>
    <x v="12"/>
    <x v="0"/>
    <x v="0"/>
    <x v="1"/>
    <x v="1"/>
    <x v="0"/>
    <x v="0"/>
    <x v="70"/>
    <x v="0"/>
    <x v="11"/>
    <x v="10"/>
  </r>
  <r>
    <x v="1040"/>
    <x v="280"/>
    <x v="170"/>
    <x v="18"/>
    <x v="71"/>
    <x v="4"/>
    <x v="0"/>
    <x v="20"/>
    <x v="40"/>
    <x v="5"/>
    <x v="54"/>
    <x v="185"/>
    <x v="218"/>
    <x v="67"/>
    <x v="214"/>
    <x v="36"/>
    <x v="3"/>
    <x v="11"/>
    <x v="0"/>
    <x v="1"/>
    <x v="3"/>
    <x v="1"/>
    <x v="0"/>
    <x v="3"/>
    <x v="0"/>
    <x v="0"/>
    <x v="11"/>
    <x v="10"/>
  </r>
  <r>
    <x v="1041"/>
    <x v="289"/>
    <x v="151"/>
    <x v="33"/>
    <x v="87"/>
    <x v="5"/>
    <x v="3"/>
    <x v="11"/>
    <x v="23"/>
    <x v="0"/>
    <x v="76"/>
    <x v="0"/>
    <x v="362"/>
    <x v="80"/>
    <x v="634"/>
    <x v="257"/>
    <x v="1"/>
    <x v="9"/>
    <x v="1"/>
    <x v="0"/>
    <x v="1"/>
    <x v="1"/>
    <x v="0"/>
    <x v="4"/>
    <x v="604"/>
    <x v="0"/>
    <x v="11"/>
    <x v="10"/>
  </r>
  <r>
    <x v="1042"/>
    <x v="205"/>
    <x v="163"/>
    <x v="71"/>
    <x v="88"/>
    <x v="6"/>
    <x v="0"/>
    <x v="5"/>
    <x v="10"/>
    <x v="0"/>
    <x v="7"/>
    <x v="0"/>
    <x v="50"/>
    <x v="12"/>
    <x v="104"/>
    <x v="307"/>
    <x v="3"/>
    <x v="12"/>
    <x v="0"/>
    <x v="0"/>
    <x v="3"/>
    <x v="1"/>
    <x v="0"/>
    <x v="0"/>
    <x v="0"/>
    <x v="0"/>
    <x v="11"/>
    <x v="10"/>
  </r>
  <r>
    <x v="1043"/>
    <x v="161"/>
    <x v="38"/>
    <x v="12"/>
    <x v="56"/>
    <x v="3"/>
    <x v="0"/>
    <x v="9"/>
    <x v="22"/>
    <x v="3"/>
    <x v="16"/>
    <x v="65"/>
    <x v="80"/>
    <x v="33"/>
    <x v="72"/>
    <x v="70"/>
    <x v="1"/>
    <x v="5"/>
    <x v="1"/>
    <x v="1"/>
    <x v="1"/>
    <x v="1"/>
    <x v="0"/>
    <x v="3"/>
    <x v="71"/>
    <x v="0"/>
    <x v="11"/>
    <x v="10"/>
  </r>
  <r>
    <x v="1044"/>
    <x v="164"/>
    <x v="78"/>
    <x v="87"/>
    <x v="26"/>
    <x v="0"/>
    <x v="2"/>
    <x v="15"/>
    <x v="34"/>
    <x v="5"/>
    <x v="79"/>
    <x v="225"/>
    <x v="329"/>
    <x v="92"/>
    <x v="382"/>
    <x v="20"/>
    <x v="1"/>
    <x v="19"/>
    <x v="0"/>
    <x v="2"/>
    <x v="1"/>
    <x v="1"/>
    <x v="0"/>
    <x v="4"/>
    <x v="368"/>
    <x v="0"/>
    <x v="11"/>
    <x v="10"/>
  </r>
  <r>
    <x v="1045"/>
    <x v="299"/>
    <x v="112"/>
    <x v="17"/>
    <x v="18"/>
    <x v="4"/>
    <x v="2"/>
    <x v="11"/>
    <x v="23"/>
    <x v="1"/>
    <x v="65"/>
    <x v="81"/>
    <x v="310"/>
    <x v="70"/>
    <x v="561"/>
    <x v="232"/>
    <x v="1"/>
    <x v="9"/>
    <x v="2"/>
    <x v="0"/>
    <x v="1"/>
    <x v="1"/>
    <x v="0"/>
    <x v="4"/>
    <x v="538"/>
    <x v="0"/>
    <x v="11"/>
    <x v="10"/>
  </r>
  <r>
    <x v="1046"/>
    <x v="225"/>
    <x v="222"/>
    <x v="46"/>
    <x v="85"/>
    <x v="1"/>
    <x v="0"/>
    <x v="5"/>
    <x v="11"/>
    <x v="3"/>
    <x v="7"/>
    <x v="34"/>
    <x v="37"/>
    <x v="13"/>
    <x v="49"/>
    <x v="220"/>
    <x v="1"/>
    <x v="4"/>
    <x v="1"/>
    <x v="2"/>
    <x v="1"/>
    <x v="1"/>
    <x v="0"/>
    <x v="0"/>
    <x v="49"/>
    <x v="0"/>
    <x v="11"/>
    <x v="10"/>
  </r>
  <r>
    <x v="1047"/>
    <x v="218"/>
    <x v="108"/>
    <x v="20"/>
    <x v="40"/>
    <x v="4"/>
    <x v="1"/>
    <x v="17"/>
    <x v="32"/>
    <x v="2"/>
    <x v="70"/>
    <x v="145"/>
    <x v="317"/>
    <x v="72"/>
    <x v="559"/>
    <x v="212"/>
    <x v="2"/>
    <x v="13"/>
    <x v="0"/>
    <x v="1"/>
    <x v="2"/>
    <x v="1"/>
    <x v="0"/>
    <x v="2"/>
    <x v="536"/>
    <x v="0"/>
    <x v="11"/>
    <x v="10"/>
  </r>
  <r>
    <x v="1048"/>
    <x v="80"/>
    <x v="173"/>
    <x v="37"/>
    <x v="51"/>
    <x v="5"/>
    <x v="0"/>
    <x v="8"/>
    <x v="17"/>
    <x v="3"/>
    <x v="14"/>
    <x v="55"/>
    <x v="70"/>
    <x v="21"/>
    <x v="116"/>
    <x v="215"/>
    <x v="3"/>
    <x v="3"/>
    <x v="0"/>
    <x v="2"/>
    <x v="3"/>
    <x v="1"/>
    <x v="0"/>
    <x v="0"/>
    <x v="0"/>
    <x v="0"/>
    <x v="11"/>
    <x v="10"/>
  </r>
  <r>
    <x v="1049"/>
    <x v="279"/>
    <x v="202"/>
    <x v="54"/>
    <x v="61"/>
    <x v="1"/>
    <x v="0"/>
    <x v="12"/>
    <x v="27"/>
    <x v="0"/>
    <x v="27"/>
    <x v="0"/>
    <x v="151"/>
    <x v="39"/>
    <x v="286"/>
    <x v="226"/>
    <x v="0"/>
    <x v="4"/>
    <x v="1"/>
    <x v="2"/>
    <x v="0"/>
    <x v="1"/>
    <x v="0"/>
    <x v="1"/>
    <x v="0"/>
    <x v="0"/>
    <x v="11"/>
    <x v="10"/>
  </r>
  <r>
    <x v="1050"/>
    <x v="208"/>
    <x v="31"/>
    <x v="90"/>
    <x v="69"/>
    <x v="0"/>
    <x v="0"/>
    <x v="20"/>
    <x v="41"/>
    <x v="3"/>
    <x v="54"/>
    <x v="146"/>
    <x v="238"/>
    <x v="68"/>
    <x v="289"/>
    <x v="49"/>
    <x v="1"/>
    <x v="16"/>
    <x v="1"/>
    <x v="2"/>
    <x v="1"/>
    <x v="1"/>
    <x v="0"/>
    <x v="4"/>
    <x v="280"/>
    <x v="0"/>
    <x v="11"/>
    <x v="10"/>
  </r>
  <r>
    <x v="1051"/>
    <x v="166"/>
    <x v="218"/>
    <x v="65"/>
    <x v="36"/>
    <x v="6"/>
    <x v="3"/>
    <x v="7"/>
    <x v="14"/>
    <x v="3"/>
    <x v="52"/>
    <x v="142"/>
    <x v="236"/>
    <x v="55"/>
    <x v="464"/>
    <x v="251"/>
    <x v="1"/>
    <x v="6"/>
    <x v="0"/>
    <x v="1"/>
    <x v="1"/>
    <x v="1"/>
    <x v="0"/>
    <x v="0"/>
    <x v="446"/>
    <x v="0"/>
    <x v="11"/>
    <x v="10"/>
  </r>
  <r>
    <x v="1052"/>
    <x v="60"/>
    <x v="252"/>
    <x v="20"/>
    <x v="40"/>
    <x v="4"/>
    <x v="0"/>
    <x v="17"/>
    <x v="32"/>
    <x v="1"/>
    <x v="42"/>
    <x v="47"/>
    <x v="209"/>
    <x v="50"/>
    <x v="409"/>
    <x v="233"/>
    <x v="1"/>
    <x v="2"/>
    <x v="1"/>
    <x v="1"/>
    <x v="1"/>
    <x v="1"/>
    <x v="0"/>
    <x v="0"/>
    <x v="394"/>
    <x v="0"/>
    <x v="11"/>
    <x v="10"/>
  </r>
  <r>
    <x v="1053"/>
    <x v="22"/>
    <x v="273"/>
    <x v="84"/>
    <x v="55"/>
    <x v="2"/>
    <x v="0"/>
    <x v="3"/>
    <x v="6"/>
    <x v="2"/>
    <x v="4"/>
    <x v="15"/>
    <x v="23"/>
    <x v="6"/>
    <x v="40"/>
    <x v="302"/>
    <x v="0"/>
    <x v="3"/>
    <x v="0"/>
    <x v="0"/>
    <x v="0"/>
    <x v="1"/>
    <x v="0"/>
    <x v="1"/>
    <x v="0"/>
    <x v="0"/>
    <x v="11"/>
    <x v="10"/>
  </r>
  <r>
    <x v="1054"/>
    <x v="191"/>
    <x v="28"/>
    <x v="76"/>
    <x v="64"/>
    <x v="2"/>
    <x v="0"/>
    <x v="4"/>
    <x v="8"/>
    <x v="3"/>
    <x v="5"/>
    <x v="31"/>
    <x v="26"/>
    <x v="8"/>
    <x v="46"/>
    <x v="282"/>
    <x v="1"/>
    <x v="0"/>
    <x v="1"/>
    <x v="2"/>
    <x v="1"/>
    <x v="1"/>
    <x v="0"/>
    <x v="3"/>
    <x v="46"/>
    <x v="0"/>
    <x v="11"/>
    <x v="10"/>
  </r>
  <r>
    <x v="1055"/>
    <x v="36"/>
    <x v="196"/>
    <x v="46"/>
    <x v="85"/>
    <x v="1"/>
    <x v="0"/>
    <x v="5"/>
    <x v="11"/>
    <x v="1"/>
    <x v="7"/>
    <x v="8"/>
    <x v="45"/>
    <x v="13"/>
    <x v="84"/>
    <x v="272"/>
    <x v="1"/>
    <x v="5"/>
    <x v="1"/>
    <x v="1"/>
    <x v="1"/>
    <x v="1"/>
    <x v="0"/>
    <x v="4"/>
    <x v="83"/>
    <x v="0"/>
    <x v="11"/>
    <x v="10"/>
  </r>
  <r>
    <x v="1056"/>
    <x v="137"/>
    <x v="115"/>
    <x v="16"/>
    <x v="22"/>
    <x v="4"/>
    <x v="2"/>
    <x v="15"/>
    <x v="31"/>
    <x v="0"/>
    <x v="79"/>
    <x v="0"/>
    <x v="379"/>
    <x v="86"/>
    <x v="637"/>
    <x v="229"/>
    <x v="1"/>
    <x v="18"/>
    <x v="1"/>
    <x v="0"/>
    <x v="1"/>
    <x v="1"/>
    <x v="0"/>
    <x v="4"/>
    <x v="607"/>
    <x v="0"/>
    <x v="11"/>
    <x v="10"/>
  </r>
  <r>
    <x v="1057"/>
    <x v="265"/>
    <x v="264"/>
    <x v="85"/>
    <x v="35"/>
    <x v="2"/>
    <x v="3"/>
    <x v="1"/>
    <x v="2"/>
    <x v="1"/>
    <x v="18"/>
    <x v="20"/>
    <x v="109"/>
    <x v="23"/>
    <x v="268"/>
    <x v="325"/>
    <x v="2"/>
    <x v="17"/>
    <x v="1"/>
    <x v="2"/>
    <x v="2"/>
    <x v="1"/>
    <x v="0"/>
    <x v="2"/>
    <x v="259"/>
    <x v="0"/>
    <x v="11"/>
    <x v="10"/>
  </r>
  <r>
    <x v="1058"/>
    <x v="137"/>
    <x v="227"/>
    <x v="41"/>
    <x v="6"/>
    <x v="5"/>
    <x v="1"/>
    <x v="10"/>
    <x v="21"/>
    <x v="2"/>
    <x v="44"/>
    <x v="94"/>
    <x v="212"/>
    <x v="51"/>
    <x v="406"/>
    <x v="225"/>
    <x v="1"/>
    <x v="13"/>
    <x v="0"/>
    <x v="2"/>
    <x v="1"/>
    <x v="1"/>
    <x v="0"/>
    <x v="4"/>
    <x v="391"/>
    <x v="0"/>
    <x v="11"/>
    <x v="10"/>
  </r>
  <r>
    <x v="1059"/>
    <x v="173"/>
    <x v="237"/>
    <x v="35"/>
    <x v="24"/>
    <x v="5"/>
    <x v="2"/>
    <x v="17"/>
    <x v="35"/>
    <x v="1"/>
    <x v="87"/>
    <x v="124"/>
    <x v="390"/>
    <x v="93"/>
    <x v="633"/>
    <x v="167"/>
    <x v="1"/>
    <x v="19"/>
    <x v="1"/>
    <x v="2"/>
    <x v="1"/>
    <x v="1"/>
    <x v="0"/>
    <x v="0"/>
    <x v="603"/>
    <x v="0"/>
    <x v="11"/>
    <x v="10"/>
  </r>
  <r>
    <x v="1060"/>
    <x v="183"/>
    <x v="37"/>
    <x v="15"/>
    <x v="14"/>
    <x v="4"/>
    <x v="4"/>
    <x v="7"/>
    <x v="15"/>
    <x v="1"/>
    <x v="62"/>
    <x v="76"/>
    <x v="294"/>
    <x v="67"/>
    <x v="553"/>
    <x v="260"/>
    <x v="1"/>
    <x v="15"/>
    <x v="1"/>
    <x v="1"/>
    <x v="1"/>
    <x v="1"/>
    <x v="0"/>
    <x v="3"/>
    <x v="530"/>
    <x v="0"/>
    <x v="11"/>
    <x v="10"/>
  </r>
  <r>
    <x v="1061"/>
    <x v="151"/>
    <x v="28"/>
    <x v="24"/>
    <x v="44"/>
    <x v="4"/>
    <x v="0"/>
    <x v="16"/>
    <x v="33"/>
    <x v="1"/>
    <x v="39"/>
    <x v="43"/>
    <x v="197"/>
    <x v="51"/>
    <x v="354"/>
    <x v="186"/>
    <x v="1"/>
    <x v="0"/>
    <x v="1"/>
    <x v="0"/>
    <x v="1"/>
    <x v="1"/>
    <x v="0"/>
    <x v="4"/>
    <x v="341"/>
    <x v="0"/>
    <x v="11"/>
    <x v="10"/>
  </r>
  <r>
    <x v="1062"/>
    <x v="165"/>
    <x v="148"/>
    <x v="69"/>
    <x v="48"/>
    <x v="6"/>
    <x v="4"/>
    <x v="6"/>
    <x v="12"/>
    <x v="2"/>
    <x v="57"/>
    <x v="121"/>
    <x v="271"/>
    <x v="59"/>
    <x v="527"/>
    <x v="275"/>
    <x v="1"/>
    <x v="7"/>
    <x v="0"/>
    <x v="1"/>
    <x v="1"/>
    <x v="1"/>
    <x v="0"/>
    <x v="3"/>
    <x v="504"/>
    <x v="0"/>
    <x v="11"/>
    <x v="10"/>
  </r>
  <r>
    <x v="1063"/>
    <x v="147"/>
    <x v="134"/>
    <x v="58"/>
    <x v="5"/>
    <x v="1"/>
    <x v="0"/>
    <x v="9"/>
    <x v="20"/>
    <x v="5"/>
    <x v="16"/>
    <x v="97"/>
    <x v="71"/>
    <x v="29"/>
    <x v="52"/>
    <x v="72"/>
    <x v="1"/>
    <x v="18"/>
    <x v="0"/>
    <x v="1"/>
    <x v="1"/>
    <x v="1"/>
    <x v="0"/>
    <x v="0"/>
    <x v="51"/>
    <x v="0"/>
    <x v="11"/>
    <x v="10"/>
  </r>
  <r>
    <x v="1064"/>
    <x v="0"/>
    <x v="111"/>
    <x v="13"/>
    <x v="41"/>
    <x v="3"/>
    <x v="0"/>
    <x v="6"/>
    <x v="12"/>
    <x v="0"/>
    <x v="9"/>
    <x v="0"/>
    <x v="60"/>
    <x v="14"/>
    <x v="130"/>
    <x v="308"/>
    <x v="1"/>
    <x v="11"/>
    <x v="0"/>
    <x v="0"/>
    <x v="1"/>
    <x v="1"/>
    <x v="0"/>
    <x v="4"/>
    <x v="125"/>
    <x v="0"/>
    <x v="11"/>
    <x v="10"/>
  </r>
  <r>
    <x v="1065"/>
    <x v="18"/>
    <x v="164"/>
    <x v="62"/>
    <x v="19"/>
    <x v="6"/>
    <x v="1"/>
    <x v="17"/>
    <x v="35"/>
    <x v="3"/>
    <x v="70"/>
    <x v="176"/>
    <x v="309"/>
    <x v="78"/>
    <x v="482"/>
    <x v="102"/>
    <x v="4"/>
    <x v="17"/>
    <x v="1"/>
    <x v="0"/>
    <x v="2"/>
    <x v="1"/>
    <x v="0"/>
    <x v="3"/>
    <x v="463"/>
    <x v="0"/>
    <x v="11"/>
    <x v="10"/>
  </r>
  <r>
    <x v="1066"/>
    <x v="343"/>
    <x v="86"/>
    <x v="39"/>
    <x v="20"/>
    <x v="5"/>
    <x v="1"/>
    <x v="13"/>
    <x v="29"/>
    <x v="2"/>
    <x v="56"/>
    <x v="119"/>
    <x v="266"/>
    <x v="67"/>
    <x v="461"/>
    <x v="172"/>
    <x v="1"/>
    <x v="10"/>
    <x v="1"/>
    <x v="1"/>
    <x v="1"/>
    <x v="1"/>
    <x v="0"/>
    <x v="0"/>
    <x v="444"/>
    <x v="0"/>
    <x v="11"/>
    <x v="10"/>
  </r>
  <r>
    <x v="1067"/>
    <x v="107"/>
    <x v="109"/>
    <x v="55"/>
    <x v="37"/>
    <x v="1"/>
    <x v="2"/>
    <x v="15"/>
    <x v="34"/>
    <x v="1"/>
    <x v="79"/>
    <x v="106"/>
    <x v="371"/>
    <x v="92"/>
    <x v="581"/>
    <x v="122"/>
    <x v="1"/>
    <x v="7"/>
    <x v="1"/>
    <x v="1"/>
    <x v="1"/>
    <x v="1"/>
    <x v="0"/>
    <x v="4"/>
    <x v="557"/>
    <x v="0"/>
    <x v="11"/>
    <x v="10"/>
  </r>
  <r>
    <x v="1068"/>
    <x v="304"/>
    <x v="205"/>
    <x v="49"/>
    <x v="38"/>
    <x v="1"/>
    <x v="2"/>
    <x v="6"/>
    <x v="13"/>
    <x v="0"/>
    <x v="36"/>
    <x v="0"/>
    <x v="199"/>
    <x v="44"/>
    <x v="428"/>
    <x v="291"/>
    <x v="3"/>
    <x v="10"/>
    <x v="1"/>
    <x v="1"/>
    <x v="3"/>
    <x v="1"/>
    <x v="0"/>
    <x v="0"/>
    <x v="0"/>
    <x v="0"/>
    <x v="11"/>
    <x v="10"/>
  </r>
  <r>
    <x v="1069"/>
    <x v="256"/>
    <x v="154"/>
    <x v="43"/>
    <x v="25"/>
    <x v="5"/>
    <x v="1"/>
    <x v="3"/>
    <x v="5"/>
    <x v="1"/>
    <x v="13"/>
    <x v="15"/>
    <x v="77"/>
    <x v="17"/>
    <x v="192"/>
    <x v="332"/>
    <x v="1"/>
    <x v="18"/>
    <x v="2"/>
    <x v="0"/>
    <x v="1"/>
    <x v="1"/>
    <x v="0"/>
    <x v="4"/>
    <x v="186"/>
    <x v="0"/>
    <x v="11"/>
    <x v="10"/>
  </r>
  <r>
    <x v="1070"/>
    <x v="83"/>
    <x v="287"/>
    <x v="54"/>
    <x v="61"/>
    <x v="1"/>
    <x v="1"/>
    <x v="12"/>
    <x v="27"/>
    <x v="1"/>
    <x v="53"/>
    <x v="62"/>
    <x v="259"/>
    <x v="63"/>
    <x v="470"/>
    <x v="203"/>
    <x v="4"/>
    <x v="13"/>
    <x v="1"/>
    <x v="1"/>
    <x v="2"/>
    <x v="1"/>
    <x v="0"/>
    <x v="0"/>
    <x v="451"/>
    <x v="0"/>
    <x v="11"/>
    <x v="10"/>
  </r>
  <r>
    <x v="1071"/>
    <x v="189"/>
    <x v="161"/>
    <x v="54"/>
    <x v="61"/>
    <x v="1"/>
    <x v="0"/>
    <x v="12"/>
    <x v="27"/>
    <x v="2"/>
    <x v="27"/>
    <x v="62"/>
    <x v="137"/>
    <x v="39"/>
    <x v="212"/>
    <x v="171"/>
    <x v="1"/>
    <x v="8"/>
    <x v="1"/>
    <x v="2"/>
    <x v="1"/>
    <x v="1"/>
    <x v="0"/>
    <x v="0"/>
    <x v="205"/>
    <x v="0"/>
    <x v="11"/>
    <x v="10"/>
  </r>
  <r>
    <x v="1072"/>
    <x v="47"/>
    <x v="264"/>
    <x v="17"/>
    <x v="18"/>
    <x v="4"/>
    <x v="0"/>
    <x v="11"/>
    <x v="23"/>
    <x v="0"/>
    <x v="23"/>
    <x v="0"/>
    <x v="136"/>
    <x v="34"/>
    <x v="274"/>
    <x v="257"/>
    <x v="0"/>
    <x v="17"/>
    <x v="1"/>
    <x v="0"/>
    <x v="0"/>
    <x v="1"/>
    <x v="0"/>
    <x v="1"/>
    <x v="0"/>
    <x v="0"/>
    <x v="11"/>
    <x v="10"/>
  </r>
  <r>
    <x v="1073"/>
    <x v="95"/>
    <x v="245"/>
    <x v="33"/>
    <x v="87"/>
    <x v="5"/>
    <x v="1"/>
    <x v="11"/>
    <x v="23"/>
    <x v="3"/>
    <x v="49"/>
    <x v="137"/>
    <x v="224"/>
    <x v="56"/>
    <x v="394"/>
    <x v="181"/>
    <x v="1"/>
    <x v="10"/>
    <x v="1"/>
    <x v="0"/>
    <x v="1"/>
    <x v="1"/>
    <x v="0"/>
    <x v="3"/>
    <x v="380"/>
    <x v="0"/>
    <x v="11"/>
    <x v="10"/>
  </r>
  <r>
    <x v="1074"/>
    <x v="341"/>
    <x v="14"/>
    <x v="62"/>
    <x v="19"/>
    <x v="6"/>
    <x v="0"/>
    <x v="17"/>
    <x v="35"/>
    <x v="3"/>
    <x v="42"/>
    <x v="124"/>
    <x v="190"/>
    <x v="55"/>
    <x v="267"/>
    <x v="102"/>
    <x v="1"/>
    <x v="2"/>
    <x v="1"/>
    <x v="1"/>
    <x v="1"/>
    <x v="1"/>
    <x v="0"/>
    <x v="3"/>
    <x v="258"/>
    <x v="0"/>
    <x v="11"/>
    <x v="10"/>
  </r>
  <r>
    <x v="1075"/>
    <x v="196"/>
    <x v="61"/>
    <x v="88"/>
    <x v="57"/>
    <x v="0"/>
    <x v="0"/>
    <x v="22"/>
    <x v="45"/>
    <x v="1"/>
    <x v="63"/>
    <x v="77"/>
    <x v="295"/>
    <x v="76"/>
    <x v="447"/>
    <x v="84"/>
    <x v="1"/>
    <x v="14"/>
    <x v="2"/>
    <x v="2"/>
    <x v="1"/>
    <x v="1"/>
    <x v="0"/>
    <x v="4"/>
    <x v="432"/>
    <x v="0"/>
    <x v="11"/>
    <x v="10"/>
  </r>
  <r>
    <x v="1076"/>
    <x v="106"/>
    <x v="192"/>
    <x v="68"/>
    <x v="80"/>
    <x v="6"/>
    <x v="0"/>
    <x v="12"/>
    <x v="27"/>
    <x v="2"/>
    <x v="27"/>
    <x v="62"/>
    <x v="137"/>
    <x v="39"/>
    <x v="212"/>
    <x v="171"/>
    <x v="3"/>
    <x v="2"/>
    <x v="1"/>
    <x v="1"/>
    <x v="3"/>
    <x v="1"/>
    <x v="0"/>
    <x v="3"/>
    <x v="0"/>
    <x v="0"/>
    <x v="11"/>
    <x v="10"/>
  </r>
  <r>
    <x v="1077"/>
    <x v="311"/>
    <x v="14"/>
    <x v="58"/>
    <x v="5"/>
    <x v="1"/>
    <x v="0"/>
    <x v="9"/>
    <x v="20"/>
    <x v="3"/>
    <x v="16"/>
    <x v="65"/>
    <x v="80"/>
    <x v="29"/>
    <x v="109"/>
    <x v="138"/>
    <x v="0"/>
    <x v="2"/>
    <x v="1"/>
    <x v="0"/>
    <x v="0"/>
    <x v="1"/>
    <x v="0"/>
    <x v="1"/>
    <x v="0"/>
    <x v="0"/>
    <x v="11"/>
    <x v="10"/>
  </r>
  <r>
    <x v="1078"/>
    <x v="262"/>
    <x v="13"/>
    <x v="64"/>
    <x v="3"/>
    <x v="6"/>
    <x v="0"/>
    <x v="12"/>
    <x v="28"/>
    <x v="2"/>
    <x v="27"/>
    <x v="62"/>
    <x v="137"/>
    <x v="41"/>
    <x v="201"/>
    <x v="154"/>
    <x v="4"/>
    <x v="9"/>
    <x v="1"/>
    <x v="0"/>
    <x v="2"/>
    <x v="1"/>
    <x v="0"/>
    <x v="0"/>
    <x v="194"/>
    <x v="0"/>
    <x v="11"/>
    <x v="10"/>
  </r>
  <r>
    <x v="1079"/>
    <x v="221"/>
    <x v="283"/>
    <x v="81"/>
    <x v="31"/>
    <x v="2"/>
    <x v="0"/>
    <x v="2"/>
    <x v="4"/>
    <x v="1"/>
    <x v="2"/>
    <x v="3"/>
    <x v="16"/>
    <x v="4"/>
    <x v="31"/>
    <x v="318"/>
    <x v="1"/>
    <x v="12"/>
    <x v="0"/>
    <x v="2"/>
    <x v="1"/>
    <x v="1"/>
    <x v="0"/>
    <x v="0"/>
    <x v="32"/>
    <x v="0"/>
    <x v="11"/>
    <x v="10"/>
  </r>
  <r>
    <x v="1080"/>
    <x v="114"/>
    <x v="178"/>
    <x v="6"/>
    <x v="46"/>
    <x v="3"/>
    <x v="2"/>
    <x v="12"/>
    <x v="25"/>
    <x v="1"/>
    <x v="69"/>
    <x v="90"/>
    <x v="323"/>
    <x v="73"/>
    <x v="574"/>
    <x v="216"/>
    <x v="1"/>
    <x v="6"/>
    <x v="0"/>
    <x v="2"/>
    <x v="1"/>
    <x v="1"/>
    <x v="0"/>
    <x v="4"/>
    <x v="551"/>
    <x v="0"/>
    <x v="11"/>
    <x v="10"/>
  </r>
  <r>
    <x v="1081"/>
    <x v="194"/>
    <x v="288"/>
    <x v="73"/>
    <x v="60"/>
    <x v="2"/>
    <x v="0"/>
    <x v="3"/>
    <x v="6"/>
    <x v="3"/>
    <x v="4"/>
    <x v="24"/>
    <x v="20"/>
    <x v="6"/>
    <x v="30"/>
    <x v="286"/>
    <x v="1"/>
    <x v="7"/>
    <x v="1"/>
    <x v="1"/>
    <x v="1"/>
    <x v="1"/>
    <x v="0"/>
    <x v="4"/>
    <x v="31"/>
    <x v="0"/>
    <x v="11"/>
    <x v="10"/>
  </r>
  <r>
    <x v="1082"/>
    <x v="205"/>
    <x v="22"/>
    <x v="17"/>
    <x v="18"/>
    <x v="4"/>
    <x v="4"/>
    <x v="11"/>
    <x v="23"/>
    <x v="4"/>
    <x v="86"/>
    <x v="221"/>
    <x v="362"/>
    <x v="89"/>
    <x v="591"/>
    <x v="147"/>
    <x v="1"/>
    <x v="1"/>
    <x v="1"/>
    <x v="0"/>
    <x v="1"/>
    <x v="1"/>
    <x v="0"/>
    <x v="4"/>
    <x v="566"/>
    <x v="0"/>
    <x v="11"/>
    <x v="10"/>
  </r>
  <r>
    <x v="1083"/>
    <x v="354"/>
    <x v="70"/>
    <x v="15"/>
    <x v="14"/>
    <x v="4"/>
    <x v="0"/>
    <x v="7"/>
    <x v="15"/>
    <x v="1"/>
    <x v="11"/>
    <x v="12"/>
    <x v="64"/>
    <x v="18"/>
    <x v="119"/>
    <x v="260"/>
    <x v="1"/>
    <x v="7"/>
    <x v="2"/>
    <x v="0"/>
    <x v="1"/>
    <x v="1"/>
    <x v="0"/>
    <x v="3"/>
    <x v="115"/>
    <x v="0"/>
    <x v="11"/>
    <x v="10"/>
  </r>
  <r>
    <x v="1084"/>
    <x v="166"/>
    <x v="2"/>
    <x v="41"/>
    <x v="6"/>
    <x v="5"/>
    <x v="2"/>
    <x v="10"/>
    <x v="21"/>
    <x v="1"/>
    <x v="60"/>
    <x v="73"/>
    <x v="290"/>
    <x v="66"/>
    <x v="538"/>
    <x v="245"/>
    <x v="1"/>
    <x v="1"/>
    <x v="1"/>
    <x v="0"/>
    <x v="1"/>
    <x v="1"/>
    <x v="0"/>
    <x v="0"/>
    <x v="515"/>
    <x v="0"/>
    <x v="11"/>
    <x v="10"/>
  </r>
  <r>
    <x v="1085"/>
    <x v="148"/>
    <x v="156"/>
    <x v="98"/>
    <x v="72"/>
    <x v="0"/>
    <x v="1"/>
    <x v="15"/>
    <x v="34"/>
    <x v="0"/>
    <x v="64"/>
    <x v="0"/>
    <x v="311"/>
    <x v="75"/>
    <x v="520"/>
    <x v="155"/>
    <x v="2"/>
    <x v="5"/>
    <x v="0"/>
    <x v="0"/>
    <x v="2"/>
    <x v="1"/>
    <x v="0"/>
    <x v="2"/>
    <x v="497"/>
    <x v="0"/>
    <x v="11"/>
    <x v="10"/>
  </r>
  <r>
    <x v="1086"/>
    <x v="67"/>
    <x v="183"/>
    <x v="45"/>
    <x v="30"/>
    <x v="1"/>
    <x v="2"/>
    <x v="7"/>
    <x v="15"/>
    <x v="2"/>
    <x v="41"/>
    <x v="88"/>
    <x v="200"/>
    <x v="48"/>
    <x v="391"/>
    <x v="236"/>
    <x v="1"/>
    <x v="12"/>
    <x v="0"/>
    <x v="1"/>
    <x v="1"/>
    <x v="1"/>
    <x v="0"/>
    <x v="4"/>
    <x v="377"/>
    <x v="0"/>
    <x v="11"/>
    <x v="10"/>
  </r>
  <r>
    <x v="1087"/>
    <x v="51"/>
    <x v="118"/>
    <x v="42"/>
    <x v="47"/>
    <x v="5"/>
    <x v="1"/>
    <x v="15"/>
    <x v="32"/>
    <x v="3"/>
    <x v="64"/>
    <x v="164"/>
    <x v="284"/>
    <x v="72"/>
    <x v="445"/>
    <x v="96"/>
    <x v="1"/>
    <x v="19"/>
    <x v="1"/>
    <x v="0"/>
    <x v="1"/>
    <x v="1"/>
    <x v="0"/>
    <x v="0"/>
    <x v="430"/>
    <x v="0"/>
    <x v="11"/>
    <x v="10"/>
  </r>
  <r>
    <x v="1088"/>
    <x v="53"/>
    <x v="26"/>
    <x v="9"/>
    <x v="95"/>
    <x v="3"/>
    <x v="0"/>
    <x v="19"/>
    <x v="39"/>
    <x v="3"/>
    <x v="50"/>
    <x v="138"/>
    <x v="225"/>
    <x v="65"/>
    <x v="276"/>
    <x v="61"/>
    <x v="1"/>
    <x v="17"/>
    <x v="1"/>
    <x v="0"/>
    <x v="1"/>
    <x v="1"/>
    <x v="0"/>
    <x v="4"/>
    <x v="267"/>
    <x v="0"/>
    <x v="11"/>
    <x v="10"/>
  </r>
  <r>
    <x v="1089"/>
    <x v="124"/>
    <x v="92"/>
    <x v="76"/>
    <x v="64"/>
    <x v="2"/>
    <x v="2"/>
    <x v="4"/>
    <x v="8"/>
    <x v="4"/>
    <x v="28"/>
    <x v="116"/>
    <x v="124"/>
    <x v="32"/>
    <x v="246"/>
    <x v="259"/>
    <x v="1"/>
    <x v="9"/>
    <x v="2"/>
    <x v="2"/>
    <x v="1"/>
    <x v="1"/>
    <x v="0"/>
    <x v="4"/>
    <x v="238"/>
    <x v="0"/>
    <x v="11"/>
    <x v="10"/>
  </r>
  <r>
    <x v="1090"/>
    <x v="329"/>
    <x v="52"/>
    <x v="74"/>
    <x v="4"/>
    <x v="2"/>
    <x v="2"/>
    <x v="1"/>
    <x v="1"/>
    <x v="5"/>
    <x v="12"/>
    <x v="85"/>
    <x v="57"/>
    <x v="16"/>
    <x v="118"/>
    <x v="284"/>
    <x v="1"/>
    <x v="11"/>
    <x v="1"/>
    <x v="1"/>
    <x v="1"/>
    <x v="1"/>
    <x v="0"/>
    <x v="0"/>
    <x v="114"/>
    <x v="0"/>
    <x v="11"/>
    <x v="10"/>
  </r>
  <r>
    <x v="1091"/>
    <x v="38"/>
    <x v="264"/>
    <x v="44"/>
    <x v="53"/>
    <x v="5"/>
    <x v="0"/>
    <x v="6"/>
    <x v="12"/>
    <x v="2"/>
    <x v="9"/>
    <x v="25"/>
    <x v="53"/>
    <x v="14"/>
    <x v="95"/>
    <x v="275"/>
    <x v="1"/>
    <x v="17"/>
    <x v="1"/>
    <x v="0"/>
    <x v="1"/>
    <x v="1"/>
    <x v="0"/>
    <x v="4"/>
    <x v="93"/>
    <x v="0"/>
    <x v="11"/>
    <x v="10"/>
  </r>
  <r>
    <x v="1092"/>
    <x v="282"/>
    <x v="122"/>
    <x v="64"/>
    <x v="3"/>
    <x v="6"/>
    <x v="1"/>
    <x v="12"/>
    <x v="28"/>
    <x v="4"/>
    <x v="53"/>
    <x v="168"/>
    <x v="229"/>
    <x v="64"/>
    <x v="325"/>
    <x v="85"/>
    <x v="1"/>
    <x v="8"/>
    <x v="1"/>
    <x v="1"/>
    <x v="1"/>
    <x v="1"/>
    <x v="0"/>
    <x v="4"/>
    <x v="313"/>
    <x v="0"/>
    <x v="11"/>
    <x v="10"/>
  </r>
  <r>
    <x v="1093"/>
    <x v="57"/>
    <x v="97"/>
    <x v="1"/>
    <x v="9"/>
    <x v="3"/>
    <x v="0"/>
    <x v="17"/>
    <x v="36"/>
    <x v="1"/>
    <x v="42"/>
    <x v="47"/>
    <x v="209"/>
    <x v="57"/>
    <x v="331"/>
    <x v="131"/>
    <x v="1"/>
    <x v="5"/>
    <x v="2"/>
    <x v="1"/>
    <x v="1"/>
    <x v="1"/>
    <x v="0"/>
    <x v="0"/>
    <x v="319"/>
    <x v="0"/>
    <x v="11"/>
    <x v="10"/>
  </r>
  <r>
    <x v="1094"/>
    <x v="113"/>
    <x v="183"/>
    <x v="39"/>
    <x v="20"/>
    <x v="5"/>
    <x v="0"/>
    <x v="13"/>
    <x v="29"/>
    <x v="4"/>
    <x v="29"/>
    <x v="119"/>
    <x v="130"/>
    <x v="43"/>
    <x v="169"/>
    <x v="106"/>
    <x v="1"/>
    <x v="12"/>
    <x v="0"/>
    <x v="1"/>
    <x v="1"/>
    <x v="1"/>
    <x v="0"/>
    <x v="0"/>
    <x v="163"/>
    <x v="0"/>
    <x v="11"/>
    <x v="10"/>
  </r>
  <r>
    <x v="1095"/>
    <x v="166"/>
    <x v="163"/>
    <x v="48"/>
    <x v="28"/>
    <x v="1"/>
    <x v="1"/>
    <x v="3"/>
    <x v="7"/>
    <x v="0"/>
    <x v="13"/>
    <x v="0"/>
    <x v="83"/>
    <x v="19"/>
    <x v="184"/>
    <x v="306"/>
    <x v="1"/>
    <x v="12"/>
    <x v="0"/>
    <x v="1"/>
    <x v="1"/>
    <x v="1"/>
    <x v="0"/>
    <x v="4"/>
    <x v="178"/>
    <x v="0"/>
    <x v="11"/>
    <x v="10"/>
  </r>
  <r>
    <x v="1096"/>
    <x v="86"/>
    <x v="139"/>
    <x v="11"/>
    <x v="15"/>
    <x v="3"/>
    <x v="1"/>
    <x v="8"/>
    <x v="17"/>
    <x v="2"/>
    <x v="32"/>
    <x v="72"/>
    <x v="161"/>
    <x v="41"/>
    <x v="324"/>
    <x v="238"/>
    <x v="1"/>
    <x v="14"/>
    <x v="2"/>
    <x v="0"/>
    <x v="1"/>
    <x v="1"/>
    <x v="0"/>
    <x v="4"/>
    <x v="312"/>
    <x v="0"/>
    <x v="11"/>
    <x v="10"/>
  </r>
  <r>
    <x v="1097"/>
    <x v="164"/>
    <x v="170"/>
    <x v="25"/>
    <x v="84"/>
    <x v="4"/>
    <x v="0"/>
    <x v="10"/>
    <x v="18"/>
    <x v="2"/>
    <x v="20"/>
    <x v="50"/>
    <x v="104"/>
    <x v="24"/>
    <x v="227"/>
    <x v="299"/>
    <x v="0"/>
    <x v="11"/>
    <x v="0"/>
    <x v="0"/>
    <x v="0"/>
    <x v="1"/>
    <x v="0"/>
    <x v="1"/>
    <x v="0"/>
    <x v="0"/>
    <x v="11"/>
    <x v="10"/>
  </r>
  <r>
    <x v="1098"/>
    <x v="315"/>
    <x v="131"/>
    <x v="8"/>
    <x v="50"/>
    <x v="3"/>
    <x v="0"/>
    <x v="10"/>
    <x v="20"/>
    <x v="3"/>
    <x v="20"/>
    <x v="73"/>
    <x v="97"/>
    <x v="29"/>
    <x v="168"/>
    <x v="214"/>
    <x v="1"/>
    <x v="9"/>
    <x v="0"/>
    <x v="0"/>
    <x v="1"/>
    <x v="1"/>
    <x v="0"/>
    <x v="4"/>
    <x v="162"/>
    <x v="0"/>
    <x v="11"/>
    <x v="10"/>
  </r>
  <r>
    <x v="1099"/>
    <x v="37"/>
    <x v="250"/>
    <x v="38"/>
    <x v="92"/>
    <x v="5"/>
    <x v="0"/>
    <x v="9"/>
    <x v="18"/>
    <x v="1"/>
    <x v="16"/>
    <x v="18"/>
    <x v="92"/>
    <x v="24"/>
    <x v="190"/>
    <x v="268"/>
    <x v="1"/>
    <x v="11"/>
    <x v="0"/>
    <x v="1"/>
    <x v="1"/>
    <x v="1"/>
    <x v="0"/>
    <x v="3"/>
    <x v="184"/>
    <x v="0"/>
    <x v="11"/>
    <x v="10"/>
  </r>
  <r>
    <x v="1100"/>
    <x v="292"/>
    <x v="180"/>
    <x v="62"/>
    <x v="19"/>
    <x v="6"/>
    <x v="1"/>
    <x v="17"/>
    <x v="35"/>
    <x v="2"/>
    <x v="70"/>
    <x v="145"/>
    <x v="317"/>
    <x v="78"/>
    <x v="521"/>
    <x v="135"/>
    <x v="1"/>
    <x v="1"/>
    <x v="0"/>
    <x v="2"/>
    <x v="1"/>
    <x v="1"/>
    <x v="0"/>
    <x v="0"/>
    <x v="498"/>
    <x v="0"/>
    <x v="11"/>
    <x v="10"/>
  </r>
  <r>
    <x v="1101"/>
    <x v="193"/>
    <x v="19"/>
    <x v="81"/>
    <x v="31"/>
    <x v="2"/>
    <x v="3"/>
    <x v="2"/>
    <x v="4"/>
    <x v="2"/>
    <x v="25"/>
    <x v="59"/>
    <x v="132"/>
    <x v="30"/>
    <x v="308"/>
    <x v="305"/>
    <x v="1"/>
    <x v="19"/>
    <x v="1"/>
    <x v="1"/>
    <x v="1"/>
    <x v="1"/>
    <x v="0"/>
    <x v="4"/>
    <x v="297"/>
    <x v="0"/>
    <x v="11"/>
    <x v="10"/>
  </r>
  <r>
    <x v="1102"/>
    <x v="321"/>
    <x v="180"/>
    <x v="97"/>
    <x v="81"/>
    <x v="0"/>
    <x v="0"/>
    <x v="12"/>
    <x v="29"/>
    <x v="1"/>
    <x v="27"/>
    <x v="30"/>
    <x v="143"/>
    <x v="43"/>
    <x v="211"/>
    <x v="151"/>
    <x v="1"/>
    <x v="1"/>
    <x v="0"/>
    <x v="1"/>
    <x v="1"/>
    <x v="1"/>
    <x v="0"/>
    <x v="3"/>
    <x v="204"/>
    <x v="0"/>
    <x v="11"/>
    <x v="10"/>
  </r>
  <r>
    <x v="1103"/>
    <x v="211"/>
    <x v="150"/>
    <x v="41"/>
    <x v="6"/>
    <x v="5"/>
    <x v="2"/>
    <x v="10"/>
    <x v="21"/>
    <x v="5"/>
    <x v="60"/>
    <x v="196"/>
    <x v="249"/>
    <x v="66"/>
    <x v="405"/>
    <x v="126"/>
    <x v="1"/>
    <x v="11"/>
    <x v="1"/>
    <x v="1"/>
    <x v="1"/>
    <x v="1"/>
    <x v="0"/>
    <x v="3"/>
    <x v="390"/>
    <x v="0"/>
    <x v="11"/>
    <x v="10"/>
  </r>
  <r>
    <x v="1104"/>
    <x v="28"/>
    <x v="257"/>
    <x v="78"/>
    <x v="1"/>
    <x v="2"/>
    <x v="1"/>
    <x v="9"/>
    <x v="20"/>
    <x v="1"/>
    <x v="38"/>
    <x v="42"/>
    <x v="196"/>
    <x v="50"/>
    <x v="363"/>
    <x v="202"/>
    <x v="1"/>
    <x v="19"/>
    <x v="1"/>
    <x v="0"/>
    <x v="1"/>
    <x v="1"/>
    <x v="0"/>
    <x v="4"/>
    <x v="349"/>
    <x v="0"/>
    <x v="11"/>
    <x v="10"/>
  </r>
  <r>
    <x v="1105"/>
    <x v="11"/>
    <x v="115"/>
    <x v="16"/>
    <x v="22"/>
    <x v="4"/>
    <x v="0"/>
    <x v="15"/>
    <x v="31"/>
    <x v="2"/>
    <x v="35"/>
    <x v="78"/>
    <x v="174"/>
    <x v="47"/>
    <x v="302"/>
    <x v="174"/>
    <x v="1"/>
    <x v="18"/>
    <x v="1"/>
    <x v="2"/>
    <x v="1"/>
    <x v="1"/>
    <x v="0"/>
    <x v="3"/>
    <x v="291"/>
    <x v="0"/>
    <x v="11"/>
    <x v="10"/>
  </r>
  <r>
    <x v="1106"/>
    <x v="207"/>
    <x v="235"/>
    <x v="38"/>
    <x v="92"/>
    <x v="5"/>
    <x v="1"/>
    <x v="9"/>
    <x v="18"/>
    <x v="5"/>
    <x v="38"/>
    <x v="154"/>
    <x v="157"/>
    <x v="45"/>
    <x v="249"/>
    <x v="156"/>
    <x v="1"/>
    <x v="15"/>
    <x v="1"/>
    <x v="1"/>
    <x v="1"/>
    <x v="1"/>
    <x v="0"/>
    <x v="4"/>
    <x v="241"/>
    <x v="0"/>
    <x v="11"/>
    <x v="10"/>
  </r>
  <r>
    <x v="1107"/>
    <x v="150"/>
    <x v="183"/>
    <x v="57"/>
    <x v="58"/>
    <x v="1"/>
    <x v="0"/>
    <x v="5"/>
    <x v="11"/>
    <x v="0"/>
    <x v="7"/>
    <x v="0"/>
    <x v="50"/>
    <x v="13"/>
    <x v="97"/>
    <x v="289"/>
    <x v="1"/>
    <x v="12"/>
    <x v="0"/>
    <x v="2"/>
    <x v="1"/>
    <x v="1"/>
    <x v="0"/>
    <x v="0"/>
    <x v="95"/>
    <x v="0"/>
    <x v="11"/>
    <x v="10"/>
  </r>
  <r>
    <x v="1108"/>
    <x v="230"/>
    <x v="175"/>
    <x v="48"/>
    <x v="28"/>
    <x v="1"/>
    <x v="0"/>
    <x v="3"/>
    <x v="7"/>
    <x v="3"/>
    <x v="4"/>
    <x v="24"/>
    <x v="20"/>
    <x v="7"/>
    <x v="26"/>
    <x v="248"/>
    <x v="4"/>
    <x v="15"/>
    <x v="2"/>
    <x v="1"/>
    <x v="2"/>
    <x v="1"/>
    <x v="0"/>
    <x v="3"/>
    <x v="27"/>
    <x v="0"/>
    <x v="11"/>
    <x v="10"/>
  </r>
  <r>
    <x v="1109"/>
    <x v="59"/>
    <x v="104"/>
    <x v="4"/>
    <x v="66"/>
    <x v="3"/>
    <x v="0"/>
    <x v="14"/>
    <x v="31"/>
    <x v="1"/>
    <x v="33"/>
    <x v="36"/>
    <x v="172"/>
    <x v="47"/>
    <x v="278"/>
    <x v="158"/>
    <x v="1"/>
    <x v="12"/>
    <x v="0"/>
    <x v="0"/>
    <x v="1"/>
    <x v="1"/>
    <x v="0"/>
    <x v="0"/>
    <x v="269"/>
    <x v="0"/>
    <x v="11"/>
    <x v="10"/>
  </r>
  <r>
    <x v="1110"/>
    <x v="64"/>
    <x v="5"/>
    <x v="85"/>
    <x v="35"/>
    <x v="2"/>
    <x v="0"/>
    <x v="1"/>
    <x v="2"/>
    <x v="0"/>
    <x v="1"/>
    <x v="0"/>
    <x v="11"/>
    <x v="2"/>
    <x v="19"/>
    <x v="333"/>
    <x v="1"/>
    <x v="12"/>
    <x v="1"/>
    <x v="1"/>
    <x v="1"/>
    <x v="1"/>
    <x v="0"/>
    <x v="3"/>
    <x v="20"/>
    <x v="0"/>
    <x v="11"/>
    <x v="10"/>
  </r>
  <r>
    <x v="1111"/>
    <x v="162"/>
    <x v="101"/>
    <x v="80"/>
    <x v="82"/>
    <x v="2"/>
    <x v="0"/>
    <x v="0"/>
    <x v="0"/>
    <x v="1"/>
    <x v="0"/>
    <x v="1"/>
    <x v="3"/>
    <x v="0"/>
    <x v="6"/>
    <x v="341"/>
    <x v="2"/>
    <x v="1"/>
    <x v="1"/>
    <x v="2"/>
    <x v="2"/>
    <x v="1"/>
    <x v="0"/>
    <x v="2"/>
    <x v="7"/>
    <x v="0"/>
    <x v="11"/>
    <x v="10"/>
  </r>
  <r>
    <x v="1112"/>
    <x v="224"/>
    <x v="193"/>
    <x v="55"/>
    <x v="37"/>
    <x v="1"/>
    <x v="0"/>
    <x v="15"/>
    <x v="34"/>
    <x v="2"/>
    <x v="35"/>
    <x v="78"/>
    <x v="174"/>
    <x v="52"/>
    <x v="227"/>
    <x v="91"/>
    <x v="1"/>
    <x v="3"/>
    <x v="1"/>
    <x v="1"/>
    <x v="1"/>
    <x v="1"/>
    <x v="0"/>
    <x v="4"/>
    <x v="219"/>
    <x v="0"/>
    <x v="11"/>
    <x v="10"/>
  </r>
  <r>
    <x v="1113"/>
    <x v="176"/>
    <x v="195"/>
    <x v="8"/>
    <x v="50"/>
    <x v="3"/>
    <x v="1"/>
    <x v="10"/>
    <x v="20"/>
    <x v="1"/>
    <x v="44"/>
    <x v="50"/>
    <x v="220"/>
    <x v="50"/>
    <x v="446"/>
    <x v="262"/>
    <x v="0"/>
    <x v="15"/>
    <x v="1"/>
    <x v="1"/>
    <x v="0"/>
    <x v="1"/>
    <x v="0"/>
    <x v="1"/>
    <x v="0"/>
    <x v="0"/>
    <x v="11"/>
    <x v="10"/>
  </r>
  <r>
    <x v="1114"/>
    <x v="202"/>
    <x v="35"/>
    <x v="65"/>
    <x v="36"/>
    <x v="6"/>
    <x v="0"/>
    <x v="7"/>
    <x v="14"/>
    <x v="1"/>
    <x v="11"/>
    <x v="12"/>
    <x v="64"/>
    <x v="17"/>
    <x v="132"/>
    <x v="295"/>
    <x v="4"/>
    <x v="3"/>
    <x v="0"/>
    <x v="1"/>
    <x v="2"/>
    <x v="1"/>
    <x v="0"/>
    <x v="3"/>
    <x v="127"/>
    <x v="0"/>
    <x v="11"/>
    <x v="10"/>
  </r>
  <r>
    <x v="1115"/>
    <x v="196"/>
    <x v="268"/>
    <x v="73"/>
    <x v="60"/>
    <x v="2"/>
    <x v="1"/>
    <x v="3"/>
    <x v="6"/>
    <x v="1"/>
    <x v="13"/>
    <x v="15"/>
    <x v="77"/>
    <x v="18"/>
    <x v="176"/>
    <x v="315"/>
    <x v="1"/>
    <x v="7"/>
    <x v="0"/>
    <x v="0"/>
    <x v="1"/>
    <x v="1"/>
    <x v="0"/>
    <x v="4"/>
    <x v="170"/>
    <x v="0"/>
    <x v="11"/>
    <x v="10"/>
  </r>
  <r>
    <x v="1116"/>
    <x v="59"/>
    <x v="49"/>
    <x v="60"/>
    <x v="68"/>
    <x v="6"/>
    <x v="3"/>
    <x v="5"/>
    <x v="9"/>
    <x v="2"/>
    <x v="43"/>
    <x v="93"/>
    <x v="210"/>
    <x v="45"/>
    <x v="448"/>
    <x v="297"/>
    <x v="2"/>
    <x v="13"/>
    <x v="0"/>
    <x v="0"/>
    <x v="2"/>
    <x v="1"/>
    <x v="0"/>
    <x v="2"/>
    <x v="433"/>
    <x v="0"/>
    <x v="11"/>
    <x v="10"/>
  </r>
  <r>
    <x v="1117"/>
    <x v="175"/>
    <x v="50"/>
    <x v="77"/>
    <x v="75"/>
    <x v="2"/>
    <x v="0"/>
    <x v="2"/>
    <x v="4"/>
    <x v="1"/>
    <x v="2"/>
    <x v="3"/>
    <x v="16"/>
    <x v="4"/>
    <x v="31"/>
    <x v="318"/>
    <x v="1"/>
    <x v="7"/>
    <x v="2"/>
    <x v="1"/>
    <x v="1"/>
    <x v="1"/>
    <x v="0"/>
    <x v="3"/>
    <x v="32"/>
    <x v="0"/>
    <x v="11"/>
    <x v="10"/>
  </r>
  <r>
    <x v="1118"/>
    <x v="230"/>
    <x v="221"/>
    <x v="30"/>
    <x v="83"/>
    <x v="5"/>
    <x v="0"/>
    <x v="9"/>
    <x v="18"/>
    <x v="2"/>
    <x v="16"/>
    <x v="42"/>
    <x v="87"/>
    <x v="24"/>
    <x v="167"/>
    <x v="243"/>
    <x v="1"/>
    <x v="8"/>
    <x v="1"/>
    <x v="1"/>
    <x v="1"/>
    <x v="1"/>
    <x v="0"/>
    <x v="0"/>
    <x v="161"/>
    <x v="0"/>
    <x v="11"/>
    <x v="10"/>
  </r>
  <r>
    <x v="1119"/>
    <x v="7"/>
    <x v="247"/>
    <x v="35"/>
    <x v="24"/>
    <x v="5"/>
    <x v="1"/>
    <x v="17"/>
    <x v="35"/>
    <x v="2"/>
    <x v="70"/>
    <x v="145"/>
    <x v="317"/>
    <x v="78"/>
    <x v="521"/>
    <x v="135"/>
    <x v="1"/>
    <x v="13"/>
    <x v="1"/>
    <x v="0"/>
    <x v="1"/>
    <x v="1"/>
    <x v="0"/>
    <x v="3"/>
    <x v="498"/>
    <x v="0"/>
    <x v="11"/>
    <x v="10"/>
  </r>
  <r>
    <x v="1120"/>
    <x v="251"/>
    <x v="146"/>
    <x v="94"/>
    <x v="86"/>
    <x v="0"/>
    <x v="1"/>
    <x v="18"/>
    <x v="38"/>
    <x v="2"/>
    <x v="72"/>
    <x v="150"/>
    <x v="327"/>
    <x v="84"/>
    <x v="489"/>
    <x v="81"/>
    <x v="1"/>
    <x v="0"/>
    <x v="2"/>
    <x v="1"/>
    <x v="1"/>
    <x v="1"/>
    <x v="0"/>
    <x v="0"/>
    <x v="470"/>
    <x v="0"/>
    <x v="11"/>
    <x v="10"/>
  </r>
  <r>
    <x v="1121"/>
    <x v="72"/>
    <x v="276"/>
    <x v="52"/>
    <x v="54"/>
    <x v="1"/>
    <x v="1"/>
    <x v="8"/>
    <x v="16"/>
    <x v="2"/>
    <x v="32"/>
    <x v="72"/>
    <x v="161"/>
    <x v="39"/>
    <x v="333"/>
    <x v="261"/>
    <x v="1"/>
    <x v="5"/>
    <x v="1"/>
    <x v="2"/>
    <x v="1"/>
    <x v="1"/>
    <x v="0"/>
    <x v="4"/>
    <x v="321"/>
    <x v="0"/>
    <x v="11"/>
    <x v="10"/>
  </r>
  <r>
    <x v="1122"/>
    <x v="124"/>
    <x v="286"/>
    <x v="76"/>
    <x v="64"/>
    <x v="2"/>
    <x v="0"/>
    <x v="4"/>
    <x v="8"/>
    <x v="2"/>
    <x v="5"/>
    <x v="17"/>
    <x v="31"/>
    <x v="8"/>
    <x v="64"/>
    <x v="300"/>
    <x v="1"/>
    <x v="0"/>
    <x v="1"/>
    <x v="1"/>
    <x v="1"/>
    <x v="1"/>
    <x v="0"/>
    <x v="3"/>
    <x v="63"/>
    <x v="0"/>
    <x v="11"/>
    <x v="10"/>
  </r>
  <r>
    <x v="1123"/>
    <x v="160"/>
    <x v="60"/>
    <x v="4"/>
    <x v="66"/>
    <x v="3"/>
    <x v="0"/>
    <x v="14"/>
    <x v="31"/>
    <x v="1"/>
    <x v="33"/>
    <x v="36"/>
    <x v="172"/>
    <x v="47"/>
    <x v="278"/>
    <x v="158"/>
    <x v="1"/>
    <x v="6"/>
    <x v="0"/>
    <x v="1"/>
    <x v="1"/>
    <x v="1"/>
    <x v="0"/>
    <x v="4"/>
    <x v="269"/>
    <x v="0"/>
    <x v="11"/>
    <x v="10"/>
  </r>
  <r>
    <x v="1124"/>
    <x v="268"/>
    <x v="135"/>
    <x v="38"/>
    <x v="92"/>
    <x v="5"/>
    <x v="3"/>
    <x v="9"/>
    <x v="18"/>
    <x v="5"/>
    <x v="66"/>
    <x v="205"/>
    <x v="277"/>
    <x v="68"/>
    <x v="465"/>
    <x v="156"/>
    <x v="0"/>
    <x v="15"/>
    <x v="1"/>
    <x v="2"/>
    <x v="0"/>
    <x v="1"/>
    <x v="0"/>
    <x v="1"/>
    <x v="0"/>
    <x v="0"/>
    <x v="11"/>
    <x v="10"/>
  </r>
  <r>
    <x v="1125"/>
    <x v="68"/>
    <x v="163"/>
    <x v="56"/>
    <x v="17"/>
    <x v="1"/>
    <x v="1"/>
    <x v="1"/>
    <x v="1"/>
    <x v="3"/>
    <x v="6"/>
    <x v="32"/>
    <x v="36"/>
    <x v="8"/>
    <x v="82"/>
    <x v="316"/>
    <x v="1"/>
    <x v="12"/>
    <x v="0"/>
    <x v="2"/>
    <x v="1"/>
    <x v="1"/>
    <x v="0"/>
    <x v="4"/>
    <x v="81"/>
    <x v="0"/>
    <x v="11"/>
    <x v="10"/>
  </r>
  <r>
    <x v="1126"/>
    <x v="61"/>
    <x v="55"/>
    <x v="40"/>
    <x v="32"/>
    <x v="5"/>
    <x v="2"/>
    <x v="7"/>
    <x v="15"/>
    <x v="5"/>
    <x v="41"/>
    <x v="161"/>
    <x v="167"/>
    <x v="48"/>
    <x v="263"/>
    <x v="143"/>
    <x v="1"/>
    <x v="3"/>
    <x v="1"/>
    <x v="2"/>
    <x v="1"/>
    <x v="1"/>
    <x v="0"/>
    <x v="4"/>
    <x v="254"/>
    <x v="0"/>
    <x v="11"/>
    <x v="10"/>
  </r>
  <r>
    <x v="1127"/>
    <x v="57"/>
    <x v="293"/>
    <x v="17"/>
    <x v="18"/>
    <x v="4"/>
    <x v="1"/>
    <x v="11"/>
    <x v="23"/>
    <x v="1"/>
    <x v="49"/>
    <x v="56"/>
    <x v="241"/>
    <x v="56"/>
    <x v="457"/>
    <x v="232"/>
    <x v="1"/>
    <x v="3"/>
    <x v="0"/>
    <x v="0"/>
    <x v="1"/>
    <x v="1"/>
    <x v="0"/>
    <x v="0"/>
    <x v="442"/>
    <x v="0"/>
    <x v="11"/>
    <x v="10"/>
  </r>
  <r>
    <x v="1128"/>
    <x v="274"/>
    <x v="252"/>
    <x v="61"/>
    <x v="76"/>
    <x v="6"/>
    <x v="1"/>
    <x v="2"/>
    <x v="3"/>
    <x v="4"/>
    <x v="10"/>
    <x v="59"/>
    <x v="49"/>
    <x v="12"/>
    <x v="103"/>
    <x v="305"/>
    <x v="1"/>
    <x v="2"/>
    <x v="1"/>
    <x v="0"/>
    <x v="1"/>
    <x v="1"/>
    <x v="0"/>
    <x v="3"/>
    <x v="99"/>
    <x v="0"/>
    <x v="11"/>
    <x v="10"/>
  </r>
  <r>
    <x v="1129"/>
    <x v="107"/>
    <x v="231"/>
    <x v="52"/>
    <x v="54"/>
    <x v="1"/>
    <x v="1"/>
    <x v="8"/>
    <x v="16"/>
    <x v="0"/>
    <x v="32"/>
    <x v="0"/>
    <x v="179"/>
    <x v="39"/>
    <x v="396"/>
    <x v="298"/>
    <x v="1"/>
    <x v="9"/>
    <x v="0"/>
    <x v="0"/>
    <x v="1"/>
    <x v="1"/>
    <x v="0"/>
    <x v="3"/>
    <x v="382"/>
    <x v="0"/>
    <x v="11"/>
    <x v="10"/>
  </r>
  <r>
    <x v="1130"/>
    <x v="55"/>
    <x v="5"/>
    <x v="62"/>
    <x v="19"/>
    <x v="6"/>
    <x v="1"/>
    <x v="17"/>
    <x v="35"/>
    <x v="1"/>
    <x v="70"/>
    <x v="91"/>
    <x v="324"/>
    <x v="78"/>
    <x v="550"/>
    <x v="167"/>
    <x v="1"/>
    <x v="12"/>
    <x v="1"/>
    <x v="1"/>
    <x v="1"/>
    <x v="1"/>
    <x v="0"/>
    <x v="3"/>
    <x v="527"/>
    <x v="0"/>
    <x v="11"/>
    <x v="10"/>
  </r>
  <r>
    <x v="1131"/>
    <x v="112"/>
    <x v="60"/>
    <x v="93"/>
    <x v="70"/>
    <x v="0"/>
    <x v="1"/>
    <x v="20"/>
    <x v="42"/>
    <x v="3"/>
    <x v="82"/>
    <x v="199"/>
    <x v="352"/>
    <x v="94"/>
    <x v="472"/>
    <x v="34"/>
    <x v="4"/>
    <x v="6"/>
    <x v="0"/>
    <x v="1"/>
    <x v="2"/>
    <x v="1"/>
    <x v="0"/>
    <x v="3"/>
    <x v="453"/>
    <x v="0"/>
    <x v="11"/>
    <x v="10"/>
  </r>
  <r>
    <x v="1132"/>
    <x v="119"/>
    <x v="209"/>
    <x v="27"/>
    <x v="78"/>
    <x v="4"/>
    <x v="0"/>
    <x v="19"/>
    <x v="38"/>
    <x v="3"/>
    <x v="50"/>
    <x v="138"/>
    <x v="225"/>
    <x v="60"/>
    <x v="335"/>
    <x v="113"/>
    <x v="1"/>
    <x v="16"/>
    <x v="1"/>
    <x v="1"/>
    <x v="1"/>
    <x v="1"/>
    <x v="0"/>
    <x v="4"/>
    <x v="323"/>
    <x v="0"/>
    <x v="11"/>
    <x v="10"/>
  </r>
  <r>
    <x v="1133"/>
    <x v="217"/>
    <x v="282"/>
    <x v="49"/>
    <x v="38"/>
    <x v="1"/>
    <x v="1"/>
    <x v="6"/>
    <x v="13"/>
    <x v="2"/>
    <x v="22"/>
    <x v="54"/>
    <x v="122"/>
    <x v="31"/>
    <x v="232"/>
    <x v="252"/>
    <x v="1"/>
    <x v="4"/>
    <x v="0"/>
    <x v="1"/>
    <x v="1"/>
    <x v="1"/>
    <x v="0"/>
    <x v="0"/>
    <x v="224"/>
    <x v="0"/>
    <x v="11"/>
    <x v="10"/>
  </r>
  <r>
    <x v="1134"/>
    <x v="16"/>
    <x v="19"/>
    <x v="68"/>
    <x v="80"/>
    <x v="6"/>
    <x v="1"/>
    <x v="12"/>
    <x v="27"/>
    <x v="3"/>
    <x v="53"/>
    <x v="143"/>
    <x v="237"/>
    <x v="63"/>
    <x v="397"/>
    <x v="139"/>
    <x v="4"/>
    <x v="19"/>
    <x v="1"/>
    <x v="1"/>
    <x v="2"/>
    <x v="1"/>
    <x v="0"/>
    <x v="0"/>
    <x v="383"/>
    <x v="0"/>
    <x v="11"/>
    <x v="10"/>
  </r>
  <r>
    <x v="1135"/>
    <x v="248"/>
    <x v="187"/>
    <x v="20"/>
    <x v="40"/>
    <x v="4"/>
    <x v="2"/>
    <x v="17"/>
    <x v="32"/>
    <x v="3"/>
    <x v="87"/>
    <x v="204"/>
    <x v="378"/>
    <x v="89"/>
    <x v="617"/>
    <x v="182"/>
    <x v="1"/>
    <x v="13"/>
    <x v="1"/>
    <x v="1"/>
    <x v="1"/>
    <x v="1"/>
    <x v="0"/>
    <x v="3"/>
    <x v="588"/>
    <x v="0"/>
    <x v="11"/>
    <x v="10"/>
  </r>
  <r>
    <x v="1136"/>
    <x v="141"/>
    <x v="1"/>
    <x v="2"/>
    <x v="77"/>
    <x v="3"/>
    <x v="0"/>
    <x v="22"/>
    <x v="44"/>
    <x v="0"/>
    <x v="63"/>
    <x v="0"/>
    <x v="304"/>
    <x v="74"/>
    <x v="513"/>
    <x v="150"/>
    <x v="4"/>
    <x v="14"/>
    <x v="0"/>
    <x v="0"/>
    <x v="2"/>
    <x v="1"/>
    <x v="0"/>
    <x v="3"/>
    <x v="491"/>
    <x v="0"/>
    <x v="11"/>
    <x v="10"/>
  </r>
  <r>
    <x v="1137"/>
    <x v="235"/>
    <x v="248"/>
    <x v="38"/>
    <x v="92"/>
    <x v="5"/>
    <x v="1"/>
    <x v="9"/>
    <x v="18"/>
    <x v="0"/>
    <x v="38"/>
    <x v="0"/>
    <x v="208"/>
    <x v="45"/>
    <x v="439"/>
    <x v="288"/>
    <x v="1"/>
    <x v="7"/>
    <x v="1"/>
    <x v="1"/>
    <x v="1"/>
    <x v="1"/>
    <x v="0"/>
    <x v="0"/>
    <x v="424"/>
    <x v="0"/>
    <x v="11"/>
    <x v="10"/>
  </r>
  <r>
    <x v="1138"/>
    <x v="164"/>
    <x v="91"/>
    <x v="56"/>
    <x v="17"/>
    <x v="1"/>
    <x v="0"/>
    <x v="1"/>
    <x v="1"/>
    <x v="3"/>
    <x v="1"/>
    <x v="14"/>
    <x v="7"/>
    <x v="1"/>
    <x v="9"/>
    <x v="316"/>
    <x v="1"/>
    <x v="11"/>
    <x v="1"/>
    <x v="0"/>
    <x v="1"/>
    <x v="1"/>
    <x v="0"/>
    <x v="3"/>
    <x v="10"/>
    <x v="0"/>
    <x v="11"/>
    <x v="10"/>
  </r>
  <r>
    <x v="1139"/>
    <x v="8"/>
    <x v="183"/>
    <x v="73"/>
    <x v="60"/>
    <x v="2"/>
    <x v="0"/>
    <x v="3"/>
    <x v="6"/>
    <x v="5"/>
    <x v="4"/>
    <x v="45"/>
    <x v="15"/>
    <x v="6"/>
    <x v="13"/>
    <x v="235"/>
    <x v="1"/>
    <x v="12"/>
    <x v="0"/>
    <x v="1"/>
    <x v="1"/>
    <x v="1"/>
    <x v="0"/>
    <x v="4"/>
    <x v="14"/>
    <x v="0"/>
    <x v="11"/>
    <x v="10"/>
  </r>
  <r>
    <x v="1140"/>
    <x v="336"/>
    <x v="268"/>
    <x v="72"/>
    <x v="43"/>
    <x v="6"/>
    <x v="0"/>
    <x v="20"/>
    <x v="40"/>
    <x v="1"/>
    <x v="54"/>
    <x v="63"/>
    <x v="260"/>
    <x v="67"/>
    <x v="443"/>
    <x v="152"/>
    <x v="1"/>
    <x v="7"/>
    <x v="0"/>
    <x v="2"/>
    <x v="1"/>
    <x v="1"/>
    <x v="0"/>
    <x v="0"/>
    <x v="428"/>
    <x v="0"/>
    <x v="11"/>
    <x v="10"/>
  </r>
  <r>
    <x v="1141"/>
    <x v="195"/>
    <x v="150"/>
    <x v="79"/>
    <x v="12"/>
    <x v="2"/>
    <x v="0"/>
    <x v="8"/>
    <x v="18"/>
    <x v="0"/>
    <x v="14"/>
    <x v="0"/>
    <x v="84"/>
    <x v="24"/>
    <x v="147"/>
    <x v="223"/>
    <x v="1"/>
    <x v="11"/>
    <x v="1"/>
    <x v="2"/>
    <x v="1"/>
    <x v="1"/>
    <x v="0"/>
    <x v="3"/>
    <x v="141"/>
    <x v="0"/>
    <x v="11"/>
    <x v="10"/>
  </r>
  <r>
    <x v="1142"/>
    <x v="186"/>
    <x v="218"/>
    <x v="1"/>
    <x v="9"/>
    <x v="3"/>
    <x v="0"/>
    <x v="17"/>
    <x v="36"/>
    <x v="0"/>
    <x v="42"/>
    <x v="0"/>
    <x v="217"/>
    <x v="57"/>
    <x v="370"/>
    <x v="161"/>
    <x v="4"/>
    <x v="6"/>
    <x v="0"/>
    <x v="1"/>
    <x v="2"/>
    <x v="1"/>
    <x v="0"/>
    <x v="0"/>
    <x v="356"/>
    <x v="0"/>
    <x v="11"/>
    <x v="10"/>
  </r>
  <r>
    <x v="1143"/>
    <x v="181"/>
    <x v="118"/>
    <x v="38"/>
    <x v="92"/>
    <x v="5"/>
    <x v="2"/>
    <x v="9"/>
    <x v="18"/>
    <x v="0"/>
    <x v="55"/>
    <x v="0"/>
    <x v="277"/>
    <x v="59"/>
    <x v="537"/>
    <x v="288"/>
    <x v="1"/>
    <x v="19"/>
    <x v="1"/>
    <x v="0"/>
    <x v="1"/>
    <x v="1"/>
    <x v="0"/>
    <x v="0"/>
    <x v="514"/>
    <x v="0"/>
    <x v="11"/>
    <x v="10"/>
  </r>
  <r>
    <x v="1144"/>
    <x v="219"/>
    <x v="259"/>
    <x v="43"/>
    <x v="25"/>
    <x v="5"/>
    <x v="2"/>
    <x v="3"/>
    <x v="5"/>
    <x v="4"/>
    <x v="21"/>
    <x v="99"/>
    <x v="101"/>
    <x v="24"/>
    <x v="223"/>
    <x v="296"/>
    <x v="1"/>
    <x v="14"/>
    <x v="1"/>
    <x v="1"/>
    <x v="1"/>
    <x v="1"/>
    <x v="0"/>
    <x v="3"/>
    <x v="215"/>
    <x v="0"/>
    <x v="11"/>
    <x v="10"/>
  </r>
  <r>
    <x v="1145"/>
    <x v="145"/>
    <x v="240"/>
    <x v="55"/>
    <x v="37"/>
    <x v="1"/>
    <x v="0"/>
    <x v="15"/>
    <x v="34"/>
    <x v="1"/>
    <x v="35"/>
    <x v="38"/>
    <x v="183"/>
    <x v="52"/>
    <x v="277"/>
    <x v="122"/>
    <x v="4"/>
    <x v="1"/>
    <x v="0"/>
    <x v="1"/>
    <x v="2"/>
    <x v="1"/>
    <x v="0"/>
    <x v="0"/>
    <x v="268"/>
    <x v="0"/>
    <x v="11"/>
    <x v="10"/>
  </r>
  <r>
    <x v="1146"/>
    <x v="137"/>
    <x v="244"/>
    <x v="83"/>
    <x v="96"/>
    <x v="2"/>
    <x v="0"/>
    <x v="10"/>
    <x v="23"/>
    <x v="0"/>
    <x v="20"/>
    <x v="0"/>
    <x v="119"/>
    <x v="34"/>
    <x v="200"/>
    <x v="207"/>
    <x v="4"/>
    <x v="17"/>
    <x v="1"/>
    <x v="0"/>
    <x v="2"/>
    <x v="1"/>
    <x v="0"/>
    <x v="4"/>
    <x v="193"/>
    <x v="0"/>
    <x v="11"/>
    <x v="10"/>
  </r>
  <r>
    <x v="1147"/>
    <x v="108"/>
    <x v="215"/>
    <x v="17"/>
    <x v="18"/>
    <x v="4"/>
    <x v="1"/>
    <x v="11"/>
    <x v="23"/>
    <x v="3"/>
    <x v="49"/>
    <x v="137"/>
    <x v="224"/>
    <x v="56"/>
    <x v="394"/>
    <x v="181"/>
    <x v="1"/>
    <x v="15"/>
    <x v="2"/>
    <x v="1"/>
    <x v="1"/>
    <x v="1"/>
    <x v="0"/>
    <x v="3"/>
    <x v="380"/>
    <x v="0"/>
    <x v="11"/>
    <x v="10"/>
  </r>
  <r>
    <x v="1148"/>
    <x v="130"/>
    <x v="44"/>
    <x v="24"/>
    <x v="44"/>
    <x v="4"/>
    <x v="0"/>
    <x v="16"/>
    <x v="33"/>
    <x v="2"/>
    <x v="39"/>
    <x v="84"/>
    <x v="187"/>
    <x v="51"/>
    <x v="314"/>
    <x v="157"/>
    <x v="1"/>
    <x v="4"/>
    <x v="1"/>
    <x v="1"/>
    <x v="1"/>
    <x v="1"/>
    <x v="0"/>
    <x v="3"/>
    <x v="303"/>
    <x v="0"/>
    <x v="11"/>
    <x v="10"/>
  </r>
  <r>
    <x v="1149"/>
    <x v="49"/>
    <x v="108"/>
    <x v="44"/>
    <x v="53"/>
    <x v="5"/>
    <x v="1"/>
    <x v="6"/>
    <x v="12"/>
    <x v="5"/>
    <x v="22"/>
    <x v="121"/>
    <x v="94"/>
    <x v="30"/>
    <x v="156"/>
    <x v="192"/>
    <x v="4"/>
    <x v="13"/>
    <x v="0"/>
    <x v="1"/>
    <x v="2"/>
    <x v="1"/>
    <x v="0"/>
    <x v="4"/>
    <x v="150"/>
    <x v="0"/>
    <x v="11"/>
    <x v="10"/>
  </r>
  <r>
    <x v="1150"/>
    <x v="46"/>
    <x v="9"/>
    <x v="51"/>
    <x v="52"/>
    <x v="1"/>
    <x v="0"/>
    <x v="2"/>
    <x v="4"/>
    <x v="0"/>
    <x v="2"/>
    <x v="0"/>
    <x v="18"/>
    <x v="4"/>
    <x v="39"/>
    <x v="329"/>
    <x v="1"/>
    <x v="13"/>
    <x v="1"/>
    <x v="1"/>
    <x v="1"/>
    <x v="1"/>
    <x v="0"/>
    <x v="0"/>
    <x v="40"/>
    <x v="0"/>
    <x v="11"/>
    <x v="10"/>
  </r>
  <r>
    <x v="1151"/>
    <x v="251"/>
    <x v="210"/>
    <x v="71"/>
    <x v="88"/>
    <x v="6"/>
    <x v="0"/>
    <x v="5"/>
    <x v="10"/>
    <x v="1"/>
    <x v="7"/>
    <x v="8"/>
    <x v="45"/>
    <x v="12"/>
    <x v="93"/>
    <x v="293"/>
    <x v="0"/>
    <x v="11"/>
    <x v="0"/>
    <x v="2"/>
    <x v="0"/>
    <x v="1"/>
    <x v="0"/>
    <x v="1"/>
    <x v="0"/>
    <x v="0"/>
    <x v="11"/>
    <x v="10"/>
  </r>
  <r>
    <x v="1152"/>
    <x v="31"/>
    <x v="225"/>
    <x v="38"/>
    <x v="92"/>
    <x v="5"/>
    <x v="1"/>
    <x v="9"/>
    <x v="18"/>
    <x v="1"/>
    <x v="38"/>
    <x v="42"/>
    <x v="196"/>
    <x v="45"/>
    <x v="411"/>
    <x v="268"/>
    <x v="1"/>
    <x v="10"/>
    <x v="1"/>
    <x v="1"/>
    <x v="1"/>
    <x v="1"/>
    <x v="0"/>
    <x v="0"/>
    <x v="396"/>
    <x v="0"/>
    <x v="11"/>
    <x v="10"/>
  </r>
  <r>
    <x v="1153"/>
    <x v="262"/>
    <x v="73"/>
    <x v="59"/>
    <x v="99"/>
    <x v="6"/>
    <x v="0"/>
    <x v="10"/>
    <x v="20"/>
    <x v="3"/>
    <x v="20"/>
    <x v="73"/>
    <x v="97"/>
    <x v="29"/>
    <x v="168"/>
    <x v="214"/>
    <x v="0"/>
    <x v="9"/>
    <x v="0"/>
    <x v="1"/>
    <x v="0"/>
    <x v="1"/>
    <x v="0"/>
    <x v="1"/>
    <x v="0"/>
    <x v="0"/>
    <x v="11"/>
    <x v="10"/>
  </r>
  <r>
    <x v="1154"/>
    <x v="66"/>
    <x v="264"/>
    <x v="0"/>
    <x v="97"/>
    <x v="3"/>
    <x v="0"/>
    <x v="11"/>
    <x v="26"/>
    <x v="0"/>
    <x v="23"/>
    <x v="0"/>
    <x v="136"/>
    <x v="38"/>
    <x v="215"/>
    <x v="176"/>
    <x v="4"/>
    <x v="17"/>
    <x v="1"/>
    <x v="1"/>
    <x v="2"/>
    <x v="1"/>
    <x v="0"/>
    <x v="4"/>
    <x v="208"/>
    <x v="0"/>
    <x v="11"/>
    <x v="10"/>
  </r>
  <r>
    <x v="1155"/>
    <x v="246"/>
    <x v="25"/>
    <x v="22"/>
    <x v="79"/>
    <x v="4"/>
    <x v="1"/>
    <x v="4"/>
    <x v="7"/>
    <x v="0"/>
    <x v="15"/>
    <x v="0"/>
    <x v="98"/>
    <x v="19"/>
    <x v="257"/>
    <x v="334"/>
    <x v="2"/>
    <x v="12"/>
    <x v="1"/>
    <x v="0"/>
    <x v="2"/>
    <x v="1"/>
    <x v="0"/>
    <x v="2"/>
    <x v="248"/>
    <x v="0"/>
    <x v="11"/>
    <x v="10"/>
  </r>
  <r>
    <x v="1156"/>
    <x v="184"/>
    <x v="30"/>
    <x v="99"/>
    <x v="16"/>
    <x v="0"/>
    <x v="2"/>
    <x v="22"/>
    <x v="46"/>
    <x v="0"/>
    <x v="102"/>
    <x v="0"/>
    <x v="432"/>
    <x v="115"/>
    <x v="663"/>
    <x v="93"/>
    <x v="1"/>
    <x v="7"/>
    <x v="1"/>
    <x v="2"/>
    <x v="1"/>
    <x v="2"/>
    <x v="0"/>
    <x v="4"/>
    <x v="627"/>
    <x v="0"/>
    <x v="11"/>
    <x v="10"/>
  </r>
  <r>
    <x v="1157"/>
    <x v="184"/>
    <x v="135"/>
    <x v="3"/>
    <x v="90"/>
    <x v="3"/>
    <x v="0"/>
    <x v="3"/>
    <x v="7"/>
    <x v="1"/>
    <x v="4"/>
    <x v="5"/>
    <x v="25"/>
    <x v="7"/>
    <x v="44"/>
    <x v="292"/>
    <x v="1"/>
    <x v="15"/>
    <x v="1"/>
    <x v="1"/>
    <x v="1"/>
    <x v="1"/>
    <x v="0"/>
    <x v="3"/>
    <x v="45"/>
    <x v="0"/>
    <x v="11"/>
    <x v="10"/>
  </r>
  <r>
    <x v="1158"/>
    <x v="22"/>
    <x v="26"/>
    <x v="23"/>
    <x v="49"/>
    <x v="4"/>
    <x v="1"/>
    <x v="12"/>
    <x v="24"/>
    <x v="2"/>
    <x v="53"/>
    <x v="112"/>
    <x v="251"/>
    <x v="59"/>
    <x v="471"/>
    <x v="226"/>
    <x v="1"/>
    <x v="17"/>
    <x v="1"/>
    <x v="0"/>
    <x v="1"/>
    <x v="1"/>
    <x v="0"/>
    <x v="4"/>
    <x v="452"/>
    <x v="0"/>
    <x v="11"/>
    <x v="10"/>
  </r>
  <r>
    <x v="1159"/>
    <x v="6"/>
    <x v="193"/>
    <x v="49"/>
    <x v="38"/>
    <x v="1"/>
    <x v="0"/>
    <x v="6"/>
    <x v="13"/>
    <x v="2"/>
    <x v="9"/>
    <x v="25"/>
    <x v="53"/>
    <x v="15"/>
    <x v="89"/>
    <x v="252"/>
    <x v="1"/>
    <x v="3"/>
    <x v="1"/>
    <x v="1"/>
    <x v="1"/>
    <x v="1"/>
    <x v="0"/>
    <x v="4"/>
    <x v="88"/>
    <x v="0"/>
    <x v="11"/>
    <x v="10"/>
  </r>
  <r>
    <x v="1160"/>
    <x v="102"/>
    <x v="6"/>
    <x v="18"/>
    <x v="71"/>
    <x v="4"/>
    <x v="0"/>
    <x v="20"/>
    <x v="40"/>
    <x v="1"/>
    <x v="54"/>
    <x v="63"/>
    <x v="260"/>
    <x v="67"/>
    <x v="443"/>
    <x v="152"/>
    <x v="0"/>
    <x v="17"/>
    <x v="1"/>
    <x v="2"/>
    <x v="0"/>
    <x v="1"/>
    <x v="0"/>
    <x v="1"/>
    <x v="0"/>
    <x v="0"/>
    <x v="11"/>
    <x v="10"/>
  </r>
  <r>
    <x v="1161"/>
    <x v="200"/>
    <x v="153"/>
    <x v="34"/>
    <x v="59"/>
    <x v="5"/>
    <x v="0"/>
    <x v="12"/>
    <x v="28"/>
    <x v="0"/>
    <x v="27"/>
    <x v="0"/>
    <x v="151"/>
    <x v="41"/>
    <x v="274"/>
    <x v="210"/>
    <x v="4"/>
    <x v="3"/>
    <x v="1"/>
    <x v="2"/>
    <x v="2"/>
    <x v="1"/>
    <x v="0"/>
    <x v="4"/>
    <x v="265"/>
    <x v="0"/>
    <x v="11"/>
    <x v="10"/>
  </r>
  <r>
    <x v="1162"/>
    <x v="100"/>
    <x v="73"/>
    <x v="1"/>
    <x v="9"/>
    <x v="3"/>
    <x v="0"/>
    <x v="17"/>
    <x v="36"/>
    <x v="0"/>
    <x v="42"/>
    <x v="0"/>
    <x v="217"/>
    <x v="57"/>
    <x v="370"/>
    <x v="161"/>
    <x v="1"/>
    <x v="9"/>
    <x v="0"/>
    <x v="1"/>
    <x v="1"/>
    <x v="1"/>
    <x v="0"/>
    <x v="3"/>
    <x v="356"/>
    <x v="0"/>
    <x v="11"/>
    <x v="10"/>
  </r>
  <r>
    <x v="1163"/>
    <x v="166"/>
    <x v="63"/>
    <x v="95"/>
    <x v="0"/>
    <x v="0"/>
    <x v="0"/>
    <x v="24"/>
    <x v="48"/>
    <x v="1"/>
    <x v="83"/>
    <x v="114"/>
    <x v="377"/>
    <x v="97"/>
    <x v="524"/>
    <x v="47"/>
    <x v="1"/>
    <x v="8"/>
    <x v="1"/>
    <x v="1"/>
    <x v="1"/>
    <x v="1"/>
    <x v="0"/>
    <x v="4"/>
    <x v="501"/>
    <x v="0"/>
    <x v="11"/>
    <x v="10"/>
  </r>
  <r>
    <x v="1164"/>
    <x v="276"/>
    <x v="52"/>
    <x v="36"/>
    <x v="63"/>
    <x v="5"/>
    <x v="4"/>
    <x v="10"/>
    <x v="20"/>
    <x v="3"/>
    <x v="80"/>
    <x v="196"/>
    <x v="350"/>
    <x v="82"/>
    <x v="608"/>
    <x v="214"/>
    <x v="0"/>
    <x v="11"/>
    <x v="1"/>
    <x v="0"/>
    <x v="0"/>
    <x v="1"/>
    <x v="0"/>
    <x v="1"/>
    <x v="0"/>
    <x v="0"/>
    <x v="11"/>
    <x v="10"/>
  </r>
  <r>
    <x v="1165"/>
    <x v="163"/>
    <x v="156"/>
    <x v="16"/>
    <x v="22"/>
    <x v="4"/>
    <x v="3"/>
    <x v="15"/>
    <x v="31"/>
    <x v="0"/>
    <x v="92"/>
    <x v="0"/>
    <x v="408"/>
    <x v="96"/>
    <x v="661"/>
    <x v="229"/>
    <x v="1"/>
    <x v="5"/>
    <x v="0"/>
    <x v="0"/>
    <x v="1"/>
    <x v="2"/>
    <x v="0"/>
    <x v="0"/>
    <x v="625"/>
    <x v="0"/>
    <x v="11"/>
    <x v="10"/>
  </r>
  <r>
    <x v="1166"/>
    <x v="344"/>
    <x v="40"/>
    <x v="40"/>
    <x v="32"/>
    <x v="5"/>
    <x v="1"/>
    <x v="7"/>
    <x v="15"/>
    <x v="2"/>
    <x v="26"/>
    <x v="61"/>
    <x v="135"/>
    <x v="35"/>
    <x v="259"/>
    <x v="236"/>
    <x v="1"/>
    <x v="6"/>
    <x v="0"/>
    <x v="2"/>
    <x v="1"/>
    <x v="1"/>
    <x v="0"/>
    <x v="0"/>
    <x v="250"/>
    <x v="0"/>
    <x v="11"/>
    <x v="10"/>
  </r>
  <r>
    <x v="1167"/>
    <x v="295"/>
    <x v="294"/>
    <x v="34"/>
    <x v="59"/>
    <x v="5"/>
    <x v="0"/>
    <x v="12"/>
    <x v="28"/>
    <x v="2"/>
    <x v="27"/>
    <x v="62"/>
    <x v="137"/>
    <x v="41"/>
    <x v="201"/>
    <x v="154"/>
    <x v="1"/>
    <x v="18"/>
    <x v="0"/>
    <x v="0"/>
    <x v="1"/>
    <x v="1"/>
    <x v="0"/>
    <x v="0"/>
    <x v="194"/>
    <x v="0"/>
    <x v="11"/>
    <x v="10"/>
  </r>
  <r>
    <x v="1168"/>
    <x v="299"/>
    <x v="170"/>
    <x v="93"/>
    <x v="70"/>
    <x v="0"/>
    <x v="0"/>
    <x v="20"/>
    <x v="42"/>
    <x v="0"/>
    <x v="54"/>
    <x v="0"/>
    <x v="269"/>
    <x v="69"/>
    <x v="419"/>
    <x v="110"/>
    <x v="1"/>
    <x v="11"/>
    <x v="0"/>
    <x v="0"/>
    <x v="1"/>
    <x v="1"/>
    <x v="0"/>
    <x v="0"/>
    <x v="404"/>
    <x v="0"/>
    <x v="11"/>
    <x v="10"/>
  </r>
  <r>
    <x v="1169"/>
    <x v="157"/>
    <x v="210"/>
    <x v="6"/>
    <x v="46"/>
    <x v="3"/>
    <x v="0"/>
    <x v="12"/>
    <x v="25"/>
    <x v="1"/>
    <x v="27"/>
    <x v="30"/>
    <x v="143"/>
    <x v="37"/>
    <x v="264"/>
    <x v="216"/>
    <x v="1"/>
    <x v="11"/>
    <x v="0"/>
    <x v="2"/>
    <x v="1"/>
    <x v="1"/>
    <x v="0"/>
    <x v="3"/>
    <x v="255"/>
    <x v="0"/>
    <x v="11"/>
    <x v="10"/>
  </r>
  <r>
    <x v="1170"/>
    <x v="240"/>
    <x v="130"/>
    <x v="95"/>
    <x v="0"/>
    <x v="0"/>
    <x v="0"/>
    <x v="24"/>
    <x v="48"/>
    <x v="0"/>
    <x v="83"/>
    <x v="0"/>
    <x v="384"/>
    <x v="97"/>
    <x v="560"/>
    <x v="67"/>
    <x v="1"/>
    <x v="11"/>
    <x v="1"/>
    <x v="2"/>
    <x v="1"/>
    <x v="1"/>
    <x v="0"/>
    <x v="4"/>
    <x v="537"/>
    <x v="0"/>
    <x v="11"/>
    <x v="10"/>
  </r>
  <r>
    <x v="1171"/>
    <x v="74"/>
    <x v="237"/>
    <x v="91"/>
    <x v="39"/>
    <x v="0"/>
    <x v="1"/>
    <x v="12"/>
    <x v="29"/>
    <x v="4"/>
    <x v="53"/>
    <x v="168"/>
    <x v="229"/>
    <x v="67"/>
    <x v="284"/>
    <x v="59"/>
    <x v="1"/>
    <x v="19"/>
    <x v="1"/>
    <x v="1"/>
    <x v="1"/>
    <x v="1"/>
    <x v="0"/>
    <x v="3"/>
    <x v="275"/>
    <x v="0"/>
    <x v="11"/>
    <x v="10"/>
  </r>
  <r>
    <x v="1172"/>
    <x v="50"/>
    <x v="34"/>
    <x v="87"/>
    <x v="26"/>
    <x v="0"/>
    <x v="0"/>
    <x v="15"/>
    <x v="34"/>
    <x v="2"/>
    <x v="35"/>
    <x v="78"/>
    <x v="174"/>
    <x v="52"/>
    <x v="227"/>
    <x v="91"/>
    <x v="1"/>
    <x v="2"/>
    <x v="1"/>
    <x v="1"/>
    <x v="1"/>
    <x v="1"/>
    <x v="0"/>
    <x v="0"/>
    <x v="219"/>
    <x v="0"/>
    <x v="11"/>
    <x v="10"/>
  </r>
  <r>
    <x v="1173"/>
    <x v="154"/>
    <x v="58"/>
    <x v="81"/>
    <x v="31"/>
    <x v="2"/>
    <x v="4"/>
    <x v="2"/>
    <x v="4"/>
    <x v="0"/>
    <x v="34"/>
    <x v="0"/>
    <x v="184"/>
    <x v="36"/>
    <x v="433"/>
    <x v="329"/>
    <x v="1"/>
    <x v="5"/>
    <x v="1"/>
    <x v="1"/>
    <x v="1"/>
    <x v="1"/>
    <x v="0"/>
    <x v="4"/>
    <x v="418"/>
    <x v="0"/>
    <x v="11"/>
    <x v="10"/>
  </r>
  <r>
    <x v="1174"/>
    <x v="16"/>
    <x v="75"/>
    <x v="88"/>
    <x v="57"/>
    <x v="0"/>
    <x v="0"/>
    <x v="22"/>
    <x v="45"/>
    <x v="3"/>
    <x v="63"/>
    <x v="163"/>
    <x v="278"/>
    <x v="76"/>
    <x v="332"/>
    <x v="37"/>
    <x v="1"/>
    <x v="3"/>
    <x v="1"/>
    <x v="1"/>
    <x v="1"/>
    <x v="1"/>
    <x v="0"/>
    <x v="0"/>
    <x v="320"/>
    <x v="0"/>
    <x v="11"/>
    <x v="10"/>
  </r>
  <r>
    <x v="1175"/>
    <x v="101"/>
    <x v="17"/>
    <x v="42"/>
    <x v="47"/>
    <x v="5"/>
    <x v="1"/>
    <x v="15"/>
    <x v="32"/>
    <x v="4"/>
    <x v="64"/>
    <x v="187"/>
    <x v="276"/>
    <x v="72"/>
    <x v="387"/>
    <x v="69"/>
    <x v="1"/>
    <x v="15"/>
    <x v="0"/>
    <x v="2"/>
    <x v="1"/>
    <x v="1"/>
    <x v="0"/>
    <x v="4"/>
    <x v="373"/>
    <x v="0"/>
    <x v="11"/>
    <x v="10"/>
  </r>
  <r>
    <x v="1176"/>
    <x v="312"/>
    <x v="64"/>
    <x v="52"/>
    <x v="54"/>
    <x v="1"/>
    <x v="2"/>
    <x v="8"/>
    <x v="16"/>
    <x v="3"/>
    <x v="48"/>
    <x v="136"/>
    <x v="223"/>
    <x v="52"/>
    <x v="429"/>
    <x v="234"/>
    <x v="1"/>
    <x v="4"/>
    <x v="1"/>
    <x v="2"/>
    <x v="1"/>
    <x v="1"/>
    <x v="0"/>
    <x v="3"/>
    <x v="414"/>
    <x v="0"/>
    <x v="11"/>
    <x v="10"/>
  </r>
  <r>
    <x v="1177"/>
    <x v="162"/>
    <x v="221"/>
    <x v="86"/>
    <x v="11"/>
    <x v="2"/>
    <x v="0"/>
    <x v="6"/>
    <x v="14"/>
    <x v="5"/>
    <x v="9"/>
    <x v="68"/>
    <x v="35"/>
    <x v="17"/>
    <x v="27"/>
    <x v="134"/>
    <x v="1"/>
    <x v="8"/>
    <x v="1"/>
    <x v="1"/>
    <x v="1"/>
    <x v="1"/>
    <x v="0"/>
    <x v="0"/>
    <x v="28"/>
    <x v="0"/>
    <x v="11"/>
    <x v="10"/>
  </r>
  <r>
    <x v="1178"/>
    <x v="344"/>
    <x v="65"/>
    <x v="2"/>
    <x v="77"/>
    <x v="3"/>
    <x v="0"/>
    <x v="22"/>
    <x v="44"/>
    <x v="1"/>
    <x v="63"/>
    <x v="77"/>
    <x v="295"/>
    <x v="74"/>
    <x v="478"/>
    <x v="121"/>
    <x v="1"/>
    <x v="12"/>
    <x v="0"/>
    <x v="1"/>
    <x v="1"/>
    <x v="1"/>
    <x v="0"/>
    <x v="3"/>
    <x v="459"/>
    <x v="0"/>
    <x v="11"/>
    <x v="10"/>
  </r>
  <r>
    <x v="1179"/>
    <x v="254"/>
    <x v="171"/>
    <x v="17"/>
    <x v="18"/>
    <x v="4"/>
    <x v="0"/>
    <x v="11"/>
    <x v="23"/>
    <x v="2"/>
    <x v="23"/>
    <x v="56"/>
    <x v="123"/>
    <x v="34"/>
    <x v="207"/>
    <x v="211"/>
    <x v="1"/>
    <x v="9"/>
    <x v="2"/>
    <x v="1"/>
    <x v="1"/>
    <x v="1"/>
    <x v="0"/>
    <x v="4"/>
    <x v="200"/>
    <x v="0"/>
    <x v="11"/>
    <x v="10"/>
  </r>
  <r>
    <x v="1180"/>
    <x v="325"/>
    <x v="282"/>
    <x v="96"/>
    <x v="91"/>
    <x v="0"/>
    <x v="0"/>
    <x v="23"/>
    <x v="47"/>
    <x v="1"/>
    <x v="75"/>
    <x v="98"/>
    <x v="348"/>
    <x v="93"/>
    <x v="478"/>
    <x v="41"/>
    <x v="1"/>
    <x v="4"/>
    <x v="0"/>
    <x v="2"/>
    <x v="1"/>
    <x v="1"/>
    <x v="0"/>
    <x v="4"/>
    <x v="459"/>
    <x v="0"/>
    <x v="11"/>
    <x v="10"/>
  </r>
  <r>
    <x v="1181"/>
    <x v="25"/>
    <x v="247"/>
    <x v="27"/>
    <x v="78"/>
    <x v="4"/>
    <x v="0"/>
    <x v="19"/>
    <x v="38"/>
    <x v="2"/>
    <x v="50"/>
    <x v="105"/>
    <x v="234"/>
    <x v="60"/>
    <x v="379"/>
    <x v="144"/>
    <x v="1"/>
    <x v="13"/>
    <x v="1"/>
    <x v="1"/>
    <x v="1"/>
    <x v="1"/>
    <x v="0"/>
    <x v="4"/>
    <x v="365"/>
    <x v="0"/>
    <x v="11"/>
    <x v="10"/>
  </r>
  <r>
    <x v="1182"/>
    <x v="293"/>
    <x v="288"/>
    <x v="81"/>
    <x v="31"/>
    <x v="2"/>
    <x v="3"/>
    <x v="2"/>
    <x v="4"/>
    <x v="2"/>
    <x v="25"/>
    <x v="59"/>
    <x v="132"/>
    <x v="30"/>
    <x v="308"/>
    <x v="305"/>
    <x v="1"/>
    <x v="7"/>
    <x v="1"/>
    <x v="1"/>
    <x v="1"/>
    <x v="1"/>
    <x v="0"/>
    <x v="4"/>
    <x v="297"/>
    <x v="0"/>
    <x v="11"/>
    <x v="10"/>
  </r>
  <r>
    <x v="1183"/>
    <x v="136"/>
    <x v="244"/>
    <x v="21"/>
    <x v="93"/>
    <x v="4"/>
    <x v="3"/>
    <x v="7"/>
    <x v="14"/>
    <x v="4"/>
    <x v="52"/>
    <x v="166"/>
    <x v="227"/>
    <x v="55"/>
    <x v="438"/>
    <x v="222"/>
    <x v="1"/>
    <x v="17"/>
    <x v="1"/>
    <x v="0"/>
    <x v="1"/>
    <x v="1"/>
    <x v="0"/>
    <x v="4"/>
    <x v="423"/>
    <x v="0"/>
    <x v="11"/>
    <x v="10"/>
  </r>
  <r>
    <x v="1184"/>
    <x v="208"/>
    <x v="222"/>
    <x v="87"/>
    <x v="26"/>
    <x v="0"/>
    <x v="0"/>
    <x v="15"/>
    <x v="34"/>
    <x v="0"/>
    <x v="35"/>
    <x v="0"/>
    <x v="195"/>
    <x v="52"/>
    <x v="319"/>
    <x v="155"/>
    <x v="4"/>
    <x v="4"/>
    <x v="1"/>
    <x v="1"/>
    <x v="2"/>
    <x v="1"/>
    <x v="0"/>
    <x v="3"/>
    <x v="307"/>
    <x v="0"/>
    <x v="11"/>
    <x v="10"/>
  </r>
  <r>
    <x v="1185"/>
    <x v="125"/>
    <x v="287"/>
    <x v="8"/>
    <x v="50"/>
    <x v="3"/>
    <x v="3"/>
    <x v="10"/>
    <x v="20"/>
    <x v="0"/>
    <x v="71"/>
    <x v="0"/>
    <x v="343"/>
    <x v="72"/>
    <x v="622"/>
    <x v="283"/>
    <x v="1"/>
    <x v="13"/>
    <x v="1"/>
    <x v="1"/>
    <x v="1"/>
    <x v="1"/>
    <x v="0"/>
    <x v="3"/>
    <x v="593"/>
    <x v="0"/>
    <x v="11"/>
    <x v="10"/>
  </r>
  <r>
    <x v="1186"/>
    <x v="8"/>
    <x v="253"/>
    <x v="21"/>
    <x v="93"/>
    <x v="4"/>
    <x v="1"/>
    <x v="7"/>
    <x v="14"/>
    <x v="1"/>
    <x v="26"/>
    <x v="29"/>
    <x v="142"/>
    <x v="33"/>
    <x v="317"/>
    <x v="295"/>
    <x v="4"/>
    <x v="3"/>
    <x v="2"/>
    <x v="0"/>
    <x v="2"/>
    <x v="1"/>
    <x v="0"/>
    <x v="4"/>
    <x v="306"/>
    <x v="0"/>
    <x v="11"/>
    <x v="10"/>
  </r>
  <r>
    <x v="1187"/>
    <x v="309"/>
    <x v="78"/>
    <x v="15"/>
    <x v="14"/>
    <x v="4"/>
    <x v="0"/>
    <x v="7"/>
    <x v="15"/>
    <x v="2"/>
    <x v="11"/>
    <x v="29"/>
    <x v="61"/>
    <x v="18"/>
    <x v="99"/>
    <x v="236"/>
    <x v="2"/>
    <x v="19"/>
    <x v="0"/>
    <x v="1"/>
    <x v="2"/>
    <x v="1"/>
    <x v="0"/>
    <x v="2"/>
    <x v="96"/>
    <x v="0"/>
    <x v="11"/>
    <x v="10"/>
  </r>
  <r>
    <x v="1188"/>
    <x v="265"/>
    <x v="63"/>
    <x v="8"/>
    <x v="50"/>
    <x v="3"/>
    <x v="1"/>
    <x v="10"/>
    <x v="20"/>
    <x v="1"/>
    <x v="44"/>
    <x v="50"/>
    <x v="220"/>
    <x v="50"/>
    <x v="446"/>
    <x v="262"/>
    <x v="1"/>
    <x v="8"/>
    <x v="1"/>
    <x v="1"/>
    <x v="1"/>
    <x v="1"/>
    <x v="0"/>
    <x v="0"/>
    <x v="431"/>
    <x v="0"/>
    <x v="11"/>
    <x v="10"/>
  </r>
  <r>
    <x v="1189"/>
    <x v="279"/>
    <x v="236"/>
    <x v="47"/>
    <x v="74"/>
    <x v="1"/>
    <x v="0"/>
    <x v="4"/>
    <x v="9"/>
    <x v="4"/>
    <x v="5"/>
    <x v="41"/>
    <x v="24"/>
    <x v="11"/>
    <x v="20"/>
    <x v="189"/>
    <x v="1"/>
    <x v="5"/>
    <x v="0"/>
    <x v="1"/>
    <x v="1"/>
    <x v="1"/>
    <x v="0"/>
    <x v="3"/>
    <x v="21"/>
    <x v="0"/>
    <x v="11"/>
    <x v="10"/>
  </r>
  <r>
    <x v="1190"/>
    <x v="340"/>
    <x v="161"/>
    <x v="20"/>
    <x v="40"/>
    <x v="4"/>
    <x v="2"/>
    <x v="17"/>
    <x v="32"/>
    <x v="3"/>
    <x v="87"/>
    <x v="204"/>
    <x v="378"/>
    <x v="89"/>
    <x v="617"/>
    <x v="182"/>
    <x v="4"/>
    <x v="8"/>
    <x v="1"/>
    <x v="0"/>
    <x v="2"/>
    <x v="1"/>
    <x v="0"/>
    <x v="4"/>
    <x v="588"/>
    <x v="0"/>
    <x v="11"/>
    <x v="10"/>
  </r>
  <r>
    <x v="1191"/>
    <x v="319"/>
    <x v="286"/>
    <x v="87"/>
    <x v="26"/>
    <x v="0"/>
    <x v="1"/>
    <x v="15"/>
    <x v="34"/>
    <x v="0"/>
    <x v="64"/>
    <x v="0"/>
    <x v="311"/>
    <x v="75"/>
    <x v="520"/>
    <x v="155"/>
    <x v="4"/>
    <x v="0"/>
    <x v="1"/>
    <x v="1"/>
    <x v="2"/>
    <x v="1"/>
    <x v="0"/>
    <x v="0"/>
    <x v="497"/>
    <x v="0"/>
    <x v="11"/>
    <x v="10"/>
  </r>
  <r>
    <x v="1192"/>
    <x v="296"/>
    <x v="193"/>
    <x v="67"/>
    <x v="21"/>
    <x v="6"/>
    <x v="1"/>
    <x v="4"/>
    <x v="7"/>
    <x v="1"/>
    <x v="15"/>
    <x v="17"/>
    <x v="91"/>
    <x v="19"/>
    <x v="229"/>
    <x v="328"/>
    <x v="1"/>
    <x v="3"/>
    <x v="1"/>
    <x v="1"/>
    <x v="1"/>
    <x v="1"/>
    <x v="0"/>
    <x v="0"/>
    <x v="221"/>
    <x v="0"/>
    <x v="11"/>
    <x v="10"/>
  </r>
  <r>
    <x v="1193"/>
    <x v="344"/>
    <x v="114"/>
    <x v="26"/>
    <x v="8"/>
    <x v="4"/>
    <x v="1"/>
    <x v="5"/>
    <x v="10"/>
    <x v="1"/>
    <x v="19"/>
    <x v="21"/>
    <x v="110"/>
    <x v="25"/>
    <x v="239"/>
    <x v="293"/>
    <x v="1"/>
    <x v="3"/>
    <x v="0"/>
    <x v="1"/>
    <x v="1"/>
    <x v="1"/>
    <x v="0"/>
    <x v="4"/>
    <x v="231"/>
    <x v="0"/>
    <x v="11"/>
    <x v="10"/>
  </r>
  <r>
    <x v="1194"/>
    <x v="39"/>
    <x v="195"/>
    <x v="72"/>
    <x v="43"/>
    <x v="6"/>
    <x v="0"/>
    <x v="20"/>
    <x v="40"/>
    <x v="2"/>
    <x v="54"/>
    <x v="113"/>
    <x v="253"/>
    <x v="67"/>
    <x v="400"/>
    <x v="120"/>
    <x v="3"/>
    <x v="15"/>
    <x v="1"/>
    <x v="1"/>
    <x v="3"/>
    <x v="1"/>
    <x v="0"/>
    <x v="4"/>
    <x v="0"/>
    <x v="0"/>
    <x v="11"/>
    <x v="10"/>
  </r>
  <r>
    <x v="1195"/>
    <x v="100"/>
    <x v="163"/>
    <x v="68"/>
    <x v="80"/>
    <x v="6"/>
    <x v="0"/>
    <x v="12"/>
    <x v="27"/>
    <x v="4"/>
    <x v="27"/>
    <x v="112"/>
    <x v="120"/>
    <x v="39"/>
    <x v="150"/>
    <x v="105"/>
    <x v="0"/>
    <x v="12"/>
    <x v="0"/>
    <x v="1"/>
    <x v="0"/>
    <x v="1"/>
    <x v="0"/>
    <x v="1"/>
    <x v="0"/>
    <x v="0"/>
    <x v="11"/>
    <x v="10"/>
  </r>
  <r>
    <x v="1196"/>
    <x v="40"/>
    <x v="115"/>
    <x v="91"/>
    <x v="39"/>
    <x v="0"/>
    <x v="0"/>
    <x v="12"/>
    <x v="29"/>
    <x v="3"/>
    <x v="27"/>
    <x v="90"/>
    <x v="126"/>
    <x v="43"/>
    <x v="149"/>
    <x v="87"/>
    <x v="1"/>
    <x v="18"/>
    <x v="1"/>
    <x v="0"/>
    <x v="1"/>
    <x v="1"/>
    <x v="0"/>
    <x v="4"/>
    <x v="143"/>
    <x v="0"/>
    <x v="11"/>
    <x v="10"/>
  </r>
  <r>
    <x v="1197"/>
    <x v="121"/>
    <x v="184"/>
    <x v="35"/>
    <x v="24"/>
    <x v="5"/>
    <x v="0"/>
    <x v="17"/>
    <x v="35"/>
    <x v="0"/>
    <x v="42"/>
    <x v="0"/>
    <x v="217"/>
    <x v="55"/>
    <x v="398"/>
    <x v="195"/>
    <x v="1"/>
    <x v="17"/>
    <x v="1"/>
    <x v="2"/>
    <x v="1"/>
    <x v="1"/>
    <x v="0"/>
    <x v="4"/>
    <x v="384"/>
    <x v="0"/>
    <x v="11"/>
    <x v="10"/>
  </r>
  <r>
    <x v="1198"/>
    <x v="309"/>
    <x v="221"/>
    <x v="97"/>
    <x v="81"/>
    <x v="0"/>
    <x v="2"/>
    <x v="12"/>
    <x v="29"/>
    <x v="2"/>
    <x v="69"/>
    <x v="143"/>
    <x v="316"/>
    <x v="79"/>
    <x v="508"/>
    <x v="119"/>
    <x v="2"/>
    <x v="8"/>
    <x v="1"/>
    <x v="0"/>
    <x v="2"/>
    <x v="1"/>
    <x v="0"/>
    <x v="2"/>
    <x v="486"/>
    <x v="0"/>
    <x v="11"/>
    <x v="10"/>
  </r>
  <r>
    <x v="1199"/>
    <x v="179"/>
    <x v="89"/>
    <x v="33"/>
    <x v="87"/>
    <x v="5"/>
    <x v="0"/>
    <x v="11"/>
    <x v="23"/>
    <x v="2"/>
    <x v="23"/>
    <x v="56"/>
    <x v="123"/>
    <x v="34"/>
    <x v="207"/>
    <x v="211"/>
    <x v="1"/>
    <x v="7"/>
    <x v="1"/>
    <x v="0"/>
    <x v="1"/>
    <x v="1"/>
    <x v="0"/>
    <x v="0"/>
    <x v="200"/>
    <x v="0"/>
    <x v="11"/>
    <x v="10"/>
  </r>
  <r>
    <x v="1200"/>
    <x v="51"/>
    <x v="34"/>
    <x v="63"/>
    <x v="33"/>
    <x v="6"/>
    <x v="0"/>
    <x v="9"/>
    <x v="18"/>
    <x v="3"/>
    <x v="16"/>
    <x v="65"/>
    <x v="80"/>
    <x v="24"/>
    <x v="144"/>
    <x v="218"/>
    <x v="1"/>
    <x v="2"/>
    <x v="1"/>
    <x v="0"/>
    <x v="1"/>
    <x v="1"/>
    <x v="0"/>
    <x v="4"/>
    <x v="138"/>
    <x v="0"/>
    <x v="11"/>
    <x v="10"/>
  </r>
  <r>
    <x v="1201"/>
    <x v="222"/>
    <x v="47"/>
    <x v="98"/>
    <x v="72"/>
    <x v="0"/>
    <x v="1"/>
    <x v="15"/>
    <x v="34"/>
    <x v="3"/>
    <x v="64"/>
    <x v="164"/>
    <x v="284"/>
    <x v="75"/>
    <x v="401"/>
    <x v="65"/>
    <x v="4"/>
    <x v="10"/>
    <x v="0"/>
    <x v="1"/>
    <x v="2"/>
    <x v="1"/>
    <x v="0"/>
    <x v="0"/>
    <x v="386"/>
    <x v="0"/>
    <x v="11"/>
    <x v="10"/>
  </r>
  <r>
    <x v="1202"/>
    <x v="82"/>
    <x v="200"/>
    <x v="12"/>
    <x v="56"/>
    <x v="3"/>
    <x v="3"/>
    <x v="9"/>
    <x v="22"/>
    <x v="2"/>
    <x v="66"/>
    <x v="139"/>
    <x v="305"/>
    <x v="78"/>
    <x v="476"/>
    <x v="95"/>
    <x v="0"/>
    <x v="1"/>
    <x v="0"/>
    <x v="1"/>
    <x v="0"/>
    <x v="1"/>
    <x v="0"/>
    <x v="1"/>
    <x v="0"/>
    <x v="0"/>
    <x v="11"/>
    <x v="10"/>
  </r>
  <r>
    <x v="1203"/>
    <x v="94"/>
    <x v="290"/>
    <x v="14"/>
    <x v="65"/>
    <x v="3"/>
    <x v="0"/>
    <x v="24"/>
    <x v="49"/>
    <x v="3"/>
    <x v="83"/>
    <x v="200"/>
    <x v="353"/>
    <x v="99"/>
    <x v="352"/>
    <x v="8"/>
    <x v="1"/>
    <x v="11"/>
    <x v="2"/>
    <x v="2"/>
    <x v="1"/>
    <x v="1"/>
    <x v="0"/>
    <x v="4"/>
    <x v="339"/>
    <x v="0"/>
    <x v="11"/>
    <x v="10"/>
  </r>
  <r>
    <x v="1204"/>
    <x v="150"/>
    <x v="223"/>
    <x v="55"/>
    <x v="37"/>
    <x v="1"/>
    <x v="4"/>
    <x v="15"/>
    <x v="34"/>
    <x v="2"/>
    <x v="99"/>
    <x v="203"/>
    <x v="415"/>
    <x v="110"/>
    <x v="647"/>
    <x v="91"/>
    <x v="1"/>
    <x v="12"/>
    <x v="1"/>
    <x v="2"/>
    <x v="1"/>
    <x v="2"/>
    <x v="0"/>
    <x v="3"/>
    <x v="614"/>
    <x v="0"/>
    <x v="11"/>
    <x v="10"/>
  </r>
  <r>
    <x v="1205"/>
    <x v="37"/>
    <x v="20"/>
    <x v="86"/>
    <x v="11"/>
    <x v="2"/>
    <x v="0"/>
    <x v="6"/>
    <x v="14"/>
    <x v="4"/>
    <x v="9"/>
    <x v="54"/>
    <x v="41"/>
    <x v="17"/>
    <x v="42"/>
    <x v="168"/>
    <x v="1"/>
    <x v="6"/>
    <x v="1"/>
    <x v="2"/>
    <x v="1"/>
    <x v="1"/>
    <x v="0"/>
    <x v="0"/>
    <x v="43"/>
    <x v="0"/>
    <x v="11"/>
    <x v="10"/>
  </r>
  <r>
    <x v="1206"/>
    <x v="176"/>
    <x v="182"/>
    <x v="23"/>
    <x v="49"/>
    <x v="4"/>
    <x v="0"/>
    <x v="12"/>
    <x v="24"/>
    <x v="2"/>
    <x v="27"/>
    <x v="62"/>
    <x v="137"/>
    <x v="36"/>
    <x v="252"/>
    <x v="226"/>
    <x v="1"/>
    <x v="4"/>
    <x v="0"/>
    <x v="2"/>
    <x v="1"/>
    <x v="1"/>
    <x v="0"/>
    <x v="0"/>
    <x v="244"/>
    <x v="0"/>
    <x v="11"/>
    <x v="10"/>
  </r>
  <r>
    <x v="1207"/>
    <x v="267"/>
    <x v="289"/>
    <x v="92"/>
    <x v="45"/>
    <x v="0"/>
    <x v="0"/>
    <x v="21"/>
    <x v="44"/>
    <x v="1"/>
    <x v="58"/>
    <x v="69"/>
    <x v="283"/>
    <x v="74"/>
    <x v="412"/>
    <x v="79"/>
    <x v="2"/>
    <x v="16"/>
    <x v="0"/>
    <x v="1"/>
    <x v="2"/>
    <x v="1"/>
    <x v="0"/>
    <x v="2"/>
    <x v="397"/>
    <x v="0"/>
    <x v="11"/>
    <x v="10"/>
  </r>
  <r>
    <x v="1208"/>
    <x v="123"/>
    <x v="204"/>
    <x v="19"/>
    <x v="2"/>
    <x v="4"/>
    <x v="0"/>
    <x v="14"/>
    <x v="30"/>
    <x v="3"/>
    <x v="33"/>
    <x v="104"/>
    <x v="154"/>
    <x v="45"/>
    <x v="228"/>
    <x v="141"/>
    <x v="1"/>
    <x v="17"/>
    <x v="1"/>
    <x v="1"/>
    <x v="1"/>
    <x v="1"/>
    <x v="0"/>
    <x v="3"/>
    <x v="220"/>
    <x v="0"/>
    <x v="11"/>
    <x v="10"/>
  </r>
  <r>
    <x v="1209"/>
    <x v="252"/>
    <x v="40"/>
    <x v="33"/>
    <x v="87"/>
    <x v="5"/>
    <x v="2"/>
    <x v="11"/>
    <x v="23"/>
    <x v="4"/>
    <x v="65"/>
    <x v="190"/>
    <x v="281"/>
    <x v="70"/>
    <x v="467"/>
    <x v="147"/>
    <x v="1"/>
    <x v="6"/>
    <x v="0"/>
    <x v="1"/>
    <x v="1"/>
    <x v="1"/>
    <x v="0"/>
    <x v="4"/>
    <x v="448"/>
    <x v="0"/>
    <x v="11"/>
    <x v="10"/>
  </r>
  <r>
    <x v="1210"/>
    <x v="114"/>
    <x v="129"/>
    <x v="58"/>
    <x v="5"/>
    <x v="1"/>
    <x v="0"/>
    <x v="9"/>
    <x v="20"/>
    <x v="5"/>
    <x v="16"/>
    <x v="97"/>
    <x v="71"/>
    <x v="29"/>
    <x v="52"/>
    <x v="72"/>
    <x v="1"/>
    <x v="16"/>
    <x v="1"/>
    <x v="0"/>
    <x v="1"/>
    <x v="1"/>
    <x v="0"/>
    <x v="4"/>
    <x v="51"/>
    <x v="0"/>
    <x v="11"/>
    <x v="10"/>
  </r>
  <r>
    <x v="1211"/>
    <x v="211"/>
    <x v="43"/>
    <x v="1"/>
    <x v="9"/>
    <x v="3"/>
    <x v="3"/>
    <x v="17"/>
    <x v="36"/>
    <x v="0"/>
    <x v="96"/>
    <x v="0"/>
    <x v="418"/>
    <x v="108"/>
    <x v="661"/>
    <x v="161"/>
    <x v="1"/>
    <x v="8"/>
    <x v="1"/>
    <x v="0"/>
    <x v="1"/>
    <x v="2"/>
    <x v="0"/>
    <x v="0"/>
    <x v="625"/>
    <x v="0"/>
    <x v="11"/>
    <x v="10"/>
  </r>
  <r>
    <x v="1212"/>
    <x v="276"/>
    <x v="282"/>
    <x v="65"/>
    <x v="36"/>
    <x v="6"/>
    <x v="0"/>
    <x v="7"/>
    <x v="14"/>
    <x v="1"/>
    <x v="11"/>
    <x v="12"/>
    <x v="64"/>
    <x v="17"/>
    <x v="132"/>
    <x v="295"/>
    <x v="1"/>
    <x v="4"/>
    <x v="0"/>
    <x v="0"/>
    <x v="1"/>
    <x v="1"/>
    <x v="0"/>
    <x v="4"/>
    <x v="127"/>
    <x v="0"/>
    <x v="11"/>
    <x v="10"/>
  </r>
  <r>
    <x v="1213"/>
    <x v="138"/>
    <x v="281"/>
    <x v="21"/>
    <x v="93"/>
    <x v="4"/>
    <x v="0"/>
    <x v="7"/>
    <x v="14"/>
    <x v="0"/>
    <x v="11"/>
    <x v="0"/>
    <x v="68"/>
    <x v="17"/>
    <x v="147"/>
    <x v="309"/>
    <x v="1"/>
    <x v="8"/>
    <x v="1"/>
    <x v="0"/>
    <x v="1"/>
    <x v="1"/>
    <x v="0"/>
    <x v="3"/>
    <x v="141"/>
    <x v="0"/>
    <x v="11"/>
    <x v="10"/>
  </r>
  <r>
    <x v="1214"/>
    <x v="198"/>
    <x v="240"/>
    <x v="90"/>
    <x v="69"/>
    <x v="0"/>
    <x v="0"/>
    <x v="20"/>
    <x v="41"/>
    <x v="0"/>
    <x v="54"/>
    <x v="0"/>
    <x v="269"/>
    <x v="68"/>
    <x v="442"/>
    <x v="129"/>
    <x v="1"/>
    <x v="1"/>
    <x v="0"/>
    <x v="1"/>
    <x v="1"/>
    <x v="1"/>
    <x v="0"/>
    <x v="4"/>
    <x v="427"/>
    <x v="0"/>
    <x v="11"/>
    <x v="10"/>
  </r>
  <r>
    <x v="1215"/>
    <x v="87"/>
    <x v="68"/>
    <x v="81"/>
    <x v="31"/>
    <x v="2"/>
    <x v="1"/>
    <x v="2"/>
    <x v="4"/>
    <x v="4"/>
    <x v="10"/>
    <x v="59"/>
    <x v="49"/>
    <x v="14"/>
    <x v="91"/>
    <x v="267"/>
    <x v="1"/>
    <x v="0"/>
    <x v="0"/>
    <x v="0"/>
    <x v="1"/>
    <x v="1"/>
    <x v="0"/>
    <x v="3"/>
    <x v="89"/>
    <x v="0"/>
    <x v="11"/>
    <x v="10"/>
  </r>
  <r>
    <x v="1216"/>
    <x v="195"/>
    <x v="24"/>
    <x v="68"/>
    <x v="80"/>
    <x v="6"/>
    <x v="0"/>
    <x v="12"/>
    <x v="27"/>
    <x v="1"/>
    <x v="27"/>
    <x v="30"/>
    <x v="143"/>
    <x v="39"/>
    <x v="251"/>
    <x v="203"/>
    <x v="1"/>
    <x v="4"/>
    <x v="1"/>
    <x v="1"/>
    <x v="1"/>
    <x v="1"/>
    <x v="0"/>
    <x v="0"/>
    <x v="243"/>
    <x v="0"/>
    <x v="11"/>
    <x v="10"/>
  </r>
  <r>
    <x v="1217"/>
    <x v="319"/>
    <x v="16"/>
    <x v="77"/>
    <x v="75"/>
    <x v="2"/>
    <x v="0"/>
    <x v="2"/>
    <x v="4"/>
    <x v="1"/>
    <x v="2"/>
    <x v="3"/>
    <x v="16"/>
    <x v="4"/>
    <x v="31"/>
    <x v="318"/>
    <x v="1"/>
    <x v="18"/>
    <x v="1"/>
    <x v="1"/>
    <x v="1"/>
    <x v="1"/>
    <x v="0"/>
    <x v="4"/>
    <x v="32"/>
    <x v="0"/>
    <x v="11"/>
    <x v="10"/>
  </r>
  <r>
    <x v="1218"/>
    <x v="27"/>
    <x v="219"/>
    <x v="7"/>
    <x v="62"/>
    <x v="3"/>
    <x v="2"/>
    <x v="5"/>
    <x v="9"/>
    <x v="3"/>
    <x v="31"/>
    <x v="100"/>
    <x v="152"/>
    <x v="36"/>
    <x v="328"/>
    <x v="277"/>
    <x v="1"/>
    <x v="14"/>
    <x v="1"/>
    <x v="1"/>
    <x v="1"/>
    <x v="1"/>
    <x v="0"/>
    <x v="4"/>
    <x v="316"/>
    <x v="0"/>
    <x v="11"/>
    <x v="10"/>
  </r>
  <r>
    <x v="1219"/>
    <x v="192"/>
    <x v="5"/>
    <x v="58"/>
    <x v="5"/>
    <x v="1"/>
    <x v="2"/>
    <x v="9"/>
    <x v="20"/>
    <x v="5"/>
    <x v="55"/>
    <x v="188"/>
    <x v="226"/>
    <x v="65"/>
    <x v="303"/>
    <x v="72"/>
    <x v="1"/>
    <x v="12"/>
    <x v="1"/>
    <x v="1"/>
    <x v="1"/>
    <x v="1"/>
    <x v="0"/>
    <x v="0"/>
    <x v="292"/>
    <x v="0"/>
    <x v="11"/>
    <x v="10"/>
  </r>
  <r>
    <x v="1220"/>
    <x v="349"/>
    <x v="63"/>
    <x v="34"/>
    <x v="59"/>
    <x v="5"/>
    <x v="0"/>
    <x v="12"/>
    <x v="28"/>
    <x v="3"/>
    <x v="27"/>
    <x v="90"/>
    <x v="126"/>
    <x v="41"/>
    <x v="168"/>
    <x v="118"/>
    <x v="1"/>
    <x v="8"/>
    <x v="1"/>
    <x v="2"/>
    <x v="1"/>
    <x v="1"/>
    <x v="0"/>
    <x v="4"/>
    <x v="162"/>
    <x v="0"/>
    <x v="11"/>
    <x v="10"/>
  </r>
  <r>
    <x v="1221"/>
    <x v="255"/>
    <x v="170"/>
    <x v="98"/>
    <x v="72"/>
    <x v="0"/>
    <x v="0"/>
    <x v="15"/>
    <x v="34"/>
    <x v="4"/>
    <x v="35"/>
    <x v="134"/>
    <x v="155"/>
    <x v="52"/>
    <x v="141"/>
    <x v="42"/>
    <x v="1"/>
    <x v="11"/>
    <x v="0"/>
    <x v="1"/>
    <x v="1"/>
    <x v="1"/>
    <x v="0"/>
    <x v="0"/>
    <x v="135"/>
    <x v="0"/>
    <x v="11"/>
    <x v="10"/>
  </r>
  <r>
    <x v="1222"/>
    <x v="62"/>
    <x v="214"/>
    <x v="32"/>
    <x v="7"/>
    <x v="5"/>
    <x v="0"/>
    <x v="14"/>
    <x v="30"/>
    <x v="1"/>
    <x v="33"/>
    <x v="36"/>
    <x v="172"/>
    <x v="45"/>
    <x v="313"/>
    <x v="205"/>
    <x v="1"/>
    <x v="18"/>
    <x v="1"/>
    <x v="0"/>
    <x v="1"/>
    <x v="1"/>
    <x v="0"/>
    <x v="3"/>
    <x v="302"/>
    <x v="0"/>
    <x v="11"/>
    <x v="10"/>
  </r>
  <r>
    <x v="1223"/>
    <x v="209"/>
    <x v="89"/>
    <x v="86"/>
    <x v="11"/>
    <x v="2"/>
    <x v="1"/>
    <x v="6"/>
    <x v="14"/>
    <x v="4"/>
    <x v="22"/>
    <x v="101"/>
    <x v="103"/>
    <x v="33"/>
    <x v="161"/>
    <x v="168"/>
    <x v="2"/>
    <x v="7"/>
    <x v="1"/>
    <x v="0"/>
    <x v="2"/>
    <x v="1"/>
    <x v="0"/>
    <x v="2"/>
    <x v="155"/>
    <x v="0"/>
    <x v="11"/>
    <x v="10"/>
  </r>
  <r>
    <x v="1224"/>
    <x v="178"/>
    <x v="247"/>
    <x v="74"/>
    <x v="4"/>
    <x v="2"/>
    <x v="0"/>
    <x v="1"/>
    <x v="1"/>
    <x v="0"/>
    <x v="1"/>
    <x v="0"/>
    <x v="11"/>
    <x v="1"/>
    <x v="24"/>
    <x v="339"/>
    <x v="1"/>
    <x v="13"/>
    <x v="1"/>
    <x v="1"/>
    <x v="1"/>
    <x v="1"/>
    <x v="0"/>
    <x v="0"/>
    <x v="25"/>
    <x v="0"/>
    <x v="11"/>
    <x v="10"/>
  </r>
  <r>
    <x v="1225"/>
    <x v="262"/>
    <x v="72"/>
    <x v="71"/>
    <x v="88"/>
    <x v="6"/>
    <x v="1"/>
    <x v="5"/>
    <x v="10"/>
    <x v="0"/>
    <x v="19"/>
    <x v="0"/>
    <x v="117"/>
    <x v="25"/>
    <x v="272"/>
    <x v="307"/>
    <x v="1"/>
    <x v="11"/>
    <x v="1"/>
    <x v="1"/>
    <x v="1"/>
    <x v="1"/>
    <x v="0"/>
    <x v="4"/>
    <x v="263"/>
    <x v="0"/>
    <x v="11"/>
    <x v="10"/>
  </r>
  <r>
    <x v="1226"/>
    <x v="251"/>
    <x v="99"/>
    <x v="88"/>
    <x v="57"/>
    <x v="0"/>
    <x v="3"/>
    <x v="22"/>
    <x v="45"/>
    <x v="3"/>
    <x v="109"/>
    <x v="242"/>
    <x v="437"/>
    <x v="122"/>
    <x v="659"/>
    <x v="37"/>
    <x v="2"/>
    <x v="6"/>
    <x v="1"/>
    <x v="1"/>
    <x v="2"/>
    <x v="2"/>
    <x v="0"/>
    <x v="2"/>
    <x v="624"/>
    <x v="0"/>
    <x v="11"/>
    <x v="10"/>
  </r>
  <r>
    <x v="1227"/>
    <x v="286"/>
    <x v="17"/>
    <x v="84"/>
    <x v="55"/>
    <x v="2"/>
    <x v="1"/>
    <x v="3"/>
    <x v="6"/>
    <x v="1"/>
    <x v="13"/>
    <x v="15"/>
    <x v="77"/>
    <x v="18"/>
    <x v="176"/>
    <x v="315"/>
    <x v="1"/>
    <x v="15"/>
    <x v="0"/>
    <x v="2"/>
    <x v="1"/>
    <x v="1"/>
    <x v="0"/>
    <x v="4"/>
    <x v="170"/>
    <x v="0"/>
    <x v="11"/>
    <x v="10"/>
  </r>
  <r>
    <x v="1228"/>
    <x v="306"/>
    <x v="164"/>
    <x v="50"/>
    <x v="10"/>
    <x v="1"/>
    <x v="0"/>
    <x v="5"/>
    <x v="11"/>
    <x v="0"/>
    <x v="7"/>
    <x v="0"/>
    <x v="50"/>
    <x v="13"/>
    <x v="97"/>
    <x v="289"/>
    <x v="1"/>
    <x v="17"/>
    <x v="1"/>
    <x v="0"/>
    <x v="1"/>
    <x v="1"/>
    <x v="0"/>
    <x v="4"/>
    <x v="95"/>
    <x v="0"/>
    <x v="11"/>
    <x v="10"/>
  </r>
  <r>
    <x v="1229"/>
    <x v="279"/>
    <x v="191"/>
    <x v="44"/>
    <x v="53"/>
    <x v="5"/>
    <x v="2"/>
    <x v="6"/>
    <x v="12"/>
    <x v="1"/>
    <x v="36"/>
    <x v="40"/>
    <x v="194"/>
    <x v="42"/>
    <x v="416"/>
    <x v="294"/>
    <x v="1"/>
    <x v="9"/>
    <x v="1"/>
    <x v="1"/>
    <x v="1"/>
    <x v="1"/>
    <x v="0"/>
    <x v="4"/>
    <x v="401"/>
    <x v="0"/>
    <x v="11"/>
    <x v="10"/>
  </r>
  <r>
    <x v="1230"/>
    <x v="32"/>
    <x v="254"/>
    <x v="39"/>
    <x v="20"/>
    <x v="5"/>
    <x v="0"/>
    <x v="13"/>
    <x v="29"/>
    <x v="0"/>
    <x v="29"/>
    <x v="0"/>
    <x v="163"/>
    <x v="43"/>
    <x v="319"/>
    <x v="227"/>
    <x v="1"/>
    <x v="18"/>
    <x v="0"/>
    <x v="2"/>
    <x v="1"/>
    <x v="1"/>
    <x v="0"/>
    <x v="3"/>
    <x v="307"/>
    <x v="0"/>
    <x v="11"/>
    <x v="10"/>
  </r>
  <r>
    <x v="1231"/>
    <x v="292"/>
    <x v="48"/>
    <x v="3"/>
    <x v="90"/>
    <x v="3"/>
    <x v="1"/>
    <x v="3"/>
    <x v="7"/>
    <x v="0"/>
    <x v="13"/>
    <x v="0"/>
    <x v="83"/>
    <x v="19"/>
    <x v="184"/>
    <x v="306"/>
    <x v="1"/>
    <x v="0"/>
    <x v="1"/>
    <x v="0"/>
    <x v="1"/>
    <x v="1"/>
    <x v="0"/>
    <x v="0"/>
    <x v="178"/>
    <x v="0"/>
    <x v="11"/>
    <x v="10"/>
  </r>
  <r>
    <x v="1232"/>
    <x v="105"/>
    <x v="215"/>
    <x v="26"/>
    <x v="8"/>
    <x v="4"/>
    <x v="1"/>
    <x v="5"/>
    <x v="10"/>
    <x v="1"/>
    <x v="19"/>
    <x v="21"/>
    <x v="110"/>
    <x v="25"/>
    <x v="239"/>
    <x v="293"/>
    <x v="4"/>
    <x v="15"/>
    <x v="2"/>
    <x v="1"/>
    <x v="2"/>
    <x v="1"/>
    <x v="0"/>
    <x v="4"/>
    <x v="231"/>
    <x v="0"/>
    <x v="11"/>
    <x v="10"/>
  </r>
  <r>
    <x v="1233"/>
    <x v="39"/>
    <x v="290"/>
    <x v="9"/>
    <x v="95"/>
    <x v="3"/>
    <x v="1"/>
    <x v="19"/>
    <x v="39"/>
    <x v="0"/>
    <x v="78"/>
    <x v="0"/>
    <x v="367"/>
    <x v="89"/>
    <x v="593"/>
    <x v="149"/>
    <x v="1"/>
    <x v="11"/>
    <x v="2"/>
    <x v="0"/>
    <x v="1"/>
    <x v="1"/>
    <x v="0"/>
    <x v="3"/>
    <x v="568"/>
    <x v="0"/>
    <x v="11"/>
    <x v="10"/>
  </r>
  <r>
    <x v="1234"/>
    <x v="112"/>
    <x v="171"/>
    <x v="94"/>
    <x v="86"/>
    <x v="0"/>
    <x v="1"/>
    <x v="18"/>
    <x v="38"/>
    <x v="2"/>
    <x v="72"/>
    <x v="150"/>
    <x v="327"/>
    <x v="84"/>
    <x v="489"/>
    <x v="81"/>
    <x v="2"/>
    <x v="9"/>
    <x v="2"/>
    <x v="1"/>
    <x v="2"/>
    <x v="1"/>
    <x v="0"/>
    <x v="2"/>
    <x v="470"/>
    <x v="0"/>
    <x v="11"/>
    <x v="10"/>
  </r>
  <r>
    <x v="1235"/>
    <x v="196"/>
    <x v="133"/>
    <x v="35"/>
    <x v="24"/>
    <x v="5"/>
    <x v="0"/>
    <x v="17"/>
    <x v="35"/>
    <x v="3"/>
    <x v="42"/>
    <x v="124"/>
    <x v="190"/>
    <x v="55"/>
    <x v="267"/>
    <x v="102"/>
    <x v="4"/>
    <x v="3"/>
    <x v="0"/>
    <x v="1"/>
    <x v="2"/>
    <x v="1"/>
    <x v="0"/>
    <x v="0"/>
    <x v="258"/>
    <x v="0"/>
    <x v="11"/>
    <x v="10"/>
  </r>
  <r>
    <x v="1236"/>
    <x v="332"/>
    <x v="279"/>
    <x v="22"/>
    <x v="79"/>
    <x v="4"/>
    <x v="2"/>
    <x v="4"/>
    <x v="7"/>
    <x v="0"/>
    <x v="28"/>
    <x v="0"/>
    <x v="156"/>
    <x v="30"/>
    <x v="389"/>
    <x v="334"/>
    <x v="1"/>
    <x v="14"/>
    <x v="1"/>
    <x v="1"/>
    <x v="1"/>
    <x v="1"/>
    <x v="0"/>
    <x v="0"/>
    <x v="375"/>
    <x v="0"/>
    <x v="11"/>
    <x v="10"/>
  </r>
  <r>
    <x v="1237"/>
    <x v="241"/>
    <x v="57"/>
    <x v="98"/>
    <x v="72"/>
    <x v="0"/>
    <x v="0"/>
    <x v="15"/>
    <x v="34"/>
    <x v="0"/>
    <x v="35"/>
    <x v="0"/>
    <x v="195"/>
    <x v="52"/>
    <x v="319"/>
    <x v="155"/>
    <x v="1"/>
    <x v="15"/>
    <x v="0"/>
    <x v="1"/>
    <x v="1"/>
    <x v="1"/>
    <x v="0"/>
    <x v="4"/>
    <x v="307"/>
    <x v="0"/>
    <x v="11"/>
    <x v="10"/>
  </r>
  <r>
    <x v="1238"/>
    <x v="25"/>
    <x v="227"/>
    <x v="82"/>
    <x v="67"/>
    <x v="2"/>
    <x v="4"/>
    <x v="5"/>
    <x v="12"/>
    <x v="2"/>
    <x v="51"/>
    <x v="109"/>
    <x v="245"/>
    <x v="59"/>
    <x v="463"/>
    <x v="220"/>
    <x v="0"/>
    <x v="13"/>
    <x v="0"/>
    <x v="2"/>
    <x v="0"/>
    <x v="1"/>
    <x v="0"/>
    <x v="1"/>
    <x v="0"/>
    <x v="0"/>
    <x v="11"/>
    <x v="10"/>
  </r>
  <r>
    <x v="1239"/>
    <x v="94"/>
    <x v="61"/>
    <x v="96"/>
    <x v="91"/>
    <x v="0"/>
    <x v="2"/>
    <x v="23"/>
    <x v="47"/>
    <x v="3"/>
    <x v="110"/>
    <x v="243"/>
    <x v="439"/>
    <x v="124"/>
    <x v="617"/>
    <x v="9"/>
    <x v="3"/>
    <x v="14"/>
    <x v="2"/>
    <x v="2"/>
    <x v="3"/>
    <x v="2"/>
    <x v="0"/>
    <x v="3"/>
    <x v="0"/>
    <x v="0"/>
    <x v="11"/>
    <x v="10"/>
  </r>
  <r>
    <x v="1240"/>
    <x v="326"/>
    <x v="48"/>
    <x v="59"/>
    <x v="99"/>
    <x v="6"/>
    <x v="0"/>
    <x v="10"/>
    <x v="20"/>
    <x v="0"/>
    <x v="20"/>
    <x v="0"/>
    <x v="119"/>
    <x v="29"/>
    <x v="250"/>
    <x v="283"/>
    <x v="1"/>
    <x v="0"/>
    <x v="1"/>
    <x v="2"/>
    <x v="1"/>
    <x v="1"/>
    <x v="0"/>
    <x v="4"/>
    <x v="242"/>
    <x v="0"/>
    <x v="11"/>
    <x v="10"/>
  </r>
  <r>
    <x v="1241"/>
    <x v="143"/>
    <x v="36"/>
    <x v="90"/>
    <x v="69"/>
    <x v="0"/>
    <x v="2"/>
    <x v="20"/>
    <x v="41"/>
    <x v="1"/>
    <x v="97"/>
    <x v="146"/>
    <x v="414"/>
    <x v="109"/>
    <x v="650"/>
    <x v="98"/>
    <x v="1"/>
    <x v="18"/>
    <x v="1"/>
    <x v="0"/>
    <x v="1"/>
    <x v="2"/>
    <x v="0"/>
    <x v="0"/>
    <x v="617"/>
    <x v="0"/>
    <x v="11"/>
    <x v="10"/>
  </r>
  <r>
    <x v="1242"/>
    <x v="160"/>
    <x v="280"/>
    <x v="99"/>
    <x v="16"/>
    <x v="0"/>
    <x v="3"/>
    <x v="22"/>
    <x v="46"/>
    <x v="3"/>
    <x v="109"/>
    <x v="242"/>
    <x v="437"/>
    <x v="123"/>
    <x v="648"/>
    <x v="25"/>
    <x v="1"/>
    <x v="1"/>
    <x v="1"/>
    <x v="2"/>
    <x v="1"/>
    <x v="2"/>
    <x v="0"/>
    <x v="3"/>
    <x v="615"/>
    <x v="0"/>
    <x v="11"/>
    <x v="10"/>
  </r>
  <r>
    <x v="1243"/>
    <x v="58"/>
    <x v="57"/>
    <x v="35"/>
    <x v="24"/>
    <x v="5"/>
    <x v="0"/>
    <x v="17"/>
    <x v="35"/>
    <x v="1"/>
    <x v="42"/>
    <x v="47"/>
    <x v="209"/>
    <x v="55"/>
    <x v="359"/>
    <x v="167"/>
    <x v="1"/>
    <x v="15"/>
    <x v="0"/>
    <x v="1"/>
    <x v="1"/>
    <x v="1"/>
    <x v="0"/>
    <x v="0"/>
    <x v="345"/>
    <x v="0"/>
    <x v="11"/>
    <x v="10"/>
  </r>
  <r>
    <x v="1244"/>
    <x v="228"/>
    <x v="121"/>
    <x v="16"/>
    <x v="22"/>
    <x v="4"/>
    <x v="0"/>
    <x v="15"/>
    <x v="31"/>
    <x v="5"/>
    <x v="35"/>
    <x v="151"/>
    <x v="146"/>
    <x v="47"/>
    <x v="164"/>
    <x v="75"/>
    <x v="1"/>
    <x v="1"/>
    <x v="1"/>
    <x v="1"/>
    <x v="1"/>
    <x v="1"/>
    <x v="0"/>
    <x v="4"/>
    <x v="158"/>
    <x v="0"/>
    <x v="11"/>
    <x v="10"/>
  </r>
  <r>
    <x v="1245"/>
    <x v="171"/>
    <x v="42"/>
    <x v="55"/>
    <x v="37"/>
    <x v="1"/>
    <x v="0"/>
    <x v="15"/>
    <x v="34"/>
    <x v="4"/>
    <x v="35"/>
    <x v="134"/>
    <x v="155"/>
    <x v="52"/>
    <x v="141"/>
    <x v="42"/>
    <x v="1"/>
    <x v="1"/>
    <x v="0"/>
    <x v="1"/>
    <x v="1"/>
    <x v="1"/>
    <x v="0"/>
    <x v="4"/>
    <x v="135"/>
    <x v="0"/>
    <x v="11"/>
    <x v="10"/>
  </r>
  <r>
    <x v="1246"/>
    <x v="265"/>
    <x v="62"/>
    <x v="25"/>
    <x v="84"/>
    <x v="4"/>
    <x v="1"/>
    <x v="10"/>
    <x v="18"/>
    <x v="2"/>
    <x v="44"/>
    <x v="94"/>
    <x v="212"/>
    <x v="45"/>
    <x v="452"/>
    <x v="299"/>
    <x v="1"/>
    <x v="1"/>
    <x v="0"/>
    <x v="1"/>
    <x v="1"/>
    <x v="1"/>
    <x v="0"/>
    <x v="4"/>
    <x v="437"/>
    <x v="0"/>
    <x v="11"/>
    <x v="10"/>
  </r>
  <r>
    <x v="1247"/>
    <x v="126"/>
    <x v="138"/>
    <x v="68"/>
    <x v="80"/>
    <x v="6"/>
    <x v="0"/>
    <x v="12"/>
    <x v="27"/>
    <x v="1"/>
    <x v="27"/>
    <x v="30"/>
    <x v="143"/>
    <x v="39"/>
    <x v="251"/>
    <x v="203"/>
    <x v="1"/>
    <x v="6"/>
    <x v="1"/>
    <x v="2"/>
    <x v="1"/>
    <x v="1"/>
    <x v="0"/>
    <x v="4"/>
    <x v="243"/>
    <x v="0"/>
    <x v="11"/>
    <x v="10"/>
  </r>
  <r>
    <x v="1248"/>
    <x v="221"/>
    <x v="46"/>
    <x v="31"/>
    <x v="94"/>
    <x v="5"/>
    <x v="0"/>
    <x v="5"/>
    <x v="9"/>
    <x v="4"/>
    <x v="7"/>
    <x v="49"/>
    <x v="33"/>
    <x v="11"/>
    <x v="50"/>
    <x v="253"/>
    <x v="4"/>
    <x v="17"/>
    <x v="2"/>
    <x v="0"/>
    <x v="2"/>
    <x v="1"/>
    <x v="0"/>
    <x v="4"/>
    <x v="50"/>
    <x v="0"/>
    <x v="11"/>
    <x v="10"/>
  </r>
  <r>
    <x v="1249"/>
    <x v="334"/>
    <x v="254"/>
    <x v="83"/>
    <x v="96"/>
    <x v="2"/>
    <x v="2"/>
    <x v="10"/>
    <x v="23"/>
    <x v="3"/>
    <x v="60"/>
    <x v="158"/>
    <x v="273"/>
    <x v="70"/>
    <x v="429"/>
    <x v="115"/>
    <x v="2"/>
    <x v="18"/>
    <x v="0"/>
    <x v="0"/>
    <x v="2"/>
    <x v="1"/>
    <x v="0"/>
    <x v="2"/>
    <x v="414"/>
    <x v="0"/>
    <x v="11"/>
    <x v="10"/>
  </r>
  <r>
    <x v="1250"/>
    <x v="52"/>
    <x v="100"/>
    <x v="18"/>
    <x v="71"/>
    <x v="4"/>
    <x v="1"/>
    <x v="20"/>
    <x v="40"/>
    <x v="2"/>
    <x v="82"/>
    <x v="169"/>
    <x v="368"/>
    <x v="91"/>
    <x v="572"/>
    <x v="120"/>
    <x v="4"/>
    <x v="14"/>
    <x v="1"/>
    <x v="2"/>
    <x v="2"/>
    <x v="1"/>
    <x v="0"/>
    <x v="4"/>
    <x v="549"/>
    <x v="0"/>
    <x v="11"/>
    <x v="10"/>
  </r>
  <r>
    <x v="1251"/>
    <x v="5"/>
    <x v="184"/>
    <x v="53"/>
    <x v="29"/>
    <x v="1"/>
    <x v="0"/>
    <x v="3"/>
    <x v="6"/>
    <x v="2"/>
    <x v="4"/>
    <x v="15"/>
    <x v="23"/>
    <x v="6"/>
    <x v="40"/>
    <x v="302"/>
    <x v="1"/>
    <x v="17"/>
    <x v="1"/>
    <x v="1"/>
    <x v="1"/>
    <x v="1"/>
    <x v="0"/>
    <x v="0"/>
    <x v="41"/>
    <x v="0"/>
    <x v="11"/>
    <x v="10"/>
  </r>
  <r>
    <x v="1252"/>
    <x v="67"/>
    <x v="279"/>
    <x v="41"/>
    <x v="6"/>
    <x v="5"/>
    <x v="1"/>
    <x v="10"/>
    <x v="21"/>
    <x v="4"/>
    <x v="44"/>
    <x v="149"/>
    <x v="192"/>
    <x v="51"/>
    <x v="325"/>
    <x v="165"/>
    <x v="1"/>
    <x v="14"/>
    <x v="1"/>
    <x v="2"/>
    <x v="1"/>
    <x v="1"/>
    <x v="0"/>
    <x v="0"/>
    <x v="313"/>
    <x v="0"/>
    <x v="11"/>
    <x v="10"/>
  </r>
  <r>
    <x v="1253"/>
    <x v="17"/>
    <x v="195"/>
    <x v="10"/>
    <x v="42"/>
    <x v="3"/>
    <x v="2"/>
    <x v="18"/>
    <x v="37"/>
    <x v="2"/>
    <x v="89"/>
    <x v="182"/>
    <x v="391"/>
    <x v="97"/>
    <x v="606"/>
    <x v="109"/>
    <x v="1"/>
    <x v="15"/>
    <x v="1"/>
    <x v="0"/>
    <x v="1"/>
    <x v="1"/>
    <x v="0"/>
    <x v="4"/>
    <x v="579"/>
    <x v="0"/>
    <x v="11"/>
    <x v="10"/>
  </r>
  <r>
    <x v="1254"/>
    <x v="226"/>
    <x v="205"/>
    <x v="75"/>
    <x v="23"/>
    <x v="2"/>
    <x v="1"/>
    <x v="5"/>
    <x v="11"/>
    <x v="3"/>
    <x v="19"/>
    <x v="71"/>
    <x v="96"/>
    <x v="28"/>
    <x v="172"/>
    <x v="220"/>
    <x v="1"/>
    <x v="10"/>
    <x v="1"/>
    <x v="2"/>
    <x v="1"/>
    <x v="1"/>
    <x v="0"/>
    <x v="0"/>
    <x v="166"/>
    <x v="0"/>
    <x v="11"/>
    <x v="10"/>
  </r>
  <r>
    <x v="1255"/>
    <x v="251"/>
    <x v="139"/>
    <x v="70"/>
    <x v="27"/>
    <x v="6"/>
    <x v="0"/>
    <x v="9"/>
    <x v="19"/>
    <x v="4"/>
    <x v="16"/>
    <x v="83"/>
    <x v="75"/>
    <x v="25"/>
    <x v="106"/>
    <x v="156"/>
    <x v="1"/>
    <x v="14"/>
    <x v="2"/>
    <x v="0"/>
    <x v="1"/>
    <x v="1"/>
    <x v="0"/>
    <x v="0"/>
    <x v="102"/>
    <x v="0"/>
    <x v="11"/>
    <x v="10"/>
  </r>
  <r>
    <x v="1256"/>
    <x v="195"/>
    <x v="35"/>
    <x v="93"/>
    <x v="70"/>
    <x v="0"/>
    <x v="1"/>
    <x v="20"/>
    <x v="42"/>
    <x v="3"/>
    <x v="82"/>
    <x v="199"/>
    <x v="352"/>
    <x v="94"/>
    <x v="472"/>
    <x v="34"/>
    <x v="1"/>
    <x v="3"/>
    <x v="0"/>
    <x v="1"/>
    <x v="1"/>
    <x v="1"/>
    <x v="0"/>
    <x v="3"/>
    <x v="453"/>
    <x v="0"/>
    <x v="11"/>
    <x v="10"/>
  </r>
  <r>
    <x v="1257"/>
    <x v="221"/>
    <x v="5"/>
    <x v="84"/>
    <x v="55"/>
    <x v="2"/>
    <x v="1"/>
    <x v="3"/>
    <x v="6"/>
    <x v="2"/>
    <x v="13"/>
    <x v="33"/>
    <x v="72"/>
    <x v="18"/>
    <x v="159"/>
    <x v="302"/>
    <x v="1"/>
    <x v="12"/>
    <x v="1"/>
    <x v="1"/>
    <x v="1"/>
    <x v="1"/>
    <x v="0"/>
    <x v="0"/>
    <x v="153"/>
    <x v="0"/>
    <x v="11"/>
    <x v="10"/>
  </r>
  <r>
    <x v="1258"/>
    <x v="143"/>
    <x v="30"/>
    <x v="61"/>
    <x v="76"/>
    <x v="6"/>
    <x v="0"/>
    <x v="2"/>
    <x v="3"/>
    <x v="1"/>
    <x v="2"/>
    <x v="3"/>
    <x v="16"/>
    <x v="3"/>
    <x v="36"/>
    <x v="336"/>
    <x v="3"/>
    <x v="7"/>
    <x v="1"/>
    <x v="2"/>
    <x v="3"/>
    <x v="1"/>
    <x v="0"/>
    <x v="4"/>
    <x v="0"/>
    <x v="0"/>
    <x v="11"/>
    <x v="10"/>
  </r>
  <r>
    <x v="1259"/>
    <x v="39"/>
    <x v="14"/>
    <x v="24"/>
    <x v="44"/>
    <x v="4"/>
    <x v="1"/>
    <x v="16"/>
    <x v="33"/>
    <x v="1"/>
    <x v="67"/>
    <x v="84"/>
    <x v="314"/>
    <x v="73"/>
    <x v="545"/>
    <x v="186"/>
    <x v="1"/>
    <x v="2"/>
    <x v="1"/>
    <x v="2"/>
    <x v="1"/>
    <x v="1"/>
    <x v="0"/>
    <x v="3"/>
    <x v="522"/>
    <x v="0"/>
    <x v="11"/>
    <x v="10"/>
  </r>
  <r>
    <x v="1260"/>
    <x v="23"/>
    <x v="233"/>
    <x v="4"/>
    <x v="66"/>
    <x v="3"/>
    <x v="2"/>
    <x v="14"/>
    <x v="31"/>
    <x v="4"/>
    <x v="77"/>
    <x v="207"/>
    <x v="326"/>
    <x v="86"/>
    <x v="480"/>
    <x v="66"/>
    <x v="1"/>
    <x v="3"/>
    <x v="1"/>
    <x v="1"/>
    <x v="1"/>
    <x v="1"/>
    <x v="0"/>
    <x v="3"/>
    <x v="461"/>
    <x v="0"/>
    <x v="11"/>
    <x v="10"/>
  </r>
  <r>
    <x v="1261"/>
    <x v="349"/>
    <x v="143"/>
    <x v="2"/>
    <x v="77"/>
    <x v="3"/>
    <x v="1"/>
    <x v="22"/>
    <x v="44"/>
    <x v="4"/>
    <x v="91"/>
    <x v="227"/>
    <x v="383"/>
    <x v="101"/>
    <x v="522"/>
    <x v="38"/>
    <x v="1"/>
    <x v="12"/>
    <x v="0"/>
    <x v="2"/>
    <x v="1"/>
    <x v="1"/>
    <x v="0"/>
    <x v="0"/>
    <x v="499"/>
    <x v="0"/>
    <x v="11"/>
    <x v="10"/>
  </r>
  <r>
    <x v="1262"/>
    <x v="72"/>
    <x v="136"/>
    <x v="48"/>
    <x v="28"/>
    <x v="1"/>
    <x v="0"/>
    <x v="3"/>
    <x v="7"/>
    <x v="0"/>
    <x v="4"/>
    <x v="0"/>
    <x v="29"/>
    <x v="7"/>
    <x v="57"/>
    <x v="306"/>
    <x v="1"/>
    <x v="5"/>
    <x v="1"/>
    <x v="0"/>
    <x v="1"/>
    <x v="1"/>
    <x v="0"/>
    <x v="3"/>
    <x v="56"/>
    <x v="0"/>
    <x v="11"/>
    <x v="10"/>
  </r>
  <r>
    <x v="1263"/>
    <x v="247"/>
    <x v="265"/>
    <x v="97"/>
    <x v="81"/>
    <x v="0"/>
    <x v="1"/>
    <x v="12"/>
    <x v="29"/>
    <x v="0"/>
    <x v="53"/>
    <x v="0"/>
    <x v="268"/>
    <x v="67"/>
    <x v="469"/>
    <x v="179"/>
    <x v="1"/>
    <x v="10"/>
    <x v="0"/>
    <x v="1"/>
    <x v="1"/>
    <x v="1"/>
    <x v="0"/>
    <x v="0"/>
    <x v="450"/>
    <x v="0"/>
    <x v="11"/>
    <x v="10"/>
  </r>
  <r>
    <x v="1264"/>
    <x v="153"/>
    <x v="70"/>
    <x v="49"/>
    <x v="38"/>
    <x v="1"/>
    <x v="2"/>
    <x v="6"/>
    <x v="13"/>
    <x v="0"/>
    <x v="36"/>
    <x v="0"/>
    <x v="199"/>
    <x v="44"/>
    <x v="428"/>
    <x v="291"/>
    <x v="1"/>
    <x v="7"/>
    <x v="2"/>
    <x v="0"/>
    <x v="1"/>
    <x v="1"/>
    <x v="0"/>
    <x v="4"/>
    <x v="413"/>
    <x v="0"/>
    <x v="11"/>
    <x v="10"/>
  </r>
  <r>
    <x v="1265"/>
    <x v="121"/>
    <x v="296"/>
    <x v="87"/>
    <x v="26"/>
    <x v="0"/>
    <x v="1"/>
    <x v="15"/>
    <x v="34"/>
    <x v="2"/>
    <x v="64"/>
    <x v="134"/>
    <x v="293"/>
    <x v="75"/>
    <x v="452"/>
    <x v="91"/>
    <x v="1"/>
    <x v="5"/>
    <x v="1"/>
    <x v="1"/>
    <x v="1"/>
    <x v="1"/>
    <x v="0"/>
    <x v="4"/>
    <x v="437"/>
    <x v="0"/>
    <x v="11"/>
    <x v="10"/>
  </r>
  <r>
    <x v="1266"/>
    <x v="70"/>
    <x v="66"/>
    <x v="19"/>
    <x v="2"/>
    <x v="4"/>
    <x v="1"/>
    <x v="14"/>
    <x v="30"/>
    <x v="4"/>
    <x v="61"/>
    <x v="181"/>
    <x v="263"/>
    <x v="68"/>
    <x v="407"/>
    <x v="107"/>
    <x v="1"/>
    <x v="17"/>
    <x v="2"/>
    <x v="0"/>
    <x v="1"/>
    <x v="1"/>
    <x v="0"/>
    <x v="3"/>
    <x v="392"/>
    <x v="0"/>
    <x v="11"/>
    <x v="10"/>
  </r>
  <r>
    <x v="1267"/>
    <x v="289"/>
    <x v="295"/>
    <x v="61"/>
    <x v="76"/>
    <x v="6"/>
    <x v="0"/>
    <x v="2"/>
    <x v="3"/>
    <x v="0"/>
    <x v="2"/>
    <x v="0"/>
    <x v="18"/>
    <x v="3"/>
    <x v="47"/>
    <x v="340"/>
    <x v="1"/>
    <x v="15"/>
    <x v="1"/>
    <x v="1"/>
    <x v="1"/>
    <x v="1"/>
    <x v="0"/>
    <x v="4"/>
    <x v="47"/>
    <x v="0"/>
    <x v="11"/>
    <x v="10"/>
  </r>
  <r>
    <x v="1268"/>
    <x v="293"/>
    <x v="120"/>
    <x v="58"/>
    <x v="5"/>
    <x v="1"/>
    <x v="0"/>
    <x v="9"/>
    <x v="20"/>
    <x v="3"/>
    <x v="16"/>
    <x v="65"/>
    <x v="80"/>
    <x v="29"/>
    <x v="109"/>
    <x v="138"/>
    <x v="1"/>
    <x v="14"/>
    <x v="0"/>
    <x v="1"/>
    <x v="1"/>
    <x v="1"/>
    <x v="0"/>
    <x v="0"/>
    <x v="105"/>
    <x v="0"/>
    <x v="11"/>
    <x v="10"/>
  </r>
  <r>
    <x v="1269"/>
    <x v="108"/>
    <x v="13"/>
    <x v="8"/>
    <x v="50"/>
    <x v="3"/>
    <x v="3"/>
    <x v="10"/>
    <x v="20"/>
    <x v="2"/>
    <x v="71"/>
    <x v="149"/>
    <x v="325"/>
    <x v="72"/>
    <x v="586"/>
    <x v="237"/>
    <x v="0"/>
    <x v="9"/>
    <x v="1"/>
    <x v="1"/>
    <x v="0"/>
    <x v="1"/>
    <x v="0"/>
    <x v="1"/>
    <x v="0"/>
    <x v="0"/>
    <x v="11"/>
    <x v="10"/>
  </r>
  <r>
    <x v="1270"/>
    <x v="341"/>
    <x v="273"/>
    <x v="43"/>
    <x v="25"/>
    <x v="5"/>
    <x v="0"/>
    <x v="3"/>
    <x v="5"/>
    <x v="0"/>
    <x v="4"/>
    <x v="0"/>
    <x v="29"/>
    <x v="5"/>
    <x v="74"/>
    <x v="338"/>
    <x v="1"/>
    <x v="3"/>
    <x v="0"/>
    <x v="1"/>
    <x v="1"/>
    <x v="1"/>
    <x v="0"/>
    <x v="4"/>
    <x v="73"/>
    <x v="0"/>
    <x v="11"/>
    <x v="10"/>
  </r>
  <r>
    <x v="1271"/>
    <x v="141"/>
    <x v="273"/>
    <x v="16"/>
    <x v="22"/>
    <x v="4"/>
    <x v="4"/>
    <x v="15"/>
    <x v="31"/>
    <x v="4"/>
    <x v="99"/>
    <x v="239"/>
    <x v="408"/>
    <x v="106"/>
    <x v="636"/>
    <x v="108"/>
    <x v="1"/>
    <x v="3"/>
    <x v="0"/>
    <x v="0"/>
    <x v="1"/>
    <x v="2"/>
    <x v="0"/>
    <x v="3"/>
    <x v="606"/>
    <x v="0"/>
    <x v="11"/>
    <x v="10"/>
  </r>
  <r>
    <x v="1272"/>
    <x v="303"/>
    <x v="250"/>
    <x v="10"/>
    <x v="42"/>
    <x v="3"/>
    <x v="0"/>
    <x v="18"/>
    <x v="37"/>
    <x v="3"/>
    <x v="45"/>
    <x v="130"/>
    <x v="206"/>
    <x v="59"/>
    <x v="261"/>
    <x v="80"/>
    <x v="1"/>
    <x v="11"/>
    <x v="0"/>
    <x v="0"/>
    <x v="1"/>
    <x v="1"/>
    <x v="0"/>
    <x v="0"/>
    <x v="252"/>
    <x v="0"/>
    <x v="11"/>
    <x v="10"/>
  </r>
  <r>
    <x v="1273"/>
    <x v="165"/>
    <x v="252"/>
    <x v="55"/>
    <x v="37"/>
    <x v="1"/>
    <x v="0"/>
    <x v="15"/>
    <x v="34"/>
    <x v="3"/>
    <x v="35"/>
    <x v="106"/>
    <x v="164"/>
    <x v="52"/>
    <x v="182"/>
    <x v="65"/>
    <x v="1"/>
    <x v="2"/>
    <x v="1"/>
    <x v="2"/>
    <x v="1"/>
    <x v="1"/>
    <x v="0"/>
    <x v="4"/>
    <x v="176"/>
    <x v="0"/>
    <x v="11"/>
    <x v="10"/>
  </r>
  <r>
    <x v="1274"/>
    <x v="130"/>
    <x v="250"/>
    <x v="38"/>
    <x v="92"/>
    <x v="5"/>
    <x v="0"/>
    <x v="9"/>
    <x v="18"/>
    <x v="3"/>
    <x v="16"/>
    <x v="65"/>
    <x v="80"/>
    <x v="24"/>
    <x v="144"/>
    <x v="218"/>
    <x v="2"/>
    <x v="11"/>
    <x v="0"/>
    <x v="0"/>
    <x v="2"/>
    <x v="1"/>
    <x v="0"/>
    <x v="2"/>
    <x v="138"/>
    <x v="0"/>
    <x v="11"/>
    <x v="10"/>
  </r>
  <r>
    <x v="1275"/>
    <x v="302"/>
    <x v="170"/>
    <x v="27"/>
    <x v="78"/>
    <x v="4"/>
    <x v="0"/>
    <x v="19"/>
    <x v="38"/>
    <x v="0"/>
    <x v="50"/>
    <x v="0"/>
    <x v="252"/>
    <x v="60"/>
    <x v="454"/>
    <x v="200"/>
    <x v="0"/>
    <x v="11"/>
    <x v="0"/>
    <x v="1"/>
    <x v="0"/>
    <x v="1"/>
    <x v="0"/>
    <x v="1"/>
    <x v="0"/>
    <x v="0"/>
    <x v="11"/>
    <x v="10"/>
  </r>
  <r>
    <x v="1276"/>
    <x v="328"/>
    <x v="12"/>
    <x v="42"/>
    <x v="47"/>
    <x v="5"/>
    <x v="2"/>
    <x v="15"/>
    <x v="32"/>
    <x v="2"/>
    <x v="79"/>
    <x v="164"/>
    <x v="359"/>
    <x v="89"/>
    <x v="575"/>
    <x v="130"/>
    <x v="1"/>
    <x v="11"/>
    <x v="1"/>
    <x v="2"/>
    <x v="1"/>
    <x v="1"/>
    <x v="0"/>
    <x v="0"/>
    <x v="552"/>
    <x v="0"/>
    <x v="11"/>
    <x v="10"/>
  </r>
  <r>
    <x v="1277"/>
    <x v="114"/>
    <x v="29"/>
    <x v="70"/>
    <x v="27"/>
    <x v="6"/>
    <x v="0"/>
    <x v="9"/>
    <x v="19"/>
    <x v="0"/>
    <x v="16"/>
    <x v="0"/>
    <x v="99"/>
    <x v="25"/>
    <x v="200"/>
    <x v="264"/>
    <x v="1"/>
    <x v="13"/>
    <x v="1"/>
    <x v="2"/>
    <x v="1"/>
    <x v="1"/>
    <x v="0"/>
    <x v="0"/>
    <x v="193"/>
    <x v="0"/>
    <x v="11"/>
    <x v="10"/>
  </r>
  <r>
    <x v="1278"/>
    <x v="172"/>
    <x v="153"/>
    <x v="72"/>
    <x v="43"/>
    <x v="6"/>
    <x v="0"/>
    <x v="20"/>
    <x v="40"/>
    <x v="3"/>
    <x v="54"/>
    <x v="146"/>
    <x v="238"/>
    <x v="67"/>
    <x v="352"/>
    <x v="88"/>
    <x v="4"/>
    <x v="3"/>
    <x v="1"/>
    <x v="0"/>
    <x v="2"/>
    <x v="1"/>
    <x v="0"/>
    <x v="4"/>
    <x v="339"/>
    <x v="0"/>
    <x v="11"/>
    <x v="10"/>
  </r>
  <r>
    <x v="1279"/>
    <x v="98"/>
    <x v="75"/>
    <x v="11"/>
    <x v="15"/>
    <x v="3"/>
    <x v="2"/>
    <x v="8"/>
    <x v="17"/>
    <x v="0"/>
    <x v="48"/>
    <x v="0"/>
    <x v="248"/>
    <x v="54"/>
    <x v="500"/>
    <x v="285"/>
    <x v="1"/>
    <x v="3"/>
    <x v="1"/>
    <x v="0"/>
    <x v="1"/>
    <x v="1"/>
    <x v="0"/>
    <x v="0"/>
    <x v="479"/>
    <x v="0"/>
    <x v="11"/>
    <x v="10"/>
  </r>
  <r>
    <x v="1280"/>
    <x v="278"/>
    <x v="22"/>
    <x v="64"/>
    <x v="3"/>
    <x v="6"/>
    <x v="0"/>
    <x v="12"/>
    <x v="28"/>
    <x v="2"/>
    <x v="27"/>
    <x v="62"/>
    <x v="137"/>
    <x v="41"/>
    <x v="201"/>
    <x v="154"/>
    <x v="1"/>
    <x v="1"/>
    <x v="1"/>
    <x v="1"/>
    <x v="1"/>
    <x v="1"/>
    <x v="0"/>
    <x v="3"/>
    <x v="194"/>
    <x v="0"/>
    <x v="11"/>
    <x v="10"/>
  </r>
  <r>
    <x v="1281"/>
    <x v="101"/>
    <x v="155"/>
    <x v="88"/>
    <x v="57"/>
    <x v="0"/>
    <x v="0"/>
    <x v="22"/>
    <x v="45"/>
    <x v="1"/>
    <x v="63"/>
    <x v="77"/>
    <x v="295"/>
    <x v="76"/>
    <x v="447"/>
    <x v="84"/>
    <x v="1"/>
    <x v="15"/>
    <x v="1"/>
    <x v="1"/>
    <x v="1"/>
    <x v="1"/>
    <x v="0"/>
    <x v="0"/>
    <x v="432"/>
    <x v="0"/>
    <x v="11"/>
    <x v="10"/>
  </r>
  <r>
    <x v="1282"/>
    <x v="341"/>
    <x v="43"/>
    <x v="38"/>
    <x v="92"/>
    <x v="5"/>
    <x v="0"/>
    <x v="9"/>
    <x v="18"/>
    <x v="0"/>
    <x v="16"/>
    <x v="0"/>
    <x v="99"/>
    <x v="24"/>
    <x v="210"/>
    <x v="288"/>
    <x v="1"/>
    <x v="8"/>
    <x v="1"/>
    <x v="2"/>
    <x v="1"/>
    <x v="1"/>
    <x v="0"/>
    <x v="4"/>
    <x v="203"/>
    <x v="0"/>
    <x v="11"/>
    <x v="10"/>
  </r>
  <r>
    <x v="1283"/>
    <x v="250"/>
    <x v="169"/>
    <x v="18"/>
    <x v="71"/>
    <x v="4"/>
    <x v="2"/>
    <x v="20"/>
    <x v="40"/>
    <x v="2"/>
    <x v="97"/>
    <x v="199"/>
    <x v="411"/>
    <x v="107"/>
    <x v="651"/>
    <x v="120"/>
    <x v="1"/>
    <x v="16"/>
    <x v="1"/>
    <x v="0"/>
    <x v="1"/>
    <x v="2"/>
    <x v="0"/>
    <x v="3"/>
    <x v="618"/>
    <x v="0"/>
    <x v="11"/>
    <x v="10"/>
  </r>
  <r>
    <x v="1284"/>
    <x v="299"/>
    <x v="225"/>
    <x v="47"/>
    <x v="74"/>
    <x v="1"/>
    <x v="0"/>
    <x v="4"/>
    <x v="9"/>
    <x v="0"/>
    <x v="5"/>
    <x v="0"/>
    <x v="38"/>
    <x v="11"/>
    <x v="74"/>
    <x v="287"/>
    <x v="1"/>
    <x v="10"/>
    <x v="1"/>
    <x v="2"/>
    <x v="1"/>
    <x v="1"/>
    <x v="0"/>
    <x v="4"/>
    <x v="73"/>
    <x v="0"/>
    <x v="11"/>
    <x v="10"/>
  </r>
  <r>
    <x v="1285"/>
    <x v="4"/>
    <x v="30"/>
    <x v="67"/>
    <x v="21"/>
    <x v="6"/>
    <x v="0"/>
    <x v="4"/>
    <x v="7"/>
    <x v="1"/>
    <x v="5"/>
    <x v="6"/>
    <x v="34"/>
    <x v="7"/>
    <x v="88"/>
    <x v="328"/>
    <x v="3"/>
    <x v="7"/>
    <x v="1"/>
    <x v="2"/>
    <x v="3"/>
    <x v="1"/>
    <x v="0"/>
    <x v="4"/>
    <x v="0"/>
    <x v="0"/>
    <x v="11"/>
    <x v="10"/>
  </r>
  <r>
    <x v="1286"/>
    <x v="141"/>
    <x v="70"/>
    <x v="21"/>
    <x v="93"/>
    <x v="4"/>
    <x v="1"/>
    <x v="7"/>
    <x v="14"/>
    <x v="1"/>
    <x v="26"/>
    <x v="29"/>
    <x v="142"/>
    <x v="33"/>
    <x v="317"/>
    <x v="295"/>
    <x v="4"/>
    <x v="7"/>
    <x v="2"/>
    <x v="2"/>
    <x v="2"/>
    <x v="1"/>
    <x v="0"/>
    <x v="0"/>
    <x v="306"/>
    <x v="0"/>
    <x v="11"/>
    <x v="10"/>
  </r>
  <r>
    <x v="1287"/>
    <x v="153"/>
    <x v="119"/>
    <x v="29"/>
    <x v="34"/>
    <x v="4"/>
    <x v="1"/>
    <x v="21"/>
    <x v="43"/>
    <x v="1"/>
    <x v="88"/>
    <x v="125"/>
    <x v="392"/>
    <x v="96"/>
    <x v="621"/>
    <x v="132"/>
    <x v="2"/>
    <x v="6"/>
    <x v="1"/>
    <x v="0"/>
    <x v="2"/>
    <x v="1"/>
    <x v="0"/>
    <x v="2"/>
    <x v="592"/>
    <x v="0"/>
    <x v="11"/>
    <x v="10"/>
  </r>
  <r>
    <x v="1288"/>
    <x v="180"/>
    <x v="102"/>
    <x v="30"/>
    <x v="83"/>
    <x v="5"/>
    <x v="2"/>
    <x v="9"/>
    <x v="18"/>
    <x v="1"/>
    <x v="55"/>
    <x v="65"/>
    <x v="267"/>
    <x v="59"/>
    <x v="519"/>
    <x v="268"/>
    <x v="3"/>
    <x v="8"/>
    <x v="0"/>
    <x v="0"/>
    <x v="3"/>
    <x v="1"/>
    <x v="0"/>
    <x v="3"/>
    <x v="0"/>
    <x v="0"/>
    <x v="11"/>
    <x v="10"/>
  </r>
  <r>
    <x v="1289"/>
    <x v="281"/>
    <x v="65"/>
    <x v="75"/>
    <x v="23"/>
    <x v="2"/>
    <x v="1"/>
    <x v="5"/>
    <x v="11"/>
    <x v="0"/>
    <x v="19"/>
    <x v="0"/>
    <x v="117"/>
    <x v="28"/>
    <x v="257"/>
    <x v="289"/>
    <x v="1"/>
    <x v="12"/>
    <x v="0"/>
    <x v="1"/>
    <x v="1"/>
    <x v="1"/>
    <x v="0"/>
    <x v="4"/>
    <x v="248"/>
    <x v="0"/>
    <x v="11"/>
    <x v="10"/>
  </r>
  <r>
    <x v="1290"/>
    <x v="191"/>
    <x v="105"/>
    <x v="81"/>
    <x v="31"/>
    <x v="2"/>
    <x v="1"/>
    <x v="2"/>
    <x v="4"/>
    <x v="3"/>
    <x v="10"/>
    <x v="44"/>
    <x v="54"/>
    <x v="14"/>
    <x v="108"/>
    <x v="290"/>
    <x v="1"/>
    <x v="17"/>
    <x v="1"/>
    <x v="0"/>
    <x v="1"/>
    <x v="1"/>
    <x v="0"/>
    <x v="3"/>
    <x v="104"/>
    <x v="0"/>
    <x v="11"/>
    <x v="10"/>
  </r>
  <r>
    <x v="1291"/>
    <x v="249"/>
    <x v="77"/>
    <x v="26"/>
    <x v="8"/>
    <x v="4"/>
    <x v="0"/>
    <x v="5"/>
    <x v="10"/>
    <x v="1"/>
    <x v="7"/>
    <x v="8"/>
    <x v="45"/>
    <x v="12"/>
    <x v="93"/>
    <x v="293"/>
    <x v="1"/>
    <x v="5"/>
    <x v="1"/>
    <x v="1"/>
    <x v="1"/>
    <x v="1"/>
    <x v="0"/>
    <x v="4"/>
    <x v="91"/>
    <x v="0"/>
    <x v="11"/>
    <x v="10"/>
  </r>
  <r>
    <x v="1292"/>
    <x v="107"/>
    <x v="150"/>
    <x v="76"/>
    <x v="64"/>
    <x v="2"/>
    <x v="0"/>
    <x v="4"/>
    <x v="8"/>
    <x v="5"/>
    <x v="5"/>
    <x v="52"/>
    <x v="21"/>
    <x v="8"/>
    <x v="23"/>
    <x v="230"/>
    <x v="1"/>
    <x v="11"/>
    <x v="1"/>
    <x v="1"/>
    <x v="1"/>
    <x v="1"/>
    <x v="0"/>
    <x v="4"/>
    <x v="24"/>
    <x v="0"/>
    <x v="11"/>
    <x v="10"/>
  </r>
  <r>
    <x v="1293"/>
    <x v="240"/>
    <x v="32"/>
    <x v="58"/>
    <x v="5"/>
    <x v="1"/>
    <x v="0"/>
    <x v="9"/>
    <x v="20"/>
    <x v="5"/>
    <x v="16"/>
    <x v="97"/>
    <x v="71"/>
    <x v="29"/>
    <x v="52"/>
    <x v="72"/>
    <x v="3"/>
    <x v="11"/>
    <x v="2"/>
    <x v="0"/>
    <x v="3"/>
    <x v="1"/>
    <x v="0"/>
    <x v="0"/>
    <x v="0"/>
    <x v="0"/>
    <x v="11"/>
    <x v="10"/>
  </r>
  <r>
    <x v="1294"/>
    <x v="230"/>
    <x v="158"/>
    <x v="16"/>
    <x v="22"/>
    <x v="4"/>
    <x v="1"/>
    <x v="15"/>
    <x v="31"/>
    <x v="3"/>
    <x v="64"/>
    <x v="164"/>
    <x v="284"/>
    <x v="71"/>
    <x v="475"/>
    <x v="142"/>
    <x v="2"/>
    <x v="6"/>
    <x v="0"/>
    <x v="1"/>
    <x v="2"/>
    <x v="1"/>
    <x v="0"/>
    <x v="2"/>
    <x v="456"/>
    <x v="0"/>
    <x v="11"/>
    <x v="10"/>
  </r>
  <r>
    <x v="1295"/>
    <x v="218"/>
    <x v="205"/>
    <x v="81"/>
    <x v="31"/>
    <x v="2"/>
    <x v="0"/>
    <x v="2"/>
    <x v="4"/>
    <x v="2"/>
    <x v="2"/>
    <x v="11"/>
    <x v="14"/>
    <x v="4"/>
    <x v="25"/>
    <x v="305"/>
    <x v="1"/>
    <x v="10"/>
    <x v="1"/>
    <x v="1"/>
    <x v="1"/>
    <x v="1"/>
    <x v="0"/>
    <x v="0"/>
    <x v="26"/>
    <x v="0"/>
    <x v="11"/>
    <x v="10"/>
  </r>
  <r>
    <x v="1296"/>
    <x v="234"/>
    <x v="15"/>
    <x v="52"/>
    <x v="54"/>
    <x v="1"/>
    <x v="0"/>
    <x v="8"/>
    <x v="16"/>
    <x v="1"/>
    <x v="14"/>
    <x v="16"/>
    <x v="78"/>
    <x v="20"/>
    <x v="162"/>
    <x v="281"/>
    <x v="4"/>
    <x v="3"/>
    <x v="0"/>
    <x v="0"/>
    <x v="2"/>
    <x v="1"/>
    <x v="0"/>
    <x v="3"/>
    <x v="156"/>
    <x v="0"/>
    <x v="11"/>
    <x v="10"/>
  </r>
  <r>
    <x v="1297"/>
    <x v="281"/>
    <x v="2"/>
    <x v="30"/>
    <x v="83"/>
    <x v="5"/>
    <x v="0"/>
    <x v="9"/>
    <x v="18"/>
    <x v="0"/>
    <x v="16"/>
    <x v="0"/>
    <x v="99"/>
    <x v="24"/>
    <x v="210"/>
    <x v="288"/>
    <x v="1"/>
    <x v="1"/>
    <x v="1"/>
    <x v="1"/>
    <x v="1"/>
    <x v="1"/>
    <x v="0"/>
    <x v="3"/>
    <x v="203"/>
    <x v="0"/>
    <x v="11"/>
    <x v="10"/>
  </r>
  <r>
    <x v="1298"/>
    <x v="227"/>
    <x v="36"/>
    <x v="37"/>
    <x v="51"/>
    <x v="5"/>
    <x v="2"/>
    <x v="8"/>
    <x v="17"/>
    <x v="1"/>
    <x v="48"/>
    <x v="55"/>
    <x v="240"/>
    <x v="54"/>
    <x v="479"/>
    <x v="265"/>
    <x v="1"/>
    <x v="18"/>
    <x v="1"/>
    <x v="1"/>
    <x v="1"/>
    <x v="1"/>
    <x v="0"/>
    <x v="3"/>
    <x v="460"/>
    <x v="0"/>
    <x v="11"/>
    <x v="10"/>
  </r>
  <r>
    <x v="1299"/>
    <x v="97"/>
    <x v="221"/>
    <x v="36"/>
    <x v="63"/>
    <x v="5"/>
    <x v="0"/>
    <x v="10"/>
    <x v="20"/>
    <x v="3"/>
    <x v="20"/>
    <x v="73"/>
    <x v="97"/>
    <x v="29"/>
    <x v="168"/>
    <x v="214"/>
    <x v="0"/>
    <x v="8"/>
    <x v="1"/>
    <x v="0"/>
    <x v="0"/>
    <x v="1"/>
    <x v="0"/>
    <x v="1"/>
    <x v="0"/>
    <x v="0"/>
    <x v="11"/>
    <x v="10"/>
  </r>
  <r>
    <x v="1300"/>
    <x v="282"/>
    <x v="235"/>
    <x v="17"/>
    <x v="18"/>
    <x v="4"/>
    <x v="0"/>
    <x v="11"/>
    <x v="23"/>
    <x v="1"/>
    <x v="23"/>
    <x v="26"/>
    <x v="129"/>
    <x v="34"/>
    <x v="235"/>
    <x v="232"/>
    <x v="1"/>
    <x v="15"/>
    <x v="1"/>
    <x v="1"/>
    <x v="1"/>
    <x v="1"/>
    <x v="0"/>
    <x v="4"/>
    <x v="227"/>
    <x v="0"/>
    <x v="11"/>
    <x v="10"/>
  </r>
  <r>
    <x v="1301"/>
    <x v="279"/>
    <x v="263"/>
    <x v="95"/>
    <x v="0"/>
    <x v="0"/>
    <x v="0"/>
    <x v="24"/>
    <x v="48"/>
    <x v="2"/>
    <x v="83"/>
    <x v="170"/>
    <x v="369"/>
    <x v="97"/>
    <x v="474"/>
    <x v="29"/>
    <x v="1"/>
    <x v="12"/>
    <x v="1"/>
    <x v="1"/>
    <x v="1"/>
    <x v="1"/>
    <x v="0"/>
    <x v="4"/>
    <x v="455"/>
    <x v="0"/>
    <x v="11"/>
    <x v="10"/>
  </r>
  <r>
    <x v="1302"/>
    <x v="308"/>
    <x v="256"/>
    <x v="73"/>
    <x v="60"/>
    <x v="2"/>
    <x v="1"/>
    <x v="3"/>
    <x v="6"/>
    <x v="4"/>
    <x v="13"/>
    <x v="70"/>
    <x v="65"/>
    <x v="18"/>
    <x v="122"/>
    <x v="263"/>
    <x v="4"/>
    <x v="5"/>
    <x v="0"/>
    <x v="1"/>
    <x v="2"/>
    <x v="1"/>
    <x v="0"/>
    <x v="3"/>
    <x v="118"/>
    <x v="0"/>
    <x v="11"/>
    <x v="10"/>
  </r>
  <r>
    <x v="1303"/>
    <x v="308"/>
    <x v="231"/>
    <x v="99"/>
    <x v="16"/>
    <x v="0"/>
    <x v="1"/>
    <x v="22"/>
    <x v="46"/>
    <x v="2"/>
    <x v="91"/>
    <x v="186"/>
    <x v="395"/>
    <x v="105"/>
    <x v="559"/>
    <x v="46"/>
    <x v="2"/>
    <x v="9"/>
    <x v="0"/>
    <x v="2"/>
    <x v="2"/>
    <x v="1"/>
    <x v="0"/>
    <x v="2"/>
    <x v="536"/>
    <x v="0"/>
    <x v="11"/>
    <x v="10"/>
  </r>
  <r>
    <x v="1304"/>
    <x v="334"/>
    <x v="81"/>
    <x v="88"/>
    <x v="57"/>
    <x v="0"/>
    <x v="0"/>
    <x v="22"/>
    <x v="45"/>
    <x v="3"/>
    <x v="63"/>
    <x v="163"/>
    <x v="278"/>
    <x v="76"/>
    <x v="332"/>
    <x v="37"/>
    <x v="1"/>
    <x v="1"/>
    <x v="2"/>
    <x v="1"/>
    <x v="1"/>
    <x v="1"/>
    <x v="0"/>
    <x v="4"/>
    <x v="320"/>
    <x v="0"/>
    <x v="11"/>
    <x v="10"/>
  </r>
  <r>
    <x v="1305"/>
    <x v="250"/>
    <x v="231"/>
    <x v="66"/>
    <x v="13"/>
    <x v="6"/>
    <x v="0"/>
    <x v="8"/>
    <x v="16"/>
    <x v="4"/>
    <x v="14"/>
    <x v="72"/>
    <x v="66"/>
    <x v="20"/>
    <x v="100"/>
    <x v="209"/>
    <x v="0"/>
    <x v="9"/>
    <x v="0"/>
    <x v="1"/>
    <x v="0"/>
    <x v="1"/>
    <x v="0"/>
    <x v="1"/>
    <x v="0"/>
    <x v="0"/>
    <x v="11"/>
    <x v="10"/>
  </r>
  <r>
    <x v="1306"/>
    <x v="285"/>
    <x v="239"/>
    <x v="59"/>
    <x v="99"/>
    <x v="6"/>
    <x v="0"/>
    <x v="10"/>
    <x v="20"/>
    <x v="3"/>
    <x v="20"/>
    <x v="73"/>
    <x v="97"/>
    <x v="29"/>
    <x v="168"/>
    <x v="214"/>
    <x v="1"/>
    <x v="14"/>
    <x v="0"/>
    <x v="0"/>
    <x v="1"/>
    <x v="1"/>
    <x v="0"/>
    <x v="0"/>
    <x v="162"/>
    <x v="0"/>
    <x v="11"/>
    <x v="10"/>
  </r>
  <r>
    <x v="1307"/>
    <x v="32"/>
    <x v="61"/>
    <x v="46"/>
    <x v="85"/>
    <x v="1"/>
    <x v="2"/>
    <x v="5"/>
    <x v="11"/>
    <x v="1"/>
    <x v="31"/>
    <x v="34"/>
    <x v="170"/>
    <x v="40"/>
    <x v="360"/>
    <x v="272"/>
    <x v="1"/>
    <x v="14"/>
    <x v="2"/>
    <x v="2"/>
    <x v="1"/>
    <x v="1"/>
    <x v="0"/>
    <x v="3"/>
    <x v="346"/>
    <x v="0"/>
    <x v="11"/>
    <x v="10"/>
  </r>
  <r>
    <x v="1308"/>
    <x v="248"/>
    <x v="272"/>
    <x v="47"/>
    <x v="74"/>
    <x v="1"/>
    <x v="0"/>
    <x v="4"/>
    <x v="9"/>
    <x v="0"/>
    <x v="5"/>
    <x v="0"/>
    <x v="38"/>
    <x v="11"/>
    <x v="74"/>
    <x v="287"/>
    <x v="0"/>
    <x v="2"/>
    <x v="2"/>
    <x v="1"/>
    <x v="0"/>
    <x v="1"/>
    <x v="0"/>
    <x v="1"/>
    <x v="0"/>
    <x v="0"/>
    <x v="11"/>
    <x v="10"/>
  </r>
  <r>
    <x v="1309"/>
    <x v="310"/>
    <x v="148"/>
    <x v="84"/>
    <x v="55"/>
    <x v="2"/>
    <x v="2"/>
    <x v="3"/>
    <x v="6"/>
    <x v="2"/>
    <x v="21"/>
    <x v="53"/>
    <x v="121"/>
    <x v="27"/>
    <x v="270"/>
    <x v="302"/>
    <x v="1"/>
    <x v="7"/>
    <x v="0"/>
    <x v="0"/>
    <x v="1"/>
    <x v="1"/>
    <x v="0"/>
    <x v="0"/>
    <x v="261"/>
    <x v="0"/>
    <x v="11"/>
    <x v="10"/>
  </r>
  <r>
    <x v="1310"/>
    <x v="65"/>
    <x v="255"/>
    <x v="93"/>
    <x v="70"/>
    <x v="0"/>
    <x v="0"/>
    <x v="20"/>
    <x v="42"/>
    <x v="3"/>
    <x v="54"/>
    <x v="146"/>
    <x v="238"/>
    <x v="69"/>
    <x v="253"/>
    <x v="34"/>
    <x v="1"/>
    <x v="15"/>
    <x v="0"/>
    <x v="2"/>
    <x v="1"/>
    <x v="1"/>
    <x v="0"/>
    <x v="0"/>
    <x v="245"/>
    <x v="0"/>
    <x v="11"/>
    <x v="10"/>
  </r>
  <r>
    <x v="1311"/>
    <x v="138"/>
    <x v="213"/>
    <x v="88"/>
    <x v="57"/>
    <x v="0"/>
    <x v="0"/>
    <x v="22"/>
    <x v="45"/>
    <x v="1"/>
    <x v="63"/>
    <x v="77"/>
    <x v="295"/>
    <x v="76"/>
    <x v="447"/>
    <x v="84"/>
    <x v="1"/>
    <x v="3"/>
    <x v="1"/>
    <x v="2"/>
    <x v="1"/>
    <x v="1"/>
    <x v="0"/>
    <x v="3"/>
    <x v="432"/>
    <x v="0"/>
    <x v="11"/>
    <x v="10"/>
  </r>
  <r>
    <x v="1312"/>
    <x v="27"/>
    <x v="7"/>
    <x v="2"/>
    <x v="77"/>
    <x v="3"/>
    <x v="4"/>
    <x v="22"/>
    <x v="44"/>
    <x v="1"/>
    <x v="112"/>
    <x v="201"/>
    <x v="446"/>
    <x v="125"/>
    <x v="675"/>
    <x v="121"/>
    <x v="1"/>
    <x v="10"/>
    <x v="0"/>
    <x v="1"/>
    <x v="1"/>
    <x v="0"/>
    <x v="0"/>
    <x v="0"/>
    <x v="637"/>
    <x v="0"/>
    <x v="11"/>
    <x v="10"/>
  </r>
  <r>
    <x v="1313"/>
    <x v="301"/>
    <x v="21"/>
    <x v="54"/>
    <x v="61"/>
    <x v="1"/>
    <x v="0"/>
    <x v="12"/>
    <x v="27"/>
    <x v="2"/>
    <x v="27"/>
    <x v="62"/>
    <x v="137"/>
    <x v="39"/>
    <x v="212"/>
    <x v="171"/>
    <x v="1"/>
    <x v="14"/>
    <x v="1"/>
    <x v="0"/>
    <x v="1"/>
    <x v="1"/>
    <x v="0"/>
    <x v="0"/>
    <x v="205"/>
    <x v="0"/>
    <x v="11"/>
    <x v="10"/>
  </r>
  <r>
    <x v="1314"/>
    <x v="245"/>
    <x v="171"/>
    <x v="12"/>
    <x v="56"/>
    <x v="3"/>
    <x v="0"/>
    <x v="9"/>
    <x v="22"/>
    <x v="5"/>
    <x v="16"/>
    <x v="97"/>
    <x v="71"/>
    <x v="33"/>
    <x v="18"/>
    <x v="21"/>
    <x v="1"/>
    <x v="9"/>
    <x v="2"/>
    <x v="1"/>
    <x v="1"/>
    <x v="1"/>
    <x v="0"/>
    <x v="4"/>
    <x v="19"/>
    <x v="0"/>
    <x v="11"/>
    <x v="10"/>
  </r>
  <r>
    <x v="1315"/>
    <x v="258"/>
    <x v="191"/>
    <x v="71"/>
    <x v="88"/>
    <x v="6"/>
    <x v="1"/>
    <x v="5"/>
    <x v="10"/>
    <x v="0"/>
    <x v="19"/>
    <x v="0"/>
    <x v="117"/>
    <x v="25"/>
    <x v="272"/>
    <x v="307"/>
    <x v="1"/>
    <x v="9"/>
    <x v="1"/>
    <x v="1"/>
    <x v="1"/>
    <x v="1"/>
    <x v="0"/>
    <x v="4"/>
    <x v="263"/>
    <x v="0"/>
    <x v="11"/>
    <x v="10"/>
  </r>
  <r>
    <x v="1316"/>
    <x v="168"/>
    <x v="93"/>
    <x v="87"/>
    <x v="26"/>
    <x v="0"/>
    <x v="4"/>
    <x v="15"/>
    <x v="34"/>
    <x v="5"/>
    <x v="99"/>
    <x v="246"/>
    <x v="402"/>
    <x v="110"/>
    <x v="528"/>
    <x v="20"/>
    <x v="1"/>
    <x v="2"/>
    <x v="1"/>
    <x v="1"/>
    <x v="1"/>
    <x v="1"/>
    <x v="0"/>
    <x v="3"/>
    <x v="505"/>
    <x v="0"/>
    <x v="11"/>
    <x v="10"/>
  </r>
  <r>
    <x v="1317"/>
    <x v="105"/>
    <x v="71"/>
    <x v="30"/>
    <x v="83"/>
    <x v="5"/>
    <x v="0"/>
    <x v="9"/>
    <x v="18"/>
    <x v="2"/>
    <x v="16"/>
    <x v="42"/>
    <x v="87"/>
    <x v="24"/>
    <x v="167"/>
    <x v="243"/>
    <x v="4"/>
    <x v="16"/>
    <x v="1"/>
    <x v="2"/>
    <x v="2"/>
    <x v="1"/>
    <x v="0"/>
    <x v="4"/>
    <x v="161"/>
    <x v="0"/>
    <x v="11"/>
    <x v="10"/>
  </r>
  <r>
    <x v="1318"/>
    <x v="209"/>
    <x v="261"/>
    <x v="27"/>
    <x v="78"/>
    <x v="4"/>
    <x v="0"/>
    <x v="19"/>
    <x v="38"/>
    <x v="0"/>
    <x v="50"/>
    <x v="0"/>
    <x v="252"/>
    <x v="60"/>
    <x v="454"/>
    <x v="200"/>
    <x v="3"/>
    <x v="8"/>
    <x v="2"/>
    <x v="0"/>
    <x v="3"/>
    <x v="1"/>
    <x v="0"/>
    <x v="0"/>
    <x v="0"/>
    <x v="0"/>
    <x v="11"/>
    <x v="10"/>
  </r>
  <r>
    <x v="1319"/>
    <x v="267"/>
    <x v="127"/>
    <x v="94"/>
    <x v="86"/>
    <x v="0"/>
    <x v="0"/>
    <x v="18"/>
    <x v="38"/>
    <x v="4"/>
    <x v="45"/>
    <x v="150"/>
    <x v="193"/>
    <x v="60"/>
    <x v="169"/>
    <x v="30"/>
    <x v="1"/>
    <x v="0"/>
    <x v="0"/>
    <x v="1"/>
    <x v="1"/>
    <x v="1"/>
    <x v="0"/>
    <x v="0"/>
    <x v="163"/>
    <x v="0"/>
    <x v="11"/>
    <x v="10"/>
  </r>
  <r>
    <x v="1320"/>
    <x v="42"/>
    <x v="4"/>
    <x v="92"/>
    <x v="45"/>
    <x v="0"/>
    <x v="2"/>
    <x v="21"/>
    <x v="44"/>
    <x v="3"/>
    <x v="100"/>
    <x v="229"/>
    <x v="416"/>
    <x v="112"/>
    <x v="595"/>
    <x v="31"/>
    <x v="1"/>
    <x v="4"/>
    <x v="1"/>
    <x v="1"/>
    <x v="1"/>
    <x v="2"/>
    <x v="0"/>
    <x v="3"/>
    <x v="570"/>
    <x v="0"/>
    <x v="11"/>
    <x v="10"/>
  </r>
  <r>
    <x v="1321"/>
    <x v="214"/>
    <x v="80"/>
    <x v="4"/>
    <x v="66"/>
    <x v="3"/>
    <x v="0"/>
    <x v="14"/>
    <x v="31"/>
    <x v="3"/>
    <x v="33"/>
    <x v="104"/>
    <x v="154"/>
    <x v="47"/>
    <x v="194"/>
    <x v="94"/>
    <x v="1"/>
    <x v="14"/>
    <x v="1"/>
    <x v="0"/>
    <x v="1"/>
    <x v="1"/>
    <x v="0"/>
    <x v="0"/>
    <x v="188"/>
    <x v="0"/>
    <x v="11"/>
    <x v="10"/>
  </r>
  <r>
    <x v="1322"/>
    <x v="301"/>
    <x v="139"/>
    <x v="8"/>
    <x v="50"/>
    <x v="3"/>
    <x v="0"/>
    <x v="10"/>
    <x v="20"/>
    <x v="0"/>
    <x v="20"/>
    <x v="0"/>
    <x v="119"/>
    <x v="29"/>
    <x v="250"/>
    <x v="283"/>
    <x v="1"/>
    <x v="14"/>
    <x v="2"/>
    <x v="0"/>
    <x v="1"/>
    <x v="1"/>
    <x v="0"/>
    <x v="0"/>
    <x v="242"/>
    <x v="0"/>
    <x v="11"/>
    <x v="10"/>
  </r>
  <r>
    <x v="1323"/>
    <x v="254"/>
    <x v="118"/>
    <x v="15"/>
    <x v="14"/>
    <x v="4"/>
    <x v="0"/>
    <x v="7"/>
    <x v="15"/>
    <x v="3"/>
    <x v="11"/>
    <x v="46"/>
    <x v="55"/>
    <x v="18"/>
    <x v="80"/>
    <x v="213"/>
    <x v="1"/>
    <x v="19"/>
    <x v="1"/>
    <x v="1"/>
    <x v="1"/>
    <x v="1"/>
    <x v="0"/>
    <x v="3"/>
    <x v="79"/>
    <x v="0"/>
    <x v="11"/>
    <x v="10"/>
  </r>
  <r>
    <x v="1324"/>
    <x v="212"/>
    <x v="236"/>
    <x v="64"/>
    <x v="3"/>
    <x v="6"/>
    <x v="3"/>
    <x v="12"/>
    <x v="28"/>
    <x v="3"/>
    <x v="81"/>
    <x v="197"/>
    <x v="351"/>
    <x v="88"/>
    <x v="563"/>
    <x v="118"/>
    <x v="1"/>
    <x v="5"/>
    <x v="0"/>
    <x v="2"/>
    <x v="1"/>
    <x v="1"/>
    <x v="0"/>
    <x v="0"/>
    <x v="540"/>
    <x v="0"/>
    <x v="11"/>
    <x v="10"/>
  </r>
  <r>
    <x v="1325"/>
    <x v="185"/>
    <x v="251"/>
    <x v="20"/>
    <x v="40"/>
    <x v="4"/>
    <x v="0"/>
    <x v="17"/>
    <x v="32"/>
    <x v="1"/>
    <x v="42"/>
    <x v="47"/>
    <x v="209"/>
    <x v="50"/>
    <x v="409"/>
    <x v="233"/>
    <x v="1"/>
    <x v="9"/>
    <x v="1"/>
    <x v="1"/>
    <x v="1"/>
    <x v="1"/>
    <x v="0"/>
    <x v="0"/>
    <x v="394"/>
    <x v="0"/>
    <x v="11"/>
    <x v="10"/>
  </r>
  <r>
    <x v="1326"/>
    <x v="124"/>
    <x v="278"/>
    <x v="38"/>
    <x v="92"/>
    <x v="5"/>
    <x v="3"/>
    <x v="9"/>
    <x v="18"/>
    <x v="0"/>
    <x v="66"/>
    <x v="0"/>
    <x v="320"/>
    <x v="68"/>
    <x v="601"/>
    <x v="288"/>
    <x v="2"/>
    <x v="6"/>
    <x v="2"/>
    <x v="0"/>
    <x v="2"/>
    <x v="1"/>
    <x v="0"/>
    <x v="2"/>
    <x v="576"/>
    <x v="0"/>
    <x v="11"/>
    <x v="10"/>
  </r>
  <r>
    <x v="1327"/>
    <x v="280"/>
    <x v="153"/>
    <x v="53"/>
    <x v="29"/>
    <x v="1"/>
    <x v="0"/>
    <x v="3"/>
    <x v="6"/>
    <x v="5"/>
    <x v="4"/>
    <x v="45"/>
    <x v="15"/>
    <x v="6"/>
    <x v="13"/>
    <x v="235"/>
    <x v="1"/>
    <x v="3"/>
    <x v="1"/>
    <x v="1"/>
    <x v="1"/>
    <x v="1"/>
    <x v="0"/>
    <x v="0"/>
    <x v="14"/>
    <x v="0"/>
    <x v="11"/>
    <x v="10"/>
  </r>
  <r>
    <x v="1328"/>
    <x v="168"/>
    <x v="267"/>
    <x v="23"/>
    <x v="49"/>
    <x v="4"/>
    <x v="0"/>
    <x v="12"/>
    <x v="24"/>
    <x v="5"/>
    <x v="27"/>
    <x v="132"/>
    <x v="108"/>
    <x v="36"/>
    <x v="151"/>
    <x v="127"/>
    <x v="1"/>
    <x v="13"/>
    <x v="1"/>
    <x v="1"/>
    <x v="1"/>
    <x v="1"/>
    <x v="0"/>
    <x v="4"/>
    <x v="145"/>
    <x v="0"/>
    <x v="11"/>
    <x v="10"/>
  </r>
  <r>
    <x v="1329"/>
    <x v="103"/>
    <x v="277"/>
    <x v="96"/>
    <x v="91"/>
    <x v="0"/>
    <x v="3"/>
    <x v="23"/>
    <x v="47"/>
    <x v="1"/>
    <x v="113"/>
    <x v="206"/>
    <x v="447"/>
    <x v="128"/>
    <x v="673"/>
    <x v="41"/>
    <x v="2"/>
    <x v="19"/>
    <x v="0"/>
    <x v="1"/>
    <x v="2"/>
    <x v="0"/>
    <x v="0"/>
    <x v="2"/>
    <x v="635"/>
    <x v="0"/>
    <x v="11"/>
    <x v="10"/>
  </r>
  <r>
    <x v="1330"/>
    <x v="297"/>
    <x v="79"/>
    <x v="76"/>
    <x v="64"/>
    <x v="2"/>
    <x v="2"/>
    <x v="4"/>
    <x v="8"/>
    <x v="0"/>
    <x v="28"/>
    <x v="0"/>
    <x v="156"/>
    <x v="32"/>
    <x v="373"/>
    <x v="323"/>
    <x v="1"/>
    <x v="6"/>
    <x v="1"/>
    <x v="0"/>
    <x v="1"/>
    <x v="1"/>
    <x v="0"/>
    <x v="3"/>
    <x v="359"/>
    <x v="0"/>
    <x v="11"/>
    <x v="10"/>
  </r>
  <r>
    <x v="1331"/>
    <x v="139"/>
    <x v="297"/>
    <x v="17"/>
    <x v="18"/>
    <x v="4"/>
    <x v="0"/>
    <x v="11"/>
    <x v="23"/>
    <x v="2"/>
    <x v="23"/>
    <x v="56"/>
    <x v="123"/>
    <x v="34"/>
    <x v="207"/>
    <x v="211"/>
    <x v="1"/>
    <x v="19"/>
    <x v="1"/>
    <x v="2"/>
    <x v="1"/>
    <x v="1"/>
    <x v="0"/>
    <x v="0"/>
    <x v="200"/>
    <x v="0"/>
    <x v="11"/>
    <x v="10"/>
  </r>
  <r>
    <x v="1332"/>
    <x v="286"/>
    <x v="252"/>
    <x v="65"/>
    <x v="36"/>
    <x v="6"/>
    <x v="1"/>
    <x v="7"/>
    <x v="14"/>
    <x v="1"/>
    <x v="26"/>
    <x v="29"/>
    <x v="142"/>
    <x v="33"/>
    <x v="317"/>
    <x v="295"/>
    <x v="1"/>
    <x v="2"/>
    <x v="1"/>
    <x v="1"/>
    <x v="1"/>
    <x v="1"/>
    <x v="0"/>
    <x v="0"/>
    <x v="306"/>
    <x v="0"/>
    <x v="11"/>
    <x v="10"/>
  </r>
  <r>
    <x v="1333"/>
    <x v="10"/>
    <x v="23"/>
    <x v="12"/>
    <x v="56"/>
    <x v="3"/>
    <x v="2"/>
    <x v="9"/>
    <x v="22"/>
    <x v="3"/>
    <x v="55"/>
    <x v="147"/>
    <x v="244"/>
    <x v="68"/>
    <x v="336"/>
    <x v="70"/>
    <x v="0"/>
    <x v="8"/>
    <x v="1"/>
    <x v="0"/>
    <x v="0"/>
    <x v="1"/>
    <x v="0"/>
    <x v="1"/>
    <x v="0"/>
    <x v="0"/>
    <x v="11"/>
    <x v="10"/>
  </r>
  <r>
    <x v="1334"/>
    <x v="63"/>
    <x v="106"/>
    <x v="38"/>
    <x v="92"/>
    <x v="5"/>
    <x v="1"/>
    <x v="9"/>
    <x v="18"/>
    <x v="1"/>
    <x v="38"/>
    <x v="42"/>
    <x v="196"/>
    <x v="45"/>
    <x v="411"/>
    <x v="268"/>
    <x v="1"/>
    <x v="10"/>
    <x v="1"/>
    <x v="1"/>
    <x v="1"/>
    <x v="1"/>
    <x v="0"/>
    <x v="0"/>
    <x v="396"/>
    <x v="0"/>
    <x v="11"/>
    <x v="10"/>
  </r>
  <r>
    <x v="1335"/>
    <x v="18"/>
    <x v="128"/>
    <x v="93"/>
    <x v="70"/>
    <x v="0"/>
    <x v="0"/>
    <x v="20"/>
    <x v="42"/>
    <x v="3"/>
    <x v="54"/>
    <x v="146"/>
    <x v="238"/>
    <x v="69"/>
    <x v="253"/>
    <x v="34"/>
    <x v="1"/>
    <x v="13"/>
    <x v="1"/>
    <x v="0"/>
    <x v="1"/>
    <x v="1"/>
    <x v="0"/>
    <x v="3"/>
    <x v="245"/>
    <x v="0"/>
    <x v="11"/>
    <x v="10"/>
  </r>
  <r>
    <x v="1336"/>
    <x v="282"/>
    <x v="49"/>
    <x v="71"/>
    <x v="88"/>
    <x v="6"/>
    <x v="0"/>
    <x v="5"/>
    <x v="10"/>
    <x v="0"/>
    <x v="7"/>
    <x v="0"/>
    <x v="50"/>
    <x v="12"/>
    <x v="104"/>
    <x v="307"/>
    <x v="4"/>
    <x v="13"/>
    <x v="0"/>
    <x v="0"/>
    <x v="2"/>
    <x v="1"/>
    <x v="0"/>
    <x v="4"/>
    <x v="100"/>
    <x v="0"/>
    <x v="11"/>
    <x v="10"/>
  </r>
  <r>
    <x v="1337"/>
    <x v="147"/>
    <x v="119"/>
    <x v="10"/>
    <x v="42"/>
    <x v="3"/>
    <x v="3"/>
    <x v="18"/>
    <x v="37"/>
    <x v="0"/>
    <x v="98"/>
    <x v="0"/>
    <x v="421"/>
    <x v="109"/>
    <x v="665"/>
    <x v="166"/>
    <x v="1"/>
    <x v="6"/>
    <x v="1"/>
    <x v="2"/>
    <x v="1"/>
    <x v="2"/>
    <x v="0"/>
    <x v="3"/>
    <x v="629"/>
    <x v="0"/>
    <x v="11"/>
    <x v="10"/>
  </r>
  <r>
    <x v="1338"/>
    <x v="320"/>
    <x v="108"/>
    <x v="48"/>
    <x v="28"/>
    <x v="1"/>
    <x v="0"/>
    <x v="3"/>
    <x v="7"/>
    <x v="2"/>
    <x v="4"/>
    <x v="15"/>
    <x v="23"/>
    <x v="7"/>
    <x v="32"/>
    <x v="273"/>
    <x v="1"/>
    <x v="13"/>
    <x v="0"/>
    <x v="0"/>
    <x v="1"/>
    <x v="1"/>
    <x v="0"/>
    <x v="3"/>
    <x v="33"/>
    <x v="0"/>
    <x v="11"/>
    <x v="10"/>
  </r>
  <r>
    <x v="1339"/>
    <x v="342"/>
    <x v="69"/>
    <x v="32"/>
    <x v="7"/>
    <x v="5"/>
    <x v="0"/>
    <x v="14"/>
    <x v="30"/>
    <x v="1"/>
    <x v="33"/>
    <x v="36"/>
    <x v="172"/>
    <x v="45"/>
    <x v="313"/>
    <x v="205"/>
    <x v="2"/>
    <x v="13"/>
    <x v="1"/>
    <x v="1"/>
    <x v="2"/>
    <x v="1"/>
    <x v="0"/>
    <x v="2"/>
    <x v="302"/>
    <x v="0"/>
    <x v="11"/>
    <x v="10"/>
  </r>
  <r>
    <x v="1340"/>
    <x v="161"/>
    <x v="134"/>
    <x v="76"/>
    <x v="64"/>
    <x v="2"/>
    <x v="1"/>
    <x v="4"/>
    <x v="8"/>
    <x v="4"/>
    <x v="15"/>
    <x v="82"/>
    <x v="74"/>
    <x v="21"/>
    <x v="146"/>
    <x v="259"/>
    <x v="1"/>
    <x v="18"/>
    <x v="0"/>
    <x v="1"/>
    <x v="1"/>
    <x v="1"/>
    <x v="0"/>
    <x v="0"/>
    <x v="140"/>
    <x v="0"/>
    <x v="11"/>
    <x v="10"/>
  </r>
  <r>
    <x v="1341"/>
    <x v="201"/>
    <x v="190"/>
    <x v="18"/>
    <x v="71"/>
    <x v="4"/>
    <x v="2"/>
    <x v="20"/>
    <x v="40"/>
    <x v="3"/>
    <x v="97"/>
    <x v="223"/>
    <x v="406"/>
    <x v="107"/>
    <x v="628"/>
    <x v="88"/>
    <x v="1"/>
    <x v="11"/>
    <x v="0"/>
    <x v="0"/>
    <x v="1"/>
    <x v="2"/>
    <x v="0"/>
    <x v="0"/>
    <x v="599"/>
    <x v="0"/>
    <x v="11"/>
    <x v="10"/>
  </r>
  <r>
    <x v="1342"/>
    <x v="328"/>
    <x v="100"/>
    <x v="67"/>
    <x v="21"/>
    <x v="6"/>
    <x v="1"/>
    <x v="4"/>
    <x v="7"/>
    <x v="3"/>
    <x v="15"/>
    <x v="64"/>
    <x v="79"/>
    <x v="19"/>
    <x v="181"/>
    <x v="304"/>
    <x v="2"/>
    <x v="14"/>
    <x v="1"/>
    <x v="0"/>
    <x v="2"/>
    <x v="1"/>
    <x v="0"/>
    <x v="2"/>
    <x v="175"/>
    <x v="0"/>
    <x v="11"/>
    <x v="10"/>
  </r>
  <r>
    <x v="1343"/>
    <x v="197"/>
    <x v="34"/>
    <x v="42"/>
    <x v="47"/>
    <x v="5"/>
    <x v="2"/>
    <x v="15"/>
    <x v="32"/>
    <x v="4"/>
    <x v="79"/>
    <x v="212"/>
    <x v="339"/>
    <x v="89"/>
    <x v="501"/>
    <x v="69"/>
    <x v="1"/>
    <x v="2"/>
    <x v="1"/>
    <x v="2"/>
    <x v="1"/>
    <x v="1"/>
    <x v="0"/>
    <x v="4"/>
    <x v="480"/>
    <x v="0"/>
    <x v="11"/>
    <x v="10"/>
  </r>
  <r>
    <x v="1344"/>
    <x v="112"/>
    <x v="222"/>
    <x v="25"/>
    <x v="84"/>
    <x v="4"/>
    <x v="2"/>
    <x v="10"/>
    <x v="18"/>
    <x v="4"/>
    <x v="60"/>
    <x v="180"/>
    <x v="262"/>
    <x v="59"/>
    <x v="501"/>
    <x v="254"/>
    <x v="4"/>
    <x v="4"/>
    <x v="1"/>
    <x v="1"/>
    <x v="2"/>
    <x v="1"/>
    <x v="0"/>
    <x v="4"/>
    <x v="480"/>
    <x v="0"/>
    <x v="11"/>
    <x v="10"/>
  </r>
  <r>
    <x v="1345"/>
    <x v="144"/>
    <x v="207"/>
    <x v="62"/>
    <x v="19"/>
    <x v="6"/>
    <x v="0"/>
    <x v="17"/>
    <x v="35"/>
    <x v="1"/>
    <x v="42"/>
    <x v="47"/>
    <x v="209"/>
    <x v="55"/>
    <x v="359"/>
    <x v="167"/>
    <x v="2"/>
    <x v="13"/>
    <x v="1"/>
    <x v="2"/>
    <x v="2"/>
    <x v="1"/>
    <x v="0"/>
    <x v="2"/>
    <x v="345"/>
    <x v="0"/>
    <x v="11"/>
    <x v="10"/>
  </r>
  <r>
    <x v="1346"/>
    <x v="154"/>
    <x v="235"/>
    <x v="36"/>
    <x v="63"/>
    <x v="5"/>
    <x v="2"/>
    <x v="10"/>
    <x v="20"/>
    <x v="0"/>
    <x v="60"/>
    <x v="0"/>
    <x v="297"/>
    <x v="65"/>
    <x v="566"/>
    <x v="283"/>
    <x v="1"/>
    <x v="15"/>
    <x v="1"/>
    <x v="1"/>
    <x v="1"/>
    <x v="1"/>
    <x v="0"/>
    <x v="3"/>
    <x v="543"/>
    <x v="0"/>
    <x v="11"/>
    <x v="10"/>
  </r>
  <r>
    <x v="1347"/>
    <x v="154"/>
    <x v="24"/>
    <x v="60"/>
    <x v="68"/>
    <x v="6"/>
    <x v="1"/>
    <x v="5"/>
    <x v="9"/>
    <x v="3"/>
    <x v="19"/>
    <x v="71"/>
    <x v="96"/>
    <x v="24"/>
    <x v="199"/>
    <x v="277"/>
    <x v="1"/>
    <x v="4"/>
    <x v="1"/>
    <x v="1"/>
    <x v="1"/>
    <x v="1"/>
    <x v="0"/>
    <x v="4"/>
    <x v="192"/>
    <x v="0"/>
    <x v="11"/>
    <x v="10"/>
  </r>
  <r>
    <x v="1348"/>
    <x v="180"/>
    <x v="6"/>
    <x v="95"/>
    <x v="0"/>
    <x v="0"/>
    <x v="2"/>
    <x v="24"/>
    <x v="48"/>
    <x v="5"/>
    <x v="111"/>
    <x v="252"/>
    <x v="441"/>
    <x v="126"/>
    <x v="468"/>
    <x v="1"/>
    <x v="1"/>
    <x v="17"/>
    <x v="1"/>
    <x v="0"/>
    <x v="1"/>
    <x v="2"/>
    <x v="0"/>
    <x v="0"/>
    <x v="449"/>
    <x v="0"/>
    <x v="11"/>
    <x v="10"/>
  </r>
  <r>
    <x v="1349"/>
    <x v="311"/>
    <x v="280"/>
    <x v="61"/>
    <x v="76"/>
    <x v="6"/>
    <x v="0"/>
    <x v="2"/>
    <x v="3"/>
    <x v="3"/>
    <x v="2"/>
    <x v="19"/>
    <x v="13"/>
    <x v="3"/>
    <x v="22"/>
    <x v="319"/>
    <x v="1"/>
    <x v="1"/>
    <x v="1"/>
    <x v="1"/>
    <x v="1"/>
    <x v="1"/>
    <x v="0"/>
    <x v="3"/>
    <x v="23"/>
    <x v="0"/>
    <x v="11"/>
    <x v="10"/>
  </r>
  <r>
    <x v="1350"/>
    <x v="338"/>
    <x v="173"/>
    <x v="85"/>
    <x v="35"/>
    <x v="2"/>
    <x v="1"/>
    <x v="1"/>
    <x v="2"/>
    <x v="0"/>
    <x v="6"/>
    <x v="0"/>
    <x v="48"/>
    <x v="10"/>
    <x v="121"/>
    <x v="333"/>
    <x v="1"/>
    <x v="3"/>
    <x v="0"/>
    <x v="2"/>
    <x v="1"/>
    <x v="1"/>
    <x v="0"/>
    <x v="4"/>
    <x v="117"/>
    <x v="0"/>
    <x v="11"/>
    <x v="10"/>
  </r>
  <r>
    <x v="1351"/>
    <x v="312"/>
    <x v="236"/>
    <x v="81"/>
    <x v="31"/>
    <x v="2"/>
    <x v="0"/>
    <x v="2"/>
    <x v="4"/>
    <x v="3"/>
    <x v="2"/>
    <x v="19"/>
    <x v="13"/>
    <x v="4"/>
    <x v="16"/>
    <x v="290"/>
    <x v="4"/>
    <x v="5"/>
    <x v="0"/>
    <x v="2"/>
    <x v="2"/>
    <x v="1"/>
    <x v="0"/>
    <x v="0"/>
    <x v="17"/>
    <x v="0"/>
    <x v="11"/>
    <x v="10"/>
  </r>
  <r>
    <x v="1352"/>
    <x v="238"/>
    <x v="157"/>
    <x v="84"/>
    <x v="55"/>
    <x v="2"/>
    <x v="4"/>
    <x v="3"/>
    <x v="6"/>
    <x v="3"/>
    <x v="40"/>
    <x v="120"/>
    <x v="188"/>
    <x v="43"/>
    <x v="408"/>
    <x v="286"/>
    <x v="1"/>
    <x v="19"/>
    <x v="0"/>
    <x v="0"/>
    <x v="1"/>
    <x v="1"/>
    <x v="0"/>
    <x v="0"/>
    <x v="393"/>
    <x v="0"/>
    <x v="11"/>
    <x v="10"/>
  </r>
  <r>
    <x v="1353"/>
    <x v="206"/>
    <x v="145"/>
    <x v="73"/>
    <x v="60"/>
    <x v="2"/>
    <x v="3"/>
    <x v="3"/>
    <x v="6"/>
    <x v="5"/>
    <x v="30"/>
    <x v="141"/>
    <x v="133"/>
    <x v="35"/>
    <x v="256"/>
    <x v="235"/>
    <x v="1"/>
    <x v="10"/>
    <x v="1"/>
    <x v="0"/>
    <x v="1"/>
    <x v="1"/>
    <x v="0"/>
    <x v="4"/>
    <x v="247"/>
    <x v="0"/>
    <x v="11"/>
    <x v="10"/>
  </r>
  <r>
    <x v="1354"/>
    <x v="106"/>
    <x v="93"/>
    <x v="46"/>
    <x v="85"/>
    <x v="1"/>
    <x v="0"/>
    <x v="5"/>
    <x v="11"/>
    <x v="0"/>
    <x v="7"/>
    <x v="0"/>
    <x v="50"/>
    <x v="13"/>
    <x v="97"/>
    <x v="289"/>
    <x v="1"/>
    <x v="2"/>
    <x v="1"/>
    <x v="0"/>
    <x v="1"/>
    <x v="1"/>
    <x v="0"/>
    <x v="4"/>
    <x v="95"/>
    <x v="0"/>
    <x v="11"/>
    <x v="10"/>
  </r>
  <r>
    <x v="1355"/>
    <x v="339"/>
    <x v="38"/>
    <x v="2"/>
    <x v="77"/>
    <x v="3"/>
    <x v="1"/>
    <x v="22"/>
    <x v="44"/>
    <x v="2"/>
    <x v="91"/>
    <x v="186"/>
    <x v="395"/>
    <x v="101"/>
    <x v="605"/>
    <x v="89"/>
    <x v="1"/>
    <x v="5"/>
    <x v="1"/>
    <x v="1"/>
    <x v="1"/>
    <x v="1"/>
    <x v="0"/>
    <x v="4"/>
    <x v="578"/>
    <x v="0"/>
    <x v="11"/>
    <x v="10"/>
  </r>
  <r>
    <x v="1356"/>
    <x v="314"/>
    <x v="217"/>
    <x v="33"/>
    <x v="87"/>
    <x v="5"/>
    <x v="0"/>
    <x v="11"/>
    <x v="23"/>
    <x v="4"/>
    <x v="23"/>
    <x v="103"/>
    <x v="105"/>
    <x v="34"/>
    <x v="150"/>
    <x v="147"/>
    <x v="2"/>
    <x v="19"/>
    <x v="0"/>
    <x v="2"/>
    <x v="2"/>
    <x v="1"/>
    <x v="0"/>
    <x v="2"/>
    <x v="144"/>
    <x v="0"/>
    <x v="11"/>
    <x v="10"/>
  </r>
  <r>
    <x v="1357"/>
    <x v="285"/>
    <x v="64"/>
    <x v="25"/>
    <x v="84"/>
    <x v="4"/>
    <x v="3"/>
    <x v="10"/>
    <x v="18"/>
    <x v="0"/>
    <x v="71"/>
    <x v="0"/>
    <x v="343"/>
    <x v="68"/>
    <x v="642"/>
    <x v="322"/>
    <x v="1"/>
    <x v="4"/>
    <x v="1"/>
    <x v="2"/>
    <x v="1"/>
    <x v="1"/>
    <x v="0"/>
    <x v="4"/>
    <x v="610"/>
    <x v="0"/>
    <x v="11"/>
    <x v="10"/>
  </r>
  <r>
    <x v="1358"/>
    <x v="111"/>
    <x v="220"/>
    <x v="68"/>
    <x v="80"/>
    <x v="6"/>
    <x v="0"/>
    <x v="12"/>
    <x v="27"/>
    <x v="1"/>
    <x v="27"/>
    <x v="30"/>
    <x v="143"/>
    <x v="39"/>
    <x v="251"/>
    <x v="203"/>
    <x v="4"/>
    <x v="1"/>
    <x v="2"/>
    <x v="1"/>
    <x v="2"/>
    <x v="1"/>
    <x v="0"/>
    <x v="0"/>
    <x v="243"/>
    <x v="0"/>
    <x v="11"/>
    <x v="10"/>
  </r>
  <r>
    <x v="1359"/>
    <x v="296"/>
    <x v="170"/>
    <x v="1"/>
    <x v="9"/>
    <x v="3"/>
    <x v="0"/>
    <x v="17"/>
    <x v="36"/>
    <x v="0"/>
    <x v="42"/>
    <x v="0"/>
    <x v="217"/>
    <x v="57"/>
    <x v="370"/>
    <x v="161"/>
    <x v="1"/>
    <x v="11"/>
    <x v="0"/>
    <x v="0"/>
    <x v="1"/>
    <x v="1"/>
    <x v="0"/>
    <x v="0"/>
    <x v="356"/>
    <x v="0"/>
    <x v="11"/>
    <x v="10"/>
  </r>
  <r>
    <x v="1360"/>
    <x v="40"/>
    <x v="52"/>
    <x v="19"/>
    <x v="2"/>
    <x v="4"/>
    <x v="0"/>
    <x v="14"/>
    <x v="30"/>
    <x v="2"/>
    <x v="33"/>
    <x v="74"/>
    <x v="162"/>
    <x v="45"/>
    <x v="275"/>
    <x v="173"/>
    <x v="2"/>
    <x v="11"/>
    <x v="1"/>
    <x v="0"/>
    <x v="2"/>
    <x v="1"/>
    <x v="0"/>
    <x v="2"/>
    <x v="266"/>
    <x v="0"/>
    <x v="11"/>
    <x v="10"/>
  </r>
  <r>
    <x v="1361"/>
    <x v="258"/>
    <x v="115"/>
    <x v="46"/>
    <x v="85"/>
    <x v="1"/>
    <x v="0"/>
    <x v="5"/>
    <x v="11"/>
    <x v="0"/>
    <x v="7"/>
    <x v="0"/>
    <x v="50"/>
    <x v="13"/>
    <x v="97"/>
    <x v="289"/>
    <x v="0"/>
    <x v="18"/>
    <x v="1"/>
    <x v="1"/>
    <x v="0"/>
    <x v="1"/>
    <x v="0"/>
    <x v="1"/>
    <x v="0"/>
    <x v="0"/>
    <x v="11"/>
    <x v="10"/>
  </r>
  <r>
    <x v="1362"/>
    <x v="8"/>
    <x v="6"/>
    <x v="26"/>
    <x v="8"/>
    <x v="4"/>
    <x v="0"/>
    <x v="5"/>
    <x v="10"/>
    <x v="1"/>
    <x v="7"/>
    <x v="8"/>
    <x v="45"/>
    <x v="12"/>
    <x v="93"/>
    <x v="293"/>
    <x v="1"/>
    <x v="17"/>
    <x v="1"/>
    <x v="2"/>
    <x v="1"/>
    <x v="1"/>
    <x v="0"/>
    <x v="4"/>
    <x v="91"/>
    <x v="0"/>
    <x v="11"/>
    <x v="10"/>
  </r>
  <r>
    <x v="1363"/>
    <x v="122"/>
    <x v="287"/>
    <x v="2"/>
    <x v="77"/>
    <x v="3"/>
    <x v="0"/>
    <x v="22"/>
    <x v="44"/>
    <x v="0"/>
    <x v="63"/>
    <x v="0"/>
    <x v="304"/>
    <x v="74"/>
    <x v="513"/>
    <x v="150"/>
    <x v="4"/>
    <x v="13"/>
    <x v="1"/>
    <x v="1"/>
    <x v="2"/>
    <x v="1"/>
    <x v="0"/>
    <x v="3"/>
    <x v="491"/>
    <x v="0"/>
    <x v="11"/>
    <x v="10"/>
  </r>
  <r>
    <x v="1364"/>
    <x v="4"/>
    <x v="66"/>
    <x v="90"/>
    <x v="69"/>
    <x v="0"/>
    <x v="2"/>
    <x v="20"/>
    <x v="41"/>
    <x v="2"/>
    <x v="97"/>
    <x v="199"/>
    <x v="411"/>
    <x v="109"/>
    <x v="627"/>
    <x v="77"/>
    <x v="1"/>
    <x v="17"/>
    <x v="2"/>
    <x v="0"/>
    <x v="1"/>
    <x v="2"/>
    <x v="0"/>
    <x v="0"/>
    <x v="598"/>
    <x v="0"/>
    <x v="11"/>
    <x v="10"/>
  </r>
  <r>
    <x v="1365"/>
    <x v="51"/>
    <x v="199"/>
    <x v="57"/>
    <x v="58"/>
    <x v="1"/>
    <x v="0"/>
    <x v="5"/>
    <x v="11"/>
    <x v="1"/>
    <x v="7"/>
    <x v="8"/>
    <x v="45"/>
    <x v="13"/>
    <x v="84"/>
    <x v="272"/>
    <x v="3"/>
    <x v="14"/>
    <x v="0"/>
    <x v="1"/>
    <x v="3"/>
    <x v="1"/>
    <x v="0"/>
    <x v="0"/>
    <x v="0"/>
    <x v="0"/>
    <x v="11"/>
    <x v="10"/>
  </r>
  <r>
    <x v="1366"/>
    <x v="38"/>
    <x v="12"/>
    <x v="83"/>
    <x v="96"/>
    <x v="2"/>
    <x v="1"/>
    <x v="10"/>
    <x v="23"/>
    <x v="0"/>
    <x v="44"/>
    <x v="0"/>
    <x v="228"/>
    <x v="56"/>
    <x v="422"/>
    <x v="207"/>
    <x v="1"/>
    <x v="11"/>
    <x v="1"/>
    <x v="2"/>
    <x v="1"/>
    <x v="1"/>
    <x v="0"/>
    <x v="4"/>
    <x v="407"/>
    <x v="0"/>
    <x v="11"/>
    <x v="10"/>
  </r>
  <r>
    <x v="1367"/>
    <x v="140"/>
    <x v="137"/>
    <x v="26"/>
    <x v="8"/>
    <x v="4"/>
    <x v="0"/>
    <x v="5"/>
    <x v="10"/>
    <x v="2"/>
    <x v="7"/>
    <x v="21"/>
    <x v="40"/>
    <x v="12"/>
    <x v="76"/>
    <x v="274"/>
    <x v="1"/>
    <x v="19"/>
    <x v="0"/>
    <x v="2"/>
    <x v="1"/>
    <x v="1"/>
    <x v="0"/>
    <x v="0"/>
    <x v="75"/>
    <x v="0"/>
    <x v="11"/>
    <x v="10"/>
  </r>
  <r>
    <x v="1368"/>
    <x v="271"/>
    <x v="98"/>
    <x v="97"/>
    <x v="81"/>
    <x v="0"/>
    <x v="2"/>
    <x v="12"/>
    <x v="29"/>
    <x v="1"/>
    <x v="69"/>
    <x v="90"/>
    <x v="323"/>
    <x v="79"/>
    <x v="538"/>
    <x v="151"/>
    <x v="1"/>
    <x v="19"/>
    <x v="0"/>
    <x v="2"/>
    <x v="1"/>
    <x v="1"/>
    <x v="0"/>
    <x v="4"/>
    <x v="515"/>
    <x v="0"/>
    <x v="11"/>
    <x v="10"/>
  </r>
  <r>
    <x v="1369"/>
    <x v="231"/>
    <x v="14"/>
    <x v="92"/>
    <x v="45"/>
    <x v="0"/>
    <x v="0"/>
    <x v="21"/>
    <x v="44"/>
    <x v="0"/>
    <x v="58"/>
    <x v="0"/>
    <x v="292"/>
    <x v="74"/>
    <x v="454"/>
    <x v="99"/>
    <x v="1"/>
    <x v="2"/>
    <x v="1"/>
    <x v="1"/>
    <x v="1"/>
    <x v="1"/>
    <x v="0"/>
    <x v="0"/>
    <x v="439"/>
    <x v="0"/>
    <x v="11"/>
    <x v="10"/>
  </r>
  <r>
    <x v="1370"/>
    <x v="266"/>
    <x v="91"/>
    <x v="64"/>
    <x v="3"/>
    <x v="6"/>
    <x v="0"/>
    <x v="12"/>
    <x v="28"/>
    <x v="2"/>
    <x v="27"/>
    <x v="62"/>
    <x v="137"/>
    <x v="41"/>
    <x v="201"/>
    <x v="154"/>
    <x v="1"/>
    <x v="11"/>
    <x v="1"/>
    <x v="2"/>
    <x v="1"/>
    <x v="1"/>
    <x v="0"/>
    <x v="4"/>
    <x v="194"/>
    <x v="0"/>
    <x v="11"/>
    <x v="10"/>
  </r>
  <r>
    <x v="1371"/>
    <x v="80"/>
    <x v="197"/>
    <x v="27"/>
    <x v="78"/>
    <x v="4"/>
    <x v="0"/>
    <x v="19"/>
    <x v="38"/>
    <x v="1"/>
    <x v="50"/>
    <x v="57"/>
    <x v="242"/>
    <x v="60"/>
    <x v="424"/>
    <x v="175"/>
    <x v="1"/>
    <x v="19"/>
    <x v="0"/>
    <x v="1"/>
    <x v="1"/>
    <x v="1"/>
    <x v="0"/>
    <x v="0"/>
    <x v="409"/>
    <x v="0"/>
    <x v="11"/>
    <x v="10"/>
  </r>
  <r>
    <x v="1372"/>
    <x v="233"/>
    <x v="210"/>
    <x v="74"/>
    <x v="4"/>
    <x v="2"/>
    <x v="4"/>
    <x v="1"/>
    <x v="1"/>
    <x v="4"/>
    <x v="24"/>
    <x v="107"/>
    <x v="115"/>
    <x v="26"/>
    <x v="266"/>
    <x v="303"/>
    <x v="1"/>
    <x v="11"/>
    <x v="0"/>
    <x v="0"/>
    <x v="1"/>
    <x v="1"/>
    <x v="0"/>
    <x v="3"/>
    <x v="257"/>
    <x v="0"/>
    <x v="11"/>
    <x v="10"/>
  </r>
  <r>
    <x v="1373"/>
    <x v="29"/>
    <x v="197"/>
    <x v="77"/>
    <x v="75"/>
    <x v="2"/>
    <x v="0"/>
    <x v="2"/>
    <x v="4"/>
    <x v="3"/>
    <x v="2"/>
    <x v="19"/>
    <x v="13"/>
    <x v="4"/>
    <x v="16"/>
    <x v="290"/>
    <x v="1"/>
    <x v="19"/>
    <x v="0"/>
    <x v="0"/>
    <x v="1"/>
    <x v="1"/>
    <x v="0"/>
    <x v="0"/>
    <x v="17"/>
    <x v="0"/>
    <x v="11"/>
    <x v="10"/>
  </r>
  <r>
    <x v="1374"/>
    <x v="200"/>
    <x v="200"/>
    <x v="3"/>
    <x v="90"/>
    <x v="3"/>
    <x v="1"/>
    <x v="3"/>
    <x v="7"/>
    <x v="2"/>
    <x v="13"/>
    <x v="33"/>
    <x v="72"/>
    <x v="19"/>
    <x v="145"/>
    <x v="273"/>
    <x v="1"/>
    <x v="1"/>
    <x v="0"/>
    <x v="1"/>
    <x v="1"/>
    <x v="1"/>
    <x v="0"/>
    <x v="3"/>
    <x v="139"/>
    <x v="0"/>
    <x v="11"/>
    <x v="10"/>
  </r>
  <r>
    <x v="1375"/>
    <x v="233"/>
    <x v="137"/>
    <x v="16"/>
    <x v="22"/>
    <x v="4"/>
    <x v="0"/>
    <x v="15"/>
    <x v="31"/>
    <x v="1"/>
    <x v="35"/>
    <x v="38"/>
    <x v="183"/>
    <x v="47"/>
    <x v="337"/>
    <x v="206"/>
    <x v="4"/>
    <x v="19"/>
    <x v="0"/>
    <x v="1"/>
    <x v="2"/>
    <x v="1"/>
    <x v="0"/>
    <x v="0"/>
    <x v="324"/>
    <x v="0"/>
    <x v="11"/>
    <x v="10"/>
  </r>
  <r>
    <x v="1376"/>
    <x v="52"/>
    <x v="225"/>
    <x v="97"/>
    <x v="81"/>
    <x v="0"/>
    <x v="0"/>
    <x v="12"/>
    <x v="29"/>
    <x v="3"/>
    <x v="27"/>
    <x v="90"/>
    <x v="126"/>
    <x v="43"/>
    <x v="149"/>
    <x v="87"/>
    <x v="1"/>
    <x v="10"/>
    <x v="1"/>
    <x v="1"/>
    <x v="1"/>
    <x v="1"/>
    <x v="0"/>
    <x v="3"/>
    <x v="143"/>
    <x v="0"/>
    <x v="11"/>
    <x v="10"/>
  </r>
  <r>
    <x v="1377"/>
    <x v="52"/>
    <x v="61"/>
    <x v="46"/>
    <x v="85"/>
    <x v="1"/>
    <x v="2"/>
    <x v="5"/>
    <x v="11"/>
    <x v="2"/>
    <x v="31"/>
    <x v="71"/>
    <x v="160"/>
    <x v="40"/>
    <x v="327"/>
    <x v="247"/>
    <x v="2"/>
    <x v="14"/>
    <x v="2"/>
    <x v="2"/>
    <x v="2"/>
    <x v="1"/>
    <x v="0"/>
    <x v="2"/>
    <x v="315"/>
    <x v="0"/>
    <x v="11"/>
    <x v="10"/>
  </r>
  <r>
    <x v="1378"/>
    <x v="333"/>
    <x v="262"/>
    <x v="22"/>
    <x v="79"/>
    <x v="4"/>
    <x v="0"/>
    <x v="4"/>
    <x v="7"/>
    <x v="1"/>
    <x v="5"/>
    <x v="6"/>
    <x v="34"/>
    <x v="7"/>
    <x v="88"/>
    <x v="328"/>
    <x v="1"/>
    <x v="4"/>
    <x v="2"/>
    <x v="0"/>
    <x v="1"/>
    <x v="1"/>
    <x v="0"/>
    <x v="3"/>
    <x v="87"/>
    <x v="0"/>
    <x v="11"/>
    <x v="10"/>
  </r>
  <r>
    <x v="1379"/>
    <x v="53"/>
    <x v="235"/>
    <x v="20"/>
    <x v="40"/>
    <x v="4"/>
    <x v="0"/>
    <x v="17"/>
    <x v="32"/>
    <x v="1"/>
    <x v="42"/>
    <x v="47"/>
    <x v="209"/>
    <x v="50"/>
    <x v="409"/>
    <x v="233"/>
    <x v="1"/>
    <x v="15"/>
    <x v="1"/>
    <x v="1"/>
    <x v="1"/>
    <x v="1"/>
    <x v="0"/>
    <x v="3"/>
    <x v="394"/>
    <x v="0"/>
    <x v="11"/>
    <x v="10"/>
  </r>
  <r>
    <x v="1380"/>
    <x v="229"/>
    <x v="183"/>
    <x v="86"/>
    <x v="11"/>
    <x v="2"/>
    <x v="1"/>
    <x v="6"/>
    <x v="14"/>
    <x v="1"/>
    <x v="22"/>
    <x v="25"/>
    <x v="128"/>
    <x v="33"/>
    <x v="255"/>
    <x v="256"/>
    <x v="1"/>
    <x v="12"/>
    <x v="0"/>
    <x v="2"/>
    <x v="1"/>
    <x v="1"/>
    <x v="0"/>
    <x v="4"/>
    <x v="246"/>
    <x v="0"/>
    <x v="11"/>
    <x v="10"/>
  </r>
  <r>
    <x v="1381"/>
    <x v="267"/>
    <x v="17"/>
    <x v="38"/>
    <x v="92"/>
    <x v="5"/>
    <x v="1"/>
    <x v="9"/>
    <x v="18"/>
    <x v="1"/>
    <x v="38"/>
    <x v="42"/>
    <x v="196"/>
    <x v="45"/>
    <x v="411"/>
    <x v="268"/>
    <x v="1"/>
    <x v="15"/>
    <x v="0"/>
    <x v="0"/>
    <x v="1"/>
    <x v="1"/>
    <x v="0"/>
    <x v="0"/>
    <x v="396"/>
    <x v="0"/>
    <x v="11"/>
    <x v="10"/>
  </r>
  <r>
    <x v="1382"/>
    <x v="353"/>
    <x v="151"/>
    <x v="60"/>
    <x v="68"/>
    <x v="6"/>
    <x v="2"/>
    <x v="5"/>
    <x v="9"/>
    <x v="1"/>
    <x v="31"/>
    <x v="34"/>
    <x v="170"/>
    <x v="36"/>
    <x v="390"/>
    <x v="310"/>
    <x v="4"/>
    <x v="9"/>
    <x v="1"/>
    <x v="2"/>
    <x v="2"/>
    <x v="1"/>
    <x v="0"/>
    <x v="0"/>
    <x v="376"/>
    <x v="0"/>
    <x v="11"/>
    <x v="10"/>
  </r>
  <r>
    <x v="1383"/>
    <x v="8"/>
    <x v="11"/>
    <x v="18"/>
    <x v="71"/>
    <x v="4"/>
    <x v="2"/>
    <x v="20"/>
    <x v="40"/>
    <x v="2"/>
    <x v="97"/>
    <x v="199"/>
    <x v="411"/>
    <x v="107"/>
    <x v="651"/>
    <x v="120"/>
    <x v="1"/>
    <x v="16"/>
    <x v="1"/>
    <x v="1"/>
    <x v="1"/>
    <x v="2"/>
    <x v="0"/>
    <x v="4"/>
    <x v="618"/>
    <x v="0"/>
    <x v="11"/>
    <x v="10"/>
  </r>
  <r>
    <x v="1384"/>
    <x v="211"/>
    <x v="57"/>
    <x v="92"/>
    <x v="45"/>
    <x v="0"/>
    <x v="0"/>
    <x v="21"/>
    <x v="44"/>
    <x v="0"/>
    <x v="58"/>
    <x v="0"/>
    <x v="292"/>
    <x v="74"/>
    <x v="454"/>
    <x v="99"/>
    <x v="1"/>
    <x v="15"/>
    <x v="0"/>
    <x v="1"/>
    <x v="1"/>
    <x v="1"/>
    <x v="0"/>
    <x v="0"/>
    <x v="439"/>
    <x v="0"/>
    <x v="11"/>
    <x v="10"/>
  </r>
  <r>
    <x v="1385"/>
    <x v="287"/>
    <x v="102"/>
    <x v="76"/>
    <x v="64"/>
    <x v="2"/>
    <x v="0"/>
    <x v="4"/>
    <x v="8"/>
    <x v="0"/>
    <x v="5"/>
    <x v="0"/>
    <x v="38"/>
    <x v="8"/>
    <x v="92"/>
    <x v="323"/>
    <x v="1"/>
    <x v="8"/>
    <x v="0"/>
    <x v="2"/>
    <x v="1"/>
    <x v="1"/>
    <x v="0"/>
    <x v="0"/>
    <x v="90"/>
    <x v="0"/>
    <x v="11"/>
    <x v="10"/>
  </r>
  <r>
    <x v="1386"/>
    <x v="194"/>
    <x v="195"/>
    <x v="68"/>
    <x v="80"/>
    <x v="6"/>
    <x v="1"/>
    <x v="12"/>
    <x v="27"/>
    <x v="1"/>
    <x v="53"/>
    <x v="62"/>
    <x v="259"/>
    <x v="63"/>
    <x v="470"/>
    <x v="203"/>
    <x v="1"/>
    <x v="15"/>
    <x v="1"/>
    <x v="1"/>
    <x v="1"/>
    <x v="1"/>
    <x v="0"/>
    <x v="4"/>
    <x v="451"/>
    <x v="0"/>
    <x v="11"/>
    <x v="10"/>
  </r>
  <r>
    <x v="1387"/>
    <x v="214"/>
    <x v="257"/>
    <x v="81"/>
    <x v="31"/>
    <x v="2"/>
    <x v="0"/>
    <x v="2"/>
    <x v="4"/>
    <x v="1"/>
    <x v="2"/>
    <x v="3"/>
    <x v="16"/>
    <x v="4"/>
    <x v="31"/>
    <x v="318"/>
    <x v="1"/>
    <x v="19"/>
    <x v="1"/>
    <x v="1"/>
    <x v="1"/>
    <x v="1"/>
    <x v="0"/>
    <x v="0"/>
    <x v="32"/>
    <x v="0"/>
    <x v="11"/>
    <x v="10"/>
  </r>
  <r>
    <x v="1388"/>
    <x v="259"/>
    <x v="42"/>
    <x v="73"/>
    <x v="60"/>
    <x v="2"/>
    <x v="1"/>
    <x v="3"/>
    <x v="6"/>
    <x v="1"/>
    <x v="13"/>
    <x v="15"/>
    <x v="77"/>
    <x v="18"/>
    <x v="176"/>
    <x v="315"/>
    <x v="1"/>
    <x v="1"/>
    <x v="0"/>
    <x v="1"/>
    <x v="1"/>
    <x v="1"/>
    <x v="0"/>
    <x v="4"/>
    <x v="170"/>
    <x v="0"/>
    <x v="11"/>
    <x v="10"/>
  </r>
  <r>
    <x v="1389"/>
    <x v="152"/>
    <x v="184"/>
    <x v="46"/>
    <x v="85"/>
    <x v="1"/>
    <x v="1"/>
    <x v="5"/>
    <x v="11"/>
    <x v="4"/>
    <x v="19"/>
    <x v="93"/>
    <x v="89"/>
    <x v="28"/>
    <x v="146"/>
    <x v="196"/>
    <x v="1"/>
    <x v="17"/>
    <x v="1"/>
    <x v="1"/>
    <x v="1"/>
    <x v="1"/>
    <x v="0"/>
    <x v="0"/>
    <x v="140"/>
    <x v="0"/>
    <x v="11"/>
    <x v="10"/>
  </r>
  <r>
    <x v="1390"/>
    <x v="137"/>
    <x v="144"/>
    <x v="29"/>
    <x v="34"/>
    <x v="4"/>
    <x v="0"/>
    <x v="21"/>
    <x v="43"/>
    <x v="3"/>
    <x v="58"/>
    <x v="153"/>
    <x v="265"/>
    <x v="71"/>
    <x v="372"/>
    <x v="78"/>
    <x v="1"/>
    <x v="17"/>
    <x v="1"/>
    <x v="1"/>
    <x v="1"/>
    <x v="1"/>
    <x v="0"/>
    <x v="3"/>
    <x v="358"/>
    <x v="0"/>
    <x v="11"/>
    <x v="10"/>
  </r>
  <r>
    <x v="1391"/>
    <x v="14"/>
    <x v="287"/>
    <x v="23"/>
    <x v="49"/>
    <x v="4"/>
    <x v="0"/>
    <x v="12"/>
    <x v="24"/>
    <x v="1"/>
    <x v="27"/>
    <x v="30"/>
    <x v="143"/>
    <x v="36"/>
    <x v="287"/>
    <x v="246"/>
    <x v="1"/>
    <x v="13"/>
    <x v="1"/>
    <x v="0"/>
    <x v="1"/>
    <x v="1"/>
    <x v="0"/>
    <x v="4"/>
    <x v="278"/>
    <x v="0"/>
    <x v="11"/>
    <x v="10"/>
  </r>
  <r>
    <x v="1392"/>
    <x v="128"/>
    <x v="285"/>
    <x v="66"/>
    <x v="13"/>
    <x v="6"/>
    <x v="0"/>
    <x v="8"/>
    <x v="16"/>
    <x v="2"/>
    <x v="14"/>
    <x v="35"/>
    <x v="73"/>
    <x v="20"/>
    <x v="140"/>
    <x v="261"/>
    <x v="1"/>
    <x v="10"/>
    <x v="0"/>
    <x v="2"/>
    <x v="1"/>
    <x v="1"/>
    <x v="0"/>
    <x v="4"/>
    <x v="134"/>
    <x v="0"/>
    <x v="11"/>
    <x v="10"/>
  </r>
  <r>
    <x v="1393"/>
    <x v="64"/>
    <x v="146"/>
    <x v="22"/>
    <x v="79"/>
    <x v="4"/>
    <x v="1"/>
    <x v="4"/>
    <x v="7"/>
    <x v="4"/>
    <x v="15"/>
    <x v="82"/>
    <x v="74"/>
    <x v="19"/>
    <x v="161"/>
    <x v="287"/>
    <x v="3"/>
    <x v="0"/>
    <x v="2"/>
    <x v="1"/>
    <x v="3"/>
    <x v="1"/>
    <x v="0"/>
    <x v="4"/>
    <x v="0"/>
    <x v="0"/>
    <x v="11"/>
    <x v="10"/>
  </r>
  <r>
    <x v="1394"/>
    <x v="299"/>
    <x v="134"/>
    <x v="79"/>
    <x v="12"/>
    <x v="2"/>
    <x v="0"/>
    <x v="8"/>
    <x v="18"/>
    <x v="4"/>
    <x v="14"/>
    <x v="72"/>
    <x v="66"/>
    <x v="24"/>
    <x v="59"/>
    <x v="103"/>
    <x v="1"/>
    <x v="18"/>
    <x v="0"/>
    <x v="0"/>
    <x v="1"/>
    <x v="1"/>
    <x v="0"/>
    <x v="0"/>
    <x v="58"/>
    <x v="0"/>
    <x v="11"/>
    <x v="10"/>
  </r>
  <r>
    <x v="1395"/>
    <x v="250"/>
    <x v="89"/>
    <x v="40"/>
    <x v="32"/>
    <x v="5"/>
    <x v="1"/>
    <x v="7"/>
    <x v="15"/>
    <x v="2"/>
    <x v="26"/>
    <x v="61"/>
    <x v="135"/>
    <x v="35"/>
    <x v="259"/>
    <x v="236"/>
    <x v="4"/>
    <x v="7"/>
    <x v="1"/>
    <x v="1"/>
    <x v="2"/>
    <x v="1"/>
    <x v="0"/>
    <x v="3"/>
    <x v="250"/>
    <x v="0"/>
    <x v="11"/>
    <x v="10"/>
  </r>
  <r>
    <x v="1396"/>
    <x v="125"/>
    <x v="75"/>
    <x v="88"/>
    <x v="57"/>
    <x v="0"/>
    <x v="0"/>
    <x v="22"/>
    <x v="45"/>
    <x v="0"/>
    <x v="63"/>
    <x v="0"/>
    <x v="304"/>
    <x v="76"/>
    <x v="483"/>
    <x v="114"/>
    <x v="3"/>
    <x v="3"/>
    <x v="1"/>
    <x v="1"/>
    <x v="3"/>
    <x v="1"/>
    <x v="0"/>
    <x v="3"/>
    <x v="0"/>
    <x v="0"/>
    <x v="11"/>
    <x v="10"/>
  </r>
  <r>
    <x v="1397"/>
    <x v="329"/>
    <x v="286"/>
    <x v="9"/>
    <x v="95"/>
    <x v="3"/>
    <x v="2"/>
    <x v="19"/>
    <x v="39"/>
    <x v="3"/>
    <x v="93"/>
    <x v="218"/>
    <x v="396"/>
    <x v="104"/>
    <x v="579"/>
    <x v="61"/>
    <x v="1"/>
    <x v="0"/>
    <x v="1"/>
    <x v="0"/>
    <x v="1"/>
    <x v="1"/>
    <x v="0"/>
    <x v="4"/>
    <x v="555"/>
    <x v="0"/>
    <x v="11"/>
    <x v="10"/>
  </r>
  <r>
    <x v="1398"/>
    <x v="251"/>
    <x v="154"/>
    <x v="54"/>
    <x v="61"/>
    <x v="1"/>
    <x v="0"/>
    <x v="12"/>
    <x v="27"/>
    <x v="1"/>
    <x v="27"/>
    <x v="30"/>
    <x v="143"/>
    <x v="39"/>
    <x v="251"/>
    <x v="203"/>
    <x v="4"/>
    <x v="18"/>
    <x v="2"/>
    <x v="1"/>
    <x v="2"/>
    <x v="1"/>
    <x v="0"/>
    <x v="3"/>
    <x v="243"/>
    <x v="0"/>
    <x v="11"/>
    <x v="10"/>
  </r>
  <r>
    <x v="1399"/>
    <x v="134"/>
    <x v="49"/>
    <x v="40"/>
    <x v="32"/>
    <x v="5"/>
    <x v="1"/>
    <x v="7"/>
    <x v="15"/>
    <x v="3"/>
    <x v="26"/>
    <x v="88"/>
    <x v="125"/>
    <x v="35"/>
    <x v="221"/>
    <x v="213"/>
    <x v="1"/>
    <x v="13"/>
    <x v="0"/>
    <x v="1"/>
    <x v="1"/>
    <x v="1"/>
    <x v="0"/>
    <x v="4"/>
    <x v="213"/>
    <x v="0"/>
    <x v="11"/>
    <x v="10"/>
  </r>
  <r>
    <x v="1400"/>
    <x v="5"/>
    <x v="92"/>
    <x v="20"/>
    <x v="40"/>
    <x v="4"/>
    <x v="0"/>
    <x v="17"/>
    <x v="32"/>
    <x v="5"/>
    <x v="42"/>
    <x v="162"/>
    <x v="168"/>
    <x v="50"/>
    <x v="231"/>
    <x v="112"/>
    <x v="1"/>
    <x v="9"/>
    <x v="2"/>
    <x v="1"/>
    <x v="1"/>
    <x v="1"/>
    <x v="0"/>
    <x v="3"/>
    <x v="223"/>
    <x v="0"/>
    <x v="11"/>
    <x v="10"/>
  </r>
  <r>
    <x v="1401"/>
    <x v="124"/>
    <x v="137"/>
    <x v="69"/>
    <x v="48"/>
    <x v="6"/>
    <x v="1"/>
    <x v="6"/>
    <x v="12"/>
    <x v="4"/>
    <x v="22"/>
    <x v="101"/>
    <x v="103"/>
    <x v="30"/>
    <x v="187"/>
    <x v="221"/>
    <x v="4"/>
    <x v="19"/>
    <x v="0"/>
    <x v="0"/>
    <x v="2"/>
    <x v="1"/>
    <x v="0"/>
    <x v="0"/>
    <x v="181"/>
    <x v="0"/>
    <x v="11"/>
    <x v="10"/>
  </r>
  <r>
    <x v="1402"/>
    <x v="189"/>
    <x v="61"/>
    <x v="82"/>
    <x v="67"/>
    <x v="2"/>
    <x v="0"/>
    <x v="5"/>
    <x v="12"/>
    <x v="0"/>
    <x v="7"/>
    <x v="0"/>
    <x v="50"/>
    <x v="14"/>
    <x v="92"/>
    <x v="269"/>
    <x v="1"/>
    <x v="14"/>
    <x v="2"/>
    <x v="1"/>
    <x v="1"/>
    <x v="1"/>
    <x v="0"/>
    <x v="4"/>
    <x v="90"/>
    <x v="0"/>
    <x v="11"/>
    <x v="10"/>
  </r>
  <r>
    <x v="1403"/>
    <x v="188"/>
    <x v="95"/>
    <x v="2"/>
    <x v="77"/>
    <x v="3"/>
    <x v="0"/>
    <x v="22"/>
    <x v="44"/>
    <x v="5"/>
    <x v="63"/>
    <x v="201"/>
    <x v="256"/>
    <x v="74"/>
    <x v="231"/>
    <x v="19"/>
    <x v="1"/>
    <x v="18"/>
    <x v="1"/>
    <x v="0"/>
    <x v="1"/>
    <x v="1"/>
    <x v="0"/>
    <x v="4"/>
    <x v="223"/>
    <x v="0"/>
    <x v="11"/>
    <x v="10"/>
  </r>
  <r>
    <x v="1404"/>
    <x v="297"/>
    <x v="147"/>
    <x v="25"/>
    <x v="84"/>
    <x v="4"/>
    <x v="0"/>
    <x v="10"/>
    <x v="18"/>
    <x v="2"/>
    <x v="20"/>
    <x v="50"/>
    <x v="104"/>
    <x v="24"/>
    <x v="227"/>
    <x v="299"/>
    <x v="1"/>
    <x v="13"/>
    <x v="1"/>
    <x v="0"/>
    <x v="1"/>
    <x v="1"/>
    <x v="0"/>
    <x v="4"/>
    <x v="219"/>
    <x v="0"/>
    <x v="11"/>
    <x v="10"/>
  </r>
  <r>
    <x v="1405"/>
    <x v="192"/>
    <x v="92"/>
    <x v="28"/>
    <x v="73"/>
    <x v="4"/>
    <x v="1"/>
    <x v="3"/>
    <x v="5"/>
    <x v="2"/>
    <x v="13"/>
    <x v="33"/>
    <x v="72"/>
    <x v="17"/>
    <x v="171"/>
    <x v="324"/>
    <x v="4"/>
    <x v="9"/>
    <x v="2"/>
    <x v="1"/>
    <x v="2"/>
    <x v="1"/>
    <x v="0"/>
    <x v="0"/>
    <x v="165"/>
    <x v="0"/>
    <x v="11"/>
    <x v="10"/>
  </r>
  <r>
    <x v="1406"/>
    <x v="325"/>
    <x v="64"/>
    <x v="74"/>
    <x v="4"/>
    <x v="2"/>
    <x v="1"/>
    <x v="1"/>
    <x v="1"/>
    <x v="0"/>
    <x v="6"/>
    <x v="0"/>
    <x v="48"/>
    <x v="8"/>
    <x v="127"/>
    <x v="339"/>
    <x v="1"/>
    <x v="4"/>
    <x v="1"/>
    <x v="1"/>
    <x v="1"/>
    <x v="1"/>
    <x v="0"/>
    <x v="4"/>
    <x v="123"/>
    <x v="0"/>
    <x v="11"/>
    <x v="10"/>
  </r>
  <r>
    <x v="1407"/>
    <x v="212"/>
    <x v="180"/>
    <x v="0"/>
    <x v="97"/>
    <x v="3"/>
    <x v="0"/>
    <x v="11"/>
    <x v="26"/>
    <x v="2"/>
    <x v="23"/>
    <x v="56"/>
    <x v="123"/>
    <x v="38"/>
    <x v="155"/>
    <x v="116"/>
    <x v="0"/>
    <x v="1"/>
    <x v="0"/>
    <x v="2"/>
    <x v="0"/>
    <x v="1"/>
    <x v="0"/>
    <x v="1"/>
    <x v="0"/>
    <x v="0"/>
    <x v="11"/>
    <x v="10"/>
  </r>
  <r>
    <x v="1408"/>
    <x v="286"/>
    <x v="1"/>
    <x v="57"/>
    <x v="58"/>
    <x v="1"/>
    <x v="1"/>
    <x v="5"/>
    <x v="11"/>
    <x v="0"/>
    <x v="19"/>
    <x v="0"/>
    <x v="117"/>
    <x v="28"/>
    <x v="257"/>
    <x v="289"/>
    <x v="0"/>
    <x v="14"/>
    <x v="0"/>
    <x v="1"/>
    <x v="0"/>
    <x v="1"/>
    <x v="0"/>
    <x v="1"/>
    <x v="0"/>
    <x v="0"/>
    <x v="11"/>
    <x v="10"/>
  </r>
  <r>
    <x v="1409"/>
    <x v="39"/>
    <x v="218"/>
    <x v="58"/>
    <x v="5"/>
    <x v="1"/>
    <x v="1"/>
    <x v="9"/>
    <x v="20"/>
    <x v="1"/>
    <x v="38"/>
    <x v="42"/>
    <x v="196"/>
    <x v="50"/>
    <x v="363"/>
    <x v="202"/>
    <x v="1"/>
    <x v="6"/>
    <x v="0"/>
    <x v="1"/>
    <x v="1"/>
    <x v="1"/>
    <x v="0"/>
    <x v="0"/>
    <x v="349"/>
    <x v="0"/>
    <x v="11"/>
    <x v="10"/>
  </r>
  <r>
    <x v="1410"/>
    <x v="282"/>
    <x v="144"/>
    <x v="26"/>
    <x v="8"/>
    <x v="4"/>
    <x v="0"/>
    <x v="5"/>
    <x v="10"/>
    <x v="2"/>
    <x v="7"/>
    <x v="21"/>
    <x v="40"/>
    <x v="12"/>
    <x v="76"/>
    <x v="274"/>
    <x v="1"/>
    <x v="17"/>
    <x v="1"/>
    <x v="1"/>
    <x v="1"/>
    <x v="1"/>
    <x v="0"/>
    <x v="0"/>
    <x v="75"/>
    <x v="0"/>
    <x v="11"/>
    <x v="10"/>
  </r>
  <r>
    <x v="1411"/>
    <x v="59"/>
    <x v="222"/>
    <x v="99"/>
    <x v="16"/>
    <x v="0"/>
    <x v="1"/>
    <x v="22"/>
    <x v="46"/>
    <x v="1"/>
    <x v="91"/>
    <x v="133"/>
    <x v="399"/>
    <x v="105"/>
    <x v="599"/>
    <x v="68"/>
    <x v="1"/>
    <x v="4"/>
    <x v="1"/>
    <x v="1"/>
    <x v="1"/>
    <x v="1"/>
    <x v="0"/>
    <x v="3"/>
    <x v="574"/>
    <x v="0"/>
    <x v="11"/>
    <x v="10"/>
  </r>
  <r>
    <x v="1412"/>
    <x v="313"/>
    <x v="203"/>
    <x v="4"/>
    <x v="66"/>
    <x v="3"/>
    <x v="1"/>
    <x v="14"/>
    <x v="31"/>
    <x v="2"/>
    <x v="61"/>
    <x v="129"/>
    <x v="282"/>
    <x v="71"/>
    <x v="455"/>
    <x v="125"/>
    <x v="2"/>
    <x v="12"/>
    <x v="1"/>
    <x v="1"/>
    <x v="2"/>
    <x v="1"/>
    <x v="0"/>
    <x v="2"/>
    <x v="440"/>
    <x v="0"/>
    <x v="11"/>
    <x v="10"/>
  </r>
  <r>
    <x v="1413"/>
    <x v="223"/>
    <x v="202"/>
    <x v="71"/>
    <x v="88"/>
    <x v="6"/>
    <x v="0"/>
    <x v="5"/>
    <x v="10"/>
    <x v="4"/>
    <x v="7"/>
    <x v="49"/>
    <x v="33"/>
    <x v="12"/>
    <x v="42"/>
    <x v="220"/>
    <x v="1"/>
    <x v="4"/>
    <x v="1"/>
    <x v="0"/>
    <x v="1"/>
    <x v="1"/>
    <x v="0"/>
    <x v="0"/>
    <x v="43"/>
    <x v="0"/>
    <x v="11"/>
    <x v="10"/>
  </r>
  <r>
    <x v="1414"/>
    <x v="40"/>
    <x v="228"/>
    <x v="61"/>
    <x v="76"/>
    <x v="6"/>
    <x v="0"/>
    <x v="2"/>
    <x v="3"/>
    <x v="1"/>
    <x v="2"/>
    <x v="3"/>
    <x v="16"/>
    <x v="3"/>
    <x v="36"/>
    <x v="336"/>
    <x v="1"/>
    <x v="7"/>
    <x v="0"/>
    <x v="2"/>
    <x v="1"/>
    <x v="1"/>
    <x v="0"/>
    <x v="4"/>
    <x v="37"/>
    <x v="0"/>
    <x v="11"/>
    <x v="10"/>
  </r>
  <r>
    <x v="1415"/>
    <x v="80"/>
    <x v="58"/>
    <x v="65"/>
    <x v="36"/>
    <x v="6"/>
    <x v="0"/>
    <x v="7"/>
    <x v="14"/>
    <x v="5"/>
    <x v="11"/>
    <x v="76"/>
    <x v="43"/>
    <x v="17"/>
    <x v="52"/>
    <x v="193"/>
    <x v="1"/>
    <x v="5"/>
    <x v="1"/>
    <x v="0"/>
    <x v="1"/>
    <x v="1"/>
    <x v="0"/>
    <x v="3"/>
    <x v="51"/>
    <x v="0"/>
    <x v="11"/>
    <x v="10"/>
  </r>
  <r>
    <x v="1416"/>
    <x v="64"/>
    <x v="119"/>
    <x v="48"/>
    <x v="28"/>
    <x v="1"/>
    <x v="2"/>
    <x v="3"/>
    <x v="7"/>
    <x v="2"/>
    <x v="21"/>
    <x v="53"/>
    <x v="121"/>
    <x v="30"/>
    <x v="245"/>
    <x v="273"/>
    <x v="1"/>
    <x v="6"/>
    <x v="1"/>
    <x v="1"/>
    <x v="1"/>
    <x v="1"/>
    <x v="0"/>
    <x v="0"/>
    <x v="237"/>
    <x v="0"/>
    <x v="11"/>
    <x v="10"/>
  </r>
  <r>
    <x v="1417"/>
    <x v="307"/>
    <x v="149"/>
    <x v="7"/>
    <x v="62"/>
    <x v="3"/>
    <x v="1"/>
    <x v="5"/>
    <x v="9"/>
    <x v="3"/>
    <x v="19"/>
    <x v="71"/>
    <x v="96"/>
    <x v="24"/>
    <x v="199"/>
    <x v="277"/>
    <x v="1"/>
    <x v="16"/>
    <x v="1"/>
    <x v="2"/>
    <x v="1"/>
    <x v="1"/>
    <x v="0"/>
    <x v="0"/>
    <x v="192"/>
    <x v="0"/>
    <x v="11"/>
    <x v="10"/>
  </r>
  <r>
    <x v="1418"/>
    <x v="180"/>
    <x v="205"/>
    <x v="35"/>
    <x v="24"/>
    <x v="5"/>
    <x v="0"/>
    <x v="17"/>
    <x v="35"/>
    <x v="2"/>
    <x v="42"/>
    <x v="91"/>
    <x v="202"/>
    <x v="55"/>
    <x v="320"/>
    <x v="135"/>
    <x v="1"/>
    <x v="10"/>
    <x v="1"/>
    <x v="1"/>
    <x v="1"/>
    <x v="1"/>
    <x v="0"/>
    <x v="0"/>
    <x v="308"/>
    <x v="0"/>
    <x v="11"/>
    <x v="10"/>
  </r>
  <r>
    <x v="1419"/>
    <x v="296"/>
    <x v="263"/>
    <x v="62"/>
    <x v="19"/>
    <x v="6"/>
    <x v="0"/>
    <x v="17"/>
    <x v="35"/>
    <x v="5"/>
    <x v="42"/>
    <x v="162"/>
    <x v="168"/>
    <x v="55"/>
    <x v="164"/>
    <x v="45"/>
    <x v="4"/>
    <x v="12"/>
    <x v="1"/>
    <x v="2"/>
    <x v="2"/>
    <x v="1"/>
    <x v="0"/>
    <x v="4"/>
    <x v="158"/>
    <x v="0"/>
    <x v="11"/>
    <x v="10"/>
  </r>
  <r>
    <x v="1420"/>
    <x v="312"/>
    <x v="4"/>
    <x v="24"/>
    <x v="44"/>
    <x v="4"/>
    <x v="0"/>
    <x v="16"/>
    <x v="33"/>
    <x v="2"/>
    <x v="39"/>
    <x v="84"/>
    <x v="187"/>
    <x v="51"/>
    <x v="314"/>
    <x v="157"/>
    <x v="1"/>
    <x v="4"/>
    <x v="1"/>
    <x v="2"/>
    <x v="1"/>
    <x v="1"/>
    <x v="0"/>
    <x v="3"/>
    <x v="303"/>
    <x v="0"/>
    <x v="11"/>
    <x v="10"/>
  </r>
  <r>
    <x v="1421"/>
    <x v="35"/>
    <x v="14"/>
    <x v="31"/>
    <x v="94"/>
    <x v="5"/>
    <x v="0"/>
    <x v="5"/>
    <x v="9"/>
    <x v="2"/>
    <x v="7"/>
    <x v="21"/>
    <x v="40"/>
    <x v="11"/>
    <x v="85"/>
    <x v="297"/>
    <x v="4"/>
    <x v="2"/>
    <x v="1"/>
    <x v="0"/>
    <x v="2"/>
    <x v="1"/>
    <x v="0"/>
    <x v="0"/>
    <x v="84"/>
    <x v="0"/>
    <x v="11"/>
    <x v="10"/>
  </r>
  <r>
    <x v="1422"/>
    <x v="46"/>
    <x v="146"/>
    <x v="82"/>
    <x v="67"/>
    <x v="2"/>
    <x v="0"/>
    <x v="5"/>
    <x v="12"/>
    <x v="1"/>
    <x v="7"/>
    <x v="8"/>
    <x v="45"/>
    <x v="14"/>
    <x v="75"/>
    <x v="244"/>
    <x v="1"/>
    <x v="0"/>
    <x v="2"/>
    <x v="0"/>
    <x v="1"/>
    <x v="1"/>
    <x v="0"/>
    <x v="4"/>
    <x v="74"/>
    <x v="0"/>
    <x v="11"/>
    <x v="10"/>
  </r>
  <r>
    <x v="1423"/>
    <x v="331"/>
    <x v="59"/>
    <x v="92"/>
    <x v="45"/>
    <x v="0"/>
    <x v="1"/>
    <x v="21"/>
    <x v="44"/>
    <x v="4"/>
    <x v="88"/>
    <x v="224"/>
    <x v="370"/>
    <x v="101"/>
    <x v="431"/>
    <x v="14"/>
    <x v="1"/>
    <x v="19"/>
    <x v="0"/>
    <x v="2"/>
    <x v="1"/>
    <x v="1"/>
    <x v="0"/>
    <x v="0"/>
    <x v="416"/>
    <x v="0"/>
    <x v="11"/>
    <x v="10"/>
  </r>
  <r>
    <x v="1424"/>
    <x v="256"/>
    <x v="29"/>
    <x v="69"/>
    <x v="48"/>
    <x v="6"/>
    <x v="3"/>
    <x v="6"/>
    <x v="12"/>
    <x v="1"/>
    <x v="47"/>
    <x v="54"/>
    <x v="239"/>
    <x v="51"/>
    <x v="491"/>
    <x v="294"/>
    <x v="2"/>
    <x v="13"/>
    <x v="1"/>
    <x v="1"/>
    <x v="2"/>
    <x v="1"/>
    <x v="0"/>
    <x v="2"/>
    <x v="471"/>
    <x v="0"/>
    <x v="11"/>
    <x v="10"/>
  </r>
  <r>
    <x v="1425"/>
    <x v="92"/>
    <x v="23"/>
    <x v="10"/>
    <x v="42"/>
    <x v="3"/>
    <x v="0"/>
    <x v="18"/>
    <x v="37"/>
    <x v="2"/>
    <x v="45"/>
    <x v="95"/>
    <x v="214"/>
    <x v="59"/>
    <x v="314"/>
    <x v="109"/>
    <x v="1"/>
    <x v="8"/>
    <x v="1"/>
    <x v="2"/>
    <x v="1"/>
    <x v="1"/>
    <x v="0"/>
    <x v="4"/>
    <x v="303"/>
    <x v="0"/>
    <x v="11"/>
    <x v="10"/>
  </r>
  <r>
    <x v="1426"/>
    <x v="336"/>
    <x v="177"/>
    <x v="23"/>
    <x v="49"/>
    <x v="4"/>
    <x v="1"/>
    <x v="12"/>
    <x v="24"/>
    <x v="1"/>
    <x v="53"/>
    <x v="62"/>
    <x v="259"/>
    <x v="59"/>
    <x v="494"/>
    <x v="246"/>
    <x v="3"/>
    <x v="19"/>
    <x v="0"/>
    <x v="0"/>
    <x v="3"/>
    <x v="1"/>
    <x v="0"/>
    <x v="3"/>
    <x v="0"/>
    <x v="0"/>
    <x v="11"/>
    <x v="10"/>
  </r>
  <r>
    <x v="1427"/>
    <x v="224"/>
    <x v="182"/>
    <x v="87"/>
    <x v="26"/>
    <x v="0"/>
    <x v="0"/>
    <x v="15"/>
    <x v="34"/>
    <x v="0"/>
    <x v="35"/>
    <x v="0"/>
    <x v="195"/>
    <x v="52"/>
    <x v="319"/>
    <x v="155"/>
    <x v="1"/>
    <x v="4"/>
    <x v="0"/>
    <x v="2"/>
    <x v="1"/>
    <x v="1"/>
    <x v="0"/>
    <x v="4"/>
    <x v="307"/>
    <x v="0"/>
    <x v="11"/>
    <x v="10"/>
  </r>
  <r>
    <x v="1428"/>
    <x v="178"/>
    <x v="123"/>
    <x v="81"/>
    <x v="31"/>
    <x v="2"/>
    <x v="0"/>
    <x v="2"/>
    <x v="4"/>
    <x v="2"/>
    <x v="2"/>
    <x v="11"/>
    <x v="14"/>
    <x v="4"/>
    <x v="25"/>
    <x v="305"/>
    <x v="1"/>
    <x v="4"/>
    <x v="1"/>
    <x v="0"/>
    <x v="1"/>
    <x v="1"/>
    <x v="0"/>
    <x v="3"/>
    <x v="26"/>
    <x v="0"/>
    <x v="11"/>
    <x v="10"/>
  </r>
  <r>
    <x v="1429"/>
    <x v="5"/>
    <x v="293"/>
    <x v="13"/>
    <x v="41"/>
    <x v="3"/>
    <x v="1"/>
    <x v="6"/>
    <x v="12"/>
    <x v="2"/>
    <x v="22"/>
    <x v="54"/>
    <x v="122"/>
    <x v="30"/>
    <x v="247"/>
    <x v="275"/>
    <x v="1"/>
    <x v="3"/>
    <x v="0"/>
    <x v="1"/>
    <x v="1"/>
    <x v="1"/>
    <x v="0"/>
    <x v="4"/>
    <x v="239"/>
    <x v="0"/>
    <x v="11"/>
    <x v="10"/>
  </r>
  <r>
    <x v="1430"/>
    <x v="111"/>
    <x v="109"/>
    <x v="61"/>
    <x v="76"/>
    <x v="6"/>
    <x v="0"/>
    <x v="2"/>
    <x v="3"/>
    <x v="2"/>
    <x v="2"/>
    <x v="11"/>
    <x v="14"/>
    <x v="3"/>
    <x v="29"/>
    <x v="330"/>
    <x v="2"/>
    <x v="7"/>
    <x v="1"/>
    <x v="0"/>
    <x v="2"/>
    <x v="1"/>
    <x v="0"/>
    <x v="2"/>
    <x v="30"/>
    <x v="0"/>
    <x v="11"/>
    <x v="10"/>
  </r>
  <r>
    <x v="1431"/>
    <x v="131"/>
    <x v="176"/>
    <x v="62"/>
    <x v="19"/>
    <x v="6"/>
    <x v="2"/>
    <x v="17"/>
    <x v="35"/>
    <x v="3"/>
    <x v="87"/>
    <x v="204"/>
    <x v="378"/>
    <x v="93"/>
    <x v="577"/>
    <x v="102"/>
    <x v="1"/>
    <x v="5"/>
    <x v="0"/>
    <x v="0"/>
    <x v="1"/>
    <x v="1"/>
    <x v="0"/>
    <x v="4"/>
    <x v="553"/>
    <x v="0"/>
    <x v="11"/>
    <x v="10"/>
  </r>
  <r>
    <x v="1432"/>
    <x v="326"/>
    <x v="138"/>
    <x v="22"/>
    <x v="79"/>
    <x v="4"/>
    <x v="1"/>
    <x v="4"/>
    <x v="7"/>
    <x v="3"/>
    <x v="15"/>
    <x v="64"/>
    <x v="79"/>
    <x v="19"/>
    <x v="181"/>
    <x v="304"/>
    <x v="1"/>
    <x v="6"/>
    <x v="1"/>
    <x v="1"/>
    <x v="1"/>
    <x v="1"/>
    <x v="0"/>
    <x v="4"/>
    <x v="175"/>
    <x v="0"/>
    <x v="11"/>
    <x v="10"/>
  </r>
  <r>
    <x v="1433"/>
    <x v="211"/>
    <x v="37"/>
    <x v="33"/>
    <x v="87"/>
    <x v="5"/>
    <x v="0"/>
    <x v="11"/>
    <x v="23"/>
    <x v="1"/>
    <x v="23"/>
    <x v="26"/>
    <x v="129"/>
    <x v="34"/>
    <x v="235"/>
    <x v="232"/>
    <x v="1"/>
    <x v="15"/>
    <x v="1"/>
    <x v="1"/>
    <x v="1"/>
    <x v="1"/>
    <x v="0"/>
    <x v="3"/>
    <x v="227"/>
    <x v="0"/>
    <x v="11"/>
    <x v="10"/>
  </r>
  <r>
    <x v="1434"/>
    <x v="165"/>
    <x v="75"/>
    <x v="45"/>
    <x v="30"/>
    <x v="1"/>
    <x v="0"/>
    <x v="7"/>
    <x v="15"/>
    <x v="0"/>
    <x v="11"/>
    <x v="0"/>
    <x v="68"/>
    <x v="18"/>
    <x v="136"/>
    <x v="279"/>
    <x v="1"/>
    <x v="3"/>
    <x v="1"/>
    <x v="2"/>
    <x v="1"/>
    <x v="1"/>
    <x v="0"/>
    <x v="0"/>
    <x v="130"/>
    <x v="0"/>
    <x v="11"/>
    <x v="10"/>
  </r>
  <r>
    <x v="1435"/>
    <x v="201"/>
    <x v="168"/>
    <x v="38"/>
    <x v="92"/>
    <x v="5"/>
    <x v="2"/>
    <x v="9"/>
    <x v="18"/>
    <x v="2"/>
    <x v="55"/>
    <x v="117"/>
    <x v="257"/>
    <x v="59"/>
    <x v="492"/>
    <x v="243"/>
    <x v="1"/>
    <x v="7"/>
    <x v="0"/>
    <x v="1"/>
    <x v="1"/>
    <x v="1"/>
    <x v="0"/>
    <x v="0"/>
    <x v="472"/>
    <x v="0"/>
    <x v="11"/>
    <x v="10"/>
  </r>
  <r>
    <x v="1436"/>
    <x v="292"/>
    <x v="238"/>
    <x v="28"/>
    <x v="73"/>
    <x v="4"/>
    <x v="2"/>
    <x v="3"/>
    <x v="5"/>
    <x v="3"/>
    <x v="21"/>
    <x v="79"/>
    <x v="112"/>
    <x v="24"/>
    <x v="262"/>
    <x v="312"/>
    <x v="2"/>
    <x v="6"/>
    <x v="1"/>
    <x v="2"/>
    <x v="2"/>
    <x v="1"/>
    <x v="0"/>
    <x v="2"/>
    <x v="253"/>
    <x v="0"/>
    <x v="11"/>
    <x v="10"/>
  </r>
  <r>
    <x v="1437"/>
    <x v="109"/>
    <x v="144"/>
    <x v="33"/>
    <x v="87"/>
    <x v="5"/>
    <x v="0"/>
    <x v="11"/>
    <x v="23"/>
    <x v="0"/>
    <x v="23"/>
    <x v="0"/>
    <x v="136"/>
    <x v="34"/>
    <x v="274"/>
    <x v="257"/>
    <x v="0"/>
    <x v="17"/>
    <x v="1"/>
    <x v="2"/>
    <x v="0"/>
    <x v="1"/>
    <x v="0"/>
    <x v="1"/>
    <x v="0"/>
    <x v="0"/>
    <x v="11"/>
    <x v="10"/>
  </r>
  <r>
    <x v="1438"/>
    <x v="138"/>
    <x v="211"/>
    <x v="52"/>
    <x v="54"/>
    <x v="1"/>
    <x v="0"/>
    <x v="8"/>
    <x v="16"/>
    <x v="5"/>
    <x v="14"/>
    <x v="89"/>
    <x v="62"/>
    <x v="20"/>
    <x v="77"/>
    <x v="169"/>
    <x v="1"/>
    <x v="9"/>
    <x v="1"/>
    <x v="0"/>
    <x v="1"/>
    <x v="1"/>
    <x v="0"/>
    <x v="4"/>
    <x v="76"/>
    <x v="0"/>
    <x v="11"/>
    <x v="10"/>
  </r>
  <r>
    <x v="1439"/>
    <x v="205"/>
    <x v="232"/>
    <x v="51"/>
    <x v="52"/>
    <x v="1"/>
    <x v="0"/>
    <x v="2"/>
    <x v="4"/>
    <x v="0"/>
    <x v="2"/>
    <x v="0"/>
    <x v="18"/>
    <x v="4"/>
    <x v="39"/>
    <x v="329"/>
    <x v="1"/>
    <x v="2"/>
    <x v="0"/>
    <x v="1"/>
    <x v="1"/>
    <x v="1"/>
    <x v="0"/>
    <x v="3"/>
    <x v="40"/>
    <x v="0"/>
    <x v="11"/>
    <x v="10"/>
  </r>
  <r>
    <x v="1440"/>
    <x v="67"/>
    <x v="37"/>
    <x v="78"/>
    <x v="1"/>
    <x v="2"/>
    <x v="2"/>
    <x v="9"/>
    <x v="20"/>
    <x v="0"/>
    <x v="55"/>
    <x v="0"/>
    <x v="277"/>
    <x v="65"/>
    <x v="507"/>
    <x v="224"/>
    <x v="4"/>
    <x v="15"/>
    <x v="1"/>
    <x v="0"/>
    <x v="2"/>
    <x v="1"/>
    <x v="0"/>
    <x v="0"/>
    <x v="485"/>
    <x v="0"/>
    <x v="11"/>
    <x v="10"/>
  </r>
  <r>
    <x v="1441"/>
    <x v="201"/>
    <x v="42"/>
    <x v="9"/>
    <x v="95"/>
    <x v="3"/>
    <x v="0"/>
    <x v="19"/>
    <x v="39"/>
    <x v="0"/>
    <x v="50"/>
    <x v="0"/>
    <x v="252"/>
    <x v="65"/>
    <x v="419"/>
    <x v="149"/>
    <x v="1"/>
    <x v="1"/>
    <x v="0"/>
    <x v="0"/>
    <x v="1"/>
    <x v="1"/>
    <x v="0"/>
    <x v="4"/>
    <x v="404"/>
    <x v="0"/>
    <x v="11"/>
    <x v="10"/>
  </r>
  <r>
    <x v="1442"/>
    <x v="178"/>
    <x v="226"/>
    <x v="35"/>
    <x v="24"/>
    <x v="5"/>
    <x v="0"/>
    <x v="17"/>
    <x v="35"/>
    <x v="2"/>
    <x v="42"/>
    <x v="91"/>
    <x v="202"/>
    <x v="55"/>
    <x v="320"/>
    <x v="135"/>
    <x v="1"/>
    <x v="0"/>
    <x v="1"/>
    <x v="2"/>
    <x v="1"/>
    <x v="1"/>
    <x v="0"/>
    <x v="3"/>
    <x v="308"/>
    <x v="0"/>
    <x v="11"/>
    <x v="10"/>
  </r>
  <r>
    <x v="1443"/>
    <x v="103"/>
    <x v="111"/>
    <x v="56"/>
    <x v="17"/>
    <x v="1"/>
    <x v="0"/>
    <x v="1"/>
    <x v="1"/>
    <x v="2"/>
    <x v="1"/>
    <x v="7"/>
    <x v="8"/>
    <x v="1"/>
    <x v="12"/>
    <x v="327"/>
    <x v="1"/>
    <x v="11"/>
    <x v="0"/>
    <x v="1"/>
    <x v="1"/>
    <x v="1"/>
    <x v="0"/>
    <x v="4"/>
    <x v="13"/>
    <x v="0"/>
    <x v="11"/>
    <x v="10"/>
  </r>
  <r>
    <x v="1444"/>
    <x v="294"/>
    <x v="164"/>
    <x v="45"/>
    <x v="30"/>
    <x v="1"/>
    <x v="1"/>
    <x v="7"/>
    <x v="15"/>
    <x v="1"/>
    <x v="26"/>
    <x v="29"/>
    <x v="142"/>
    <x v="35"/>
    <x v="294"/>
    <x v="260"/>
    <x v="1"/>
    <x v="17"/>
    <x v="1"/>
    <x v="1"/>
    <x v="1"/>
    <x v="1"/>
    <x v="0"/>
    <x v="0"/>
    <x v="284"/>
    <x v="0"/>
    <x v="11"/>
    <x v="10"/>
  </r>
  <r>
    <x v="1445"/>
    <x v="291"/>
    <x v="63"/>
    <x v="39"/>
    <x v="20"/>
    <x v="5"/>
    <x v="3"/>
    <x v="13"/>
    <x v="29"/>
    <x v="1"/>
    <x v="85"/>
    <x v="119"/>
    <x v="387"/>
    <x v="91"/>
    <x v="640"/>
    <x v="204"/>
    <x v="1"/>
    <x v="8"/>
    <x v="1"/>
    <x v="2"/>
    <x v="1"/>
    <x v="1"/>
    <x v="0"/>
    <x v="0"/>
    <x v="609"/>
    <x v="0"/>
    <x v="11"/>
    <x v="10"/>
  </r>
  <r>
    <x v="1446"/>
    <x v="81"/>
    <x v="261"/>
    <x v="66"/>
    <x v="13"/>
    <x v="6"/>
    <x v="0"/>
    <x v="8"/>
    <x v="16"/>
    <x v="3"/>
    <x v="14"/>
    <x v="55"/>
    <x v="70"/>
    <x v="20"/>
    <x v="123"/>
    <x v="234"/>
    <x v="1"/>
    <x v="8"/>
    <x v="2"/>
    <x v="1"/>
    <x v="1"/>
    <x v="1"/>
    <x v="0"/>
    <x v="3"/>
    <x v="119"/>
    <x v="0"/>
    <x v="11"/>
    <x v="10"/>
  </r>
  <r>
    <x v="1447"/>
    <x v="334"/>
    <x v="223"/>
    <x v="56"/>
    <x v="17"/>
    <x v="1"/>
    <x v="2"/>
    <x v="1"/>
    <x v="1"/>
    <x v="1"/>
    <x v="12"/>
    <x v="14"/>
    <x v="76"/>
    <x v="16"/>
    <x v="195"/>
    <x v="335"/>
    <x v="1"/>
    <x v="12"/>
    <x v="1"/>
    <x v="1"/>
    <x v="1"/>
    <x v="1"/>
    <x v="0"/>
    <x v="4"/>
    <x v="189"/>
    <x v="0"/>
    <x v="11"/>
    <x v="10"/>
  </r>
  <r>
    <x v="1448"/>
    <x v="127"/>
    <x v="15"/>
    <x v="72"/>
    <x v="43"/>
    <x v="6"/>
    <x v="0"/>
    <x v="20"/>
    <x v="40"/>
    <x v="0"/>
    <x v="54"/>
    <x v="0"/>
    <x v="269"/>
    <x v="67"/>
    <x v="473"/>
    <x v="180"/>
    <x v="0"/>
    <x v="3"/>
    <x v="0"/>
    <x v="1"/>
    <x v="0"/>
    <x v="1"/>
    <x v="0"/>
    <x v="1"/>
    <x v="0"/>
    <x v="0"/>
    <x v="11"/>
    <x v="10"/>
  </r>
  <r>
    <x v="1449"/>
    <x v="216"/>
    <x v="65"/>
    <x v="68"/>
    <x v="80"/>
    <x v="6"/>
    <x v="1"/>
    <x v="12"/>
    <x v="27"/>
    <x v="1"/>
    <x v="53"/>
    <x v="62"/>
    <x v="259"/>
    <x v="63"/>
    <x v="470"/>
    <x v="203"/>
    <x v="1"/>
    <x v="12"/>
    <x v="0"/>
    <x v="1"/>
    <x v="1"/>
    <x v="1"/>
    <x v="0"/>
    <x v="3"/>
    <x v="451"/>
    <x v="0"/>
    <x v="11"/>
    <x v="10"/>
  </r>
  <r>
    <x v="1450"/>
    <x v="149"/>
    <x v="247"/>
    <x v="82"/>
    <x v="67"/>
    <x v="2"/>
    <x v="3"/>
    <x v="5"/>
    <x v="12"/>
    <x v="1"/>
    <x v="43"/>
    <x v="49"/>
    <x v="219"/>
    <x v="51"/>
    <x v="436"/>
    <x v="244"/>
    <x v="2"/>
    <x v="13"/>
    <x v="1"/>
    <x v="1"/>
    <x v="2"/>
    <x v="1"/>
    <x v="0"/>
    <x v="2"/>
    <x v="421"/>
    <x v="0"/>
    <x v="11"/>
    <x v="10"/>
  </r>
  <r>
    <x v="1451"/>
    <x v="183"/>
    <x v="44"/>
    <x v="22"/>
    <x v="79"/>
    <x v="4"/>
    <x v="0"/>
    <x v="4"/>
    <x v="7"/>
    <x v="1"/>
    <x v="5"/>
    <x v="6"/>
    <x v="34"/>
    <x v="7"/>
    <x v="88"/>
    <x v="328"/>
    <x v="1"/>
    <x v="4"/>
    <x v="1"/>
    <x v="0"/>
    <x v="1"/>
    <x v="1"/>
    <x v="0"/>
    <x v="4"/>
    <x v="87"/>
    <x v="0"/>
    <x v="11"/>
    <x v="10"/>
  </r>
  <r>
    <x v="1452"/>
    <x v="19"/>
    <x v="10"/>
    <x v="1"/>
    <x v="9"/>
    <x v="3"/>
    <x v="1"/>
    <x v="17"/>
    <x v="36"/>
    <x v="5"/>
    <x v="70"/>
    <x v="210"/>
    <x v="288"/>
    <x v="81"/>
    <x v="318"/>
    <x v="23"/>
    <x v="3"/>
    <x v="7"/>
    <x v="0"/>
    <x v="1"/>
    <x v="3"/>
    <x v="1"/>
    <x v="0"/>
    <x v="3"/>
    <x v="0"/>
    <x v="0"/>
    <x v="11"/>
    <x v="10"/>
  </r>
  <r>
    <x v="1453"/>
    <x v="139"/>
    <x v="278"/>
    <x v="7"/>
    <x v="62"/>
    <x v="3"/>
    <x v="0"/>
    <x v="5"/>
    <x v="9"/>
    <x v="0"/>
    <x v="7"/>
    <x v="0"/>
    <x v="50"/>
    <x v="11"/>
    <x v="114"/>
    <x v="321"/>
    <x v="1"/>
    <x v="6"/>
    <x v="2"/>
    <x v="2"/>
    <x v="1"/>
    <x v="1"/>
    <x v="0"/>
    <x v="3"/>
    <x v="110"/>
    <x v="0"/>
    <x v="11"/>
    <x v="10"/>
  </r>
  <r>
    <x v="1454"/>
    <x v="209"/>
    <x v="39"/>
    <x v="6"/>
    <x v="46"/>
    <x v="3"/>
    <x v="1"/>
    <x v="12"/>
    <x v="25"/>
    <x v="0"/>
    <x v="53"/>
    <x v="0"/>
    <x v="268"/>
    <x v="61"/>
    <x v="505"/>
    <x v="241"/>
    <x v="1"/>
    <x v="19"/>
    <x v="1"/>
    <x v="2"/>
    <x v="1"/>
    <x v="1"/>
    <x v="0"/>
    <x v="4"/>
    <x v="483"/>
    <x v="0"/>
    <x v="11"/>
    <x v="10"/>
  </r>
  <r>
    <x v="1455"/>
    <x v="295"/>
    <x v="42"/>
    <x v="99"/>
    <x v="16"/>
    <x v="0"/>
    <x v="1"/>
    <x v="22"/>
    <x v="46"/>
    <x v="0"/>
    <x v="91"/>
    <x v="0"/>
    <x v="404"/>
    <x v="105"/>
    <x v="629"/>
    <x v="93"/>
    <x v="1"/>
    <x v="1"/>
    <x v="0"/>
    <x v="1"/>
    <x v="1"/>
    <x v="1"/>
    <x v="0"/>
    <x v="0"/>
    <x v="600"/>
    <x v="0"/>
    <x v="11"/>
    <x v="10"/>
  </r>
  <r>
    <x v="1456"/>
    <x v="310"/>
    <x v="154"/>
    <x v="90"/>
    <x v="69"/>
    <x v="0"/>
    <x v="0"/>
    <x v="20"/>
    <x v="41"/>
    <x v="2"/>
    <x v="54"/>
    <x v="113"/>
    <x v="253"/>
    <x v="68"/>
    <x v="351"/>
    <x v="77"/>
    <x v="1"/>
    <x v="18"/>
    <x v="2"/>
    <x v="1"/>
    <x v="1"/>
    <x v="1"/>
    <x v="0"/>
    <x v="0"/>
    <x v="338"/>
    <x v="0"/>
    <x v="11"/>
    <x v="10"/>
  </r>
  <r>
    <x v="1457"/>
    <x v="183"/>
    <x v="143"/>
    <x v="96"/>
    <x v="91"/>
    <x v="0"/>
    <x v="0"/>
    <x v="23"/>
    <x v="47"/>
    <x v="5"/>
    <x v="75"/>
    <x v="220"/>
    <x v="312"/>
    <x v="93"/>
    <x v="96"/>
    <x v="0"/>
    <x v="1"/>
    <x v="12"/>
    <x v="0"/>
    <x v="1"/>
    <x v="1"/>
    <x v="1"/>
    <x v="0"/>
    <x v="3"/>
    <x v="94"/>
    <x v="0"/>
    <x v="11"/>
    <x v="10"/>
  </r>
  <r>
    <x v="1458"/>
    <x v="307"/>
    <x v="259"/>
    <x v="64"/>
    <x v="3"/>
    <x v="6"/>
    <x v="1"/>
    <x v="12"/>
    <x v="28"/>
    <x v="2"/>
    <x v="53"/>
    <x v="112"/>
    <x v="251"/>
    <x v="64"/>
    <x v="423"/>
    <x v="154"/>
    <x v="4"/>
    <x v="14"/>
    <x v="1"/>
    <x v="2"/>
    <x v="2"/>
    <x v="1"/>
    <x v="0"/>
    <x v="4"/>
    <x v="408"/>
    <x v="0"/>
    <x v="11"/>
    <x v="10"/>
  </r>
  <r>
    <x v="1459"/>
    <x v="60"/>
    <x v="155"/>
    <x v="79"/>
    <x v="12"/>
    <x v="2"/>
    <x v="3"/>
    <x v="8"/>
    <x v="18"/>
    <x v="4"/>
    <x v="59"/>
    <x v="179"/>
    <x v="261"/>
    <x v="68"/>
    <x v="403"/>
    <x v="103"/>
    <x v="1"/>
    <x v="15"/>
    <x v="1"/>
    <x v="0"/>
    <x v="1"/>
    <x v="1"/>
    <x v="0"/>
    <x v="0"/>
    <x v="388"/>
    <x v="0"/>
    <x v="11"/>
    <x v="10"/>
  </r>
  <r>
    <x v="1460"/>
    <x v="51"/>
    <x v="69"/>
    <x v="90"/>
    <x v="69"/>
    <x v="0"/>
    <x v="0"/>
    <x v="20"/>
    <x v="41"/>
    <x v="5"/>
    <x v="54"/>
    <x v="185"/>
    <x v="218"/>
    <x v="68"/>
    <x v="151"/>
    <x v="10"/>
    <x v="1"/>
    <x v="13"/>
    <x v="1"/>
    <x v="1"/>
    <x v="1"/>
    <x v="1"/>
    <x v="0"/>
    <x v="0"/>
    <x v="145"/>
    <x v="0"/>
    <x v="11"/>
    <x v="10"/>
  </r>
  <r>
    <x v="1461"/>
    <x v="151"/>
    <x v="97"/>
    <x v="12"/>
    <x v="56"/>
    <x v="3"/>
    <x v="0"/>
    <x v="9"/>
    <x v="22"/>
    <x v="4"/>
    <x v="16"/>
    <x v="83"/>
    <x v="75"/>
    <x v="33"/>
    <x v="42"/>
    <x v="44"/>
    <x v="1"/>
    <x v="5"/>
    <x v="2"/>
    <x v="1"/>
    <x v="1"/>
    <x v="1"/>
    <x v="0"/>
    <x v="4"/>
    <x v="43"/>
    <x v="0"/>
    <x v="11"/>
    <x v="10"/>
  </r>
  <r>
    <x v="1462"/>
    <x v="138"/>
    <x v="277"/>
    <x v="67"/>
    <x v="21"/>
    <x v="6"/>
    <x v="0"/>
    <x v="4"/>
    <x v="7"/>
    <x v="0"/>
    <x v="5"/>
    <x v="0"/>
    <x v="38"/>
    <x v="7"/>
    <x v="97"/>
    <x v="334"/>
    <x v="1"/>
    <x v="19"/>
    <x v="0"/>
    <x v="1"/>
    <x v="1"/>
    <x v="1"/>
    <x v="0"/>
    <x v="4"/>
    <x v="95"/>
    <x v="0"/>
    <x v="11"/>
    <x v="10"/>
  </r>
  <r>
    <x v="1463"/>
    <x v="205"/>
    <x v="50"/>
    <x v="6"/>
    <x v="46"/>
    <x v="3"/>
    <x v="0"/>
    <x v="12"/>
    <x v="25"/>
    <x v="3"/>
    <x v="27"/>
    <x v="90"/>
    <x v="126"/>
    <x v="37"/>
    <x v="194"/>
    <x v="163"/>
    <x v="1"/>
    <x v="7"/>
    <x v="2"/>
    <x v="1"/>
    <x v="1"/>
    <x v="1"/>
    <x v="0"/>
    <x v="4"/>
    <x v="188"/>
    <x v="0"/>
    <x v="11"/>
    <x v="10"/>
  </r>
  <r>
    <x v="1464"/>
    <x v="74"/>
    <x v="6"/>
    <x v="70"/>
    <x v="27"/>
    <x v="6"/>
    <x v="0"/>
    <x v="9"/>
    <x v="19"/>
    <x v="3"/>
    <x v="16"/>
    <x v="65"/>
    <x v="80"/>
    <x v="25"/>
    <x v="133"/>
    <x v="188"/>
    <x v="0"/>
    <x v="17"/>
    <x v="1"/>
    <x v="1"/>
    <x v="0"/>
    <x v="1"/>
    <x v="0"/>
    <x v="1"/>
    <x v="0"/>
    <x v="0"/>
    <x v="11"/>
    <x v="10"/>
  </r>
  <r>
    <x v="1465"/>
    <x v="41"/>
    <x v="139"/>
    <x v="26"/>
    <x v="8"/>
    <x v="4"/>
    <x v="1"/>
    <x v="5"/>
    <x v="10"/>
    <x v="3"/>
    <x v="19"/>
    <x v="71"/>
    <x v="96"/>
    <x v="25"/>
    <x v="186"/>
    <x v="249"/>
    <x v="1"/>
    <x v="14"/>
    <x v="2"/>
    <x v="1"/>
    <x v="1"/>
    <x v="1"/>
    <x v="0"/>
    <x v="0"/>
    <x v="180"/>
    <x v="0"/>
    <x v="11"/>
    <x v="10"/>
  </r>
  <r>
    <x v="1466"/>
    <x v="33"/>
    <x v="95"/>
    <x v="28"/>
    <x v="73"/>
    <x v="4"/>
    <x v="0"/>
    <x v="3"/>
    <x v="5"/>
    <x v="2"/>
    <x v="4"/>
    <x v="15"/>
    <x v="23"/>
    <x v="5"/>
    <x v="48"/>
    <x v="324"/>
    <x v="3"/>
    <x v="18"/>
    <x v="1"/>
    <x v="2"/>
    <x v="3"/>
    <x v="1"/>
    <x v="0"/>
    <x v="0"/>
    <x v="0"/>
    <x v="0"/>
    <x v="11"/>
    <x v="10"/>
  </r>
  <r>
    <x v="1467"/>
    <x v="91"/>
    <x v="88"/>
    <x v="33"/>
    <x v="87"/>
    <x v="5"/>
    <x v="0"/>
    <x v="11"/>
    <x v="23"/>
    <x v="2"/>
    <x v="23"/>
    <x v="56"/>
    <x v="123"/>
    <x v="34"/>
    <x v="207"/>
    <x v="211"/>
    <x v="3"/>
    <x v="13"/>
    <x v="0"/>
    <x v="2"/>
    <x v="3"/>
    <x v="1"/>
    <x v="0"/>
    <x v="0"/>
    <x v="0"/>
    <x v="0"/>
    <x v="11"/>
    <x v="10"/>
  </r>
  <r>
    <x v="1468"/>
    <x v="217"/>
    <x v="52"/>
    <x v="33"/>
    <x v="87"/>
    <x v="5"/>
    <x v="1"/>
    <x v="11"/>
    <x v="23"/>
    <x v="5"/>
    <x v="49"/>
    <x v="174"/>
    <x v="201"/>
    <x v="56"/>
    <x v="295"/>
    <x v="111"/>
    <x v="1"/>
    <x v="11"/>
    <x v="1"/>
    <x v="2"/>
    <x v="1"/>
    <x v="1"/>
    <x v="0"/>
    <x v="0"/>
    <x v="285"/>
    <x v="0"/>
    <x v="11"/>
    <x v="10"/>
  </r>
  <r>
    <x v="1469"/>
    <x v="119"/>
    <x v="139"/>
    <x v="53"/>
    <x v="29"/>
    <x v="1"/>
    <x v="3"/>
    <x v="3"/>
    <x v="6"/>
    <x v="4"/>
    <x v="30"/>
    <x v="126"/>
    <x v="144"/>
    <x v="35"/>
    <x v="297"/>
    <x v="263"/>
    <x v="3"/>
    <x v="14"/>
    <x v="2"/>
    <x v="2"/>
    <x v="3"/>
    <x v="1"/>
    <x v="0"/>
    <x v="4"/>
    <x v="0"/>
    <x v="0"/>
    <x v="11"/>
    <x v="10"/>
  </r>
  <r>
    <x v="1470"/>
    <x v="81"/>
    <x v="258"/>
    <x v="11"/>
    <x v="15"/>
    <x v="3"/>
    <x v="0"/>
    <x v="8"/>
    <x v="17"/>
    <x v="3"/>
    <x v="14"/>
    <x v="55"/>
    <x v="70"/>
    <x v="21"/>
    <x v="116"/>
    <x v="215"/>
    <x v="4"/>
    <x v="6"/>
    <x v="1"/>
    <x v="1"/>
    <x v="2"/>
    <x v="1"/>
    <x v="0"/>
    <x v="0"/>
    <x v="112"/>
    <x v="0"/>
    <x v="11"/>
    <x v="10"/>
  </r>
  <r>
    <x v="1471"/>
    <x v="296"/>
    <x v="90"/>
    <x v="46"/>
    <x v="85"/>
    <x v="1"/>
    <x v="2"/>
    <x v="5"/>
    <x v="11"/>
    <x v="3"/>
    <x v="31"/>
    <x v="100"/>
    <x v="152"/>
    <x v="40"/>
    <x v="292"/>
    <x v="220"/>
    <x v="1"/>
    <x v="16"/>
    <x v="0"/>
    <x v="1"/>
    <x v="1"/>
    <x v="1"/>
    <x v="0"/>
    <x v="4"/>
    <x v="282"/>
    <x v="0"/>
    <x v="11"/>
    <x v="10"/>
  </r>
  <r>
    <x v="1472"/>
    <x v="114"/>
    <x v="88"/>
    <x v="69"/>
    <x v="48"/>
    <x v="6"/>
    <x v="1"/>
    <x v="6"/>
    <x v="12"/>
    <x v="3"/>
    <x v="22"/>
    <x v="80"/>
    <x v="113"/>
    <x v="30"/>
    <x v="219"/>
    <x v="250"/>
    <x v="1"/>
    <x v="13"/>
    <x v="0"/>
    <x v="2"/>
    <x v="1"/>
    <x v="1"/>
    <x v="0"/>
    <x v="0"/>
    <x v="211"/>
    <x v="0"/>
    <x v="11"/>
    <x v="10"/>
  </r>
  <r>
    <x v="1473"/>
    <x v="90"/>
    <x v="161"/>
    <x v="9"/>
    <x v="95"/>
    <x v="3"/>
    <x v="2"/>
    <x v="19"/>
    <x v="39"/>
    <x v="0"/>
    <x v="93"/>
    <x v="0"/>
    <x v="410"/>
    <x v="104"/>
    <x v="657"/>
    <x v="149"/>
    <x v="1"/>
    <x v="8"/>
    <x v="1"/>
    <x v="0"/>
    <x v="1"/>
    <x v="2"/>
    <x v="0"/>
    <x v="0"/>
    <x v="623"/>
    <x v="0"/>
    <x v="11"/>
    <x v="10"/>
  </r>
  <r>
    <x v="1474"/>
    <x v="113"/>
    <x v="173"/>
    <x v="28"/>
    <x v="73"/>
    <x v="4"/>
    <x v="2"/>
    <x v="3"/>
    <x v="5"/>
    <x v="0"/>
    <x v="21"/>
    <x v="0"/>
    <x v="133"/>
    <x v="24"/>
    <x v="341"/>
    <x v="338"/>
    <x v="1"/>
    <x v="3"/>
    <x v="0"/>
    <x v="1"/>
    <x v="1"/>
    <x v="1"/>
    <x v="0"/>
    <x v="4"/>
    <x v="328"/>
    <x v="0"/>
    <x v="11"/>
    <x v="10"/>
  </r>
  <r>
    <x v="1475"/>
    <x v="169"/>
    <x v="8"/>
    <x v="50"/>
    <x v="10"/>
    <x v="1"/>
    <x v="0"/>
    <x v="5"/>
    <x v="11"/>
    <x v="1"/>
    <x v="7"/>
    <x v="8"/>
    <x v="45"/>
    <x v="13"/>
    <x v="84"/>
    <x v="272"/>
    <x v="4"/>
    <x v="0"/>
    <x v="0"/>
    <x v="1"/>
    <x v="2"/>
    <x v="1"/>
    <x v="0"/>
    <x v="0"/>
    <x v="83"/>
    <x v="0"/>
    <x v="11"/>
    <x v="10"/>
  </r>
  <r>
    <x v="1476"/>
    <x v="337"/>
    <x v="187"/>
    <x v="3"/>
    <x v="90"/>
    <x v="3"/>
    <x v="0"/>
    <x v="3"/>
    <x v="7"/>
    <x v="1"/>
    <x v="4"/>
    <x v="5"/>
    <x v="25"/>
    <x v="7"/>
    <x v="44"/>
    <x v="292"/>
    <x v="1"/>
    <x v="13"/>
    <x v="1"/>
    <x v="2"/>
    <x v="1"/>
    <x v="1"/>
    <x v="0"/>
    <x v="0"/>
    <x v="45"/>
    <x v="0"/>
    <x v="11"/>
    <x v="10"/>
  </r>
  <r>
    <x v="1477"/>
    <x v="171"/>
    <x v="242"/>
    <x v="69"/>
    <x v="48"/>
    <x v="6"/>
    <x v="1"/>
    <x v="6"/>
    <x v="12"/>
    <x v="4"/>
    <x v="22"/>
    <x v="101"/>
    <x v="103"/>
    <x v="30"/>
    <x v="187"/>
    <x v="221"/>
    <x v="1"/>
    <x v="4"/>
    <x v="0"/>
    <x v="2"/>
    <x v="1"/>
    <x v="1"/>
    <x v="0"/>
    <x v="4"/>
    <x v="181"/>
    <x v="0"/>
    <x v="11"/>
    <x v="10"/>
  </r>
  <r>
    <x v="1478"/>
    <x v="189"/>
    <x v="60"/>
    <x v="5"/>
    <x v="98"/>
    <x v="3"/>
    <x v="0"/>
    <x v="9"/>
    <x v="18"/>
    <x v="4"/>
    <x v="16"/>
    <x v="83"/>
    <x v="75"/>
    <x v="24"/>
    <x v="124"/>
    <x v="190"/>
    <x v="0"/>
    <x v="6"/>
    <x v="0"/>
    <x v="0"/>
    <x v="0"/>
    <x v="1"/>
    <x v="0"/>
    <x v="1"/>
    <x v="0"/>
    <x v="0"/>
    <x v="11"/>
    <x v="10"/>
  </r>
  <r>
    <x v="1479"/>
    <x v="247"/>
    <x v="106"/>
    <x v="3"/>
    <x v="90"/>
    <x v="3"/>
    <x v="0"/>
    <x v="3"/>
    <x v="7"/>
    <x v="2"/>
    <x v="4"/>
    <x v="15"/>
    <x v="23"/>
    <x v="7"/>
    <x v="32"/>
    <x v="273"/>
    <x v="1"/>
    <x v="10"/>
    <x v="1"/>
    <x v="0"/>
    <x v="1"/>
    <x v="1"/>
    <x v="0"/>
    <x v="0"/>
    <x v="33"/>
    <x v="0"/>
    <x v="11"/>
    <x v="10"/>
  </r>
  <r>
    <x v="1480"/>
    <x v="139"/>
    <x v="152"/>
    <x v="55"/>
    <x v="37"/>
    <x v="1"/>
    <x v="0"/>
    <x v="15"/>
    <x v="34"/>
    <x v="0"/>
    <x v="35"/>
    <x v="0"/>
    <x v="195"/>
    <x v="52"/>
    <x v="319"/>
    <x v="155"/>
    <x v="0"/>
    <x v="2"/>
    <x v="1"/>
    <x v="0"/>
    <x v="0"/>
    <x v="1"/>
    <x v="0"/>
    <x v="1"/>
    <x v="0"/>
    <x v="0"/>
    <x v="11"/>
    <x v="10"/>
  </r>
  <r>
    <x v="1481"/>
    <x v="316"/>
    <x v="88"/>
    <x v="0"/>
    <x v="97"/>
    <x v="3"/>
    <x v="0"/>
    <x v="11"/>
    <x v="26"/>
    <x v="1"/>
    <x v="23"/>
    <x v="26"/>
    <x v="129"/>
    <x v="38"/>
    <x v="183"/>
    <x v="145"/>
    <x v="1"/>
    <x v="13"/>
    <x v="0"/>
    <x v="0"/>
    <x v="1"/>
    <x v="1"/>
    <x v="0"/>
    <x v="0"/>
    <x v="177"/>
    <x v="0"/>
    <x v="11"/>
    <x v="10"/>
  </r>
  <r>
    <x v="1482"/>
    <x v="20"/>
    <x v="168"/>
    <x v="50"/>
    <x v="10"/>
    <x v="1"/>
    <x v="1"/>
    <x v="5"/>
    <x v="11"/>
    <x v="1"/>
    <x v="19"/>
    <x v="21"/>
    <x v="110"/>
    <x v="28"/>
    <x v="224"/>
    <x v="272"/>
    <x v="1"/>
    <x v="7"/>
    <x v="0"/>
    <x v="1"/>
    <x v="1"/>
    <x v="1"/>
    <x v="0"/>
    <x v="4"/>
    <x v="216"/>
    <x v="0"/>
    <x v="11"/>
    <x v="10"/>
  </r>
  <r>
    <x v="1483"/>
    <x v="258"/>
    <x v="61"/>
    <x v="58"/>
    <x v="5"/>
    <x v="1"/>
    <x v="0"/>
    <x v="9"/>
    <x v="20"/>
    <x v="2"/>
    <x v="16"/>
    <x v="42"/>
    <x v="87"/>
    <x v="29"/>
    <x v="137"/>
    <x v="170"/>
    <x v="1"/>
    <x v="14"/>
    <x v="2"/>
    <x v="1"/>
    <x v="1"/>
    <x v="1"/>
    <x v="0"/>
    <x v="4"/>
    <x v="131"/>
    <x v="0"/>
    <x v="11"/>
    <x v="10"/>
  </r>
  <r>
    <x v="1484"/>
    <x v="327"/>
    <x v="93"/>
    <x v="99"/>
    <x v="16"/>
    <x v="0"/>
    <x v="0"/>
    <x v="22"/>
    <x v="46"/>
    <x v="5"/>
    <x v="63"/>
    <x v="201"/>
    <x v="256"/>
    <x v="78"/>
    <x v="134"/>
    <x v="4"/>
    <x v="1"/>
    <x v="2"/>
    <x v="1"/>
    <x v="2"/>
    <x v="1"/>
    <x v="1"/>
    <x v="0"/>
    <x v="3"/>
    <x v="128"/>
    <x v="0"/>
    <x v="11"/>
    <x v="10"/>
  </r>
  <r>
    <x v="1485"/>
    <x v="253"/>
    <x v="268"/>
    <x v="4"/>
    <x v="66"/>
    <x v="3"/>
    <x v="0"/>
    <x v="14"/>
    <x v="31"/>
    <x v="2"/>
    <x v="33"/>
    <x v="74"/>
    <x v="162"/>
    <x v="47"/>
    <x v="233"/>
    <x v="125"/>
    <x v="1"/>
    <x v="7"/>
    <x v="0"/>
    <x v="2"/>
    <x v="1"/>
    <x v="1"/>
    <x v="0"/>
    <x v="0"/>
    <x v="225"/>
    <x v="0"/>
    <x v="11"/>
    <x v="10"/>
  </r>
  <r>
    <x v="1486"/>
    <x v="313"/>
    <x v="282"/>
    <x v="58"/>
    <x v="5"/>
    <x v="1"/>
    <x v="3"/>
    <x v="9"/>
    <x v="20"/>
    <x v="4"/>
    <x v="66"/>
    <x v="193"/>
    <x v="285"/>
    <x v="72"/>
    <x v="449"/>
    <x v="104"/>
    <x v="1"/>
    <x v="4"/>
    <x v="0"/>
    <x v="0"/>
    <x v="1"/>
    <x v="1"/>
    <x v="0"/>
    <x v="0"/>
    <x v="434"/>
    <x v="0"/>
    <x v="11"/>
    <x v="10"/>
  </r>
  <r>
    <x v="1487"/>
    <x v="216"/>
    <x v="38"/>
    <x v="60"/>
    <x v="68"/>
    <x v="6"/>
    <x v="0"/>
    <x v="5"/>
    <x v="9"/>
    <x v="3"/>
    <x v="7"/>
    <x v="34"/>
    <x v="37"/>
    <x v="11"/>
    <x v="68"/>
    <x v="277"/>
    <x v="3"/>
    <x v="5"/>
    <x v="1"/>
    <x v="1"/>
    <x v="3"/>
    <x v="1"/>
    <x v="0"/>
    <x v="0"/>
    <x v="0"/>
    <x v="0"/>
    <x v="11"/>
    <x v="10"/>
  </r>
  <r>
    <x v="1488"/>
    <x v="42"/>
    <x v="265"/>
    <x v="81"/>
    <x v="31"/>
    <x v="2"/>
    <x v="0"/>
    <x v="2"/>
    <x v="4"/>
    <x v="3"/>
    <x v="2"/>
    <x v="19"/>
    <x v="13"/>
    <x v="4"/>
    <x v="16"/>
    <x v="290"/>
    <x v="1"/>
    <x v="10"/>
    <x v="0"/>
    <x v="0"/>
    <x v="1"/>
    <x v="1"/>
    <x v="0"/>
    <x v="4"/>
    <x v="17"/>
    <x v="0"/>
    <x v="11"/>
    <x v="10"/>
  </r>
  <r>
    <x v="1489"/>
    <x v="30"/>
    <x v="240"/>
    <x v="44"/>
    <x v="53"/>
    <x v="5"/>
    <x v="4"/>
    <x v="6"/>
    <x v="12"/>
    <x v="1"/>
    <x v="57"/>
    <x v="68"/>
    <x v="279"/>
    <x v="59"/>
    <x v="547"/>
    <x v="294"/>
    <x v="4"/>
    <x v="1"/>
    <x v="0"/>
    <x v="1"/>
    <x v="2"/>
    <x v="1"/>
    <x v="0"/>
    <x v="4"/>
    <x v="524"/>
    <x v="0"/>
    <x v="11"/>
    <x v="10"/>
  </r>
  <r>
    <x v="1490"/>
    <x v="21"/>
    <x v="77"/>
    <x v="22"/>
    <x v="79"/>
    <x v="4"/>
    <x v="1"/>
    <x v="4"/>
    <x v="7"/>
    <x v="2"/>
    <x v="15"/>
    <x v="41"/>
    <x v="86"/>
    <x v="19"/>
    <x v="206"/>
    <x v="317"/>
    <x v="1"/>
    <x v="5"/>
    <x v="1"/>
    <x v="0"/>
    <x v="1"/>
    <x v="1"/>
    <x v="0"/>
    <x v="3"/>
    <x v="199"/>
    <x v="0"/>
    <x v="11"/>
    <x v="10"/>
  </r>
  <r>
    <x v="1491"/>
    <x v="296"/>
    <x v="201"/>
    <x v="53"/>
    <x v="29"/>
    <x v="1"/>
    <x v="0"/>
    <x v="3"/>
    <x v="6"/>
    <x v="2"/>
    <x v="4"/>
    <x v="15"/>
    <x v="23"/>
    <x v="6"/>
    <x v="40"/>
    <x v="302"/>
    <x v="1"/>
    <x v="8"/>
    <x v="1"/>
    <x v="2"/>
    <x v="1"/>
    <x v="1"/>
    <x v="0"/>
    <x v="4"/>
    <x v="41"/>
    <x v="0"/>
    <x v="11"/>
    <x v="10"/>
  </r>
  <r>
    <x v="1492"/>
    <x v="285"/>
    <x v="161"/>
    <x v="25"/>
    <x v="84"/>
    <x v="4"/>
    <x v="2"/>
    <x v="10"/>
    <x v="18"/>
    <x v="1"/>
    <x v="60"/>
    <x v="73"/>
    <x v="290"/>
    <x v="59"/>
    <x v="569"/>
    <x v="311"/>
    <x v="1"/>
    <x v="8"/>
    <x v="1"/>
    <x v="0"/>
    <x v="1"/>
    <x v="1"/>
    <x v="0"/>
    <x v="4"/>
    <x v="546"/>
    <x v="0"/>
    <x v="11"/>
    <x v="10"/>
  </r>
  <r>
    <x v="1493"/>
    <x v="263"/>
    <x v="75"/>
    <x v="4"/>
    <x v="66"/>
    <x v="3"/>
    <x v="0"/>
    <x v="14"/>
    <x v="31"/>
    <x v="5"/>
    <x v="33"/>
    <x v="144"/>
    <x v="138"/>
    <x v="47"/>
    <x v="117"/>
    <x v="40"/>
    <x v="1"/>
    <x v="3"/>
    <x v="1"/>
    <x v="1"/>
    <x v="1"/>
    <x v="1"/>
    <x v="0"/>
    <x v="4"/>
    <x v="113"/>
    <x v="0"/>
    <x v="11"/>
    <x v="10"/>
  </r>
  <r>
    <x v="1494"/>
    <x v="248"/>
    <x v="95"/>
    <x v="48"/>
    <x v="28"/>
    <x v="1"/>
    <x v="0"/>
    <x v="3"/>
    <x v="7"/>
    <x v="2"/>
    <x v="4"/>
    <x v="15"/>
    <x v="23"/>
    <x v="7"/>
    <x v="32"/>
    <x v="273"/>
    <x v="4"/>
    <x v="18"/>
    <x v="1"/>
    <x v="0"/>
    <x v="2"/>
    <x v="1"/>
    <x v="0"/>
    <x v="0"/>
    <x v="33"/>
    <x v="0"/>
    <x v="11"/>
    <x v="10"/>
  </r>
  <r>
    <x v="1495"/>
    <x v="215"/>
    <x v="178"/>
    <x v="45"/>
    <x v="30"/>
    <x v="1"/>
    <x v="0"/>
    <x v="7"/>
    <x v="15"/>
    <x v="3"/>
    <x v="11"/>
    <x v="46"/>
    <x v="55"/>
    <x v="18"/>
    <x v="80"/>
    <x v="213"/>
    <x v="1"/>
    <x v="6"/>
    <x v="0"/>
    <x v="1"/>
    <x v="1"/>
    <x v="1"/>
    <x v="0"/>
    <x v="4"/>
    <x v="79"/>
    <x v="0"/>
    <x v="11"/>
    <x v="10"/>
  </r>
  <r>
    <x v="1496"/>
    <x v="350"/>
    <x v="134"/>
    <x v="18"/>
    <x v="71"/>
    <x v="4"/>
    <x v="1"/>
    <x v="20"/>
    <x v="40"/>
    <x v="0"/>
    <x v="82"/>
    <x v="0"/>
    <x v="382"/>
    <x v="91"/>
    <x v="629"/>
    <x v="180"/>
    <x v="1"/>
    <x v="18"/>
    <x v="0"/>
    <x v="1"/>
    <x v="1"/>
    <x v="1"/>
    <x v="0"/>
    <x v="0"/>
    <x v="600"/>
    <x v="0"/>
    <x v="11"/>
    <x v="10"/>
  </r>
  <r>
    <x v="1497"/>
    <x v="294"/>
    <x v="141"/>
    <x v="54"/>
    <x v="61"/>
    <x v="1"/>
    <x v="2"/>
    <x v="12"/>
    <x v="27"/>
    <x v="2"/>
    <x v="69"/>
    <x v="143"/>
    <x v="316"/>
    <x v="75"/>
    <x v="539"/>
    <x v="171"/>
    <x v="1"/>
    <x v="8"/>
    <x v="1"/>
    <x v="1"/>
    <x v="1"/>
    <x v="1"/>
    <x v="0"/>
    <x v="4"/>
    <x v="516"/>
    <x v="0"/>
    <x v="11"/>
    <x v="10"/>
  </r>
  <r>
    <x v="1498"/>
    <x v="202"/>
    <x v="223"/>
    <x v="41"/>
    <x v="6"/>
    <x v="5"/>
    <x v="2"/>
    <x v="10"/>
    <x v="21"/>
    <x v="1"/>
    <x v="60"/>
    <x v="73"/>
    <x v="290"/>
    <x v="66"/>
    <x v="538"/>
    <x v="245"/>
    <x v="4"/>
    <x v="12"/>
    <x v="1"/>
    <x v="1"/>
    <x v="2"/>
    <x v="1"/>
    <x v="0"/>
    <x v="4"/>
    <x v="515"/>
    <x v="0"/>
    <x v="11"/>
    <x v="10"/>
  </r>
  <r>
    <x v="1499"/>
    <x v="108"/>
    <x v="263"/>
    <x v="68"/>
    <x v="80"/>
    <x v="6"/>
    <x v="0"/>
    <x v="12"/>
    <x v="27"/>
    <x v="4"/>
    <x v="27"/>
    <x v="112"/>
    <x v="120"/>
    <x v="39"/>
    <x v="150"/>
    <x v="105"/>
    <x v="4"/>
    <x v="12"/>
    <x v="1"/>
    <x v="1"/>
    <x v="2"/>
    <x v="1"/>
    <x v="0"/>
    <x v="4"/>
    <x v="144"/>
    <x v="0"/>
    <x v="11"/>
    <x v="1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pivotTable1.xml><?xml version="1.0" encoding="utf-8"?>
<pivotTableDefinition xmlns="http://schemas.openxmlformats.org/spreadsheetml/2006/main" name="DataPilot2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5:B23" firstHeaderRow="1" firstDataRow="1" firstDataCol="1"/>
  <pivotFields count="25">
    <pivotField compact="0" showAll="0"/>
    <pivotField compact="0" showAll="0"/>
    <pivotField compact="0" showAll="0"/>
    <pivotField compact="0" showAll="0"/>
    <pivotField compact="0" showAll="0"/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outline="0"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- Net Profit" fld="24" subtotal="sum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1" cacheId="2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9" firstHeaderRow="1" firstDataRow="1" firstDataCol="1"/>
  <pivotFields count="28">
    <pivotField compact="0" showAll="0"/>
    <pivotField compact="0" showAll="0"/>
    <pivotField compact="0" showAll="0"/>
    <pivotField compact="0" showAll="0"/>
    <pivotField compact="0" showAll="0"/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outline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- Net Revenue" fld="12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ivotTable" Target="../pivotTables/pivot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01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J7" activeCellId="0" sqref="J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.12"/>
    <col collapsed="false" customWidth="true" hidden="false" outlineLevel="0" max="2" min="2" style="1" width="15.34"/>
    <col collapsed="false" customWidth="true" hidden="false" outlineLevel="0" max="3" min="3" style="1" width="16.74"/>
    <col collapsed="false" customWidth="true" hidden="false" outlineLevel="0" max="4" min="4" style="1" width="15.06"/>
    <col collapsed="false" customWidth="true" hidden="false" outlineLevel="0" max="5" min="5" style="1" width="12"/>
    <col collapsed="false" customWidth="true" hidden="false" outlineLevel="0" max="6" min="6" style="1" width="18.13"/>
    <col collapsed="false" customWidth="true" hidden="false" outlineLevel="0" max="7" min="7" style="1" width="20.91"/>
    <col collapsed="false" customWidth="true" hidden="false" outlineLevel="0" max="8" min="8" style="1" width="16.74"/>
    <col collapsed="false" customWidth="true" hidden="false" outlineLevel="0" max="9" min="9" style="1" width="18.13"/>
    <col collapsed="false" customWidth="true" hidden="false" outlineLevel="0" max="10" min="10" style="1" width="18.26"/>
    <col collapsed="false" customWidth="true" hidden="false" outlineLevel="0" max="11" min="11" style="1" width="20.35"/>
  </cols>
  <sheetData>
    <row r="1" customFormat="false" ht="24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</row>
    <row r="2" customFormat="false" ht="15" hidden="false" customHeight="false" outlineLevel="0" collapsed="false">
      <c r="A2" s="1" t="s">
        <v>10</v>
      </c>
      <c r="B2" s="4" t="n">
        <v>45949</v>
      </c>
      <c r="C2" s="1" t="s">
        <v>11</v>
      </c>
      <c r="D2" s="1" t="s">
        <v>12</v>
      </c>
      <c r="E2" s="1" t="n">
        <v>1</v>
      </c>
      <c r="F2" s="5" t="n">
        <v>0.15</v>
      </c>
      <c r="G2" s="1" t="s">
        <v>13</v>
      </c>
      <c r="H2" s="1" t="s">
        <v>14</v>
      </c>
      <c r="I2" s="1" t="s">
        <v>15</v>
      </c>
      <c r="J2" s="1" t="n">
        <v>4</v>
      </c>
      <c r="K2" s="6"/>
    </row>
    <row r="3" customFormat="false" ht="15" hidden="false" customHeight="false" outlineLevel="0" collapsed="false">
      <c r="A3" s="1" t="s">
        <v>16</v>
      </c>
      <c r="B3" s="4" t="n">
        <v>45990</v>
      </c>
      <c r="C3" s="1" t="s">
        <v>17</v>
      </c>
      <c r="D3" s="1" t="s">
        <v>18</v>
      </c>
      <c r="E3" s="1" t="n">
        <v>4</v>
      </c>
      <c r="F3" s="5" t="n">
        <v>0.2</v>
      </c>
      <c r="G3" s="1" t="s">
        <v>19</v>
      </c>
      <c r="H3" s="1" t="s">
        <v>14</v>
      </c>
      <c r="I3" s="1" t="s">
        <v>20</v>
      </c>
      <c r="J3" s="1" t="n">
        <v>3</v>
      </c>
    </row>
    <row r="4" customFormat="false" ht="15" hidden="false" customHeight="false" outlineLevel="0" collapsed="false">
      <c r="A4" s="1" t="s">
        <v>21</v>
      </c>
      <c r="B4" s="4" t="n">
        <v>45811</v>
      </c>
      <c r="C4" s="1" t="s">
        <v>22</v>
      </c>
      <c r="D4" s="1" t="s">
        <v>23</v>
      </c>
      <c r="E4" s="1" t="n">
        <v>2</v>
      </c>
      <c r="F4" s="5" t="n">
        <v>0.15</v>
      </c>
      <c r="G4" s="1" t="s">
        <v>24</v>
      </c>
      <c r="H4" s="1" t="s">
        <v>14</v>
      </c>
      <c r="I4" s="1" t="s">
        <v>15</v>
      </c>
      <c r="J4" s="1" t="n">
        <v>8</v>
      </c>
    </row>
    <row r="5" customFormat="false" ht="15" hidden="false" customHeight="false" outlineLevel="0" collapsed="false">
      <c r="A5" s="1" t="s">
        <v>25</v>
      </c>
      <c r="B5" s="4" t="n">
        <v>45897</v>
      </c>
      <c r="C5" s="1" t="s">
        <v>26</v>
      </c>
      <c r="D5" s="1" t="s">
        <v>27</v>
      </c>
      <c r="E5" s="1" t="n">
        <v>3</v>
      </c>
      <c r="F5" s="5" t="n">
        <v>0.2</v>
      </c>
      <c r="G5" s="1" t="s">
        <v>24</v>
      </c>
      <c r="H5" s="1" t="s">
        <v>14</v>
      </c>
      <c r="I5" s="1" t="s">
        <v>15</v>
      </c>
      <c r="J5" s="1" t="n">
        <v>3</v>
      </c>
    </row>
    <row r="6" customFormat="false" ht="15" hidden="false" customHeight="false" outlineLevel="0" collapsed="false">
      <c r="A6" s="1" t="s">
        <v>28</v>
      </c>
      <c r="B6" s="4" t="n">
        <v>45924</v>
      </c>
      <c r="C6" s="1" t="s">
        <v>29</v>
      </c>
      <c r="D6" s="1" t="s">
        <v>30</v>
      </c>
      <c r="E6" s="1" t="n">
        <v>1</v>
      </c>
      <c r="F6" s="5" t="n">
        <v>0</v>
      </c>
      <c r="G6" s="1" t="s">
        <v>19</v>
      </c>
      <c r="H6" s="1" t="s">
        <v>14</v>
      </c>
      <c r="I6" s="1" t="s">
        <v>20</v>
      </c>
      <c r="J6" s="1" t="n">
        <v>2</v>
      </c>
    </row>
    <row r="7" customFormat="false" ht="15" hidden="false" customHeight="false" outlineLevel="0" collapsed="false">
      <c r="A7" s="1" t="s">
        <v>31</v>
      </c>
      <c r="B7" s="4" t="n">
        <v>45712</v>
      </c>
      <c r="C7" s="1" t="s">
        <v>32</v>
      </c>
      <c r="D7" s="1" t="s">
        <v>33</v>
      </c>
      <c r="E7" s="1" t="n">
        <v>4</v>
      </c>
      <c r="F7" s="5" t="n">
        <v>0.1</v>
      </c>
      <c r="G7" s="1" t="s">
        <v>34</v>
      </c>
      <c r="H7" s="1" t="s">
        <v>14</v>
      </c>
      <c r="I7" s="1" t="s">
        <v>20</v>
      </c>
      <c r="J7" s="1" t="n">
        <v>1</v>
      </c>
    </row>
    <row r="8" customFormat="false" ht="15" hidden="false" customHeight="false" outlineLevel="0" collapsed="false">
      <c r="A8" s="1" t="s">
        <v>35</v>
      </c>
      <c r="B8" s="4" t="n">
        <v>45667</v>
      </c>
      <c r="C8" s="1" t="s">
        <v>36</v>
      </c>
      <c r="D8" s="1" t="s">
        <v>37</v>
      </c>
      <c r="E8" s="1" t="n">
        <v>3</v>
      </c>
      <c r="F8" s="5" t="n">
        <v>0</v>
      </c>
      <c r="G8" s="1" t="s">
        <v>19</v>
      </c>
      <c r="H8" s="1" t="s">
        <v>14</v>
      </c>
      <c r="I8" s="1" t="s">
        <v>38</v>
      </c>
      <c r="J8" s="1" t="n">
        <v>1</v>
      </c>
    </row>
    <row r="9" customFormat="false" ht="15" hidden="false" customHeight="false" outlineLevel="0" collapsed="false">
      <c r="A9" s="1" t="s">
        <v>39</v>
      </c>
      <c r="B9" s="4" t="n">
        <v>45701</v>
      </c>
      <c r="C9" s="1" t="s">
        <v>40</v>
      </c>
      <c r="D9" s="1" t="s">
        <v>41</v>
      </c>
      <c r="E9" s="1" t="n">
        <v>1</v>
      </c>
      <c r="F9" s="5" t="n">
        <v>0.05</v>
      </c>
      <c r="G9" s="1" t="s">
        <v>34</v>
      </c>
      <c r="H9" s="1" t="s">
        <v>14</v>
      </c>
      <c r="I9" s="1" t="s">
        <v>20</v>
      </c>
      <c r="J9" s="1" t="n">
        <v>5</v>
      </c>
    </row>
    <row r="10" customFormat="false" ht="15" hidden="false" customHeight="false" outlineLevel="0" collapsed="false">
      <c r="A10" s="1" t="s">
        <v>42</v>
      </c>
      <c r="B10" s="4" t="n">
        <v>45776</v>
      </c>
      <c r="C10" s="1" t="s">
        <v>43</v>
      </c>
      <c r="D10" s="1" t="s">
        <v>44</v>
      </c>
      <c r="E10" s="1" t="n">
        <v>1</v>
      </c>
      <c r="F10" s="5" t="n">
        <v>0.05</v>
      </c>
      <c r="G10" s="1" t="s">
        <v>24</v>
      </c>
      <c r="H10" s="1" t="s">
        <v>45</v>
      </c>
      <c r="I10" s="1" t="s">
        <v>20</v>
      </c>
    </row>
    <row r="11" customFormat="false" ht="15" hidden="false" customHeight="false" outlineLevel="0" collapsed="false">
      <c r="A11" s="1" t="s">
        <v>46</v>
      </c>
      <c r="B11" s="4" t="n">
        <v>45820</v>
      </c>
      <c r="C11" s="1" t="s">
        <v>47</v>
      </c>
      <c r="D11" s="1" t="s">
        <v>48</v>
      </c>
      <c r="E11" s="1" t="n">
        <v>4</v>
      </c>
      <c r="F11" s="5" t="n">
        <v>0</v>
      </c>
      <c r="G11" s="1" t="s">
        <v>34</v>
      </c>
      <c r="H11" s="1" t="s">
        <v>14</v>
      </c>
      <c r="I11" s="1" t="s">
        <v>20</v>
      </c>
      <c r="J11" s="1" t="n">
        <v>4</v>
      </c>
    </row>
    <row r="12" customFormat="false" ht="15" hidden="false" customHeight="false" outlineLevel="0" collapsed="false">
      <c r="A12" s="1" t="s">
        <v>49</v>
      </c>
      <c r="B12" s="4" t="n">
        <v>45870</v>
      </c>
      <c r="C12" s="1" t="s">
        <v>50</v>
      </c>
      <c r="D12" s="1" t="s">
        <v>51</v>
      </c>
      <c r="E12" s="1" t="n">
        <v>3</v>
      </c>
      <c r="F12" s="5" t="n">
        <v>0</v>
      </c>
      <c r="G12" s="1" t="s">
        <v>52</v>
      </c>
      <c r="H12" s="1" t="s">
        <v>53</v>
      </c>
      <c r="I12" s="1" t="s">
        <v>20</v>
      </c>
      <c r="J12" s="1" t="n">
        <v>7</v>
      </c>
    </row>
    <row r="13" customFormat="false" ht="15" hidden="false" customHeight="false" outlineLevel="0" collapsed="false">
      <c r="A13" s="1" t="s">
        <v>54</v>
      </c>
      <c r="B13" s="4" t="n">
        <v>45740</v>
      </c>
      <c r="C13" s="1" t="s">
        <v>55</v>
      </c>
      <c r="D13" s="1" t="s">
        <v>18</v>
      </c>
      <c r="E13" s="1" t="n">
        <v>1</v>
      </c>
      <c r="F13" s="5" t="n">
        <v>0.2</v>
      </c>
      <c r="G13" s="1" t="s">
        <v>52</v>
      </c>
      <c r="H13" s="1" t="s">
        <v>14</v>
      </c>
      <c r="I13" s="1" t="s">
        <v>38</v>
      </c>
      <c r="J13" s="1" t="n">
        <v>7</v>
      </c>
    </row>
    <row r="14" customFormat="false" ht="15" hidden="false" customHeight="false" outlineLevel="0" collapsed="false">
      <c r="A14" s="1" t="s">
        <v>56</v>
      </c>
      <c r="B14" s="4" t="n">
        <v>45837</v>
      </c>
      <c r="C14" s="1" t="s">
        <v>57</v>
      </c>
      <c r="D14" s="1" t="s">
        <v>58</v>
      </c>
      <c r="E14" s="1" t="n">
        <v>1</v>
      </c>
      <c r="F14" s="5" t="n">
        <v>0</v>
      </c>
      <c r="G14" s="1" t="s">
        <v>52</v>
      </c>
      <c r="H14" s="1" t="s">
        <v>14</v>
      </c>
      <c r="I14" s="1" t="s">
        <v>38</v>
      </c>
      <c r="J14" s="1" t="n">
        <v>3</v>
      </c>
    </row>
    <row r="15" customFormat="false" ht="15" hidden="false" customHeight="false" outlineLevel="0" collapsed="false">
      <c r="A15" s="7" t="s">
        <v>59</v>
      </c>
      <c r="B15" s="8" t="s">
        <v>60</v>
      </c>
      <c r="C15" s="1" t="s">
        <v>61</v>
      </c>
      <c r="D15" s="1" t="s">
        <v>23</v>
      </c>
      <c r="E15" s="1" t="n">
        <v>1</v>
      </c>
      <c r="F15" s="5" t="n">
        <v>0.1</v>
      </c>
      <c r="G15" s="1" t="s">
        <v>19</v>
      </c>
      <c r="H15" s="1" t="s">
        <v>53</v>
      </c>
      <c r="I15" s="1" t="s">
        <v>15</v>
      </c>
      <c r="J15" s="1" t="n">
        <v>8</v>
      </c>
    </row>
    <row r="16" customFormat="false" ht="15" hidden="false" customHeight="false" outlineLevel="0" collapsed="false">
      <c r="A16" s="9" t="s">
        <v>62</v>
      </c>
      <c r="B16" s="10" t="n">
        <v>152944.1</v>
      </c>
      <c r="C16" s="1" t="s">
        <v>63</v>
      </c>
      <c r="D16" s="1" t="s">
        <v>64</v>
      </c>
      <c r="E16" s="1" t="n">
        <v>1</v>
      </c>
      <c r="F16" s="5" t="n">
        <v>0</v>
      </c>
      <c r="G16" s="1" t="s">
        <v>19</v>
      </c>
      <c r="H16" s="1" t="s">
        <v>14</v>
      </c>
      <c r="I16" s="1" t="s">
        <v>15</v>
      </c>
      <c r="J16" s="1" t="n">
        <v>1</v>
      </c>
    </row>
    <row r="17" customFormat="false" ht="15" hidden="false" customHeight="false" outlineLevel="0" collapsed="false">
      <c r="A17" s="11" t="s">
        <v>65</v>
      </c>
      <c r="B17" s="12" t="n">
        <v>71643.1</v>
      </c>
      <c r="C17" s="1" t="s">
        <v>66</v>
      </c>
      <c r="D17" s="1" t="s">
        <v>67</v>
      </c>
      <c r="E17" s="1" t="n">
        <v>1</v>
      </c>
      <c r="F17" s="5" t="n">
        <v>0.05</v>
      </c>
      <c r="G17" s="1" t="s">
        <v>52</v>
      </c>
      <c r="H17" s="1" t="s">
        <v>45</v>
      </c>
      <c r="I17" s="1" t="s">
        <v>20</v>
      </c>
    </row>
    <row r="18" customFormat="false" ht="15" hidden="false" customHeight="false" outlineLevel="0" collapsed="false">
      <c r="A18" s="11" t="s">
        <v>68</v>
      </c>
      <c r="B18" s="12" t="n">
        <v>63022.75</v>
      </c>
      <c r="C18" s="1" t="s">
        <v>69</v>
      </c>
      <c r="D18" s="1" t="s">
        <v>70</v>
      </c>
      <c r="E18" s="1" t="n">
        <v>3</v>
      </c>
      <c r="F18" s="5" t="n">
        <v>0.15</v>
      </c>
      <c r="G18" s="1" t="s">
        <v>71</v>
      </c>
      <c r="H18" s="1" t="s">
        <v>14</v>
      </c>
      <c r="I18" s="1" t="s">
        <v>38</v>
      </c>
      <c r="J18" s="1" t="n">
        <v>5</v>
      </c>
    </row>
    <row r="19" customFormat="false" ht="15" hidden="false" customHeight="false" outlineLevel="0" collapsed="false">
      <c r="A19" s="11" t="s">
        <v>72</v>
      </c>
      <c r="B19" s="12" t="n">
        <v>151043</v>
      </c>
      <c r="C19" s="1" t="s">
        <v>73</v>
      </c>
      <c r="D19" s="1" t="s">
        <v>74</v>
      </c>
      <c r="E19" s="1" t="n">
        <v>1</v>
      </c>
      <c r="F19" s="5" t="n">
        <v>0.1</v>
      </c>
      <c r="G19" s="1" t="s">
        <v>19</v>
      </c>
      <c r="H19" s="1" t="s">
        <v>14</v>
      </c>
      <c r="I19" s="1" t="s">
        <v>38</v>
      </c>
      <c r="J19" s="1" t="n">
        <v>7</v>
      </c>
    </row>
    <row r="20" customFormat="false" ht="15" hidden="false" customHeight="false" outlineLevel="0" collapsed="false">
      <c r="A20" s="11" t="s">
        <v>75</v>
      </c>
      <c r="B20" s="12" t="n">
        <v>166824.65</v>
      </c>
      <c r="C20" s="1" t="s">
        <v>76</v>
      </c>
      <c r="D20" s="1" t="s">
        <v>77</v>
      </c>
      <c r="E20" s="1" t="n">
        <v>2</v>
      </c>
      <c r="F20" s="5" t="n">
        <v>0.2</v>
      </c>
      <c r="G20" s="1" t="s">
        <v>19</v>
      </c>
      <c r="H20" s="1" t="s">
        <v>78</v>
      </c>
      <c r="I20" s="1" t="s">
        <v>15</v>
      </c>
      <c r="J20" s="1" t="n">
        <v>4</v>
      </c>
    </row>
    <row r="21" customFormat="false" ht="15" hidden="false" customHeight="false" outlineLevel="0" collapsed="false">
      <c r="A21" s="11" t="s">
        <v>79</v>
      </c>
      <c r="B21" s="12" t="n">
        <v>130803.85</v>
      </c>
      <c r="C21" s="1" t="s">
        <v>80</v>
      </c>
      <c r="D21" s="1" t="s">
        <v>81</v>
      </c>
      <c r="E21" s="1" t="n">
        <v>1</v>
      </c>
      <c r="F21" s="5" t="n">
        <v>0.2</v>
      </c>
      <c r="G21" s="1" t="s">
        <v>71</v>
      </c>
      <c r="H21" s="1" t="s">
        <v>14</v>
      </c>
      <c r="I21" s="1" t="s">
        <v>15</v>
      </c>
      <c r="J21" s="1" t="n">
        <v>3</v>
      </c>
    </row>
    <row r="22" customFormat="false" ht="15" hidden="false" customHeight="false" outlineLevel="0" collapsed="false">
      <c r="A22" s="11" t="s">
        <v>82</v>
      </c>
      <c r="B22" s="13" t="n">
        <v>102658.3</v>
      </c>
      <c r="C22" s="1" t="s">
        <v>83</v>
      </c>
      <c r="D22" s="1" t="s">
        <v>84</v>
      </c>
      <c r="E22" s="1" t="n">
        <v>5</v>
      </c>
      <c r="F22" s="5" t="n">
        <v>0.1</v>
      </c>
      <c r="G22" s="1" t="s">
        <v>71</v>
      </c>
      <c r="H22" s="1" t="s">
        <v>78</v>
      </c>
      <c r="I22" s="1" t="s">
        <v>15</v>
      </c>
      <c r="J22" s="1" t="n">
        <v>2</v>
      </c>
    </row>
    <row r="23" customFormat="false" ht="15" hidden="false" customHeight="false" outlineLevel="0" collapsed="false">
      <c r="A23" s="14" t="s">
        <v>85</v>
      </c>
      <c r="B23" s="15" t="n">
        <v>838939.750000001</v>
      </c>
      <c r="C23" s="1" t="s">
        <v>86</v>
      </c>
      <c r="D23" s="1" t="s">
        <v>74</v>
      </c>
      <c r="E23" s="1" t="n">
        <v>2</v>
      </c>
      <c r="F23" s="5" t="n">
        <v>0</v>
      </c>
      <c r="G23" s="1" t="s">
        <v>52</v>
      </c>
      <c r="H23" s="1" t="s">
        <v>14</v>
      </c>
      <c r="I23" s="1" t="s">
        <v>15</v>
      </c>
      <c r="J23" s="1" t="n">
        <v>8</v>
      </c>
    </row>
    <row r="24" customFormat="false" ht="15" hidden="false" customHeight="false" outlineLevel="0" collapsed="false">
      <c r="A24" s="1" t="s">
        <v>87</v>
      </c>
      <c r="B24" s="4" t="n">
        <v>45661</v>
      </c>
      <c r="C24" s="1" t="s">
        <v>88</v>
      </c>
      <c r="D24" s="1" t="s">
        <v>89</v>
      </c>
      <c r="E24" s="1" t="n">
        <v>2</v>
      </c>
      <c r="F24" s="5" t="n">
        <v>0.2</v>
      </c>
      <c r="G24" s="1" t="s">
        <v>34</v>
      </c>
      <c r="H24" s="1" t="s">
        <v>14</v>
      </c>
      <c r="I24" s="1" t="s">
        <v>38</v>
      </c>
      <c r="J24" s="1" t="n">
        <v>6</v>
      </c>
    </row>
    <row r="25" customFormat="false" ht="15" hidden="false" customHeight="false" outlineLevel="0" collapsed="false">
      <c r="A25" s="1" t="s">
        <v>90</v>
      </c>
      <c r="B25" s="4" t="n">
        <v>45928</v>
      </c>
      <c r="C25" s="1" t="s">
        <v>91</v>
      </c>
      <c r="D25" s="1" t="s">
        <v>44</v>
      </c>
      <c r="E25" s="1" t="n">
        <v>1</v>
      </c>
      <c r="F25" s="5" t="n">
        <v>0.15</v>
      </c>
      <c r="G25" s="1" t="s">
        <v>52</v>
      </c>
      <c r="H25" s="1" t="s">
        <v>92</v>
      </c>
      <c r="I25" s="1" t="s">
        <v>15</v>
      </c>
    </row>
    <row r="26" customFormat="false" ht="15" hidden="false" customHeight="false" outlineLevel="0" collapsed="false">
      <c r="A26" s="1" t="s">
        <v>93</v>
      </c>
      <c r="B26" s="4" t="n">
        <v>45986</v>
      </c>
      <c r="C26" s="1" t="s">
        <v>91</v>
      </c>
      <c r="D26" s="1" t="s">
        <v>94</v>
      </c>
      <c r="E26" s="1" t="n">
        <v>1</v>
      </c>
      <c r="F26" s="5" t="n">
        <v>0</v>
      </c>
      <c r="G26" s="1" t="s">
        <v>34</v>
      </c>
      <c r="H26" s="1" t="s">
        <v>14</v>
      </c>
      <c r="I26" s="1" t="s">
        <v>38</v>
      </c>
      <c r="J26" s="1" t="n">
        <v>7</v>
      </c>
    </row>
    <row r="27" customFormat="false" ht="15" hidden="false" customHeight="false" outlineLevel="0" collapsed="false">
      <c r="A27" s="1" t="s">
        <v>95</v>
      </c>
      <c r="B27" s="4" t="n">
        <v>45894</v>
      </c>
      <c r="C27" s="1" t="s">
        <v>96</v>
      </c>
      <c r="D27" s="1" t="s">
        <v>97</v>
      </c>
      <c r="E27" s="1" t="n">
        <v>1</v>
      </c>
      <c r="F27" s="5" t="n">
        <v>0.2</v>
      </c>
      <c r="G27" s="1" t="s">
        <v>71</v>
      </c>
      <c r="H27" s="1" t="s">
        <v>14</v>
      </c>
      <c r="I27" s="1" t="s">
        <v>38</v>
      </c>
      <c r="J27" s="1" t="n">
        <v>6</v>
      </c>
    </row>
    <row r="28" customFormat="false" ht="15" hidden="false" customHeight="false" outlineLevel="0" collapsed="false">
      <c r="A28" s="1" t="s">
        <v>98</v>
      </c>
      <c r="B28" s="4" t="n">
        <v>45752</v>
      </c>
      <c r="C28" s="1" t="s">
        <v>99</v>
      </c>
      <c r="D28" s="1" t="s">
        <v>100</v>
      </c>
      <c r="E28" s="1" t="n">
        <v>3</v>
      </c>
      <c r="F28" s="5" t="n">
        <v>0.1</v>
      </c>
      <c r="G28" s="1" t="s">
        <v>52</v>
      </c>
      <c r="H28" s="1" t="s">
        <v>45</v>
      </c>
      <c r="I28" s="1" t="s">
        <v>38</v>
      </c>
    </row>
    <row r="29" customFormat="false" ht="15" hidden="false" customHeight="false" outlineLevel="0" collapsed="false">
      <c r="A29" s="1" t="s">
        <v>101</v>
      </c>
      <c r="B29" s="4" t="n">
        <v>45887</v>
      </c>
      <c r="C29" s="1" t="s">
        <v>102</v>
      </c>
      <c r="D29" s="1" t="s">
        <v>103</v>
      </c>
      <c r="E29" s="1" t="n">
        <v>2</v>
      </c>
      <c r="F29" s="5" t="n">
        <v>0.25</v>
      </c>
      <c r="G29" s="1" t="s">
        <v>34</v>
      </c>
      <c r="H29" s="1" t="s">
        <v>53</v>
      </c>
      <c r="I29" s="1" t="s">
        <v>15</v>
      </c>
      <c r="J29" s="1" t="n">
        <v>1</v>
      </c>
    </row>
    <row r="30" customFormat="false" ht="15" hidden="false" customHeight="false" outlineLevel="0" collapsed="false">
      <c r="A30" s="1" t="s">
        <v>104</v>
      </c>
      <c r="B30" s="4" t="n">
        <v>45693</v>
      </c>
      <c r="C30" s="1" t="s">
        <v>105</v>
      </c>
      <c r="D30" s="1" t="s">
        <v>106</v>
      </c>
      <c r="E30" s="1" t="n">
        <v>2</v>
      </c>
      <c r="F30" s="5" t="n">
        <v>0</v>
      </c>
      <c r="G30" s="1" t="s">
        <v>34</v>
      </c>
      <c r="H30" s="1" t="s">
        <v>14</v>
      </c>
      <c r="I30" s="1" t="s">
        <v>15</v>
      </c>
      <c r="J30" s="1" t="n">
        <v>8</v>
      </c>
    </row>
    <row r="31" customFormat="false" ht="15" hidden="false" customHeight="false" outlineLevel="0" collapsed="false">
      <c r="A31" s="1" t="s">
        <v>107</v>
      </c>
      <c r="B31" s="4" t="n">
        <v>45892</v>
      </c>
      <c r="C31" s="1" t="s">
        <v>108</v>
      </c>
      <c r="D31" s="1" t="s">
        <v>109</v>
      </c>
      <c r="E31" s="1" t="n">
        <v>1</v>
      </c>
      <c r="F31" s="5" t="n">
        <v>0.05</v>
      </c>
      <c r="G31" s="1" t="s">
        <v>52</v>
      </c>
      <c r="H31" s="1" t="s">
        <v>45</v>
      </c>
      <c r="I31" s="1" t="s">
        <v>38</v>
      </c>
    </row>
    <row r="32" customFormat="false" ht="15" hidden="false" customHeight="false" outlineLevel="0" collapsed="false">
      <c r="A32" s="1" t="s">
        <v>110</v>
      </c>
      <c r="B32" s="4" t="n">
        <v>45846</v>
      </c>
      <c r="C32" s="1" t="s">
        <v>111</v>
      </c>
      <c r="D32" s="1" t="s">
        <v>112</v>
      </c>
      <c r="E32" s="1" t="n">
        <v>1</v>
      </c>
      <c r="F32" s="5" t="n">
        <v>0</v>
      </c>
      <c r="G32" s="1" t="s">
        <v>13</v>
      </c>
      <c r="H32" s="1" t="s">
        <v>14</v>
      </c>
      <c r="I32" s="1" t="s">
        <v>15</v>
      </c>
      <c r="J32" s="1" t="n">
        <v>1</v>
      </c>
    </row>
    <row r="33" customFormat="false" ht="15" hidden="false" customHeight="false" outlineLevel="0" collapsed="false">
      <c r="A33" s="1" t="s">
        <v>113</v>
      </c>
      <c r="B33" s="4" t="n">
        <v>45704</v>
      </c>
      <c r="C33" s="1" t="s">
        <v>102</v>
      </c>
      <c r="D33" s="1" t="s">
        <v>114</v>
      </c>
      <c r="E33" s="1" t="n">
        <v>2</v>
      </c>
      <c r="F33" s="5" t="n">
        <v>0.2</v>
      </c>
      <c r="G33" s="1" t="s">
        <v>52</v>
      </c>
      <c r="H33" s="1" t="s">
        <v>45</v>
      </c>
      <c r="I33" s="1" t="s">
        <v>15</v>
      </c>
    </row>
    <row r="34" customFormat="false" ht="15" hidden="false" customHeight="false" outlineLevel="0" collapsed="false">
      <c r="A34" s="1" t="s">
        <v>115</v>
      </c>
      <c r="B34" s="4" t="n">
        <v>45828</v>
      </c>
      <c r="C34" s="1" t="s">
        <v>116</v>
      </c>
      <c r="D34" s="1" t="s">
        <v>117</v>
      </c>
      <c r="E34" s="1" t="n">
        <v>1</v>
      </c>
      <c r="F34" s="5" t="n">
        <v>0.05</v>
      </c>
      <c r="G34" s="1" t="s">
        <v>52</v>
      </c>
      <c r="H34" s="1" t="s">
        <v>14</v>
      </c>
      <c r="I34" s="1" t="s">
        <v>38</v>
      </c>
      <c r="J34" s="1" t="n">
        <v>7</v>
      </c>
    </row>
    <row r="35" customFormat="false" ht="15" hidden="false" customHeight="false" outlineLevel="0" collapsed="false">
      <c r="A35" s="1" t="s">
        <v>118</v>
      </c>
      <c r="B35" s="4" t="n">
        <v>45709</v>
      </c>
      <c r="C35" s="1" t="s">
        <v>119</v>
      </c>
      <c r="D35" s="1" t="s">
        <v>41</v>
      </c>
      <c r="E35" s="1" t="n">
        <v>4</v>
      </c>
      <c r="F35" s="5" t="n">
        <v>0.1</v>
      </c>
      <c r="G35" s="1" t="s">
        <v>19</v>
      </c>
      <c r="H35" s="1" t="s">
        <v>14</v>
      </c>
      <c r="I35" s="1" t="s">
        <v>38</v>
      </c>
      <c r="J35" s="1" t="n">
        <v>8</v>
      </c>
    </row>
    <row r="36" customFormat="false" ht="15" hidden="false" customHeight="false" outlineLevel="0" collapsed="false">
      <c r="A36" s="1" t="s">
        <v>120</v>
      </c>
      <c r="B36" s="4" t="n">
        <v>45866</v>
      </c>
      <c r="C36" s="1" t="s">
        <v>121</v>
      </c>
      <c r="D36" s="1" t="s">
        <v>122</v>
      </c>
      <c r="E36" s="1" t="n">
        <v>1</v>
      </c>
      <c r="F36" s="5" t="n">
        <v>0.15</v>
      </c>
      <c r="G36" s="1" t="s">
        <v>52</v>
      </c>
      <c r="H36" s="1" t="s">
        <v>14</v>
      </c>
      <c r="I36" s="1" t="s">
        <v>15</v>
      </c>
      <c r="J36" s="1" t="n">
        <v>4</v>
      </c>
    </row>
    <row r="37" customFormat="false" ht="15" hidden="false" customHeight="false" outlineLevel="0" collapsed="false">
      <c r="A37" s="1" t="s">
        <v>123</v>
      </c>
      <c r="B37" s="4" t="n">
        <v>45663</v>
      </c>
      <c r="C37" s="1" t="s">
        <v>124</v>
      </c>
      <c r="D37" s="1" t="s">
        <v>125</v>
      </c>
      <c r="E37" s="1" t="n">
        <v>3</v>
      </c>
      <c r="F37" s="5" t="n">
        <v>0.2</v>
      </c>
      <c r="G37" s="1" t="s">
        <v>34</v>
      </c>
      <c r="H37" s="1" t="s">
        <v>14</v>
      </c>
      <c r="I37" s="1" t="s">
        <v>15</v>
      </c>
      <c r="J37" s="1" t="n">
        <v>2</v>
      </c>
    </row>
    <row r="38" customFormat="false" ht="15" hidden="false" customHeight="false" outlineLevel="0" collapsed="false">
      <c r="A38" s="1" t="s">
        <v>126</v>
      </c>
      <c r="B38" s="4" t="n">
        <v>45723</v>
      </c>
      <c r="C38" s="1" t="s">
        <v>127</v>
      </c>
      <c r="D38" s="1" t="s">
        <v>27</v>
      </c>
      <c r="E38" s="1" t="n">
        <v>5</v>
      </c>
      <c r="F38" s="5" t="n">
        <v>0.25</v>
      </c>
      <c r="G38" s="1" t="s">
        <v>13</v>
      </c>
      <c r="H38" s="1" t="s">
        <v>53</v>
      </c>
      <c r="I38" s="1" t="s">
        <v>15</v>
      </c>
      <c r="J38" s="1" t="n">
        <v>8</v>
      </c>
    </row>
    <row r="39" customFormat="false" ht="15" hidden="false" customHeight="false" outlineLevel="0" collapsed="false">
      <c r="A39" s="1" t="s">
        <v>128</v>
      </c>
      <c r="B39" s="4" t="n">
        <v>45947</v>
      </c>
      <c r="C39" s="1" t="s">
        <v>129</v>
      </c>
      <c r="D39" s="1" t="s">
        <v>130</v>
      </c>
      <c r="E39" s="1" t="n">
        <v>1</v>
      </c>
      <c r="F39" s="5" t="n">
        <v>0.1</v>
      </c>
      <c r="G39" s="1" t="s">
        <v>52</v>
      </c>
      <c r="H39" s="1" t="s">
        <v>14</v>
      </c>
      <c r="I39" s="1" t="s">
        <v>20</v>
      </c>
      <c r="J39" s="1" t="n">
        <v>1</v>
      </c>
    </row>
    <row r="40" customFormat="false" ht="15" hidden="false" customHeight="false" outlineLevel="0" collapsed="false">
      <c r="A40" s="1" t="s">
        <v>131</v>
      </c>
      <c r="B40" s="4" t="n">
        <v>45846</v>
      </c>
      <c r="C40" s="1" t="s">
        <v>61</v>
      </c>
      <c r="D40" s="1" t="s">
        <v>109</v>
      </c>
      <c r="E40" s="1" t="n">
        <v>1</v>
      </c>
      <c r="F40" s="5" t="n">
        <v>0.05</v>
      </c>
      <c r="G40" s="1" t="s">
        <v>52</v>
      </c>
      <c r="H40" s="1" t="s">
        <v>14</v>
      </c>
      <c r="I40" s="1" t="s">
        <v>20</v>
      </c>
      <c r="J40" s="1" t="n">
        <v>6</v>
      </c>
    </row>
    <row r="41" customFormat="false" ht="15" hidden="false" customHeight="false" outlineLevel="0" collapsed="false">
      <c r="A41" s="1" t="s">
        <v>132</v>
      </c>
      <c r="B41" s="4" t="n">
        <v>45987</v>
      </c>
      <c r="C41" s="1" t="s">
        <v>133</v>
      </c>
      <c r="D41" s="1" t="s">
        <v>134</v>
      </c>
      <c r="E41" s="1" t="n">
        <v>1</v>
      </c>
      <c r="F41" s="5" t="n">
        <v>0.15</v>
      </c>
      <c r="G41" s="1" t="s">
        <v>52</v>
      </c>
      <c r="H41" s="1" t="s">
        <v>14</v>
      </c>
      <c r="I41" s="1" t="s">
        <v>20</v>
      </c>
      <c r="J41" s="1" t="n">
        <v>5</v>
      </c>
    </row>
    <row r="42" customFormat="false" ht="15" hidden="false" customHeight="false" outlineLevel="0" collapsed="false">
      <c r="A42" s="1" t="s">
        <v>135</v>
      </c>
      <c r="B42" s="4" t="n">
        <v>45874</v>
      </c>
      <c r="C42" s="1" t="s">
        <v>136</v>
      </c>
      <c r="D42" s="1" t="s">
        <v>137</v>
      </c>
      <c r="E42" s="1" t="n">
        <v>1</v>
      </c>
      <c r="F42" s="5" t="n">
        <v>0.05</v>
      </c>
      <c r="G42" s="1" t="s">
        <v>24</v>
      </c>
      <c r="H42" s="1" t="s">
        <v>78</v>
      </c>
      <c r="I42" s="1" t="s">
        <v>20</v>
      </c>
      <c r="J42" s="1" t="n">
        <v>1</v>
      </c>
    </row>
    <row r="43" customFormat="false" ht="15" hidden="false" customHeight="false" outlineLevel="0" collapsed="false">
      <c r="A43" s="1" t="s">
        <v>138</v>
      </c>
      <c r="B43" s="4" t="n">
        <v>45745</v>
      </c>
      <c r="C43" s="1" t="s">
        <v>139</v>
      </c>
      <c r="D43" s="1" t="s">
        <v>140</v>
      </c>
      <c r="E43" s="1" t="n">
        <v>1</v>
      </c>
      <c r="F43" s="5" t="n">
        <v>0.25</v>
      </c>
      <c r="G43" s="1" t="s">
        <v>52</v>
      </c>
      <c r="H43" s="1" t="s">
        <v>14</v>
      </c>
      <c r="I43" s="1" t="s">
        <v>15</v>
      </c>
      <c r="J43" s="1" t="n">
        <v>2</v>
      </c>
    </row>
    <row r="44" customFormat="false" ht="15" hidden="false" customHeight="false" outlineLevel="0" collapsed="false">
      <c r="A44" s="1" t="s">
        <v>141</v>
      </c>
      <c r="B44" s="4" t="n">
        <v>45992</v>
      </c>
      <c r="C44" s="1" t="s">
        <v>142</v>
      </c>
      <c r="D44" s="1" t="s">
        <v>143</v>
      </c>
      <c r="E44" s="1" t="n">
        <v>3</v>
      </c>
      <c r="F44" s="5" t="n">
        <v>0.1</v>
      </c>
      <c r="G44" s="1" t="s">
        <v>71</v>
      </c>
      <c r="H44" s="1" t="s">
        <v>14</v>
      </c>
      <c r="I44" s="1" t="s">
        <v>20</v>
      </c>
      <c r="J44" s="1" t="n">
        <v>2</v>
      </c>
    </row>
    <row r="45" customFormat="false" ht="15" hidden="false" customHeight="false" outlineLevel="0" collapsed="false">
      <c r="A45" s="1" t="s">
        <v>144</v>
      </c>
      <c r="B45" s="4" t="n">
        <v>45796</v>
      </c>
      <c r="C45" s="1" t="s">
        <v>145</v>
      </c>
      <c r="D45" s="1" t="s">
        <v>134</v>
      </c>
      <c r="E45" s="1" t="n">
        <v>2</v>
      </c>
      <c r="F45" s="5" t="n">
        <v>0.2</v>
      </c>
      <c r="G45" s="1" t="s">
        <v>34</v>
      </c>
      <c r="H45" s="1" t="s">
        <v>14</v>
      </c>
      <c r="I45" s="1" t="s">
        <v>15</v>
      </c>
      <c r="J45" s="1" t="n">
        <v>1</v>
      </c>
    </row>
    <row r="46" customFormat="false" ht="15" hidden="false" customHeight="false" outlineLevel="0" collapsed="false">
      <c r="A46" s="1" t="s">
        <v>146</v>
      </c>
      <c r="B46" s="4" t="n">
        <v>45661</v>
      </c>
      <c r="C46" s="1" t="s">
        <v>147</v>
      </c>
      <c r="D46" s="1" t="s">
        <v>148</v>
      </c>
      <c r="E46" s="1" t="n">
        <v>3</v>
      </c>
      <c r="F46" s="5" t="n">
        <v>0.1</v>
      </c>
      <c r="G46" s="1" t="s">
        <v>34</v>
      </c>
      <c r="H46" s="1" t="s">
        <v>14</v>
      </c>
      <c r="I46" s="1" t="s">
        <v>15</v>
      </c>
      <c r="J46" s="1" t="n">
        <v>6</v>
      </c>
    </row>
    <row r="47" customFormat="false" ht="15" hidden="false" customHeight="false" outlineLevel="0" collapsed="false">
      <c r="A47" s="1" t="s">
        <v>149</v>
      </c>
      <c r="B47" s="4" t="n">
        <v>45824</v>
      </c>
      <c r="C47" s="1" t="s">
        <v>150</v>
      </c>
      <c r="D47" s="1" t="s">
        <v>48</v>
      </c>
      <c r="E47" s="1" t="n">
        <v>2</v>
      </c>
      <c r="F47" s="5" t="n">
        <v>0.05</v>
      </c>
      <c r="G47" s="1" t="s">
        <v>34</v>
      </c>
      <c r="H47" s="1" t="s">
        <v>14</v>
      </c>
      <c r="I47" s="1" t="s">
        <v>15</v>
      </c>
      <c r="J47" s="1" t="n">
        <v>2</v>
      </c>
    </row>
    <row r="48" customFormat="false" ht="15" hidden="false" customHeight="false" outlineLevel="0" collapsed="false">
      <c r="A48" s="1" t="s">
        <v>151</v>
      </c>
      <c r="B48" s="4" t="n">
        <v>45804</v>
      </c>
      <c r="C48" s="1" t="s">
        <v>66</v>
      </c>
      <c r="D48" s="1" t="s">
        <v>130</v>
      </c>
      <c r="E48" s="1" t="n">
        <v>2</v>
      </c>
      <c r="F48" s="5" t="n">
        <v>0.1</v>
      </c>
      <c r="G48" s="1" t="s">
        <v>24</v>
      </c>
      <c r="H48" s="1" t="s">
        <v>14</v>
      </c>
      <c r="I48" s="1" t="s">
        <v>15</v>
      </c>
      <c r="J48" s="1" t="n">
        <v>4</v>
      </c>
    </row>
    <row r="49" customFormat="false" ht="15" hidden="false" customHeight="false" outlineLevel="0" collapsed="false">
      <c r="A49" s="1" t="s">
        <v>152</v>
      </c>
      <c r="B49" s="4" t="n">
        <v>45842</v>
      </c>
      <c r="C49" s="1" t="s">
        <v>153</v>
      </c>
      <c r="D49" s="1" t="s">
        <v>154</v>
      </c>
      <c r="E49" s="1" t="n">
        <v>2</v>
      </c>
      <c r="F49" s="5" t="n">
        <v>0.1</v>
      </c>
      <c r="G49" s="1" t="s">
        <v>24</v>
      </c>
      <c r="H49" s="1" t="s">
        <v>14</v>
      </c>
      <c r="I49" s="1" t="s">
        <v>38</v>
      </c>
      <c r="J49" s="1" t="n">
        <v>2</v>
      </c>
    </row>
    <row r="50" customFormat="false" ht="15" hidden="false" customHeight="false" outlineLevel="0" collapsed="false">
      <c r="A50" s="1" t="s">
        <v>155</v>
      </c>
      <c r="B50" s="4" t="n">
        <v>45698</v>
      </c>
      <c r="C50" s="1" t="s">
        <v>119</v>
      </c>
      <c r="D50" s="1" t="s">
        <v>106</v>
      </c>
      <c r="E50" s="1" t="n">
        <v>2</v>
      </c>
      <c r="F50" s="5" t="n">
        <v>0.2</v>
      </c>
      <c r="G50" s="1" t="s">
        <v>34</v>
      </c>
      <c r="H50" s="1" t="s">
        <v>53</v>
      </c>
      <c r="I50" s="1" t="s">
        <v>20</v>
      </c>
      <c r="J50" s="1" t="n">
        <v>6</v>
      </c>
    </row>
    <row r="51" customFormat="false" ht="15" hidden="false" customHeight="false" outlineLevel="0" collapsed="false">
      <c r="A51" s="1" t="s">
        <v>156</v>
      </c>
      <c r="B51" s="4" t="n">
        <v>45753</v>
      </c>
      <c r="C51" s="1" t="s">
        <v>157</v>
      </c>
      <c r="D51" s="1" t="s">
        <v>37</v>
      </c>
      <c r="E51" s="1" t="n">
        <v>1</v>
      </c>
      <c r="F51" s="5" t="n">
        <v>0</v>
      </c>
      <c r="G51" s="1" t="s">
        <v>19</v>
      </c>
      <c r="H51" s="1" t="s">
        <v>14</v>
      </c>
      <c r="I51" s="1" t="s">
        <v>20</v>
      </c>
      <c r="J51" s="1" t="n">
        <v>5</v>
      </c>
    </row>
    <row r="52" customFormat="false" ht="15" hidden="false" customHeight="false" outlineLevel="0" collapsed="false">
      <c r="A52" s="1" t="s">
        <v>158</v>
      </c>
      <c r="B52" s="4" t="n">
        <v>45708</v>
      </c>
      <c r="C52" s="1" t="s">
        <v>159</v>
      </c>
      <c r="D52" s="1" t="s">
        <v>160</v>
      </c>
      <c r="E52" s="1" t="n">
        <v>1</v>
      </c>
      <c r="F52" s="5" t="n">
        <v>0.1</v>
      </c>
      <c r="G52" s="1" t="s">
        <v>19</v>
      </c>
      <c r="H52" s="1" t="s">
        <v>45</v>
      </c>
      <c r="I52" s="1" t="s">
        <v>15</v>
      </c>
    </row>
    <row r="53" customFormat="false" ht="15" hidden="false" customHeight="false" outlineLevel="0" collapsed="false">
      <c r="A53" s="1" t="s">
        <v>161</v>
      </c>
      <c r="B53" s="4" t="n">
        <v>45847</v>
      </c>
      <c r="C53" s="1" t="s">
        <v>80</v>
      </c>
      <c r="D53" s="1" t="s">
        <v>162</v>
      </c>
      <c r="E53" s="1" t="n">
        <v>1</v>
      </c>
      <c r="F53" s="5" t="n">
        <v>0.15</v>
      </c>
      <c r="G53" s="1" t="s">
        <v>24</v>
      </c>
      <c r="H53" s="1" t="s">
        <v>92</v>
      </c>
      <c r="I53" s="1" t="s">
        <v>20</v>
      </c>
    </row>
    <row r="54" customFormat="false" ht="15" hidden="false" customHeight="false" outlineLevel="0" collapsed="false">
      <c r="A54" s="1" t="s">
        <v>163</v>
      </c>
      <c r="B54" s="4" t="n">
        <v>45874</v>
      </c>
      <c r="C54" s="1" t="s">
        <v>164</v>
      </c>
      <c r="D54" s="1" t="s">
        <v>165</v>
      </c>
      <c r="E54" s="1" t="n">
        <v>1</v>
      </c>
      <c r="F54" s="5" t="n">
        <v>0</v>
      </c>
      <c r="G54" s="1" t="s">
        <v>52</v>
      </c>
      <c r="H54" s="1" t="s">
        <v>14</v>
      </c>
      <c r="I54" s="1" t="s">
        <v>15</v>
      </c>
      <c r="J54" s="1" t="n">
        <v>1</v>
      </c>
    </row>
    <row r="55" customFormat="false" ht="15" hidden="false" customHeight="false" outlineLevel="0" collapsed="false">
      <c r="A55" s="1" t="s">
        <v>166</v>
      </c>
      <c r="B55" s="4" t="n">
        <v>45893</v>
      </c>
      <c r="C55" s="1" t="s">
        <v>167</v>
      </c>
      <c r="D55" s="1" t="s">
        <v>168</v>
      </c>
      <c r="E55" s="1" t="n">
        <v>4</v>
      </c>
      <c r="F55" s="5" t="n">
        <v>0.1</v>
      </c>
      <c r="G55" s="1" t="s">
        <v>52</v>
      </c>
      <c r="H55" s="1" t="s">
        <v>45</v>
      </c>
      <c r="I55" s="1" t="s">
        <v>15</v>
      </c>
    </row>
    <row r="56" customFormat="false" ht="15" hidden="false" customHeight="false" outlineLevel="0" collapsed="false">
      <c r="A56" s="1" t="s">
        <v>169</v>
      </c>
      <c r="B56" s="4" t="n">
        <v>45962</v>
      </c>
      <c r="C56" s="1" t="s">
        <v>170</v>
      </c>
      <c r="D56" s="1" t="s">
        <v>171</v>
      </c>
      <c r="E56" s="1" t="n">
        <v>3</v>
      </c>
      <c r="F56" s="5" t="n">
        <v>0.15</v>
      </c>
      <c r="G56" s="1" t="s">
        <v>34</v>
      </c>
      <c r="H56" s="1" t="s">
        <v>53</v>
      </c>
      <c r="I56" s="1" t="s">
        <v>20</v>
      </c>
      <c r="J56" s="1" t="n">
        <v>5</v>
      </c>
    </row>
    <row r="57" customFormat="false" ht="15" hidden="false" customHeight="false" outlineLevel="0" collapsed="false">
      <c r="A57" s="1" t="s">
        <v>172</v>
      </c>
      <c r="B57" s="4" t="n">
        <v>45921</v>
      </c>
      <c r="C57" s="1" t="s">
        <v>173</v>
      </c>
      <c r="D57" s="1" t="s">
        <v>64</v>
      </c>
      <c r="E57" s="1" t="n">
        <v>1</v>
      </c>
      <c r="F57" s="5" t="n">
        <v>0.15</v>
      </c>
      <c r="G57" s="1" t="s">
        <v>13</v>
      </c>
      <c r="H57" s="1" t="s">
        <v>14</v>
      </c>
      <c r="I57" s="1" t="s">
        <v>20</v>
      </c>
      <c r="J57" s="1" t="n">
        <v>3</v>
      </c>
    </row>
    <row r="58" customFormat="false" ht="15" hidden="false" customHeight="false" outlineLevel="0" collapsed="false">
      <c r="A58" s="1" t="s">
        <v>174</v>
      </c>
      <c r="B58" s="4" t="n">
        <v>45956</v>
      </c>
      <c r="C58" s="1" t="s">
        <v>175</v>
      </c>
      <c r="D58" s="1" t="s">
        <v>176</v>
      </c>
      <c r="E58" s="1" t="n">
        <v>1</v>
      </c>
      <c r="F58" s="5" t="n">
        <v>0.1</v>
      </c>
      <c r="G58" s="1" t="s">
        <v>19</v>
      </c>
      <c r="H58" s="1" t="s">
        <v>14</v>
      </c>
      <c r="I58" s="1" t="s">
        <v>20</v>
      </c>
      <c r="J58" s="1" t="n">
        <v>6</v>
      </c>
    </row>
    <row r="59" customFormat="false" ht="15" hidden="false" customHeight="false" outlineLevel="0" collapsed="false">
      <c r="A59" s="1" t="s">
        <v>177</v>
      </c>
      <c r="B59" s="4" t="n">
        <v>46006</v>
      </c>
      <c r="C59" s="1" t="s">
        <v>178</v>
      </c>
      <c r="D59" s="1" t="s">
        <v>179</v>
      </c>
      <c r="E59" s="1" t="n">
        <v>2</v>
      </c>
      <c r="F59" s="5" t="n">
        <v>0.15</v>
      </c>
      <c r="G59" s="1" t="s">
        <v>24</v>
      </c>
      <c r="H59" s="1" t="s">
        <v>14</v>
      </c>
      <c r="I59" s="1" t="s">
        <v>15</v>
      </c>
      <c r="J59" s="1" t="n">
        <v>1</v>
      </c>
    </row>
    <row r="60" customFormat="false" ht="15" hidden="false" customHeight="false" outlineLevel="0" collapsed="false">
      <c r="A60" s="1" t="s">
        <v>180</v>
      </c>
      <c r="B60" s="4" t="n">
        <v>45694</v>
      </c>
      <c r="C60" s="1" t="s">
        <v>181</v>
      </c>
      <c r="D60" s="1" t="s">
        <v>41</v>
      </c>
      <c r="E60" s="1" t="n">
        <v>1</v>
      </c>
      <c r="F60" s="5" t="n">
        <v>0.1</v>
      </c>
      <c r="G60" s="1" t="s">
        <v>34</v>
      </c>
      <c r="H60" s="1" t="s">
        <v>14</v>
      </c>
      <c r="I60" s="1" t="s">
        <v>15</v>
      </c>
      <c r="J60" s="1" t="n">
        <v>5</v>
      </c>
    </row>
    <row r="61" customFormat="false" ht="15" hidden="false" customHeight="false" outlineLevel="0" collapsed="false">
      <c r="A61" s="1" t="s">
        <v>182</v>
      </c>
      <c r="B61" s="4" t="n">
        <v>45872</v>
      </c>
      <c r="C61" s="1" t="s">
        <v>183</v>
      </c>
      <c r="D61" s="1" t="s">
        <v>125</v>
      </c>
      <c r="E61" s="1" t="n">
        <v>1</v>
      </c>
      <c r="F61" s="5" t="n">
        <v>0.05</v>
      </c>
      <c r="G61" s="1" t="s">
        <v>52</v>
      </c>
      <c r="H61" s="1" t="s">
        <v>14</v>
      </c>
      <c r="I61" s="1" t="s">
        <v>15</v>
      </c>
      <c r="J61" s="1" t="n">
        <v>6</v>
      </c>
    </row>
    <row r="62" customFormat="false" ht="15" hidden="false" customHeight="false" outlineLevel="0" collapsed="false">
      <c r="A62" s="1" t="s">
        <v>184</v>
      </c>
      <c r="B62" s="4" t="n">
        <v>45796</v>
      </c>
      <c r="C62" s="1" t="s">
        <v>185</v>
      </c>
      <c r="D62" s="1" t="s">
        <v>186</v>
      </c>
      <c r="E62" s="1" t="n">
        <v>5</v>
      </c>
      <c r="F62" s="5" t="n">
        <v>0.1</v>
      </c>
      <c r="G62" s="1" t="s">
        <v>24</v>
      </c>
      <c r="H62" s="1" t="s">
        <v>14</v>
      </c>
      <c r="I62" s="1" t="s">
        <v>38</v>
      </c>
      <c r="J62" s="1" t="n">
        <v>7</v>
      </c>
    </row>
    <row r="63" customFormat="false" ht="15" hidden="false" customHeight="false" outlineLevel="0" collapsed="false">
      <c r="A63" s="1" t="s">
        <v>187</v>
      </c>
      <c r="B63" s="4" t="n">
        <v>45825</v>
      </c>
      <c r="C63" s="1" t="s">
        <v>188</v>
      </c>
      <c r="D63" s="1" t="s">
        <v>106</v>
      </c>
      <c r="E63" s="1" t="n">
        <v>1</v>
      </c>
      <c r="F63" s="5" t="n">
        <v>0.15</v>
      </c>
      <c r="G63" s="1" t="s">
        <v>24</v>
      </c>
      <c r="H63" s="1" t="s">
        <v>14</v>
      </c>
      <c r="I63" s="1" t="s">
        <v>15</v>
      </c>
      <c r="J63" s="1" t="n">
        <v>5</v>
      </c>
    </row>
    <row r="64" customFormat="false" ht="15" hidden="false" customHeight="false" outlineLevel="0" collapsed="false">
      <c r="A64" s="1" t="s">
        <v>189</v>
      </c>
      <c r="B64" s="4" t="n">
        <v>45810</v>
      </c>
      <c r="C64" s="1" t="s">
        <v>164</v>
      </c>
      <c r="D64" s="1" t="s">
        <v>117</v>
      </c>
      <c r="E64" s="1" t="n">
        <v>4</v>
      </c>
      <c r="F64" s="5" t="n">
        <v>0.1</v>
      </c>
      <c r="G64" s="1" t="s">
        <v>24</v>
      </c>
      <c r="H64" s="1" t="s">
        <v>14</v>
      </c>
      <c r="I64" s="1" t="s">
        <v>15</v>
      </c>
      <c r="J64" s="1" t="n">
        <v>1</v>
      </c>
    </row>
    <row r="65" customFormat="false" ht="15" hidden="false" customHeight="false" outlineLevel="0" collapsed="false">
      <c r="A65" s="1" t="s">
        <v>190</v>
      </c>
      <c r="B65" s="4" t="n">
        <v>45943</v>
      </c>
      <c r="C65" s="1" t="s">
        <v>191</v>
      </c>
      <c r="D65" s="1" t="s">
        <v>192</v>
      </c>
      <c r="E65" s="1" t="n">
        <v>3</v>
      </c>
      <c r="F65" s="5" t="n">
        <v>0.25</v>
      </c>
      <c r="G65" s="1" t="s">
        <v>71</v>
      </c>
      <c r="H65" s="1" t="s">
        <v>78</v>
      </c>
      <c r="I65" s="1" t="s">
        <v>20</v>
      </c>
      <c r="J65" s="1" t="n">
        <v>2</v>
      </c>
    </row>
    <row r="66" customFormat="false" ht="15" hidden="false" customHeight="false" outlineLevel="0" collapsed="false">
      <c r="A66" s="1" t="s">
        <v>193</v>
      </c>
      <c r="B66" s="4" t="n">
        <v>45780</v>
      </c>
      <c r="C66" s="1" t="s">
        <v>194</v>
      </c>
      <c r="D66" s="1" t="s">
        <v>30</v>
      </c>
      <c r="E66" s="1" t="n">
        <v>1</v>
      </c>
      <c r="F66" s="5" t="n">
        <v>0.15</v>
      </c>
      <c r="G66" s="1" t="s">
        <v>52</v>
      </c>
      <c r="H66" s="1" t="s">
        <v>14</v>
      </c>
      <c r="I66" s="1" t="s">
        <v>15</v>
      </c>
      <c r="J66" s="1" t="n">
        <v>4</v>
      </c>
    </row>
    <row r="67" customFormat="false" ht="15" hidden="false" customHeight="false" outlineLevel="0" collapsed="false">
      <c r="A67" s="1" t="s">
        <v>195</v>
      </c>
      <c r="B67" s="4" t="n">
        <v>45916</v>
      </c>
      <c r="C67" s="1" t="s">
        <v>196</v>
      </c>
      <c r="D67" s="1" t="s">
        <v>197</v>
      </c>
      <c r="E67" s="1" t="n">
        <v>1</v>
      </c>
      <c r="F67" s="5" t="n">
        <v>0.1</v>
      </c>
      <c r="G67" s="1" t="s">
        <v>71</v>
      </c>
      <c r="H67" s="1" t="s">
        <v>45</v>
      </c>
      <c r="I67" s="1" t="s">
        <v>15</v>
      </c>
    </row>
    <row r="68" customFormat="false" ht="15" hidden="false" customHeight="false" outlineLevel="0" collapsed="false">
      <c r="A68" s="1" t="s">
        <v>198</v>
      </c>
      <c r="B68" s="4" t="n">
        <v>45761</v>
      </c>
      <c r="C68" s="1" t="s">
        <v>199</v>
      </c>
      <c r="D68" s="1" t="s">
        <v>48</v>
      </c>
      <c r="E68" s="1" t="n">
        <v>2</v>
      </c>
      <c r="F68" s="5" t="n">
        <v>0.2</v>
      </c>
      <c r="G68" s="1" t="s">
        <v>52</v>
      </c>
      <c r="H68" s="1" t="s">
        <v>14</v>
      </c>
      <c r="I68" s="1" t="s">
        <v>20</v>
      </c>
      <c r="J68" s="1" t="n">
        <v>2</v>
      </c>
    </row>
    <row r="69" customFormat="false" ht="15" hidden="false" customHeight="false" outlineLevel="0" collapsed="false">
      <c r="A69" s="1" t="s">
        <v>200</v>
      </c>
      <c r="B69" s="4" t="n">
        <v>45960</v>
      </c>
      <c r="C69" s="1" t="s">
        <v>201</v>
      </c>
      <c r="D69" s="1" t="s">
        <v>58</v>
      </c>
      <c r="E69" s="1" t="n">
        <v>1</v>
      </c>
      <c r="F69" s="5" t="n">
        <v>0.25</v>
      </c>
      <c r="G69" s="1" t="s">
        <v>71</v>
      </c>
      <c r="H69" s="1" t="s">
        <v>14</v>
      </c>
      <c r="I69" s="1" t="s">
        <v>15</v>
      </c>
      <c r="J69" s="1" t="n">
        <v>6</v>
      </c>
    </row>
    <row r="70" customFormat="false" ht="15" hidden="false" customHeight="false" outlineLevel="0" collapsed="false">
      <c r="A70" s="1" t="s">
        <v>202</v>
      </c>
      <c r="B70" s="4" t="n">
        <v>46014</v>
      </c>
      <c r="C70" s="1" t="s">
        <v>203</v>
      </c>
      <c r="D70" s="1" t="s">
        <v>148</v>
      </c>
      <c r="E70" s="1" t="n">
        <v>3</v>
      </c>
      <c r="F70" s="5" t="n">
        <v>0.15</v>
      </c>
      <c r="G70" s="1" t="s">
        <v>19</v>
      </c>
      <c r="H70" s="1" t="s">
        <v>14</v>
      </c>
      <c r="I70" s="1" t="s">
        <v>38</v>
      </c>
      <c r="J70" s="1" t="n">
        <v>2</v>
      </c>
    </row>
    <row r="71" customFormat="false" ht="15" hidden="false" customHeight="false" outlineLevel="0" collapsed="false">
      <c r="A71" s="1" t="s">
        <v>204</v>
      </c>
      <c r="B71" s="4" t="n">
        <v>45914</v>
      </c>
      <c r="C71" s="1" t="s">
        <v>205</v>
      </c>
      <c r="D71" s="1" t="s">
        <v>176</v>
      </c>
      <c r="E71" s="1" t="n">
        <v>3</v>
      </c>
      <c r="F71" s="5" t="n">
        <v>0.25</v>
      </c>
      <c r="G71" s="1" t="s">
        <v>24</v>
      </c>
      <c r="H71" s="1" t="s">
        <v>14</v>
      </c>
      <c r="I71" s="1" t="s">
        <v>20</v>
      </c>
      <c r="J71" s="1" t="n">
        <v>5</v>
      </c>
    </row>
    <row r="72" customFormat="false" ht="15" hidden="false" customHeight="false" outlineLevel="0" collapsed="false">
      <c r="A72" s="1" t="s">
        <v>206</v>
      </c>
      <c r="B72" s="4" t="n">
        <v>45916</v>
      </c>
      <c r="C72" s="1" t="s">
        <v>207</v>
      </c>
      <c r="D72" s="1" t="s">
        <v>160</v>
      </c>
      <c r="E72" s="1" t="n">
        <v>1</v>
      </c>
      <c r="F72" s="5" t="n">
        <v>0.05</v>
      </c>
      <c r="G72" s="1" t="s">
        <v>13</v>
      </c>
      <c r="H72" s="1" t="s">
        <v>14</v>
      </c>
      <c r="I72" s="1" t="s">
        <v>15</v>
      </c>
      <c r="J72" s="1" t="n">
        <v>2</v>
      </c>
    </row>
    <row r="73" customFormat="false" ht="15" hidden="false" customHeight="false" outlineLevel="0" collapsed="false">
      <c r="A73" s="1" t="s">
        <v>208</v>
      </c>
      <c r="B73" s="4" t="n">
        <v>45843</v>
      </c>
      <c r="C73" s="1" t="s">
        <v>209</v>
      </c>
      <c r="D73" s="1" t="s">
        <v>210</v>
      </c>
      <c r="E73" s="1" t="n">
        <v>1</v>
      </c>
      <c r="F73" s="5" t="n">
        <v>0</v>
      </c>
      <c r="G73" s="1" t="s">
        <v>52</v>
      </c>
      <c r="H73" s="1" t="s">
        <v>14</v>
      </c>
      <c r="I73" s="1" t="s">
        <v>15</v>
      </c>
      <c r="J73" s="1" t="n">
        <v>3</v>
      </c>
    </row>
    <row r="74" customFormat="false" ht="15" hidden="false" customHeight="false" outlineLevel="0" collapsed="false">
      <c r="A74" s="1" t="s">
        <v>211</v>
      </c>
      <c r="B74" s="4" t="n">
        <v>45780</v>
      </c>
      <c r="C74" s="1" t="s">
        <v>212</v>
      </c>
      <c r="D74" s="1" t="s">
        <v>213</v>
      </c>
      <c r="E74" s="1" t="n">
        <v>1</v>
      </c>
      <c r="F74" s="5" t="n">
        <v>0</v>
      </c>
      <c r="G74" s="1" t="s">
        <v>52</v>
      </c>
      <c r="H74" s="1" t="s">
        <v>45</v>
      </c>
      <c r="I74" s="1" t="s">
        <v>38</v>
      </c>
    </row>
    <row r="75" customFormat="false" ht="15" hidden="false" customHeight="false" outlineLevel="0" collapsed="false">
      <c r="A75" s="1" t="s">
        <v>214</v>
      </c>
      <c r="B75" s="4" t="n">
        <v>45933</v>
      </c>
      <c r="C75" s="1" t="s">
        <v>215</v>
      </c>
      <c r="D75" s="1" t="s">
        <v>216</v>
      </c>
      <c r="E75" s="1" t="n">
        <v>1</v>
      </c>
      <c r="F75" s="5" t="n">
        <v>0</v>
      </c>
      <c r="G75" s="1" t="s">
        <v>13</v>
      </c>
      <c r="H75" s="1" t="s">
        <v>78</v>
      </c>
      <c r="I75" s="1" t="s">
        <v>20</v>
      </c>
      <c r="J75" s="1" t="n">
        <v>7</v>
      </c>
    </row>
    <row r="76" customFormat="false" ht="15" hidden="false" customHeight="false" outlineLevel="0" collapsed="false">
      <c r="A76" s="1" t="s">
        <v>217</v>
      </c>
      <c r="B76" s="4" t="n">
        <v>45914</v>
      </c>
      <c r="C76" s="1" t="s">
        <v>26</v>
      </c>
      <c r="D76" s="1" t="s">
        <v>160</v>
      </c>
      <c r="E76" s="1" t="n">
        <v>2</v>
      </c>
      <c r="F76" s="5" t="n">
        <v>0.1</v>
      </c>
      <c r="G76" s="1" t="s">
        <v>52</v>
      </c>
      <c r="H76" s="1" t="s">
        <v>14</v>
      </c>
      <c r="I76" s="1" t="s">
        <v>15</v>
      </c>
      <c r="J76" s="1" t="n">
        <v>2</v>
      </c>
    </row>
    <row r="77" customFormat="false" ht="15" hidden="false" customHeight="false" outlineLevel="0" collapsed="false">
      <c r="A77" s="1" t="s">
        <v>218</v>
      </c>
      <c r="B77" s="4" t="n">
        <v>45961</v>
      </c>
      <c r="C77" s="1" t="s">
        <v>219</v>
      </c>
      <c r="D77" s="1" t="s">
        <v>220</v>
      </c>
      <c r="E77" s="1" t="n">
        <v>1</v>
      </c>
      <c r="F77" s="5" t="n">
        <v>0.25</v>
      </c>
      <c r="G77" s="1" t="s">
        <v>34</v>
      </c>
      <c r="H77" s="1" t="s">
        <v>14</v>
      </c>
      <c r="I77" s="1" t="s">
        <v>15</v>
      </c>
      <c r="J77" s="1" t="n">
        <v>7</v>
      </c>
    </row>
    <row r="78" customFormat="false" ht="15" hidden="false" customHeight="false" outlineLevel="0" collapsed="false">
      <c r="A78" s="1" t="s">
        <v>221</v>
      </c>
      <c r="B78" s="4" t="n">
        <v>45848</v>
      </c>
      <c r="C78" s="1" t="s">
        <v>69</v>
      </c>
      <c r="D78" s="1" t="s">
        <v>222</v>
      </c>
      <c r="E78" s="1" t="n">
        <v>3</v>
      </c>
      <c r="F78" s="5" t="n">
        <v>0.2</v>
      </c>
      <c r="G78" s="1" t="s">
        <v>24</v>
      </c>
      <c r="H78" s="1" t="s">
        <v>92</v>
      </c>
      <c r="I78" s="1" t="s">
        <v>15</v>
      </c>
    </row>
    <row r="79" customFormat="false" ht="15" hidden="false" customHeight="false" outlineLevel="0" collapsed="false">
      <c r="A79" s="1" t="s">
        <v>223</v>
      </c>
      <c r="B79" s="4" t="n">
        <v>45855</v>
      </c>
      <c r="C79" s="1" t="s">
        <v>150</v>
      </c>
      <c r="D79" s="1" t="s">
        <v>89</v>
      </c>
      <c r="E79" s="1" t="n">
        <v>2</v>
      </c>
      <c r="F79" s="5" t="n">
        <v>0</v>
      </c>
      <c r="G79" s="1" t="s">
        <v>24</v>
      </c>
      <c r="H79" s="1" t="s">
        <v>14</v>
      </c>
      <c r="I79" s="1" t="s">
        <v>20</v>
      </c>
      <c r="J79" s="1" t="n">
        <v>7</v>
      </c>
    </row>
    <row r="80" customFormat="false" ht="15" hidden="false" customHeight="false" outlineLevel="0" collapsed="false">
      <c r="A80" s="1" t="s">
        <v>224</v>
      </c>
      <c r="B80" s="4" t="n">
        <v>45783</v>
      </c>
      <c r="C80" s="1" t="s">
        <v>225</v>
      </c>
      <c r="D80" s="1" t="s">
        <v>12</v>
      </c>
      <c r="E80" s="1" t="n">
        <v>1</v>
      </c>
      <c r="F80" s="5" t="n">
        <v>0.1</v>
      </c>
      <c r="G80" s="1" t="s">
        <v>24</v>
      </c>
      <c r="H80" s="1" t="s">
        <v>14</v>
      </c>
      <c r="I80" s="1" t="s">
        <v>15</v>
      </c>
      <c r="J80" s="1" t="n">
        <v>5</v>
      </c>
    </row>
    <row r="81" customFormat="false" ht="15" hidden="false" customHeight="false" outlineLevel="0" collapsed="false">
      <c r="A81" s="1" t="s">
        <v>226</v>
      </c>
      <c r="B81" s="4" t="n">
        <v>45925</v>
      </c>
      <c r="C81" s="1" t="s">
        <v>227</v>
      </c>
      <c r="D81" s="1" t="s">
        <v>114</v>
      </c>
      <c r="E81" s="1" t="n">
        <v>1</v>
      </c>
      <c r="F81" s="5" t="n">
        <v>0.1</v>
      </c>
      <c r="G81" s="1" t="s">
        <v>52</v>
      </c>
      <c r="H81" s="1" t="s">
        <v>14</v>
      </c>
      <c r="I81" s="1" t="s">
        <v>15</v>
      </c>
      <c r="J81" s="1" t="n">
        <v>5</v>
      </c>
    </row>
    <row r="82" customFormat="false" ht="15" hidden="false" customHeight="false" outlineLevel="0" collapsed="false">
      <c r="A82" s="1" t="s">
        <v>228</v>
      </c>
      <c r="B82" s="4" t="n">
        <v>45828</v>
      </c>
      <c r="C82" s="1" t="s">
        <v>229</v>
      </c>
      <c r="D82" s="1" t="s">
        <v>230</v>
      </c>
      <c r="E82" s="1" t="n">
        <v>2</v>
      </c>
      <c r="F82" s="5" t="n">
        <v>0.2</v>
      </c>
      <c r="G82" s="1" t="s">
        <v>19</v>
      </c>
      <c r="H82" s="1" t="s">
        <v>14</v>
      </c>
      <c r="I82" s="1" t="s">
        <v>20</v>
      </c>
      <c r="J82" s="1" t="n">
        <v>3</v>
      </c>
    </row>
    <row r="83" customFormat="false" ht="15" hidden="false" customHeight="false" outlineLevel="0" collapsed="false">
      <c r="A83" s="1" t="s">
        <v>231</v>
      </c>
      <c r="B83" s="4" t="n">
        <v>45885</v>
      </c>
      <c r="C83" s="1" t="s">
        <v>232</v>
      </c>
      <c r="D83" s="1" t="s">
        <v>97</v>
      </c>
      <c r="E83" s="1" t="n">
        <v>3</v>
      </c>
      <c r="F83" s="5" t="n">
        <v>0.05</v>
      </c>
      <c r="G83" s="1" t="s">
        <v>71</v>
      </c>
      <c r="H83" s="1" t="s">
        <v>14</v>
      </c>
      <c r="I83" s="1" t="s">
        <v>15</v>
      </c>
      <c r="J83" s="1" t="n">
        <v>6</v>
      </c>
    </row>
    <row r="84" customFormat="false" ht="15" hidden="false" customHeight="false" outlineLevel="0" collapsed="false">
      <c r="A84" s="1" t="s">
        <v>233</v>
      </c>
      <c r="B84" s="4" t="n">
        <v>45983</v>
      </c>
      <c r="C84" s="1" t="s">
        <v>234</v>
      </c>
      <c r="D84" s="1" t="s">
        <v>109</v>
      </c>
      <c r="E84" s="1" t="n">
        <v>2</v>
      </c>
      <c r="F84" s="5" t="n">
        <v>0.15</v>
      </c>
      <c r="G84" s="1" t="s">
        <v>52</v>
      </c>
      <c r="H84" s="1" t="s">
        <v>53</v>
      </c>
      <c r="I84" s="1" t="s">
        <v>15</v>
      </c>
      <c r="J84" s="1" t="n">
        <v>3</v>
      </c>
    </row>
    <row r="85" customFormat="false" ht="15" hidden="false" customHeight="false" outlineLevel="0" collapsed="false">
      <c r="A85" s="1" t="s">
        <v>235</v>
      </c>
      <c r="B85" s="4" t="n">
        <v>45736</v>
      </c>
      <c r="C85" s="1" t="s">
        <v>236</v>
      </c>
      <c r="D85" s="1" t="s">
        <v>237</v>
      </c>
      <c r="E85" s="1" t="n">
        <v>3</v>
      </c>
      <c r="F85" s="5" t="n">
        <v>0.15</v>
      </c>
      <c r="G85" s="1" t="s">
        <v>52</v>
      </c>
      <c r="H85" s="1" t="s">
        <v>53</v>
      </c>
      <c r="I85" s="1" t="s">
        <v>38</v>
      </c>
      <c r="J85" s="1" t="n">
        <v>7</v>
      </c>
    </row>
    <row r="86" customFormat="false" ht="15" hidden="false" customHeight="false" outlineLevel="0" collapsed="false">
      <c r="A86" s="1" t="s">
        <v>238</v>
      </c>
      <c r="B86" s="4" t="n">
        <v>45848</v>
      </c>
      <c r="C86" s="1" t="s">
        <v>239</v>
      </c>
      <c r="D86" s="1" t="s">
        <v>240</v>
      </c>
      <c r="E86" s="1" t="n">
        <v>4</v>
      </c>
      <c r="F86" s="5" t="n">
        <v>0</v>
      </c>
      <c r="G86" s="1" t="s">
        <v>52</v>
      </c>
      <c r="H86" s="1" t="s">
        <v>14</v>
      </c>
      <c r="I86" s="1" t="s">
        <v>38</v>
      </c>
      <c r="J86" s="1" t="n">
        <v>3</v>
      </c>
    </row>
    <row r="87" customFormat="false" ht="15" hidden="false" customHeight="false" outlineLevel="0" collapsed="false">
      <c r="A87" s="1" t="s">
        <v>241</v>
      </c>
      <c r="B87" s="4" t="n">
        <v>45777</v>
      </c>
      <c r="C87" s="1" t="s">
        <v>170</v>
      </c>
      <c r="D87" s="1" t="s">
        <v>168</v>
      </c>
      <c r="E87" s="1" t="n">
        <v>1</v>
      </c>
      <c r="F87" s="5" t="n">
        <v>0.05</v>
      </c>
      <c r="G87" s="1" t="s">
        <v>34</v>
      </c>
      <c r="H87" s="1" t="s">
        <v>78</v>
      </c>
      <c r="I87" s="1" t="s">
        <v>38</v>
      </c>
      <c r="J87" s="1" t="n">
        <v>6</v>
      </c>
    </row>
    <row r="88" customFormat="false" ht="15" hidden="false" customHeight="false" outlineLevel="0" collapsed="false">
      <c r="A88" s="1" t="s">
        <v>242</v>
      </c>
      <c r="B88" s="4" t="n">
        <v>45987</v>
      </c>
      <c r="C88" s="1" t="s">
        <v>133</v>
      </c>
      <c r="D88" s="1" t="s">
        <v>222</v>
      </c>
      <c r="E88" s="1" t="n">
        <v>2</v>
      </c>
      <c r="F88" s="5" t="n">
        <v>0.05</v>
      </c>
      <c r="G88" s="1" t="s">
        <v>52</v>
      </c>
      <c r="H88" s="1" t="s">
        <v>14</v>
      </c>
      <c r="I88" s="1" t="s">
        <v>38</v>
      </c>
      <c r="J88" s="1" t="n">
        <v>6</v>
      </c>
    </row>
    <row r="89" customFormat="false" ht="15" hidden="false" customHeight="false" outlineLevel="0" collapsed="false">
      <c r="A89" s="1" t="s">
        <v>243</v>
      </c>
      <c r="B89" s="4" t="n">
        <v>45741</v>
      </c>
      <c r="C89" s="1" t="s">
        <v>244</v>
      </c>
      <c r="D89" s="1" t="s">
        <v>245</v>
      </c>
      <c r="E89" s="1" t="n">
        <v>1</v>
      </c>
      <c r="F89" s="5" t="n">
        <v>0.15</v>
      </c>
      <c r="G89" s="1" t="s">
        <v>52</v>
      </c>
      <c r="H89" s="1" t="s">
        <v>92</v>
      </c>
      <c r="I89" s="1" t="s">
        <v>38</v>
      </c>
    </row>
    <row r="90" customFormat="false" ht="15" hidden="false" customHeight="false" outlineLevel="0" collapsed="false">
      <c r="A90" s="1" t="s">
        <v>246</v>
      </c>
      <c r="B90" s="4" t="n">
        <v>45799</v>
      </c>
      <c r="C90" s="1" t="s">
        <v>247</v>
      </c>
      <c r="D90" s="1" t="s">
        <v>130</v>
      </c>
      <c r="E90" s="1" t="n">
        <v>3</v>
      </c>
      <c r="F90" s="5" t="n">
        <v>0.2</v>
      </c>
      <c r="G90" s="1" t="s">
        <v>24</v>
      </c>
      <c r="H90" s="1" t="s">
        <v>14</v>
      </c>
      <c r="I90" s="1" t="s">
        <v>15</v>
      </c>
      <c r="J90" s="1" t="n">
        <v>3</v>
      </c>
    </row>
    <row r="91" customFormat="false" ht="15" hidden="false" customHeight="false" outlineLevel="0" collapsed="false">
      <c r="A91" s="1" t="s">
        <v>248</v>
      </c>
      <c r="B91" s="4" t="n">
        <v>45940</v>
      </c>
      <c r="C91" s="1" t="s">
        <v>249</v>
      </c>
      <c r="D91" s="1" t="s">
        <v>23</v>
      </c>
      <c r="E91" s="1" t="n">
        <v>1</v>
      </c>
      <c r="F91" s="5" t="n">
        <v>0.1</v>
      </c>
      <c r="G91" s="1" t="s">
        <v>24</v>
      </c>
      <c r="H91" s="1" t="s">
        <v>53</v>
      </c>
      <c r="I91" s="1" t="s">
        <v>20</v>
      </c>
      <c r="J91" s="1" t="n">
        <v>1</v>
      </c>
    </row>
    <row r="92" customFormat="false" ht="15" hidden="false" customHeight="false" outlineLevel="0" collapsed="false">
      <c r="A92" s="1" t="s">
        <v>250</v>
      </c>
      <c r="B92" s="4" t="n">
        <v>45667</v>
      </c>
      <c r="C92" s="1" t="s">
        <v>127</v>
      </c>
      <c r="D92" s="1" t="s">
        <v>12</v>
      </c>
      <c r="E92" s="1" t="n">
        <v>3</v>
      </c>
      <c r="F92" s="5" t="n">
        <v>0.2</v>
      </c>
      <c r="G92" s="1" t="s">
        <v>24</v>
      </c>
      <c r="H92" s="1" t="s">
        <v>14</v>
      </c>
      <c r="I92" s="1" t="s">
        <v>15</v>
      </c>
      <c r="J92" s="1" t="n">
        <v>2</v>
      </c>
    </row>
    <row r="93" customFormat="false" ht="15" hidden="false" customHeight="false" outlineLevel="0" collapsed="false">
      <c r="A93" s="1" t="s">
        <v>251</v>
      </c>
      <c r="B93" s="4" t="n">
        <v>45906</v>
      </c>
      <c r="C93" s="1" t="s">
        <v>252</v>
      </c>
      <c r="D93" s="1" t="s">
        <v>253</v>
      </c>
      <c r="E93" s="1" t="n">
        <v>2</v>
      </c>
      <c r="F93" s="5" t="n">
        <v>0.05</v>
      </c>
      <c r="G93" s="1" t="s">
        <v>24</v>
      </c>
      <c r="H93" s="1" t="s">
        <v>14</v>
      </c>
      <c r="I93" s="1" t="s">
        <v>20</v>
      </c>
      <c r="J93" s="1" t="n">
        <v>4</v>
      </c>
    </row>
    <row r="94" customFormat="false" ht="15" hidden="false" customHeight="false" outlineLevel="0" collapsed="false">
      <c r="A94" s="1" t="s">
        <v>254</v>
      </c>
      <c r="B94" s="4" t="n">
        <v>45741</v>
      </c>
      <c r="C94" s="1" t="s">
        <v>199</v>
      </c>
      <c r="D94" s="1" t="s">
        <v>255</v>
      </c>
      <c r="E94" s="1" t="n">
        <v>3</v>
      </c>
      <c r="F94" s="5" t="n">
        <v>0.05</v>
      </c>
      <c r="G94" s="1" t="s">
        <v>34</v>
      </c>
      <c r="H94" s="1" t="s">
        <v>53</v>
      </c>
      <c r="I94" s="1" t="s">
        <v>20</v>
      </c>
      <c r="J94" s="1" t="n">
        <v>2</v>
      </c>
    </row>
    <row r="95" customFormat="false" ht="15" hidden="false" customHeight="false" outlineLevel="0" collapsed="false">
      <c r="A95" s="1" t="s">
        <v>256</v>
      </c>
      <c r="B95" s="4" t="n">
        <v>45811</v>
      </c>
      <c r="C95" s="1" t="s">
        <v>225</v>
      </c>
      <c r="D95" s="1" t="s">
        <v>257</v>
      </c>
      <c r="E95" s="1" t="n">
        <v>1</v>
      </c>
      <c r="F95" s="5" t="n">
        <v>0.1</v>
      </c>
      <c r="G95" s="1" t="s">
        <v>24</v>
      </c>
      <c r="H95" s="1" t="s">
        <v>14</v>
      </c>
      <c r="I95" s="1" t="s">
        <v>20</v>
      </c>
      <c r="J95" s="1" t="n">
        <v>6</v>
      </c>
    </row>
    <row r="96" customFormat="false" ht="15" hidden="false" customHeight="false" outlineLevel="0" collapsed="false">
      <c r="A96" s="1" t="s">
        <v>258</v>
      </c>
      <c r="B96" s="4" t="n">
        <v>45681</v>
      </c>
      <c r="C96" s="1" t="s">
        <v>259</v>
      </c>
      <c r="D96" s="1" t="s">
        <v>176</v>
      </c>
      <c r="E96" s="1" t="n">
        <v>3</v>
      </c>
      <c r="F96" s="5" t="n">
        <v>0.05</v>
      </c>
      <c r="G96" s="1" t="s">
        <v>34</v>
      </c>
      <c r="H96" s="1" t="s">
        <v>14</v>
      </c>
      <c r="I96" s="1" t="s">
        <v>15</v>
      </c>
      <c r="J96" s="1" t="n">
        <v>2</v>
      </c>
    </row>
    <row r="97" customFormat="false" ht="15" hidden="false" customHeight="false" outlineLevel="0" collapsed="false">
      <c r="A97" s="1" t="s">
        <v>260</v>
      </c>
      <c r="B97" s="4" t="n">
        <v>45892</v>
      </c>
      <c r="C97" s="1" t="s">
        <v>261</v>
      </c>
      <c r="D97" s="1" t="s">
        <v>58</v>
      </c>
      <c r="E97" s="1" t="n">
        <v>5</v>
      </c>
      <c r="F97" s="5" t="n">
        <v>0.05</v>
      </c>
      <c r="G97" s="1" t="s">
        <v>24</v>
      </c>
      <c r="H97" s="1" t="s">
        <v>14</v>
      </c>
      <c r="I97" s="1" t="s">
        <v>20</v>
      </c>
      <c r="J97" s="1" t="n">
        <v>2</v>
      </c>
    </row>
    <row r="98" customFormat="false" ht="15" hidden="false" customHeight="false" outlineLevel="0" collapsed="false">
      <c r="A98" s="1" t="s">
        <v>262</v>
      </c>
      <c r="B98" s="4" t="n">
        <v>45820</v>
      </c>
      <c r="C98" s="1" t="s">
        <v>263</v>
      </c>
      <c r="D98" s="1" t="s">
        <v>264</v>
      </c>
      <c r="E98" s="1" t="n">
        <v>1</v>
      </c>
      <c r="F98" s="5" t="n">
        <v>0.2</v>
      </c>
      <c r="G98" s="1" t="s">
        <v>52</v>
      </c>
      <c r="H98" s="1" t="s">
        <v>92</v>
      </c>
      <c r="I98" s="1" t="s">
        <v>38</v>
      </c>
    </row>
    <row r="99" customFormat="false" ht="15" hidden="false" customHeight="false" outlineLevel="0" collapsed="false">
      <c r="A99" s="1" t="s">
        <v>265</v>
      </c>
      <c r="B99" s="4" t="n">
        <v>45852</v>
      </c>
      <c r="C99" s="1" t="s">
        <v>266</v>
      </c>
      <c r="D99" s="1" t="s">
        <v>240</v>
      </c>
      <c r="E99" s="1" t="n">
        <v>1</v>
      </c>
      <c r="F99" s="5" t="n">
        <v>0.05</v>
      </c>
      <c r="G99" s="1" t="s">
        <v>19</v>
      </c>
      <c r="H99" s="1" t="s">
        <v>14</v>
      </c>
      <c r="I99" s="1" t="s">
        <v>15</v>
      </c>
      <c r="J99" s="1" t="n">
        <v>4</v>
      </c>
    </row>
    <row r="100" customFormat="false" ht="15" hidden="false" customHeight="false" outlineLevel="0" collapsed="false">
      <c r="A100" s="1" t="s">
        <v>267</v>
      </c>
      <c r="B100" s="4" t="n">
        <v>45688</v>
      </c>
      <c r="C100" s="1" t="s">
        <v>268</v>
      </c>
      <c r="D100" s="1" t="s">
        <v>253</v>
      </c>
      <c r="E100" s="1" t="n">
        <v>2</v>
      </c>
      <c r="F100" s="5" t="n">
        <v>0.15</v>
      </c>
      <c r="G100" s="1" t="s">
        <v>19</v>
      </c>
      <c r="H100" s="1" t="s">
        <v>78</v>
      </c>
      <c r="I100" s="1" t="s">
        <v>15</v>
      </c>
      <c r="J100" s="1" t="n">
        <v>5</v>
      </c>
    </row>
    <row r="101" customFormat="false" ht="15" hidden="false" customHeight="false" outlineLevel="0" collapsed="false">
      <c r="A101" s="1" t="s">
        <v>269</v>
      </c>
      <c r="B101" s="4" t="n">
        <v>45784</v>
      </c>
      <c r="C101" s="1" t="s">
        <v>150</v>
      </c>
      <c r="D101" s="1" t="s">
        <v>270</v>
      </c>
      <c r="E101" s="1" t="n">
        <v>2</v>
      </c>
      <c r="F101" s="5" t="n">
        <v>0.05</v>
      </c>
      <c r="G101" s="1" t="s">
        <v>24</v>
      </c>
      <c r="H101" s="1" t="s">
        <v>14</v>
      </c>
      <c r="I101" s="1" t="s">
        <v>38</v>
      </c>
      <c r="J101" s="1" t="n">
        <v>6</v>
      </c>
    </row>
    <row r="102" customFormat="false" ht="15" hidden="false" customHeight="false" outlineLevel="0" collapsed="false">
      <c r="A102" s="1" t="s">
        <v>271</v>
      </c>
      <c r="B102" s="4" t="n">
        <v>45891</v>
      </c>
      <c r="C102" s="1" t="s">
        <v>116</v>
      </c>
      <c r="D102" s="1" t="s">
        <v>48</v>
      </c>
      <c r="E102" s="1" t="n">
        <v>1</v>
      </c>
      <c r="F102" s="5" t="n">
        <v>0.1</v>
      </c>
      <c r="G102" s="1" t="s">
        <v>13</v>
      </c>
      <c r="H102" s="1" t="s">
        <v>14</v>
      </c>
      <c r="I102" s="1" t="s">
        <v>15</v>
      </c>
      <c r="J102" s="1" t="n">
        <v>2</v>
      </c>
    </row>
    <row r="103" customFormat="false" ht="15" hidden="false" customHeight="false" outlineLevel="0" collapsed="false">
      <c r="A103" s="1" t="s">
        <v>272</v>
      </c>
      <c r="B103" s="4" t="n">
        <v>45938</v>
      </c>
      <c r="C103" s="1" t="s">
        <v>273</v>
      </c>
      <c r="D103" s="1" t="s">
        <v>270</v>
      </c>
      <c r="E103" s="1" t="n">
        <v>2</v>
      </c>
      <c r="F103" s="5" t="n">
        <v>0.15</v>
      </c>
      <c r="G103" s="1" t="s">
        <v>24</v>
      </c>
      <c r="H103" s="1" t="s">
        <v>92</v>
      </c>
      <c r="I103" s="1" t="s">
        <v>15</v>
      </c>
    </row>
    <row r="104" customFormat="false" ht="15" hidden="false" customHeight="false" outlineLevel="0" collapsed="false">
      <c r="A104" s="1" t="s">
        <v>274</v>
      </c>
      <c r="B104" s="4" t="n">
        <v>45723</v>
      </c>
      <c r="C104" s="1" t="s">
        <v>275</v>
      </c>
      <c r="D104" s="1" t="s">
        <v>276</v>
      </c>
      <c r="E104" s="1" t="n">
        <v>1</v>
      </c>
      <c r="F104" s="5" t="n">
        <v>0.1</v>
      </c>
      <c r="G104" s="1" t="s">
        <v>19</v>
      </c>
      <c r="H104" s="1" t="s">
        <v>14</v>
      </c>
      <c r="I104" s="1" t="s">
        <v>38</v>
      </c>
      <c r="J104" s="1" t="n">
        <v>1</v>
      </c>
    </row>
    <row r="105" customFormat="false" ht="15" hidden="false" customHeight="false" outlineLevel="0" collapsed="false">
      <c r="A105" s="1" t="s">
        <v>277</v>
      </c>
      <c r="B105" s="4" t="n">
        <v>45780</v>
      </c>
      <c r="C105" s="1" t="s">
        <v>278</v>
      </c>
      <c r="D105" s="1" t="s">
        <v>171</v>
      </c>
      <c r="E105" s="1" t="n">
        <v>4</v>
      </c>
      <c r="F105" s="5" t="n">
        <v>0.05</v>
      </c>
      <c r="G105" s="1" t="s">
        <v>19</v>
      </c>
      <c r="H105" s="1" t="s">
        <v>14</v>
      </c>
      <c r="I105" s="1" t="s">
        <v>15</v>
      </c>
      <c r="J105" s="1" t="n">
        <v>8</v>
      </c>
    </row>
    <row r="106" customFormat="false" ht="15" hidden="false" customHeight="false" outlineLevel="0" collapsed="false">
      <c r="A106" s="1" t="s">
        <v>279</v>
      </c>
      <c r="B106" s="4" t="n">
        <v>46003</v>
      </c>
      <c r="C106" s="1" t="s">
        <v>280</v>
      </c>
      <c r="D106" s="1" t="s">
        <v>148</v>
      </c>
      <c r="E106" s="1" t="n">
        <v>1</v>
      </c>
      <c r="F106" s="5" t="n">
        <v>0</v>
      </c>
      <c r="G106" s="1" t="s">
        <v>34</v>
      </c>
      <c r="H106" s="1" t="s">
        <v>14</v>
      </c>
      <c r="I106" s="1" t="s">
        <v>15</v>
      </c>
      <c r="J106" s="1" t="n">
        <v>6</v>
      </c>
    </row>
    <row r="107" customFormat="false" ht="15" hidden="false" customHeight="false" outlineLevel="0" collapsed="false">
      <c r="A107" s="1" t="s">
        <v>281</v>
      </c>
      <c r="B107" s="4" t="n">
        <v>46006</v>
      </c>
      <c r="C107" s="1" t="s">
        <v>55</v>
      </c>
      <c r="D107" s="1" t="s">
        <v>257</v>
      </c>
      <c r="E107" s="1" t="n">
        <v>1</v>
      </c>
      <c r="F107" s="5" t="n">
        <v>0.25</v>
      </c>
      <c r="G107" s="1" t="s">
        <v>52</v>
      </c>
      <c r="H107" s="1" t="s">
        <v>78</v>
      </c>
      <c r="I107" s="1" t="s">
        <v>15</v>
      </c>
      <c r="J107" s="1" t="n">
        <v>5</v>
      </c>
    </row>
    <row r="108" customFormat="false" ht="15" hidden="false" customHeight="false" outlineLevel="0" collapsed="false">
      <c r="A108" s="1" t="s">
        <v>282</v>
      </c>
      <c r="B108" s="4" t="n">
        <v>45775</v>
      </c>
      <c r="C108" s="1" t="s">
        <v>283</v>
      </c>
      <c r="D108" s="1" t="s">
        <v>179</v>
      </c>
      <c r="E108" s="1" t="n">
        <v>4</v>
      </c>
      <c r="F108" s="5" t="n">
        <v>0</v>
      </c>
      <c r="G108" s="1" t="s">
        <v>24</v>
      </c>
      <c r="H108" s="1" t="s">
        <v>14</v>
      </c>
      <c r="I108" s="1" t="s">
        <v>15</v>
      </c>
      <c r="J108" s="1" t="n">
        <v>3</v>
      </c>
    </row>
    <row r="109" customFormat="false" ht="15" hidden="false" customHeight="false" outlineLevel="0" collapsed="false">
      <c r="A109" s="1" t="s">
        <v>284</v>
      </c>
      <c r="B109" s="4" t="n">
        <v>45846</v>
      </c>
      <c r="C109" s="1" t="s">
        <v>285</v>
      </c>
      <c r="D109" s="1" t="s">
        <v>286</v>
      </c>
      <c r="E109" s="1" t="n">
        <v>2</v>
      </c>
      <c r="F109" s="5" t="n">
        <v>0.05</v>
      </c>
      <c r="G109" s="1" t="s">
        <v>71</v>
      </c>
      <c r="H109" s="1" t="s">
        <v>14</v>
      </c>
      <c r="I109" s="1" t="s">
        <v>20</v>
      </c>
      <c r="J109" s="1" t="n">
        <v>8</v>
      </c>
    </row>
    <row r="110" customFormat="false" ht="15" hidden="false" customHeight="false" outlineLevel="0" collapsed="false">
      <c r="A110" s="1" t="s">
        <v>287</v>
      </c>
      <c r="B110" s="4" t="n">
        <v>45684</v>
      </c>
      <c r="C110" s="1" t="s">
        <v>288</v>
      </c>
      <c r="D110" s="1" t="s">
        <v>289</v>
      </c>
      <c r="E110" s="1" t="n">
        <v>2</v>
      </c>
      <c r="F110" s="5" t="n">
        <v>0.05</v>
      </c>
      <c r="G110" s="1" t="s">
        <v>19</v>
      </c>
      <c r="H110" s="1" t="s">
        <v>14</v>
      </c>
      <c r="I110" s="1" t="s">
        <v>15</v>
      </c>
      <c r="J110" s="1" t="n">
        <v>7</v>
      </c>
    </row>
    <row r="111" customFormat="false" ht="15" hidden="false" customHeight="false" outlineLevel="0" collapsed="false">
      <c r="A111" s="1" t="s">
        <v>290</v>
      </c>
      <c r="B111" s="4" t="n">
        <v>45923</v>
      </c>
      <c r="C111" s="1" t="s">
        <v>291</v>
      </c>
      <c r="D111" s="1" t="s">
        <v>216</v>
      </c>
      <c r="E111" s="1" t="n">
        <v>2</v>
      </c>
      <c r="F111" s="5" t="n">
        <v>0</v>
      </c>
      <c r="G111" s="1" t="s">
        <v>52</v>
      </c>
      <c r="H111" s="1" t="s">
        <v>14</v>
      </c>
      <c r="I111" s="1" t="s">
        <v>20</v>
      </c>
      <c r="J111" s="1" t="n">
        <v>3</v>
      </c>
    </row>
    <row r="112" customFormat="false" ht="15" hidden="false" customHeight="false" outlineLevel="0" collapsed="false">
      <c r="A112" s="1" t="s">
        <v>292</v>
      </c>
      <c r="B112" s="4" t="n">
        <v>45914</v>
      </c>
      <c r="C112" s="1" t="s">
        <v>293</v>
      </c>
      <c r="D112" s="1" t="s">
        <v>294</v>
      </c>
      <c r="E112" s="1" t="n">
        <v>1</v>
      </c>
      <c r="F112" s="5" t="n">
        <v>0.05</v>
      </c>
      <c r="G112" s="1" t="s">
        <v>52</v>
      </c>
      <c r="H112" s="1" t="s">
        <v>14</v>
      </c>
      <c r="I112" s="1" t="s">
        <v>20</v>
      </c>
      <c r="J112" s="1" t="n">
        <v>3</v>
      </c>
    </row>
    <row r="113" customFormat="false" ht="15" hidden="false" customHeight="false" outlineLevel="0" collapsed="false">
      <c r="A113" s="1" t="s">
        <v>295</v>
      </c>
      <c r="B113" s="4" t="n">
        <v>45922</v>
      </c>
      <c r="C113" s="1" t="s">
        <v>173</v>
      </c>
      <c r="D113" s="1" t="s">
        <v>103</v>
      </c>
      <c r="E113" s="1" t="n">
        <v>2</v>
      </c>
      <c r="F113" s="5" t="n">
        <v>0</v>
      </c>
      <c r="G113" s="1" t="s">
        <v>52</v>
      </c>
      <c r="H113" s="1" t="s">
        <v>14</v>
      </c>
      <c r="I113" s="1" t="s">
        <v>38</v>
      </c>
      <c r="J113" s="1" t="n">
        <v>4</v>
      </c>
    </row>
    <row r="114" customFormat="false" ht="15" hidden="false" customHeight="false" outlineLevel="0" collapsed="false">
      <c r="A114" s="1" t="s">
        <v>296</v>
      </c>
      <c r="B114" s="4" t="n">
        <v>45659</v>
      </c>
      <c r="C114" s="1" t="s">
        <v>196</v>
      </c>
      <c r="D114" s="1" t="s">
        <v>140</v>
      </c>
      <c r="E114" s="1" t="n">
        <v>1</v>
      </c>
      <c r="F114" s="5" t="n">
        <v>0.1</v>
      </c>
      <c r="G114" s="1" t="s">
        <v>24</v>
      </c>
      <c r="H114" s="1" t="s">
        <v>45</v>
      </c>
      <c r="I114" s="1" t="s">
        <v>38</v>
      </c>
    </row>
    <row r="115" customFormat="false" ht="15" hidden="false" customHeight="false" outlineLevel="0" collapsed="false">
      <c r="A115" s="1" t="s">
        <v>297</v>
      </c>
      <c r="B115" s="4" t="n">
        <v>45658</v>
      </c>
      <c r="C115" s="1" t="s">
        <v>298</v>
      </c>
      <c r="D115" s="1" t="s">
        <v>48</v>
      </c>
      <c r="E115" s="1" t="n">
        <v>1</v>
      </c>
      <c r="F115" s="5" t="n">
        <v>0.05</v>
      </c>
      <c r="G115" s="1" t="s">
        <v>34</v>
      </c>
      <c r="H115" s="1" t="s">
        <v>14</v>
      </c>
      <c r="I115" s="1" t="s">
        <v>15</v>
      </c>
      <c r="J115" s="1" t="n">
        <v>2</v>
      </c>
    </row>
    <row r="116" customFormat="false" ht="15" hidden="false" customHeight="false" outlineLevel="0" collapsed="false">
      <c r="A116" s="1" t="s">
        <v>299</v>
      </c>
      <c r="B116" s="4" t="n">
        <v>45916</v>
      </c>
      <c r="C116" s="1" t="s">
        <v>300</v>
      </c>
      <c r="D116" s="1" t="s">
        <v>253</v>
      </c>
      <c r="E116" s="1" t="n">
        <v>2</v>
      </c>
      <c r="F116" s="5" t="n">
        <v>0.25</v>
      </c>
      <c r="G116" s="1" t="s">
        <v>19</v>
      </c>
      <c r="H116" s="1" t="s">
        <v>14</v>
      </c>
      <c r="I116" s="1" t="s">
        <v>20</v>
      </c>
      <c r="J116" s="1" t="n">
        <v>8</v>
      </c>
    </row>
    <row r="117" customFormat="false" ht="15" hidden="false" customHeight="false" outlineLevel="0" collapsed="false">
      <c r="A117" s="1" t="s">
        <v>301</v>
      </c>
      <c r="B117" s="4" t="n">
        <v>45664</v>
      </c>
      <c r="C117" s="1" t="s">
        <v>302</v>
      </c>
      <c r="D117" s="1" t="s">
        <v>303</v>
      </c>
      <c r="E117" s="1" t="n">
        <v>1</v>
      </c>
      <c r="F117" s="5" t="n">
        <v>0.25</v>
      </c>
      <c r="G117" s="1" t="s">
        <v>52</v>
      </c>
      <c r="H117" s="1" t="s">
        <v>14</v>
      </c>
      <c r="I117" s="1" t="s">
        <v>38</v>
      </c>
      <c r="J117" s="1" t="n">
        <v>2</v>
      </c>
    </row>
    <row r="118" customFormat="false" ht="15" hidden="false" customHeight="false" outlineLevel="0" collapsed="false">
      <c r="A118" s="1" t="s">
        <v>304</v>
      </c>
      <c r="B118" s="4" t="n">
        <v>45720</v>
      </c>
      <c r="C118" s="1" t="s">
        <v>205</v>
      </c>
      <c r="D118" s="1" t="s">
        <v>210</v>
      </c>
      <c r="E118" s="1" t="n">
        <v>1</v>
      </c>
      <c r="F118" s="5" t="n">
        <v>0.25</v>
      </c>
      <c r="G118" s="1" t="s">
        <v>52</v>
      </c>
      <c r="H118" s="1" t="s">
        <v>53</v>
      </c>
      <c r="I118" s="1" t="s">
        <v>15</v>
      </c>
      <c r="J118" s="1" t="n">
        <v>6</v>
      </c>
    </row>
    <row r="119" customFormat="false" ht="15" hidden="false" customHeight="false" outlineLevel="0" collapsed="false">
      <c r="A119" s="1" t="s">
        <v>305</v>
      </c>
      <c r="B119" s="4" t="n">
        <v>45758</v>
      </c>
      <c r="C119" s="1" t="s">
        <v>306</v>
      </c>
      <c r="D119" s="1" t="s">
        <v>216</v>
      </c>
      <c r="E119" s="1" t="n">
        <v>1</v>
      </c>
      <c r="F119" s="5" t="n">
        <v>0.15</v>
      </c>
      <c r="G119" s="1" t="s">
        <v>52</v>
      </c>
      <c r="H119" s="1" t="s">
        <v>14</v>
      </c>
      <c r="I119" s="1" t="s">
        <v>15</v>
      </c>
      <c r="J119" s="1" t="n">
        <v>4</v>
      </c>
    </row>
    <row r="120" customFormat="false" ht="15" hidden="false" customHeight="false" outlineLevel="0" collapsed="false">
      <c r="A120" s="1" t="s">
        <v>307</v>
      </c>
      <c r="B120" s="4" t="n">
        <v>45884</v>
      </c>
      <c r="C120" s="1" t="s">
        <v>80</v>
      </c>
      <c r="D120" s="1" t="s">
        <v>37</v>
      </c>
      <c r="E120" s="1" t="n">
        <v>1</v>
      </c>
      <c r="F120" s="5" t="n">
        <v>0.25</v>
      </c>
      <c r="G120" s="1" t="s">
        <v>13</v>
      </c>
      <c r="H120" s="1" t="s">
        <v>45</v>
      </c>
      <c r="I120" s="1" t="s">
        <v>38</v>
      </c>
    </row>
    <row r="121" customFormat="false" ht="15" hidden="false" customHeight="false" outlineLevel="0" collapsed="false">
      <c r="A121" s="1" t="s">
        <v>308</v>
      </c>
      <c r="B121" s="4" t="n">
        <v>45876</v>
      </c>
      <c r="C121" s="1" t="s">
        <v>309</v>
      </c>
      <c r="D121" s="1" t="s">
        <v>94</v>
      </c>
      <c r="E121" s="1" t="n">
        <v>2</v>
      </c>
      <c r="F121" s="5" t="n">
        <v>0.1</v>
      </c>
      <c r="G121" s="1" t="s">
        <v>52</v>
      </c>
      <c r="H121" s="1" t="s">
        <v>45</v>
      </c>
      <c r="I121" s="1" t="s">
        <v>20</v>
      </c>
    </row>
    <row r="122" customFormat="false" ht="15" hidden="false" customHeight="false" outlineLevel="0" collapsed="false">
      <c r="A122" s="1" t="s">
        <v>310</v>
      </c>
      <c r="B122" s="4" t="n">
        <v>45931</v>
      </c>
      <c r="C122" s="1" t="s">
        <v>306</v>
      </c>
      <c r="D122" s="1" t="s">
        <v>222</v>
      </c>
      <c r="E122" s="1" t="n">
        <v>2</v>
      </c>
      <c r="F122" s="5" t="n">
        <v>0.1</v>
      </c>
      <c r="G122" s="1" t="s">
        <v>34</v>
      </c>
      <c r="H122" s="1" t="s">
        <v>53</v>
      </c>
      <c r="I122" s="1" t="s">
        <v>38</v>
      </c>
      <c r="J122" s="1" t="n">
        <v>4</v>
      </c>
    </row>
    <row r="123" customFormat="false" ht="15" hidden="false" customHeight="false" outlineLevel="0" collapsed="false">
      <c r="A123" s="1" t="s">
        <v>311</v>
      </c>
      <c r="B123" s="4" t="n">
        <v>45705</v>
      </c>
      <c r="C123" s="1" t="s">
        <v>312</v>
      </c>
      <c r="D123" s="1" t="s">
        <v>74</v>
      </c>
      <c r="E123" s="1" t="n">
        <v>2</v>
      </c>
      <c r="F123" s="5" t="n">
        <v>0.1</v>
      </c>
      <c r="G123" s="1" t="s">
        <v>52</v>
      </c>
      <c r="H123" s="1" t="s">
        <v>14</v>
      </c>
      <c r="I123" s="1" t="s">
        <v>20</v>
      </c>
      <c r="J123" s="1" t="n">
        <v>1</v>
      </c>
    </row>
    <row r="124" customFormat="false" ht="15" hidden="false" customHeight="false" outlineLevel="0" collapsed="false">
      <c r="A124" s="1" t="s">
        <v>313</v>
      </c>
      <c r="B124" s="4" t="n">
        <v>45844</v>
      </c>
      <c r="C124" s="1" t="s">
        <v>314</v>
      </c>
      <c r="D124" s="1" t="s">
        <v>315</v>
      </c>
      <c r="E124" s="1" t="n">
        <v>1</v>
      </c>
      <c r="F124" s="5" t="n">
        <v>0.15</v>
      </c>
      <c r="G124" s="1" t="s">
        <v>71</v>
      </c>
      <c r="H124" s="1" t="s">
        <v>53</v>
      </c>
      <c r="I124" s="1" t="s">
        <v>20</v>
      </c>
      <c r="J124" s="1" t="n">
        <v>6</v>
      </c>
    </row>
    <row r="125" customFormat="false" ht="15" hidden="false" customHeight="false" outlineLevel="0" collapsed="false">
      <c r="A125" s="1" t="s">
        <v>316</v>
      </c>
      <c r="B125" s="4" t="n">
        <v>45710</v>
      </c>
      <c r="C125" s="1" t="s">
        <v>317</v>
      </c>
      <c r="D125" s="1" t="s">
        <v>44</v>
      </c>
      <c r="E125" s="1" t="n">
        <v>4</v>
      </c>
      <c r="F125" s="5" t="n">
        <v>0.15</v>
      </c>
      <c r="G125" s="1" t="s">
        <v>52</v>
      </c>
      <c r="H125" s="1" t="s">
        <v>14</v>
      </c>
      <c r="I125" s="1" t="s">
        <v>20</v>
      </c>
      <c r="J125" s="1" t="n">
        <v>1</v>
      </c>
    </row>
    <row r="126" customFormat="false" ht="15" hidden="false" customHeight="false" outlineLevel="0" collapsed="false">
      <c r="A126" s="1" t="s">
        <v>318</v>
      </c>
      <c r="B126" s="4" t="n">
        <v>46016</v>
      </c>
      <c r="C126" s="1" t="s">
        <v>319</v>
      </c>
      <c r="D126" s="1" t="s">
        <v>210</v>
      </c>
      <c r="E126" s="1" t="n">
        <v>2</v>
      </c>
      <c r="F126" s="5" t="n">
        <v>0.15</v>
      </c>
      <c r="G126" s="1" t="s">
        <v>34</v>
      </c>
      <c r="H126" s="1" t="s">
        <v>14</v>
      </c>
      <c r="I126" s="1" t="s">
        <v>15</v>
      </c>
      <c r="J126" s="1" t="n">
        <v>8</v>
      </c>
    </row>
    <row r="127" customFormat="false" ht="15" hidden="false" customHeight="false" outlineLevel="0" collapsed="false">
      <c r="A127" s="1" t="s">
        <v>320</v>
      </c>
      <c r="B127" s="4" t="n">
        <v>45879</v>
      </c>
      <c r="C127" s="1" t="s">
        <v>321</v>
      </c>
      <c r="D127" s="1" t="s">
        <v>114</v>
      </c>
      <c r="E127" s="1" t="n">
        <v>1</v>
      </c>
      <c r="F127" s="5" t="n">
        <v>0.15</v>
      </c>
      <c r="G127" s="1" t="s">
        <v>52</v>
      </c>
      <c r="H127" s="1" t="s">
        <v>14</v>
      </c>
      <c r="I127" s="1" t="s">
        <v>15</v>
      </c>
      <c r="J127" s="1" t="n">
        <v>1</v>
      </c>
    </row>
    <row r="128" customFormat="false" ht="15" hidden="false" customHeight="false" outlineLevel="0" collapsed="false">
      <c r="A128" s="1" t="s">
        <v>322</v>
      </c>
      <c r="B128" s="4" t="n">
        <v>45928</v>
      </c>
      <c r="C128" s="1" t="s">
        <v>209</v>
      </c>
      <c r="D128" s="1" t="s">
        <v>323</v>
      </c>
      <c r="E128" s="1" t="n">
        <v>2</v>
      </c>
      <c r="F128" s="5" t="n">
        <v>0.2</v>
      </c>
      <c r="G128" s="1" t="s">
        <v>19</v>
      </c>
      <c r="H128" s="1" t="s">
        <v>14</v>
      </c>
      <c r="I128" s="1" t="s">
        <v>20</v>
      </c>
      <c r="J128" s="1" t="n">
        <v>3</v>
      </c>
    </row>
    <row r="129" customFormat="false" ht="15" hidden="false" customHeight="false" outlineLevel="0" collapsed="false">
      <c r="A129" s="1" t="s">
        <v>324</v>
      </c>
      <c r="B129" s="4" t="n">
        <v>45882</v>
      </c>
      <c r="C129" s="1" t="s">
        <v>263</v>
      </c>
      <c r="D129" s="1" t="s">
        <v>325</v>
      </c>
      <c r="E129" s="1" t="n">
        <v>1</v>
      </c>
      <c r="F129" s="5" t="n">
        <v>0</v>
      </c>
      <c r="G129" s="1" t="s">
        <v>34</v>
      </c>
      <c r="H129" s="1" t="s">
        <v>14</v>
      </c>
      <c r="I129" s="1" t="s">
        <v>15</v>
      </c>
      <c r="J129" s="1" t="n">
        <v>3</v>
      </c>
    </row>
    <row r="130" customFormat="false" ht="15" hidden="false" customHeight="false" outlineLevel="0" collapsed="false">
      <c r="A130" s="1" t="s">
        <v>326</v>
      </c>
      <c r="B130" s="4" t="n">
        <v>45776</v>
      </c>
      <c r="C130" s="1" t="s">
        <v>327</v>
      </c>
      <c r="D130" s="1" t="s">
        <v>328</v>
      </c>
      <c r="E130" s="1" t="n">
        <v>1</v>
      </c>
      <c r="F130" s="5" t="n">
        <v>0.1</v>
      </c>
      <c r="G130" s="1" t="s">
        <v>52</v>
      </c>
      <c r="H130" s="1" t="s">
        <v>14</v>
      </c>
      <c r="I130" s="1" t="s">
        <v>15</v>
      </c>
      <c r="J130" s="1" t="n">
        <v>3</v>
      </c>
    </row>
    <row r="131" customFormat="false" ht="15" hidden="false" customHeight="false" outlineLevel="0" collapsed="false">
      <c r="A131" s="1" t="s">
        <v>329</v>
      </c>
      <c r="B131" s="4" t="n">
        <v>46001</v>
      </c>
      <c r="C131" s="1" t="s">
        <v>108</v>
      </c>
      <c r="D131" s="1" t="s">
        <v>58</v>
      </c>
      <c r="E131" s="1" t="n">
        <v>5</v>
      </c>
      <c r="F131" s="5" t="n">
        <v>0.1</v>
      </c>
      <c r="G131" s="1" t="s">
        <v>71</v>
      </c>
      <c r="H131" s="1" t="s">
        <v>14</v>
      </c>
      <c r="I131" s="1" t="s">
        <v>15</v>
      </c>
      <c r="J131" s="1" t="n">
        <v>4</v>
      </c>
    </row>
    <row r="132" customFormat="false" ht="15" hidden="false" customHeight="false" outlineLevel="0" collapsed="false">
      <c r="A132" s="1" t="s">
        <v>330</v>
      </c>
      <c r="B132" s="4" t="n">
        <v>45822</v>
      </c>
      <c r="C132" s="1" t="s">
        <v>331</v>
      </c>
      <c r="D132" s="1" t="s">
        <v>176</v>
      </c>
      <c r="E132" s="1" t="n">
        <v>1</v>
      </c>
      <c r="F132" s="5" t="n">
        <v>0.05</v>
      </c>
      <c r="G132" s="1" t="s">
        <v>52</v>
      </c>
      <c r="H132" s="1" t="s">
        <v>14</v>
      </c>
      <c r="I132" s="1" t="s">
        <v>20</v>
      </c>
      <c r="J132" s="1" t="n">
        <v>6</v>
      </c>
    </row>
    <row r="133" customFormat="false" ht="15" hidden="false" customHeight="false" outlineLevel="0" collapsed="false">
      <c r="A133" s="1" t="s">
        <v>332</v>
      </c>
      <c r="B133" s="4" t="n">
        <v>45830</v>
      </c>
      <c r="C133" s="1" t="s">
        <v>207</v>
      </c>
      <c r="D133" s="1" t="s">
        <v>64</v>
      </c>
      <c r="E133" s="1" t="n">
        <v>1</v>
      </c>
      <c r="F133" s="5" t="n">
        <v>0.05</v>
      </c>
      <c r="G133" s="1" t="s">
        <v>34</v>
      </c>
      <c r="H133" s="1" t="s">
        <v>14</v>
      </c>
      <c r="I133" s="1" t="s">
        <v>15</v>
      </c>
      <c r="J133" s="1" t="n">
        <v>7</v>
      </c>
    </row>
    <row r="134" customFormat="false" ht="15" hidden="false" customHeight="false" outlineLevel="0" collapsed="false">
      <c r="A134" s="1" t="s">
        <v>333</v>
      </c>
      <c r="B134" s="4" t="n">
        <v>45785</v>
      </c>
      <c r="C134" s="1" t="s">
        <v>334</v>
      </c>
      <c r="D134" s="1" t="s">
        <v>335</v>
      </c>
      <c r="E134" s="1" t="n">
        <v>4</v>
      </c>
      <c r="F134" s="5" t="n">
        <v>0.1</v>
      </c>
      <c r="G134" s="1" t="s">
        <v>19</v>
      </c>
      <c r="H134" s="1" t="s">
        <v>14</v>
      </c>
      <c r="I134" s="1" t="s">
        <v>15</v>
      </c>
      <c r="J134" s="1" t="n">
        <v>1</v>
      </c>
    </row>
    <row r="135" customFormat="false" ht="15" hidden="false" customHeight="false" outlineLevel="0" collapsed="false">
      <c r="A135" s="1" t="s">
        <v>336</v>
      </c>
      <c r="B135" s="4" t="n">
        <v>45921</v>
      </c>
      <c r="C135" s="1" t="s">
        <v>227</v>
      </c>
      <c r="D135" s="1" t="s">
        <v>134</v>
      </c>
      <c r="E135" s="1" t="n">
        <v>1</v>
      </c>
      <c r="F135" s="5" t="n">
        <v>0.05</v>
      </c>
      <c r="G135" s="1" t="s">
        <v>19</v>
      </c>
      <c r="H135" s="1" t="s">
        <v>14</v>
      </c>
      <c r="I135" s="1" t="s">
        <v>15</v>
      </c>
      <c r="J135" s="1" t="n">
        <v>3</v>
      </c>
    </row>
    <row r="136" customFormat="false" ht="15" hidden="false" customHeight="false" outlineLevel="0" collapsed="false">
      <c r="A136" s="1" t="s">
        <v>337</v>
      </c>
      <c r="B136" s="4" t="n">
        <v>45962</v>
      </c>
      <c r="C136" s="1" t="s">
        <v>338</v>
      </c>
      <c r="D136" s="1" t="s">
        <v>168</v>
      </c>
      <c r="E136" s="1" t="n">
        <v>1</v>
      </c>
      <c r="F136" s="5" t="n">
        <v>0</v>
      </c>
      <c r="G136" s="1" t="s">
        <v>52</v>
      </c>
      <c r="H136" s="1" t="s">
        <v>14</v>
      </c>
      <c r="I136" s="1" t="s">
        <v>15</v>
      </c>
      <c r="J136" s="1" t="n">
        <v>6</v>
      </c>
    </row>
    <row r="137" customFormat="false" ht="15" hidden="false" customHeight="false" outlineLevel="0" collapsed="false">
      <c r="A137" s="1" t="s">
        <v>339</v>
      </c>
      <c r="B137" s="4" t="n">
        <v>45740</v>
      </c>
      <c r="C137" s="1" t="s">
        <v>340</v>
      </c>
      <c r="D137" s="1" t="s">
        <v>341</v>
      </c>
      <c r="E137" s="1" t="n">
        <v>2</v>
      </c>
      <c r="F137" s="5" t="n">
        <v>0.2</v>
      </c>
      <c r="G137" s="1" t="s">
        <v>34</v>
      </c>
      <c r="H137" s="1" t="s">
        <v>92</v>
      </c>
      <c r="I137" s="1" t="s">
        <v>20</v>
      </c>
    </row>
    <row r="138" customFormat="false" ht="15" hidden="false" customHeight="false" outlineLevel="0" collapsed="false">
      <c r="A138" s="1" t="s">
        <v>342</v>
      </c>
      <c r="B138" s="4" t="n">
        <v>45658</v>
      </c>
      <c r="C138" s="1" t="s">
        <v>343</v>
      </c>
      <c r="D138" s="1" t="s">
        <v>286</v>
      </c>
      <c r="E138" s="1" t="n">
        <v>1</v>
      </c>
      <c r="F138" s="5" t="n">
        <v>0.25</v>
      </c>
      <c r="G138" s="1" t="s">
        <v>52</v>
      </c>
      <c r="H138" s="1" t="s">
        <v>92</v>
      </c>
      <c r="I138" s="1" t="s">
        <v>38</v>
      </c>
    </row>
    <row r="139" customFormat="false" ht="15" hidden="false" customHeight="false" outlineLevel="0" collapsed="false">
      <c r="A139" s="1" t="s">
        <v>344</v>
      </c>
      <c r="B139" s="4" t="n">
        <v>45921</v>
      </c>
      <c r="C139" s="1" t="s">
        <v>345</v>
      </c>
      <c r="D139" s="1" t="s">
        <v>171</v>
      </c>
      <c r="E139" s="1" t="n">
        <v>1</v>
      </c>
      <c r="F139" s="5" t="n">
        <v>0</v>
      </c>
      <c r="G139" s="1" t="s">
        <v>52</v>
      </c>
      <c r="H139" s="1" t="s">
        <v>14</v>
      </c>
      <c r="I139" s="1" t="s">
        <v>15</v>
      </c>
      <c r="J139" s="1" t="n">
        <v>4</v>
      </c>
    </row>
    <row r="140" customFormat="false" ht="15" hidden="false" customHeight="false" outlineLevel="0" collapsed="false">
      <c r="A140" s="1" t="s">
        <v>346</v>
      </c>
      <c r="B140" s="4" t="n">
        <v>45937</v>
      </c>
      <c r="C140" s="1" t="s">
        <v>347</v>
      </c>
      <c r="D140" s="1" t="s">
        <v>33</v>
      </c>
      <c r="E140" s="1" t="n">
        <v>1</v>
      </c>
      <c r="F140" s="5" t="n">
        <v>0.2</v>
      </c>
      <c r="G140" s="1" t="s">
        <v>52</v>
      </c>
      <c r="H140" s="1" t="s">
        <v>14</v>
      </c>
      <c r="I140" s="1" t="s">
        <v>20</v>
      </c>
      <c r="J140" s="1" t="n">
        <v>1</v>
      </c>
    </row>
    <row r="141" customFormat="false" ht="15" hidden="false" customHeight="false" outlineLevel="0" collapsed="false">
      <c r="A141" s="1" t="s">
        <v>348</v>
      </c>
      <c r="B141" s="4" t="n">
        <v>45727</v>
      </c>
      <c r="C141" s="1" t="s">
        <v>300</v>
      </c>
      <c r="D141" s="1" t="s">
        <v>323</v>
      </c>
      <c r="E141" s="1" t="n">
        <v>1</v>
      </c>
      <c r="F141" s="5" t="n">
        <v>0.2</v>
      </c>
      <c r="G141" s="1" t="s">
        <v>52</v>
      </c>
      <c r="H141" s="1" t="s">
        <v>14</v>
      </c>
      <c r="I141" s="1" t="s">
        <v>38</v>
      </c>
      <c r="J141" s="1" t="n">
        <v>2</v>
      </c>
    </row>
    <row r="142" customFormat="false" ht="15" hidden="false" customHeight="false" outlineLevel="0" collapsed="false">
      <c r="A142" s="1" t="s">
        <v>349</v>
      </c>
      <c r="B142" s="4" t="n">
        <v>45785</v>
      </c>
      <c r="C142" s="1" t="s">
        <v>350</v>
      </c>
      <c r="D142" s="1" t="s">
        <v>323</v>
      </c>
      <c r="E142" s="1" t="n">
        <v>1</v>
      </c>
      <c r="F142" s="5" t="n">
        <v>0.05</v>
      </c>
      <c r="G142" s="1" t="s">
        <v>24</v>
      </c>
      <c r="H142" s="1" t="s">
        <v>14</v>
      </c>
      <c r="I142" s="1" t="s">
        <v>15</v>
      </c>
      <c r="J142" s="1" t="n">
        <v>3</v>
      </c>
    </row>
    <row r="143" customFormat="false" ht="15" hidden="false" customHeight="false" outlineLevel="0" collapsed="false">
      <c r="A143" s="1" t="s">
        <v>351</v>
      </c>
      <c r="B143" s="4" t="n">
        <v>45938</v>
      </c>
      <c r="C143" s="1" t="s">
        <v>352</v>
      </c>
      <c r="D143" s="1" t="s">
        <v>353</v>
      </c>
      <c r="E143" s="1" t="n">
        <v>1</v>
      </c>
      <c r="F143" s="5" t="n">
        <v>0</v>
      </c>
      <c r="G143" s="1" t="s">
        <v>52</v>
      </c>
      <c r="H143" s="1" t="s">
        <v>14</v>
      </c>
      <c r="I143" s="1" t="s">
        <v>20</v>
      </c>
      <c r="J143" s="1" t="n">
        <v>1</v>
      </c>
    </row>
    <row r="144" customFormat="false" ht="15" hidden="false" customHeight="false" outlineLevel="0" collapsed="false">
      <c r="A144" s="1" t="s">
        <v>354</v>
      </c>
      <c r="B144" s="4" t="n">
        <v>45794</v>
      </c>
      <c r="C144" s="1" t="s">
        <v>355</v>
      </c>
      <c r="D144" s="1" t="s">
        <v>179</v>
      </c>
      <c r="E144" s="1" t="n">
        <v>2</v>
      </c>
      <c r="F144" s="5" t="n">
        <v>0</v>
      </c>
      <c r="G144" s="1" t="s">
        <v>52</v>
      </c>
      <c r="H144" s="1" t="s">
        <v>14</v>
      </c>
      <c r="I144" s="1" t="s">
        <v>15</v>
      </c>
      <c r="J144" s="1" t="n">
        <v>7</v>
      </c>
    </row>
    <row r="145" customFormat="false" ht="15" hidden="false" customHeight="false" outlineLevel="0" collapsed="false">
      <c r="A145" s="1" t="s">
        <v>356</v>
      </c>
      <c r="B145" s="4" t="n">
        <v>45801</v>
      </c>
      <c r="C145" s="1" t="s">
        <v>357</v>
      </c>
      <c r="D145" s="1" t="s">
        <v>341</v>
      </c>
      <c r="E145" s="1" t="n">
        <v>1</v>
      </c>
      <c r="F145" s="5" t="n">
        <v>0.25</v>
      </c>
      <c r="G145" s="1" t="s">
        <v>52</v>
      </c>
      <c r="H145" s="1" t="s">
        <v>14</v>
      </c>
      <c r="I145" s="1" t="s">
        <v>20</v>
      </c>
      <c r="J145" s="1" t="n">
        <v>2</v>
      </c>
    </row>
    <row r="146" customFormat="false" ht="15" hidden="false" customHeight="false" outlineLevel="0" collapsed="false">
      <c r="A146" s="1" t="s">
        <v>358</v>
      </c>
      <c r="B146" s="4" t="n">
        <v>45926</v>
      </c>
      <c r="C146" s="1" t="s">
        <v>359</v>
      </c>
      <c r="D146" s="1" t="s">
        <v>253</v>
      </c>
      <c r="E146" s="1" t="n">
        <v>2</v>
      </c>
      <c r="F146" s="5" t="n">
        <v>0.15</v>
      </c>
      <c r="G146" s="1" t="s">
        <v>52</v>
      </c>
      <c r="H146" s="1" t="s">
        <v>14</v>
      </c>
      <c r="I146" s="1" t="s">
        <v>15</v>
      </c>
      <c r="J146" s="1" t="n">
        <v>4</v>
      </c>
    </row>
    <row r="147" customFormat="false" ht="15" hidden="false" customHeight="false" outlineLevel="0" collapsed="false">
      <c r="A147" s="1" t="s">
        <v>360</v>
      </c>
      <c r="B147" s="4" t="n">
        <v>45916</v>
      </c>
      <c r="C147" s="1" t="s">
        <v>361</v>
      </c>
      <c r="D147" s="1" t="s">
        <v>362</v>
      </c>
      <c r="E147" s="1" t="n">
        <v>1</v>
      </c>
      <c r="F147" s="5" t="n">
        <v>0.2</v>
      </c>
      <c r="G147" s="1" t="s">
        <v>34</v>
      </c>
      <c r="H147" s="1" t="s">
        <v>14</v>
      </c>
      <c r="I147" s="1" t="s">
        <v>15</v>
      </c>
      <c r="J147" s="1" t="n">
        <v>3</v>
      </c>
    </row>
    <row r="148" customFormat="false" ht="15" hidden="false" customHeight="false" outlineLevel="0" collapsed="false">
      <c r="A148" s="1" t="s">
        <v>363</v>
      </c>
      <c r="B148" s="4" t="n">
        <v>45784</v>
      </c>
      <c r="C148" s="1" t="s">
        <v>364</v>
      </c>
      <c r="D148" s="1" t="s">
        <v>97</v>
      </c>
      <c r="E148" s="1" t="n">
        <v>1</v>
      </c>
      <c r="F148" s="5" t="n">
        <v>0.1</v>
      </c>
      <c r="G148" s="1" t="s">
        <v>34</v>
      </c>
      <c r="H148" s="1" t="s">
        <v>45</v>
      </c>
      <c r="I148" s="1" t="s">
        <v>15</v>
      </c>
    </row>
    <row r="149" customFormat="false" ht="15" hidden="false" customHeight="false" outlineLevel="0" collapsed="false">
      <c r="A149" s="1" t="s">
        <v>365</v>
      </c>
      <c r="B149" s="4" t="n">
        <v>45789</v>
      </c>
      <c r="C149" s="1" t="s">
        <v>96</v>
      </c>
      <c r="D149" s="1" t="s">
        <v>230</v>
      </c>
      <c r="E149" s="1" t="n">
        <v>2</v>
      </c>
      <c r="F149" s="5" t="n">
        <v>0.05</v>
      </c>
      <c r="G149" s="1" t="s">
        <v>52</v>
      </c>
      <c r="H149" s="1" t="s">
        <v>14</v>
      </c>
      <c r="I149" s="1" t="s">
        <v>38</v>
      </c>
      <c r="J149" s="1" t="n">
        <v>4</v>
      </c>
    </row>
    <row r="150" customFormat="false" ht="15" hidden="false" customHeight="false" outlineLevel="0" collapsed="false">
      <c r="A150" s="1" t="s">
        <v>366</v>
      </c>
      <c r="B150" s="4" t="n">
        <v>45763</v>
      </c>
      <c r="C150" s="1" t="s">
        <v>234</v>
      </c>
      <c r="D150" s="1" t="s">
        <v>179</v>
      </c>
      <c r="E150" s="1" t="n">
        <v>1</v>
      </c>
      <c r="F150" s="5" t="n">
        <v>0.15</v>
      </c>
      <c r="G150" s="1" t="s">
        <v>34</v>
      </c>
      <c r="H150" s="1" t="s">
        <v>14</v>
      </c>
      <c r="I150" s="1" t="s">
        <v>15</v>
      </c>
      <c r="J150" s="1" t="n">
        <v>2</v>
      </c>
    </row>
    <row r="151" customFormat="false" ht="15" hidden="false" customHeight="false" outlineLevel="0" collapsed="false">
      <c r="A151" s="1" t="s">
        <v>367</v>
      </c>
      <c r="B151" s="4" t="n">
        <v>45982</v>
      </c>
      <c r="C151" s="1" t="s">
        <v>368</v>
      </c>
      <c r="D151" s="1" t="s">
        <v>264</v>
      </c>
      <c r="E151" s="1" t="n">
        <v>2</v>
      </c>
      <c r="F151" s="5" t="n">
        <v>0</v>
      </c>
      <c r="G151" s="1" t="s">
        <v>52</v>
      </c>
      <c r="H151" s="1" t="s">
        <v>14</v>
      </c>
      <c r="I151" s="1" t="s">
        <v>38</v>
      </c>
      <c r="J151" s="1" t="n">
        <v>7</v>
      </c>
    </row>
    <row r="152" customFormat="false" ht="15" hidden="false" customHeight="false" outlineLevel="0" collapsed="false">
      <c r="A152" s="1" t="s">
        <v>369</v>
      </c>
      <c r="B152" s="4" t="n">
        <v>45755</v>
      </c>
      <c r="C152" s="1" t="s">
        <v>370</v>
      </c>
      <c r="D152" s="1" t="s">
        <v>371</v>
      </c>
      <c r="E152" s="1" t="n">
        <v>3</v>
      </c>
      <c r="F152" s="5" t="n">
        <v>0.15</v>
      </c>
      <c r="G152" s="1" t="s">
        <v>52</v>
      </c>
      <c r="H152" s="1" t="s">
        <v>78</v>
      </c>
      <c r="I152" s="1" t="s">
        <v>15</v>
      </c>
      <c r="J152" s="1" t="n">
        <v>3</v>
      </c>
    </row>
    <row r="153" customFormat="false" ht="15" hidden="false" customHeight="false" outlineLevel="0" collapsed="false">
      <c r="A153" s="1" t="s">
        <v>372</v>
      </c>
      <c r="B153" s="4" t="n">
        <v>45689</v>
      </c>
      <c r="C153" s="1" t="s">
        <v>17</v>
      </c>
      <c r="D153" s="1" t="s">
        <v>67</v>
      </c>
      <c r="E153" s="1" t="n">
        <v>2</v>
      </c>
      <c r="F153" s="5" t="n">
        <v>0.25</v>
      </c>
      <c r="G153" s="1" t="s">
        <v>19</v>
      </c>
      <c r="H153" s="1" t="s">
        <v>14</v>
      </c>
      <c r="I153" s="1" t="s">
        <v>15</v>
      </c>
      <c r="J153" s="1" t="n">
        <v>6</v>
      </c>
    </row>
    <row r="154" customFormat="false" ht="15" hidden="false" customHeight="false" outlineLevel="0" collapsed="false">
      <c r="A154" s="1" t="s">
        <v>373</v>
      </c>
      <c r="B154" s="4" t="n">
        <v>45660</v>
      </c>
      <c r="C154" s="1" t="s">
        <v>273</v>
      </c>
      <c r="D154" s="1" t="s">
        <v>58</v>
      </c>
      <c r="E154" s="1" t="n">
        <v>1</v>
      </c>
      <c r="F154" s="5" t="n">
        <v>0</v>
      </c>
      <c r="G154" s="1" t="s">
        <v>19</v>
      </c>
      <c r="H154" s="1" t="s">
        <v>14</v>
      </c>
      <c r="I154" s="1" t="s">
        <v>38</v>
      </c>
      <c r="J154" s="1" t="n">
        <v>1</v>
      </c>
    </row>
    <row r="155" customFormat="false" ht="15" hidden="false" customHeight="false" outlineLevel="0" collapsed="false">
      <c r="A155" s="1" t="s">
        <v>374</v>
      </c>
      <c r="B155" s="4" t="n">
        <v>45770</v>
      </c>
      <c r="C155" s="1" t="s">
        <v>261</v>
      </c>
      <c r="D155" s="1" t="s">
        <v>375</v>
      </c>
      <c r="E155" s="1" t="n">
        <v>3</v>
      </c>
      <c r="F155" s="5" t="n">
        <v>0</v>
      </c>
      <c r="G155" s="1" t="s">
        <v>52</v>
      </c>
      <c r="H155" s="1" t="s">
        <v>78</v>
      </c>
      <c r="I155" s="1" t="s">
        <v>20</v>
      </c>
      <c r="J155" s="1" t="n">
        <v>4</v>
      </c>
    </row>
    <row r="156" customFormat="false" ht="15" hidden="false" customHeight="false" outlineLevel="0" collapsed="false">
      <c r="A156" s="1" t="s">
        <v>376</v>
      </c>
      <c r="B156" s="4" t="n">
        <v>45804</v>
      </c>
      <c r="C156" s="1" t="s">
        <v>121</v>
      </c>
      <c r="D156" s="1" t="s">
        <v>237</v>
      </c>
      <c r="E156" s="1" t="n">
        <v>2</v>
      </c>
      <c r="F156" s="5" t="n">
        <v>0.2</v>
      </c>
      <c r="G156" s="1" t="s">
        <v>52</v>
      </c>
      <c r="H156" s="1" t="s">
        <v>45</v>
      </c>
      <c r="I156" s="1" t="s">
        <v>20</v>
      </c>
    </row>
    <row r="157" customFormat="false" ht="15" hidden="false" customHeight="false" outlineLevel="0" collapsed="false">
      <c r="A157" s="1" t="s">
        <v>377</v>
      </c>
      <c r="B157" s="4" t="n">
        <v>45739</v>
      </c>
      <c r="C157" s="1" t="s">
        <v>378</v>
      </c>
      <c r="D157" s="1" t="s">
        <v>325</v>
      </c>
      <c r="E157" s="1" t="n">
        <v>4</v>
      </c>
      <c r="F157" s="5" t="n">
        <v>0.2</v>
      </c>
      <c r="G157" s="1" t="s">
        <v>71</v>
      </c>
      <c r="H157" s="1" t="s">
        <v>14</v>
      </c>
      <c r="I157" s="1" t="s">
        <v>15</v>
      </c>
      <c r="J157" s="1" t="n">
        <v>8</v>
      </c>
    </row>
    <row r="158" customFormat="false" ht="15" hidden="false" customHeight="false" outlineLevel="0" collapsed="false">
      <c r="A158" s="1" t="s">
        <v>379</v>
      </c>
      <c r="B158" s="4" t="n">
        <v>45835</v>
      </c>
      <c r="C158" s="1" t="s">
        <v>380</v>
      </c>
      <c r="D158" s="1" t="s">
        <v>103</v>
      </c>
      <c r="E158" s="1" t="n">
        <v>5</v>
      </c>
      <c r="F158" s="5" t="n">
        <v>0</v>
      </c>
      <c r="G158" s="1" t="s">
        <v>52</v>
      </c>
      <c r="H158" s="1" t="s">
        <v>14</v>
      </c>
      <c r="I158" s="1" t="s">
        <v>38</v>
      </c>
      <c r="J158" s="1" t="n">
        <v>2</v>
      </c>
    </row>
    <row r="159" customFormat="false" ht="15" hidden="false" customHeight="false" outlineLevel="0" collapsed="false">
      <c r="A159" s="1" t="s">
        <v>381</v>
      </c>
      <c r="B159" s="4" t="n">
        <v>45895</v>
      </c>
      <c r="C159" s="1" t="s">
        <v>382</v>
      </c>
      <c r="D159" s="1" t="s">
        <v>294</v>
      </c>
      <c r="E159" s="1" t="n">
        <v>2</v>
      </c>
      <c r="F159" s="5" t="n">
        <v>0.1</v>
      </c>
      <c r="G159" s="1" t="s">
        <v>52</v>
      </c>
      <c r="H159" s="1" t="s">
        <v>14</v>
      </c>
      <c r="I159" s="1" t="s">
        <v>20</v>
      </c>
      <c r="J159" s="1" t="n">
        <v>4</v>
      </c>
    </row>
    <row r="160" customFormat="false" ht="15" hidden="false" customHeight="false" outlineLevel="0" collapsed="false">
      <c r="A160" s="1" t="s">
        <v>383</v>
      </c>
      <c r="B160" s="4" t="n">
        <v>45747</v>
      </c>
      <c r="C160" s="1" t="s">
        <v>384</v>
      </c>
      <c r="D160" s="1" t="s">
        <v>30</v>
      </c>
      <c r="E160" s="1" t="n">
        <v>1</v>
      </c>
      <c r="F160" s="5" t="n">
        <v>0</v>
      </c>
      <c r="G160" s="1" t="s">
        <v>52</v>
      </c>
      <c r="H160" s="1" t="s">
        <v>78</v>
      </c>
      <c r="I160" s="1" t="s">
        <v>15</v>
      </c>
      <c r="J160" s="1" t="n">
        <v>3</v>
      </c>
    </row>
    <row r="161" customFormat="false" ht="15" hidden="false" customHeight="false" outlineLevel="0" collapsed="false">
      <c r="A161" s="1" t="s">
        <v>385</v>
      </c>
      <c r="B161" s="4" t="n">
        <v>45674</v>
      </c>
      <c r="C161" s="1" t="s">
        <v>40</v>
      </c>
      <c r="D161" s="1" t="s">
        <v>27</v>
      </c>
      <c r="E161" s="1" t="n">
        <v>1</v>
      </c>
      <c r="F161" s="5" t="n">
        <v>0.1</v>
      </c>
      <c r="G161" s="1" t="s">
        <v>52</v>
      </c>
      <c r="H161" s="1" t="s">
        <v>14</v>
      </c>
      <c r="I161" s="1" t="s">
        <v>15</v>
      </c>
      <c r="J161" s="1" t="n">
        <v>3</v>
      </c>
    </row>
    <row r="162" customFormat="false" ht="15" hidden="false" customHeight="false" outlineLevel="0" collapsed="false">
      <c r="A162" s="1" t="s">
        <v>386</v>
      </c>
      <c r="B162" s="4" t="n">
        <v>45756</v>
      </c>
      <c r="C162" s="1" t="s">
        <v>387</v>
      </c>
      <c r="D162" s="1" t="s">
        <v>289</v>
      </c>
      <c r="E162" s="1" t="n">
        <v>4</v>
      </c>
      <c r="F162" s="5" t="n">
        <v>0.2</v>
      </c>
      <c r="G162" s="1" t="s">
        <v>52</v>
      </c>
      <c r="H162" s="1" t="s">
        <v>92</v>
      </c>
      <c r="I162" s="1" t="s">
        <v>20</v>
      </c>
    </row>
    <row r="163" customFormat="false" ht="15" hidden="false" customHeight="false" outlineLevel="0" collapsed="false">
      <c r="A163" s="1" t="s">
        <v>388</v>
      </c>
      <c r="B163" s="4" t="n">
        <v>46013</v>
      </c>
      <c r="C163" s="1" t="s">
        <v>111</v>
      </c>
      <c r="D163" s="1" t="s">
        <v>143</v>
      </c>
      <c r="E163" s="1" t="n">
        <v>3</v>
      </c>
      <c r="F163" s="5" t="n">
        <v>0.2</v>
      </c>
      <c r="G163" s="1" t="s">
        <v>52</v>
      </c>
      <c r="H163" s="1" t="s">
        <v>14</v>
      </c>
      <c r="I163" s="1" t="s">
        <v>15</v>
      </c>
      <c r="J163" s="1" t="n">
        <v>7</v>
      </c>
    </row>
    <row r="164" customFormat="false" ht="15" hidden="false" customHeight="false" outlineLevel="0" collapsed="false">
      <c r="A164" s="1" t="s">
        <v>389</v>
      </c>
      <c r="B164" s="4" t="n">
        <v>45889</v>
      </c>
      <c r="C164" s="1" t="s">
        <v>183</v>
      </c>
      <c r="D164" s="1" t="s">
        <v>197</v>
      </c>
      <c r="E164" s="1" t="n">
        <v>4</v>
      </c>
      <c r="F164" s="5" t="n">
        <v>0.1</v>
      </c>
      <c r="G164" s="1" t="s">
        <v>24</v>
      </c>
      <c r="H164" s="1" t="s">
        <v>14</v>
      </c>
      <c r="I164" s="1" t="s">
        <v>15</v>
      </c>
      <c r="J164" s="1" t="n">
        <v>4</v>
      </c>
    </row>
    <row r="165" customFormat="false" ht="15" hidden="false" customHeight="false" outlineLevel="0" collapsed="false">
      <c r="A165" s="1" t="s">
        <v>390</v>
      </c>
      <c r="B165" s="4" t="n">
        <v>45981</v>
      </c>
      <c r="C165" s="1" t="s">
        <v>391</v>
      </c>
      <c r="D165" s="1" t="s">
        <v>148</v>
      </c>
      <c r="E165" s="1" t="n">
        <v>1</v>
      </c>
      <c r="F165" s="5" t="n">
        <v>0.1</v>
      </c>
      <c r="G165" s="1" t="s">
        <v>34</v>
      </c>
      <c r="H165" s="1" t="s">
        <v>14</v>
      </c>
      <c r="I165" s="1" t="s">
        <v>20</v>
      </c>
      <c r="J165" s="1" t="n">
        <v>6</v>
      </c>
    </row>
    <row r="166" customFormat="false" ht="15" hidden="false" customHeight="false" outlineLevel="0" collapsed="false">
      <c r="A166" s="1" t="s">
        <v>392</v>
      </c>
      <c r="B166" s="4" t="n">
        <v>45905</v>
      </c>
      <c r="C166" s="1" t="s">
        <v>22</v>
      </c>
      <c r="D166" s="1" t="s">
        <v>58</v>
      </c>
      <c r="E166" s="1" t="n">
        <v>4</v>
      </c>
      <c r="F166" s="5" t="n">
        <v>0</v>
      </c>
      <c r="G166" s="1" t="s">
        <v>34</v>
      </c>
      <c r="H166" s="1" t="s">
        <v>14</v>
      </c>
      <c r="I166" s="1" t="s">
        <v>15</v>
      </c>
      <c r="J166" s="1" t="n">
        <v>8</v>
      </c>
    </row>
    <row r="167" customFormat="false" ht="15" hidden="false" customHeight="false" outlineLevel="0" collapsed="false">
      <c r="A167" s="1" t="s">
        <v>393</v>
      </c>
      <c r="B167" s="4" t="n">
        <v>45730</v>
      </c>
      <c r="C167" s="1" t="s">
        <v>127</v>
      </c>
      <c r="D167" s="1" t="s">
        <v>70</v>
      </c>
      <c r="E167" s="1" t="n">
        <v>1</v>
      </c>
      <c r="F167" s="5" t="n">
        <v>0.15</v>
      </c>
      <c r="G167" s="1" t="s">
        <v>52</v>
      </c>
      <c r="H167" s="1" t="s">
        <v>14</v>
      </c>
      <c r="I167" s="1" t="s">
        <v>20</v>
      </c>
      <c r="J167" s="1" t="n">
        <v>1</v>
      </c>
    </row>
    <row r="168" customFormat="false" ht="15" hidden="false" customHeight="false" outlineLevel="0" collapsed="false">
      <c r="A168" s="1" t="s">
        <v>394</v>
      </c>
      <c r="B168" s="4" t="n">
        <v>45979</v>
      </c>
      <c r="C168" s="1" t="s">
        <v>288</v>
      </c>
      <c r="D168" s="1" t="s">
        <v>27</v>
      </c>
      <c r="E168" s="1" t="n">
        <v>4</v>
      </c>
      <c r="F168" s="5" t="n">
        <v>0.15</v>
      </c>
      <c r="G168" s="1" t="s">
        <v>34</v>
      </c>
      <c r="H168" s="1" t="s">
        <v>14</v>
      </c>
      <c r="I168" s="1" t="s">
        <v>20</v>
      </c>
      <c r="J168" s="1" t="n">
        <v>3</v>
      </c>
    </row>
    <row r="169" customFormat="false" ht="15" hidden="false" customHeight="false" outlineLevel="0" collapsed="false">
      <c r="A169" s="1" t="s">
        <v>395</v>
      </c>
      <c r="B169" s="4" t="n">
        <v>45806</v>
      </c>
      <c r="C169" s="1" t="s">
        <v>396</v>
      </c>
      <c r="D169" s="1" t="s">
        <v>216</v>
      </c>
      <c r="E169" s="1" t="n">
        <v>1</v>
      </c>
      <c r="F169" s="5" t="n">
        <v>0.2</v>
      </c>
      <c r="G169" s="1" t="s">
        <v>24</v>
      </c>
      <c r="H169" s="1" t="s">
        <v>14</v>
      </c>
      <c r="I169" s="1" t="s">
        <v>38</v>
      </c>
      <c r="J169" s="1" t="n">
        <v>7</v>
      </c>
    </row>
    <row r="170" customFormat="false" ht="15" hidden="false" customHeight="false" outlineLevel="0" collapsed="false">
      <c r="A170" s="1" t="s">
        <v>397</v>
      </c>
      <c r="B170" s="4" t="n">
        <v>45671</v>
      </c>
      <c r="C170" s="1" t="s">
        <v>136</v>
      </c>
      <c r="D170" s="1" t="s">
        <v>154</v>
      </c>
      <c r="E170" s="1" t="n">
        <v>2</v>
      </c>
      <c r="F170" s="5" t="n">
        <v>0.25</v>
      </c>
      <c r="G170" s="1" t="s">
        <v>52</v>
      </c>
      <c r="H170" s="1" t="s">
        <v>14</v>
      </c>
      <c r="I170" s="1" t="s">
        <v>20</v>
      </c>
      <c r="J170" s="1" t="n">
        <v>1</v>
      </c>
    </row>
    <row r="171" customFormat="false" ht="15" hidden="false" customHeight="false" outlineLevel="0" collapsed="false">
      <c r="A171" s="1" t="s">
        <v>398</v>
      </c>
      <c r="B171" s="4" t="n">
        <v>46009</v>
      </c>
      <c r="C171" s="1" t="s">
        <v>236</v>
      </c>
      <c r="D171" s="1" t="s">
        <v>399</v>
      </c>
      <c r="E171" s="1" t="n">
        <v>1</v>
      </c>
      <c r="F171" s="5" t="n">
        <v>0.15</v>
      </c>
      <c r="G171" s="1" t="s">
        <v>24</v>
      </c>
      <c r="H171" s="1" t="s">
        <v>14</v>
      </c>
      <c r="I171" s="1" t="s">
        <v>20</v>
      </c>
      <c r="J171" s="1" t="n">
        <v>3</v>
      </c>
    </row>
    <row r="172" customFormat="false" ht="15" hidden="false" customHeight="false" outlineLevel="0" collapsed="false">
      <c r="A172" s="1" t="s">
        <v>400</v>
      </c>
      <c r="B172" s="4" t="n">
        <v>45676</v>
      </c>
      <c r="C172" s="1" t="s">
        <v>401</v>
      </c>
      <c r="D172" s="1" t="s">
        <v>114</v>
      </c>
      <c r="E172" s="1" t="n">
        <v>2</v>
      </c>
      <c r="F172" s="5" t="n">
        <v>0.15</v>
      </c>
      <c r="G172" s="1" t="s">
        <v>52</v>
      </c>
      <c r="H172" s="1" t="s">
        <v>14</v>
      </c>
      <c r="I172" s="1" t="s">
        <v>38</v>
      </c>
      <c r="J172" s="1" t="n">
        <v>7</v>
      </c>
    </row>
    <row r="173" customFormat="false" ht="15" hidden="false" customHeight="false" outlineLevel="0" collapsed="false">
      <c r="A173" s="1" t="s">
        <v>402</v>
      </c>
      <c r="B173" s="4" t="n">
        <v>45773</v>
      </c>
      <c r="C173" s="1" t="s">
        <v>173</v>
      </c>
      <c r="D173" s="1" t="s">
        <v>216</v>
      </c>
      <c r="E173" s="1" t="n">
        <v>1</v>
      </c>
      <c r="F173" s="5" t="n">
        <v>0.15</v>
      </c>
      <c r="G173" s="1" t="s">
        <v>24</v>
      </c>
      <c r="H173" s="1" t="s">
        <v>14</v>
      </c>
      <c r="I173" s="1" t="s">
        <v>15</v>
      </c>
      <c r="J173" s="1" t="n">
        <v>6</v>
      </c>
    </row>
    <row r="174" customFormat="false" ht="15" hidden="false" customHeight="false" outlineLevel="0" collapsed="false">
      <c r="A174" s="1" t="s">
        <v>403</v>
      </c>
      <c r="B174" s="4" t="n">
        <v>45670</v>
      </c>
      <c r="C174" s="1" t="s">
        <v>404</v>
      </c>
      <c r="D174" s="1" t="s">
        <v>405</v>
      </c>
      <c r="E174" s="1" t="n">
        <v>2</v>
      </c>
      <c r="F174" s="5" t="n">
        <v>0</v>
      </c>
      <c r="G174" s="1" t="s">
        <v>34</v>
      </c>
      <c r="H174" s="1" t="s">
        <v>14</v>
      </c>
      <c r="I174" s="1" t="s">
        <v>15</v>
      </c>
      <c r="J174" s="1" t="n">
        <v>7</v>
      </c>
    </row>
    <row r="175" customFormat="false" ht="15" hidden="false" customHeight="false" outlineLevel="0" collapsed="false">
      <c r="A175" s="1" t="s">
        <v>406</v>
      </c>
      <c r="B175" s="4" t="n">
        <v>45965</v>
      </c>
      <c r="C175" s="1" t="s">
        <v>17</v>
      </c>
      <c r="D175" s="1" t="s">
        <v>33</v>
      </c>
      <c r="E175" s="1" t="n">
        <v>2</v>
      </c>
      <c r="F175" s="5" t="n">
        <v>0.25</v>
      </c>
      <c r="G175" s="1" t="s">
        <v>52</v>
      </c>
      <c r="H175" s="1" t="s">
        <v>14</v>
      </c>
      <c r="I175" s="1" t="s">
        <v>20</v>
      </c>
      <c r="J175" s="1" t="n">
        <v>6</v>
      </c>
    </row>
    <row r="176" customFormat="false" ht="15" hidden="false" customHeight="false" outlineLevel="0" collapsed="false">
      <c r="A176" s="1" t="s">
        <v>407</v>
      </c>
      <c r="B176" s="4" t="n">
        <v>45984</v>
      </c>
      <c r="C176" s="1" t="s">
        <v>408</v>
      </c>
      <c r="D176" s="1" t="s">
        <v>44</v>
      </c>
      <c r="E176" s="1" t="n">
        <v>2</v>
      </c>
      <c r="F176" s="5" t="n">
        <v>0.25</v>
      </c>
      <c r="G176" s="1" t="s">
        <v>52</v>
      </c>
      <c r="H176" s="1" t="s">
        <v>14</v>
      </c>
      <c r="I176" s="1" t="s">
        <v>38</v>
      </c>
      <c r="J176" s="1" t="n">
        <v>8</v>
      </c>
    </row>
    <row r="177" customFormat="false" ht="15" hidden="false" customHeight="false" outlineLevel="0" collapsed="false">
      <c r="A177" s="1" t="s">
        <v>409</v>
      </c>
      <c r="B177" s="4" t="n">
        <v>45796</v>
      </c>
      <c r="C177" s="1" t="s">
        <v>410</v>
      </c>
      <c r="D177" s="1" t="s">
        <v>117</v>
      </c>
      <c r="E177" s="1" t="n">
        <v>1</v>
      </c>
      <c r="F177" s="5" t="n">
        <v>0</v>
      </c>
      <c r="G177" s="1" t="s">
        <v>52</v>
      </c>
      <c r="H177" s="1" t="s">
        <v>14</v>
      </c>
      <c r="I177" s="1" t="s">
        <v>15</v>
      </c>
      <c r="J177" s="1" t="n">
        <v>6</v>
      </c>
    </row>
    <row r="178" customFormat="false" ht="15" hidden="false" customHeight="false" outlineLevel="0" collapsed="false">
      <c r="A178" s="1" t="s">
        <v>411</v>
      </c>
      <c r="B178" s="4" t="n">
        <v>45709</v>
      </c>
      <c r="C178" s="1" t="s">
        <v>201</v>
      </c>
      <c r="D178" s="1" t="s">
        <v>106</v>
      </c>
      <c r="E178" s="1" t="n">
        <v>1</v>
      </c>
      <c r="F178" s="5" t="n">
        <v>0.1</v>
      </c>
      <c r="G178" s="1" t="s">
        <v>13</v>
      </c>
      <c r="H178" s="1" t="s">
        <v>53</v>
      </c>
      <c r="I178" s="1" t="s">
        <v>20</v>
      </c>
      <c r="J178" s="1" t="n">
        <v>7</v>
      </c>
    </row>
    <row r="179" customFormat="false" ht="15" hidden="false" customHeight="false" outlineLevel="0" collapsed="false">
      <c r="A179" s="1" t="s">
        <v>412</v>
      </c>
      <c r="B179" s="4" t="n">
        <v>45761</v>
      </c>
      <c r="C179" s="1" t="s">
        <v>413</v>
      </c>
      <c r="D179" s="1" t="s">
        <v>328</v>
      </c>
      <c r="E179" s="1" t="n">
        <v>1</v>
      </c>
      <c r="F179" s="5" t="n">
        <v>0.1</v>
      </c>
      <c r="G179" s="1" t="s">
        <v>34</v>
      </c>
      <c r="H179" s="1" t="s">
        <v>14</v>
      </c>
      <c r="I179" s="1" t="s">
        <v>38</v>
      </c>
      <c r="J179" s="1" t="n">
        <v>1</v>
      </c>
    </row>
    <row r="180" customFormat="false" ht="15" hidden="false" customHeight="false" outlineLevel="0" collapsed="false">
      <c r="A180" s="1" t="s">
        <v>414</v>
      </c>
      <c r="B180" s="4" t="n">
        <v>45796</v>
      </c>
      <c r="C180" s="1" t="s">
        <v>415</v>
      </c>
      <c r="D180" s="1" t="s">
        <v>168</v>
      </c>
      <c r="E180" s="1" t="n">
        <v>2</v>
      </c>
      <c r="F180" s="5" t="n">
        <v>0</v>
      </c>
      <c r="G180" s="1" t="s">
        <v>34</v>
      </c>
      <c r="H180" s="1" t="s">
        <v>14</v>
      </c>
      <c r="I180" s="1" t="s">
        <v>15</v>
      </c>
      <c r="J180" s="1" t="n">
        <v>8</v>
      </c>
    </row>
    <row r="181" customFormat="false" ht="15" hidden="false" customHeight="false" outlineLevel="0" collapsed="false">
      <c r="A181" s="1" t="s">
        <v>416</v>
      </c>
      <c r="B181" s="4" t="n">
        <v>45714</v>
      </c>
      <c r="C181" s="1" t="s">
        <v>417</v>
      </c>
      <c r="D181" s="1" t="s">
        <v>418</v>
      </c>
      <c r="E181" s="1" t="n">
        <v>1</v>
      </c>
      <c r="F181" s="5" t="n">
        <v>0</v>
      </c>
      <c r="G181" s="1" t="s">
        <v>13</v>
      </c>
      <c r="H181" s="1" t="s">
        <v>14</v>
      </c>
      <c r="I181" s="1" t="s">
        <v>15</v>
      </c>
      <c r="J181" s="1" t="n">
        <v>2</v>
      </c>
    </row>
    <row r="182" customFormat="false" ht="15" hidden="false" customHeight="false" outlineLevel="0" collapsed="false">
      <c r="A182" s="1" t="s">
        <v>419</v>
      </c>
      <c r="B182" s="4" t="n">
        <v>45798</v>
      </c>
      <c r="C182" s="1" t="s">
        <v>183</v>
      </c>
      <c r="D182" s="1" t="s">
        <v>197</v>
      </c>
      <c r="E182" s="1" t="n">
        <v>2</v>
      </c>
      <c r="F182" s="5" t="n">
        <v>0.1</v>
      </c>
      <c r="G182" s="1" t="s">
        <v>52</v>
      </c>
      <c r="H182" s="1" t="s">
        <v>14</v>
      </c>
      <c r="I182" s="1" t="s">
        <v>15</v>
      </c>
      <c r="J182" s="1" t="n">
        <v>4</v>
      </c>
    </row>
    <row r="183" customFormat="false" ht="15" hidden="false" customHeight="false" outlineLevel="0" collapsed="false">
      <c r="A183" s="1" t="s">
        <v>420</v>
      </c>
      <c r="B183" s="4" t="n">
        <v>45701</v>
      </c>
      <c r="C183" s="1" t="s">
        <v>298</v>
      </c>
      <c r="D183" s="1" t="s">
        <v>210</v>
      </c>
      <c r="E183" s="1" t="n">
        <v>4</v>
      </c>
      <c r="F183" s="5" t="n">
        <v>0.05</v>
      </c>
      <c r="G183" s="1" t="s">
        <v>24</v>
      </c>
      <c r="H183" s="1" t="s">
        <v>14</v>
      </c>
      <c r="I183" s="1" t="s">
        <v>15</v>
      </c>
      <c r="J183" s="1" t="n">
        <v>6</v>
      </c>
    </row>
    <row r="184" customFormat="false" ht="15" hidden="false" customHeight="false" outlineLevel="0" collapsed="false">
      <c r="A184" s="1" t="s">
        <v>421</v>
      </c>
      <c r="B184" s="4" t="n">
        <v>45672</v>
      </c>
      <c r="C184" s="1" t="s">
        <v>422</v>
      </c>
      <c r="D184" s="1" t="s">
        <v>423</v>
      </c>
      <c r="E184" s="1" t="n">
        <v>1</v>
      </c>
      <c r="F184" s="5" t="n">
        <v>0.05</v>
      </c>
      <c r="G184" s="1" t="s">
        <v>19</v>
      </c>
      <c r="H184" s="1" t="s">
        <v>14</v>
      </c>
      <c r="I184" s="1" t="s">
        <v>15</v>
      </c>
      <c r="J184" s="1" t="n">
        <v>1</v>
      </c>
    </row>
    <row r="185" customFormat="false" ht="15" hidden="false" customHeight="false" outlineLevel="0" collapsed="false">
      <c r="A185" s="1" t="s">
        <v>424</v>
      </c>
      <c r="B185" s="4" t="n">
        <v>45886</v>
      </c>
      <c r="C185" s="1" t="s">
        <v>425</v>
      </c>
      <c r="D185" s="1" t="s">
        <v>405</v>
      </c>
      <c r="E185" s="1" t="n">
        <v>1</v>
      </c>
      <c r="F185" s="5" t="n">
        <v>0.2</v>
      </c>
      <c r="G185" s="1" t="s">
        <v>19</v>
      </c>
      <c r="H185" s="1" t="s">
        <v>14</v>
      </c>
      <c r="I185" s="1" t="s">
        <v>20</v>
      </c>
      <c r="J185" s="1" t="n">
        <v>6</v>
      </c>
    </row>
    <row r="186" customFormat="false" ht="15" hidden="false" customHeight="false" outlineLevel="0" collapsed="false">
      <c r="A186" s="1" t="s">
        <v>426</v>
      </c>
      <c r="B186" s="4" t="n">
        <v>46011</v>
      </c>
      <c r="C186" s="1" t="s">
        <v>212</v>
      </c>
      <c r="D186" s="1" t="s">
        <v>371</v>
      </c>
      <c r="E186" s="1" t="n">
        <v>1</v>
      </c>
      <c r="F186" s="5" t="n">
        <v>0.1</v>
      </c>
      <c r="G186" s="1" t="s">
        <v>71</v>
      </c>
      <c r="H186" s="1" t="s">
        <v>53</v>
      </c>
      <c r="I186" s="1" t="s">
        <v>38</v>
      </c>
      <c r="J186" s="1" t="n">
        <v>6</v>
      </c>
    </row>
    <row r="187" customFormat="false" ht="15" hidden="false" customHeight="false" outlineLevel="0" collapsed="false">
      <c r="A187" s="1" t="s">
        <v>427</v>
      </c>
      <c r="B187" s="4" t="n">
        <v>45865</v>
      </c>
      <c r="C187" s="1" t="s">
        <v>428</v>
      </c>
      <c r="D187" s="1" t="s">
        <v>429</v>
      </c>
      <c r="E187" s="1" t="n">
        <v>1</v>
      </c>
      <c r="F187" s="5" t="n">
        <v>0.05</v>
      </c>
      <c r="G187" s="1" t="s">
        <v>19</v>
      </c>
      <c r="H187" s="1" t="s">
        <v>14</v>
      </c>
      <c r="I187" s="1" t="s">
        <v>20</v>
      </c>
      <c r="J187" s="1" t="n">
        <v>2</v>
      </c>
    </row>
    <row r="188" customFormat="false" ht="15" hidden="false" customHeight="false" outlineLevel="0" collapsed="false">
      <c r="A188" s="1" t="s">
        <v>430</v>
      </c>
      <c r="B188" s="4" t="n">
        <v>45983</v>
      </c>
      <c r="C188" s="1" t="s">
        <v>431</v>
      </c>
      <c r="D188" s="1" t="s">
        <v>399</v>
      </c>
      <c r="E188" s="1" t="n">
        <v>1</v>
      </c>
      <c r="F188" s="5" t="n">
        <v>0.25</v>
      </c>
      <c r="G188" s="1" t="s">
        <v>52</v>
      </c>
      <c r="H188" s="1" t="s">
        <v>14</v>
      </c>
      <c r="I188" s="1" t="s">
        <v>20</v>
      </c>
      <c r="J188" s="1" t="n">
        <v>1</v>
      </c>
    </row>
    <row r="189" customFormat="false" ht="15" hidden="false" customHeight="false" outlineLevel="0" collapsed="false">
      <c r="A189" s="1" t="s">
        <v>432</v>
      </c>
      <c r="B189" s="4" t="n">
        <v>45794</v>
      </c>
      <c r="C189" s="1" t="s">
        <v>285</v>
      </c>
      <c r="D189" s="1" t="s">
        <v>264</v>
      </c>
      <c r="E189" s="1" t="n">
        <v>1</v>
      </c>
      <c r="F189" s="5" t="n">
        <v>0</v>
      </c>
      <c r="G189" s="1" t="s">
        <v>19</v>
      </c>
      <c r="H189" s="1" t="s">
        <v>14</v>
      </c>
      <c r="I189" s="1" t="s">
        <v>20</v>
      </c>
      <c r="J189" s="1" t="n">
        <v>5</v>
      </c>
    </row>
    <row r="190" customFormat="false" ht="15" hidden="false" customHeight="false" outlineLevel="0" collapsed="false">
      <c r="A190" s="1" t="s">
        <v>433</v>
      </c>
      <c r="B190" s="4" t="n">
        <v>45995</v>
      </c>
      <c r="C190" s="1" t="s">
        <v>124</v>
      </c>
      <c r="D190" s="1" t="s">
        <v>289</v>
      </c>
      <c r="E190" s="1" t="n">
        <v>3</v>
      </c>
      <c r="F190" s="5" t="n">
        <v>0.2</v>
      </c>
      <c r="G190" s="1" t="s">
        <v>34</v>
      </c>
      <c r="H190" s="1" t="s">
        <v>14</v>
      </c>
      <c r="I190" s="1" t="s">
        <v>15</v>
      </c>
      <c r="J190" s="1" t="n">
        <v>8</v>
      </c>
    </row>
    <row r="191" customFormat="false" ht="15" hidden="false" customHeight="false" outlineLevel="0" collapsed="false">
      <c r="A191" s="1" t="s">
        <v>434</v>
      </c>
      <c r="B191" s="4" t="n">
        <v>45980</v>
      </c>
      <c r="C191" s="1" t="s">
        <v>435</v>
      </c>
      <c r="D191" s="1" t="s">
        <v>436</v>
      </c>
      <c r="E191" s="1" t="n">
        <v>1</v>
      </c>
      <c r="F191" s="5" t="n">
        <v>0</v>
      </c>
      <c r="G191" s="1" t="s">
        <v>52</v>
      </c>
      <c r="H191" s="1" t="s">
        <v>14</v>
      </c>
      <c r="I191" s="1" t="s">
        <v>38</v>
      </c>
      <c r="J191" s="1" t="n">
        <v>6</v>
      </c>
    </row>
    <row r="192" customFormat="false" ht="15" hidden="false" customHeight="false" outlineLevel="0" collapsed="false">
      <c r="A192" s="1" t="s">
        <v>437</v>
      </c>
      <c r="B192" s="4" t="n">
        <v>45980</v>
      </c>
      <c r="C192" s="1" t="s">
        <v>438</v>
      </c>
      <c r="D192" s="1" t="s">
        <v>315</v>
      </c>
      <c r="E192" s="1" t="n">
        <v>1</v>
      </c>
      <c r="F192" s="5" t="n">
        <v>0.2</v>
      </c>
      <c r="G192" s="1" t="s">
        <v>19</v>
      </c>
      <c r="H192" s="1" t="s">
        <v>14</v>
      </c>
      <c r="I192" s="1" t="s">
        <v>20</v>
      </c>
      <c r="J192" s="1" t="n">
        <v>6</v>
      </c>
    </row>
    <row r="193" customFormat="false" ht="15" hidden="false" customHeight="false" outlineLevel="0" collapsed="false">
      <c r="A193" s="1" t="s">
        <v>439</v>
      </c>
      <c r="B193" s="4" t="n">
        <v>45885</v>
      </c>
      <c r="C193" s="1" t="s">
        <v>440</v>
      </c>
      <c r="D193" s="1" t="s">
        <v>441</v>
      </c>
      <c r="E193" s="1" t="n">
        <v>1</v>
      </c>
      <c r="F193" s="5" t="n">
        <v>0.05</v>
      </c>
      <c r="G193" s="1" t="s">
        <v>52</v>
      </c>
      <c r="H193" s="1" t="s">
        <v>14</v>
      </c>
      <c r="I193" s="1" t="s">
        <v>15</v>
      </c>
      <c r="J193" s="1" t="n">
        <v>6</v>
      </c>
    </row>
    <row r="194" customFormat="false" ht="15" hidden="false" customHeight="false" outlineLevel="0" collapsed="false">
      <c r="A194" s="1" t="s">
        <v>442</v>
      </c>
      <c r="B194" s="4" t="n">
        <v>45901</v>
      </c>
      <c r="C194" s="1" t="s">
        <v>443</v>
      </c>
      <c r="D194" s="1" t="s">
        <v>444</v>
      </c>
      <c r="E194" s="1" t="n">
        <v>1</v>
      </c>
      <c r="F194" s="5" t="n">
        <v>0.15</v>
      </c>
      <c r="G194" s="1" t="s">
        <v>52</v>
      </c>
      <c r="H194" s="1" t="s">
        <v>53</v>
      </c>
      <c r="I194" s="1" t="s">
        <v>15</v>
      </c>
      <c r="J194" s="1" t="n">
        <v>8</v>
      </c>
    </row>
    <row r="195" customFormat="false" ht="15" hidden="false" customHeight="false" outlineLevel="0" collapsed="false">
      <c r="A195" s="1" t="s">
        <v>445</v>
      </c>
      <c r="B195" s="4" t="n">
        <v>45938</v>
      </c>
      <c r="C195" s="1" t="s">
        <v>50</v>
      </c>
      <c r="D195" s="1" t="s">
        <v>446</v>
      </c>
      <c r="E195" s="1" t="n">
        <v>2</v>
      </c>
      <c r="F195" s="5" t="n">
        <v>0.05</v>
      </c>
      <c r="G195" s="1" t="s">
        <v>52</v>
      </c>
      <c r="H195" s="1" t="s">
        <v>14</v>
      </c>
      <c r="I195" s="1" t="s">
        <v>15</v>
      </c>
      <c r="J195" s="1" t="n">
        <v>6</v>
      </c>
    </row>
    <row r="196" customFormat="false" ht="15" hidden="false" customHeight="false" outlineLevel="0" collapsed="false">
      <c r="A196" s="1" t="s">
        <v>447</v>
      </c>
      <c r="B196" s="4" t="n">
        <v>45882</v>
      </c>
      <c r="C196" s="1" t="s">
        <v>219</v>
      </c>
      <c r="D196" s="1" t="s">
        <v>154</v>
      </c>
      <c r="E196" s="1" t="n">
        <v>1</v>
      </c>
      <c r="F196" s="5" t="n">
        <v>0.05</v>
      </c>
      <c r="G196" s="1" t="s">
        <v>52</v>
      </c>
      <c r="H196" s="1" t="s">
        <v>14</v>
      </c>
      <c r="I196" s="1" t="s">
        <v>20</v>
      </c>
      <c r="J196" s="1" t="n">
        <v>7</v>
      </c>
    </row>
    <row r="197" customFormat="false" ht="15" hidden="false" customHeight="false" outlineLevel="0" collapsed="false">
      <c r="A197" s="1" t="s">
        <v>448</v>
      </c>
      <c r="B197" s="4" t="n">
        <v>45802</v>
      </c>
      <c r="C197" s="1" t="s">
        <v>309</v>
      </c>
      <c r="D197" s="1" t="s">
        <v>255</v>
      </c>
      <c r="E197" s="1" t="n">
        <v>1</v>
      </c>
      <c r="F197" s="5" t="n">
        <v>0.15</v>
      </c>
      <c r="G197" s="1" t="s">
        <v>52</v>
      </c>
      <c r="H197" s="1" t="s">
        <v>53</v>
      </c>
      <c r="I197" s="1" t="s">
        <v>38</v>
      </c>
      <c r="J197" s="1" t="n">
        <v>7</v>
      </c>
    </row>
    <row r="198" customFormat="false" ht="15" hidden="false" customHeight="false" outlineLevel="0" collapsed="false">
      <c r="A198" s="1" t="s">
        <v>449</v>
      </c>
      <c r="B198" s="4" t="n">
        <v>45746</v>
      </c>
      <c r="C198" s="1" t="s">
        <v>450</v>
      </c>
      <c r="D198" s="1" t="s">
        <v>335</v>
      </c>
      <c r="E198" s="1" t="n">
        <v>4</v>
      </c>
      <c r="F198" s="5" t="n">
        <v>0.1</v>
      </c>
      <c r="G198" s="1" t="s">
        <v>52</v>
      </c>
      <c r="H198" s="1" t="s">
        <v>45</v>
      </c>
      <c r="I198" s="1" t="s">
        <v>15</v>
      </c>
    </row>
    <row r="199" customFormat="false" ht="15" hidden="false" customHeight="false" outlineLevel="0" collapsed="false">
      <c r="A199" s="1" t="s">
        <v>451</v>
      </c>
      <c r="B199" s="4" t="n">
        <v>45672</v>
      </c>
      <c r="C199" s="1" t="s">
        <v>452</v>
      </c>
      <c r="D199" s="1" t="s">
        <v>362</v>
      </c>
      <c r="E199" s="1" t="n">
        <v>1</v>
      </c>
      <c r="F199" s="5" t="n">
        <v>0</v>
      </c>
      <c r="G199" s="1" t="s">
        <v>34</v>
      </c>
      <c r="H199" s="1" t="s">
        <v>14</v>
      </c>
      <c r="I199" s="1" t="s">
        <v>15</v>
      </c>
      <c r="J199" s="1" t="n">
        <v>6</v>
      </c>
    </row>
    <row r="200" customFormat="false" ht="15" hidden="false" customHeight="false" outlineLevel="0" collapsed="false">
      <c r="A200" s="1" t="s">
        <v>453</v>
      </c>
      <c r="B200" s="4" t="n">
        <v>45889</v>
      </c>
      <c r="C200" s="1" t="s">
        <v>283</v>
      </c>
      <c r="D200" s="1" t="s">
        <v>106</v>
      </c>
      <c r="E200" s="1" t="n">
        <v>2</v>
      </c>
      <c r="F200" s="5" t="n">
        <v>0.05</v>
      </c>
      <c r="G200" s="1" t="s">
        <v>34</v>
      </c>
      <c r="H200" s="1" t="s">
        <v>53</v>
      </c>
      <c r="I200" s="1" t="s">
        <v>38</v>
      </c>
      <c r="J200" s="1" t="n">
        <v>8</v>
      </c>
    </row>
    <row r="201" customFormat="false" ht="15" hidden="false" customHeight="false" outlineLevel="0" collapsed="false">
      <c r="A201" s="1" t="s">
        <v>454</v>
      </c>
      <c r="B201" s="4" t="n">
        <v>45779</v>
      </c>
      <c r="C201" s="1" t="s">
        <v>350</v>
      </c>
      <c r="D201" s="1" t="s">
        <v>455</v>
      </c>
      <c r="E201" s="1" t="n">
        <v>1</v>
      </c>
      <c r="F201" s="5" t="n">
        <v>0.05</v>
      </c>
      <c r="G201" s="1" t="s">
        <v>19</v>
      </c>
      <c r="H201" s="1" t="s">
        <v>45</v>
      </c>
      <c r="I201" s="1" t="s">
        <v>38</v>
      </c>
    </row>
    <row r="202" customFormat="false" ht="15" hidden="false" customHeight="false" outlineLevel="0" collapsed="false">
      <c r="A202" s="1" t="s">
        <v>456</v>
      </c>
      <c r="B202" s="4" t="n">
        <v>45900</v>
      </c>
      <c r="C202" s="1" t="s">
        <v>457</v>
      </c>
      <c r="D202" s="1" t="s">
        <v>362</v>
      </c>
      <c r="E202" s="1" t="n">
        <v>3</v>
      </c>
      <c r="F202" s="5" t="n">
        <v>0.2</v>
      </c>
      <c r="G202" s="1" t="s">
        <v>52</v>
      </c>
      <c r="H202" s="1" t="s">
        <v>14</v>
      </c>
      <c r="I202" s="1" t="s">
        <v>15</v>
      </c>
      <c r="J202" s="1" t="n">
        <v>4</v>
      </c>
    </row>
    <row r="203" customFormat="false" ht="15" hidden="false" customHeight="false" outlineLevel="0" collapsed="false">
      <c r="A203" s="1" t="s">
        <v>458</v>
      </c>
      <c r="B203" s="4" t="n">
        <v>45854</v>
      </c>
      <c r="C203" s="1" t="s">
        <v>459</v>
      </c>
      <c r="D203" s="1" t="s">
        <v>325</v>
      </c>
      <c r="E203" s="1" t="n">
        <v>2</v>
      </c>
      <c r="F203" s="5" t="n">
        <v>0.05</v>
      </c>
      <c r="G203" s="1" t="s">
        <v>52</v>
      </c>
      <c r="H203" s="1" t="s">
        <v>14</v>
      </c>
      <c r="I203" s="1" t="s">
        <v>38</v>
      </c>
      <c r="J203" s="1" t="n">
        <v>6</v>
      </c>
    </row>
    <row r="204" customFormat="false" ht="15" hidden="false" customHeight="false" outlineLevel="0" collapsed="false">
      <c r="A204" s="1" t="s">
        <v>460</v>
      </c>
      <c r="B204" s="4" t="n">
        <v>45992</v>
      </c>
      <c r="C204" s="1" t="s">
        <v>461</v>
      </c>
      <c r="D204" s="1" t="s">
        <v>462</v>
      </c>
      <c r="E204" s="1" t="n">
        <v>1</v>
      </c>
      <c r="F204" s="5" t="n">
        <v>0.15</v>
      </c>
      <c r="G204" s="1" t="s">
        <v>24</v>
      </c>
      <c r="H204" s="1" t="s">
        <v>53</v>
      </c>
      <c r="I204" s="1" t="s">
        <v>20</v>
      </c>
      <c r="J204" s="1" t="n">
        <v>2</v>
      </c>
    </row>
    <row r="205" customFormat="false" ht="15" hidden="false" customHeight="false" outlineLevel="0" collapsed="false">
      <c r="A205" s="1" t="s">
        <v>463</v>
      </c>
      <c r="B205" s="4" t="n">
        <v>45848</v>
      </c>
      <c r="C205" s="1" t="s">
        <v>435</v>
      </c>
      <c r="D205" s="1" t="s">
        <v>429</v>
      </c>
      <c r="E205" s="1" t="n">
        <v>1</v>
      </c>
      <c r="F205" s="5" t="n">
        <v>0.1</v>
      </c>
      <c r="G205" s="1" t="s">
        <v>52</v>
      </c>
      <c r="H205" s="1" t="s">
        <v>53</v>
      </c>
      <c r="I205" s="1" t="s">
        <v>15</v>
      </c>
      <c r="J205" s="1" t="n">
        <v>7</v>
      </c>
    </row>
    <row r="206" customFormat="false" ht="15" hidden="false" customHeight="false" outlineLevel="0" collapsed="false">
      <c r="A206" s="1" t="s">
        <v>464</v>
      </c>
      <c r="B206" s="4" t="n">
        <v>45812</v>
      </c>
      <c r="C206" s="1" t="s">
        <v>443</v>
      </c>
      <c r="D206" s="1" t="s">
        <v>48</v>
      </c>
      <c r="E206" s="1" t="n">
        <v>1</v>
      </c>
      <c r="F206" s="5" t="n">
        <v>0.15</v>
      </c>
      <c r="G206" s="1" t="s">
        <v>52</v>
      </c>
      <c r="H206" s="1" t="s">
        <v>14</v>
      </c>
      <c r="I206" s="1" t="s">
        <v>20</v>
      </c>
      <c r="J206" s="1" t="n">
        <v>8</v>
      </c>
    </row>
    <row r="207" customFormat="false" ht="15" hidden="false" customHeight="false" outlineLevel="0" collapsed="false">
      <c r="A207" s="1" t="s">
        <v>465</v>
      </c>
      <c r="B207" s="4" t="n">
        <v>45780</v>
      </c>
      <c r="C207" s="1" t="s">
        <v>466</v>
      </c>
      <c r="D207" s="1" t="s">
        <v>240</v>
      </c>
      <c r="E207" s="1" t="n">
        <v>3</v>
      </c>
      <c r="F207" s="5" t="n">
        <v>0.15</v>
      </c>
      <c r="G207" s="1" t="s">
        <v>71</v>
      </c>
      <c r="H207" s="1" t="s">
        <v>14</v>
      </c>
      <c r="I207" s="1" t="s">
        <v>20</v>
      </c>
      <c r="J207" s="1" t="n">
        <v>2</v>
      </c>
    </row>
    <row r="208" customFormat="false" ht="15" hidden="false" customHeight="false" outlineLevel="0" collapsed="false">
      <c r="A208" s="1" t="s">
        <v>467</v>
      </c>
      <c r="B208" s="4" t="n">
        <v>45664</v>
      </c>
      <c r="C208" s="1" t="s">
        <v>306</v>
      </c>
      <c r="D208" s="1" t="s">
        <v>429</v>
      </c>
      <c r="E208" s="1" t="n">
        <v>1</v>
      </c>
      <c r="F208" s="5" t="n">
        <v>0.1</v>
      </c>
      <c r="G208" s="1" t="s">
        <v>52</v>
      </c>
      <c r="H208" s="1" t="s">
        <v>14</v>
      </c>
      <c r="I208" s="1" t="s">
        <v>15</v>
      </c>
      <c r="J208" s="1" t="n">
        <v>5</v>
      </c>
    </row>
    <row r="209" customFormat="false" ht="15" hidden="false" customHeight="false" outlineLevel="0" collapsed="false">
      <c r="A209" s="1" t="s">
        <v>468</v>
      </c>
      <c r="B209" s="4" t="n">
        <v>45785</v>
      </c>
      <c r="C209" s="1" t="s">
        <v>404</v>
      </c>
      <c r="D209" s="1" t="s">
        <v>253</v>
      </c>
      <c r="E209" s="1" t="n">
        <v>1</v>
      </c>
      <c r="F209" s="5" t="n">
        <v>0</v>
      </c>
      <c r="G209" s="1" t="s">
        <v>52</v>
      </c>
      <c r="H209" s="1" t="s">
        <v>14</v>
      </c>
      <c r="I209" s="1" t="s">
        <v>15</v>
      </c>
      <c r="J209" s="1" t="n">
        <v>7</v>
      </c>
    </row>
    <row r="210" customFormat="false" ht="15" hidden="false" customHeight="false" outlineLevel="0" collapsed="false">
      <c r="A210" s="1" t="s">
        <v>469</v>
      </c>
      <c r="B210" s="4" t="n">
        <v>45731</v>
      </c>
      <c r="C210" s="1" t="s">
        <v>191</v>
      </c>
      <c r="D210" s="1" t="s">
        <v>462</v>
      </c>
      <c r="E210" s="1" t="n">
        <v>1</v>
      </c>
      <c r="F210" s="5" t="n">
        <v>0.15</v>
      </c>
      <c r="G210" s="1" t="s">
        <v>34</v>
      </c>
      <c r="H210" s="1" t="s">
        <v>14</v>
      </c>
      <c r="I210" s="1" t="s">
        <v>15</v>
      </c>
      <c r="J210" s="1" t="n">
        <v>2</v>
      </c>
    </row>
    <row r="211" customFormat="false" ht="15" hidden="false" customHeight="false" outlineLevel="0" collapsed="false">
      <c r="A211" s="1" t="s">
        <v>470</v>
      </c>
      <c r="B211" s="4" t="n">
        <v>45784</v>
      </c>
      <c r="C211" s="1" t="s">
        <v>127</v>
      </c>
      <c r="D211" s="1" t="s">
        <v>23</v>
      </c>
      <c r="E211" s="1" t="n">
        <v>1</v>
      </c>
      <c r="F211" s="5" t="n">
        <v>0.1</v>
      </c>
      <c r="G211" s="1" t="s">
        <v>52</v>
      </c>
      <c r="H211" s="1" t="s">
        <v>14</v>
      </c>
      <c r="I211" s="1" t="s">
        <v>38</v>
      </c>
      <c r="J211" s="1" t="n">
        <v>4</v>
      </c>
    </row>
    <row r="212" customFormat="false" ht="15" hidden="false" customHeight="false" outlineLevel="0" collapsed="false">
      <c r="A212" s="1" t="s">
        <v>471</v>
      </c>
      <c r="B212" s="4" t="n">
        <v>46011</v>
      </c>
      <c r="C212" s="1" t="s">
        <v>472</v>
      </c>
      <c r="D212" s="1" t="s">
        <v>33</v>
      </c>
      <c r="E212" s="1" t="n">
        <v>1</v>
      </c>
      <c r="F212" s="5" t="n">
        <v>0</v>
      </c>
      <c r="G212" s="1" t="s">
        <v>71</v>
      </c>
      <c r="H212" s="1" t="s">
        <v>14</v>
      </c>
      <c r="I212" s="1" t="s">
        <v>15</v>
      </c>
      <c r="J212" s="1" t="n">
        <v>8</v>
      </c>
    </row>
    <row r="213" customFormat="false" ht="15" hidden="false" customHeight="false" outlineLevel="0" collapsed="false">
      <c r="A213" s="1" t="s">
        <v>473</v>
      </c>
      <c r="B213" s="4" t="n">
        <v>45901</v>
      </c>
      <c r="C213" s="1" t="s">
        <v>474</v>
      </c>
      <c r="D213" s="1" t="s">
        <v>353</v>
      </c>
      <c r="E213" s="1" t="n">
        <v>5</v>
      </c>
      <c r="F213" s="5" t="n">
        <v>0.25</v>
      </c>
      <c r="G213" s="1" t="s">
        <v>19</v>
      </c>
      <c r="H213" s="1" t="s">
        <v>14</v>
      </c>
      <c r="I213" s="1" t="s">
        <v>15</v>
      </c>
      <c r="J213" s="1" t="n">
        <v>2</v>
      </c>
    </row>
    <row r="214" customFormat="false" ht="15" hidden="false" customHeight="false" outlineLevel="0" collapsed="false">
      <c r="A214" s="1" t="s">
        <v>475</v>
      </c>
      <c r="B214" s="4" t="n">
        <v>46008</v>
      </c>
      <c r="C214" s="1" t="s">
        <v>167</v>
      </c>
      <c r="D214" s="1" t="s">
        <v>106</v>
      </c>
      <c r="E214" s="1" t="n">
        <v>1</v>
      </c>
      <c r="F214" s="5" t="n">
        <v>0.2</v>
      </c>
      <c r="G214" s="1" t="s">
        <v>34</v>
      </c>
      <c r="H214" s="1" t="s">
        <v>53</v>
      </c>
      <c r="I214" s="1" t="s">
        <v>15</v>
      </c>
      <c r="J214" s="1" t="n">
        <v>8</v>
      </c>
    </row>
    <row r="215" customFormat="false" ht="15" hidden="false" customHeight="false" outlineLevel="0" collapsed="false">
      <c r="A215" s="1" t="s">
        <v>476</v>
      </c>
      <c r="B215" s="4" t="n">
        <v>45778</v>
      </c>
      <c r="C215" s="1" t="s">
        <v>477</v>
      </c>
      <c r="D215" s="1" t="s">
        <v>216</v>
      </c>
      <c r="E215" s="1" t="n">
        <v>1</v>
      </c>
      <c r="F215" s="5" t="n">
        <v>0.1</v>
      </c>
      <c r="G215" s="1" t="s">
        <v>52</v>
      </c>
      <c r="H215" s="1" t="s">
        <v>14</v>
      </c>
      <c r="I215" s="1" t="s">
        <v>20</v>
      </c>
      <c r="J215" s="1" t="n">
        <v>7</v>
      </c>
    </row>
    <row r="216" customFormat="false" ht="15" hidden="false" customHeight="false" outlineLevel="0" collapsed="false">
      <c r="A216" s="1" t="s">
        <v>478</v>
      </c>
      <c r="B216" s="4" t="n">
        <v>45925</v>
      </c>
      <c r="C216" s="1" t="s">
        <v>479</v>
      </c>
      <c r="D216" s="1" t="s">
        <v>429</v>
      </c>
      <c r="E216" s="1" t="n">
        <v>1</v>
      </c>
      <c r="F216" s="5" t="n">
        <v>0.2</v>
      </c>
      <c r="G216" s="1" t="s">
        <v>24</v>
      </c>
      <c r="H216" s="1" t="s">
        <v>14</v>
      </c>
      <c r="I216" s="1" t="s">
        <v>20</v>
      </c>
      <c r="J216" s="1" t="n">
        <v>5</v>
      </c>
    </row>
    <row r="217" customFormat="false" ht="15" hidden="false" customHeight="false" outlineLevel="0" collapsed="false">
      <c r="A217" s="1" t="s">
        <v>480</v>
      </c>
      <c r="B217" s="4" t="n">
        <v>45709</v>
      </c>
      <c r="C217" s="1" t="s">
        <v>194</v>
      </c>
      <c r="D217" s="1" t="s">
        <v>18</v>
      </c>
      <c r="E217" s="1" t="n">
        <v>3</v>
      </c>
      <c r="F217" s="5" t="n">
        <v>0</v>
      </c>
      <c r="G217" s="1" t="s">
        <v>13</v>
      </c>
      <c r="H217" s="1" t="s">
        <v>14</v>
      </c>
      <c r="I217" s="1" t="s">
        <v>38</v>
      </c>
      <c r="J217" s="1" t="n">
        <v>7</v>
      </c>
    </row>
    <row r="218" customFormat="false" ht="15" hidden="false" customHeight="false" outlineLevel="0" collapsed="false">
      <c r="A218" s="1" t="s">
        <v>481</v>
      </c>
      <c r="B218" s="4" t="n">
        <v>45884</v>
      </c>
      <c r="C218" s="1" t="s">
        <v>280</v>
      </c>
      <c r="D218" s="1" t="s">
        <v>77</v>
      </c>
      <c r="E218" s="1" t="n">
        <v>1</v>
      </c>
      <c r="F218" s="5" t="n">
        <v>0.25</v>
      </c>
      <c r="G218" s="1" t="s">
        <v>19</v>
      </c>
      <c r="H218" s="1" t="s">
        <v>53</v>
      </c>
      <c r="I218" s="1" t="s">
        <v>38</v>
      </c>
      <c r="J218" s="1" t="n">
        <v>2</v>
      </c>
    </row>
    <row r="219" customFormat="false" ht="15" hidden="false" customHeight="false" outlineLevel="0" collapsed="false">
      <c r="A219" s="1" t="s">
        <v>482</v>
      </c>
      <c r="B219" s="4" t="n">
        <v>45764</v>
      </c>
      <c r="C219" s="1" t="s">
        <v>483</v>
      </c>
      <c r="D219" s="1" t="s">
        <v>484</v>
      </c>
      <c r="E219" s="1" t="n">
        <v>1</v>
      </c>
      <c r="F219" s="5" t="n">
        <v>0.2</v>
      </c>
      <c r="G219" s="1" t="s">
        <v>34</v>
      </c>
      <c r="H219" s="1" t="s">
        <v>92</v>
      </c>
      <c r="I219" s="1" t="s">
        <v>20</v>
      </c>
    </row>
    <row r="220" customFormat="false" ht="15" hidden="false" customHeight="false" outlineLevel="0" collapsed="false">
      <c r="A220" s="1" t="s">
        <v>485</v>
      </c>
      <c r="B220" s="4" t="n">
        <v>45808</v>
      </c>
      <c r="C220" s="1" t="s">
        <v>312</v>
      </c>
      <c r="D220" s="1" t="s">
        <v>33</v>
      </c>
      <c r="E220" s="1" t="n">
        <v>2</v>
      </c>
      <c r="F220" s="5" t="n">
        <v>0.1</v>
      </c>
      <c r="G220" s="1" t="s">
        <v>52</v>
      </c>
      <c r="H220" s="1" t="s">
        <v>78</v>
      </c>
      <c r="I220" s="1" t="s">
        <v>20</v>
      </c>
      <c r="J220" s="1" t="n">
        <v>8</v>
      </c>
    </row>
    <row r="221" customFormat="false" ht="15" hidden="false" customHeight="false" outlineLevel="0" collapsed="false">
      <c r="A221" s="1" t="s">
        <v>486</v>
      </c>
      <c r="B221" s="4" t="n">
        <v>45946</v>
      </c>
      <c r="C221" s="1" t="s">
        <v>266</v>
      </c>
      <c r="D221" s="1" t="s">
        <v>487</v>
      </c>
      <c r="E221" s="1" t="n">
        <v>5</v>
      </c>
      <c r="F221" s="5" t="n">
        <v>0.1</v>
      </c>
      <c r="G221" s="1" t="s">
        <v>34</v>
      </c>
      <c r="H221" s="1" t="s">
        <v>53</v>
      </c>
      <c r="I221" s="1" t="s">
        <v>38</v>
      </c>
      <c r="J221" s="1" t="n">
        <v>2</v>
      </c>
    </row>
    <row r="222" customFormat="false" ht="15" hidden="false" customHeight="false" outlineLevel="0" collapsed="false">
      <c r="A222" s="1" t="s">
        <v>488</v>
      </c>
      <c r="B222" s="4" t="n">
        <v>45801</v>
      </c>
      <c r="C222" s="1" t="s">
        <v>185</v>
      </c>
      <c r="D222" s="1" t="s">
        <v>165</v>
      </c>
      <c r="E222" s="1" t="n">
        <v>2</v>
      </c>
      <c r="F222" s="5" t="n">
        <v>0.25</v>
      </c>
      <c r="G222" s="1" t="s">
        <v>24</v>
      </c>
      <c r="H222" s="1" t="s">
        <v>14</v>
      </c>
      <c r="I222" s="1" t="s">
        <v>20</v>
      </c>
      <c r="J222" s="1" t="n">
        <v>1</v>
      </c>
    </row>
    <row r="223" customFormat="false" ht="15" hidden="false" customHeight="false" outlineLevel="0" collapsed="false">
      <c r="A223" s="1" t="s">
        <v>489</v>
      </c>
      <c r="B223" s="4" t="n">
        <v>45844</v>
      </c>
      <c r="C223" s="1" t="s">
        <v>490</v>
      </c>
      <c r="D223" s="1" t="s">
        <v>446</v>
      </c>
      <c r="E223" s="1" t="n">
        <v>1</v>
      </c>
      <c r="F223" s="5" t="n">
        <v>0.05</v>
      </c>
      <c r="G223" s="1" t="s">
        <v>19</v>
      </c>
      <c r="H223" s="1" t="s">
        <v>53</v>
      </c>
      <c r="I223" s="1" t="s">
        <v>20</v>
      </c>
      <c r="J223" s="1" t="n">
        <v>8</v>
      </c>
    </row>
    <row r="224" customFormat="false" ht="15" hidden="false" customHeight="false" outlineLevel="0" collapsed="false">
      <c r="A224" s="1" t="s">
        <v>491</v>
      </c>
      <c r="B224" s="4" t="n">
        <v>45779</v>
      </c>
      <c r="C224" s="1" t="s">
        <v>205</v>
      </c>
      <c r="D224" s="1" t="s">
        <v>23</v>
      </c>
      <c r="E224" s="1" t="n">
        <v>2</v>
      </c>
      <c r="F224" s="5" t="n">
        <v>0</v>
      </c>
      <c r="G224" s="1" t="s">
        <v>13</v>
      </c>
      <c r="H224" s="1" t="s">
        <v>14</v>
      </c>
      <c r="I224" s="1" t="s">
        <v>38</v>
      </c>
      <c r="J224" s="1" t="n">
        <v>4</v>
      </c>
    </row>
    <row r="225" customFormat="false" ht="15" hidden="false" customHeight="false" outlineLevel="0" collapsed="false">
      <c r="A225" s="1" t="s">
        <v>492</v>
      </c>
      <c r="B225" s="4" t="n">
        <v>45998</v>
      </c>
      <c r="C225" s="1" t="s">
        <v>391</v>
      </c>
      <c r="D225" s="1" t="s">
        <v>493</v>
      </c>
      <c r="E225" s="1" t="n">
        <v>2</v>
      </c>
      <c r="F225" s="5" t="n">
        <v>0.05</v>
      </c>
      <c r="G225" s="1" t="s">
        <v>52</v>
      </c>
      <c r="H225" s="1" t="s">
        <v>14</v>
      </c>
      <c r="I225" s="1" t="s">
        <v>20</v>
      </c>
      <c r="J225" s="1" t="n">
        <v>2</v>
      </c>
    </row>
    <row r="226" customFormat="false" ht="15" hidden="false" customHeight="false" outlineLevel="0" collapsed="false">
      <c r="A226" s="1" t="s">
        <v>494</v>
      </c>
      <c r="B226" s="4" t="n">
        <v>45821</v>
      </c>
      <c r="C226" s="1" t="s">
        <v>495</v>
      </c>
      <c r="D226" s="1" t="s">
        <v>84</v>
      </c>
      <c r="E226" s="1" t="n">
        <v>2</v>
      </c>
      <c r="F226" s="5" t="n">
        <v>0.15</v>
      </c>
      <c r="G226" s="1" t="s">
        <v>19</v>
      </c>
      <c r="H226" s="1" t="s">
        <v>92</v>
      </c>
      <c r="I226" s="1" t="s">
        <v>20</v>
      </c>
    </row>
    <row r="227" customFormat="false" ht="15" hidden="false" customHeight="false" outlineLevel="0" collapsed="false">
      <c r="A227" s="1" t="s">
        <v>496</v>
      </c>
      <c r="B227" s="4" t="n">
        <v>45907</v>
      </c>
      <c r="C227" s="1" t="s">
        <v>239</v>
      </c>
      <c r="D227" s="1" t="s">
        <v>328</v>
      </c>
      <c r="E227" s="1" t="n">
        <v>1</v>
      </c>
      <c r="F227" s="5" t="n">
        <v>0.15</v>
      </c>
      <c r="G227" s="1" t="s">
        <v>52</v>
      </c>
      <c r="H227" s="1" t="s">
        <v>14</v>
      </c>
      <c r="I227" s="1" t="s">
        <v>38</v>
      </c>
      <c r="J227" s="1" t="n">
        <v>8</v>
      </c>
    </row>
    <row r="228" customFormat="false" ht="15" hidden="false" customHeight="false" outlineLevel="0" collapsed="false">
      <c r="A228" s="1" t="s">
        <v>497</v>
      </c>
      <c r="B228" s="4" t="n">
        <v>45980</v>
      </c>
      <c r="C228" s="1" t="s">
        <v>203</v>
      </c>
      <c r="D228" s="1" t="s">
        <v>405</v>
      </c>
      <c r="E228" s="1" t="n">
        <v>2</v>
      </c>
      <c r="F228" s="5" t="n">
        <v>0.15</v>
      </c>
      <c r="G228" s="1" t="s">
        <v>52</v>
      </c>
      <c r="H228" s="1" t="s">
        <v>14</v>
      </c>
      <c r="I228" s="1" t="s">
        <v>38</v>
      </c>
      <c r="J228" s="1" t="n">
        <v>1</v>
      </c>
    </row>
    <row r="229" customFormat="false" ht="15" hidden="false" customHeight="false" outlineLevel="0" collapsed="false">
      <c r="A229" s="1" t="s">
        <v>498</v>
      </c>
      <c r="B229" s="4" t="n">
        <v>45691</v>
      </c>
      <c r="C229" s="1" t="s">
        <v>499</v>
      </c>
      <c r="D229" s="1" t="s">
        <v>484</v>
      </c>
      <c r="E229" s="1" t="n">
        <v>1</v>
      </c>
      <c r="F229" s="5" t="n">
        <v>0.1</v>
      </c>
      <c r="G229" s="1" t="s">
        <v>52</v>
      </c>
      <c r="H229" s="1" t="s">
        <v>14</v>
      </c>
      <c r="I229" s="1" t="s">
        <v>38</v>
      </c>
      <c r="J229" s="1" t="n">
        <v>1</v>
      </c>
    </row>
    <row r="230" customFormat="false" ht="15" hidden="false" customHeight="false" outlineLevel="0" collapsed="false">
      <c r="A230" s="1" t="s">
        <v>500</v>
      </c>
      <c r="B230" s="4" t="n">
        <v>45664</v>
      </c>
      <c r="C230" s="1" t="s">
        <v>501</v>
      </c>
      <c r="D230" s="1" t="s">
        <v>51</v>
      </c>
      <c r="E230" s="1" t="n">
        <v>1</v>
      </c>
      <c r="F230" s="5" t="n">
        <v>0.15</v>
      </c>
      <c r="G230" s="1" t="s">
        <v>13</v>
      </c>
      <c r="H230" s="1" t="s">
        <v>14</v>
      </c>
      <c r="I230" s="1" t="s">
        <v>20</v>
      </c>
      <c r="J230" s="1" t="n">
        <v>5</v>
      </c>
    </row>
    <row r="231" customFormat="false" ht="15" hidden="false" customHeight="false" outlineLevel="0" collapsed="false">
      <c r="A231" s="1" t="s">
        <v>502</v>
      </c>
      <c r="B231" s="4" t="n">
        <v>45935</v>
      </c>
      <c r="C231" s="1" t="s">
        <v>503</v>
      </c>
      <c r="D231" s="1" t="s">
        <v>436</v>
      </c>
      <c r="E231" s="1" t="n">
        <v>1</v>
      </c>
      <c r="F231" s="5" t="n">
        <v>0.05</v>
      </c>
      <c r="G231" s="1" t="s">
        <v>71</v>
      </c>
      <c r="H231" s="1" t="s">
        <v>45</v>
      </c>
      <c r="I231" s="1" t="s">
        <v>15</v>
      </c>
    </row>
    <row r="232" customFormat="false" ht="15" hidden="false" customHeight="false" outlineLevel="0" collapsed="false">
      <c r="A232" s="1" t="s">
        <v>504</v>
      </c>
      <c r="B232" s="4" t="n">
        <v>45960</v>
      </c>
      <c r="C232" s="1" t="s">
        <v>505</v>
      </c>
      <c r="D232" s="1" t="s">
        <v>216</v>
      </c>
      <c r="E232" s="1" t="n">
        <v>1</v>
      </c>
      <c r="F232" s="5" t="n">
        <v>0.15</v>
      </c>
      <c r="G232" s="1" t="s">
        <v>52</v>
      </c>
      <c r="H232" s="1" t="s">
        <v>92</v>
      </c>
      <c r="I232" s="1" t="s">
        <v>15</v>
      </c>
    </row>
    <row r="233" customFormat="false" ht="15" hidden="false" customHeight="false" outlineLevel="0" collapsed="false">
      <c r="A233" s="1" t="s">
        <v>506</v>
      </c>
      <c r="B233" s="4" t="n">
        <v>45664</v>
      </c>
      <c r="C233" s="1" t="s">
        <v>507</v>
      </c>
      <c r="D233" s="1" t="s">
        <v>100</v>
      </c>
      <c r="E233" s="1" t="n">
        <v>1</v>
      </c>
      <c r="F233" s="5" t="n">
        <v>0.1</v>
      </c>
      <c r="G233" s="1" t="s">
        <v>52</v>
      </c>
      <c r="H233" s="1" t="s">
        <v>53</v>
      </c>
      <c r="I233" s="1" t="s">
        <v>15</v>
      </c>
      <c r="J233" s="1" t="n">
        <v>6</v>
      </c>
    </row>
    <row r="234" customFormat="false" ht="15" hidden="false" customHeight="false" outlineLevel="0" collapsed="false">
      <c r="A234" s="1" t="s">
        <v>508</v>
      </c>
      <c r="B234" s="4" t="n">
        <v>45856</v>
      </c>
      <c r="C234" s="1" t="s">
        <v>380</v>
      </c>
      <c r="D234" s="1" t="s">
        <v>77</v>
      </c>
      <c r="E234" s="1" t="n">
        <v>1</v>
      </c>
      <c r="F234" s="5" t="n">
        <v>0.05</v>
      </c>
      <c r="G234" s="1" t="s">
        <v>52</v>
      </c>
      <c r="H234" s="1" t="s">
        <v>14</v>
      </c>
      <c r="I234" s="1" t="s">
        <v>15</v>
      </c>
      <c r="J234" s="1" t="n">
        <v>5</v>
      </c>
    </row>
    <row r="235" customFormat="false" ht="15" hidden="false" customHeight="false" outlineLevel="0" collapsed="false">
      <c r="A235" s="1" t="s">
        <v>509</v>
      </c>
      <c r="B235" s="4" t="n">
        <v>45872</v>
      </c>
      <c r="C235" s="1" t="s">
        <v>164</v>
      </c>
      <c r="D235" s="1" t="s">
        <v>462</v>
      </c>
      <c r="E235" s="1" t="n">
        <v>2</v>
      </c>
      <c r="F235" s="5" t="n">
        <v>0.15</v>
      </c>
      <c r="G235" s="1" t="s">
        <v>52</v>
      </c>
      <c r="H235" s="1" t="s">
        <v>53</v>
      </c>
      <c r="I235" s="1" t="s">
        <v>38</v>
      </c>
      <c r="J235" s="1" t="n">
        <v>8</v>
      </c>
    </row>
    <row r="236" customFormat="false" ht="15" hidden="false" customHeight="false" outlineLevel="0" collapsed="false">
      <c r="A236" s="1" t="s">
        <v>510</v>
      </c>
      <c r="B236" s="4" t="n">
        <v>45811</v>
      </c>
      <c r="C236" s="1" t="s">
        <v>234</v>
      </c>
      <c r="D236" s="1" t="s">
        <v>362</v>
      </c>
      <c r="E236" s="1" t="n">
        <v>1</v>
      </c>
      <c r="F236" s="5" t="n">
        <v>0</v>
      </c>
      <c r="G236" s="1" t="s">
        <v>24</v>
      </c>
      <c r="H236" s="1" t="s">
        <v>14</v>
      </c>
      <c r="I236" s="1" t="s">
        <v>20</v>
      </c>
      <c r="J236" s="1" t="n">
        <v>4</v>
      </c>
    </row>
    <row r="237" customFormat="false" ht="15" hidden="false" customHeight="false" outlineLevel="0" collapsed="false">
      <c r="A237" s="1" t="s">
        <v>511</v>
      </c>
      <c r="B237" s="4" t="n">
        <v>45686</v>
      </c>
      <c r="C237" s="1" t="s">
        <v>512</v>
      </c>
      <c r="D237" s="1" t="s">
        <v>436</v>
      </c>
      <c r="E237" s="1" t="n">
        <v>1</v>
      </c>
      <c r="F237" s="5" t="n">
        <v>0.05</v>
      </c>
      <c r="G237" s="1" t="s">
        <v>34</v>
      </c>
      <c r="H237" s="1" t="s">
        <v>14</v>
      </c>
      <c r="I237" s="1" t="s">
        <v>15</v>
      </c>
      <c r="J237" s="1" t="n">
        <v>7</v>
      </c>
    </row>
    <row r="238" customFormat="false" ht="15" hidden="false" customHeight="false" outlineLevel="0" collapsed="false">
      <c r="A238" s="1" t="s">
        <v>513</v>
      </c>
      <c r="B238" s="4" t="n">
        <v>45922</v>
      </c>
      <c r="C238" s="1" t="s">
        <v>215</v>
      </c>
      <c r="D238" s="1" t="s">
        <v>371</v>
      </c>
      <c r="E238" s="1" t="n">
        <v>5</v>
      </c>
      <c r="F238" s="5" t="n">
        <v>0.2</v>
      </c>
      <c r="G238" s="1" t="s">
        <v>52</v>
      </c>
      <c r="H238" s="1" t="s">
        <v>14</v>
      </c>
      <c r="I238" s="1" t="s">
        <v>15</v>
      </c>
      <c r="J238" s="1" t="n">
        <v>5</v>
      </c>
    </row>
    <row r="239" customFormat="false" ht="15" hidden="false" customHeight="false" outlineLevel="0" collapsed="false">
      <c r="A239" s="1" t="s">
        <v>514</v>
      </c>
      <c r="B239" s="4" t="n">
        <v>45697</v>
      </c>
      <c r="C239" s="1" t="s">
        <v>183</v>
      </c>
      <c r="D239" s="1" t="s">
        <v>216</v>
      </c>
      <c r="E239" s="1" t="n">
        <v>3</v>
      </c>
      <c r="F239" s="5" t="n">
        <v>0.15</v>
      </c>
      <c r="G239" s="1" t="s">
        <v>52</v>
      </c>
      <c r="H239" s="1" t="s">
        <v>92</v>
      </c>
      <c r="I239" s="1" t="s">
        <v>15</v>
      </c>
    </row>
    <row r="240" customFormat="false" ht="15" hidden="false" customHeight="false" outlineLevel="0" collapsed="false">
      <c r="A240" s="1" t="s">
        <v>515</v>
      </c>
      <c r="B240" s="4" t="n">
        <v>45811</v>
      </c>
      <c r="C240" s="1" t="s">
        <v>88</v>
      </c>
      <c r="D240" s="1" t="s">
        <v>103</v>
      </c>
      <c r="E240" s="1" t="n">
        <v>1</v>
      </c>
      <c r="F240" s="5" t="n">
        <v>0.1</v>
      </c>
      <c r="G240" s="1" t="s">
        <v>52</v>
      </c>
      <c r="H240" s="1" t="s">
        <v>14</v>
      </c>
      <c r="I240" s="1" t="s">
        <v>20</v>
      </c>
      <c r="J240" s="1" t="n">
        <v>6</v>
      </c>
    </row>
    <row r="241" customFormat="false" ht="15" hidden="false" customHeight="false" outlineLevel="0" collapsed="false">
      <c r="A241" s="1" t="s">
        <v>516</v>
      </c>
      <c r="B241" s="4" t="n">
        <v>45984</v>
      </c>
      <c r="C241" s="1" t="s">
        <v>306</v>
      </c>
      <c r="D241" s="1" t="s">
        <v>335</v>
      </c>
      <c r="E241" s="1" t="n">
        <v>3</v>
      </c>
      <c r="F241" s="5" t="n">
        <v>0.15</v>
      </c>
      <c r="G241" s="1" t="s">
        <v>52</v>
      </c>
      <c r="H241" s="1" t="s">
        <v>78</v>
      </c>
      <c r="I241" s="1" t="s">
        <v>20</v>
      </c>
      <c r="J241" s="1" t="n">
        <v>8</v>
      </c>
    </row>
    <row r="242" customFormat="false" ht="15" hidden="false" customHeight="false" outlineLevel="0" collapsed="false">
      <c r="A242" s="1" t="s">
        <v>517</v>
      </c>
      <c r="B242" s="4" t="n">
        <v>45926</v>
      </c>
      <c r="C242" s="1" t="s">
        <v>518</v>
      </c>
      <c r="D242" s="1" t="s">
        <v>137</v>
      </c>
      <c r="E242" s="1" t="n">
        <v>2</v>
      </c>
      <c r="F242" s="5" t="n">
        <v>0.1</v>
      </c>
      <c r="G242" s="1" t="s">
        <v>52</v>
      </c>
      <c r="H242" s="1" t="s">
        <v>14</v>
      </c>
      <c r="I242" s="1" t="s">
        <v>15</v>
      </c>
      <c r="J242" s="1" t="n">
        <v>8</v>
      </c>
    </row>
    <row r="243" customFormat="false" ht="15" hidden="false" customHeight="false" outlineLevel="0" collapsed="false">
      <c r="A243" s="1" t="s">
        <v>519</v>
      </c>
      <c r="B243" s="4" t="n">
        <v>45999</v>
      </c>
      <c r="C243" s="1" t="s">
        <v>520</v>
      </c>
      <c r="D243" s="1" t="s">
        <v>143</v>
      </c>
      <c r="E243" s="1" t="n">
        <v>1</v>
      </c>
      <c r="F243" s="5" t="n">
        <v>0.1</v>
      </c>
      <c r="G243" s="1" t="s">
        <v>24</v>
      </c>
      <c r="H243" s="1" t="s">
        <v>14</v>
      </c>
      <c r="I243" s="1" t="s">
        <v>20</v>
      </c>
      <c r="J243" s="1" t="n">
        <v>4</v>
      </c>
    </row>
    <row r="244" customFormat="false" ht="15" hidden="false" customHeight="false" outlineLevel="0" collapsed="false">
      <c r="A244" s="1" t="s">
        <v>521</v>
      </c>
      <c r="B244" s="4" t="n">
        <v>45861</v>
      </c>
      <c r="C244" s="1" t="s">
        <v>249</v>
      </c>
      <c r="D244" s="1" t="s">
        <v>64</v>
      </c>
      <c r="E244" s="1" t="n">
        <v>2</v>
      </c>
      <c r="F244" s="5" t="n">
        <v>0.1</v>
      </c>
      <c r="G244" s="1" t="s">
        <v>34</v>
      </c>
      <c r="H244" s="1" t="s">
        <v>92</v>
      </c>
      <c r="I244" s="1" t="s">
        <v>20</v>
      </c>
    </row>
    <row r="245" customFormat="false" ht="15" hidden="false" customHeight="false" outlineLevel="0" collapsed="false">
      <c r="A245" s="1" t="s">
        <v>522</v>
      </c>
      <c r="B245" s="4" t="n">
        <v>45910</v>
      </c>
      <c r="C245" s="1" t="s">
        <v>278</v>
      </c>
      <c r="D245" s="1" t="s">
        <v>328</v>
      </c>
      <c r="E245" s="1" t="n">
        <v>2</v>
      </c>
      <c r="F245" s="5" t="n">
        <v>0.1</v>
      </c>
      <c r="G245" s="1" t="s">
        <v>34</v>
      </c>
      <c r="H245" s="1" t="s">
        <v>14</v>
      </c>
      <c r="I245" s="1" t="s">
        <v>15</v>
      </c>
      <c r="J245" s="1" t="n">
        <v>1</v>
      </c>
    </row>
    <row r="246" customFormat="false" ht="15" hidden="false" customHeight="false" outlineLevel="0" collapsed="false">
      <c r="A246" s="1" t="s">
        <v>523</v>
      </c>
      <c r="B246" s="4" t="n">
        <v>45691</v>
      </c>
      <c r="C246" s="1" t="s">
        <v>83</v>
      </c>
      <c r="D246" s="1" t="s">
        <v>122</v>
      </c>
      <c r="E246" s="1" t="n">
        <v>3</v>
      </c>
      <c r="F246" s="5" t="n">
        <v>0.1</v>
      </c>
      <c r="G246" s="1" t="s">
        <v>71</v>
      </c>
      <c r="H246" s="1" t="s">
        <v>14</v>
      </c>
      <c r="I246" s="1" t="s">
        <v>15</v>
      </c>
      <c r="J246" s="1" t="n">
        <v>2</v>
      </c>
    </row>
    <row r="247" customFormat="false" ht="15" hidden="false" customHeight="false" outlineLevel="0" collapsed="false">
      <c r="A247" s="1" t="s">
        <v>524</v>
      </c>
      <c r="B247" s="4" t="n">
        <v>45932</v>
      </c>
      <c r="C247" s="1" t="s">
        <v>199</v>
      </c>
      <c r="D247" s="1" t="s">
        <v>58</v>
      </c>
      <c r="E247" s="1" t="n">
        <v>1</v>
      </c>
      <c r="F247" s="5" t="n">
        <v>0</v>
      </c>
      <c r="G247" s="1" t="s">
        <v>19</v>
      </c>
      <c r="H247" s="1" t="s">
        <v>45</v>
      </c>
      <c r="I247" s="1" t="s">
        <v>38</v>
      </c>
    </row>
    <row r="248" customFormat="false" ht="15" hidden="false" customHeight="false" outlineLevel="0" collapsed="false">
      <c r="A248" s="1" t="s">
        <v>525</v>
      </c>
      <c r="B248" s="4" t="n">
        <v>45952</v>
      </c>
      <c r="C248" s="1" t="s">
        <v>435</v>
      </c>
      <c r="D248" s="1" t="s">
        <v>18</v>
      </c>
      <c r="E248" s="1" t="n">
        <v>1</v>
      </c>
      <c r="F248" s="5" t="n">
        <v>0.15</v>
      </c>
      <c r="G248" s="1" t="s">
        <v>71</v>
      </c>
      <c r="H248" s="1" t="s">
        <v>14</v>
      </c>
      <c r="I248" s="1" t="s">
        <v>15</v>
      </c>
      <c r="J248" s="1" t="n">
        <v>6</v>
      </c>
    </row>
    <row r="249" customFormat="false" ht="15" hidden="false" customHeight="false" outlineLevel="0" collapsed="false">
      <c r="A249" s="1" t="s">
        <v>526</v>
      </c>
      <c r="B249" s="4" t="n">
        <v>45698</v>
      </c>
      <c r="C249" s="1" t="s">
        <v>520</v>
      </c>
      <c r="D249" s="1" t="s">
        <v>94</v>
      </c>
      <c r="E249" s="1" t="n">
        <v>2</v>
      </c>
      <c r="F249" s="5" t="n">
        <v>0.05</v>
      </c>
      <c r="G249" s="1" t="s">
        <v>34</v>
      </c>
      <c r="H249" s="1" t="s">
        <v>92</v>
      </c>
      <c r="I249" s="1" t="s">
        <v>38</v>
      </c>
    </row>
    <row r="250" customFormat="false" ht="15" hidden="false" customHeight="false" outlineLevel="0" collapsed="false">
      <c r="A250" s="1" t="s">
        <v>527</v>
      </c>
      <c r="B250" s="4" t="n">
        <v>46000</v>
      </c>
      <c r="C250" s="1" t="s">
        <v>528</v>
      </c>
      <c r="D250" s="1" t="s">
        <v>67</v>
      </c>
      <c r="E250" s="1" t="n">
        <v>1</v>
      </c>
      <c r="F250" s="5" t="n">
        <v>0.25</v>
      </c>
      <c r="G250" s="1" t="s">
        <v>52</v>
      </c>
      <c r="H250" s="1" t="s">
        <v>14</v>
      </c>
      <c r="I250" s="1" t="s">
        <v>38</v>
      </c>
      <c r="J250" s="1" t="n">
        <v>7</v>
      </c>
    </row>
    <row r="251" customFormat="false" ht="15" hidden="false" customHeight="false" outlineLevel="0" collapsed="false">
      <c r="A251" s="1" t="s">
        <v>529</v>
      </c>
      <c r="B251" s="4" t="n">
        <v>45796</v>
      </c>
      <c r="C251" s="1" t="s">
        <v>530</v>
      </c>
      <c r="D251" s="1" t="s">
        <v>122</v>
      </c>
      <c r="E251" s="1" t="n">
        <v>1</v>
      </c>
      <c r="F251" s="5" t="n">
        <v>0</v>
      </c>
      <c r="G251" s="1" t="s">
        <v>52</v>
      </c>
      <c r="H251" s="1" t="s">
        <v>14</v>
      </c>
      <c r="I251" s="1" t="s">
        <v>38</v>
      </c>
      <c r="J251" s="1" t="n">
        <v>7</v>
      </c>
    </row>
    <row r="252" customFormat="false" ht="15" hidden="false" customHeight="false" outlineLevel="0" collapsed="false">
      <c r="A252" s="1" t="s">
        <v>531</v>
      </c>
      <c r="B252" s="4" t="n">
        <v>45977</v>
      </c>
      <c r="C252" s="1" t="s">
        <v>532</v>
      </c>
      <c r="D252" s="1" t="s">
        <v>240</v>
      </c>
      <c r="E252" s="1" t="n">
        <v>1</v>
      </c>
      <c r="F252" s="5" t="n">
        <v>0.05</v>
      </c>
      <c r="G252" s="1" t="s">
        <v>19</v>
      </c>
      <c r="H252" s="1" t="s">
        <v>14</v>
      </c>
      <c r="I252" s="1" t="s">
        <v>38</v>
      </c>
      <c r="J252" s="1" t="n">
        <v>4</v>
      </c>
    </row>
    <row r="253" customFormat="false" ht="15" hidden="false" customHeight="false" outlineLevel="0" collapsed="false">
      <c r="A253" s="1" t="s">
        <v>533</v>
      </c>
      <c r="B253" s="4" t="n">
        <v>45991</v>
      </c>
      <c r="C253" s="1" t="s">
        <v>534</v>
      </c>
      <c r="D253" s="1" t="s">
        <v>371</v>
      </c>
      <c r="E253" s="1" t="n">
        <v>2</v>
      </c>
      <c r="F253" s="5" t="n">
        <v>0</v>
      </c>
      <c r="G253" s="1" t="s">
        <v>13</v>
      </c>
      <c r="H253" s="1" t="s">
        <v>14</v>
      </c>
      <c r="I253" s="1" t="s">
        <v>15</v>
      </c>
      <c r="J253" s="1" t="n">
        <v>5</v>
      </c>
    </row>
    <row r="254" customFormat="false" ht="15" hidden="false" customHeight="false" outlineLevel="0" collapsed="false">
      <c r="A254" s="1" t="s">
        <v>535</v>
      </c>
      <c r="B254" s="4" t="n">
        <v>45701</v>
      </c>
      <c r="C254" s="1" t="s">
        <v>536</v>
      </c>
      <c r="D254" s="1" t="s">
        <v>537</v>
      </c>
      <c r="E254" s="1" t="n">
        <v>1</v>
      </c>
      <c r="F254" s="5" t="n">
        <v>0</v>
      </c>
      <c r="G254" s="1" t="s">
        <v>34</v>
      </c>
      <c r="H254" s="1" t="s">
        <v>14</v>
      </c>
      <c r="I254" s="1" t="s">
        <v>15</v>
      </c>
      <c r="J254" s="1" t="n">
        <v>8</v>
      </c>
    </row>
    <row r="255" customFormat="false" ht="15" hidden="false" customHeight="false" outlineLevel="0" collapsed="false">
      <c r="A255" s="1" t="s">
        <v>538</v>
      </c>
      <c r="B255" s="4" t="n">
        <v>45950</v>
      </c>
      <c r="C255" s="1" t="s">
        <v>283</v>
      </c>
      <c r="D255" s="1" t="s">
        <v>375</v>
      </c>
      <c r="E255" s="1" t="n">
        <v>2</v>
      </c>
      <c r="F255" s="5" t="n">
        <v>0</v>
      </c>
      <c r="G255" s="1" t="s">
        <v>24</v>
      </c>
      <c r="H255" s="1" t="s">
        <v>14</v>
      </c>
      <c r="I255" s="1" t="s">
        <v>38</v>
      </c>
      <c r="J255" s="1" t="n">
        <v>2</v>
      </c>
    </row>
    <row r="256" customFormat="false" ht="15" hidden="false" customHeight="false" outlineLevel="0" collapsed="false">
      <c r="A256" s="1" t="s">
        <v>539</v>
      </c>
      <c r="B256" s="4" t="n">
        <v>45694</v>
      </c>
      <c r="C256" s="1" t="s">
        <v>102</v>
      </c>
      <c r="D256" s="1" t="s">
        <v>353</v>
      </c>
      <c r="E256" s="1" t="n">
        <v>2</v>
      </c>
      <c r="F256" s="5" t="n">
        <v>0.05</v>
      </c>
      <c r="G256" s="1" t="s">
        <v>34</v>
      </c>
      <c r="H256" s="1" t="s">
        <v>14</v>
      </c>
      <c r="I256" s="1" t="s">
        <v>15</v>
      </c>
      <c r="J256" s="1" t="n">
        <v>6</v>
      </c>
    </row>
    <row r="257" customFormat="false" ht="15" hidden="false" customHeight="false" outlineLevel="0" collapsed="false">
      <c r="A257" s="1" t="s">
        <v>540</v>
      </c>
      <c r="B257" s="4" t="n">
        <v>45914</v>
      </c>
      <c r="C257" s="1" t="s">
        <v>541</v>
      </c>
      <c r="D257" s="1" t="s">
        <v>81</v>
      </c>
      <c r="E257" s="1" t="n">
        <v>1</v>
      </c>
      <c r="F257" s="5" t="n">
        <v>0.15</v>
      </c>
      <c r="G257" s="1" t="s">
        <v>24</v>
      </c>
      <c r="H257" s="1" t="s">
        <v>78</v>
      </c>
      <c r="I257" s="1" t="s">
        <v>38</v>
      </c>
      <c r="J257" s="1" t="n">
        <v>6</v>
      </c>
    </row>
    <row r="258" customFormat="false" ht="15" hidden="false" customHeight="false" outlineLevel="0" collapsed="false">
      <c r="A258" s="1" t="s">
        <v>542</v>
      </c>
      <c r="B258" s="4" t="n">
        <v>45881</v>
      </c>
      <c r="C258" s="1" t="s">
        <v>543</v>
      </c>
      <c r="D258" s="1" t="s">
        <v>186</v>
      </c>
      <c r="E258" s="1" t="n">
        <v>1</v>
      </c>
      <c r="F258" s="5" t="n">
        <v>0.15</v>
      </c>
      <c r="G258" s="1" t="s">
        <v>34</v>
      </c>
      <c r="H258" s="1" t="s">
        <v>14</v>
      </c>
      <c r="I258" s="1" t="s">
        <v>20</v>
      </c>
      <c r="J258" s="1" t="n">
        <v>4</v>
      </c>
    </row>
    <row r="259" customFormat="false" ht="15" hidden="false" customHeight="false" outlineLevel="0" collapsed="false">
      <c r="A259" s="1" t="s">
        <v>544</v>
      </c>
      <c r="B259" s="4" t="n">
        <v>45848</v>
      </c>
      <c r="C259" s="1" t="s">
        <v>503</v>
      </c>
      <c r="D259" s="1" t="s">
        <v>37</v>
      </c>
      <c r="E259" s="1" t="n">
        <v>1</v>
      </c>
      <c r="F259" s="5" t="n">
        <v>0.2</v>
      </c>
      <c r="G259" s="1" t="s">
        <v>34</v>
      </c>
      <c r="H259" s="1" t="s">
        <v>14</v>
      </c>
      <c r="I259" s="1" t="s">
        <v>15</v>
      </c>
      <c r="J259" s="1" t="n">
        <v>8</v>
      </c>
    </row>
    <row r="260" customFormat="false" ht="15" hidden="false" customHeight="false" outlineLevel="0" collapsed="false">
      <c r="A260" s="1" t="s">
        <v>545</v>
      </c>
      <c r="B260" s="4" t="n">
        <v>45962</v>
      </c>
      <c r="C260" s="1" t="s">
        <v>546</v>
      </c>
      <c r="D260" s="1" t="s">
        <v>162</v>
      </c>
      <c r="E260" s="1" t="n">
        <v>1</v>
      </c>
      <c r="F260" s="5" t="n">
        <v>0</v>
      </c>
      <c r="G260" s="1" t="s">
        <v>19</v>
      </c>
      <c r="H260" s="1" t="s">
        <v>14</v>
      </c>
      <c r="I260" s="1" t="s">
        <v>15</v>
      </c>
      <c r="J260" s="1" t="n">
        <v>5</v>
      </c>
    </row>
    <row r="261" customFormat="false" ht="15" hidden="false" customHeight="false" outlineLevel="0" collapsed="false">
      <c r="A261" s="1" t="s">
        <v>547</v>
      </c>
      <c r="B261" s="4" t="n">
        <v>45831</v>
      </c>
      <c r="C261" s="1" t="s">
        <v>548</v>
      </c>
      <c r="D261" s="1" t="s">
        <v>176</v>
      </c>
      <c r="E261" s="1" t="n">
        <v>2</v>
      </c>
      <c r="F261" s="5" t="n">
        <v>0.2</v>
      </c>
      <c r="G261" s="1" t="s">
        <v>24</v>
      </c>
      <c r="H261" s="1" t="s">
        <v>14</v>
      </c>
      <c r="I261" s="1" t="s">
        <v>15</v>
      </c>
      <c r="J261" s="1" t="n">
        <v>5</v>
      </c>
    </row>
    <row r="262" customFormat="false" ht="15" hidden="false" customHeight="false" outlineLevel="0" collapsed="false">
      <c r="A262" s="1" t="s">
        <v>549</v>
      </c>
      <c r="B262" s="4" t="n">
        <v>45947</v>
      </c>
      <c r="C262" s="1" t="s">
        <v>43</v>
      </c>
      <c r="D262" s="1" t="s">
        <v>122</v>
      </c>
      <c r="E262" s="1" t="n">
        <v>3</v>
      </c>
      <c r="F262" s="5" t="n">
        <v>0</v>
      </c>
      <c r="G262" s="1" t="s">
        <v>52</v>
      </c>
      <c r="H262" s="1" t="s">
        <v>14</v>
      </c>
      <c r="I262" s="1" t="s">
        <v>38</v>
      </c>
      <c r="J262" s="1" t="n">
        <v>1</v>
      </c>
    </row>
    <row r="263" customFormat="false" ht="15" hidden="false" customHeight="false" outlineLevel="0" collapsed="false">
      <c r="A263" s="1" t="s">
        <v>550</v>
      </c>
      <c r="B263" s="4" t="n">
        <v>45967</v>
      </c>
      <c r="C263" s="1" t="s">
        <v>551</v>
      </c>
      <c r="D263" s="1" t="s">
        <v>106</v>
      </c>
      <c r="E263" s="1" t="n">
        <v>1</v>
      </c>
      <c r="F263" s="5" t="n">
        <v>0.1</v>
      </c>
      <c r="G263" s="1" t="s">
        <v>71</v>
      </c>
      <c r="H263" s="1" t="s">
        <v>14</v>
      </c>
      <c r="I263" s="1" t="s">
        <v>15</v>
      </c>
      <c r="J263" s="1" t="n">
        <v>8</v>
      </c>
    </row>
    <row r="264" customFormat="false" ht="15" hidden="false" customHeight="false" outlineLevel="0" collapsed="false">
      <c r="A264" s="1" t="s">
        <v>552</v>
      </c>
      <c r="B264" s="4" t="n">
        <v>45846</v>
      </c>
      <c r="C264" s="1" t="s">
        <v>129</v>
      </c>
      <c r="D264" s="1" t="s">
        <v>84</v>
      </c>
      <c r="E264" s="1" t="n">
        <v>3</v>
      </c>
      <c r="F264" s="5" t="n">
        <v>0.15</v>
      </c>
      <c r="G264" s="1" t="s">
        <v>52</v>
      </c>
      <c r="H264" s="1" t="s">
        <v>78</v>
      </c>
      <c r="I264" s="1" t="s">
        <v>38</v>
      </c>
      <c r="J264" s="1" t="n">
        <v>3</v>
      </c>
    </row>
    <row r="265" customFormat="false" ht="15" hidden="false" customHeight="false" outlineLevel="0" collapsed="false">
      <c r="A265" s="1" t="s">
        <v>553</v>
      </c>
      <c r="B265" s="4" t="n">
        <v>45695</v>
      </c>
      <c r="C265" s="1" t="s">
        <v>359</v>
      </c>
      <c r="D265" s="1" t="s">
        <v>554</v>
      </c>
      <c r="E265" s="1" t="n">
        <v>2</v>
      </c>
      <c r="F265" s="5" t="n">
        <v>0</v>
      </c>
      <c r="G265" s="1" t="s">
        <v>13</v>
      </c>
      <c r="H265" s="1" t="s">
        <v>45</v>
      </c>
      <c r="I265" s="1" t="s">
        <v>20</v>
      </c>
    </row>
    <row r="266" customFormat="false" ht="15" hidden="false" customHeight="false" outlineLevel="0" collapsed="false">
      <c r="A266" s="1" t="s">
        <v>555</v>
      </c>
      <c r="B266" s="4" t="n">
        <v>45912</v>
      </c>
      <c r="C266" s="1" t="s">
        <v>340</v>
      </c>
      <c r="D266" s="1" t="s">
        <v>429</v>
      </c>
      <c r="E266" s="1" t="n">
        <v>3</v>
      </c>
      <c r="F266" s="5" t="n">
        <v>0.1</v>
      </c>
      <c r="G266" s="1" t="s">
        <v>24</v>
      </c>
      <c r="H266" s="1" t="s">
        <v>14</v>
      </c>
      <c r="I266" s="1" t="s">
        <v>15</v>
      </c>
      <c r="J266" s="1" t="n">
        <v>7</v>
      </c>
    </row>
    <row r="267" customFormat="false" ht="15" hidden="false" customHeight="false" outlineLevel="0" collapsed="false">
      <c r="A267" s="1" t="s">
        <v>556</v>
      </c>
      <c r="B267" s="4" t="n">
        <v>45726</v>
      </c>
      <c r="C267" s="1" t="s">
        <v>378</v>
      </c>
      <c r="D267" s="1" t="s">
        <v>84</v>
      </c>
      <c r="E267" s="1" t="n">
        <v>4</v>
      </c>
      <c r="F267" s="5" t="n">
        <v>0.2</v>
      </c>
      <c r="G267" s="1" t="s">
        <v>52</v>
      </c>
      <c r="H267" s="1" t="s">
        <v>14</v>
      </c>
      <c r="I267" s="1" t="s">
        <v>15</v>
      </c>
      <c r="J267" s="1" t="n">
        <v>4</v>
      </c>
    </row>
    <row r="268" customFormat="false" ht="15" hidden="false" customHeight="false" outlineLevel="0" collapsed="false">
      <c r="A268" s="1" t="s">
        <v>557</v>
      </c>
      <c r="B268" s="4" t="n">
        <v>45761</v>
      </c>
      <c r="C268" s="1" t="s">
        <v>558</v>
      </c>
      <c r="D268" s="1" t="s">
        <v>371</v>
      </c>
      <c r="E268" s="1" t="n">
        <v>3</v>
      </c>
      <c r="F268" s="5" t="n">
        <v>0.15</v>
      </c>
      <c r="G268" s="1" t="s">
        <v>52</v>
      </c>
      <c r="H268" s="1" t="s">
        <v>14</v>
      </c>
      <c r="I268" s="1" t="s">
        <v>38</v>
      </c>
      <c r="J268" s="1" t="n">
        <v>2</v>
      </c>
    </row>
    <row r="269" customFormat="false" ht="15" hidden="false" customHeight="false" outlineLevel="0" collapsed="false">
      <c r="A269" s="1" t="s">
        <v>559</v>
      </c>
      <c r="B269" s="4" t="n">
        <v>45991</v>
      </c>
      <c r="C269" s="1" t="s">
        <v>560</v>
      </c>
      <c r="D269" s="1" t="s">
        <v>100</v>
      </c>
      <c r="E269" s="1" t="n">
        <v>2</v>
      </c>
      <c r="F269" s="5" t="n">
        <v>0.1</v>
      </c>
      <c r="G269" s="1" t="s">
        <v>34</v>
      </c>
      <c r="H269" s="1" t="s">
        <v>92</v>
      </c>
      <c r="I269" s="1" t="s">
        <v>15</v>
      </c>
    </row>
    <row r="270" customFormat="false" ht="15" hidden="false" customHeight="false" outlineLevel="0" collapsed="false">
      <c r="A270" s="1" t="s">
        <v>561</v>
      </c>
      <c r="B270" s="4" t="n">
        <v>45826</v>
      </c>
      <c r="C270" s="1" t="s">
        <v>562</v>
      </c>
      <c r="D270" s="1" t="s">
        <v>493</v>
      </c>
      <c r="E270" s="1" t="n">
        <v>1</v>
      </c>
      <c r="F270" s="5" t="n">
        <v>0.25</v>
      </c>
      <c r="G270" s="1" t="s">
        <v>34</v>
      </c>
      <c r="H270" s="1" t="s">
        <v>14</v>
      </c>
      <c r="I270" s="1" t="s">
        <v>15</v>
      </c>
      <c r="J270" s="1" t="n">
        <v>8</v>
      </c>
    </row>
    <row r="271" customFormat="false" ht="15" hidden="false" customHeight="false" outlineLevel="0" collapsed="false">
      <c r="A271" s="1" t="s">
        <v>563</v>
      </c>
      <c r="B271" s="4" t="n">
        <v>45847</v>
      </c>
      <c r="C271" s="1" t="s">
        <v>435</v>
      </c>
      <c r="D271" s="1" t="s">
        <v>213</v>
      </c>
      <c r="E271" s="1" t="n">
        <v>3</v>
      </c>
      <c r="F271" s="5" t="n">
        <v>0.1</v>
      </c>
      <c r="G271" s="1" t="s">
        <v>71</v>
      </c>
      <c r="H271" s="1" t="s">
        <v>14</v>
      </c>
      <c r="I271" s="1" t="s">
        <v>38</v>
      </c>
      <c r="J271" s="1" t="n">
        <v>2</v>
      </c>
    </row>
    <row r="272" customFormat="false" ht="15" hidden="false" customHeight="false" outlineLevel="0" collapsed="false">
      <c r="A272" s="1" t="s">
        <v>564</v>
      </c>
      <c r="B272" s="4" t="n">
        <v>45792</v>
      </c>
      <c r="C272" s="1" t="s">
        <v>565</v>
      </c>
      <c r="D272" s="1" t="s">
        <v>255</v>
      </c>
      <c r="E272" s="1" t="n">
        <v>2</v>
      </c>
      <c r="F272" s="5" t="n">
        <v>0.15</v>
      </c>
      <c r="G272" s="1" t="s">
        <v>52</v>
      </c>
      <c r="H272" s="1" t="s">
        <v>92</v>
      </c>
      <c r="I272" s="1" t="s">
        <v>15</v>
      </c>
    </row>
    <row r="273" customFormat="false" ht="15" hidden="false" customHeight="false" outlineLevel="0" collapsed="false">
      <c r="A273" s="1" t="s">
        <v>566</v>
      </c>
      <c r="B273" s="4" t="n">
        <v>45810</v>
      </c>
      <c r="C273" s="1" t="s">
        <v>503</v>
      </c>
      <c r="D273" s="1" t="s">
        <v>148</v>
      </c>
      <c r="E273" s="1" t="n">
        <v>1</v>
      </c>
      <c r="F273" s="5" t="n">
        <v>0</v>
      </c>
      <c r="G273" s="1" t="s">
        <v>52</v>
      </c>
      <c r="H273" s="1" t="s">
        <v>14</v>
      </c>
      <c r="I273" s="1" t="s">
        <v>20</v>
      </c>
      <c r="J273" s="1" t="n">
        <v>3</v>
      </c>
    </row>
    <row r="274" customFormat="false" ht="15" hidden="false" customHeight="false" outlineLevel="0" collapsed="false">
      <c r="A274" s="1" t="s">
        <v>567</v>
      </c>
      <c r="B274" s="4" t="n">
        <v>45819</v>
      </c>
      <c r="C274" s="1" t="s">
        <v>568</v>
      </c>
      <c r="D274" s="1" t="s">
        <v>255</v>
      </c>
      <c r="E274" s="1" t="n">
        <v>3</v>
      </c>
      <c r="F274" s="5" t="n">
        <v>0.1</v>
      </c>
      <c r="G274" s="1" t="s">
        <v>19</v>
      </c>
      <c r="H274" s="1" t="s">
        <v>14</v>
      </c>
      <c r="I274" s="1" t="s">
        <v>15</v>
      </c>
      <c r="J274" s="1" t="n">
        <v>1</v>
      </c>
    </row>
    <row r="275" customFormat="false" ht="15" hidden="false" customHeight="false" outlineLevel="0" collapsed="false">
      <c r="A275" s="1" t="s">
        <v>569</v>
      </c>
      <c r="B275" s="4" t="n">
        <v>45727</v>
      </c>
      <c r="C275" s="1" t="s">
        <v>570</v>
      </c>
      <c r="D275" s="1" t="s">
        <v>12</v>
      </c>
      <c r="E275" s="1" t="n">
        <v>4</v>
      </c>
      <c r="F275" s="5" t="n">
        <v>0.25</v>
      </c>
      <c r="G275" s="1" t="s">
        <v>19</v>
      </c>
      <c r="H275" s="1" t="s">
        <v>14</v>
      </c>
      <c r="I275" s="1" t="s">
        <v>20</v>
      </c>
      <c r="J275" s="1" t="n">
        <v>7</v>
      </c>
    </row>
    <row r="276" customFormat="false" ht="15" hidden="false" customHeight="false" outlineLevel="0" collapsed="false">
      <c r="A276" s="1" t="s">
        <v>571</v>
      </c>
      <c r="B276" s="4" t="n">
        <v>45733</v>
      </c>
      <c r="C276" s="1" t="s">
        <v>572</v>
      </c>
      <c r="D276" s="1" t="s">
        <v>168</v>
      </c>
      <c r="E276" s="1" t="n">
        <v>2</v>
      </c>
      <c r="F276" s="5" t="n">
        <v>0.25</v>
      </c>
      <c r="G276" s="1" t="s">
        <v>52</v>
      </c>
      <c r="H276" s="1" t="s">
        <v>53</v>
      </c>
      <c r="I276" s="1" t="s">
        <v>15</v>
      </c>
      <c r="J276" s="1" t="n">
        <v>2</v>
      </c>
    </row>
    <row r="277" customFormat="false" ht="15" hidden="false" customHeight="false" outlineLevel="0" collapsed="false">
      <c r="A277" s="1" t="s">
        <v>573</v>
      </c>
      <c r="B277" s="4" t="n">
        <v>45723</v>
      </c>
      <c r="C277" s="1" t="s">
        <v>36</v>
      </c>
      <c r="D277" s="1" t="s">
        <v>441</v>
      </c>
      <c r="E277" s="1" t="n">
        <v>1</v>
      </c>
      <c r="F277" s="5" t="n">
        <v>0.05</v>
      </c>
      <c r="G277" s="1" t="s">
        <v>34</v>
      </c>
      <c r="H277" s="1" t="s">
        <v>14</v>
      </c>
      <c r="I277" s="1" t="s">
        <v>20</v>
      </c>
      <c r="J277" s="1" t="n">
        <v>2</v>
      </c>
    </row>
    <row r="278" customFormat="false" ht="15" hidden="false" customHeight="false" outlineLevel="0" collapsed="false">
      <c r="A278" s="1" t="s">
        <v>574</v>
      </c>
      <c r="B278" s="4" t="n">
        <v>45994</v>
      </c>
      <c r="C278" s="1" t="s">
        <v>408</v>
      </c>
      <c r="D278" s="1" t="s">
        <v>112</v>
      </c>
      <c r="E278" s="1" t="n">
        <v>2</v>
      </c>
      <c r="F278" s="5" t="n">
        <v>0.2</v>
      </c>
      <c r="G278" s="1" t="s">
        <v>71</v>
      </c>
      <c r="H278" s="1" t="s">
        <v>92</v>
      </c>
      <c r="I278" s="1" t="s">
        <v>15</v>
      </c>
    </row>
    <row r="279" customFormat="false" ht="15" hidden="false" customHeight="false" outlineLevel="0" collapsed="false">
      <c r="A279" s="1" t="s">
        <v>575</v>
      </c>
      <c r="B279" s="4" t="n">
        <v>45728</v>
      </c>
      <c r="C279" s="1" t="s">
        <v>576</v>
      </c>
      <c r="D279" s="1" t="s">
        <v>77</v>
      </c>
      <c r="E279" s="1" t="n">
        <v>1</v>
      </c>
      <c r="F279" s="5" t="n">
        <v>0</v>
      </c>
      <c r="G279" s="1" t="s">
        <v>19</v>
      </c>
      <c r="H279" s="1" t="s">
        <v>14</v>
      </c>
      <c r="I279" s="1" t="s">
        <v>38</v>
      </c>
      <c r="J279" s="1" t="n">
        <v>1</v>
      </c>
    </row>
    <row r="280" customFormat="false" ht="15" hidden="false" customHeight="false" outlineLevel="0" collapsed="false">
      <c r="A280" s="1" t="s">
        <v>577</v>
      </c>
      <c r="B280" s="4" t="n">
        <v>45734</v>
      </c>
      <c r="C280" s="1" t="s">
        <v>108</v>
      </c>
      <c r="D280" s="1" t="s">
        <v>578</v>
      </c>
      <c r="E280" s="1" t="n">
        <v>1</v>
      </c>
      <c r="F280" s="5" t="n">
        <v>0.15</v>
      </c>
      <c r="G280" s="1" t="s">
        <v>24</v>
      </c>
      <c r="H280" s="1" t="s">
        <v>14</v>
      </c>
      <c r="I280" s="1" t="s">
        <v>15</v>
      </c>
      <c r="J280" s="1" t="n">
        <v>6</v>
      </c>
    </row>
    <row r="281" customFormat="false" ht="15" hidden="false" customHeight="false" outlineLevel="0" collapsed="false">
      <c r="A281" s="1" t="s">
        <v>579</v>
      </c>
      <c r="B281" s="4" t="n">
        <v>46021</v>
      </c>
      <c r="C281" s="1" t="s">
        <v>309</v>
      </c>
      <c r="D281" s="1" t="s">
        <v>264</v>
      </c>
      <c r="E281" s="1" t="n">
        <v>1</v>
      </c>
      <c r="F281" s="5" t="n">
        <v>0.05</v>
      </c>
      <c r="G281" s="1" t="s">
        <v>19</v>
      </c>
      <c r="H281" s="1" t="s">
        <v>14</v>
      </c>
      <c r="I281" s="1" t="s">
        <v>20</v>
      </c>
      <c r="J281" s="1" t="n">
        <v>1</v>
      </c>
    </row>
    <row r="282" customFormat="false" ht="15" hidden="false" customHeight="false" outlineLevel="0" collapsed="false">
      <c r="A282" s="1" t="s">
        <v>580</v>
      </c>
      <c r="B282" s="4" t="n">
        <v>45765</v>
      </c>
      <c r="C282" s="1" t="s">
        <v>438</v>
      </c>
      <c r="D282" s="1" t="s">
        <v>130</v>
      </c>
      <c r="E282" s="1" t="n">
        <v>3</v>
      </c>
      <c r="F282" s="5" t="n">
        <v>0.1</v>
      </c>
      <c r="G282" s="1" t="s">
        <v>52</v>
      </c>
      <c r="H282" s="1" t="s">
        <v>14</v>
      </c>
      <c r="I282" s="1" t="s">
        <v>15</v>
      </c>
      <c r="J282" s="1" t="n">
        <v>1</v>
      </c>
    </row>
    <row r="283" customFormat="false" ht="15" hidden="false" customHeight="false" outlineLevel="0" collapsed="false">
      <c r="A283" s="1" t="s">
        <v>581</v>
      </c>
      <c r="B283" s="4" t="n">
        <v>45871</v>
      </c>
      <c r="C283" s="1" t="s">
        <v>232</v>
      </c>
      <c r="D283" s="1" t="s">
        <v>578</v>
      </c>
      <c r="E283" s="1" t="n">
        <v>1</v>
      </c>
      <c r="F283" s="5" t="n">
        <v>0.15</v>
      </c>
      <c r="G283" s="1" t="s">
        <v>13</v>
      </c>
      <c r="H283" s="1" t="s">
        <v>45</v>
      </c>
      <c r="I283" s="1" t="s">
        <v>15</v>
      </c>
    </row>
    <row r="284" customFormat="false" ht="15" hidden="false" customHeight="false" outlineLevel="0" collapsed="false">
      <c r="A284" s="1" t="s">
        <v>582</v>
      </c>
      <c r="B284" s="4" t="n">
        <v>45672</v>
      </c>
      <c r="C284" s="1" t="s">
        <v>359</v>
      </c>
      <c r="D284" s="1" t="s">
        <v>255</v>
      </c>
      <c r="E284" s="1" t="n">
        <v>1</v>
      </c>
      <c r="F284" s="5" t="n">
        <v>0</v>
      </c>
      <c r="G284" s="1" t="s">
        <v>34</v>
      </c>
      <c r="H284" s="1" t="s">
        <v>78</v>
      </c>
      <c r="I284" s="1" t="s">
        <v>15</v>
      </c>
      <c r="J284" s="1" t="n">
        <v>3</v>
      </c>
    </row>
    <row r="285" customFormat="false" ht="15" hidden="false" customHeight="false" outlineLevel="0" collapsed="false">
      <c r="A285" s="1" t="s">
        <v>583</v>
      </c>
      <c r="B285" s="4" t="n">
        <v>45693</v>
      </c>
      <c r="C285" s="1" t="s">
        <v>91</v>
      </c>
      <c r="D285" s="1" t="s">
        <v>213</v>
      </c>
      <c r="E285" s="1" t="n">
        <v>1</v>
      </c>
      <c r="F285" s="5" t="n">
        <v>0.1</v>
      </c>
      <c r="G285" s="1" t="s">
        <v>34</v>
      </c>
      <c r="H285" s="1" t="s">
        <v>14</v>
      </c>
      <c r="I285" s="1" t="s">
        <v>15</v>
      </c>
      <c r="J285" s="1" t="n">
        <v>8</v>
      </c>
    </row>
    <row r="286" customFormat="false" ht="15" hidden="false" customHeight="false" outlineLevel="0" collapsed="false">
      <c r="A286" s="1" t="s">
        <v>584</v>
      </c>
      <c r="B286" s="4" t="n">
        <v>45760</v>
      </c>
      <c r="C286" s="1" t="s">
        <v>364</v>
      </c>
      <c r="D286" s="1" t="s">
        <v>315</v>
      </c>
      <c r="E286" s="1" t="n">
        <v>1</v>
      </c>
      <c r="F286" s="5" t="n">
        <v>0.05</v>
      </c>
      <c r="G286" s="1" t="s">
        <v>19</v>
      </c>
      <c r="H286" s="1" t="s">
        <v>92</v>
      </c>
      <c r="I286" s="1" t="s">
        <v>20</v>
      </c>
    </row>
    <row r="287" customFormat="false" ht="15" hidden="false" customHeight="false" outlineLevel="0" collapsed="false">
      <c r="A287" s="1" t="s">
        <v>585</v>
      </c>
      <c r="B287" s="4" t="n">
        <v>45827</v>
      </c>
      <c r="C287" s="1" t="s">
        <v>586</v>
      </c>
      <c r="D287" s="1" t="s">
        <v>77</v>
      </c>
      <c r="E287" s="1" t="n">
        <v>2</v>
      </c>
      <c r="F287" s="5" t="n">
        <v>0.15</v>
      </c>
      <c r="G287" s="1" t="s">
        <v>52</v>
      </c>
      <c r="H287" s="1" t="s">
        <v>53</v>
      </c>
      <c r="I287" s="1" t="s">
        <v>38</v>
      </c>
      <c r="J287" s="1" t="n">
        <v>7</v>
      </c>
    </row>
    <row r="288" customFormat="false" ht="15" hidden="false" customHeight="false" outlineLevel="0" collapsed="false">
      <c r="A288" s="1" t="s">
        <v>587</v>
      </c>
      <c r="B288" s="4" t="n">
        <v>45824</v>
      </c>
      <c r="C288" s="1" t="s">
        <v>334</v>
      </c>
      <c r="D288" s="1" t="s">
        <v>84</v>
      </c>
      <c r="E288" s="1" t="n">
        <v>1</v>
      </c>
      <c r="F288" s="5" t="n">
        <v>0.15</v>
      </c>
      <c r="G288" s="1" t="s">
        <v>52</v>
      </c>
      <c r="H288" s="1" t="s">
        <v>78</v>
      </c>
      <c r="I288" s="1" t="s">
        <v>38</v>
      </c>
      <c r="J288" s="1" t="n">
        <v>5</v>
      </c>
    </row>
    <row r="289" customFormat="false" ht="15" hidden="false" customHeight="false" outlineLevel="0" collapsed="false">
      <c r="A289" s="1" t="s">
        <v>588</v>
      </c>
      <c r="B289" s="4" t="n">
        <v>45846</v>
      </c>
      <c r="C289" s="1" t="s">
        <v>565</v>
      </c>
      <c r="D289" s="1" t="s">
        <v>48</v>
      </c>
      <c r="E289" s="1" t="n">
        <v>2</v>
      </c>
      <c r="F289" s="5" t="n">
        <v>0.05</v>
      </c>
      <c r="G289" s="1" t="s">
        <v>52</v>
      </c>
      <c r="H289" s="1" t="s">
        <v>14</v>
      </c>
      <c r="I289" s="1" t="s">
        <v>15</v>
      </c>
      <c r="J289" s="1" t="n">
        <v>5</v>
      </c>
    </row>
    <row r="290" customFormat="false" ht="15" hidden="false" customHeight="false" outlineLevel="0" collapsed="false">
      <c r="A290" s="1" t="s">
        <v>589</v>
      </c>
      <c r="B290" s="4" t="n">
        <v>45805</v>
      </c>
      <c r="C290" s="1" t="s">
        <v>408</v>
      </c>
      <c r="D290" s="1" t="s">
        <v>186</v>
      </c>
      <c r="E290" s="1" t="n">
        <v>1</v>
      </c>
      <c r="F290" s="5" t="n">
        <v>0.2</v>
      </c>
      <c r="G290" s="1" t="s">
        <v>13</v>
      </c>
      <c r="H290" s="1" t="s">
        <v>92</v>
      </c>
      <c r="I290" s="1" t="s">
        <v>15</v>
      </c>
    </row>
    <row r="291" customFormat="false" ht="15" hidden="false" customHeight="false" outlineLevel="0" collapsed="false">
      <c r="A291" s="1" t="s">
        <v>590</v>
      </c>
      <c r="B291" s="4" t="n">
        <v>45814</v>
      </c>
      <c r="C291" s="1" t="s">
        <v>591</v>
      </c>
      <c r="D291" s="1" t="s">
        <v>130</v>
      </c>
      <c r="E291" s="1" t="n">
        <v>5</v>
      </c>
      <c r="F291" s="5" t="n">
        <v>0.05</v>
      </c>
      <c r="G291" s="1" t="s">
        <v>19</v>
      </c>
      <c r="H291" s="1" t="s">
        <v>53</v>
      </c>
      <c r="I291" s="1" t="s">
        <v>38</v>
      </c>
      <c r="J291" s="1" t="n">
        <v>2</v>
      </c>
    </row>
    <row r="292" customFormat="false" ht="15" hidden="false" customHeight="false" outlineLevel="0" collapsed="false">
      <c r="A292" s="1" t="s">
        <v>592</v>
      </c>
      <c r="B292" s="4" t="n">
        <v>45674</v>
      </c>
      <c r="C292" s="1" t="s">
        <v>314</v>
      </c>
      <c r="D292" s="1" t="s">
        <v>197</v>
      </c>
      <c r="E292" s="1" t="n">
        <v>4</v>
      </c>
      <c r="F292" s="5" t="n">
        <v>0.05</v>
      </c>
      <c r="G292" s="1" t="s">
        <v>34</v>
      </c>
      <c r="H292" s="1" t="s">
        <v>78</v>
      </c>
      <c r="I292" s="1" t="s">
        <v>15</v>
      </c>
      <c r="J292" s="1" t="n">
        <v>2</v>
      </c>
    </row>
    <row r="293" customFormat="false" ht="15" hidden="false" customHeight="false" outlineLevel="0" collapsed="false">
      <c r="A293" s="1" t="s">
        <v>593</v>
      </c>
      <c r="B293" s="4" t="n">
        <v>45806</v>
      </c>
      <c r="C293" s="1" t="s">
        <v>594</v>
      </c>
      <c r="D293" s="1" t="s">
        <v>210</v>
      </c>
      <c r="E293" s="1" t="n">
        <v>4</v>
      </c>
      <c r="F293" s="5" t="n">
        <v>0.25</v>
      </c>
      <c r="G293" s="1" t="s">
        <v>19</v>
      </c>
      <c r="H293" s="1" t="s">
        <v>14</v>
      </c>
      <c r="I293" s="1" t="s">
        <v>15</v>
      </c>
      <c r="J293" s="1" t="n">
        <v>3</v>
      </c>
    </row>
    <row r="294" customFormat="false" ht="15" hidden="false" customHeight="false" outlineLevel="0" collapsed="false">
      <c r="A294" s="1" t="s">
        <v>595</v>
      </c>
      <c r="B294" s="4" t="n">
        <v>45958</v>
      </c>
      <c r="C294" s="1" t="s">
        <v>340</v>
      </c>
      <c r="D294" s="1" t="s">
        <v>197</v>
      </c>
      <c r="E294" s="1" t="n">
        <v>1</v>
      </c>
      <c r="F294" s="5" t="n">
        <v>0</v>
      </c>
      <c r="G294" s="1" t="s">
        <v>71</v>
      </c>
      <c r="H294" s="1" t="s">
        <v>53</v>
      </c>
      <c r="I294" s="1" t="s">
        <v>38</v>
      </c>
      <c r="J294" s="1" t="n">
        <v>6</v>
      </c>
    </row>
    <row r="295" customFormat="false" ht="15" hidden="false" customHeight="false" outlineLevel="0" collapsed="false">
      <c r="A295" s="1" t="s">
        <v>596</v>
      </c>
      <c r="B295" s="4" t="n">
        <v>45916</v>
      </c>
      <c r="C295" s="1" t="s">
        <v>57</v>
      </c>
      <c r="D295" s="1" t="s">
        <v>210</v>
      </c>
      <c r="E295" s="1" t="n">
        <v>2</v>
      </c>
      <c r="F295" s="5" t="n">
        <v>0.15</v>
      </c>
      <c r="G295" s="1" t="s">
        <v>24</v>
      </c>
      <c r="H295" s="1" t="s">
        <v>14</v>
      </c>
      <c r="I295" s="1" t="s">
        <v>15</v>
      </c>
      <c r="J295" s="1" t="n">
        <v>1</v>
      </c>
    </row>
    <row r="296" customFormat="false" ht="15" hidden="false" customHeight="false" outlineLevel="0" collapsed="false">
      <c r="A296" s="1" t="s">
        <v>597</v>
      </c>
      <c r="B296" s="4" t="n">
        <v>45762</v>
      </c>
      <c r="C296" s="1" t="s">
        <v>80</v>
      </c>
      <c r="D296" s="1" t="s">
        <v>230</v>
      </c>
      <c r="E296" s="1" t="n">
        <v>2</v>
      </c>
      <c r="F296" s="5" t="n">
        <v>0.2</v>
      </c>
      <c r="G296" s="1" t="s">
        <v>19</v>
      </c>
      <c r="H296" s="1" t="s">
        <v>14</v>
      </c>
      <c r="I296" s="1" t="s">
        <v>20</v>
      </c>
      <c r="J296" s="1" t="n">
        <v>8</v>
      </c>
    </row>
    <row r="297" customFormat="false" ht="15" hidden="false" customHeight="false" outlineLevel="0" collapsed="false">
      <c r="A297" s="1" t="s">
        <v>598</v>
      </c>
      <c r="B297" s="4" t="n">
        <v>45781</v>
      </c>
      <c r="C297" s="1" t="s">
        <v>102</v>
      </c>
      <c r="D297" s="1" t="s">
        <v>294</v>
      </c>
      <c r="E297" s="1" t="n">
        <v>1</v>
      </c>
      <c r="F297" s="5" t="n">
        <v>0</v>
      </c>
      <c r="G297" s="1" t="s">
        <v>71</v>
      </c>
      <c r="H297" s="1" t="s">
        <v>14</v>
      </c>
      <c r="I297" s="1" t="s">
        <v>20</v>
      </c>
      <c r="J297" s="1" t="n">
        <v>3</v>
      </c>
    </row>
    <row r="298" customFormat="false" ht="15" hidden="false" customHeight="false" outlineLevel="0" collapsed="false">
      <c r="A298" s="1" t="s">
        <v>599</v>
      </c>
      <c r="B298" s="4" t="n">
        <v>45801</v>
      </c>
      <c r="C298" s="1" t="s">
        <v>600</v>
      </c>
      <c r="D298" s="1" t="s">
        <v>328</v>
      </c>
      <c r="E298" s="1" t="n">
        <v>1</v>
      </c>
      <c r="F298" s="5" t="n">
        <v>0</v>
      </c>
      <c r="G298" s="1" t="s">
        <v>52</v>
      </c>
      <c r="H298" s="1" t="s">
        <v>14</v>
      </c>
      <c r="I298" s="1" t="s">
        <v>38</v>
      </c>
      <c r="J298" s="1" t="n">
        <v>6</v>
      </c>
    </row>
    <row r="299" customFormat="false" ht="15" hidden="false" customHeight="false" outlineLevel="0" collapsed="false">
      <c r="A299" s="1" t="s">
        <v>601</v>
      </c>
      <c r="B299" s="4" t="n">
        <v>45856</v>
      </c>
      <c r="C299" s="1" t="s">
        <v>239</v>
      </c>
      <c r="D299" s="1" t="s">
        <v>37</v>
      </c>
      <c r="E299" s="1" t="n">
        <v>1</v>
      </c>
      <c r="F299" s="5" t="n">
        <v>0.1</v>
      </c>
      <c r="G299" s="1" t="s">
        <v>34</v>
      </c>
      <c r="H299" s="1" t="s">
        <v>53</v>
      </c>
      <c r="I299" s="1" t="s">
        <v>15</v>
      </c>
      <c r="J299" s="1" t="n">
        <v>8</v>
      </c>
    </row>
    <row r="300" customFormat="false" ht="15" hidden="false" customHeight="false" outlineLevel="0" collapsed="false">
      <c r="A300" s="1" t="s">
        <v>602</v>
      </c>
      <c r="B300" s="4" t="n">
        <v>45761</v>
      </c>
      <c r="C300" s="1" t="s">
        <v>173</v>
      </c>
      <c r="D300" s="1" t="s">
        <v>603</v>
      </c>
      <c r="E300" s="1" t="n">
        <v>2</v>
      </c>
      <c r="F300" s="5" t="n">
        <v>0.2</v>
      </c>
      <c r="G300" s="1" t="s">
        <v>13</v>
      </c>
      <c r="H300" s="1" t="s">
        <v>14</v>
      </c>
      <c r="I300" s="1" t="s">
        <v>15</v>
      </c>
      <c r="J300" s="1" t="n">
        <v>8</v>
      </c>
    </row>
    <row r="301" customFormat="false" ht="15" hidden="false" customHeight="false" outlineLevel="0" collapsed="false">
      <c r="A301" s="1" t="s">
        <v>604</v>
      </c>
      <c r="B301" s="4" t="n">
        <v>45916</v>
      </c>
      <c r="C301" s="1" t="s">
        <v>63</v>
      </c>
      <c r="D301" s="1" t="s">
        <v>143</v>
      </c>
      <c r="E301" s="1" t="n">
        <v>1</v>
      </c>
      <c r="F301" s="5" t="n">
        <v>0</v>
      </c>
      <c r="G301" s="1" t="s">
        <v>34</v>
      </c>
      <c r="H301" s="1" t="s">
        <v>14</v>
      </c>
      <c r="I301" s="1" t="s">
        <v>38</v>
      </c>
      <c r="J301" s="1" t="n">
        <v>1</v>
      </c>
    </row>
    <row r="302" customFormat="false" ht="15" hidden="false" customHeight="false" outlineLevel="0" collapsed="false">
      <c r="A302" s="1" t="s">
        <v>605</v>
      </c>
      <c r="B302" s="4" t="n">
        <v>45836</v>
      </c>
      <c r="C302" s="1" t="s">
        <v>317</v>
      </c>
      <c r="D302" s="1" t="s">
        <v>44</v>
      </c>
      <c r="E302" s="1" t="n">
        <v>1</v>
      </c>
      <c r="F302" s="5" t="n">
        <v>0.15</v>
      </c>
      <c r="G302" s="1" t="s">
        <v>52</v>
      </c>
      <c r="H302" s="1" t="s">
        <v>14</v>
      </c>
      <c r="I302" s="1" t="s">
        <v>15</v>
      </c>
      <c r="J302" s="1" t="n">
        <v>3</v>
      </c>
    </row>
    <row r="303" customFormat="false" ht="15" hidden="false" customHeight="false" outlineLevel="0" collapsed="false">
      <c r="A303" s="1" t="s">
        <v>606</v>
      </c>
      <c r="B303" s="4" t="n">
        <v>45730</v>
      </c>
      <c r="C303" s="1" t="s">
        <v>121</v>
      </c>
      <c r="D303" s="1" t="s">
        <v>328</v>
      </c>
      <c r="E303" s="1" t="n">
        <v>1</v>
      </c>
      <c r="F303" s="5" t="n">
        <v>0</v>
      </c>
      <c r="G303" s="1" t="s">
        <v>24</v>
      </c>
      <c r="H303" s="1" t="s">
        <v>14</v>
      </c>
      <c r="I303" s="1" t="s">
        <v>20</v>
      </c>
      <c r="J303" s="1" t="n">
        <v>1</v>
      </c>
    </row>
    <row r="304" customFormat="false" ht="15" hidden="false" customHeight="false" outlineLevel="0" collapsed="false">
      <c r="A304" s="1" t="s">
        <v>607</v>
      </c>
      <c r="B304" s="4" t="n">
        <v>45674</v>
      </c>
      <c r="C304" s="1" t="s">
        <v>608</v>
      </c>
      <c r="D304" s="1" t="s">
        <v>130</v>
      </c>
      <c r="E304" s="1" t="n">
        <v>1</v>
      </c>
      <c r="F304" s="5" t="n">
        <v>0.15</v>
      </c>
      <c r="G304" s="1" t="s">
        <v>52</v>
      </c>
      <c r="H304" s="1" t="s">
        <v>78</v>
      </c>
      <c r="I304" s="1" t="s">
        <v>15</v>
      </c>
      <c r="J304" s="1" t="n">
        <v>2</v>
      </c>
    </row>
    <row r="305" customFormat="false" ht="15" hidden="false" customHeight="false" outlineLevel="0" collapsed="false">
      <c r="A305" s="1" t="s">
        <v>609</v>
      </c>
      <c r="B305" s="4" t="n">
        <v>45778</v>
      </c>
      <c r="C305" s="1" t="s">
        <v>11</v>
      </c>
      <c r="D305" s="1" t="s">
        <v>94</v>
      </c>
      <c r="E305" s="1" t="n">
        <v>1</v>
      </c>
      <c r="F305" s="5" t="n">
        <v>0.15</v>
      </c>
      <c r="G305" s="1" t="s">
        <v>52</v>
      </c>
      <c r="H305" s="1" t="s">
        <v>45</v>
      </c>
      <c r="I305" s="1" t="s">
        <v>15</v>
      </c>
    </row>
    <row r="306" customFormat="false" ht="15" hidden="false" customHeight="false" outlineLevel="0" collapsed="false">
      <c r="A306" s="1" t="s">
        <v>610</v>
      </c>
      <c r="B306" s="4" t="n">
        <v>45769</v>
      </c>
      <c r="C306" s="1" t="s">
        <v>338</v>
      </c>
      <c r="D306" s="1" t="s">
        <v>371</v>
      </c>
      <c r="E306" s="1" t="n">
        <v>1</v>
      </c>
      <c r="F306" s="5" t="n">
        <v>0.05</v>
      </c>
      <c r="G306" s="1" t="s">
        <v>34</v>
      </c>
      <c r="H306" s="1" t="s">
        <v>14</v>
      </c>
      <c r="I306" s="1" t="s">
        <v>20</v>
      </c>
      <c r="J306" s="1" t="n">
        <v>3</v>
      </c>
    </row>
    <row r="307" customFormat="false" ht="15" hidden="false" customHeight="false" outlineLevel="0" collapsed="false">
      <c r="A307" s="1" t="s">
        <v>611</v>
      </c>
      <c r="B307" s="4" t="n">
        <v>45849</v>
      </c>
      <c r="C307" s="1" t="s">
        <v>499</v>
      </c>
      <c r="D307" s="1" t="s">
        <v>462</v>
      </c>
      <c r="E307" s="1" t="n">
        <v>1</v>
      </c>
      <c r="F307" s="5" t="n">
        <v>0.1</v>
      </c>
      <c r="G307" s="1" t="s">
        <v>52</v>
      </c>
      <c r="H307" s="1" t="s">
        <v>53</v>
      </c>
      <c r="I307" s="1" t="s">
        <v>15</v>
      </c>
      <c r="J307" s="1" t="n">
        <v>7</v>
      </c>
    </row>
    <row r="308" customFormat="false" ht="15" hidden="false" customHeight="false" outlineLevel="0" collapsed="false">
      <c r="A308" s="1" t="s">
        <v>612</v>
      </c>
      <c r="B308" s="4" t="n">
        <v>45980</v>
      </c>
      <c r="C308" s="1" t="s">
        <v>175</v>
      </c>
      <c r="D308" s="1" t="s">
        <v>230</v>
      </c>
      <c r="E308" s="1" t="n">
        <v>3</v>
      </c>
      <c r="F308" s="5" t="n">
        <v>0.1</v>
      </c>
      <c r="G308" s="1" t="s">
        <v>34</v>
      </c>
      <c r="H308" s="1" t="s">
        <v>14</v>
      </c>
      <c r="I308" s="1" t="s">
        <v>20</v>
      </c>
      <c r="J308" s="1" t="n">
        <v>3</v>
      </c>
    </row>
    <row r="309" customFormat="false" ht="15" hidden="false" customHeight="false" outlineLevel="0" collapsed="false">
      <c r="A309" s="1" t="s">
        <v>613</v>
      </c>
      <c r="B309" s="4" t="n">
        <v>45847</v>
      </c>
      <c r="C309" s="1" t="s">
        <v>244</v>
      </c>
      <c r="D309" s="1" t="s">
        <v>168</v>
      </c>
      <c r="E309" s="1" t="n">
        <v>3</v>
      </c>
      <c r="F309" s="5" t="n">
        <v>0.15</v>
      </c>
      <c r="G309" s="1" t="s">
        <v>13</v>
      </c>
      <c r="H309" s="1" t="s">
        <v>14</v>
      </c>
      <c r="I309" s="1" t="s">
        <v>15</v>
      </c>
      <c r="J309" s="1" t="n">
        <v>7</v>
      </c>
    </row>
    <row r="310" customFormat="false" ht="15" hidden="false" customHeight="false" outlineLevel="0" collapsed="false">
      <c r="A310" s="1" t="s">
        <v>614</v>
      </c>
      <c r="B310" s="4" t="n">
        <v>45874</v>
      </c>
      <c r="C310" s="1" t="s">
        <v>615</v>
      </c>
      <c r="D310" s="1" t="s">
        <v>446</v>
      </c>
      <c r="E310" s="1" t="n">
        <v>5</v>
      </c>
      <c r="F310" s="5" t="n">
        <v>0.1</v>
      </c>
      <c r="G310" s="1" t="s">
        <v>19</v>
      </c>
      <c r="H310" s="1" t="s">
        <v>14</v>
      </c>
      <c r="I310" s="1" t="s">
        <v>20</v>
      </c>
      <c r="J310" s="1" t="n">
        <v>1</v>
      </c>
    </row>
    <row r="311" customFormat="false" ht="15" hidden="false" customHeight="false" outlineLevel="0" collapsed="false">
      <c r="A311" s="1" t="s">
        <v>616</v>
      </c>
      <c r="B311" s="4" t="n">
        <v>45763</v>
      </c>
      <c r="C311" s="1" t="s">
        <v>263</v>
      </c>
      <c r="D311" s="1" t="s">
        <v>286</v>
      </c>
      <c r="E311" s="1" t="n">
        <v>1</v>
      </c>
      <c r="F311" s="5" t="n">
        <v>0.2</v>
      </c>
      <c r="G311" s="1" t="s">
        <v>52</v>
      </c>
      <c r="H311" s="1" t="s">
        <v>14</v>
      </c>
      <c r="I311" s="1" t="s">
        <v>20</v>
      </c>
      <c r="J311" s="1" t="n">
        <v>3</v>
      </c>
    </row>
    <row r="312" customFormat="false" ht="15" hidden="false" customHeight="false" outlineLevel="0" collapsed="false">
      <c r="A312" s="1" t="s">
        <v>617</v>
      </c>
      <c r="B312" s="4" t="n">
        <v>45805</v>
      </c>
      <c r="C312" s="1" t="s">
        <v>352</v>
      </c>
      <c r="D312" s="1" t="s">
        <v>537</v>
      </c>
      <c r="E312" s="1" t="n">
        <v>2</v>
      </c>
      <c r="F312" s="5" t="n">
        <v>0.2</v>
      </c>
      <c r="G312" s="1" t="s">
        <v>19</v>
      </c>
      <c r="H312" s="1" t="s">
        <v>14</v>
      </c>
      <c r="I312" s="1" t="s">
        <v>38</v>
      </c>
      <c r="J312" s="1" t="n">
        <v>7</v>
      </c>
    </row>
    <row r="313" customFormat="false" ht="15" hidden="false" customHeight="false" outlineLevel="0" collapsed="false">
      <c r="A313" s="1" t="s">
        <v>618</v>
      </c>
      <c r="B313" s="4" t="n">
        <v>45841</v>
      </c>
      <c r="C313" s="1" t="s">
        <v>345</v>
      </c>
      <c r="D313" s="1" t="s">
        <v>100</v>
      </c>
      <c r="E313" s="1" t="n">
        <v>4</v>
      </c>
      <c r="F313" s="5" t="n">
        <v>0.05</v>
      </c>
      <c r="G313" s="1" t="s">
        <v>34</v>
      </c>
      <c r="H313" s="1" t="s">
        <v>14</v>
      </c>
      <c r="I313" s="1" t="s">
        <v>15</v>
      </c>
      <c r="J313" s="1" t="n">
        <v>4</v>
      </c>
    </row>
    <row r="314" customFormat="false" ht="15" hidden="false" customHeight="false" outlineLevel="0" collapsed="false">
      <c r="A314" s="1" t="s">
        <v>619</v>
      </c>
      <c r="B314" s="4" t="n">
        <v>45772</v>
      </c>
      <c r="C314" s="1" t="s">
        <v>234</v>
      </c>
      <c r="D314" s="1" t="s">
        <v>112</v>
      </c>
      <c r="E314" s="1" t="n">
        <v>4</v>
      </c>
      <c r="F314" s="5" t="n">
        <v>0.15</v>
      </c>
      <c r="G314" s="1" t="s">
        <v>52</v>
      </c>
      <c r="H314" s="1" t="s">
        <v>14</v>
      </c>
      <c r="I314" s="1" t="s">
        <v>15</v>
      </c>
      <c r="J314" s="1" t="n">
        <v>2</v>
      </c>
    </row>
    <row r="315" customFormat="false" ht="15" hidden="false" customHeight="false" outlineLevel="0" collapsed="false">
      <c r="A315" s="1" t="s">
        <v>620</v>
      </c>
      <c r="B315" s="4" t="n">
        <v>45983</v>
      </c>
      <c r="C315" s="1" t="s">
        <v>621</v>
      </c>
      <c r="D315" s="1" t="s">
        <v>186</v>
      </c>
      <c r="E315" s="1" t="n">
        <v>1</v>
      </c>
      <c r="F315" s="5" t="n">
        <v>0</v>
      </c>
      <c r="G315" s="1" t="s">
        <v>24</v>
      </c>
      <c r="H315" s="1" t="s">
        <v>14</v>
      </c>
      <c r="I315" s="1" t="s">
        <v>15</v>
      </c>
      <c r="J315" s="1" t="n">
        <v>3</v>
      </c>
    </row>
    <row r="316" customFormat="false" ht="15" hidden="false" customHeight="false" outlineLevel="0" collapsed="false">
      <c r="A316" s="1" t="s">
        <v>622</v>
      </c>
      <c r="B316" s="4" t="n">
        <v>45726</v>
      </c>
      <c r="C316" s="1" t="s">
        <v>368</v>
      </c>
      <c r="D316" s="1" t="s">
        <v>176</v>
      </c>
      <c r="E316" s="1" t="n">
        <v>1</v>
      </c>
      <c r="F316" s="5" t="n">
        <v>0.1</v>
      </c>
      <c r="G316" s="1" t="s">
        <v>19</v>
      </c>
      <c r="H316" s="1" t="s">
        <v>53</v>
      </c>
      <c r="I316" s="1" t="s">
        <v>15</v>
      </c>
      <c r="J316" s="1" t="n">
        <v>1</v>
      </c>
    </row>
    <row r="317" customFormat="false" ht="15" hidden="false" customHeight="false" outlineLevel="0" collapsed="false">
      <c r="A317" s="1" t="s">
        <v>623</v>
      </c>
      <c r="B317" s="4" t="n">
        <v>45699</v>
      </c>
      <c r="C317" s="1" t="s">
        <v>410</v>
      </c>
      <c r="D317" s="1" t="s">
        <v>624</v>
      </c>
      <c r="E317" s="1" t="n">
        <v>3</v>
      </c>
      <c r="F317" s="5" t="n">
        <v>0.1</v>
      </c>
      <c r="G317" s="1" t="s">
        <v>19</v>
      </c>
      <c r="H317" s="1" t="s">
        <v>53</v>
      </c>
      <c r="I317" s="1" t="s">
        <v>15</v>
      </c>
      <c r="J317" s="1" t="n">
        <v>5</v>
      </c>
    </row>
    <row r="318" customFormat="false" ht="15" hidden="false" customHeight="false" outlineLevel="0" collapsed="false">
      <c r="A318" s="1" t="s">
        <v>625</v>
      </c>
      <c r="B318" s="4" t="n">
        <v>45960</v>
      </c>
      <c r="C318" s="1" t="s">
        <v>626</v>
      </c>
      <c r="D318" s="1" t="s">
        <v>44</v>
      </c>
      <c r="E318" s="1" t="n">
        <v>1</v>
      </c>
      <c r="F318" s="5" t="n">
        <v>0.05</v>
      </c>
      <c r="G318" s="1" t="s">
        <v>13</v>
      </c>
      <c r="H318" s="1" t="s">
        <v>78</v>
      </c>
      <c r="I318" s="1" t="s">
        <v>15</v>
      </c>
      <c r="J318" s="1" t="n">
        <v>1</v>
      </c>
    </row>
    <row r="319" customFormat="false" ht="15" hidden="false" customHeight="false" outlineLevel="0" collapsed="false">
      <c r="A319" s="1" t="s">
        <v>627</v>
      </c>
      <c r="B319" s="4" t="n">
        <v>45845</v>
      </c>
      <c r="C319" s="1" t="s">
        <v>452</v>
      </c>
      <c r="D319" s="1" t="s">
        <v>58</v>
      </c>
      <c r="E319" s="1" t="n">
        <v>2</v>
      </c>
      <c r="F319" s="5" t="n">
        <v>0.1</v>
      </c>
      <c r="G319" s="1" t="s">
        <v>52</v>
      </c>
      <c r="H319" s="1" t="s">
        <v>14</v>
      </c>
      <c r="I319" s="1" t="s">
        <v>20</v>
      </c>
      <c r="J319" s="1" t="n">
        <v>7</v>
      </c>
    </row>
    <row r="320" customFormat="false" ht="15" hidden="false" customHeight="false" outlineLevel="0" collapsed="false">
      <c r="A320" s="1" t="s">
        <v>628</v>
      </c>
      <c r="B320" s="4" t="n">
        <v>45742</v>
      </c>
      <c r="C320" s="1" t="s">
        <v>40</v>
      </c>
      <c r="D320" s="1" t="s">
        <v>171</v>
      </c>
      <c r="E320" s="1" t="n">
        <v>2</v>
      </c>
      <c r="F320" s="5" t="n">
        <v>0.1</v>
      </c>
      <c r="G320" s="1" t="s">
        <v>52</v>
      </c>
      <c r="H320" s="1" t="s">
        <v>45</v>
      </c>
      <c r="I320" s="1" t="s">
        <v>20</v>
      </c>
    </row>
    <row r="321" customFormat="false" ht="15" hidden="false" customHeight="false" outlineLevel="0" collapsed="false">
      <c r="A321" s="1" t="s">
        <v>629</v>
      </c>
      <c r="B321" s="4" t="n">
        <v>45675</v>
      </c>
      <c r="C321" s="1" t="s">
        <v>334</v>
      </c>
      <c r="D321" s="1" t="s">
        <v>264</v>
      </c>
      <c r="E321" s="1" t="n">
        <v>3</v>
      </c>
      <c r="F321" s="5" t="n">
        <v>0.15</v>
      </c>
      <c r="G321" s="1" t="s">
        <v>34</v>
      </c>
      <c r="H321" s="1" t="s">
        <v>92</v>
      </c>
      <c r="I321" s="1" t="s">
        <v>20</v>
      </c>
    </row>
    <row r="322" customFormat="false" ht="15" hidden="false" customHeight="false" outlineLevel="0" collapsed="false">
      <c r="A322" s="1" t="s">
        <v>630</v>
      </c>
      <c r="B322" s="4" t="n">
        <v>45789</v>
      </c>
      <c r="C322" s="1" t="s">
        <v>350</v>
      </c>
      <c r="D322" s="1" t="s">
        <v>103</v>
      </c>
      <c r="E322" s="1" t="n">
        <v>1</v>
      </c>
      <c r="F322" s="5" t="n">
        <v>0.05</v>
      </c>
      <c r="G322" s="1" t="s">
        <v>52</v>
      </c>
      <c r="H322" s="1" t="s">
        <v>14</v>
      </c>
      <c r="I322" s="1" t="s">
        <v>38</v>
      </c>
      <c r="J322" s="1" t="n">
        <v>7</v>
      </c>
    </row>
    <row r="323" customFormat="false" ht="15" hidden="false" customHeight="false" outlineLevel="0" collapsed="false">
      <c r="A323" s="1" t="s">
        <v>631</v>
      </c>
      <c r="B323" s="4" t="n">
        <v>45768</v>
      </c>
      <c r="C323" s="1" t="s">
        <v>105</v>
      </c>
      <c r="D323" s="1" t="s">
        <v>289</v>
      </c>
      <c r="E323" s="1" t="n">
        <v>1</v>
      </c>
      <c r="F323" s="5" t="n">
        <v>0.1</v>
      </c>
      <c r="G323" s="1" t="s">
        <v>19</v>
      </c>
      <c r="H323" s="1" t="s">
        <v>14</v>
      </c>
      <c r="I323" s="1" t="s">
        <v>38</v>
      </c>
      <c r="J323" s="1" t="n">
        <v>6</v>
      </c>
    </row>
    <row r="324" customFormat="false" ht="15" hidden="false" customHeight="false" outlineLevel="0" collapsed="false">
      <c r="A324" s="1" t="s">
        <v>632</v>
      </c>
      <c r="B324" s="4" t="n">
        <v>45988</v>
      </c>
      <c r="C324" s="1" t="s">
        <v>633</v>
      </c>
      <c r="D324" s="1" t="s">
        <v>168</v>
      </c>
      <c r="E324" s="1" t="n">
        <v>1</v>
      </c>
      <c r="F324" s="5" t="n">
        <v>0.2</v>
      </c>
      <c r="G324" s="1" t="s">
        <v>34</v>
      </c>
      <c r="H324" s="1" t="s">
        <v>14</v>
      </c>
      <c r="I324" s="1" t="s">
        <v>20</v>
      </c>
      <c r="J324" s="1" t="n">
        <v>5</v>
      </c>
    </row>
    <row r="325" customFormat="false" ht="15" hidden="false" customHeight="false" outlineLevel="0" collapsed="false">
      <c r="A325" s="1" t="s">
        <v>634</v>
      </c>
      <c r="B325" s="4" t="n">
        <v>45662</v>
      </c>
      <c r="C325" s="1" t="s">
        <v>495</v>
      </c>
      <c r="D325" s="1" t="s">
        <v>286</v>
      </c>
      <c r="E325" s="1" t="n">
        <v>1</v>
      </c>
      <c r="F325" s="5" t="n">
        <v>0.05</v>
      </c>
      <c r="G325" s="1" t="s">
        <v>19</v>
      </c>
      <c r="H325" s="1" t="s">
        <v>14</v>
      </c>
      <c r="I325" s="1" t="s">
        <v>38</v>
      </c>
      <c r="J325" s="1" t="n">
        <v>2</v>
      </c>
    </row>
    <row r="326" customFormat="false" ht="15" hidden="false" customHeight="false" outlineLevel="0" collapsed="false">
      <c r="A326" s="1" t="s">
        <v>635</v>
      </c>
      <c r="B326" s="4" t="n">
        <v>46021</v>
      </c>
      <c r="C326" s="1" t="s">
        <v>280</v>
      </c>
      <c r="D326" s="1" t="s">
        <v>335</v>
      </c>
      <c r="E326" s="1" t="n">
        <v>2</v>
      </c>
      <c r="F326" s="5" t="n">
        <v>0.25</v>
      </c>
      <c r="G326" s="1" t="s">
        <v>34</v>
      </c>
      <c r="H326" s="1" t="s">
        <v>14</v>
      </c>
      <c r="I326" s="1" t="s">
        <v>15</v>
      </c>
      <c r="J326" s="1" t="n">
        <v>4</v>
      </c>
    </row>
    <row r="327" customFormat="false" ht="15" hidden="false" customHeight="false" outlineLevel="0" collapsed="false">
      <c r="A327" s="1" t="s">
        <v>636</v>
      </c>
      <c r="B327" s="4" t="n">
        <v>45759</v>
      </c>
      <c r="C327" s="1" t="s">
        <v>637</v>
      </c>
      <c r="D327" s="1" t="s">
        <v>109</v>
      </c>
      <c r="E327" s="1" t="n">
        <v>3</v>
      </c>
      <c r="F327" s="5" t="n">
        <v>0.05</v>
      </c>
      <c r="G327" s="1" t="s">
        <v>34</v>
      </c>
      <c r="H327" s="1" t="s">
        <v>14</v>
      </c>
      <c r="I327" s="1" t="s">
        <v>20</v>
      </c>
      <c r="J327" s="1" t="n">
        <v>4</v>
      </c>
    </row>
    <row r="328" customFormat="false" ht="15" hidden="false" customHeight="false" outlineLevel="0" collapsed="false">
      <c r="A328" s="1" t="s">
        <v>638</v>
      </c>
      <c r="B328" s="4" t="n">
        <v>45810</v>
      </c>
      <c r="C328" s="1" t="s">
        <v>203</v>
      </c>
      <c r="D328" s="1" t="s">
        <v>245</v>
      </c>
      <c r="E328" s="1" t="n">
        <v>1</v>
      </c>
      <c r="F328" s="5" t="n">
        <v>0</v>
      </c>
      <c r="G328" s="1" t="s">
        <v>52</v>
      </c>
      <c r="H328" s="1" t="s">
        <v>14</v>
      </c>
      <c r="I328" s="1" t="s">
        <v>20</v>
      </c>
      <c r="J328" s="1" t="n">
        <v>4</v>
      </c>
    </row>
    <row r="329" customFormat="false" ht="15" hidden="false" customHeight="false" outlineLevel="0" collapsed="false">
      <c r="A329" s="1" t="s">
        <v>639</v>
      </c>
      <c r="B329" s="4" t="n">
        <v>45873</v>
      </c>
      <c r="C329" s="1" t="s">
        <v>640</v>
      </c>
      <c r="D329" s="1" t="s">
        <v>641</v>
      </c>
      <c r="E329" s="1" t="n">
        <v>1</v>
      </c>
      <c r="F329" s="5" t="n">
        <v>0.1</v>
      </c>
      <c r="G329" s="1" t="s">
        <v>19</v>
      </c>
      <c r="H329" s="1" t="s">
        <v>14</v>
      </c>
      <c r="I329" s="1" t="s">
        <v>38</v>
      </c>
      <c r="J329" s="1" t="n">
        <v>4</v>
      </c>
    </row>
    <row r="330" customFormat="false" ht="15" hidden="false" customHeight="false" outlineLevel="0" collapsed="false">
      <c r="A330" s="1" t="s">
        <v>642</v>
      </c>
      <c r="B330" s="4" t="n">
        <v>45790</v>
      </c>
      <c r="C330" s="1" t="s">
        <v>643</v>
      </c>
      <c r="D330" s="1" t="s">
        <v>537</v>
      </c>
      <c r="E330" s="1" t="n">
        <v>2</v>
      </c>
      <c r="F330" s="5" t="n">
        <v>0.1</v>
      </c>
      <c r="G330" s="1" t="s">
        <v>34</v>
      </c>
      <c r="H330" s="1" t="s">
        <v>14</v>
      </c>
      <c r="I330" s="1" t="s">
        <v>38</v>
      </c>
      <c r="J330" s="1" t="n">
        <v>3</v>
      </c>
    </row>
    <row r="331" customFormat="false" ht="15" hidden="false" customHeight="false" outlineLevel="0" collapsed="false">
      <c r="A331" s="1" t="s">
        <v>644</v>
      </c>
      <c r="B331" s="4" t="n">
        <v>45896</v>
      </c>
      <c r="C331" s="1" t="s">
        <v>219</v>
      </c>
      <c r="D331" s="1" t="s">
        <v>335</v>
      </c>
      <c r="E331" s="1" t="n">
        <v>3</v>
      </c>
      <c r="F331" s="5" t="n">
        <v>0.05</v>
      </c>
      <c r="G331" s="1" t="s">
        <v>52</v>
      </c>
      <c r="H331" s="1" t="s">
        <v>14</v>
      </c>
      <c r="I331" s="1" t="s">
        <v>15</v>
      </c>
      <c r="J331" s="1" t="n">
        <v>8</v>
      </c>
    </row>
    <row r="332" customFormat="false" ht="15" hidden="false" customHeight="false" outlineLevel="0" collapsed="false">
      <c r="A332" s="1" t="s">
        <v>645</v>
      </c>
      <c r="B332" s="4" t="n">
        <v>45864</v>
      </c>
      <c r="C332" s="1" t="s">
        <v>505</v>
      </c>
      <c r="D332" s="1" t="s">
        <v>487</v>
      </c>
      <c r="E332" s="1" t="n">
        <v>3</v>
      </c>
      <c r="F332" s="5" t="n">
        <v>0</v>
      </c>
      <c r="G332" s="1" t="s">
        <v>34</v>
      </c>
      <c r="H332" s="1" t="s">
        <v>53</v>
      </c>
      <c r="I332" s="1" t="s">
        <v>20</v>
      </c>
      <c r="J332" s="1" t="n">
        <v>3</v>
      </c>
    </row>
    <row r="333" customFormat="false" ht="15" hidden="false" customHeight="false" outlineLevel="0" collapsed="false">
      <c r="A333" s="1" t="s">
        <v>646</v>
      </c>
      <c r="B333" s="4" t="n">
        <v>45697</v>
      </c>
      <c r="C333" s="1" t="s">
        <v>647</v>
      </c>
      <c r="D333" s="1" t="s">
        <v>70</v>
      </c>
      <c r="E333" s="1" t="n">
        <v>3</v>
      </c>
      <c r="F333" s="5" t="n">
        <v>0</v>
      </c>
      <c r="G333" s="1" t="s">
        <v>34</v>
      </c>
      <c r="H333" s="1" t="s">
        <v>14</v>
      </c>
      <c r="I333" s="1" t="s">
        <v>15</v>
      </c>
      <c r="J333" s="1" t="n">
        <v>6</v>
      </c>
    </row>
    <row r="334" customFormat="false" ht="15" hidden="false" customHeight="false" outlineLevel="0" collapsed="false">
      <c r="A334" s="1" t="s">
        <v>648</v>
      </c>
      <c r="B334" s="4" t="n">
        <v>45749</v>
      </c>
      <c r="C334" s="1" t="s">
        <v>22</v>
      </c>
      <c r="D334" s="1" t="s">
        <v>89</v>
      </c>
      <c r="E334" s="1" t="n">
        <v>2</v>
      </c>
      <c r="F334" s="5" t="n">
        <v>0</v>
      </c>
      <c r="G334" s="1" t="s">
        <v>52</v>
      </c>
      <c r="H334" s="1" t="s">
        <v>14</v>
      </c>
      <c r="I334" s="1" t="s">
        <v>15</v>
      </c>
      <c r="J334" s="1" t="n">
        <v>6</v>
      </c>
    </row>
    <row r="335" customFormat="false" ht="15" hidden="false" customHeight="false" outlineLevel="0" collapsed="false">
      <c r="A335" s="1" t="s">
        <v>649</v>
      </c>
      <c r="B335" s="4" t="n">
        <v>45901</v>
      </c>
      <c r="C335" s="1" t="s">
        <v>249</v>
      </c>
      <c r="D335" s="1" t="s">
        <v>109</v>
      </c>
      <c r="E335" s="1" t="n">
        <v>1</v>
      </c>
      <c r="F335" s="5" t="n">
        <v>0.05</v>
      </c>
      <c r="G335" s="1" t="s">
        <v>52</v>
      </c>
      <c r="H335" s="1" t="s">
        <v>53</v>
      </c>
      <c r="I335" s="1" t="s">
        <v>38</v>
      </c>
      <c r="J335" s="1" t="n">
        <v>4</v>
      </c>
    </row>
    <row r="336" customFormat="false" ht="15" hidden="false" customHeight="false" outlineLevel="0" collapsed="false">
      <c r="A336" s="1" t="s">
        <v>650</v>
      </c>
      <c r="B336" s="4" t="n">
        <v>46001</v>
      </c>
      <c r="C336" s="1" t="s">
        <v>651</v>
      </c>
      <c r="D336" s="1" t="s">
        <v>70</v>
      </c>
      <c r="E336" s="1" t="n">
        <v>1</v>
      </c>
      <c r="F336" s="5" t="n">
        <v>0.25</v>
      </c>
      <c r="G336" s="1" t="s">
        <v>34</v>
      </c>
      <c r="H336" s="1" t="s">
        <v>14</v>
      </c>
      <c r="I336" s="1" t="s">
        <v>15</v>
      </c>
      <c r="J336" s="1" t="n">
        <v>2</v>
      </c>
    </row>
    <row r="337" customFormat="false" ht="15" hidden="false" customHeight="false" outlineLevel="0" collapsed="false">
      <c r="A337" s="1" t="s">
        <v>652</v>
      </c>
      <c r="B337" s="4" t="n">
        <v>45785</v>
      </c>
      <c r="C337" s="1" t="s">
        <v>647</v>
      </c>
      <c r="D337" s="1" t="s">
        <v>399</v>
      </c>
      <c r="E337" s="1" t="n">
        <v>1</v>
      </c>
      <c r="F337" s="5" t="n">
        <v>0.05</v>
      </c>
      <c r="G337" s="1" t="s">
        <v>34</v>
      </c>
      <c r="H337" s="1" t="s">
        <v>14</v>
      </c>
      <c r="I337" s="1" t="s">
        <v>20</v>
      </c>
      <c r="J337" s="1" t="n">
        <v>8</v>
      </c>
    </row>
    <row r="338" customFormat="false" ht="15" hidden="false" customHeight="false" outlineLevel="0" collapsed="false">
      <c r="A338" s="1" t="s">
        <v>653</v>
      </c>
      <c r="B338" s="4" t="n">
        <v>45887</v>
      </c>
      <c r="C338" s="1" t="s">
        <v>654</v>
      </c>
      <c r="D338" s="1" t="s">
        <v>429</v>
      </c>
      <c r="E338" s="1" t="n">
        <v>3</v>
      </c>
      <c r="F338" s="5" t="n">
        <v>0.1</v>
      </c>
      <c r="G338" s="1" t="s">
        <v>24</v>
      </c>
      <c r="H338" s="1" t="s">
        <v>14</v>
      </c>
      <c r="I338" s="1" t="s">
        <v>15</v>
      </c>
      <c r="J338" s="1" t="n">
        <v>1</v>
      </c>
    </row>
    <row r="339" customFormat="false" ht="15" hidden="false" customHeight="false" outlineLevel="0" collapsed="false">
      <c r="A339" s="1" t="s">
        <v>655</v>
      </c>
      <c r="B339" s="4" t="n">
        <v>45872</v>
      </c>
      <c r="C339" s="1" t="s">
        <v>203</v>
      </c>
      <c r="D339" s="1" t="s">
        <v>220</v>
      </c>
      <c r="E339" s="1" t="n">
        <v>2</v>
      </c>
      <c r="F339" s="5" t="n">
        <v>0.15</v>
      </c>
      <c r="G339" s="1" t="s">
        <v>52</v>
      </c>
      <c r="H339" s="1" t="s">
        <v>14</v>
      </c>
      <c r="I339" s="1" t="s">
        <v>38</v>
      </c>
      <c r="J339" s="1" t="n">
        <v>5</v>
      </c>
    </row>
    <row r="340" customFormat="false" ht="15" hidden="false" customHeight="false" outlineLevel="0" collapsed="false">
      <c r="A340" s="1" t="s">
        <v>656</v>
      </c>
      <c r="B340" s="4" t="n">
        <v>45788</v>
      </c>
      <c r="C340" s="1" t="s">
        <v>657</v>
      </c>
      <c r="D340" s="1" t="s">
        <v>165</v>
      </c>
      <c r="E340" s="1" t="n">
        <v>3</v>
      </c>
      <c r="F340" s="5" t="n">
        <v>0.05</v>
      </c>
      <c r="G340" s="1" t="s">
        <v>71</v>
      </c>
      <c r="H340" s="1" t="s">
        <v>14</v>
      </c>
      <c r="I340" s="1" t="s">
        <v>38</v>
      </c>
      <c r="J340" s="1" t="n">
        <v>4</v>
      </c>
    </row>
    <row r="341" customFormat="false" ht="15" hidden="false" customHeight="false" outlineLevel="0" collapsed="false">
      <c r="A341" s="1" t="s">
        <v>658</v>
      </c>
      <c r="B341" s="4" t="n">
        <v>45780</v>
      </c>
      <c r="C341" s="1" t="s">
        <v>659</v>
      </c>
      <c r="D341" s="1" t="s">
        <v>160</v>
      </c>
      <c r="E341" s="1" t="n">
        <v>1</v>
      </c>
      <c r="F341" s="5" t="n">
        <v>0.1</v>
      </c>
      <c r="G341" s="1" t="s">
        <v>52</v>
      </c>
      <c r="H341" s="1" t="s">
        <v>14</v>
      </c>
      <c r="I341" s="1" t="s">
        <v>15</v>
      </c>
      <c r="J341" s="1" t="n">
        <v>7</v>
      </c>
    </row>
    <row r="342" customFormat="false" ht="15" hidden="false" customHeight="false" outlineLevel="0" collapsed="false">
      <c r="A342" s="1" t="s">
        <v>660</v>
      </c>
      <c r="B342" s="4" t="n">
        <v>45727</v>
      </c>
      <c r="C342" s="1" t="s">
        <v>661</v>
      </c>
      <c r="D342" s="1" t="s">
        <v>125</v>
      </c>
      <c r="E342" s="1" t="n">
        <v>1</v>
      </c>
      <c r="F342" s="5" t="n">
        <v>0.15</v>
      </c>
      <c r="G342" s="1" t="s">
        <v>52</v>
      </c>
      <c r="H342" s="1" t="s">
        <v>14</v>
      </c>
      <c r="I342" s="1" t="s">
        <v>15</v>
      </c>
      <c r="J342" s="1" t="n">
        <v>8</v>
      </c>
    </row>
    <row r="343" customFormat="false" ht="15" hidden="false" customHeight="false" outlineLevel="0" collapsed="false">
      <c r="A343" s="1" t="s">
        <v>662</v>
      </c>
      <c r="B343" s="4" t="n">
        <v>45817</v>
      </c>
      <c r="C343" s="1" t="s">
        <v>512</v>
      </c>
      <c r="D343" s="1" t="s">
        <v>418</v>
      </c>
      <c r="E343" s="1" t="n">
        <v>2</v>
      </c>
      <c r="F343" s="5" t="n">
        <v>0.05</v>
      </c>
      <c r="G343" s="1" t="s">
        <v>52</v>
      </c>
      <c r="H343" s="1" t="s">
        <v>14</v>
      </c>
      <c r="I343" s="1" t="s">
        <v>20</v>
      </c>
      <c r="J343" s="1" t="n">
        <v>7</v>
      </c>
    </row>
    <row r="344" customFormat="false" ht="15" hidden="false" customHeight="false" outlineLevel="0" collapsed="false">
      <c r="A344" s="1" t="s">
        <v>663</v>
      </c>
      <c r="B344" s="4" t="n">
        <v>45731</v>
      </c>
      <c r="C344" s="1" t="s">
        <v>664</v>
      </c>
      <c r="D344" s="1" t="s">
        <v>537</v>
      </c>
      <c r="E344" s="1" t="n">
        <v>1</v>
      </c>
      <c r="F344" s="5" t="n">
        <v>0.1</v>
      </c>
      <c r="G344" s="1" t="s">
        <v>24</v>
      </c>
      <c r="H344" s="1" t="s">
        <v>14</v>
      </c>
      <c r="I344" s="1" t="s">
        <v>38</v>
      </c>
      <c r="J344" s="1" t="n">
        <v>7</v>
      </c>
    </row>
    <row r="345" customFormat="false" ht="15" hidden="false" customHeight="false" outlineLevel="0" collapsed="false">
      <c r="A345" s="1" t="s">
        <v>665</v>
      </c>
      <c r="B345" s="4" t="n">
        <v>45719</v>
      </c>
      <c r="C345" s="1" t="s">
        <v>666</v>
      </c>
      <c r="D345" s="1" t="s">
        <v>418</v>
      </c>
      <c r="E345" s="1" t="n">
        <v>1</v>
      </c>
      <c r="F345" s="5" t="n">
        <v>0.1</v>
      </c>
      <c r="G345" s="1" t="s">
        <v>19</v>
      </c>
      <c r="H345" s="1" t="s">
        <v>45</v>
      </c>
      <c r="I345" s="1" t="s">
        <v>20</v>
      </c>
    </row>
    <row r="346" customFormat="false" ht="15" hidden="false" customHeight="false" outlineLevel="0" collapsed="false">
      <c r="A346" s="1" t="s">
        <v>667</v>
      </c>
      <c r="B346" s="4" t="n">
        <v>45745</v>
      </c>
      <c r="C346" s="1" t="s">
        <v>111</v>
      </c>
      <c r="D346" s="1" t="s">
        <v>171</v>
      </c>
      <c r="E346" s="1" t="n">
        <v>2</v>
      </c>
      <c r="F346" s="5" t="n">
        <v>0.05</v>
      </c>
      <c r="G346" s="1" t="s">
        <v>52</v>
      </c>
      <c r="H346" s="1" t="s">
        <v>53</v>
      </c>
      <c r="I346" s="1" t="s">
        <v>15</v>
      </c>
      <c r="J346" s="1" t="n">
        <v>1</v>
      </c>
    </row>
    <row r="347" customFormat="false" ht="15" hidden="false" customHeight="false" outlineLevel="0" collapsed="false">
      <c r="A347" s="1" t="s">
        <v>668</v>
      </c>
      <c r="B347" s="4" t="n">
        <v>45828</v>
      </c>
      <c r="C347" s="1" t="s">
        <v>490</v>
      </c>
      <c r="D347" s="1" t="s">
        <v>81</v>
      </c>
      <c r="E347" s="1" t="n">
        <v>5</v>
      </c>
      <c r="F347" s="5" t="n">
        <v>0.15</v>
      </c>
      <c r="G347" s="1" t="s">
        <v>52</v>
      </c>
      <c r="H347" s="1" t="s">
        <v>14</v>
      </c>
      <c r="I347" s="1" t="s">
        <v>15</v>
      </c>
      <c r="J347" s="1" t="n">
        <v>8</v>
      </c>
    </row>
    <row r="348" customFormat="false" ht="15" hidden="false" customHeight="false" outlineLevel="0" collapsed="false">
      <c r="A348" s="1" t="s">
        <v>669</v>
      </c>
      <c r="B348" s="4" t="n">
        <v>45946</v>
      </c>
      <c r="C348" s="1" t="s">
        <v>167</v>
      </c>
      <c r="D348" s="1" t="s">
        <v>484</v>
      </c>
      <c r="E348" s="1" t="n">
        <v>1</v>
      </c>
      <c r="F348" s="5" t="n">
        <v>0.05</v>
      </c>
      <c r="G348" s="1" t="s">
        <v>52</v>
      </c>
      <c r="H348" s="1" t="s">
        <v>14</v>
      </c>
      <c r="I348" s="1" t="s">
        <v>20</v>
      </c>
      <c r="J348" s="1" t="n">
        <v>6</v>
      </c>
    </row>
    <row r="349" customFormat="false" ht="15" hidden="false" customHeight="false" outlineLevel="0" collapsed="false">
      <c r="A349" s="1" t="s">
        <v>670</v>
      </c>
      <c r="B349" s="4" t="n">
        <v>45896</v>
      </c>
      <c r="C349" s="1" t="s">
        <v>661</v>
      </c>
      <c r="D349" s="1" t="s">
        <v>94</v>
      </c>
      <c r="E349" s="1" t="n">
        <v>2</v>
      </c>
      <c r="F349" s="5" t="n">
        <v>0.25</v>
      </c>
      <c r="G349" s="1" t="s">
        <v>24</v>
      </c>
      <c r="H349" s="1" t="s">
        <v>53</v>
      </c>
      <c r="I349" s="1" t="s">
        <v>20</v>
      </c>
      <c r="J349" s="1" t="n">
        <v>7</v>
      </c>
    </row>
    <row r="350" customFormat="false" ht="15" hidden="false" customHeight="false" outlineLevel="0" collapsed="false">
      <c r="A350" s="1" t="s">
        <v>671</v>
      </c>
      <c r="B350" s="4" t="n">
        <v>45998</v>
      </c>
      <c r="C350" s="1" t="s">
        <v>88</v>
      </c>
      <c r="D350" s="1" t="s">
        <v>67</v>
      </c>
      <c r="E350" s="1" t="n">
        <v>2</v>
      </c>
      <c r="F350" s="5" t="n">
        <v>0.1</v>
      </c>
      <c r="G350" s="1" t="s">
        <v>34</v>
      </c>
      <c r="H350" s="1" t="s">
        <v>14</v>
      </c>
      <c r="I350" s="1" t="s">
        <v>38</v>
      </c>
      <c r="J350" s="1" t="n">
        <v>3</v>
      </c>
    </row>
    <row r="351" customFormat="false" ht="15" hidden="false" customHeight="false" outlineLevel="0" collapsed="false">
      <c r="A351" s="1" t="s">
        <v>672</v>
      </c>
      <c r="B351" s="4" t="n">
        <v>45846</v>
      </c>
      <c r="C351" s="1" t="s">
        <v>66</v>
      </c>
      <c r="D351" s="1" t="s">
        <v>162</v>
      </c>
      <c r="E351" s="1" t="n">
        <v>1</v>
      </c>
      <c r="F351" s="5" t="n">
        <v>0.05</v>
      </c>
      <c r="G351" s="1" t="s">
        <v>24</v>
      </c>
      <c r="H351" s="1" t="s">
        <v>14</v>
      </c>
      <c r="I351" s="1" t="s">
        <v>38</v>
      </c>
      <c r="J351" s="1" t="n">
        <v>7</v>
      </c>
    </row>
    <row r="352" customFormat="false" ht="15" hidden="false" customHeight="false" outlineLevel="0" collapsed="false">
      <c r="A352" s="1" t="s">
        <v>673</v>
      </c>
      <c r="B352" s="4" t="n">
        <v>45762</v>
      </c>
      <c r="C352" s="1" t="s">
        <v>236</v>
      </c>
      <c r="D352" s="1" t="s">
        <v>94</v>
      </c>
      <c r="E352" s="1" t="n">
        <v>1</v>
      </c>
      <c r="F352" s="5" t="n">
        <v>0</v>
      </c>
      <c r="G352" s="1" t="s">
        <v>24</v>
      </c>
      <c r="H352" s="1" t="s">
        <v>14</v>
      </c>
      <c r="I352" s="1" t="s">
        <v>20</v>
      </c>
      <c r="J352" s="1" t="n">
        <v>6</v>
      </c>
    </row>
    <row r="353" customFormat="false" ht="15" hidden="false" customHeight="false" outlineLevel="0" collapsed="false">
      <c r="A353" s="1" t="s">
        <v>674</v>
      </c>
      <c r="B353" s="4" t="n">
        <v>45817</v>
      </c>
      <c r="C353" s="1" t="s">
        <v>124</v>
      </c>
      <c r="D353" s="1" t="s">
        <v>33</v>
      </c>
      <c r="E353" s="1" t="n">
        <v>1</v>
      </c>
      <c r="F353" s="5" t="n">
        <v>0.05</v>
      </c>
      <c r="G353" s="1" t="s">
        <v>34</v>
      </c>
      <c r="H353" s="1" t="s">
        <v>14</v>
      </c>
      <c r="I353" s="1" t="s">
        <v>38</v>
      </c>
      <c r="J353" s="1" t="n">
        <v>5</v>
      </c>
    </row>
    <row r="354" customFormat="false" ht="15" hidden="false" customHeight="false" outlineLevel="0" collapsed="false">
      <c r="A354" s="1" t="s">
        <v>675</v>
      </c>
      <c r="B354" s="4" t="n">
        <v>45711</v>
      </c>
      <c r="C354" s="1" t="s">
        <v>205</v>
      </c>
      <c r="D354" s="1" t="s">
        <v>143</v>
      </c>
      <c r="E354" s="1" t="n">
        <v>1</v>
      </c>
      <c r="F354" s="5" t="n">
        <v>0.1</v>
      </c>
      <c r="G354" s="1" t="s">
        <v>71</v>
      </c>
      <c r="H354" s="1" t="s">
        <v>14</v>
      </c>
      <c r="I354" s="1" t="s">
        <v>38</v>
      </c>
      <c r="J354" s="1" t="n">
        <v>5</v>
      </c>
    </row>
    <row r="355" customFormat="false" ht="15" hidden="false" customHeight="false" outlineLevel="0" collapsed="false">
      <c r="A355" s="1" t="s">
        <v>676</v>
      </c>
      <c r="B355" s="4" t="n">
        <v>45913</v>
      </c>
      <c r="C355" s="1" t="s">
        <v>431</v>
      </c>
      <c r="D355" s="1" t="s">
        <v>44</v>
      </c>
      <c r="E355" s="1" t="n">
        <v>1</v>
      </c>
      <c r="F355" s="5" t="n">
        <v>0.15</v>
      </c>
      <c r="G355" s="1" t="s">
        <v>52</v>
      </c>
      <c r="H355" s="1" t="s">
        <v>14</v>
      </c>
      <c r="I355" s="1" t="s">
        <v>15</v>
      </c>
      <c r="J355" s="1" t="n">
        <v>7</v>
      </c>
    </row>
    <row r="356" customFormat="false" ht="15" hidden="false" customHeight="false" outlineLevel="0" collapsed="false">
      <c r="A356" s="1" t="s">
        <v>677</v>
      </c>
      <c r="B356" s="4" t="n">
        <v>46007</v>
      </c>
      <c r="C356" s="1" t="s">
        <v>194</v>
      </c>
      <c r="D356" s="1" t="s">
        <v>240</v>
      </c>
      <c r="E356" s="1" t="n">
        <v>1</v>
      </c>
      <c r="F356" s="5" t="n">
        <v>0.1</v>
      </c>
      <c r="G356" s="1" t="s">
        <v>19</v>
      </c>
      <c r="H356" s="1" t="s">
        <v>14</v>
      </c>
      <c r="I356" s="1" t="s">
        <v>38</v>
      </c>
      <c r="J356" s="1" t="n">
        <v>8</v>
      </c>
    </row>
    <row r="357" customFormat="false" ht="15" hidden="false" customHeight="false" outlineLevel="0" collapsed="false">
      <c r="A357" s="1" t="s">
        <v>678</v>
      </c>
      <c r="B357" s="4" t="n">
        <v>45683</v>
      </c>
      <c r="C357" s="1" t="s">
        <v>205</v>
      </c>
      <c r="D357" s="1" t="s">
        <v>245</v>
      </c>
      <c r="E357" s="1" t="n">
        <v>1</v>
      </c>
      <c r="F357" s="5" t="n">
        <v>0</v>
      </c>
      <c r="G357" s="1" t="s">
        <v>19</v>
      </c>
      <c r="H357" s="1" t="s">
        <v>14</v>
      </c>
      <c r="I357" s="1" t="s">
        <v>20</v>
      </c>
      <c r="J357" s="1" t="n">
        <v>3</v>
      </c>
    </row>
    <row r="358" customFormat="false" ht="15" hidden="false" customHeight="false" outlineLevel="0" collapsed="false">
      <c r="A358" s="1" t="s">
        <v>679</v>
      </c>
      <c r="B358" s="4" t="n">
        <v>45775</v>
      </c>
      <c r="C358" s="1" t="s">
        <v>203</v>
      </c>
      <c r="D358" s="1" t="s">
        <v>109</v>
      </c>
      <c r="E358" s="1" t="n">
        <v>1</v>
      </c>
      <c r="F358" s="5" t="n">
        <v>0</v>
      </c>
      <c r="G358" s="1" t="s">
        <v>34</v>
      </c>
      <c r="H358" s="1" t="s">
        <v>53</v>
      </c>
      <c r="I358" s="1" t="s">
        <v>20</v>
      </c>
      <c r="J358" s="1" t="n">
        <v>8</v>
      </c>
    </row>
    <row r="359" customFormat="false" ht="15" hidden="false" customHeight="false" outlineLevel="0" collapsed="false">
      <c r="A359" s="1" t="s">
        <v>680</v>
      </c>
      <c r="B359" s="4" t="n">
        <v>45823</v>
      </c>
      <c r="C359" s="1" t="s">
        <v>194</v>
      </c>
      <c r="D359" s="1" t="s">
        <v>335</v>
      </c>
      <c r="E359" s="1" t="n">
        <v>1</v>
      </c>
      <c r="F359" s="5" t="n">
        <v>0.1</v>
      </c>
      <c r="G359" s="1" t="s">
        <v>24</v>
      </c>
      <c r="H359" s="1" t="s">
        <v>14</v>
      </c>
      <c r="I359" s="1" t="s">
        <v>20</v>
      </c>
      <c r="J359" s="1" t="n">
        <v>7</v>
      </c>
    </row>
    <row r="360" customFormat="false" ht="15" hidden="false" customHeight="false" outlineLevel="0" collapsed="false">
      <c r="A360" s="1" t="s">
        <v>681</v>
      </c>
      <c r="B360" s="4" t="n">
        <v>45767</v>
      </c>
      <c r="C360" s="1" t="s">
        <v>438</v>
      </c>
      <c r="D360" s="1" t="s">
        <v>186</v>
      </c>
      <c r="E360" s="1" t="n">
        <v>1</v>
      </c>
      <c r="F360" s="5" t="n">
        <v>0.25</v>
      </c>
      <c r="G360" s="1" t="s">
        <v>19</v>
      </c>
      <c r="H360" s="1" t="s">
        <v>14</v>
      </c>
      <c r="I360" s="1" t="s">
        <v>20</v>
      </c>
      <c r="J360" s="1" t="n">
        <v>3</v>
      </c>
    </row>
    <row r="361" customFormat="false" ht="15" hidden="false" customHeight="false" outlineLevel="0" collapsed="false">
      <c r="A361" s="1" t="s">
        <v>682</v>
      </c>
      <c r="B361" s="4" t="n">
        <v>45781</v>
      </c>
      <c r="C361" s="1" t="s">
        <v>80</v>
      </c>
      <c r="D361" s="1" t="s">
        <v>197</v>
      </c>
      <c r="E361" s="1" t="n">
        <v>1</v>
      </c>
      <c r="F361" s="5" t="n">
        <v>0.15</v>
      </c>
      <c r="G361" s="1" t="s">
        <v>24</v>
      </c>
      <c r="H361" s="1" t="s">
        <v>53</v>
      </c>
      <c r="I361" s="1" t="s">
        <v>20</v>
      </c>
      <c r="J361" s="1" t="n">
        <v>2</v>
      </c>
    </row>
    <row r="362" customFormat="false" ht="15" hidden="false" customHeight="false" outlineLevel="0" collapsed="false">
      <c r="A362" s="1" t="s">
        <v>683</v>
      </c>
      <c r="B362" s="4" t="n">
        <v>45913</v>
      </c>
      <c r="C362" s="1" t="s">
        <v>684</v>
      </c>
      <c r="D362" s="1" t="s">
        <v>328</v>
      </c>
      <c r="E362" s="1" t="n">
        <v>1</v>
      </c>
      <c r="F362" s="5" t="n">
        <v>0</v>
      </c>
      <c r="G362" s="1" t="s">
        <v>52</v>
      </c>
      <c r="H362" s="1" t="s">
        <v>92</v>
      </c>
      <c r="I362" s="1" t="s">
        <v>20</v>
      </c>
    </row>
    <row r="363" customFormat="false" ht="15" hidden="false" customHeight="false" outlineLevel="0" collapsed="false">
      <c r="A363" s="1" t="s">
        <v>685</v>
      </c>
      <c r="B363" s="4" t="n">
        <v>45808</v>
      </c>
      <c r="C363" s="1" t="s">
        <v>302</v>
      </c>
      <c r="D363" s="1" t="s">
        <v>328</v>
      </c>
      <c r="E363" s="1" t="n">
        <v>4</v>
      </c>
      <c r="F363" s="5" t="n">
        <v>0.05</v>
      </c>
      <c r="G363" s="1" t="s">
        <v>13</v>
      </c>
      <c r="H363" s="1" t="s">
        <v>53</v>
      </c>
      <c r="I363" s="1" t="s">
        <v>15</v>
      </c>
      <c r="J363" s="1" t="n">
        <v>3</v>
      </c>
    </row>
    <row r="364" customFormat="false" ht="15" hidden="false" customHeight="false" outlineLevel="0" collapsed="false">
      <c r="A364" s="1" t="s">
        <v>686</v>
      </c>
      <c r="B364" s="4" t="n">
        <v>45786</v>
      </c>
      <c r="C364" s="1" t="s">
        <v>415</v>
      </c>
      <c r="D364" s="1" t="s">
        <v>103</v>
      </c>
      <c r="E364" s="1" t="n">
        <v>2</v>
      </c>
      <c r="F364" s="5" t="n">
        <v>0</v>
      </c>
      <c r="G364" s="1" t="s">
        <v>24</v>
      </c>
      <c r="H364" s="1" t="s">
        <v>14</v>
      </c>
      <c r="I364" s="1" t="s">
        <v>38</v>
      </c>
      <c r="J364" s="1" t="n">
        <v>8</v>
      </c>
    </row>
    <row r="365" customFormat="false" ht="15" hidden="false" customHeight="false" outlineLevel="0" collapsed="false">
      <c r="A365" s="1" t="s">
        <v>687</v>
      </c>
      <c r="B365" s="4" t="n">
        <v>45695</v>
      </c>
      <c r="C365" s="1" t="s">
        <v>688</v>
      </c>
      <c r="D365" s="1" t="s">
        <v>143</v>
      </c>
      <c r="E365" s="1" t="n">
        <v>4</v>
      </c>
      <c r="F365" s="5" t="n">
        <v>0.15</v>
      </c>
      <c r="G365" s="1" t="s">
        <v>52</v>
      </c>
      <c r="H365" s="1" t="s">
        <v>14</v>
      </c>
      <c r="I365" s="1" t="s">
        <v>20</v>
      </c>
      <c r="J365" s="1" t="n">
        <v>8</v>
      </c>
    </row>
    <row r="366" customFormat="false" ht="15" hidden="false" customHeight="false" outlineLevel="0" collapsed="false">
      <c r="A366" s="1" t="s">
        <v>689</v>
      </c>
      <c r="B366" s="4" t="n">
        <v>45746</v>
      </c>
      <c r="C366" s="1" t="s">
        <v>548</v>
      </c>
      <c r="D366" s="1" t="s">
        <v>323</v>
      </c>
      <c r="E366" s="1" t="n">
        <v>1</v>
      </c>
      <c r="F366" s="5" t="n">
        <v>0</v>
      </c>
      <c r="G366" s="1" t="s">
        <v>24</v>
      </c>
      <c r="H366" s="1" t="s">
        <v>53</v>
      </c>
      <c r="I366" s="1" t="s">
        <v>15</v>
      </c>
      <c r="J366" s="1" t="n">
        <v>3</v>
      </c>
    </row>
    <row r="367" customFormat="false" ht="15" hidden="false" customHeight="false" outlineLevel="0" collapsed="false">
      <c r="A367" s="1" t="s">
        <v>690</v>
      </c>
      <c r="B367" s="4" t="n">
        <v>45757</v>
      </c>
      <c r="C367" s="1" t="s">
        <v>691</v>
      </c>
      <c r="D367" s="1" t="s">
        <v>122</v>
      </c>
      <c r="E367" s="1" t="n">
        <v>3</v>
      </c>
      <c r="F367" s="5" t="n">
        <v>0.15</v>
      </c>
      <c r="G367" s="1" t="s">
        <v>52</v>
      </c>
      <c r="H367" s="1" t="s">
        <v>14</v>
      </c>
      <c r="I367" s="1" t="s">
        <v>15</v>
      </c>
      <c r="J367" s="1" t="n">
        <v>7</v>
      </c>
    </row>
    <row r="368" customFormat="false" ht="15" hidden="false" customHeight="false" outlineLevel="0" collapsed="false">
      <c r="A368" s="1" t="s">
        <v>692</v>
      </c>
      <c r="B368" s="4" t="n">
        <v>45930</v>
      </c>
      <c r="C368" s="1" t="s">
        <v>693</v>
      </c>
      <c r="D368" s="1" t="s">
        <v>220</v>
      </c>
      <c r="E368" s="1" t="n">
        <v>1</v>
      </c>
      <c r="F368" s="5" t="n">
        <v>0.05</v>
      </c>
      <c r="G368" s="1" t="s">
        <v>34</v>
      </c>
      <c r="H368" s="1" t="s">
        <v>14</v>
      </c>
      <c r="I368" s="1" t="s">
        <v>15</v>
      </c>
      <c r="J368" s="1" t="n">
        <v>4</v>
      </c>
    </row>
    <row r="369" customFormat="false" ht="15" hidden="false" customHeight="false" outlineLevel="0" collapsed="false">
      <c r="A369" s="1" t="s">
        <v>694</v>
      </c>
      <c r="B369" s="4" t="n">
        <v>45868</v>
      </c>
      <c r="C369" s="1" t="s">
        <v>91</v>
      </c>
      <c r="D369" s="1" t="s">
        <v>362</v>
      </c>
      <c r="E369" s="1" t="n">
        <v>4</v>
      </c>
      <c r="F369" s="5" t="n">
        <v>0</v>
      </c>
      <c r="G369" s="1" t="s">
        <v>13</v>
      </c>
      <c r="H369" s="1" t="s">
        <v>14</v>
      </c>
      <c r="I369" s="1" t="s">
        <v>15</v>
      </c>
      <c r="J369" s="1" t="n">
        <v>5</v>
      </c>
    </row>
    <row r="370" customFormat="false" ht="15" hidden="false" customHeight="false" outlineLevel="0" collapsed="false">
      <c r="A370" s="1" t="s">
        <v>695</v>
      </c>
      <c r="B370" s="4" t="n">
        <v>45692</v>
      </c>
      <c r="C370" s="1" t="s">
        <v>696</v>
      </c>
      <c r="D370" s="1" t="s">
        <v>117</v>
      </c>
      <c r="E370" s="1" t="n">
        <v>1</v>
      </c>
      <c r="F370" s="5" t="n">
        <v>0</v>
      </c>
      <c r="G370" s="1" t="s">
        <v>24</v>
      </c>
      <c r="H370" s="1" t="s">
        <v>14</v>
      </c>
      <c r="I370" s="1" t="s">
        <v>20</v>
      </c>
      <c r="J370" s="1" t="n">
        <v>2</v>
      </c>
    </row>
    <row r="371" customFormat="false" ht="15" hidden="false" customHeight="false" outlineLevel="0" collapsed="false">
      <c r="A371" s="1" t="s">
        <v>697</v>
      </c>
      <c r="B371" s="4" t="n">
        <v>46011</v>
      </c>
      <c r="C371" s="1" t="s">
        <v>194</v>
      </c>
      <c r="D371" s="1" t="s">
        <v>106</v>
      </c>
      <c r="E371" s="1" t="n">
        <v>1</v>
      </c>
      <c r="F371" s="5" t="n">
        <v>0.15</v>
      </c>
      <c r="G371" s="1" t="s">
        <v>71</v>
      </c>
      <c r="H371" s="1" t="s">
        <v>45</v>
      </c>
      <c r="I371" s="1" t="s">
        <v>20</v>
      </c>
    </row>
    <row r="372" customFormat="false" ht="15" hidden="false" customHeight="false" outlineLevel="0" collapsed="false">
      <c r="A372" s="1" t="s">
        <v>698</v>
      </c>
      <c r="B372" s="4" t="n">
        <v>45836</v>
      </c>
      <c r="C372" s="1" t="s">
        <v>188</v>
      </c>
      <c r="D372" s="1" t="s">
        <v>624</v>
      </c>
      <c r="E372" s="1" t="n">
        <v>2</v>
      </c>
      <c r="F372" s="5" t="n">
        <v>0.05</v>
      </c>
      <c r="G372" s="1" t="s">
        <v>34</v>
      </c>
      <c r="H372" s="1" t="s">
        <v>14</v>
      </c>
      <c r="I372" s="1" t="s">
        <v>38</v>
      </c>
      <c r="J372" s="1" t="n">
        <v>5</v>
      </c>
    </row>
    <row r="373" customFormat="false" ht="15" hidden="false" customHeight="false" outlineLevel="0" collapsed="false">
      <c r="A373" s="1" t="s">
        <v>699</v>
      </c>
      <c r="B373" s="4" t="n">
        <v>45898</v>
      </c>
      <c r="C373" s="1" t="s">
        <v>259</v>
      </c>
      <c r="D373" s="1" t="s">
        <v>294</v>
      </c>
      <c r="E373" s="1" t="n">
        <v>1</v>
      </c>
      <c r="F373" s="5" t="n">
        <v>0.1</v>
      </c>
      <c r="G373" s="1" t="s">
        <v>52</v>
      </c>
      <c r="H373" s="1" t="s">
        <v>14</v>
      </c>
      <c r="I373" s="1" t="s">
        <v>38</v>
      </c>
      <c r="J373" s="1" t="n">
        <v>7</v>
      </c>
    </row>
    <row r="374" customFormat="false" ht="15" hidden="false" customHeight="false" outlineLevel="0" collapsed="false">
      <c r="A374" s="1" t="s">
        <v>700</v>
      </c>
      <c r="B374" s="4" t="n">
        <v>45944</v>
      </c>
      <c r="C374" s="1" t="s">
        <v>61</v>
      </c>
      <c r="D374" s="1" t="s">
        <v>100</v>
      </c>
      <c r="E374" s="1" t="n">
        <v>1</v>
      </c>
      <c r="F374" s="5" t="n">
        <v>0.2</v>
      </c>
      <c r="G374" s="1" t="s">
        <v>52</v>
      </c>
      <c r="H374" s="1" t="s">
        <v>14</v>
      </c>
      <c r="I374" s="1" t="s">
        <v>20</v>
      </c>
      <c r="J374" s="1" t="n">
        <v>2</v>
      </c>
    </row>
    <row r="375" customFormat="false" ht="15" hidden="false" customHeight="false" outlineLevel="0" collapsed="false">
      <c r="A375" s="1" t="s">
        <v>701</v>
      </c>
      <c r="B375" s="4" t="n">
        <v>45857</v>
      </c>
      <c r="C375" s="1" t="s">
        <v>702</v>
      </c>
      <c r="D375" s="1" t="s">
        <v>493</v>
      </c>
      <c r="E375" s="1" t="n">
        <v>1</v>
      </c>
      <c r="F375" s="5" t="n">
        <v>0.2</v>
      </c>
      <c r="G375" s="1" t="s">
        <v>19</v>
      </c>
      <c r="H375" s="1" t="s">
        <v>92</v>
      </c>
      <c r="I375" s="1" t="s">
        <v>15</v>
      </c>
    </row>
    <row r="376" customFormat="false" ht="15" hidden="false" customHeight="false" outlineLevel="0" collapsed="false">
      <c r="A376" s="1" t="s">
        <v>703</v>
      </c>
      <c r="B376" s="4" t="n">
        <v>45859</v>
      </c>
      <c r="C376" s="1" t="s">
        <v>501</v>
      </c>
      <c r="D376" s="1" t="s">
        <v>578</v>
      </c>
      <c r="E376" s="1" t="n">
        <v>1</v>
      </c>
      <c r="F376" s="5" t="n">
        <v>0.15</v>
      </c>
      <c r="G376" s="1" t="s">
        <v>24</v>
      </c>
      <c r="H376" s="1" t="s">
        <v>14</v>
      </c>
      <c r="I376" s="1" t="s">
        <v>20</v>
      </c>
      <c r="J376" s="1" t="n">
        <v>5</v>
      </c>
    </row>
    <row r="377" customFormat="false" ht="15" hidden="false" customHeight="false" outlineLevel="0" collapsed="false">
      <c r="A377" s="1" t="s">
        <v>704</v>
      </c>
      <c r="B377" s="4" t="n">
        <v>45765</v>
      </c>
      <c r="C377" s="1" t="s">
        <v>651</v>
      </c>
      <c r="D377" s="1" t="s">
        <v>74</v>
      </c>
      <c r="E377" s="1" t="n">
        <v>1</v>
      </c>
      <c r="F377" s="5" t="n">
        <v>0.1</v>
      </c>
      <c r="G377" s="1" t="s">
        <v>13</v>
      </c>
      <c r="H377" s="1" t="s">
        <v>14</v>
      </c>
      <c r="I377" s="1" t="s">
        <v>20</v>
      </c>
      <c r="J377" s="1" t="n">
        <v>5</v>
      </c>
    </row>
    <row r="378" customFormat="false" ht="15" hidden="false" customHeight="false" outlineLevel="0" collapsed="false">
      <c r="A378" s="1" t="s">
        <v>705</v>
      </c>
      <c r="B378" s="4" t="n">
        <v>45667</v>
      </c>
      <c r="C378" s="1" t="s">
        <v>706</v>
      </c>
      <c r="D378" s="1" t="s">
        <v>74</v>
      </c>
      <c r="E378" s="1" t="n">
        <v>5</v>
      </c>
      <c r="F378" s="5" t="n">
        <v>0.05</v>
      </c>
      <c r="G378" s="1" t="s">
        <v>71</v>
      </c>
      <c r="H378" s="1" t="s">
        <v>53</v>
      </c>
      <c r="I378" s="1" t="s">
        <v>38</v>
      </c>
      <c r="J378" s="1" t="n">
        <v>5</v>
      </c>
    </row>
    <row r="379" customFormat="false" ht="15" hidden="false" customHeight="false" outlineLevel="0" collapsed="false">
      <c r="A379" s="1" t="s">
        <v>707</v>
      </c>
      <c r="B379" s="4" t="n">
        <v>45795</v>
      </c>
      <c r="C379" s="1" t="s">
        <v>452</v>
      </c>
      <c r="D379" s="1" t="s">
        <v>323</v>
      </c>
      <c r="E379" s="1" t="n">
        <v>3</v>
      </c>
      <c r="F379" s="5" t="n">
        <v>0.05</v>
      </c>
      <c r="G379" s="1" t="s">
        <v>34</v>
      </c>
      <c r="H379" s="1" t="s">
        <v>14</v>
      </c>
      <c r="I379" s="1" t="s">
        <v>15</v>
      </c>
      <c r="J379" s="1" t="n">
        <v>6</v>
      </c>
    </row>
    <row r="380" customFormat="false" ht="15" hidden="false" customHeight="false" outlineLevel="0" collapsed="false">
      <c r="A380" s="1" t="s">
        <v>708</v>
      </c>
      <c r="B380" s="4" t="n">
        <v>45801</v>
      </c>
      <c r="C380" s="1" t="s">
        <v>507</v>
      </c>
      <c r="D380" s="1" t="s">
        <v>176</v>
      </c>
      <c r="E380" s="1" t="n">
        <v>2</v>
      </c>
      <c r="F380" s="5" t="n">
        <v>0.2</v>
      </c>
      <c r="G380" s="1" t="s">
        <v>19</v>
      </c>
      <c r="H380" s="1" t="s">
        <v>14</v>
      </c>
      <c r="I380" s="1" t="s">
        <v>15</v>
      </c>
      <c r="J380" s="1" t="n">
        <v>3</v>
      </c>
    </row>
    <row r="381" customFormat="false" ht="15" hidden="false" customHeight="false" outlineLevel="0" collapsed="false">
      <c r="A381" s="1" t="s">
        <v>709</v>
      </c>
      <c r="B381" s="4" t="n">
        <v>45984</v>
      </c>
      <c r="C381" s="1" t="s">
        <v>608</v>
      </c>
      <c r="D381" s="1" t="s">
        <v>51</v>
      </c>
      <c r="E381" s="1" t="n">
        <v>1</v>
      </c>
      <c r="F381" s="5" t="n">
        <v>0</v>
      </c>
      <c r="G381" s="1" t="s">
        <v>19</v>
      </c>
      <c r="H381" s="1" t="s">
        <v>14</v>
      </c>
      <c r="I381" s="1" t="s">
        <v>15</v>
      </c>
      <c r="J381" s="1" t="n">
        <v>2</v>
      </c>
    </row>
    <row r="382" customFormat="false" ht="15" hidden="false" customHeight="false" outlineLevel="0" collapsed="false">
      <c r="A382" s="1" t="s">
        <v>710</v>
      </c>
      <c r="B382" s="4" t="n">
        <v>45873</v>
      </c>
      <c r="C382" s="1" t="s">
        <v>173</v>
      </c>
      <c r="D382" s="1" t="s">
        <v>70</v>
      </c>
      <c r="E382" s="1" t="n">
        <v>5</v>
      </c>
      <c r="F382" s="5" t="n">
        <v>0.25</v>
      </c>
      <c r="G382" s="1" t="s">
        <v>52</v>
      </c>
      <c r="H382" s="1" t="s">
        <v>92</v>
      </c>
      <c r="I382" s="1" t="s">
        <v>15</v>
      </c>
    </row>
    <row r="383" customFormat="false" ht="15" hidden="false" customHeight="false" outlineLevel="0" collapsed="false">
      <c r="A383" s="1" t="s">
        <v>711</v>
      </c>
      <c r="B383" s="4" t="n">
        <v>45896</v>
      </c>
      <c r="C383" s="1" t="s">
        <v>300</v>
      </c>
      <c r="D383" s="1" t="s">
        <v>270</v>
      </c>
      <c r="E383" s="1" t="n">
        <v>1</v>
      </c>
      <c r="F383" s="5" t="n">
        <v>0.05</v>
      </c>
      <c r="G383" s="1" t="s">
        <v>52</v>
      </c>
      <c r="H383" s="1" t="s">
        <v>45</v>
      </c>
      <c r="I383" s="1" t="s">
        <v>20</v>
      </c>
    </row>
    <row r="384" customFormat="false" ht="15" hidden="false" customHeight="false" outlineLevel="0" collapsed="false">
      <c r="A384" s="1" t="s">
        <v>712</v>
      </c>
      <c r="B384" s="4" t="n">
        <v>46001</v>
      </c>
      <c r="C384" s="1" t="s">
        <v>713</v>
      </c>
      <c r="D384" s="1" t="s">
        <v>375</v>
      </c>
      <c r="E384" s="1" t="n">
        <v>2</v>
      </c>
      <c r="F384" s="5" t="n">
        <v>0.05</v>
      </c>
      <c r="G384" s="1" t="s">
        <v>34</v>
      </c>
      <c r="H384" s="1" t="s">
        <v>14</v>
      </c>
      <c r="I384" s="1" t="s">
        <v>15</v>
      </c>
      <c r="J384" s="1" t="n">
        <v>8</v>
      </c>
    </row>
    <row r="385" customFormat="false" ht="15" hidden="false" customHeight="false" outlineLevel="0" collapsed="false">
      <c r="A385" s="1" t="s">
        <v>714</v>
      </c>
      <c r="B385" s="4" t="n">
        <v>45897</v>
      </c>
      <c r="C385" s="1" t="s">
        <v>239</v>
      </c>
      <c r="D385" s="1" t="s">
        <v>286</v>
      </c>
      <c r="E385" s="1" t="n">
        <v>5</v>
      </c>
      <c r="F385" s="5" t="n">
        <v>0.15</v>
      </c>
      <c r="G385" s="1" t="s">
        <v>52</v>
      </c>
      <c r="H385" s="1" t="s">
        <v>14</v>
      </c>
      <c r="I385" s="1" t="s">
        <v>15</v>
      </c>
      <c r="J385" s="1" t="n">
        <v>8</v>
      </c>
    </row>
    <row r="386" customFormat="false" ht="15" hidden="false" customHeight="false" outlineLevel="0" collapsed="false">
      <c r="A386" s="1" t="s">
        <v>715</v>
      </c>
      <c r="B386" s="4" t="n">
        <v>45835</v>
      </c>
      <c r="C386" s="1" t="s">
        <v>591</v>
      </c>
      <c r="D386" s="1" t="s">
        <v>30</v>
      </c>
      <c r="E386" s="1" t="n">
        <v>1</v>
      </c>
      <c r="F386" s="5" t="n">
        <v>0.1</v>
      </c>
      <c r="G386" s="1" t="s">
        <v>19</v>
      </c>
      <c r="H386" s="1" t="s">
        <v>45</v>
      </c>
      <c r="I386" s="1" t="s">
        <v>20</v>
      </c>
    </row>
    <row r="387" customFormat="false" ht="15" hidden="false" customHeight="false" outlineLevel="0" collapsed="false">
      <c r="A387" s="1" t="s">
        <v>716</v>
      </c>
      <c r="B387" s="4" t="n">
        <v>45830</v>
      </c>
      <c r="C387" s="1" t="s">
        <v>331</v>
      </c>
      <c r="D387" s="1" t="s">
        <v>487</v>
      </c>
      <c r="E387" s="1" t="n">
        <v>4</v>
      </c>
      <c r="F387" s="5" t="n">
        <v>0.05</v>
      </c>
      <c r="G387" s="1" t="s">
        <v>52</v>
      </c>
      <c r="H387" s="1" t="s">
        <v>14</v>
      </c>
      <c r="I387" s="1" t="s">
        <v>20</v>
      </c>
      <c r="J387" s="1" t="n">
        <v>1</v>
      </c>
    </row>
    <row r="388" customFormat="false" ht="15" hidden="false" customHeight="false" outlineLevel="0" collapsed="false">
      <c r="A388" s="1" t="s">
        <v>717</v>
      </c>
      <c r="B388" s="4" t="n">
        <v>45822</v>
      </c>
      <c r="C388" s="1" t="s">
        <v>99</v>
      </c>
      <c r="D388" s="1" t="s">
        <v>58</v>
      </c>
      <c r="E388" s="1" t="n">
        <v>2</v>
      </c>
      <c r="F388" s="5" t="n">
        <v>0.15</v>
      </c>
      <c r="G388" s="1" t="s">
        <v>24</v>
      </c>
      <c r="H388" s="1" t="s">
        <v>14</v>
      </c>
      <c r="I388" s="1" t="s">
        <v>15</v>
      </c>
      <c r="J388" s="1" t="n">
        <v>1</v>
      </c>
    </row>
    <row r="389" customFormat="false" ht="15" hidden="false" customHeight="false" outlineLevel="0" collapsed="false">
      <c r="A389" s="1" t="s">
        <v>718</v>
      </c>
      <c r="B389" s="4" t="n">
        <v>45964</v>
      </c>
      <c r="C389" s="1" t="s">
        <v>364</v>
      </c>
      <c r="D389" s="1" t="s">
        <v>371</v>
      </c>
      <c r="E389" s="1" t="n">
        <v>1</v>
      </c>
      <c r="F389" s="5" t="n">
        <v>0.25</v>
      </c>
      <c r="G389" s="1" t="s">
        <v>52</v>
      </c>
      <c r="H389" s="1" t="s">
        <v>53</v>
      </c>
      <c r="I389" s="1" t="s">
        <v>15</v>
      </c>
      <c r="J389" s="1" t="n">
        <v>4</v>
      </c>
    </row>
    <row r="390" customFormat="false" ht="15" hidden="false" customHeight="false" outlineLevel="0" collapsed="false">
      <c r="A390" s="1" t="s">
        <v>719</v>
      </c>
      <c r="B390" s="4" t="n">
        <v>45970</v>
      </c>
      <c r="C390" s="1" t="s">
        <v>288</v>
      </c>
      <c r="D390" s="1" t="s">
        <v>44</v>
      </c>
      <c r="E390" s="1" t="n">
        <v>3</v>
      </c>
      <c r="F390" s="5" t="n">
        <v>0.05</v>
      </c>
      <c r="G390" s="1" t="s">
        <v>34</v>
      </c>
      <c r="H390" s="1" t="s">
        <v>14</v>
      </c>
      <c r="I390" s="1" t="s">
        <v>38</v>
      </c>
      <c r="J390" s="1" t="n">
        <v>6</v>
      </c>
    </row>
    <row r="391" customFormat="false" ht="15" hidden="false" customHeight="false" outlineLevel="0" collapsed="false">
      <c r="A391" s="1" t="s">
        <v>720</v>
      </c>
      <c r="B391" s="4" t="n">
        <v>45934</v>
      </c>
      <c r="C391" s="1" t="s">
        <v>721</v>
      </c>
      <c r="D391" s="1" t="s">
        <v>399</v>
      </c>
      <c r="E391" s="1" t="n">
        <v>2</v>
      </c>
      <c r="F391" s="5" t="n">
        <v>0.15</v>
      </c>
      <c r="G391" s="1" t="s">
        <v>24</v>
      </c>
      <c r="H391" s="1" t="s">
        <v>92</v>
      </c>
      <c r="I391" s="1" t="s">
        <v>20</v>
      </c>
    </row>
    <row r="392" customFormat="false" ht="15" hidden="false" customHeight="false" outlineLevel="0" collapsed="false">
      <c r="A392" s="1" t="s">
        <v>722</v>
      </c>
      <c r="B392" s="4" t="n">
        <v>45910</v>
      </c>
      <c r="C392" s="1" t="s">
        <v>36</v>
      </c>
      <c r="D392" s="1" t="s">
        <v>286</v>
      </c>
      <c r="E392" s="1" t="n">
        <v>1</v>
      </c>
      <c r="F392" s="5" t="n">
        <v>0.1</v>
      </c>
      <c r="G392" s="1" t="s">
        <v>34</v>
      </c>
      <c r="H392" s="1" t="s">
        <v>14</v>
      </c>
      <c r="I392" s="1" t="s">
        <v>15</v>
      </c>
      <c r="J392" s="1" t="n">
        <v>3</v>
      </c>
    </row>
    <row r="393" customFormat="false" ht="15" hidden="false" customHeight="false" outlineLevel="0" collapsed="false">
      <c r="A393" s="1" t="s">
        <v>723</v>
      </c>
      <c r="B393" s="4" t="n">
        <v>45959</v>
      </c>
      <c r="C393" s="1" t="s">
        <v>696</v>
      </c>
      <c r="D393" s="1" t="s">
        <v>554</v>
      </c>
      <c r="E393" s="1" t="n">
        <v>2</v>
      </c>
      <c r="F393" s="5" t="n">
        <v>0.2</v>
      </c>
      <c r="G393" s="1" t="s">
        <v>52</v>
      </c>
      <c r="H393" s="1" t="s">
        <v>14</v>
      </c>
      <c r="I393" s="1" t="s">
        <v>20</v>
      </c>
      <c r="J393" s="1" t="n">
        <v>6</v>
      </c>
    </row>
    <row r="394" customFormat="false" ht="15" hidden="false" customHeight="false" outlineLevel="0" collapsed="false">
      <c r="A394" s="1" t="s">
        <v>724</v>
      </c>
      <c r="B394" s="4" t="n">
        <v>45687</v>
      </c>
      <c r="C394" s="1" t="s">
        <v>309</v>
      </c>
      <c r="D394" s="1" t="s">
        <v>176</v>
      </c>
      <c r="E394" s="1" t="n">
        <v>2</v>
      </c>
      <c r="F394" s="5" t="n">
        <v>0.1</v>
      </c>
      <c r="G394" s="1" t="s">
        <v>34</v>
      </c>
      <c r="H394" s="1" t="s">
        <v>53</v>
      </c>
      <c r="I394" s="1" t="s">
        <v>15</v>
      </c>
      <c r="J394" s="1" t="n">
        <v>3</v>
      </c>
    </row>
    <row r="395" customFormat="false" ht="15" hidden="false" customHeight="false" outlineLevel="0" collapsed="false">
      <c r="A395" s="1" t="s">
        <v>725</v>
      </c>
      <c r="B395" s="4" t="n">
        <v>45737</v>
      </c>
      <c r="C395" s="1" t="s">
        <v>726</v>
      </c>
      <c r="D395" s="1" t="s">
        <v>462</v>
      </c>
      <c r="E395" s="1" t="n">
        <v>2</v>
      </c>
      <c r="F395" s="5" t="n">
        <v>0.15</v>
      </c>
      <c r="G395" s="1" t="s">
        <v>34</v>
      </c>
      <c r="H395" s="1" t="s">
        <v>14</v>
      </c>
      <c r="I395" s="1" t="s">
        <v>20</v>
      </c>
      <c r="J395" s="1" t="n">
        <v>8</v>
      </c>
    </row>
    <row r="396" customFormat="false" ht="15" hidden="false" customHeight="false" outlineLevel="0" collapsed="false">
      <c r="A396" s="1" t="s">
        <v>727</v>
      </c>
      <c r="B396" s="4" t="n">
        <v>46015</v>
      </c>
      <c r="C396" s="1" t="s">
        <v>728</v>
      </c>
      <c r="D396" s="1" t="s">
        <v>41</v>
      </c>
      <c r="E396" s="1" t="n">
        <v>1</v>
      </c>
      <c r="F396" s="5" t="n">
        <v>0</v>
      </c>
      <c r="G396" s="1" t="s">
        <v>24</v>
      </c>
      <c r="H396" s="1" t="s">
        <v>45</v>
      </c>
      <c r="I396" s="1" t="s">
        <v>38</v>
      </c>
    </row>
    <row r="397" customFormat="false" ht="15" hidden="false" customHeight="false" outlineLevel="0" collapsed="false">
      <c r="A397" s="1" t="s">
        <v>729</v>
      </c>
      <c r="B397" s="4" t="n">
        <v>46015</v>
      </c>
      <c r="C397" s="1" t="s">
        <v>730</v>
      </c>
      <c r="D397" s="1" t="s">
        <v>286</v>
      </c>
      <c r="E397" s="1" t="n">
        <v>1</v>
      </c>
      <c r="F397" s="5" t="n">
        <v>0.2</v>
      </c>
      <c r="G397" s="1" t="s">
        <v>71</v>
      </c>
      <c r="H397" s="1" t="s">
        <v>14</v>
      </c>
      <c r="I397" s="1" t="s">
        <v>20</v>
      </c>
      <c r="J397" s="1" t="n">
        <v>2</v>
      </c>
    </row>
    <row r="398" customFormat="false" ht="15" hidden="false" customHeight="false" outlineLevel="0" collapsed="false">
      <c r="A398" s="1" t="s">
        <v>731</v>
      </c>
      <c r="B398" s="4" t="n">
        <v>45861</v>
      </c>
      <c r="C398" s="1" t="s">
        <v>347</v>
      </c>
      <c r="D398" s="1" t="s">
        <v>165</v>
      </c>
      <c r="E398" s="1" t="n">
        <v>1</v>
      </c>
      <c r="F398" s="5" t="n">
        <v>0.15</v>
      </c>
      <c r="G398" s="1" t="s">
        <v>34</v>
      </c>
      <c r="H398" s="1" t="s">
        <v>78</v>
      </c>
      <c r="I398" s="1" t="s">
        <v>38</v>
      </c>
      <c r="J398" s="1" t="n">
        <v>2</v>
      </c>
    </row>
    <row r="399" customFormat="false" ht="15" hidden="false" customHeight="false" outlineLevel="0" collapsed="false">
      <c r="A399" s="1" t="s">
        <v>732</v>
      </c>
      <c r="B399" s="4" t="n">
        <v>45907</v>
      </c>
      <c r="C399" s="1" t="s">
        <v>733</v>
      </c>
      <c r="D399" s="1" t="s">
        <v>484</v>
      </c>
      <c r="E399" s="1" t="n">
        <v>2</v>
      </c>
      <c r="F399" s="5" t="n">
        <v>0.25</v>
      </c>
      <c r="G399" s="1" t="s">
        <v>34</v>
      </c>
      <c r="H399" s="1" t="s">
        <v>14</v>
      </c>
      <c r="I399" s="1" t="s">
        <v>15</v>
      </c>
      <c r="J399" s="1" t="n">
        <v>7</v>
      </c>
    </row>
    <row r="400" customFormat="false" ht="15" hidden="false" customHeight="false" outlineLevel="0" collapsed="false">
      <c r="A400" s="1" t="s">
        <v>734</v>
      </c>
      <c r="B400" s="4" t="n">
        <v>45905</v>
      </c>
      <c r="C400" s="1" t="s">
        <v>735</v>
      </c>
      <c r="D400" s="1" t="s">
        <v>240</v>
      </c>
      <c r="E400" s="1" t="n">
        <v>1</v>
      </c>
      <c r="F400" s="5" t="n">
        <v>0.05</v>
      </c>
      <c r="G400" s="1" t="s">
        <v>52</v>
      </c>
      <c r="H400" s="1" t="s">
        <v>53</v>
      </c>
      <c r="I400" s="1" t="s">
        <v>15</v>
      </c>
      <c r="J400" s="1" t="n">
        <v>8</v>
      </c>
    </row>
    <row r="401" customFormat="false" ht="15" hidden="false" customHeight="false" outlineLevel="0" collapsed="false">
      <c r="A401" s="1" t="s">
        <v>736</v>
      </c>
      <c r="B401" s="4" t="n">
        <v>45776</v>
      </c>
      <c r="C401" s="1" t="s">
        <v>396</v>
      </c>
      <c r="D401" s="1" t="s">
        <v>455</v>
      </c>
      <c r="E401" s="1" t="n">
        <v>2</v>
      </c>
      <c r="F401" s="5" t="n">
        <v>0.1</v>
      </c>
      <c r="G401" s="1" t="s">
        <v>52</v>
      </c>
      <c r="H401" s="1" t="s">
        <v>53</v>
      </c>
      <c r="I401" s="1" t="s">
        <v>38</v>
      </c>
      <c r="J401" s="1" t="n">
        <v>8</v>
      </c>
    </row>
    <row r="402" customFormat="false" ht="15" hidden="false" customHeight="false" outlineLevel="0" collapsed="false">
      <c r="A402" s="1" t="s">
        <v>737</v>
      </c>
      <c r="B402" s="4" t="n">
        <v>45729</v>
      </c>
      <c r="C402" s="1" t="s">
        <v>483</v>
      </c>
      <c r="D402" s="1" t="s">
        <v>162</v>
      </c>
      <c r="E402" s="1" t="n">
        <v>2</v>
      </c>
      <c r="F402" s="5" t="n">
        <v>0.1</v>
      </c>
      <c r="G402" s="1" t="s">
        <v>13</v>
      </c>
      <c r="H402" s="1" t="s">
        <v>14</v>
      </c>
      <c r="I402" s="1" t="s">
        <v>38</v>
      </c>
      <c r="J402" s="1" t="n">
        <v>6</v>
      </c>
    </row>
    <row r="403" customFormat="false" ht="15" hidden="false" customHeight="false" outlineLevel="0" collapsed="false">
      <c r="A403" s="1" t="s">
        <v>738</v>
      </c>
      <c r="B403" s="4" t="n">
        <v>45748</v>
      </c>
      <c r="C403" s="1" t="s">
        <v>739</v>
      </c>
      <c r="D403" s="1" t="s">
        <v>624</v>
      </c>
      <c r="E403" s="1" t="n">
        <v>2</v>
      </c>
      <c r="F403" s="5" t="n">
        <v>0.2</v>
      </c>
      <c r="G403" s="1" t="s">
        <v>52</v>
      </c>
      <c r="H403" s="1" t="s">
        <v>53</v>
      </c>
      <c r="I403" s="1" t="s">
        <v>15</v>
      </c>
      <c r="J403" s="1" t="n">
        <v>3</v>
      </c>
    </row>
    <row r="404" customFormat="false" ht="15" hidden="false" customHeight="false" outlineLevel="0" collapsed="false">
      <c r="A404" s="1" t="s">
        <v>740</v>
      </c>
      <c r="B404" s="4" t="n">
        <v>45827</v>
      </c>
      <c r="C404" s="1" t="s">
        <v>343</v>
      </c>
      <c r="D404" s="1" t="s">
        <v>230</v>
      </c>
      <c r="E404" s="1" t="n">
        <v>4</v>
      </c>
      <c r="F404" s="5" t="n">
        <v>0</v>
      </c>
      <c r="G404" s="1" t="s">
        <v>52</v>
      </c>
      <c r="H404" s="1" t="s">
        <v>78</v>
      </c>
      <c r="I404" s="1" t="s">
        <v>15</v>
      </c>
      <c r="J404" s="1" t="n">
        <v>7</v>
      </c>
    </row>
    <row r="405" customFormat="false" ht="15" hidden="false" customHeight="false" outlineLevel="0" collapsed="false">
      <c r="A405" s="1" t="s">
        <v>741</v>
      </c>
      <c r="B405" s="4" t="n">
        <v>45861</v>
      </c>
      <c r="C405" s="1" t="s">
        <v>742</v>
      </c>
      <c r="D405" s="1" t="s">
        <v>624</v>
      </c>
      <c r="E405" s="1" t="n">
        <v>3</v>
      </c>
      <c r="F405" s="5" t="n">
        <v>0.2</v>
      </c>
      <c r="G405" s="1" t="s">
        <v>24</v>
      </c>
      <c r="H405" s="1" t="s">
        <v>14</v>
      </c>
      <c r="I405" s="1" t="s">
        <v>20</v>
      </c>
      <c r="J405" s="1" t="n">
        <v>4</v>
      </c>
    </row>
    <row r="406" customFormat="false" ht="15" hidden="false" customHeight="false" outlineLevel="0" collapsed="false">
      <c r="A406" s="1" t="s">
        <v>743</v>
      </c>
      <c r="B406" s="4" t="n">
        <v>45702</v>
      </c>
      <c r="C406" s="1" t="s">
        <v>744</v>
      </c>
      <c r="D406" s="1" t="s">
        <v>216</v>
      </c>
      <c r="E406" s="1" t="n">
        <v>1</v>
      </c>
      <c r="F406" s="5" t="n">
        <v>0.05</v>
      </c>
      <c r="G406" s="1" t="s">
        <v>52</v>
      </c>
      <c r="H406" s="1" t="s">
        <v>14</v>
      </c>
      <c r="I406" s="1" t="s">
        <v>15</v>
      </c>
      <c r="J406" s="1" t="n">
        <v>3</v>
      </c>
    </row>
    <row r="407" customFormat="false" ht="15" hidden="false" customHeight="false" outlineLevel="0" collapsed="false">
      <c r="A407" s="1" t="s">
        <v>745</v>
      </c>
      <c r="B407" s="4" t="n">
        <v>45826</v>
      </c>
      <c r="C407" s="1" t="s">
        <v>479</v>
      </c>
      <c r="D407" s="1" t="s">
        <v>603</v>
      </c>
      <c r="E407" s="1" t="n">
        <v>5</v>
      </c>
      <c r="F407" s="5" t="n">
        <v>0.1</v>
      </c>
      <c r="G407" s="1" t="s">
        <v>52</v>
      </c>
      <c r="H407" s="1" t="s">
        <v>14</v>
      </c>
      <c r="I407" s="1" t="s">
        <v>38</v>
      </c>
      <c r="J407" s="1" t="n">
        <v>4</v>
      </c>
    </row>
    <row r="408" customFormat="false" ht="15" hidden="false" customHeight="false" outlineLevel="0" collapsed="false">
      <c r="A408" s="1" t="s">
        <v>746</v>
      </c>
      <c r="B408" s="4" t="n">
        <v>45748</v>
      </c>
      <c r="C408" s="1" t="s">
        <v>747</v>
      </c>
      <c r="D408" s="1" t="s">
        <v>84</v>
      </c>
      <c r="E408" s="1" t="n">
        <v>1</v>
      </c>
      <c r="F408" s="5" t="n">
        <v>0</v>
      </c>
      <c r="G408" s="1" t="s">
        <v>52</v>
      </c>
      <c r="H408" s="1" t="s">
        <v>14</v>
      </c>
      <c r="I408" s="1" t="s">
        <v>20</v>
      </c>
      <c r="J408" s="1" t="n">
        <v>5</v>
      </c>
    </row>
    <row r="409" customFormat="false" ht="15" hidden="false" customHeight="false" outlineLevel="0" collapsed="false">
      <c r="A409" s="1" t="s">
        <v>748</v>
      </c>
      <c r="B409" s="4" t="n">
        <v>45822</v>
      </c>
      <c r="C409" s="1" t="s">
        <v>275</v>
      </c>
      <c r="D409" s="1" t="s">
        <v>30</v>
      </c>
      <c r="E409" s="1" t="n">
        <v>2</v>
      </c>
      <c r="F409" s="5" t="n">
        <v>0.1</v>
      </c>
      <c r="G409" s="1" t="s">
        <v>52</v>
      </c>
      <c r="H409" s="1" t="s">
        <v>14</v>
      </c>
      <c r="I409" s="1" t="s">
        <v>15</v>
      </c>
      <c r="J409" s="1" t="n">
        <v>7</v>
      </c>
    </row>
    <row r="410" customFormat="false" ht="15" hidden="false" customHeight="false" outlineLevel="0" collapsed="false">
      <c r="A410" s="1" t="s">
        <v>749</v>
      </c>
      <c r="B410" s="4" t="n">
        <v>45759</v>
      </c>
      <c r="C410" s="1" t="s">
        <v>196</v>
      </c>
      <c r="D410" s="1" t="s">
        <v>41</v>
      </c>
      <c r="E410" s="1" t="n">
        <v>2</v>
      </c>
      <c r="F410" s="5" t="n">
        <v>0.05</v>
      </c>
      <c r="G410" s="1" t="s">
        <v>19</v>
      </c>
      <c r="H410" s="1" t="s">
        <v>14</v>
      </c>
      <c r="I410" s="1" t="s">
        <v>15</v>
      </c>
      <c r="J410" s="1" t="n">
        <v>6</v>
      </c>
    </row>
    <row r="411" customFormat="false" ht="15" hidden="false" customHeight="false" outlineLevel="0" collapsed="false">
      <c r="A411" s="1" t="s">
        <v>750</v>
      </c>
      <c r="B411" s="4" t="n">
        <v>45963</v>
      </c>
      <c r="C411" s="1" t="s">
        <v>116</v>
      </c>
      <c r="D411" s="1" t="s">
        <v>51</v>
      </c>
      <c r="E411" s="1" t="n">
        <v>3</v>
      </c>
      <c r="F411" s="5" t="n">
        <v>0.2</v>
      </c>
      <c r="G411" s="1" t="s">
        <v>52</v>
      </c>
      <c r="H411" s="1" t="s">
        <v>14</v>
      </c>
      <c r="I411" s="1" t="s">
        <v>38</v>
      </c>
      <c r="J411" s="1" t="n">
        <v>2</v>
      </c>
    </row>
    <row r="412" customFormat="false" ht="15" hidden="false" customHeight="false" outlineLevel="0" collapsed="false">
      <c r="A412" s="1" t="s">
        <v>751</v>
      </c>
      <c r="B412" s="4" t="n">
        <v>45685</v>
      </c>
      <c r="C412" s="1" t="s">
        <v>615</v>
      </c>
      <c r="D412" s="1" t="s">
        <v>168</v>
      </c>
      <c r="E412" s="1" t="n">
        <v>1</v>
      </c>
      <c r="F412" s="5" t="n">
        <v>0</v>
      </c>
      <c r="G412" s="1" t="s">
        <v>52</v>
      </c>
      <c r="H412" s="1" t="s">
        <v>14</v>
      </c>
      <c r="I412" s="1" t="s">
        <v>15</v>
      </c>
      <c r="J412" s="1" t="n">
        <v>5</v>
      </c>
    </row>
    <row r="413" customFormat="false" ht="15" hidden="false" customHeight="false" outlineLevel="0" collapsed="false">
      <c r="A413" s="1" t="s">
        <v>752</v>
      </c>
      <c r="B413" s="4" t="n">
        <v>45952</v>
      </c>
      <c r="C413" s="1" t="s">
        <v>753</v>
      </c>
      <c r="D413" s="1" t="s">
        <v>323</v>
      </c>
      <c r="E413" s="1" t="n">
        <v>4</v>
      </c>
      <c r="F413" s="5" t="n">
        <v>0.2</v>
      </c>
      <c r="G413" s="1" t="s">
        <v>34</v>
      </c>
      <c r="H413" s="1" t="s">
        <v>78</v>
      </c>
      <c r="I413" s="1" t="s">
        <v>20</v>
      </c>
      <c r="J413" s="1" t="n">
        <v>2</v>
      </c>
    </row>
    <row r="414" customFormat="false" ht="15" hidden="false" customHeight="false" outlineLevel="0" collapsed="false">
      <c r="A414" s="1" t="s">
        <v>754</v>
      </c>
      <c r="B414" s="4" t="n">
        <v>45983</v>
      </c>
      <c r="C414" s="1" t="s">
        <v>139</v>
      </c>
      <c r="D414" s="1" t="s">
        <v>37</v>
      </c>
      <c r="E414" s="1" t="n">
        <v>1</v>
      </c>
      <c r="F414" s="5" t="n">
        <v>0.1</v>
      </c>
      <c r="G414" s="1" t="s">
        <v>24</v>
      </c>
      <c r="H414" s="1" t="s">
        <v>14</v>
      </c>
      <c r="I414" s="1" t="s">
        <v>20</v>
      </c>
      <c r="J414" s="1" t="n">
        <v>2</v>
      </c>
    </row>
    <row r="415" customFormat="false" ht="15" hidden="false" customHeight="false" outlineLevel="0" collapsed="false">
      <c r="A415" s="1" t="s">
        <v>755</v>
      </c>
      <c r="B415" s="4" t="n">
        <v>45793</v>
      </c>
      <c r="C415" s="1" t="s">
        <v>227</v>
      </c>
      <c r="D415" s="1" t="s">
        <v>484</v>
      </c>
      <c r="E415" s="1" t="n">
        <v>2</v>
      </c>
      <c r="F415" s="5" t="n">
        <v>0.1</v>
      </c>
      <c r="G415" s="1" t="s">
        <v>52</v>
      </c>
      <c r="H415" s="1" t="s">
        <v>53</v>
      </c>
      <c r="I415" s="1" t="s">
        <v>15</v>
      </c>
      <c r="J415" s="1" t="n">
        <v>6</v>
      </c>
    </row>
    <row r="416" customFormat="false" ht="15" hidden="false" customHeight="false" outlineLevel="0" collapsed="false">
      <c r="A416" s="1" t="s">
        <v>756</v>
      </c>
      <c r="B416" s="4" t="n">
        <v>45897</v>
      </c>
      <c r="C416" s="1" t="s">
        <v>345</v>
      </c>
      <c r="D416" s="1" t="s">
        <v>41</v>
      </c>
      <c r="E416" s="1" t="n">
        <v>1</v>
      </c>
      <c r="F416" s="5" t="n">
        <v>0</v>
      </c>
      <c r="G416" s="1" t="s">
        <v>24</v>
      </c>
      <c r="H416" s="1" t="s">
        <v>53</v>
      </c>
      <c r="I416" s="1" t="s">
        <v>20</v>
      </c>
      <c r="J416" s="1" t="n">
        <v>1</v>
      </c>
    </row>
    <row r="417" customFormat="false" ht="15" hidden="false" customHeight="false" outlineLevel="0" collapsed="false">
      <c r="A417" s="1" t="s">
        <v>757</v>
      </c>
      <c r="B417" s="4" t="n">
        <v>45996</v>
      </c>
      <c r="C417" s="1" t="s">
        <v>730</v>
      </c>
      <c r="D417" s="1" t="s">
        <v>578</v>
      </c>
      <c r="E417" s="1" t="n">
        <v>1</v>
      </c>
      <c r="F417" s="5" t="n">
        <v>0.05</v>
      </c>
      <c r="G417" s="1" t="s">
        <v>19</v>
      </c>
      <c r="H417" s="1" t="s">
        <v>14</v>
      </c>
      <c r="I417" s="1" t="s">
        <v>38</v>
      </c>
      <c r="J417" s="1" t="n">
        <v>8</v>
      </c>
    </row>
    <row r="418" customFormat="false" ht="15" hidden="false" customHeight="false" outlineLevel="0" collapsed="false">
      <c r="A418" s="1" t="s">
        <v>758</v>
      </c>
      <c r="B418" s="4" t="n">
        <v>45891</v>
      </c>
      <c r="C418" s="1" t="s">
        <v>410</v>
      </c>
      <c r="D418" s="1" t="s">
        <v>64</v>
      </c>
      <c r="E418" s="1" t="n">
        <v>1</v>
      </c>
      <c r="F418" s="5" t="n">
        <v>0.25</v>
      </c>
      <c r="G418" s="1" t="s">
        <v>52</v>
      </c>
      <c r="H418" s="1" t="s">
        <v>14</v>
      </c>
      <c r="I418" s="1" t="s">
        <v>15</v>
      </c>
      <c r="J418" s="1" t="n">
        <v>2</v>
      </c>
    </row>
    <row r="419" customFormat="false" ht="15" hidden="false" customHeight="false" outlineLevel="0" collapsed="false">
      <c r="A419" s="1" t="s">
        <v>759</v>
      </c>
      <c r="B419" s="4" t="n">
        <v>45889</v>
      </c>
      <c r="C419" s="1" t="s">
        <v>483</v>
      </c>
      <c r="D419" s="1" t="s">
        <v>81</v>
      </c>
      <c r="E419" s="1" t="n">
        <v>1</v>
      </c>
      <c r="F419" s="5" t="n">
        <v>0.1</v>
      </c>
      <c r="G419" s="1" t="s">
        <v>34</v>
      </c>
      <c r="H419" s="1" t="s">
        <v>14</v>
      </c>
      <c r="I419" s="1" t="s">
        <v>38</v>
      </c>
      <c r="J419" s="1" t="n">
        <v>1</v>
      </c>
    </row>
    <row r="420" customFormat="false" ht="15" hidden="false" customHeight="false" outlineLevel="0" collapsed="false">
      <c r="A420" s="1" t="s">
        <v>760</v>
      </c>
      <c r="B420" s="4" t="n">
        <v>46011</v>
      </c>
      <c r="C420" s="1" t="s">
        <v>119</v>
      </c>
      <c r="D420" s="1" t="s">
        <v>423</v>
      </c>
      <c r="E420" s="1" t="n">
        <v>1</v>
      </c>
      <c r="F420" s="5" t="n">
        <v>0</v>
      </c>
      <c r="G420" s="1" t="s">
        <v>13</v>
      </c>
      <c r="H420" s="1" t="s">
        <v>14</v>
      </c>
      <c r="I420" s="1" t="s">
        <v>15</v>
      </c>
      <c r="J420" s="1" t="n">
        <v>7</v>
      </c>
    </row>
    <row r="421" customFormat="false" ht="15" hidden="false" customHeight="false" outlineLevel="0" collapsed="false">
      <c r="A421" s="1" t="s">
        <v>761</v>
      </c>
      <c r="B421" s="4" t="n">
        <v>45837</v>
      </c>
      <c r="C421" s="1" t="s">
        <v>357</v>
      </c>
      <c r="D421" s="1" t="s">
        <v>222</v>
      </c>
      <c r="E421" s="1" t="n">
        <v>1</v>
      </c>
      <c r="F421" s="5" t="n">
        <v>0</v>
      </c>
      <c r="G421" s="1" t="s">
        <v>52</v>
      </c>
      <c r="H421" s="1" t="s">
        <v>14</v>
      </c>
      <c r="I421" s="1" t="s">
        <v>38</v>
      </c>
      <c r="J421" s="1" t="n">
        <v>8</v>
      </c>
    </row>
    <row r="422" customFormat="false" ht="15" hidden="false" customHeight="false" outlineLevel="0" collapsed="false">
      <c r="A422" s="1" t="s">
        <v>762</v>
      </c>
      <c r="B422" s="4" t="n">
        <v>45936</v>
      </c>
      <c r="C422" s="1" t="s">
        <v>763</v>
      </c>
      <c r="D422" s="1" t="s">
        <v>33</v>
      </c>
      <c r="E422" s="1" t="n">
        <v>1</v>
      </c>
      <c r="F422" s="5" t="n">
        <v>0.05</v>
      </c>
      <c r="G422" s="1" t="s">
        <v>34</v>
      </c>
      <c r="H422" s="1" t="s">
        <v>14</v>
      </c>
      <c r="I422" s="1" t="s">
        <v>20</v>
      </c>
      <c r="J422" s="1" t="n">
        <v>1</v>
      </c>
    </row>
    <row r="423" customFormat="false" ht="15" hidden="false" customHeight="false" outlineLevel="0" collapsed="false">
      <c r="A423" s="1" t="s">
        <v>764</v>
      </c>
      <c r="B423" s="4" t="n">
        <v>45985</v>
      </c>
      <c r="C423" s="1" t="s">
        <v>765</v>
      </c>
      <c r="D423" s="1" t="s">
        <v>112</v>
      </c>
      <c r="E423" s="1" t="n">
        <v>3</v>
      </c>
      <c r="F423" s="5" t="n">
        <v>0.2</v>
      </c>
      <c r="G423" s="1" t="s">
        <v>19</v>
      </c>
      <c r="H423" s="1" t="s">
        <v>14</v>
      </c>
      <c r="I423" s="1" t="s">
        <v>20</v>
      </c>
      <c r="J423" s="1" t="n">
        <v>2</v>
      </c>
    </row>
    <row r="424" customFormat="false" ht="15" hidden="false" customHeight="false" outlineLevel="0" collapsed="false">
      <c r="A424" s="1" t="s">
        <v>766</v>
      </c>
      <c r="B424" s="4" t="n">
        <v>45662</v>
      </c>
      <c r="C424" s="1" t="s">
        <v>568</v>
      </c>
      <c r="D424" s="1" t="s">
        <v>143</v>
      </c>
      <c r="E424" s="1" t="n">
        <v>1</v>
      </c>
      <c r="F424" s="5" t="n">
        <v>0.25</v>
      </c>
      <c r="G424" s="1" t="s">
        <v>52</v>
      </c>
      <c r="H424" s="1" t="s">
        <v>14</v>
      </c>
      <c r="I424" s="1" t="s">
        <v>38</v>
      </c>
      <c r="J424" s="1" t="n">
        <v>5</v>
      </c>
    </row>
    <row r="425" customFormat="false" ht="15" hidden="false" customHeight="false" outlineLevel="0" collapsed="false">
      <c r="A425" s="1" t="s">
        <v>767</v>
      </c>
      <c r="B425" s="4" t="n">
        <v>45884</v>
      </c>
      <c r="C425" s="1" t="s">
        <v>768</v>
      </c>
      <c r="D425" s="1" t="s">
        <v>12</v>
      </c>
      <c r="E425" s="1" t="n">
        <v>2</v>
      </c>
      <c r="F425" s="5" t="n">
        <v>0.15</v>
      </c>
      <c r="G425" s="1" t="s">
        <v>34</v>
      </c>
      <c r="H425" s="1" t="s">
        <v>92</v>
      </c>
      <c r="I425" s="1" t="s">
        <v>15</v>
      </c>
    </row>
    <row r="426" customFormat="false" ht="15" hidden="false" customHeight="false" outlineLevel="0" collapsed="false">
      <c r="A426" s="1" t="s">
        <v>769</v>
      </c>
      <c r="B426" s="4" t="n">
        <v>45863</v>
      </c>
      <c r="C426" s="1" t="s">
        <v>178</v>
      </c>
      <c r="D426" s="1" t="s">
        <v>429</v>
      </c>
      <c r="E426" s="1" t="n">
        <v>1</v>
      </c>
      <c r="F426" s="5" t="n">
        <v>0.1</v>
      </c>
      <c r="G426" s="1" t="s">
        <v>52</v>
      </c>
      <c r="H426" s="1" t="s">
        <v>14</v>
      </c>
      <c r="I426" s="1" t="s">
        <v>38</v>
      </c>
      <c r="J426" s="1" t="n">
        <v>5</v>
      </c>
    </row>
    <row r="427" customFormat="false" ht="15" hidden="false" customHeight="false" outlineLevel="0" collapsed="false">
      <c r="A427" s="1" t="s">
        <v>770</v>
      </c>
      <c r="B427" s="4" t="n">
        <v>45774</v>
      </c>
      <c r="C427" s="1" t="s">
        <v>417</v>
      </c>
      <c r="D427" s="1" t="s">
        <v>493</v>
      </c>
      <c r="E427" s="1" t="n">
        <v>2</v>
      </c>
      <c r="F427" s="5" t="n">
        <v>0</v>
      </c>
      <c r="G427" s="1" t="s">
        <v>34</v>
      </c>
      <c r="H427" s="1" t="s">
        <v>14</v>
      </c>
      <c r="I427" s="1" t="s">
        <v>20</v>
      </c>
      <c r="J427" s="1" t="n">
        <v>1</v>
      </c>
    </row>
    <row r="428" customFormat="false" ht="15" hidden="false" customHeight="false" outlineLevel="0" collapsed="false">
      <c r="A428" s="1" t="s">
        <v>771</v>
      </c>
      <c r="B428" s="4" t="n">
        <v>45772</v>
      </c>
      <c r="C428" s="1" t="s">
        <v>321</v>
      </c>
      <c r="D428" s="1" t="s">
        <v>112</v>
      </c>
      <c r="E428" s="1" t="n">
        <v>1</v>
      </c>
      <c r="F428" s="5" t="n">
        <v>0.1</v>
      </c>
      <c r="G428" s="1" t="s">
        <v>19</v>
      </c>
      <c r="H428" s="1" t="s">
        <v>14</v>
      </c>
      <c r="I428" s="1" t="s">
        <v>38</v>
      </c>
      <c r="J428" s="1" t="n">
        <v>8</v>
      </c>
    </row>
    <row r="429" customFormat="false" ht="15" hidden="false" customHeight="false" outlineLevel="0" collapsed="false">
      <c r="A429" s="1" t="s">
        <v>772</v>
      </c>
      <c r="B429" s="4" t="n">
        <v>45816</v>
      </c>
      <c r="C429" s="1" t="s">
        <v>651</v>
      </c>
      <c r="D429" s="1" t="s">
        <v>255</v>
      </c>
      <c r="E429" s="1" t="n">
        <v>1</v>
      </c>
      <c r="F429" s="5" t="n">
        <v>0.1</v>
      </c>
      <c r="G429" s="1" t="s">
        <v>52</v>
      </c>
      <c r="H429" s="1" t="s">
        <v>14</v>
      </c>
      <c r="I429" s="1" t="s">
        <v>38</v>
      </c>
      <c r="J429" s="1" t="n">
        <v>1</v>
      </c>
    </row>
    <row r="430" customFormat="false" ht="15" hidden="false" customHeight="false" outlineLevel="0" collapsed="false">
      <c r="A430" s="1" t="s">
        <v>773</v>
      </c>
      <c r="B430" s="4" t="n">
        <v>45732</v>
      </c>
      <c r="C430" s="1" t="s">
        <v>86</v>
      </c>
      <c r="D430" s="1" t="s">
        <v>487</v>
      </c>
      <c r="E430" s="1" t="n">
        <v>1</v>
      </c>
      <c r="F430" s="5" t="n">
        <v>0</v>
      </c>
      <c r="G430" s="1" t="s">
        <v>52</v>
      </c>
      <c r="H430" s="1" t="s">
        <v>14</v>
      </c>
      <c r="I430" s="1" t="s">
        <v>38</v>
      </c>
      <c r="J430" s="1" t="n">
        <v>6</v>
      </c>
    </row>
    <row r="431" customFormat="false" ht="15" hidden="false" customHeight="false" outlineLevel="0" collapsed="false">
      <c r="A431" s="1" t="s">
        <v>774</v>
      </c>
      <c r="B431" s="4" t="n">
        <v>45938</v>
      </c>
      <c r="C431" s="1" t="s">
        <v>387</v>
      </c>
      <c r="D431" s="1" t="s">
        <v>429</v>
      </c>
      <c r="E431" s="1" t="n">
        <v>1</v>
      </c>
      <c r="F431" s="5" t="n">
        <v>0</v>
      </c>
      <c r="G431" s="1" t="s">
        <v>71</v>
      </c>
      <c r="H431" s="1" t="s">
        <v>45</v>
      </c>
      <c r="I431" s="1" t="s">
        <v>15</v>
      </c>
    </row>
    <row r="432" customFormat="false" ht="15" hidden="false" customHeight="false" outlineLevel="0" collapsed="false">
      <c r="A432" s="1" t="s">
        <v>775</v>
      </c>
      <c r="B432" s="4" t="n">
        <v>45965</v>
      </c>
      <c r="C432" s="1" t="s">
        <v>706</v>
      </c>
      <c r="D432" s="1" t="s">
        <v>154</v>
      </c>
      <c r="E432" s="1" t="n">
        <v>2</v>
      </c>
      <c r="F432" s="5" t="n">
        <v>0.15</v>
      </c>
      <c r="G432" s="1" t="s">
        <v>19</v>
      </c>
      <c r="H432" s="1" t="s">
        <v>45</v>
      </c>
      <c r="I432" s="1" t="s">
        <v>20</v>
      </c>
    </row>
    <row r="433" customFormat="false" ht="15" hidden="false" customHeight="false" outlineLevel="0" collapsed="false">
      <c r="A433" s="1" t="s">
        <v>776</v>
      </c>
      <c r="B433" s="4" t="n">
        <v>45674</v>
      </c>
      <c r="C433" s="1" t="s">
        <v>777</v>
      </c>
      <c r="D433" s="1" t="s">
        <v>162</v>
      </c>
      <c r="E433" s="1" t="n">
        <v>2</v>
      </c>
      <c r="F433" s="5" t="n">
        <v>0.15</v>
      </c>
      <c r="G433" s="1" t="s">
        <v>13</v>
      </c>
      <c r="H433" s="1" t="s">
        <v>14</v>
      </c>
      <c r="I433" s="1" t="s">
        <v>20</v>
      </c>
      <c r="J433" s="1" t="n">
        <v>4</v>
      </c>
    </row>
    <row r="434" customFormat="false" ht="15" hidden="false" customHeight="false" outlineLevel="0" collapsed="false">
      <c r="A434" s="1" t="s">
        <v>778</v>
      </c>
      <c r="B434" s="4" t="n">
        <v>45700</v>
      </c>
      <c r="C434" s="1" t="s">
        <v>29</v>
      </c>
      <c r="D434" s="1" t="s">
        <v>220</v>
      </c>
      <c r="E434" s="1" t="n">
        <v>4</v>
      </c>
      <c r="F434" s="5" t="n">
        <v>0</v>
      </c>
      <c r="G434" s="1" t="s">
        <v>34</v>
      </c>
      <c r="H434" s="1" t="s">
        <v>14</v>
      </c>
      <c r="I434" s="1" t="s">
        <v>15</v>
      </c>
      <c r="J434" s="1" t="n">
        <v>6</v>
      </c>
    </row>
    <row r="435" customFormat="false" ht="15" hidden="false" customHeight="false" outlineLevel="0" collapsed="false">
      <c r="A435" s="1" t="s">
        <v>779</v>
      </c>
      <c r="B435" s="4" t="n">
        <v>45843</v>
      </c>
      <c r="C435" s="1" t="s">
        <v>343</v>
      </c>
      <c r="D435" s="1" t="s">
        <v>197</v>
      </c>
      <c r="E435" s="1" t="n">
        <v>1</v>
      </c>
      <c r="F435" s="5" t="n">
        <v>0.1</v>
      </c>
      <c r="G435" s="1" t="s">
        <v>13</v>
      </c>
      <c r="H435" s="1" t="s">
        <v>14</v>
      </c>
      <c r="I435" s="1" t="s">
        <v>15</v>
      </c>
      <c r="J435" s="1" t="n">
        <v>8</v>
      </c>
    </row>
    <row r="436" customFormat="false" ht="15" hidden="false" customHeight="false" outlineLevel="0" collapsed="false">
      <c r="A436" s="1" t="s">
        <v>780</v>
      </c>
      <c r="B436" s="4" t="n">
        <v>45849</v>
      </c>
      <c r="C436" s="1" t="s">
        <v>387</v>
      </c>
      <c r="D436" s="1" t="s">
        <v>140</v>
      </c>
      <c r="E436" s="1" t="n">
        <v>2</v>
      </c>
      <c r="F436" s="5" t="n">
        <v>0.1</v>
      </c>
      <c r="G436" s="1" t="s">
        <v>19</v>
      </c>
      <c r="H436" s="1" t="s">
        <v>14</v>
      </c>
      <c r="I436" s="1" t="s">
        <v>38</v>
      </c>
      <c r="J436" s="1" t="n">
        <v>8</v>
      </c>
    </row>
    <row r="437" customFormat="false" ht="15" hidden="false" customHeight="false" outlineLevel="0" collapsed="false">
      <c r="A437" s="1" t="s">
        <v>781</v>
      </c>
      <c r="B437" s="4" t="n">
        <v>45726</v>
      </c>
      <c r="C437" s="1" t="s">
        <v>615</v>
      </c>
      <c r="D437" s="1" t="s">
        <v>44</v>
      </c>
      <c r="E437" s="1" t="n">
        <v>4</v>
      </c>
      <c r="F437" s="5" t="n">
        <v>0.05</v>
      </c>
      <c r="G437" s="1" t="s">
        <v>52</v>
      </c>
      <c r="H437" s="1" t="s">
        <v>14</v>
      </c>
      <c r="I437" s="1" t="s">
        <v>15</v>
      </c>
      <c r="J437" s="1" t="n">
        <v>7</v>
      </c>
    </row>
    <row r="438" customFormat="false" ht="15" hidden="false" customHeight="false" outlineLevel="0" collapsed="false">
      <c r="A438" s="1" t="s">
        <v>782</v>
      </c>
      <c r="B438" s="4" t="n">
        <v>45735</v>
      </c>
      <c r="C438" s="1" t="s">
        <v>783</v>
      </c>
      <c r="D438" s="1" t="s">
        <v>554</v>
      </c>
      <c r="E438" s="1" t="n">
        <v>1</v>
      </c>
      <c r="F438" s="5" t="n">
        <v>0.15</v>
      </c>
      <c r="G438" s="1" t="s">
        <v>13</v>
      </c>
      <c r="H438" s="1" t="s">
        <v>14</v>
      </c>
      <c r="I438" s="1" t="s">
        <v>15</v>
      </c>
      <c r="J438" s="1" t="n">
        <v>8</v>
      </c>
    </row>
    <row r="439" customFormat="false" ht="15" hidden="false" customHeight="false" outlineLevel="0" collapsed="false">
      <c r="A439" s="1" t="s">
        <v>784</v>
      </c>
      <c r="B439" s="4" t="n">
        <v>45946</v>
      </c>
      <c r="C439" s="1" t="s">
        <v>688</v>
      </c>
      <c r="D439" s="1" t="s">
        <v>186</v>
      </c>
      <c r="E439" s="1" t="n">
        <v>1</v>
      </c>
      <c r="F439" s="5" t="n">
        <v>0.15</v>
      </c>
      <c r="G439" s="1" t="s">
        <v>52</v>
      </c>
      <c r="H439" s="1" t="s">
        <v>14</v>
      </c>
      <c r="I439" s="1" t="s">
        <v>15</v>
      </c>
      <c r="J439" s="1" t="n">
        <v>4</v>
      </c>
    </row>
    <row r="440" customFormat="false" ht="15" hidden="false" customHeight="false" outlineLevel="0" collapsed="false">
      <c r="A440" s="1" t="s">
        <v>785</v>
      </c>
      <c r="B440" s="4" t="n">
        <v>46006</v>
      </c>
      <c r="C440" s="1" t="s">
        <v>568</v>
      </c>
      <c r="D440" s="1" t="s">
        <v>213</v>
      </c>
      <c r="E440" s="1" t="n">
        <v>2</v>
      </c>
      <c r="F440" s="5" t="n">
        <v>0</v>
      </c>
      <c r="G440" s="1" t="s">
        <v>34</v>
      </c>
      <c r="H440" s="1" t="s">
        <v>14</v>
      </c>
      <c r="I440" s="1" t="s">
        <v>38</v>
      </c>
      <c r="J440" s="1" t="n">
        <v>2</v>
      </c>
    </row>
    <row r="441" customFormat="false" ht="15" hidden="false" customHeight="false" outlineLevel="0" collapsed="false">
      <c r="A441" s="1" t="s">
        <v>786</v>
      </c>
      <c r="B441" s="4" t="n">
        <v>45663</v>
      </c>
      <c r="C441" s="1" t="s">
        <v>401</v>
      </c>
      <c r="D441" s="1" t="s">
        <v>484</v>
      </c>
      <c r="E441" s="1" t="n">
        <v>4</v>
      </c>
      <c r="F441" s="5" t="n">
        <v>0.05</v>
      </c>
      <c r="G441" s="1" t="s">
        <v>52</v>
      </c>
      <c r="H441" s="1" t="s">
        <v>53</v>
      </c>
      <c r="I441" s="1" t="s">
        <v>38</v>
      </c>
      <c r="J441" s="1" t="n">
        <v>8</v>
      </c>
    </row>
    <row r="442" customFormat="false" ht="15" hidden="false" customHeight="false" outlineLevel="0" collapsed="false">
      <c r="A442" s="1" t="s">
        <v>787</v>
      </c>
      <c r="B442" s="4" t="n">
        <v>45920</v>
      </c>
      <c r="C442" s="1" t="s">
        <v>788</v>
      </c>
      <c r="D442" s="1" t="s">
        <v>210</v>
      </c>
      <c r="E442" s="1" t="n">
        <v>2</v>
      </c>
      <c r="F442" s="5" t="n">
        <v>0.05</v>
      </c>
      <c r="G442" s="1" t="s">
        <v>52</v>
      </c>
      <c r="H442" s="1" t="s">
        <v>53</v>
      </c>
      <c r="I442" s="1" t="s">
        <v>15</v>
      </c>
      <c r="J442" s="1" t="n">
        <v>2</v>
      </c>
    </row>
    <row r="443" customFormat="false" ht="15" hidden="false" customHeight="false" outlineLevel="0" collapsed="false">
      <c r="A443" s="1" t="s">
        <v>789</v>
      </c>
      <c r="B443" s="4" t="n">
        <v>45873</v>
      </c>
      <c r="C443" s="1" t="s">
        <v>608</v>
      </c>
      <c r="D443" s="1" t="s">
        <v>30</v>
      </c>
      <c r="E443" s="1" t="n">
        <v>4</v>
      </c>
      <c r="F443" s="5" t="n">
        <v>0.15</v>
      </c>
      <c r="G443" s="1" t="s">
        <v>52</v>
      </c>
      <c r="H443" s="1" t="s">
        <v>14</v>
      </c>
      <c r="I443" s="1" t="s">
        <v>20</v>
      </c>
      <c r="J443" s="1" t="n">
        <v>5</v>
      </c>
    </row>
    <row r="444" customFormat="false" ht="15" hidden="false" customHeight="false" outlineLevel="0" collapsed="false">
      <c r="A444" s="1" t="s">
        <v>790</v>
      </c>
      <c r="B444" s="4" t="n">
        <v>45927</v>
      </c>
      <c r="C444" s="1" t="s">
        <v>205</v>
      </c>
      <c r="D444" s="1" t="s">
        <v>67</v>
      </c>
      <c r="E444" s="1" t="n">
        <v>3</v>
      </c>
      <c r="F444" s="5" t="n">
        <v>0.15</v>
      </c>
      <c r="G444" s="1" t="s">
        <v>34</v>
      </c>
      <c r="H444" s="1" t="s">
        <v>14</v>
      </c>
      <c r="I444" s="1" t="s">
        <v>15</v>
      </c>
      <c r="J444" s="1" t="n">
        <v>8</v>
      </c>
    </row>
    <row r="445" customFormat="false" ht="15" hidden="false" customHeight="false" outlineLevel="0" collapsed="false">
      <c r="A445" s="1" t="s">
        <v>791</v>
      </c>
      <c r="B445" s="4" t="n">
        <v>45859</v>
      </c>
      <c r="C445" s="1" t="s">
        <v>167</v>
      </c>
      <c r="D445" s="1" t="s">
        <v>67</v>
      </c>
      <c r="E445" s="1" t="n">
        <v>2</v>
      </c>
      <c r="F445" s="5" t="n">
        <v>0.1</v>
      </c>
      <c r="G445" s="1" t="s">
        <v>34</v>
      </c>
      <c r="H445" s="1" t="s">
        <v>14</v>
      </c>
      <c r="I445" s="1" t="s">
        <v>15</v>
      </c>
      <c r="J445" s="1" t="n">
        <v>4</v>
      </c>
    </row>
    <row r="446" customFormat="false" ht="15" hidden="false" customHeight="false" outlineLevel="0" collapsed="false">
      <c r="A446" s="1" t="s">
        <v>792</v>
      </c>
      <c r="B446" s="4" t="n">
        <v>45998</v>
      </c>
      <c r="C446" s="1" t="s">
        <v>225</v>
      </c>
      <c r="D446" s="1" t="s">
        <v>27</v>
      </c>
      <c r="E446" s="1" t="n">
        <v>1</v>
      </c>
      <c r="F446" s="5" t="n">
        <v>0.15</v>
      </c>
      <c r="G446" s="1" t="s">
        <v>52</v>
      </c>
      <c r="H446" s="1" t="s">
        <v>14</v>
      </c>
      <c r="I446" s="1" t="s">
        <v>38</v>
      </c>
      <c r="J446" s="1" t="n">
        <v>3</v>
      </c>
    </row>
    <row r="447" customFormat="false" ht="15" hidden="false" customHeight="false" outlineLevel="0" collapsed="false">
      <c r="A447" s="1" t="s">
        <v>793</v>
      </c>
      <c r="B447" s="4" t="n">
        <v>45836</v>
      </c>
      <c r="C447" s="1" t="s">
        <v>794</v>
      </c>
      <c r="D447" s="1" t="s">
        <v>89</v>
      </c>
      <c r="E447" s="1" t="n">
        <v>4</v>
      </c>
      <c r="F447" s="5" t="n">
        <v>0.25</v>
      </c>
      <c r="G447" s="1" t="s">
        <v>52</v>
      </c>
      <c r="H447" s="1" t="s">
        <v>14</v>
      </c>
      <c r="I447" s="1" t="s">
        <v>20</v>
      </c>
      <c r="J447" s="1" t="n">
        <v>7</v>
      </c>
    </row>
    <row r="448" customFormat="false" ht="15" hidden="false" customHeight="false" outlineLevel="0" collapsed="false">
      <c r="A448" s="1" t="s">
        <v>795</v>
      </c>
      <c r="B448" s="4" t="n">
        <v>45830</v>
      </c>
      <c r="C448" s="1" t="s">
        <v>382</v>
      </c>
      <c r="D448" s="1" t="s">
        <v>74</v>
      </c>
      <c r="E448" s="1" t="n">
        <v>2</v>
      </c>
      <c r="F448" s="5" t="n">
        <v>0.2</v>
      </c>
      <c r="G448" s="1" t="s">
        <v>52</v>
      </c>
      <c r="H448" s="1" t="s">
        <v>14</v>
      </c>
      <c r="I448" s="1" t="s">
        <v>15</v>
      </c>
      <c r="J448" s="1" t="n">
        <v>6</v>
      </c>
    </row>
    <row r="449" customFormat="false" ht="15" hidden="false" customHeight="false" outlineLevel="0" collapsed="false">
      <c r="A449" s="1" t="s">
        <v>796</v>
      </c>
      <c r="B449" s="4" t="n">
        <v>45897</v>
      </c>
      <c r="C449" s="1" t="s">
        <v>321</v>
      </c>
      <c r="D449" s="1" t="s">
        <v>294</v>
      </c>
      <c r="E449" s="1" t="n">
        <v>1</v>
      </c>
      <c r="F449" s="5" t="n">
        <v>0.05</v>
      </c>
      <c r="G449" s="1" t="s">
        <v>34</v>
      </c>
      <c r="H449" s="1" t="s">
        <v>14</v>
      </c>
      <c r="I449" s="1" t="s">
        <v>38</v>
      </c>
      <c r="J449" s="1" t="n">
        <v>6</v>
      </c>
    </row>
    <row r="450" customFormat="false" ht="15" hidden="false" customHeight="false" outlineLevel="0" collapsed="false">
      <c r="A450" s="1" t="s">
        <v>797</v>
      </c>
      <c r="B450" s="4" t="n">
        <v>45765</v>
      </c>
      <c r="C450" s="1" t="s">
        <v>459</v>
      </c>
      <c r="D450" s="1" t="s">
        <v>210</v>
      </c>
      <c r="E450" s="1" t="n">
        <v>2</v>
      </c>
      <c r="F450" s="5" t="n">
        <v>0.1</v>
      </c>
      <c r="G450" s="1" t="s">
        <v>52</v>
      </c>
      <c r="H450" s="1" t="s">
        <v>14</v>
      </c>
      <c r="I450" s="1" t="s">
        <v>20</v>
      </c>
      <c r="J450" s="1" t="n">
        <v>2</v>
      </c>
    </row>
    <row r="451" customFormat="false" ht="15" hidden="false" customHeight="false" outlineLevel="0" collapsed="false">
      <c r="A451" s="1" t="s">
        <v>798</v>
      </c>
      <c r="B451" s="4" t="n">
        <v>45922</v>
      </c>
      <c r="C451" s="1" t="s">
        <v>175</v>
      </c>
      <c r="D451" s="1" t="s">
        <v>41</v>
      </c>
      <c r="E451" s="1" t="n">
        <v>2</v>
      </c>
      <c r="F451" s="5" t="n">
        <v>0.1</v>
      </c>
      <c r="G451" s="1" t="s">
        <v>52</v>
      </c>
      <c r="H451" s="1" t="s">
        <v>53</v>
      </c>
      <c r="I451" s="1" t="s">
        <v>15</v>
      </c>
      <c r="J451" s="1" t="n">
        <v>1</v>
      </c>
    </row>
    <row r="452" customFormat="false" ht="15" hidden="false" customHeight="false" outlineLevel="0" collapsed="false">
      <c r="A452" s="1" t="s">
        <v>799</v>
      </c>
      <c r="B452" s="4" t="n">
        <v>45722</v>
      </c>
      <c r="C452" s="1" t="s">
        <v>570</v>
      </c>
      <c r="D452" s="1" t="s">
        <v>255</v>
      </c>
      <c r="E452" s="1" t="n">
        <v>1</v>
      </c>
      <c r="F452" s="5" t="n">
        <v>0</v>
      </c>
      <c r="G452" s="1" t="s">
        <v>19</v>
      </c>
      <c r="H452" s="1" t="s">
        <v>45</v>
      </c>
      <c r="I452" s="1" t="s">
        <v>20</v>
      </c>
    </row>
    <row r="453" customFormat="false" ht="15" hidden="false" customHeight="false" outlineLevel="0" collapsed="false">
      <c r="A453" s="1" t="s">
        <v>800</v>
      </c>
      <c r="B453" s="4" t="n">
        <v>45843</v>
      </c>
      <c r="C453" s="1" t="s">
        <v>576</v>
      </c>
      <c r="D453" s="1" t="s">
        <v>134</v>
      </c>
      <c r="E453" s="1" t="n">
        <v>1</v>
      </c>
      <c r="F453" s="5" t="n">
        <v>0.15</v>
      </c>
      <c r="G453" s="1" t="s">
        <v>19</v>
      </c>
      <c r="H453" s="1" t="s">
        <v>14</v>
      </c>
      <c r="I453" s="1" t="s">
        <v>15</v>
      </c>
      <c r="J453" s="1" t="n">
        <v>8</v>
      </c>
    </row>
    <row r="454" customFormat="false" ht="15" hidden="false" customHeight="false" outlineLevel="0" collapsed="false">
      <c r="A454" s="1" t="s">
        <v>801</v>
      </c>
      <c r="B454" s="4" t="n">
        <v>45678</v>
      </c>
      <c r="C454" s="1" t="s">
        <v>802</v>
      </c>
      <c r="D454" s="1" t="s">
        <v>97</v>
      </c>
      <c r="E454" s="1" t="n">
        <v>2</v>
      </c>
      <c r="F454" s="5" t="n">
        <v>0.05</v>
      </c>
      <c r="G454" s="1" t="s">
        <v>24</v>
      </c>
      <c r="H454" s="1" t="s">
        <v>14</v>
      </c>
      <c r="I454" s="1" t="s">
        <v>15</v>
      </c>
      <c r="J454" s="1" t="n">
        <v>7</v>
      </c>
    </row>
    <row r="455" customFormat="false" ht="15" hidden="false" customHeight="false" outlineLevel="0" collapsed="false">
      <c r="A455" s="1" t="s">
        <v>803</v>
      </c>
      <c r="B455" s="4" t="n">
        <v>45928</v>
      </c>
      <c r="C455" s="1" t="s">
        <v>263</v>
      </c>
      <c r="D455" s="1" t="s">
        <v>270</v>
      </c>
      <c r="E455" s="1" t="n">
        <v>1</v>
      </c>
      <c r="F455" s="5" t="n">
        <v>0.1</v>
      </c>
      <c r="G455" s="1" t="s">
        <v>13</v>
      </c>
      <c r="H455" s="1" t="s">
        <v>14</v>
      </c>
      <c r="I455" s="1" t="s">
        <v>20</v>
      </c>
      <c r="J455" s="1" t="n">
        <v>8</v>
      </c>
    </row>
    <row r="456" customFormat="false" ht="15" hidden="false" customHeight="false" outlineLevel="0" collapsed="false">
      <c r="A456" s="1" t="s">
        <v>804</v>
      </c>
      <c r="B456" s="4" t="n">
        <v>45826</v>
      </c>
      <c r="C456" s="1" t="s">
        <v>805</v>
      </c>
      <c r="D456" s="1" t="s">
        <v>405</v>
      </c>
      <c r="E456" s="1" t="n">
        <v>1</v>
      </c>
      <c r="F456" s="5" t="n">
        <v>0.2</v>
      </c>
      <c r="G456" s="1" t="s">
        <v>13</v>
      </c>
      <c r="H456" s="1" t="s">
        <v>14</v>
      </c>
      <c r="I456" s="1" t="s">
        <v>15</v>
      </c>
      <c r="J456" s="1" t="n">
        <v>4</v>
      </c>
    </row>
    <row r="457" customFormat="false" ht="15" hidden="false" customHeight="false" outlineLevel="0" collapsed="false">
      <c r="A457" s="1" t="s">
        <v>806</v>
      </c>
      <c r="B457" s="4" t="n">
        <v>45762</v>
      </c>
      <c r="C457" s="1" t="s">
        <v>560</v>
      </c>
      <c r="D457" s="1" t="s">
        <v>441</v>
      </c>
      <c r="E457" s="1" t="n">
        <v>1</v>
      </c>
      <c r="F457" s="5" t="n">
        <v>0.05</v>
      </c>
      <c r="G457" s="1" t="s">
        <v>13</v>
      </c>
      <c r="H457" s="1" t="s">
        <v>53</v>
      </c>
      <c r="I457" s="1" t="s">
        <v>15</v>
      </c>
      <c r="J457" s="1" t="n">
        <v>7</v>
      </c>
    </row>
    <row r="458" customFormat="false" ht="15" hidden="false" customHeight="false" outlineLevel="0" collapsed="false">
      <c r="A458" s="1" t="s">
        <v>807</v>
      </c>
      <c r="B458" s="4" t="n">
        <v>45998</v>
      </c>
      <c r="C458" s="1" t="s">
        <v>102</v>
      </c>
      <c r="D458" s="1" t="s">
        <v>484</v>
      </c>
      <c r="E458" s="1" t="n">
        <v>3</v>
      </c>
      <c r="F458" s="5" t="n">
        <v>0.05</v>
      </c>
      <c r="G458" s="1" t="s">
        <v>34</v>
      </c>
      <c r="H458" s="1" t="s">
        <v>14</v>
      </c>
      <c r="I458" s="1" t="s">
        <v>15</v>
      </c>
      <c r="J458" s="1" t="n">
        <v>1</v>
      </c>
    </row>
    <row r="459" customFormat="false" ht="15" hidden="false" customHeight="false" outlineLevel="0" collapsed="false">
      <c r="A459" s="1" t="s">
        <v>808</v>
      </c>
      <c r="B459" s="4" t="n">
        <v>45854</v>
      </c>
      <c r="C459" s="1" t="s">
        <v>236</v>
      </c>
      <c r="D459" s="1" t="s">
        <v>289</v>
      </c>
      <c r="E459" s="1" t="n">
        <v>2</v>
      </c>
      <c r="F459" s="5" t="n">
        <v>0.05</v>
      </c>
      <c r="G459" s="1" t="s">
        <v>19</v>
      </c>
      <c r="H459" s="1" t="s">
        <v>14</v>
      </c>
      <c r="I459" s="1" t="s">
        <v>15</v>
      </c>
      <c r="J459" s="1" t="n">
        <v>4</v>
      </c>
    </row>
    <row r="460" customFormat="false" ht="15" hidden="false" customHeight="false" outlineLevel="0" collapsed="false">
      <c r="A460" s="1" t="s">
        <v>809</v>
      </c>
      <c r="B460" s="4" t="n">
        <v>45828</v>
      </c>
      <c r="C460" s="1" t="s">
        <v>586</v>
      </c>
      <c r="D460" s="1" t="s">
        <v>493</v>
      </c>
      <c r="E460" s="1" t="n">
        <v>2</v>
      </c>
      <c r="F460" s="5" t="n">
        <v>0.2</v>
      </c>
      <c r="G460" s="1" t="s">
        <v>52</v>
      </c>
      <c r="H460" s="1" t="s">
        <v>14</v>
      </c>
      <c r="I460" s="1" t="s">
        <v>20</v>
      </c>
      <c r="J460" s="1" t="n">
        <v>1</v>
      </c>
    </row>
    <row r="461" customFormat="false" ht="15" hidden="false" customHeight="false" outlineLevel="0" collapsed="false">
      <c r="A461" s="1" t="s">
        <v>810</v>
      </c>
      <c r="B461" s="4" t="n">
        <v>45700</v>
      </c>
      <c r="C461" s="1" t="s">
        <v>657</v>
      </c>
      <c r="D461" s="1" t="s">
        <v>130</v>
      </c>
      <c r="E461" s="1" t="n">
        <v>1</v>
      </c>
      <c r="F461" s="5" t="n">
        <v>0.05</v>
      </c>
      <c r="G461" s="1" t="s">
        <v>19</v>
      </c>
      <c r="H461" s="1" t="s">
        <v>14</v>
      </c>
      <c r="I461" s="1" t="s">
        <v>38</v>
      </c>
      <c r="J461" s="1" t="n">
        <v>4</v>
      </c>
    </row>
    <row r="462" customFormat="false" ht="15" hidden="false" customHeight="false" outlineLevel="0" collapsed="false">
      <c r="A462" s="1" t="s">
        <v>811</v>
      </c>
      <c r="B462" s="4" t="n">
        <v>46002</v>
      </c>
      <c r="C462" s="1" t="s">
        <v>196</v>
      </c>
      <c r="D462" s="1" t="s">
        <v>117</v>
      </c>
      <c r="E462" s="1" t="n">
        <v>2</v>
      </c>
      <c r="F462" s="5" t="n">
        <v>0</v>
      </c>
      <c r="G462" s="1" t="s">
        <v>52</v>
      </c>
      <c r="H462" s="1" t="s">
        <v>53</v>
      </c>
      <c r="I462" s="1" t="s">
        <v>15</v>
      </c>
      <c r="J462" s="1" t="n">
        <v>3</v>
      </c>
    </row>
    <row r="463" customFormat="false" ht="15" hidden="false" customHeight="false" outlineLevel="0" collapsed="false">
      <c r="A463" s="1" t="s">
        <v>812</v>
      </c>
      <c r="B463" s="4" t="n">
        <v>45907</v>
      </c>
      <c r="C463" s="1" t="s">
        <v>283</v>
      </c>
      <c r="D463" s="1" t="s">
        <v>114</v>
      </c>
      <c r="E463" s="1" t="n">
        <v>3</v>
      </c>
      <c r="F463" s="5" t="n">
        <v>0</v>
      </c>
      <c r="G463" s="1" t="s">
        <v>34</v>
      </c>
      <c r="H463" s="1" t="s">
        <v>14</v>
      </c>
      <c r="I463" s="1" t="s">
        <v>38</v>
      </c>
      <c r="J463" s="1" t="n">
        <v>6</v>
      </c>
    </row>
    <row r="464" customFormat="false" ht="15" hidden="false" customHeight="false" outlineLevel="0" collapsed="false">
      <c r="A464" s="1" t="s">
        <v>813</v>
      </c>
      <c r="B464" s="4" t="n">
        <v>45707</v>
      </c>
      <c r="C464" s="1" t="s">
        <v>32</v>
      </c>
      <c r="D464" s="1" t="s">
        <v>303</v>
      </c>
      <c r="E464" s="1" t="n">
        <v>4</v>
      </c>
      <c r="F464" s="5" t="n">
        <v>0.2</v>
      </c>
      <c r="G464" s="1" t="s">
        <v>19</v>
      </c>
      <c r="H464" s="1" t="s">
        <v>14</v>
      </c>
      <c r="I464" s="1" t="s">
        <v>20</v>
      </c>
      <c r="J464" s="1" t="n">
        <v>7</v>
      </c>
    </row>
    <row r="465" customFormat="false" ht="15" hidden="false" customHeight="false" outlineLevel="0" collapsed="false">
      <c r="A465" s="1" t="s">
        <v>814</v>
      </c>
      <c r="B465" s="4" t="n">
        <v>45925</v>
      </c>
      <c r="C465" s="1" t="s">
        <v>815</v>
      </c>
      <c r="D465" s="1" t="s">
        <v>624</v>
      </c>
      <c r="E465" s="1" t="n">
        <v>3</v>
      </c>
      <c r="F465" s="5" t="n">
        <v>0.15</v>
      </c>
      <c r="G465" s="1" t="s">
        <v>52</v>
      </c>
      <c r="H465" s="1" t="s">
        <v>14</v>
      </c>
      <c r="I465" s="1" t="s">
        <v>38</v>
      </c>
      <c r="J465" s="1" t="n">
        <v>2</v>
      </c>
    </row>
    <row r="466" customFormat="false" ht="15" hidden="false" customHeight="false" outlineLevel="0" collapsed="false">
      <c r="A466" s="1" t="s">
        <v>816</v>
      </c>
      <c r="B466" s="4" t="n">
        <v>45730</v>
      </c>
      <c r="C466" s="1" t="s">
        <v>247</v>
      </c>
      <c r="D466" s="1" t="s">
        <v>148</v>
      </c>
      <c r="E466" s="1" t="n">
        <v>2</v>
      </c>
      <c r="F466" s="5" t="n">
        <v>0.15</v>
      </c>
      <c r="G466" s="1" t="s">
        <v>19</v>
      </c>
      <c r="H466" s="1" t="s">
        <v>14</v>
      </c>
      <c r="I466" s="1" t="s">
        <v>15</v>
      </c>
      <c r="J466" s="1" t="n">
        <v>5</v>
      </c>
    </row>
    <row r="467" customFormat="false" ht="15" hidden="false" customHeight="false" outlineLevel="0" collapsed="false">
      <c r="A467" s="1" t="s">
        <v>817</v>
      </c>
      <c r="B467" s="4" t="n">
        <v>45966</v>
      </c>
      <c r="C467" s="1" t="s">
        <v>55</v>
      </c>
      <c r="D467" s="1" t="s">
        <v>444</v>
      </c>
      <c r="E467" s="1" t="n">
        <v>1</v>
      </c>
      <c r="F467" s="5" t="n">
        <v>0.1</v>
      </c>
      <c r="G467" s="1" t="s">
        <v>34</v>
      </c>
      <c r="H467" s="1" t="s">
        <v>14</v>
      </c>
      <c r="I467" s="1" t="s">
        <v>15</v>
      </c>
      <c r="J467" s="1" t="n">
        <v>1</v>
      </c>
    </row>
    <row r="468" customFormat="false" ht="15" hidden="false" customHeight="false" outlineLevel="0" collapsed="false">
      <c r="A468" s="1" t="s">
        <v>818</v>
      </c>
      <c r="B468" s="4" t="n">
        <v>45726</v>
      </c>
      <c r="C468" s="1" t="s">
        <v>666</v>
      </c>
      <c r="D468" s="1" t="s">
        <v>33</v>
      </c>
      <c r="E468" s="1" t="n">
        <v>1</v>
      </c>
      <c r="F468" s="5" t="n">
        <v>0.1</v>
      </c>
      <c r="G468" s="1" t="s">
        <v>34</v>
      </c>
      <c r="H468" s="1" t="s">
        <v>14</v>
      </c>
      <c r="I468" s="1" t="s">
        <v>15</v>
      </c>
      <c r="J468" s="1" t="n">
        <v>2</v>
      </c>
    </row>
    <row r="469" customFormat="false" ht="15" hidden="false" customHeight="false" outlineLevel="0" collapsed="false">
      <c r="A469" s="1" t="s">
        <v>819</v>
      </c>
      <c r="B469" s="4" t="n">
        <v>45834</v>
      </c>
      <c r="C469" s="1" t="s">
        <v>820</v>
      </c>
      <c r="D469" s="1" t="s">
        <v>192</v>
      </c>
      <c r="E469" s="1" t="n">
        <v>1</v>
      </c>
      <c r="F469" s="5" t="n">
        <v>0.05</v>
      </c>
      <c r="G469" s="1" t="s">
        <v>34</v>
      </c>
      <c r="H469" s="1" t="s">
        <v>14</v>
      </c>
      <c r="I469" s="1" t="s">
        <v>20</v>
      </c>
      <c r="J469" s="1" t="n">
        <v>8</v>
      </c>
    </row>
    <row r="470" customFormat="false" ht="15" hidden="false" customHeight="false" outlineLevel="0" collapsed="false">
      <c r="A470" s="1" t="s">
        <v>821</v>
      </c>
      <c r="B470" s="4" t="n">
        <v>45901</v>
      </c>
      <c r="C470" s="1" t="s">
        <v>822</v>
      </c>
      <c r="D470" s="1" t="s">
        <v>106</v>
      </c>
      <c r="E470" s="1" t="n">
        <v>3</v>
      </c>
      <c r="F470" s="5" t="n">
        <v>0.05</v>
      </c>
      <c r="G470" s="1" t="s">
        <v>34</v>
      </c>
      <c r="H470" s="1" t="s">
        <v>53</v>
      </c>
      <c r="I470" s="1" t="s">
        <v>20</v>
      </c>
      <c r="J470" s="1" t="n">
        <v>5</v>
      </c>
    </row>
    <row r="471" customFormat="false" ht="15" hidden="false" customHeight="false" outlineLevel="0" collapsed="false">
      <c r="A471" s="1" t="s">
        <v>823</v>
      </c>
      <c r="B471" s="4" t="n">
        <v>45859</v>
      </c>
      <c r="C471" s="1" t="s">
        <v>505</v>
      </c>
      <c r="D471" s="1" t="s">
        <v>27</v>
      </c>
      <c r="E471" s="1" t="n">
        <v>1</v>
      </c>
      <c r="F471" s="5" t="n">
        <v>0.05</v>
      </c>
      <c r="G471" s="1" t="s">
        <v>34</v>
      </c>
      <c r="H471" s="1" t="s">
        <v>14</v>
      </c>
      <c r="I471" s="1" t="s">
        <v>15</v>
      </c>
      <c r="J471" s="1" t="n">
        <v>4</v>
      </c>
    </row>
    <row r="472" customFormat="false" ht="15" hidden="false" customHeight="false" outlineLevel="0" collapsed="false">
      <c r="A472" s="1" t="s">
        <v>824</v>
      </c>
      <c r="B472" s="4" t="n">
        <v>45690</v>
      </c>
      <c r="C472" s="1" t="s">
        <v>55</v>
      </c>
      <c r="D472" s="1" t="s">
        <v>70</v>
      </c>
      <c r="E472" s="1" t="n">
        <v>2</v>
      </c>
      <c r="F472" s="5" t="n">
        <v>0.15</v>
      </c>
      <c r="G472" s="1" t="s">
        <v>24</v>
      </c>
      <c r="H472" s="1" t="s">
        <v>92</v>
      </c>
      <c r="I472" s="1" t="s">
        <v>15</v>
      </c>
    </row>
    <row r="473" customFormat="false" ht="15" hidden="false" customHeight="false" outlineLevel="0" collapsed="false">
      <c r="A473" s="1" t="s">
        <v>825</v>
      </c>
      <c r="B473" s="4" t="n">
        <v>45982</v>
      </c>
      <c r="C473" s="1" t="s">
        <v>191</v>
      </c>
      <c r="D473" s="1" t="s">
        <v>160</v>
      </c>
      <c r="E473" s="1" t="n">
        <v>1</v>
      </c>
      <c r="F473" s="5" t="n">
        <v>0.1</v>
      </c>
      <c r="G473" s="1" t="s">
        <v>52</v>
      </c>
      <c r="H473" s="1" t="s">
        <v>14</v>
      </c>
      <c r="I473" s="1" t="s">
        <v>15</v>
      </c>
      <c r="J473" s="1" t="n">
        <v>4</v>
      </c>
    </row>
    <row r="474" customFormat="false" ht="15" hidden="false" customHeight="false" outlineLevel="0" collapsed="false">
      <c r="A474" s="1" t="s">
        <v>826</v>
      </c>
      <c r="B474" s="4" t="n">
        <v>45721</v>
      </c>
      <c r="C474" s="1" t="s">
        <v>827</v>
      </c>
      <c r="D474" s="1" t="s">
        <v>270</v>
      </c>
      <c r="E474" s="1" t="n">
        <v>3</v>
      </c>
      <c r="F474" s="5" t="n">
        <v>0.1</v>
      </c>
      <c r="G474" s="1" t="s">
        <v>52</v>
      </c>
      <c r="H474" s="1" t="s">
        <v>14</v>
      </c>
      <c r="I474" s="1" t="s">
        <v>20</v>
      </c>
      <c r="J474" s="1" t="n">
        <v>5</v>
      </c>
    </row>
    <row r="475" customFormat="false" ht="15" hidden="false" customHeight="false" outlineLevel="0" collapsed="false">
      <c r="A475" s="1" t="s">
        <v>828</v>
      </c>
      <c r="B475" s="4" t="n">
        <v>45850</v>
      </c>
      <c r="C475" s="1" t="s">
        <v>196</v>
      </c>
      <c r="D475" s="1" t="s">
        <v>18</v>
      </c>
      <c r="E475" s="1" t="n">
        <v>1</v>
      </c>
      <c r="F475" s="5" t="n">
        <v>0.15</v>
      </c>
      <c r="G475" s="1" t="s">
        <v>52</v>
      </c>
      <c r="H475" s="1" t="s">
        <v>14</v>
      </c>
      <c r="I475" s="1" t="s">
        <v>20</v>
      </c>
      <c r="J475" s="1" t="n">
        <v>2</v>
      </c>
    </row>
    <row r="476" customFormat="false" ht="15" hidden="false" customHeight="false" outlineLevel="0" collapsed="false">
      <c r="A476" s="1" t="s">
        <v>829</v>
      </c>
      <c r="B476" s="4" t="n">
        <v>45970</v>
      </c>
      <c r="C476" s="1" t="s">
        <v>830</v>
      </c>
      <c r="D476" s="1" t="s">
        <v>114</v>
      </c>
      <c r="E476" s="1" t="n">
        <v>1</v>
      </c>
      <c r="F476" s="5" t="n">
        <v>0.25</v>
      </c>
      <c r="G476" s="1" t="s">
        <v>52</v>
      </c>
      <c r="H476" s="1" t="s">
        <v>14</v>
      </c>
      <c r="I476" s="1" t="s">
        <v>20</v>
      </c>
      <c r="J476" s="1" t="n">
        <v>6</v>
      </c>
    </row>
    <row r="477" customFormat="false" ht="15" hidden="false" customHeight="false" outlineLevel="0" collapsed="false">
      <c r="A477" s="1" t="s">
        <v>831</v>
      </c>
      <c r="B477" s="4" t="n">
        <v>45841</v>
      </c>
      <c r="C477" s="1" t="s">
        <v>507</v>
      </c>
      <c r="D477" s="1" t="s">
        <v>12</v>
      </c>
      <c r="E477" s="1" t="n">
        <v>1</v>
      </c>
      <c r="F477" s="5" t="n">
        <v>0</v>
      </c>
      <c r="G477" s="1" t="s">
        <v>52</v>
      </c>
      <c r="H477" s="1" t="s">
        <v>14</v>
      </c>
      <c r="I477" s="1" t="s">
        <v>15</v>
      </c>
      <c r="J477" s="1" t="n">
        <v>5</v>
      </c>
    </row>
    <row r="478" customFormat="false" ht="15" hidden="false" customHeight="false" outlineLevel="0" collapsed="false">
      <c r="A478" s="1" t="s">
        <v>832</v>
      </c>
      <c r="B478" s="4" t="n">
        <v>45796</v>
      </c>
      <c r="C478" s="1" t="s">
        <v>833</v>
      </c>
      <c r="D478" s="1" t="s">
        <v>624</v>
      </c>
      <c r="E478" s="1" t="n">
        <v>1</v>
      </c>
      <c r="F478" s="5" t="n">
        <v>0.1</v>
      </c>
      <c r="G478" s="1" t="s">
        <v>52</v>
      </c>
      <c r="H478" s="1" t="s">
        <v>14</v>
      </c>
      <c r="I478" s="1" t="s">
        <v>15</v>
      </c>
      <c r="J478" s="1" t="n">
        <v>4</v>
      </c>
    </row>
    <row r="479" customFormat="false" ht="15" hidden="false" customHeight="false" outlineLevel="0" collapsed="false">
      <c r="A479" s="1" t="s">
        <v>834</v>
      </c>
      <c r="B479" s="4" t="n">
        <v>45667</v>
      </c>
      <c r="C479" s="1" t="s">
        <v>548</v>
      </c>
      <c r="D479" s="1" t="s">
        <v>423</v>
      </c>
      <c r="E479" s="1" t="n">
        <v>1</v>
      </c>
      <c r="F479" s="5" t="n">
        <v>0.15</v>
      </c>
      <c r="G479" s="1" t="s">
        <v>24</v>
      </c>
      <c r="H479" s="1" t="s">
        <v>78</v>
      </c>
      <c r="I479" s="1" t="s">
        <v>15</v>
      </c>
      <c r="J479" s="1" t="n">
        <v>3</v>
      </c>
    </row>
    <row r="480" customFormat="false" ht="15" hidden="false" customHeight="false" outlineLevel="0" collapsed="false">
      <c r="A480" s="1" t="s">
        <v>835</v>
      </c>
      <c r="B480" s="4" t="n">
        <v>45771</v>
      </c>
      <c r="C480" s="1" t="s">
        <v>836</v>
      </c>
      <c r="D480" s="1" t="s">
        <v>70</v>
      </c>
      <c r="E480" s="1" t="n">
        <v>1</v>
      </c>
      <c r="F480" s="5" t="n">
        <v>0.1</v>
      </c>
      <c r="G480" s="1" t="s">
        <v>24</v>
      </c>
      <c r="H480" s="1" t="s">
        <v>14</v>
      </c>
      <c r="I480" s="1" t="s">
        <v>15</v>
      </c>
      <c r="J480" s="1" t="n">
        <v>5</v>
      </c>
    </row>
    <row r="481" customFormat="false" ht="15" hidden="false" customHeight="false" outlineLevel="0" collapsed="false">
      <c r="A481" s="1" t="s">
        <v>837</v>
      </c>
      <c r="B481" s="4" t="n">
        <v>45814</v>
      </c>
      <c r="C481" s="1" t="s">
        <v>219</v>
      </c>
      <c r="D481" s="1" t="s">
        <v>100</v>
      </c>
      <c r="E481" s="1" t="n">
        <v>2</v>
      </c>
      <c r="F481" s="5" t="n">
        <v>0.25</v>
      </c>
      <c r="G481" s="1" t="s">
        <v>13</v>
      </c>
      <c r="H481" s="1" t="s">
        <v>14</v>
      </c>
      <c r="I481" s="1" t="s">
        <v>15</v>
      </c>
      <c r="J481" s="1" t="n">
        <v>6</v>
      </c>
    </row>
    <row r="482" customFormat="false" ht="15" hidden="false" customHeight="false" outlineLevel="0" collapsed="false">
      <c r="A482" s="1" t="s">
        <v>838</v>
      </c>
      <c r="B482" s="4" t="n">
        <v>45914</v>
      </c>
      <c r="C482" s="1" t="s">
        <v>839</v>
      </c>
      <c r="D482" s="1" t="s">
        <v>429</v>
      </c>
      <c r="E482" s="1" t="n">
        <v>2</v>
      </c>
      <c r="F482" s="5" t="n">
        <v>0.2</v>
      </c>
      <c r="G482" s="1" t="s">
        <v>52</v>
      </c>
      <c r="H482" s="1" t="s">
        <v>78</v>
      </c>
      <c r="I482" s="1" t="s">
        <v>15</v>
      </c>
      <c r="J482" s="1" t="n">
        <v>2</v>
      </c>
    </row>
    <row r="483" customFormat="false" ht="15" hidden="false" customHeight="false" outlineLevel="0" collapsed="false">
      <c r="A483" s="1" t="s">
        <v>840</v>
      </c>
      <c r="B483" s="4" t="n">
        <v>45967</v>
      </c>
      <c r="C483" s="1" t="s">
        <v>841</v>
      </c>
      <c r="D483" s="1" t="s">
        <v>286</v>
      </c>
      <c r="E483" s="1" t="n">
        <v>3</v>
      </c>
      <c r="F483" s="5" t="n">
        <v>0.05</v>
      </c>
      <c r="G483" s="1" t="s">
        <v>24</v>
      </c>
      <c r="H483" s="1" t="s">
        <v>14</v>
      </c>
      <c r="I483" s="1" t="s">
        <v>20</v>
      </c>
      <c r="J483" s="1" t="n">
        <v>8</v>
      </c>
    </row>
    <row r="484" customFormat="false" ht="15" hidden="false" customHeight="false" outlineLevel="0" collapsed="false">
      <c r="A484" s="1" t="s">
        <v>842</v>
      </c>
      <c r="B484" s="4" t="n">
        <v>45856</v>
      </c>
      <c r="C484" s="1" t="s">
        <v>259</v>
      </c>
      <c r="D484" s="1" t="s">
        <v>64</v>
      </c>
      <c r="E484" s="1" t="n">
        <v>2</v>
      </c>
      <c r="F484" s="5" t="n">
        <v>0.15</v>
      </c>
      <c r="G484" s="1" t="s">
        <v>19</v>
      </c>
      <c r="H484" s="1" t="s">
        <v>14</v>
      </c>
      <c r="I484" s="1" t="s">
        <v>15</v>
      </c>
      <c r="J484" s="1" t="n">
        <v>4</v>
      </c>
    </row>
    <row r="485" customFormat="false" ht="15" hidden="false" customHeight="false" outlineLevel="0" collapsed="false">
      <c r="A485" s="1" t="s">
        <v>843</v>
      </c>
      <c r="B485" s="4" t="n">
        <v>45765</v>
      </c>
      <c r="C485" s="1" t="s">
        <v>111</v>
      </c>
      <c r="D485" s="1" t="s">
        <v>64</v>
      </c>
      <c r="E485" s="1" t="n">
        <v>2</v>
      </c>
      <c r="F485" s="5" t="n">
        <v>0.05</v>
      </c>
      <c r="G485" s="1" t="s">
        <v>34</v>
      </c>
      <c r="H485" s="1" t="s">
        <v>14</v>
      </c>
      <c r="I485" s="1" t="s">
        <v>20</v>
      </c>
      <c r="J485" s="1" t="n">
        <v>4</v>
      </c>
    </row>
    <row r="486" customFormat="false" ht="15" hidden="false" customHeight="false" outlineLevel="0" collapsed="false">
      <c r="A486" s="1" t="s">
        <v>844</v>
      </c>
      <c r="B486" s="4" t="n">
        <v>45835</v>
      </c>
      <c r="C486" s="1" t="s">
        <v>234</v>
      </c>
      <c r="D486" s="1" t="s">
        <v>165</v>
      </c>
      <c r="E486" s="1" t="n">
        <v>3</v>
      </c>
      <c r="F486" s="5" t="n">
        <v>0.05</v>
      </c>
      <c r="G486" s="1" t="s">
        <v>34</v>
      </c>
      <c r="H486" s="1" t="s">
        <v>92</v>
      </c>
      <c r="I486" s="1" t="s">
        <v>15</v>
      </c>
    </row>
    <row r="487" customFormat="false" ht="15" hidden="false" customHeight="false" outlineLevel="0" collapsed="false">
      <c r="A487" s="1" t="s">
        <v>845</v>
      </c>
      <c r="B487" s="4" t="n">
        <v>45785</v>
      </c>
      <c r="C487" s="1" t="s">
        <v>846</v>
      </c>
      <c r="D487" s="1" t="s">
        <v>143</v>
      </c>
      <c r="E487" s="1" t="n">
        <v>1</v>
      </c>
      <c r="F487" s="5" t="n">
        <v>0.25</v>
      </c>
      <c r="G487" s="1" t="s">
        <v>52</v>
      </c>
      <c r="H487" s="1" t="s">
        <v>92</v>
      </c>
      <c r="I487" s="1" t="s">
        <v>38</v>
      </c>
    </row>
    <row r="488" customFormat="false" ht="15" hidden="false" customHeight="false" outlineLevel="0" collapsed="false">
      <c r="A488" s="1" t="s">
        <v>847</v>
      </c>
      <c r="B488" s="4" t="n">
        <v>45906</v>
      </c>
      <c r="C488" s="1" t="s">
        <v>848</v>
      </c>
      <c r="D488" s="1" t="s">
        <v>444</v>
      </c>
      <c r="E488" s="1" t="n">
        <v>2</v>
      </c>
      <c r="F488" s="5" t="n">
        <v>0.05</v>
      </c>
      <c r="G488" s="1" t="s">
        <v>34</v>
      </c>
      <c r="H488" s="1" t="s">
        <v>14</v>
      </c>
      <c r="I488" s="1" t="s">
        <v>15</v>
      </c>
      <c r="J488" s="1" t="n">
        <v>7</v>
      </c>
    </row>
    <row r="489" customFormat="false" ht="15" hidden="false" customHeight="false" outlineLevel="0" collapsed="false">
      <c r="A489" s="1" t="s">
        <v>849</v>
      </c>
      <c r="B489" s="4" t="n">
        <v>45663</v>
      </c>
      <c r="C489" s="1" t="s">
        <v>338</v>
      </c>
      <c r="D489" s="1" t="s">
        <v>537</v>
      </c>
      <c r="E489" s="1" t="n">
        <v>2</v>
      </c>
      <c r="F489" s="5" t="n">
        <v>0</v>
      </c>
      <c r="G489" s="1" t="s">
        <v>13</v>
      </c>
      <c r="H489" s="1" t="s">
        <v>53</v>
      </c>
      <c r="I489" s="1" t="s">
        <v>20</v>
      </c>
      <c r="J489" s="1" t="n">
        <v>2</v>
      </c>
    </row>
    <row r="490" customFormat="false" ht="15" hidden="false" customHeight="false" outlineLevel="0" collapsed="false">
      <c r="A490" s="1" t="s">
        <v>850</v>
      </c>
      <c r="B490" s="4" t="n">
        <v>45974</v>
      </c>
      <c r="C490" s="1" t="s">
        <v>26</v>
      </c>
      <c r="D490" s="1" t="s">
        <v>253</v>
      </c>
      <c r="E490" s="1" t="n">
        <v>2</v>
      </c>
      <c r="F490" s="5" t="n">
        <v>0.05</v>
      </c>
      <c r="G490" s="1" t="s">
        <v>13</v>
      </c>
      <c r="H490" s="1" t="s">
        <v>14</v>
      </c>
      <c r="I490" s="1" t="s">
        <v>15</v>
      </c>
      <c r="J490" s="1" t="n">
        <v>3</v>
      </c>
    </row>
    <row r="491" customFormat="false" ht="15" hidden="false" customHeight="false" outlineLevel="0" collapsed="false">
      <c r="A491" s="1" t="s">
        <v>851</v>
      </c>
      <c r="B491" s="4" t="n">
        <v>45698</v>
      </c>
      <c r="C491" s="1" t="s">
        <v>50</v>
      </c>
      <c r="D491" s="1" t="s">
        <v>294</v>
      </c>
      <c r="E491" s="1" t="n">
        <v>1</v>
      </c>
      <c r="F491" s="5" t="n">
        <v>0.15</v>
      </c>
      <c r="G491" s="1" t="s">
        <v>52</v>
      </c>
      <c r="H491" s="1" t="s">
        <v>14</v>
      </c>
      <c r="I491" s="1" t="s">
        <v>38</v>
      </c>
      <c r="J491" s="1" t="n">
        <v>8</v>
      </c>
    </row>
    <row r="492" customFormat="false" ht="15" hidden="false" customHeight="false" outlineLevel="0" collapsed="false">
      <c r="A492" s="1" t="s">
        <v>852</v>
      </c>
      <c r="B492" s="4" t="n">
        <v>45709</v>
      </c>
      <c r="C492" s="1" t="s">
        <v>232</v>
      </c>
      <c r="D492" s="1" t="s">
        <v>220</v>
      </c>
      <c r="E492" s="1" t="n">
        <v>1</v>
      </c>
      <c r="F492" s="5" t="n">
        <v>0.05</v>
      </c>
      <c r="G492" s="1" t="s">
        <v>71</v>
      </c>
      <c r="H492" s="1" t="s">
        <v>14</v>
      </c>
      <c r="I492" s="1" t="s">
        <v>15</v>
      </c>
      <c r="J492" s="1" t="n">
        <v>4</v>
      </c>
    </row>
    <row r="493" customFormat="false" ht="15" hidden="false" customHeight="false" outlineLevel="0" collapsed="false">
      <c r="A493" s="1" t="s">
        <v>853</v>
      </c>
      <c r="B493" s="4" t="n">
        <v>45666</v>
      </c>
      <c r="C493" s="1" t="s">
        <v>854</v>
      </c>
      <c r="D493" s="1" t="s">
        <v>33</v>
      </c>
      <c r="E493" s="1" t="n">
        <v>2</v>
      </c>
      <c r="F493" s="5" t="n">
        <v>0.2</v>
      </c>
      <c r="G493" s="1" t="s">
        <v>52</v>
      </c>
      <c r="H493" s="1" t="s">
        <v>14</v>
      </c>
      <c r="I493" s="1" t="s">
        <v>15</v>
      </c>
      <c r="J493" s="1" t="n">
        <v>4</v>
      </c>
    </row>
    <row r="494" customFormat="false" ht="15" hidden="false" customHeight="false" outlineLevel="0" collapsed="false">
      <c r="A494" s="1" t="s">
        <v>855</v>
      </c>
      <c r="B494" s="4" t="n">
        <v>45777</v>
      </c>
      <c r="C494" s="1" t="s">
        <v>384</v>
      </c>
      <c r="D494" s="1" t="s">
        <v>624</v>
      </c>
      <c r="E494" s="1" t="n">
        <v>1</v>
      </c>
      <c r="F494" s="5" t="n">
        <v>0</v>
      </c>
      <c r="G494" s="1" t="s">
        <v>34</v>
      </c>
      <c r="H494" s="1" t="s">
        <v>14</v>
      </c>
      <c r="I494" s="1" t="s">
        <v>15</v>
      </c>
      <c r="J494" s="1" t="n">
        <v>1</v>
      </c>
    </row>
    <row r="495" customFormat="false" ht="15" hidden="false" customHeight="false" outlineLevel="0" collapsed="false">
      <c r="A495" s="1" t="s">
        <v>856</v>
      </c>
      <c r="B495" s="4" t="n">
        <v>45690</v>
      </c>
      <c r="C495" s="1" t="s">
        <v>129</v>
      </c>
      <c r="D495" s="1" t="s">
        <v>137</v>
      </c>
      <c r="E495" s="1" t="n">
        <v>1</v>
      </c>
      <c r="F495" s="5" t="n">
        <v>0.15</v>
      </c>
      <c r="G495" s="1" t="s">
        <v>52</v>
      </c>
      <c r="H495" s="1" t="s">
        <v>53</v>
      </c>
      <c r="I495" s="1" t="s">
        <v>20</v>
      </c>
      <c r="J495" s="1" t="n">
        <v>3</v>
      </c>
    </row>
    <row r="496" customFormat="false" ht="15" hidden="false" customHeight="false" outlineLevel="0" collapsed="false">
      <c r="A496" s="1" t="s">
        <v>857</v>
      </c>
      <c r="B496" s="4" t="n">
        <v>45956</v>
      </c>
      <c r="C496" s="1" t="s">
        <v>827</v>
      </c>
      <c r="D496" s="1" t="s">
        <v>455</v>
      </c>
      <c r="E496" s="1" t="n">
        <v>2</v>
      </c>
      <c r="F496" s="5" t="n">
        <v>0.2</v>
      </c>
      <c r="G496" s="1" t="s">
        <v>24</v>
      </c>
      <c r="H496" s="1" t="s">
        <v>14</v>
      </c>
      <c r="I496" s="1" t="s">
        <v>15</v>
      </c>
      <c r="J496" s="1" t="n">
        <v>5</v>
      </c>
    </row>
    <row r="497" customFormat="false" ht="15" hidden="false" customHeight="false" outlineLevel="0" collapsed="false">
      <c r="A497" s="1" t="s">
        <v>858</v>
      </c>
      <c r="B497" s="4" t="n">
        <v>45986</v>
      </c>
      <c r="C497" s="1" t="s">
        <v>664</v>
      </c>
      <c r="D497" s="1" t="s">
        <v>148</v>
      </c>
      <c r="E497" s="1" t="n">
        <v>2</v>
      </c>
      <c r="F497" s="5" t="n">
        <v>0.1</v>
      </c>
      <c r="G497" s="1" t="s">
        <v>71</v>
      </c>
      <c r="H497" s="1" t="s">
        <v>45</v>
      </c>
      <c r="I497" s="1" t="s">
        <v>20</v>
      </c>
    </row>
    <row r="498" customFormat="false" ht="15" hidden="false" customHeight="false" outlineLevel="0" collapsed="false">
      <c r="A498" s="1" t="s">
        <v>859</v>
      </c>
      <c r="B498" s="4" t="n">
        <v>45823</v>
      </c>
      <c r="C498" s="1" t="s">
        <v>232</v>
      </c>
      <c r="D498" s="1" t="s">
        <v>230</v>
      </c>
      <c r="E498" s="1" t="n">
        <v>2</v>
      </c>
      <c r="F498" s="5" t="n">
        <v>0.05</v>
      </c>
      <c r="G498" s="1" t="s">
        <v>34</v>
      </c>
      <c r="H498" s="1" t="s">
        <v>14</v>
      </c>
      <c r="I498" s="1" t="s">
        <v>20</v>
      </c>
      <c r="J498" s="1" t="n">
        <v>4</v>
      </c>
    </row>
    <row r="499" customFormat="false" ht="15" hidden="false" customHeight="false" outlineLevel="0" collapsed="false">
      <c r="A499" s="1" t="s">
        <v>860</v>
      </c>
      <c r="B499" s="4" t="n">
        <v>45672</v>
      </c>
      <c r="C499" s="1" t="s">
        <v>368</v>
      </c>
      <c r="D499" s="1" t="s">
        <v>335</v>
      </c>
      <c r="E499" s="1" t="n">
        <v>4</v>
      </c>
      <c r="F499" s="5" t="n">
        <v>0.05</v>
      </c>
      <c r="G499" s="1" t="s">
        <v>24</v>
      </c>
      <c r="H499" s="1" t="s">
        <v>14</v>
      </c>
      <c r="I499" s="1" t="s">
        <v>15</v>
      </c>
      <c r="J499" s="1" t="n">
        <v>6</v>
      </c>
    </row>
    <row r="500" customFormat="false" ht="15" hidden="false" customHeight="false" outlineLevel="0" collapsed="false">
      <c r="A500" s="1" t="s">
        <v>861</v>
      </c>
      <c r="B500" s="4" t="n">
        <v>45925</v>
      </c>
      <c r="C500" s="1" t="s">
        <v>802</v>
      </c>
      <c r="D500" s="1" t="s">
        <v>624</v>
      </c>
      <c r="E500" s="1" t="n">
        <v>3</v>
      </c>
      <c r="F500" s="5" t="n">
        <v>0</v>
      </c>
      <c r="G500" s="1" t="s">
        <v>34</v>
      </c>
      <c r="H500" s="1" t="s">
        <v>78</v>
      </c>
      <c r="I500" s="1" t="s">
        <v>15</v>
      </c>
      <c r="J500" s="1" t="n">
        <v>3</v>
      </c>
    </row>
    <row r="501" customFormat="false" ht="15" hidden="false" customHeight="false" outlineLevel="0" collapsed="false">
      <c r="A501" s="1" t="s">
        <v>862</v>
      </c>
      <c r="B501" s="4" t="n">
        <v>45901</v>
      </c>
      <c r="C501" s="1" t="s">
        <v>594</v>
      </c>
      <c r="D501" s="1" t="s">
        <v>429</v>
      </c>
      <c r="E501" s="1" t="n">
        <v>2</v>
      </c>
      <c r="F501" s="5" t="n">
        <v>0.1</v>
      </c>
      <c r="G501" s="1" t="s">
        <v>34</v>
      </c>
      <c r="H501" s="1" t="s">
        <v>14</v>
      </c>
      <c r="I501" s="1" t="s">
        <v>20</v>
      </c>
      <c r="J501" s="1" t="n">
        <v>4</v>
      </c>
    </row>
    <row r="502" customFormat="false" ht="15" hidden="false" customHeight="false" outlineLevel="0" collapsed="false">
      <c r="A502" s="1" t="s">
        <v>863</v>
      </c>
      <c r="B502" s="4" t="n">
        <v>45820</v>
      </c>
      <c r="C502" s="1" t="s">
        <v>586</v>
      </c>
      <c r="D502" s="1" t="s">
        <v>140</v>
      </c>
      <c r="E502" s="1" t="n">
        <v>4</v>
      </c>
      <c r="F502" s="5" t="n">
        <v>0.25</v>
      </c>
      <c r="G502" s="1" t="s">
        <v>19</v>
      </c>
      <c r="H502" s="1" t="s">
        <v>14</v>
      </c>
      <c r="I502" s="1" t="s">
        <v>20</v>
      </c>
      <c r="J502" s="1" t="n">
        <v>8</v>
      </c>
    </row>
    <row r="503" customFormat="false" ht="15" hidden="false" customHeight="false" outlineLevel="0" collapsed="false">
      <c r="A503" s="1" t="s">
        <v>864</v>
      </c>
      <c r="B503" s="4" t="n">
        <v>45700</v>
      </c>
      <c r="C503" s="1" t="s">
        <v>457</v>
      </c>
      <c r="D503" s="1" t="s">
        <v>371</v>
      </c>
      <c r="E503" s="1" t="n">
        <v>1</v>
      </c>
      <c r="F503" s="5" t="n">
        <v>0</v>
      </c>
      <c r="G503" s="1" t="s">
        <v>52</v>
      </c>
      <c r="H503" s="1" t="s">
        <v>92</v>
      </c>
      <c r="I503" s="1" t="s">
        <v>20</v>
      </c>
    </row>
    <row r="504" customFormat="false" ht="15" hidden="false" customHeight="false" outlineLevel="0" collapsed="false">
      <c r="A504" s="1" t="s">
        <v>865</v>
      </c>
      <c r="B504" s="4" t="n">
        <v>45680</v>
      </c>
      <c r="C504" s="1" t="s">
        <v>839</v>
      </c>
      <c r="D504" s="1" t="s">
        <v>176</v>
      </c>
      <c r="E504" s="1" t="n">
        <v>2</v>
      </c>
      <c r="F504" s="5" t="n">
        <v>0.05</v>
      </c>
      <c r="G504" s="1" t="s">
        <v>34</v>
      </c>
      <c r="H504" s="1" t="s">
        <v>53</v>
      </c>
      <c r="I504" s="1" t="s">
        <v>38</v>
      </c>
      <c r="J504" s="1" t="n">
        <v>6</v>
      </c>
    </row>
    <row r="505" customFormat="false" ht="15" hidden="false" customHeight="false" outlineLevel="0" collapsed="false">
      <c r="A505" s="1" t="s">
        <v>866</v>
      </c>
      <c r="B505" s="4" t="n">
        <v>45772</v>
      </c>
      <c r="C505" s="1" t="s">
        <v>867</v>
      </c>
      <c r="D505" s="1" t="s">
        <v>162</v>
      </c>
      <c r="E505" s="1" t="n">
        <v>2</v>
      </c>
      <c r="F505" s="5" t="n">
        <v>0.05</v>
      </c>
      <c r="G505" s="1" t="s">
        <v>34</v>
      </c>
      <c r="H505" s="1" t="s">
        <v>78</v>
      </c>
      <c r="I505" s="1" t="s">
        <v>38</v>
      </c>
      <c r="J505" s="1" t="n">
        <v>8</v>
      </c>
    </row>
    <row r="506" customFormat="false" ht="15" hidden="false" customHeight="false" outlineLevel="0" collapsed="false">
      <c r="A506" s="1" t="s">
        <v>868</v>
      </c>
      <c r="B506" s="4" t="n">
        <v>45881</v>
      </c>
      <c r="C506" s="1" t="s">
        <v>199</v>
      </c>
      <c r="D506" s="1" t="s">
        <v>106</v>
      </c>
      <c r="E506" s="1" t="n">
        <v>1</v>
      </c>
      <c r="F506" s="5" t="n">
        <v>0.05</v>
      </c>
      <c r="G506" s="1" t="s">
        <v>13</v>
      </c>
      <c r="H506" s="1" t="s">
        <v>14</v>
      </c>
      <c r="I506" s="1" t="s">
        <v>20</v>
      </c>
      <c r="J506" s="1" t="n">
        <v>5</v>
      </c>
    </row>
    <row r="507" customFormat="false" ht="15" hidden="false" customHeight="false" outlineLevel="0" collapsed="false">
      <c r="A507" s="1" t="s">
        <v>869</v>
      </c>
      <c r="B507" s="4" t="n">
        <v>45924</v>
      </c>
      <c r="C507" s="1" t="s">
        <v>870</v>
      </c>
      <c r="D507" s="1" t="s">
        <v>484</v>
      </c>
      <c r="E507" s="1" t="n">
        <v>4</v>
      </c>
      <c r="F507" s="5" t="n">
        <v>0.1</v>
      </c>
      <c r="G507" s="1" t="s">
        <v>34</v>
      </c>
      <c r="H507" s="1" t="s">
        <v>14</v>
      </c>
      <c r="I507" s="1" t="s">
        <v>38</v>
      </c>
      <c r="J507" s="1" t="n">
        <v>8</v>
      </c>
    </row>
    <row r="508" customFormat="false" ht="15" hidden="false" customHeight="false" outlineLevel="0" collapsed="false">
      <c r="A508" s="1" t="s">
        <v>871</v>
      </c>
      <c r="B508" s="4" t="n">
        <v>45907</v>
      </c>
      <c r="C508" s="1" t="s">
        <v>532</v>
      </c>
      <c r="D508" s="1" t="s">
        <v>375</v>
      </c>
      <c r="E508" s="1" t="n">
        <v>1</v>
      </c>
      <c r="F508" s="5" t="n">
        <v>0.1</v>
      </c>
      <c r="G508" s="1" t="s">
        <v>24</v>
      </c>
      <c r="H508" s="1" t="s">
        <v>14</v>
      </c>
      <c r="I508" s="1" t="s">
        <v>38</v>
      </c>
      <c r="J508" s="1" t="n">
        <v>3</v>
      </c>
    </row>
    <row r="509" customFormat="false" ht="15" hidden="false" customHeight="false" outlineLevel="0" collapsed="false">
      <c r="A509" s="1" t="s">
        <v>872</v>
      </c>
      <c r="B509" s="4" t="n">
        <v>45895</v>
      </c>
      <c r="C509" s="1" t="s">
        <v>600</v>
      </c>
      <c r="D509" s="1" t="s">
        <v>371</v>
      </c>
      <c r="E509" s="1" t="n">
        <v>1</v>
      </c>
      <c r="F509" s="5" t="n">
        <v>0.15</v>
      </c>
      <c r="G509" s="1" t="s">
        <v>19</v>
      </c>
      <c r="H509" s="1" t="s">
        <v>14</v>
      </c>
      <c r="I509" s="1" t="s">
        <v>38</v>
      </c>
      <c r="J509" s="1" t="n">
        <v>4</v>
      </c>
    </row>
    <row r="510" customFormat="false" ht="15" hidden="false" customHeight="false" outlineLevel="0" collapsed="false">
      <c r="A510" s="1" t="s">
        <v>873</v>
      </c>
      <c r="B510" s="4" t="n">
        <v>45969</v>
      </c>
      <c r="C510" s="1" t="s">
        <v>568</v>
      </c>
      <c r="D510" s="1" t="s">
        <v>315</v>
      </c>
      <c r="E510" s="1" t="n">
        <v>2</v>
      </c>
      <c r="F510" s="5" t="n">
        <v>0.25</v>
      </c>
      <c r="G510" s="1" t="s">
        <v>52</v>
      </c>
      <c r="H510" s="1" t="s">
        <v>14</v>
      </c>
      <c r="I510" s="1" t="s">
        <v>38</v>
      </c>
      <c r="J510" s="1" t="n">
        <v>3</v>
      </c>
    </row>
    <row r="511" customFormat="false" ht="15" hidden="false" customHeight="false" outlineLevel="0" collapsed="false">
      <c r="A511" s="1" t="s">
        <v>874</v>
      </c>
      <c r="B511" s="4" t="n">
        <v>45799</v>
      </c>
      <c r="C511" s="1" t="s">
        <v>875</v>
      </c>
      <c r="D511" s="1" t="s">
        <v>89</v>
      </c>
      <c r="E511" s="1" t="n">
        <v>3</v>
      </c>
      <c r="F511" s="5" t="n">
        <v>0.2</v>
      </c>
      <c r="G511" s="1" t="s">
        <v>52</v>
      </c>
      <c r="H511" s="1" t="s">
        <v>14</v>
      </c>
      <c r="I511" s="1" t="s">
        <v>15</v>
      </c>
      <c r="J511" s="1" t="n">
        <v>2</v>
      </c>
    </row>
    <row r="512" customFormat="false" ht="15" hidden="false" customHeight="false" outlineLevel="0" collapsed="false">
      <c r="A512" s="1" t="s">
        <v>876</v>
      </c>
      <c r="B512" s="4" t="n">
        <v>45954</v>
      </c>
      <c r="C512" s="1" t="s">
        <v>877</v>
      </c>
      <c r="D512" s="1" t="s">
        <v>48</v>
      </c>
      <c r="E512" s="1" t="n">
        <v>1</v>
      </c>
      <c r="F512" s="5" t="n">
        <v>0.25</v>
      </c>
      <c r="G512" s="1" t="s">
        <v>52</v>
      </c>
      <c r="H512" s="1" t="s">
        <v>14</v>
      </c>
      <c r="I512" s="1" t="s">
        <v>38</v>
      </c>
      <c r="J512" s="1" t="n">
        <v>5</v>
      </c>
    </row>
    <row r="513" customFormat="false" ht="15" hidden="false" customHeight="false" outlineLevel="0" collapsed="false">
      <c r="A513" s="1" t="s">
        <v>878</v>
      </c>
      <c r="B513" s="4" t="n">
        <v>45702</v>
      </c>
      <c r="C513" s="1" t="s">
        <v>364</v>
      </c>
      <c r="D513" s="1" t="s">
        <v>328</v>
      </c>
      <c r="E513" s="1" t="n">
        <v>2</v>
      </c>
      <c r="F513" s="5" t="n">
        <v>0.25</v>
      </c>
      <c r="G513" s="1" t="s">
        <v>71</v>
      </c>
      <c r="H513" s="1" t="s">
        <v>45</v>
      </c>
      <c r="I513" s="1" t="s">
        <v>15</v>
      </c>
    </row>
    <row r="514" customFormat="false" ht="15" hidden="false" customHeight="false" outlineLevel="0" collapsed="false">
      <c r="A514" s="1" t="s">
        <v>879</v>
      </c>
      <c r="B514" s="4" t="n">
        <v>45942</v>
      </c>
      <c r="C514" s="1" t="s">
        <v>742</v>
      </c>
      <c r="D514" s="1" t="s">
        <v>210</v>
      </c>
      <c r="E514" s="1" t="n">
        <v>2</v>
      </c>
      <c r="F514" s="5" t="n">
        <v>0.2</v>
      </c>
      <c r="G514" s="1" t="s">
        <v>71</v>
      </c>
      <c r="H514" s="1" t="s">
        <v>53</v>
      </c>
      <c r="I514" s="1" t="s">
        <v>38</v>
      </c>
      <c r="J514" s="1" t="n">
        <v>6</v>
      </c>
    </row>
    <row r="515" customFormat="false" ht="15" hidden="false" customHeight="false" outlineLevel="0" collapsed="false">
      <c r="A515" s="1" t="s">
        <v>880</v>
      </c>
      <c r="B515" s="4" t="n">
        <v>45933</v>
      </c>
      <c r="C515" s="1" t="s">
        <v>127</v>
      </c>
      <c r="D515" s="1" t="s">
        <v>362</v>
      </c>
      <c r="E515" s="1" t="n">
        <v>3</v>
      </c>
      <c r="F515" s="5" t="n">
        <v>0.2</v>
      </c>
      <c r="G515" s="1" t="s">
        <v>34</v>
      </c>
      <c r="H515" s="1" t="s">
        <v>14</v>
      </c>
      <c r="I515" s="1" t="s">
        <v>15</v>
      </c>
      <c r="J515" s="1" t="n">
        <v>2</v>
      </c>
    </row>
    <row r="516" customFormat="false" ht="15" hidden="false" customHeight="false" outlineLevel="0" collapsed="false">
      <c r="A516" s="1" t="s">
        <v>881</v>
      </c>
      <c r="B516" s="4" t="n">
        <v>45905</v>
      </c>
      <c r="C516" s="1" t="s">
        <v>882</v>
      </c>
      <c r="D516" s="1" t="s">
        <v>41</v>
      </c>
      <c r="E516" s="1" t="n">
        <v>2</v>
      </c>
      <c r="F516" s="5" t="n">
        <v>0</v>
      </c>
      <c r="G516" s="1" t="s">
        <v>19</v>
      </c>
      <c r="H516" s="1" t="s">
        <v>14</v>
      </c>
      <c r="I516" s="1" t="s">
        <v>20</v>
      </c>
      <c r="J516" s="1" t="n">
        <v>3</v>
      </c>
    </row>
    <row r="517" customFormat="false" ht="15" hidden="false" customHeight="false" outlineLevel="0" collapsed="false">
      <c r="A517" s="1" t="s">
        <v>883</v>
      </c>
      <c r="B517" s="4" t="n">
        <v>45682</v>
      </c>
      <c r="C517" s="1" t="s">
        <v>331</v>
      </c>
      <c r="D517" s="1" t="s">
        <v>245</v>
      </c>
      <c r="E517" s="1" t="n">
        <v>1</v>
      </c>
      <c r="F517" s="5" t="n">
        <v>0.15</v>
      </c>
      <c r="G517" s="1" t="s">
        <v>52</v>
      </c>
      <c r="H517" s="1" t="s">
        <v>14</v>
      </c>
      <c r="I517" s="1" t="s">
        <v>15</v>
      </c>
      <c r="J517" s="1" t="n">
        <v>3</v>
      </c>
    </row>
    <row r="518" customFormat="false" ht="15" hidden="false" customHeight="false" outlineLevel="0" collapsed="false">
      <c r="A518" s="1" t="s">
        <v>884</v>
      </c>
      <c r="B518" s="4" t="n">
        <v>45691</v>
      </c>
      <c r="C518" s="1" t="s">
        <v>175</v>
      </c>
      <c r="D518" s="1" t="s">
        <v>171</v>
      </c>
      <c r="E518" s="1" t="n">
        <v>1</v>
      </c>
      <c r="F518" s="5" t="n">
        <v>0.25</v>
      </c>
      <c r="G518" s="1" t="s">
        <v>34</v>
      </c>
      <c r="H518" s="1" t="s">
        <v>53</v>
      </c>
      <c r="I518" s="1" t="s">
        <v>15</v>
      </c>
      <c r="J518" s="1" t="n">
        <v>2</v>
      </c>
    </row>
    <row r="519" customFormat="false" ht="15" hidden="false" customHeight="false" outlineLevel="0" collapsed="false">
      <c r="A519" s="1" t="s">
        <v>885</v>
      </c>
      <c r="B519" s="4" t="n">
        <v>45713</v>
      </c>
      <c r="C519" s="1" t="s">
        <v>576</v>
      </c>
      <c r="D519" s="1" t="s">
        <v>186</v>
      </c>
      <c r="E519" s="1" t="n">
        <v>1</v>
      </c>
      <c r="F519" s="5" t="n">
        <v>0.1</v>
      </c>
      <c r="G519" s="1" t="s">
        <v>34</v>
      </c>
      <c r="H519" s="1" t="s">
        <v>53</v>
      </c>
      <c r="I519" s="1" t="s">
        <v>15</v>
      </c>
      <c r="J519" s="1" t="n">
        <v>1</v>
      </c>
    </row>
    <row r="520" customFormat="false" ht="15" hidden="false" customHeight="false" outlineLevel="0" collapsed="false">
      <c r="A520" s="1" t="s">
        <v>886</v>
      </c>
      <c r="B520" s="4" t="n">
        <v>45920</v>
      </c>
      <c r="C520" s="1" t="s">
        <v>479</v>
      </c>
      <c r="D520" s="1" t="s">
        <v>117</v>
      </c>
      <c r="E520" s="1" t="n">
        <v>1</v>
      </c>
      <c r="F520" s="5" t="n">
        <v>0.1</v>
      </c>
      <c r="G520" s="1" t="s">
        <v>52</v>
      </c>
      <c r="H520" s="1" t="s">
        <v>14</v>
      </c>
      <c r="I520" s="1" t="s">
        <v>15</v>
      </c>
      <c r="J520" s="1" t="n">
        <v>6</v>
      </c>
    </row>
    <row r="521" customFormat="false" ht="15" hidden="false" customHeight="false" outlineLevel="0" collapsed="false">
      <c r="A521" s="1" t="s">
        <v>887</v>
      </c>
      <c r="B521" s="4" t="n">
        <v>45681</v>
      </c>
      <c r="C521" s="1" t="s">
        <v>387</v>
      </c>
      <c r="D521" s="1" t="s">
        <v>192</v>
      </c>
      <c r="E521" s="1" t="n">
        <v>1</v>
      </c>
      <c r="F521" s="5" t="n">
        <v>0.2</v>
      </c>
      <c r="G521" s="1" t="s">
        <v>52</v>
      </c>
      <c r="H521" s="1" t="s">
        <v>14</v>
      </c>
      <c r="I521" s="1" t="s">
        <v>20</v>
      </c>
      <c r="J521" s="1" t="n">
        <v>5</v>
      </c>
    </row>
    <row r="522" customFormat="false" ht="15" hidden="false" customHeight="false" outlineLevel="0" collapsed="false">
      <c r="A522" s="1" t="s">
        <v>888</v>
      </c>
      <c r="B522" s="4" t="n">
        <v>45804</v>
      </c>
      <c r="C522" s="1" t="s">
        <v>839</v>
      </c>
      <c r="D522" s="1" t="s">
        <v>371</v>
      </c>
      <c r="E522" s="1" t="n">
        <v>1</v>
      </c>
      <c r="F522" s="5" t="n">
        <v>0.25</v>
      </c>
      <c r="G522" s="1" t="s">
        <v>19</v>
      </c>
      <c r="H522" s="1" t="s">
        <v>14</v>
      </c>
      <c r="I522" s="1" t="s">
        <v>38</v>
      </c>
      <c r="J522" s="1" t="n">
        <v>7</v>
      </c>
    </row>
    <row r="523" customFormat="false" ht="15" hidden="false" customHeight="false" outlineLevel="0" collapsed="false">
      <c r="A523" s="1" t="s">
        <v>889</v>
      </c>
      <c r="B523" s="4" t="n">
        <v>45910</v>
      </c>
      <c r="C523" s="1" t="s">
        <v>450</v>
      </c>
      <c r="D523" s="1" t="s">
        <v>122</v>
      </c>
      <c r="E523" s="1" t="n">
        <v>1</v>
      </c>
      <c r="F523" s="5" t="n">
        <v>0.15</v>
      </c>
      <c r="G523" s="1" t="s">
        <v>13</v>
      </c>
      <c r="H523" s="1" t="s">
        <v>14</v>
      </c>
      <c r="I523" s="1" t="s">
        <v>20</v>
      </c>
      <c r="J523" s="1" t="n">
        <v>3</v>
      </c>
    </row>
    <row r="524" customFormat="false" ht="15" hidden="false" customHeight="false" outlineLevel="0" collapsed="false">
      <c r="A524" s="1" t="s">
        <v>890</v>
      </c>
      <c r="B524" s="4" t="n">
        <v>45732</v>
      </c>
      <c r="C524" s="1" t="s">
        <v>543</v>
      </c>
      <c r="D524" s="1" t="s">
        <v>23</v>
      </c>
      <c r="E524" s="1" t="n">
        <v>1</v>
      </c>
      <c r="F524" s="5" t="n">
        <v>0.1</v>
      </c>
      <c r="G524" s="1" t="s">
        <v>52</v>
      </c>
      <c r="H524" s="1" t="s">
        <v>14</v>
      </c>
      <c r="I524" s="1" t="s">
        <v>15</v>
      </c>
      <c r="J524" s="1" t="n">
        <v>7</v>
      </c>
    </row>
    <row r="525" customFormat="false" ht="15" hidden="false" customHeight="false" outlineLevel="0" collapsed="false">
      <c r="A525" s="1" t="s">
        <v>891</v>
      </c>
      <c r="B525" s="4" t="n">
        <v>45718</v>
      </c>
      <c r="C525" s="1" t="s">
        <v>384</v>
      </c>
      <c r="D525" s="1" t="s">
        <v>220</v>
      </c>
      <c r="E525" s="1" t="n">
        <v>1</v>
      </c>
      <c r="F525" s="5" t="n">
        <v>0.05</v>
      </c>
      <c r="G525" s="1" t="s">
        <v>19</v>
      </c>
      <c r="H525" s="1" t="s">
        <v>92</v>
      </c>
      <c r="I525" s="1" t="s">
        <v>20</v>
      </c>
    </row>
    <row r="526" customFormat="false" ht="15" hidden="false" customHeight="false" outlineLevel="0" collapsed="false">
      <c r="A526" s="1" t="s">
        <v>892</v>
      </c>
      <c r="B526" s="4" t="n">
        <v>45681</v>
      </c>
      <c r="C526" s="1" t="s">
        <v>893</v>
      </c>
      <c r="D526" s="1" t="s">
        <v>405</v>
      </c>
      <c r="E526" s="1" t="n">
        <v>1</v>
      </c>
      <c r="F526" s="5" t="n">
        <v>0.25</v>
      </c>
      <c r="G526" s="1" t="s">
        <v>19</v>
      </c>
      <c r="H526" s="1" t="s">
        <v>14</v>
      </c>
      <c r="I526" s="1" t="s">
        <v>38</v>
      </c>
      <c r="J526" s="1" t="n">
        <v>5</v>
      </c>
    </row>
    <row r="527" customFormat="false" ht="15" hidden="false" customHeight="false" outlineLevel="0" collapsed="false">
      <c r="A527" s="1" t="s">
        <v>894</v>
      </c>
      <c r="B527" s="4" t="n">
        <v>45797</v>
      </c>
      <c r="C527" s="1" t="s">
        <v>212</v>
      </c>
      <c r="D527" s="1" t="s">
        <v>23</v>
      </c>
      <c r="E527" s="1" t="n">
        <v>3</v>
      </c>
      <c r="F527" s="5" t="n">
        <v>0.1</v>
      </c>
      <c r="G527" s="1" t="s">
        <v>34</v>
      </c>
      <c r="H527" s="1" t="s">
        <v>14</v>
      </c>
      <c r="I527" s="1" t="s">
        <v>20</v>
      </c>
      <c r="J527" s="1" t="n">
        <v>1</v>
      </c>
    </row>
    <row r="528" customFormat="false" ht="15" hidden="false" customHeight="false" outlineLevel="0" collapsed="false">
      <c r="A528" s="1" t="s">
        <v>895</v>
      </c>
      <c r="B528" s="4" t="n">
        <v>45698</v>
      </c>
      <c r="C528" s="1" t="s">
        <v>457</v>
      </c>
      <c r="D528" s="1" t="s">
        <v>168</v>
      </c>
      <c r="E528" s="1" t="n">
        <v>1</v>
      </c>
      <c r="F528" s="5" t="n">
        <v>0</v>
      </c>
      <c r="G528" s="1" t="s">
        <v>19</v>
      </c>
      <c r="H528" s="1" t="s">
        <v>14</v>
      </c>
      <c r="I528" s="1" t="s">
        <v>15</v>
      </c>
      <c r="J528" s="1" t="n">
        <v>6</v>
      </c>
    </row>
    <row r="529" customFormat="false" ht="15" hidden="false" customHeight="false" outlineLevel="0" collapsed="false">
      <c r="A529" s="1" t="s">
        <v>896</v>
      </c>
      <c r="B529" s="4" t="n">
        <v>45708</v>
      </c>
      <c r="C529" s="1" t="s">
        <v>417</v>
      </c>
      <c r="D529" s="1" t="s">
        <v>197</v>
      </c>
      <c r="E529" s="1" t="n">
        <v>4</v>
      </c>
      <c r="F529" s="5" t="n">
        <v>0.15</v>
      </c>
      <c r="G529" s="1" t="s">
        <v>19</v>
      </c>
      <c r="H529" s="1" t="s">
        <v>92</v>
      </c>
      <c r="I529" s="1" t="s">
        <v>15</v>
      </c>
    </row>
    <row r="530" customFormat="false" ht="15" hidden="false" customHeight="false" outlineLevel="0" collapsed="false">
      <c r="A530" s="1" t="s">
        <v>897</v>
      </c>
      <c r="B530" s="4" t="n">
        <v>45760</v>
      </c>
      <c r="C530" s="1" t="s">
        <v>875</v>
      </c>
      <c r="D530" s="1" t="s">
        <v>603</v>
      </c>
      <c r="E530" s="1" t="n">
        <v>2</v>
      </c>
      <c r="F530" s="5" t="n">
        <v>0.1</v>
      </c>
      <c r="G530" s="1" t="s">
        <v>19</v>
      </c>
      <c r="H530" s="1" t="s">
        <v>14</v>
      </c>
      <c r="I530" s="1" t="s">
        <v>38</v>
      </c>
      <c r="J530" s="1" t="n">
        <v>7</v>
      </c>
    </row>
    <row r="531" customFormat="false" ht="15" hidden="false" customHeight="false" outlineLevel="0" collapsed="false">
      <c r="A531" s="1" t="s">
        <v>898</v>
      </c>
      <c r="B531" s="4" t="n">
        <v>46014</v>
      </c>
      <c r="C531" s="1" t="s">
        <v>788</v>
      </c>
      <c r="D531" s="1" t="s">
        <v>171</v>
      </c>
      <c r="E531" s="1" t="n">
        <v>1</v>
      </c>
      <c r="F531" s="5" t="n">
        <v>0</v>
      </c>
      <c r="G531" s="1" t="s">
        <v>13</v>
      </c>
      <c r="H531" s="1" t="s">
        <v>53</v>
      </c>
      <c r="I531" s="1" t="s">
        <v>15</v>
      </c>
      <c r="J531" s="1" t="n">
        <v>1</v>
      </c>
    </row>
    <row r="532" customFormat="false" ht="15" hidden="false" customHeight="false" outlineLevel="0" collapsed="false">
      <c r="A532" s="1" t="s">
        <v>899</v>
      </c>
      <c r="B532" s="4" t="n">
        <v>45764</v>
      </c>
      <c r="C532" s="1" t="s">
        <v>321</v>
      </c>
      <c r="D532" s="1" t="s">
        <v>323</v>
      </c>
      <c r="E532" s="1" t="n">
        <v>2</v>
      </c>
      <c r="F532" s="5" t="n">
        <v>0.15</v>
      </c>
      <c r="G532" s="1" t="s">
        <v>24</v>
      </c>
      <c r="H532" s="1" t="s">
        <v>14</v>
      </c>
      <c r="I532" s="1" t="s">
        <v>15</v>
      </c>
      <c r="J532" s="1" t="n">
        <v>6</v>
      </c>
    </row>
    <row r="533" customFormat="false" ht="15" hidden="false" customHeight="false" outlineLevel="0" collapsed="false">
      <c r="A533" s="1" t="s">
        <v>900</v>
      </c>
      <c r="B533" s="4" t="n">
        <v>45940</v>
      </c>
      <c r="C533" s="1" t="s">
        <v>263</v>
      </c>
      <c r="D533" s="1" t="s">
        <v>341</v>
      </c>
      <c r="E533" s="1" t="n">
        <v>5</v>
      </c>
      <c r="F533" s="5" t="n">
        <v>0.15</v>
      </c>
      <c r="G533" s="1" t="s">
        <v>52</v>
      </c>
      <c r="H533" s="1" t="s">
        <v>14</v>
      </c>
      <c r="I533" s="1" t="s">
        <v>38</v>
      </c>
      <c r="J533" s="1" t="n">
        <v>8</v>
      </c>
    </row>
    <row r="534" customFormat="false" ht="15" hidden="false" customHeight="false" outlineLevel="0" collapsed="false">
      <c r="A534" s="1" t="s">
        <v>901</v>
      </c>
      <c r="B534" s="4" t="n">
        <v>45979</v>
      </c>
      <c r="C534" s="1" t="s">
        <v>435</v>
      </c>
      <c r="D534" s="1" t="s">
        <v>446</v>
      </c>
      <c r="E534" s="1" t="n">
        <v>1</v>
      </c>
      <c r="F534" s="5" t="n">
        <v>0.05</v>
      </c>
      <c r="G534" s="1" t="s">
        <v>52</v>
      </c>
      <c r="H534" s="1" t="s">
        <v>14</v>
      </c>
      <c r="I534" s="1" t="s">
        <v>15</v>
      </c>
      <c r="J534" s="1" t="n">
        <v>6</v>
      </c>
    </row>
    <row r="535" customFormat="false" ht="15" hidden="false" customHeight="false" outlineLevel="0" collapsed="false">
      <c r="A535" s="1" t="s">
        <v>902</v>
      </c>
      <c r="B535" s="4" t="n">
        <v>45905</v>
      </c>
      <c r="C535" s="1" t="s">
        <v>457</v>
      </c>
      <c r="D535" s="1" t="s">
        <v>171</v>
      </c>
      <c r="E535" s="1" t="n">
        <v>3</v>
      </c>
      <c r="F535" s="5" t="n">
        <v>0</v>
      </c>
      <c r="G535" s="1" t="s">
        <v>52</v>
      </c>
      <c r="H535" s="1" t="s">
        <v>14</v>
      </c>
      <c r="I535" s="1" t="s">
        <v>20</v>
      </c>
      <c r="J535" s="1" t="n">
        <v>6</v>
      </c>
    </row>
    <row r="536" customFormat="false" ht="15" hidden="false" customHeight="false" outlineLevel="0" collapsed="false">
      <c r="A536" s="1" t="s">
        <v>903</v>
      </c>
      <c r="B536" s="4" t="n">
        <v>45663</v>
      </c>
      <c r="C536" s="1" t="s">
        <v>841</v>
      </c>
      <c r="D536" s="1" t="s">
        <v>23</v>
      </c>
      <c r="E536" s="1" t="n">
        <v>2</v>
      </c>
      <c r="F536" s="5" t="n">
        <v>0.1</v>
      </c>
      <c r="G536" s="1" t="s">
        <v>71</v>
      </c>
      <c r="H536" s="1" t="s">
        <v>14</v>
      </c>
      <c r="I536" s="1" t="s">
        <v>15</v>
      </c>
      <c r="J536" s="1" t="n">
        <v>4</v>
      </c>
    </row>
    <row r="537" customFormat="false" ht="15" hidden="false" customHeight="false" outlineLevel="0" collapsed="false">
      <c r="A537" s="1" t="s">
        <v>904</v>
      </c>
      <c r="B537" s="4" t="n">
        <v>45884</v>
      </c>
      <c r="C537" s="1" t="s">
        <v>55</v>
      </c>
      <c r="D537" s="1" t="s">
        <v>192</v>
      </c>
      <c r="E537" s="1" t="n">
        <v>5</v>
      </c>
      <c r="F537" s="5" t="n">
        <v>0</v>
      </c>
      <c r="G537" s="1" t="s">
        <v>52</v>
      </c>
      <c r="H537" s="1" t="s">
        <v>14</v>
      </c>
      <c r="I537" s="1" t="s">
        <v>20</v>
      </c>
      <c r="J537" s="1" t="n">
        <v>7</v>
      </c>
    </row>
    <row r="538" customFormat="false" ht="15" hidden="false" customHeight="false" outlineLevel="0" collapsed="false">
      <c r="A538" s="1" t="s">
        <v>905</v>
      </c>
      <c r="B538" s="4" t="n">
        <v>45745</v>
      </c>
      <c r="C538" s="1" t="s">
        <v>457</v>
      </c>
      <c r="D538" s="1" t="s">
        <v>446</v>
      </c>
      <c r="E538" s="1" t="n">
        <v>1</v>
      </c>
      <c r="F538" s="5" t="n">
        <v>0.1</v>
      </c>
      <c r="G538" s="1" t="s">
        <v>19</v>
      </c>
      <c r="H538" s="1" t="s">
        <v>14</v>
      </c>
      <c r="I538" s="1" t="s">
        <v>15</v>
      </c>
      <c r="J538" s="1" t="n">
        <v>3</v>
      </c>
    </row>
    <row r="539" customFormat="false" ht="15" hidden="false" customHeight="false" outlineLevel="0" collapsed="false">
      <c r="A539" s="1" t="s">
        <v>906</v>
      </c>
      <c r="B539" s="4" t="n">
        <v>45948</v>
      </c>
      <c r="C539" s="1" t="s">
        <v>261</v>
      </c>
      <c r="D539" s="1" t="s">
        <v>436</v>
      </c>
      <c r="E539" s="1" t="n">
        <v>2</v>
      </c>
      <c r="F539" s="5" t="n">
        <v>0.2</v>
      </c>
      <c r="G539" s="1" t="s">
        <v>52</v>
      </c>
      <c r="H539" s="1" t="s">
        <v>14</v>
      </c>
      <c r="I539" s="1" t="s">
        <v>15</v>
      </c>
      <c r="J539" s="1" t="n">
        <v>2</v>
      </c>
    </row>
    <row r="540" customFormat="false" ht="15" hidden="false" customHeight="false" outlineLevel="0" collapsed="false">
      <c r="A540" s="1" t="s">
        <v>907</v>
      </c>
      <c r="B540" s="4" t="n">
        <v>45681</v>
      </c>
      <c r="C540" s="1" t="s">
        <v>908</v>
      </c>
      <c r="D540" s="1" t="s">
        <v>70</v>
      </c>
      <c r="E540" s="1" t="n">
        <v>2</v>
      </c>
      <c r="F540" s="5" t="n">
        <v>0.15</v>
      </c>
      <c r="G540" s="1" t="s">
        <v>52</v>
      </c>
      <c r="H540" s="1" t="s">
        <v>14</v>
      </c>
      <c r="I540" s="1" t="s">
        <v>20</v>
      </c>
      <c r="J540" s="1" t="n">
        <v>8</v>
      </c>
    </row>
    <row r="541" customFormat="false" ht="15" hidden="false" customHeight="false" outlineLevel="0" collapsed="false">
      <c r="A541" s="1" t="s">
        <v>909</v>
      </c>
      <c r="B541" s="4" t="n">
        <v>46006</v>
      </c>
      <c r="C541" s="1" t="s">
        <v>105</v>
      </c>
      <c r="D541" s="1" t="s">
        <v>197</v>
      </c>
      <c r="E541" s="1" t="n">
        <v>3</v>
      </c>
      <c r="F541" s="5" t="n">
        <v>0.15</v>
      </c>
      <c r="G541" s="1" t="s">
        <v>52</v>
      </c>
      <c r="H541" s="1" t="s">
        <v>14</v>
      </c>
      <c r="I541" s="1" t="s">
        <v>20</v>
      </c>
      <c r="J541" s="1" t="n">
        <v>1</v>
      </c>
    </row>
    <row r="542" customFormat="false" ht="15" hidden="false" customHeight="false" outlineLevel="0" collapsed="false">
      <c r="A542" s="1" t="s">
        <v>910</v>
      </c>
      <c r="B542" s="4" t="n">
        <v>46022</v>
      </c>
      <c r="C542" s="1" t="s">
        <v>640</v>
      </c>
      <c r="D542" s="1" t="s">
        <v>216</v>
      </c>
      <c r="E542" s="1" t="n">
        <v>1</v>
      </c>
      <c r="F542" s="5" t="n">
        <v>0</v>
      </c>
      <c r="G542" s="1" t="s">
        <v>71</v>
      </c>
      <c r="H542" s="1" t="s">
        <v>14</v>
      </c>
      <c r="I542" s="1" t="s">
        <v>15</v>
      </c>
      <c r="J542" s="1" t="n">
        <v>1</v>
      </c>
    </row>
    <row r="543" customFormat="false" ht="15" hidden="false" customHeight="false" outlineLevel="0" collapsed="false">
      <c r="A543" s="1" t="s">
        <v>911</v>
      </c>
      <c r="B543" s="4" t="n">
        <v>45796</v>
      </c>
      <c r="C543" s="1" t="s">
        <v>219</v>
      </c>
      <c r="D543" s="1" t="s">
        <v>429</v>
      </c>
      <c r="E543" s="1" t="n">
        <v>1</v>
      </c>
      <c r="F543" s="5" t="n">
        <v>0.05</v>
      </c>
      <c r="G543" s="1" t="s">
        <v>52</v>
      </c>
      <c r="H543" s="1" t="s">
        <v>14</v>
      </c>
      <c r="I543" s="1" t="s">
        <v>38</v>
      </c>
      <c r="J543" s="1" t="n">
        <v>6</v>
      </c>
    </row>
    <row r="544" customFormat="false" ht="15" hidden="false" customHeight="false" outlineLevel="0" collapsed="false">
      <c r="A544" s="1" t="s">
        <v>912</v>
      </c>
      <c r="B544" s="4" t="n">
        <v>45811</v>
      </c>
      <c r="C544" s="1" t="s">
        <v>913</v>
      </c>
      <c r="D544" s="1" t="s">
        <v>117</v>
      </c>
      <c r="E544" s="1" t="n">
        <v>2</v>
      </c>
      <c r="F544" s="5" t="n">
        <v>0</v>
      </c>
      <c r="G544" s="1" t="s">
        <v>52</v>
      </c>
      <c r="H544" s="1" t="s">
        <v>14</v>
      </c>
      <c r="I544" s="1" t="s">
        <v>15</v>
      </c>
      <c r="J544" s="1" t="n">
        <v>2</v>
      </c>
    </row>
    <row r="545" customFormat="false" ht="15" hidden="false" customHeight="false" outlineLevel="0" collapsed="false">
      <c r="A545" s="1" t="s">
        <v>914</v>
      </c>
      <c r="B545" s="4" t="n">
        <v>45719</v>
      </c>
      <c r="C545" s="1" t="s">
        <v>205</v>
      </c>
      <c r="D545" s="1" t="s">
        <v>371</v>
      </c>
      <c r="E545" s="1" t="n">
        <v>2</v>
      </c>
      <c r="F545" s="5" t="n">
        <v>0.15</v>
      </c>
      <c r="G545" s="1" t="s">
        <v>52</v>
      </c>
      <c r="H545" s="1" t="s">
        <v>78</v>
      </c>
      <c r="I545" s="1" t="s">
        <v>15</v>
      </c>
      <c r="J545" s="1" t="n">
        <v>5</v>
      </c>
    </row>
    <row r="546" customFormat="false" ht="15" hidden="false" customHeight="false" outlineLevel="0" collapsed="false">
      <c r="A546" s="1" t="s">
        <v>915</v>
      </c>
      <c r="B546" s="4" t="n">
        <v>45818</v>
      </c>
      <c r="C546" s="1" t="s">
        <v>26</v>
      </c>
      <c r="D546" s="1" t="s">
        <v>418</v>
      </c>
      <c r="E546" s="1" t="n">
        <v>1</v>
      </c>
      <c r="F546" s="5" t="n">
        <v>0</v>
      </c>
      <c r="G546" s="1" t="s">
        <v>52</v>
      </c>
      <c r="H546" s="1" t="s">
        <v>14</v>
      </c>
      <c r="I546" s="1" t="s">
        <v>15</v>
      </c>
      <c r="J546" s="1" t="n">
        <v>1</v>
      </c>
    </row>
    <row r="547" customFormat="false" ht="15" hidden="false" customHeight="false" outlineLevel="0" collapsed="false">
      <c r="A547" s="1" t="s">
        <v>916</v>
      </c>
      <c r="B547" s="4" t="n">
        <v>45750</v>
      </c>
      <c r="C547" s="1" t="s">
        <v>917</v>
      </c>
      <c r="D547" s="1" t="s">
        <v>323</v>
      </c>
      <c r="E547" s="1" t="n">
        <v>4</v>
      </c>
      <c r="F547" s="5" t="n">
        <v>0.05</v>
      </c>
      <c r="G547" s="1" t="s">
        <v>13</v>
      </c>
      <c r="H547" s="1" t="s">
        <v>14</v>
      </c>
      <c r="I547" s="1" t="s">
        <v>15</v>
      </c>
      <c r="J547" s="1" t="n">
        <v>2</v>
      </c>
    </row>
    <row r="548" customFormat="false" ht="15" hidden="false" customHeight="false" outlineLevel="0" collapsed="false">
      <c r="A548" s="1" t="s">
        <v>918</v>
      </c>
      <c r="B548" s="4" t="n">
        <v>45984</v>
      </c>
      <c r="C548" s="1" t="s">
        <v>877</v>
      </c>
      <c r="D548" s="1" t="s">
        <v>97</v>
      </c>
      <c r="E548" s="1" t="n">
        <v>1</v>
      </c>
      <c r="F548" s="5" t="n">
        <v>0</v>
      </c>
      <c r="G548" s="1" t="s">
        <v>24</v>
      </c>
      <c r="H548" s="1" t="s">
        <v>14</v>
      </c>
      <c r="I548" s="1" t="s">
        <v>15</v>
      </c>
      <c r="J548" s="1" t="n">
        <v>5</v>
      </c>
    </row>
    <row r="549" customFormat="false" ht="15" hidden="false" customHeight="false" outlineLevel="0" collapsed="false">
      <c r="A549" s="1" t="s">
        <v>919</v>
      </c>
      <c r="B549" s="4" t="n">
        <v>45701</v>
      </c>
      <c r="C549" s="1" t="s">
        <v>268</v>
      </c>
      <c r="D549" s="1" t="s">
        <v>423</v>
      </c>
      <c r="E549" s="1" t="n">
        <v>2</v>
      </c>
      <c r="F549" s="5" t="n">
        <v>0.05</v>
      </c>
      <c r="G549" s="1" t="s">
        <v>52</v>
      </c>
      <c r="H549" s="1" t="s">
        <v>14</v>
      </c>
      <c r="I549" s="1" t="s">
        <v>20</v>
      </c>
      <c r="J549" s="1" t="n">
        <v>7</v>
      </c>
    </row>
    <row r="550" customFormat="false" ht="15" hidden="false" customHeight="false" outlineLevel="0" collapsed="false">
      <c r="A550" s="1" t="s">
        <v>920</v>
      </c>
      <c r="B550" s="4" t="n">
        <v>45837</v>
      </c>
      <c r="C550" s="1" t="s">
        <v>300</v>
      </c>
      <c r="D550" s="1" t="s">
        <v>179</v>
      </c>
      <c r="E550" s="1" t="n">
        <v>2</v>
      </c>
      <c r="F550" s="5" t="n">
        <v>0.15</v>
      </c>
      <c r="G550" s="1" t="s">
        <v>13</v>
      </c>
      <c r="H550" s="1" t="s">
        <v>14</v>
      </c>
      <c r="I550" s="1" t="s">
        <v>15</v>
      </c>
      <c r="J550" s="1" t="n">
        <v>8</v>
      </c>
    </row>
    <row r="551" customFormat="false" ht="15" hidden="false" customHeight="false" outlineLevel="0" collapsed="false">
      <c r="A551" s="1" t="s">
        <v>921</v>
      </c>
      <c r="B551" s="4" t="n">
        <v>45941</v>
      </c>
      <c r="C551" s="1" t="s">
        <v>922</v>
      </c>
      <c r="D551" s="1" t="s">
        <v>441</v>
      </c>
      <c r="E551" s="1" t="n">
        <v>1</v>
      </c>
      <c r="F551" s="5" t="n">
        <v>0.2</v>
      </c>
      <c r="G551" s="1" t="s">
        <v>71</v>
      </c>
      <c r="H551" s="1" t="s">
        <v>14</v>
      </c>
      <c r="I551" s="1" t="s">
        <v>20</v>
      </c>
      <c r="J551" s="1" t="n">
        <v>7</v>
      </c>
    </row>
    <row r="552" customFormat="false" ht="15" hidden="false" customHeight="false" outlineLevel="0" collapsed="false">
      <c r="A552" s="1" t="s">
        <v>923</v>
      </c>
      <c r="B552" s="4" t="n">
        <v>45799</v>
      </c>
      <c r="C552" s="1" t="s">
        <v>591</v>
      </c>
      <c r="D552" s="1" t="s">
        <v>429</v>
      </c>
      <c r="E552" s="1" t="n">
        <v>2</v>
      </c>
      <c r="F552" s="5" t="n">
        <v>0</v>
      </c>
      <c r="G552" s="1" t="s">
        <v>34</v>
      </c>
      <c r="H552" s="1" t="s">
        <v>92</v>
      </c>
      <c r="I552" s="1" t="s">
        <v>20</v>
      </c>
    </row>
    <row r="553" customFormat="false" ht="15" hidden="false" customHeight="false" outlineLevel="0" collapsed="false">
      <c r="A553" s="1" t="s">
        <v>924</v>
      </c>
      <c r="B553" s="4" t="n">
        <v>45822</v>
      </c>
      <c r="C553" s="1" t="s">
        <v>512</v>
      </c>
      <c r="D553" s="1" t="s">
        <v>81</v>
      </c>
      <c r="E553" s="1" t="n">
        <v>3</v>
      </c>
      <c r="F553" s="5" t="n">
        <v>0.05</v>
      </c>
      <c r="G553" s="1" t="s">
        <v>19</v>
      </c>
      <c r="H553" s="1" t="s">
        <v>14</v>
      </c>
      <c r="I553" s="1" t="s">
        <v>15</v>
      </c>
      <c r="J553" s="1" t="n">
        <v>1</v>
      </c>
    </row>
    <row r="554" customFormat="false" ht="15" hidden="false" customHeight="false" outlineLevel="0" collapsed="false">
      <c r="A554" s="1" t="s">
        <v>925</v>
      </c>
      <c r="B554" s="4" t="n">
        <v>45946</v>
      </c>
      <c r="C554" s="1" t="s">
        <v>479</v>
      </c>
      <c r="D554" s="1" t="s">
        <v>484</v>
      </c>
      <c r="E554" s="1" t="n">
        <v>1</v>
      </c>
      <c r="F554" s="5" t="n">
        <v>0.05</v>
      </c>
      <c r="G554" s="1" t="s">
        <v>24</v>
      </c>
      <c r="H554" s="1" t="s">
        <v>14</v>
      </c>
      <c r="I554" s="1" t="s">
        <v>38</v>
      </c>
      <c r="J554" s="1" t="n">
        <v>7</v>
      </c>
    </row>
    <row r="555" customFormat="false" ht="15" hidden="false" customHeight="false" outlineLevel="0" collapsed="false">
      <c r="A555" s="1" t="s">
        <v>926</v>
      </c>
      <c r="B555" s="4" t="n">
        <v>45681</v>
      </c>
      <c r="C555" s="1" t="s">
        <v>96</v>
      </c>
      <c r="D555" s="1" t="s">
        <v>237</v>
      </c>
      <c r="E555" s="1" t="n">
        <v>2</v>
      </c>
      <c r="F555" s="5" t="n">
        <v>0.15</v>
      </c>
      <c r="G555" s="1" t="s">
        <v>52</v>
      </c>
      <c r="H555" s="1" t="s">
        <v>14</v>
      </c>
      <c r="I555" s="1" t="s">
        <v>15</v>
      </c>
      <c r="J555" s="1" t="n">
        <v>3</v>
      </c>
    </row>
    <row r="556" customFormat="false" ht="15" hidden="false" customHeight="false" outlineLevel="0" collapsed="false">
      <c r="A556" s="1" t="s">
        <v>927</v>
      </c>
      <c r="B556" s="4" t="n">
        <v>45916</v>
      </c>
      <c r="C556" s="1" t="s">
        <v>666</v>
      </c>
      <c r="D556" s="1" t="s">
        <v>168</v>
      </c>
      <c r="E556" s="1" t="n">
        <v>2</v>
      </c>
      <c r="F556" s="5" t="n">
        <v>0.05</v>
      </c>
      <c r="G556" s="1" t="s">
        <v>34</v>
      </c>
      <c r="H556" s="1" t="s">
        <v>14</v>
      </c>
      <c r="I556" s="1" t="s">
        <v>20</v>
      </c>
      <c r="J556" s="1" t="n">
        <v>6</v>
      </c>
    </row>
    <row r="557" customFormat="false" ht="15" hidden="false" customHeight="false" outlineLevel="0" collapsed="false">
      <c r="A557" s="1" t="s">
        <v>928</v>
      </c>
      <c r="B557" s="4" t="n">
        <v>46021</v>
      </c>
      <c r="C557" s="1" t="s">
        <v>929</v>
      </c>
      <c r="D557" s="1" t="s">
        <v>537</v>
      </c>
      <c r="E557" s="1" t="n">
        <v>2</v>
      </c>
      <c r="F557" s="5" t="n">
        <v>0.15</v>
      </c>
      <c r="G557" s="1" t="s">
        <v>52</v>
      </c>
      <c r="H557" s="1" t="s">
        <v>14</v>
      </c>
      <c r="I557" s="1" t="s">
        <v>15</v>
      </c>
      <c r="J557" s="1" t="n">
        <v>6</v>
      </c>
    </row>
    <row r="558" customFormat="false" ht="15" hidden="false" customHeight="false" outlineLevel="0" collapsed="false">
      <c r="A558" s="1" t="s">
        <v>930</v>
      </c>
      <c r="B558" s="4" t="n">
        <v>45972</v>
      </c>
      <c r="C558" s="1" t="s">
        <v>931</v>
      </c>
      <c r="D558" s="1" t="s">
        <v>179</v>
      </c>
      <c r="E558" s="1" t="n">
        <v>3</v>
      </c>
      <c r="F558" s="5" t="n">
        <v>0.25</v>
      </c>
      <c r="G558" s="1" t="s">
        <v>19</v>
      </c>
      <c r="H558" s="1" t="s">
        <v>14</v>
      </c>
      <c r="I558" s="1" t="s">
        <v>15</v>
      </c>
      <c r="J558" s="1" t="n">
        <v>8</v>
      </c>
    </row>
    <row r="559" customFormat="false" ht="15" hidden="false" customHeight="false" outlineLevel="0" collapsed="false">
      <c r="A559" s="1" t="s">
        <v>932</v>
      </c>
      <c r="B559" s="4" t="n">
        <v>45781</v>
      </c>
      <c r="C559" s="1" t="s">
        <v>483</v>
      </c>
      <c r="D559" s="1" t="s">
        <v>58</v>
      </c>
      <c r="E559" s="1" t="n">
        <v>2</v>
      </c>
      <c r="F559" s="5" t="n">
        <v>0.2</v>
      </c>
      <c r="G559" s="1" t="s">
        <v>34</v>
      </c>
      <c r="H559" s="1" t="s">
        <v>14</v>
      </c>
      <c r="I559" s="1" t="s">
        <v>20</v>
      </c>
      <c r="J559" s="1" t="n">
        <v>4</v>
      </c>
    </row>
    <row r="560" customFormat="false" ht="15" hidden="false" customHeight="false" outlineLevel="0" collapsed="false">
      <c r="A560" s="1" t="s">
        <v>933</v>
      </c>
      <c r="B560" s="4" t="n">
        <v>45771</v>
      </c>
      <c r="C560" s="1" t="s">
        <v>302</v>
      </c>
      <c r="D560" s="1" t="s">
        <v>418</v>
      </c>
      <c r="E560" s="1" t="n">
        <v>1</v>
      </c>
      <c r="F560" s="5" t="n">
        <v>0.2</v>
      </c>
      <c r="G560" s="1" t="s">
        <v>71</v>
      </c>
      <c r="H560" s="1" t="s">
        <v>14</v>
      </c>
      <c r="I560" s="1" t="s">
        <v>15</v>
      </c>
      <c r="J560" s="1" t="n">
        <v>4</v>
      </c>
    </row>
    <row r="561" customFormat="false" ht="15" hidden="false" customHeight="false" outlineLevel="0" collapsed="false">
      <c r="A561" s="1" t="s">
        <v>934</v>
      </c>
      <c r="B561" s="4" t="n">
        <v>45799</v>
      </c>
      <c r="C561" s="1" t="s">
        <v>229</v>
      </c>
      <c r="D561" s="1" t="s">
        <v>23</v>
      </c>
      <c r="E561" s="1" t="n">
        <v>1</v>
      </c>
      <c r="F561" s="5" t="n">
        <v>0.05</v>
      </c>
      <c r="G561" s="1" t="s">
        <v>34</v>
      </c>
      <c r="H561" s="1" t="s">
        <v>53</v>
      </c>
      <c r="I561" s="1" t="s">
        <v>15</v>
      </c>
      <c r="J561" s="1" t="n">
        <v>6</v>
      </c>
    </row>
    <row r="562" customFormat="false" ht="15" hidden="false" customHeight="false" outlineLevel="0" collapsed="false">
      <c r="A562" s="1" t="s">
        <v>935</v>
      </c>
      <c r="B562" s="4" t="n">
        <v>46022</v>
      </c>
      <c r="C562" s="1" t="s">
        <v>721</v>
      </c>
      <c r="D562" s="1" t="s">
        <v>81</v>
      </c>
      <c r="E562" s="1" t="n">
        <v>1</v>
      </c>
      <c r="F562" s="5" t="n">
        <v>0.2</v>
      </c>
      <c r="G562" s="1" t="s">
        <v>52</v>
      </c>
      <c r="H562" s="1" t="s">
        <v>14</v>
      </c>
      <c r="I562" s="1" t="s">
        <v>15</v>
      </c>
      <c r="J562" s="1" t="n">
        <v>8</v>
      </c>
    </row>
    <row r="563" customFormat="false" ht="15" hidden="false" customHeight="false" outlineLevel="0" collapsed="false">
      <c r="A563" s="1" t="s">
        <v>936</v>
      </c>
      <c r="B563" s="4" t="n">
        <v>45708</v>
      </c>
      <c r="C563" s="1" t="s">
        <v>558</v>
      </c>
      <c r="D563" s="1" t="s">
        <v>286</v>
      </c>
      <c r="E563" s="1" t="n">
        <v>1</v>
      </c>
      <c r="F563" s="5" t="n">
        <v>0.05</v>
      </c>
      <c r="G563" s="1" t="s">
        <v>24</v>
      </c>
      <c r="H563" s="1" t="s">
        <v>14</v>
      </c>
      <c r="I563" s="1" t="s">
        <v>20</v>
      </c>
      <c r="J563" s="1" t="n">
        <v>2</v>
      </c>
    </row>
    <row r="564" customFormat="false" ht="15" hidden="false" customHeight="false" outlineLevel="0" collapsed="false">
      <c r="A564" s="1" t="s">
        <v>937</v>
      </c>
      <c r="B564" s="4" t="n">
        <v>45709</v>
      </c>
      <c r="C564" s="1" t="s">
        <v>380</v>
      </c>
      <c r="D564" s="1" t="s">
        <v>162</v>
      </c>
      <c r="E564" s="1" t="n">
        <v>2</v>
      </c>
      <c r="F564" s="5" t="n">
        <v>0.15</v>
      </c>
      <c r="G564" s="1" t="s">
        <v>34</v>
      </c>
      <c r="H564" s="1" t="s">
        <v>53</v>
      </c>
      <c r="I564" s="1" t="s">
        <v>20</v>
      </c>
      <c r="J564" s="1" t="n">
        <v>3</v>
      </c>
    </row>
    <row r="565" customFormat="false" ht="15" hidden="false" customHeight="false" outlineLevel="0" collapsed="false">
      <c r="A565" s="1" t="s">
        <v>938</v>
      </c>
      <c r="B565" s="4" t="n">
        <v>45782</v>
      </c>
      <c r="C565" s="1" t="s">
        <v>565</v>
      </c>
      <c r="D565" s="1" t="s">
        <v>429</v>
      </c>
      <c r="E565" s="1" t="n">
        <v>1</v>
      </c>
      <c r="F565" s="5" t="n">
        <v>0.2</v>
      </c>
      <c r="G565" s="1" t="s">
        <v>34</v>
      </c>
      <c r="H565" s="1" t="s">
        <v>14</v>
      </c>
      <c r="I565" s="1" t="s">
        <v>15</v>
      </c>
      <c r="J565" s="1" t="n">
        <v>4</v>
      </c>
    </row>
    <row r="566" customFormat="false" ht="15" hidden="false" customHeight="false" outlineLevel="0" collapsed="false">
      <c r="A566" s="1" t="s">
        <v>939</v>
      </c>
      <c r="B566" s="4" t="n">
        <v>45705</v>
      </c>
      <c r="C566" s="1" t="s">
        <v>105</v>
      </c>
      <c r="D566" s="1" t="s">
        <v>165</v>
      </c>
      <c r="E566" s="1" t="n">
        <v>5</v>
      </c>
      <c r="F566" s="5" t="n">
        <v>0.05</v>
      </c>
      <c r="G566" s="1" t="s">
        <v>71</v>
      </c>
      <c r="H566" s="1" t="s">
        <v>14</v>
      </c>
      <c r="I566" s="1" t="s">
        <v>15</v>
      </c>
      <c r="J566" s="1" t="n">
        <v>2</v>
      </c>
    </row>
    <row r="567" customFormat="false" ht="15" hidden="false" customHeight="false" outlineLevel="0" collapsed="false">
      <c r="A567" s="1" t="s">
        <v>940</v>
      </c>
      <c r="B567" s="4" t="n">
        <v>45740</v>
      </c>
      <c r="C567" s="1" t="s">
        <v>483</v>
      </c>
      <c r="D567" s="1" t="s">
        <v>455</v>
      </c>
      <c r="E567" s="1" t="n">
        <v>1</v>
      </c>
      <c r="F567" s="5" t="n">
        <v>0.1</v>
      </c>
      <c r="G567" s="1" t="s">
        <v>19</v>
      </c>
      <c r="H567" s="1" t="s">
        <v>14</v>
      </c>
      <c r="I567" s="1" t="s">
        <v>38</v>
      </c>
      <c r="J567" s="1" t="n">
        <v>1</v>
      </c>
    </row>
    <row r="568" customFormat="false" ht="15" hidden="false" customHeight="false" outlineLevel="0" collapsed="false">
      <c r="A568" s="1" t="s">
        <v>941</v>
      </c>
      <c r="B568" s="4" t="n">
        <v>45848</v>
      </c>
      <c r="C568" s="1" t="s">
        <v>560</v>
      </c>
      <c r="D568" s="1" t="s">
        <v>493</v>
      </c>
      <c r="E568" s="1" t="n">
        <v>1</v>
      </c>
      <c r="F568" s="5" t="n">
        <v>0.25</v>
      </c>
      <c r="G568" s="1" t="s">
        <v>19</v>
      </c>
      <c r="H568" s="1" t="s">
        <v>45</v>
      </c>
      <c r="I568" s="1" t="s">
        <v>15</v>
      </c>
    </row>
    <row r="569" customFormat="false" ht="15" hidden="false" customHeight="false" outlineLevel="0" collapsed="false">
      <c r="A569" s="1" t="s">
        <v>942</v>
      </c>
      <c r="B569" s="4" t="n">
        <v>45919</v>
      </c>
      <c r="C569" s="1" t="s">
        <v>640</v>
      </c>
      <c r="D569" s="1" t="s">
        <v>112</v>
      </c>
      <c r="E569" s="1" t="n">
        <v>2</v>
      </c>
      <c r="F569" s="5" t="n">
        <v>0.05</v>
      </c>
      <c r="G569" s="1" t="s">
        <v>71</v>
      </c>
      <c r="H569" s="1" t="s">
        <v>78</v>
      </c>
      <c r="I569" s="1" t="s">
        <v>15</v>
      </c>
      <c r="J569" s="1" t="n">
        <v>1</v>
      </c>
    </row>
    <row r="570" customFormat="false" ht="15" hidden="false" customHeight="false" outlineLevel="0" collapsed="false">
      <c r="A570" s="1" t="s">
        <v>943</v>
      </c>
      <c r="B570" s="4" t="n">
        <v>45696</v>
      </c>
      <c r="C570" s="1" t="s">
        <v>908</v>
      </c>
      <c r="D570" s="1" t="s">
        <v>100</v>
      </c>
      <c r="E570" s="1" t="n">
        <v>1</v>
      </c>
      <c r="F570" s="5" t="n">
        <v>0.15</v>
      </c>
      <c r="G570" s="1" t="s">
        <v>19</v>
      </c>
      <c r="H570" s="1" t="s">
        <v>14</v>
      </c>
      <c r="I570" s="1" t="s">
        <v>15</v>
      </c>
      <c r="J570" s="1" t="n">
        <v>3</v>
      </c>
    </row>
    <row r="571" customFormat="false" ht="15" hidden="false" customHeight="false" outlineLevel="0" collapsed="false">
      <c r="A571" s="1" t="s">
        <v>944</v>
      </c>
      <c r="B571" s="4" t="n">
        <v>45668</v>
      </c>
      <c r="C571" s="1" t="s">
        <v>359</v>
      </c>
      <c r="D571" s="1" t="s">
        <v>399</v>
      </c>
      <c r="E571" s="1" t="n">
        <v>2</v>
      </c>
      <c r="F571" s="5" t="n">
        <v>0.05</v>
      </c>
      <c r="G571" s="1" t="s">
        <v>52</v>
      </c>
      <c r="H571" s="1" t="s">
        <v>14</v>
      </c>
      <c r="I571" s="1" t="s">
        <v>20</v>
      </c>
      <c r="J571" s="1" t="n">
        <v>6</v>
      </c>
    </row>
    <row r="572" customFormat="false" ht="15" hidden="false" customHeight="false" outlineLevel="0" collapsed="false">
      <c r="A572" s="1" t="s">
        <v>945</v>
      </c>
      <c r="B572" s="4" t="n">
        <v>45871</v>
      </c>
      <c r="C572" s="1" t="s">
        <v>568</v>
      </c>
      <c r="D572" s="1" t="s">
        <v>192</v>
      </c>
      <c r="E572" s="1" t="n">
        <v>2</v>
      </c>
      <c r="F572" s="5" t="n">
        <v>0.15</v>
      </c>
      <c r="G572" s="1" t="s">
        <v>34</v>
      </c>
      <c r="H572" s="1" t="s">
        <v>14</v>
      </c>
      <c r="I572" s="1" t="s">
        <v>15</v>
      </c>
      <c r="J572" s="1" t="n">
        <v>8</v>
      </c>
    </row>
    <row r="573" customFormat="false" ht="15" hidden="false" customHeight="false" outlineLevel="0" collapsed="false">
      <c r="A573" s="1" t="s">
        <v>946</v>
      </c>
      <c r="B573" s="4" t="n">
        <v>45790</v>
      </c>
      <c r="C573" s="1" t="s">
        <v>947</v>
      </c>
      <c r="D573" s="1" t="s">
        <v>294</v>
      </c>
      <c r="E573" s="1" t="n">
        <v>1</v>
      </c>
      <c r="F573" s="5" t="n">
        <v>0.15</v>
      </c>
      <c r="G573" s="1" t="s">
        <v>52</v>
      </c>
      <c r="H573" s="1" t="s">
        <v>14</v>
      </c>
      <c r="I573" s="1" t="s">
        <v>38</v>
      </c>
      <c r="J573" s="1" t="n">
        <v>3</v>
      </c>
    </row>
    <row r="574" customFormat="false" ht="15" hidden="false" customHeight="false" outlineLevel="0" collapsed="false">
      <c r="A574" s="1" t="s">
        <v>948</v>
      </c>
      <c r="B574" s="4" t="n">
        <v>45911</v>
      </c>
      <c r="C574" s="1" t="s">
        <v>212</v>
      </c>
      <c r="D574" s="1" t="s">
        <v>455</v>
      </c>
      <c r="E574" s="1" t="n">
        <v>1</v>
      </c>
      <c r="F574" s="5" t="n">
        <v>0.25</v>
      </c>
      <c r="G574" s="1" t="s">
        <v>52</v>
      </c>
      <c r="H574" s="1" t="s">
        <v>53</v>
      </c>
      <c r="I574" s="1" t="s">
        <v>15</v>
      </c>
      <c r="J574" s="1" t="n">
        <v>8</v>
      </c>
    </row>
    <row r="575" customFormat="false" ht="15" hidden="false" customHeight="false" outlineLevel="0" collapsed="false">
      <c r="A575" s="1" t="s">
        <v>949</v>
      </c>
      <c r="B575" s="4" t="n">
        <v>45808</v>
      </c>
      <c r="C575" s="1" t="s">
        <v>86</v>
      </c>
      <c r="D575" s="1" t="s">
        <v>97</v>
      </c>
      <c r="E575" s="1" t="n">
        <v>1</v>
      </c>
      <c r="F575" s="5" t="n">
        <v>0.1</v>
      </c>
      <c r="G575" s="1" t="s">
        <v>19</v>
      </c>
      <c r="H575" s="1" t="s">
        <v>45</v>
      </c>
      <c r="I575" s="1" t="s">
        <v>20</v>
      </c>
    </row>
    <row r="576" customFormat="false" ht="15" hidden="false" customHeight="false" outlineLevel="0" collapsed="false">
      <c r="A576" s="1" t="s">
        <v>950</v>
      </c>
      <c r="B576" s="4" t="n">
        <v>45683</v>
      </c>
      <c r="C576" s="1" t="s">
        <v>951</v>
      </c>
      <c r="D576" s="1" t="s">
        <v>192</v>
      </c>
      <c r="E576" s="1" t="n">
        <v>1</v>
      </c>
      <c r="F576" s="5" t="n">
        <v>0.2</v>
      </c>
      <c r="G576" s="1" t="s">
        <v>24</v>
      </c>
      <c r="H576" s="1" t="s">
        <v>92</v>
      </c>
      <c r="I576" s="1" t="s">
        <v>15</v>
      </c>
    </row>
    <row r="577" customFormat="false" ht="15" hidden="false" customHeight="false" outlineLevel="0" collapsed="false">
      <c r="A577" s="1" t="s">
        <v>952</v>
      </c>
      <c r="B577" s="4" t="n">
        <v>45733</v>
      </c>
      <c r="C577" s="1" t="s">
        <v>684</v>
      </c>
      <c r="D577" s="1" t="s">
        <v>192</v>
      </c>
      <c r="E577" s="1" t="n">
        <v>1</v>
      </c>
      <c r="F577" s="5" t="n">
        <v>0.1</v>
      </c>
      <c r="G577" s="1" t="s">
        <v>52</v>
      </c>
      <c r="H577" s="1" t="s">
        <v>14</v>
      </c>
      <c r="I577" s="1" t="s">
        <v>38</v>
      </c>
      <c r="J577" s="1" t="n">
        <v>7</v>
      </c>
    </row>
    <row r="578" customFormat="false" ht="15" hidden="false" customHeight="false" outlineLevel="0" collapsed="false">
      <c r="A578" s="1" t="s">
        <v>953</v>
      </c>
      <c r="B578" s="4" t="n">
        <v>46001</v>
      </c>
      <c r="C578" s="1" t="s">
        <v>954</v>
      </c>
      <c r="D578" s="1" t="s">
        <v>77</v>
      </c>
      <c r="E578" s="1" t="n">
        <v>1</v>
      </c>
      <c r="F578" s="5" t="n">
        <v>0.1</v>
      </c>
      <c r="G578" s="1" t="s">
        <v>34</v>
      </c>
      <c r="H578" s="1" t="s">
        <v>14</v>
      </c>
      <c r="I578" s="1" t="s">
        <v>20</v>
      </c>
      <c r="J578" s="1" t="n">
        <v>5</v>
      </c>
    </row>
    <row r="579" customFormat="false" ht="15" hidden="false" customHeight="false" outlineLevel="0" collapsed="false">
      <c r="A579" s="1" t="s">
        <v>955</v>
      </c>
      <c r="B579" s="4" t="n">
        <v>45808</v>
      </c>
      <c r="C579" s="1" t="s">
        <v>956</v>
      </c>
      <c r="D579" s="1" t="s">
        <v>418</v>
      </c>
      <c r="E579" s="1" t="n">
        <v>2</v>
      </c>
      <c r="F579" s="5" t="n">
        <v>0.2</v>
      </c>
      <c r="G579" s="1" t="s">
        <v>34</v>
      </c>
      <c r="H579" s="1" t="s">
        <v>78</v>
      </c>
      <c r="I579" s="1" t="s">
        <v>38</v>
      </c>
      <c r="J579" s="1" t="n">
        <v>3</v>
      </c>
    </row>
    <row r="580" customFormat="false" ht="15" hidden="false" customHeight="false" outlineLevel="0" collapsed="false">
      <c r="A580" s="1" t="s">
        <v>957</v>
      </c>
      <c r="B580" s="4" t="n">
        <v>45819</v>
      </c>
      <c r="C580" s="1" t="s">
        <v>543</v>
      </c>
      <c r="D580" s="1" t="s">
        <v>106</v>
      </c>
      <c r="E580" s="1" t="n">
        <v>2</v>
      </c>
      <c r="F580" s="5" t="n">
        <v>0.15</v>
      </c>
      <c r="G580" s="1" t="s">
        <v>52</v>
      </c>
      <c r="H580" s="1" t="s">
        <v>92</v>
      </c>
      <c r="I580" s="1" t="s">
        <v>15</v>
      </c>
    </row>
    <row r="581" customFormat="false" ht="15" hidden="false" customHeight="false" outlineLevel="0" collapsed="false">
      <c r="A581" s="1" t="s">
        <v>958</v>
      </c>
      <c r="B581" s="4" t="n">
        <v>45963</v>
      </c>
      <c r="C581" s="1" t="s">
        <v>391</v>
      </c>
      <c r="D581" s="1" t="s">
        <v>27</v>
      </c>
      <c r="E581" s="1" t="n">
        <v>2</v>
      </c>
      <c r="F581" s="5" t="n">
        <v>0.15</v>
      </c>
      <c r="G581" s="1" t="s">
        <v>19</v>
      </c>
      <c r="H581" s="1" t="s">
        <v>14</v>
      </c>
      <c r="I581" s="1" t="s">
        <v>15</v>
      </c>
      <c r="J581" s="1" t="n">
        <v>8</v>
      </c>
    </row>
    <row r="582" customFormat="false" ht="15" hidden="false" customHeight="false" outlineLevel="0" collapsed="false">
      <c r="A582" s="1" t="s">
        <v>959</v>
      </c>
      <c r="B582" s="4" t="n">
        <v>45863</v>
      </c>
      <c r="C582" s="1" t="s">
        <v>684</v>
      </c>
      <c r="D582" s="1" t="s">
        <v>97</v>
      </c>
      <c r="E582" s="1" t="n">
        <v>2</v>
      </c>
      <c r="F582" s="5" t="n">
        <v>0</v>
      </c>
      <c r="G582" s="1" t="s">
        <v>19</v>
      </c>
      <c r="H582" s="1" t="s">
        <v>14</v>
      </c>
      <c r="I582" s="1" t="s">
        <v>15</v>
      </c>
      <c r="J582" s="1" t="n">
        <v>1</v>
      </c>
    </row>
    <row r="583" customFormat="false" ht="15" hidden="false" customHeight="false" outlineLevel="0" collapsed="false">
      <c r="A583" s="1" t="s">
        <v>960</v>
      </c>
      <c r="B583" s="4" t="n">
        <v>45812</v>
      </c>
      <c r="C583" s="1" t="s">
        <v>227</v>
      </c>
      <c r="D583" s="1" t="s">
        <v>186</v>
      </c>
      <c r="E583" s="1" t="n">
        <v>5</v>
      </c>
      <c r="F583" s="5" t="n">
        <v>0</v>
      </c>
      <c r="G583" s="1" t="s">
        <v>52</v>
      </c>
      <c r="H583" s="1" t="s">
        <v>14</v>
      </c>
      <c r="I583" s="1" t="s">
        <v>15</v>
      </c>
      <c r="J583" s="1" t="n">
        <v>7</v>
      </c>
    </row>
    <row r="584" customFormat="false" ht="15" hidden="false" customHeight="false" outlineLevel="0" collapsed="false">
      <c r="A584" s="1" t="s">
        <v>961</v>
      </c>
      <c r="B584" s="4" t="n">
        <v>45851</v>
      </c>
      <c r="C584" s="1" t="s">
        <v>558</v>
      </c>
      <c r="D584" s="1" t="s">
        <v>446</v>
      </c>
      <c r="E584" s="1" t="n">
        <v>1</v>
      </c>
      <c r="F584" s="5" t="n">
        <v>0.2</v>
      </c>
      <c r="G584" s="1" t="s">
        <v>34</v>
      </c>
      <c r="H584" s="1" t="s">
        <v>14</v>
      </c>
      <c r="I584" s="1" t="s">
        <v>15</v>
      </c>
      <c r="J584" s="1" t="n">
        <v>3</v>
      </c>
    </row>
    <row r="585" customFormat="false" ht="15" hidden="false" customHeight="false" outlineLevel="0" collapsed="false">
      <c r="A585" s="1" t="s">
        <v>962</v>
      </c>
      <c r="B585" s="4" t="n">
        <v>45946</v>
      </c>
      <c r="C585" s="1" t="s">
        <v>839</v>
      </c>
      <c r="D585" s="1" t="s">
        <v>963</v>
      </c>
      <c r="E585" s="1" t="n">
        <v>1</v>
      </c>
      <c r="F585" s="5" t="n">
        <v>0</v>
      </c>
      <c r="G585" s="1" t="s">
        <v>24</v>
      </c>
      <c r="H585" s="1" t="s">
        <v>14</v>
      </c>
      <c r="I585" s="1" t="s">
        <v>15</v>
      </c>
      <c r="J585" s="1" t="n">
        <v>8</v>
      </c>
    </row>
    <row r="586" customFormat="false" ht="15" hidden="false" customHeight="false" outlineLevel="0" collapsed="false">
      <c r="A586" s="1" t="s">
        <v>964</v>
      </c>
      <c r="B586" s="4" t="n">
        <v>45888</v>
      </c>
      <c r="C586" s="1" t="s">
        <v>205</v>
      </c>
      <c r="D586" s="1" t="s">
        <v>100</v>
      </c>
      <c r="E586" s="1" t="n">
        <v>1</v>
      </c>
      <c r="F586" s="5" t="n">
        <v>0.15</v>
      </c>
      <c r="G586" s="1" t="s">
        <v>52</v>
      </c>
      <c r="H586" s="1" t="s">
        <v>14</v>
      </c>
      <c r="I586" s="1" t="s">
        <v>15</v>
      </c>
      <c r="J586" s="1" t="n">
        <v>3</v>
      </c>
    </row>
    <row r="587" customFormat="false" ht="15" hidden="false" customHeight="false" outlineLevel="0" collapsed="false">
      <c r="A587" s="1" t="s">
        <v>965</v>
      </c>
      <c r="B587" s="4" t="n">
        <v>45760</v>
      </c>
      <c r="C587" s="1" t="s">
        <v>966</v>
      </c>
      <c r="D587" s="1" t="s">
        <v>213</v>
      </c>
      <c r="E587" s="1" t="n">
        <v>1</v>
      </c>
      <c r="F587" s="5" t="n">
        <v>0</v>
      </c>
      <c r="G587" s="1" t="s">
        <v>71</v>
      </c>
      <c r="H587" s="1" t="s">
        <v>14</v>
      </c>
      <c r="I587" s="1" t="s">
        <v>20</v>
      </c>
      <c r="J587" s="1" t="n">
        <v>4</v>
      </c>
    </row>
    <row r="588" customFormat="false" ht="15" hidden="false" customHeight="false" outlineLevel="0" collapsed="false">
      <c r="A588" s="1" t="s">
        <v>967</v>
      </c>
      <c r="B588" s="4" t="n">
        <v>45672</v>
      </c>
      <c r="C588" s="1" t="s">
        <v>608</v>
      </c>
      <c r="D588" s="1" t="s">
        <v>140</v>
      </c>
      <c r="E588" s="1" t="n">
        <v>3</v>
      </c>
      <c r="F588" s="5" t="n">
        <v>0.15</v>
      </c>
      <c r="G588" s="1" t="s">
        <v>52</v>
      </c>
      <c r="H588" s="1" t="s">
        <v>78</v>
      </c>
      <c r="I588" s="1" t="s">
        <v>38</v>
      </c>
      <c r="J588" s="1" t="n">
        <v>1</v>
      </c>
    </row>
    <row r="589" customFormat="false" ht="15" hidden="false" customHeight="false" outlineLevel="0" collapsed="false">
      <c r="A589" s="1" t="s">
        <v>968</v>
      </c>
      <c r="B589" s="4" t="n">
        <v>45930</v>
      </c>
      <c r="C589" s="1" t="s">
        <v>969</v>
      </c>
      <c r="D589" s="1" t="s">
        <v>399</v>
      </c>
      <c r="E589" s="1" t="n">
        <v>2</v>
      </c>
      <c r="F589" s="5" t="n">
        <v>0.1</v>
      </c>
      <c r="G589" s="1" t="s">
        <v>24</v>
      </c>
      <c r="H589" s="1" t="s">
        <v>14</v>
      </c>
      <c r="I589" s="1" t="s">
        <v>15</v>
      </c>
      <c r="J589" s="1" t="n">
        <v>5</v>
      </c>
    </row>
    <row r="590" customFormat="false" ht="15" hidden="false" customHeight="false" outlineLevel="0" collapsed="false">
      <c r="A590" s="1" t="s">
        <v>970</v>
      </c>
      <c r="B590" s="4" t="n">
        <v>45734</v>
      </c>
      <c r="C590" s="1" t="s">
        <v>966</v>
      </c>
      <c r="D590" s="1" t="s">
        <v>165</v>
      </c>
      <c r="E590" s="1" t="n">
        <v>1</v>
      </c>
      <c r="F590" s="5" t="n">
        <v>0</v>
      </c>
      <c r="G590" s="1" t="s">
        <v>19</v>
      </c>
      <c r="H590" s="1" t="s">
        <v>14</v>
      </c>
      <c r="I590" s="1" t="s">
        <v>38</v>
      </c>
      <c r="J590" s="1" t="n">
        <v>4</v>
      </c>
    </row>
    <row r="591" customFormat="false" ht="15" hidden="false" customHeight="false" outlineLevel="0" collapsed="false">
      <c r="A591" s="1" t="s">
        <v>971</v>
      </c>
      <c r="B591" s="4" t="n">
        <v>45767</v>
      </c>
      <c r="C591" s="1" t="s">
        <v>66</v>
      </c>
      <c r="D591" s="1" t="s">
        <v>245</v>
      </c>
      <c r="E591" s="1" t="n">
        <v>1</v>
      </c>
      <c r="F591" s="5" t="n">
        <v>0.05</v>
      </c>
      <c r="G591" s="1" t="s">
        <v>24</v>
      </c>
      <c r="H591" s="1" t="s">
        <v>14</v>
      </c>
      <c r="I591" s="1" t="s">
        <v>15</v>
      </c>
      <c r="J591" s="1" t="n">
        <v>5</v>
      </c>
    </row>
    <row r="592" customFormat="false" ht="15" hidden="false" customHeight="false" outlineLevel="0" collapsed="false">
      <c r="A592" s="1" t="s">
        <v>972</v>
      </c>
      <c r="B592" s="4" t="n">
        <v>45874</v>
      </c>
      <c r="C592" s="1" t="s">
        <v>499</v>
      </c>
      <c r="D592" s="1" t="s">
        <v>122</v>
      </c>
      <c r="E592" s="1" t="n">
        <v>1</v>
      </c>
      <c r="F592" s="5" t="n">
        <v>0.25</v>
      </c>
      <c r="G592" s="1" t="s">
        <v>34</v>
      </c>
      <c r="H592" s="1" t="s">
        <v>14</v>
      </c>
      <c r="I592" s="1" t="s">
        <v>38</v>
      </c>
      <c r="J592" s="1" t="n">
        <v>2</v>
      </c>
    </row>
    <row r="593" customFormat="false" ht="15" hidden="false" customHeight="false" outlineLevel="0" collapsed="false">
      <c r="A593" s="1" t="s">
        <v>973</v>
      </c>
      <c r="B593" s="4" t="n">
        <v>45687</v>
      </c>
      <c r="C593" s="1" t="s">
        <v>974</v>
      </c>
      <c r="D593" s="1" t="s">
        <v>84</v>
      </c>
      <c r="E593" s="1" t="n">
        <v>3</v>
      </c>
      <c r="F593" s="5" t="n">
        <v>0.25</v>
      </c>
      <c r="G593" s="1" t="s">
        <v>52</v>
      </c>
      <c r="H593" s="1" t="s">
        <v>14</v>
      </c>
      <c r="I593" s="1" t="s">
        <v>15</v>
      </c>
      <c r="J593" s="1" t="n">
        <v>2</v>
      </c>
    </row>
    <row r="594" customFormat="false" ht="15" hidden="false" customHeight="false" outlineLevel="0" collapsed="false">
      <c r="A594" s="1" t="s">
        <v>975</v>
      </c>
      <c r="B594" s="4" t="n">
        <v>45828</v>
      </c>
      <c r="C594" s="1" t="s">
        <v>976</v>
      </c>
      <c r="D594" s="1" t="s">
        <v>436</v>
      </c>
      <c r="E594" s="1" t="n">
        <v>2</v>
      </c>
      <c r="F594" s="5" t="n">
        <v>0.05</v>
      </c>
      <c r="G594" s="1" t="s">
        <v>19</v>
      </c>
      <c r="H594" s="1" t="s">
        <v>45</v>
      </c>
      <c r="I594" s="1" t="s">
        <v>15</v>
      </c>
    </row>
    <row r="595" customFormat="false" ht="15" hidden="false" customHeight="false" outlineLevel="0" collapsed="false">
      <c r="A595" s="1" t="s">
        <v>977</v>
      </c>
      <c r="B595" s="4" t="n">
        <v>45778</v>
      </c>
      <c r="C595" s="1" t="s">
        <v>170</v>
      </c>
      <c r="D595" s="1" t="s">
        <v>222</v>
      </c>
      <c r="E595" s="1" t="n">
        <v>1</v>
      </c>
      <c r="F595" s="5" t="n">
        <v>0</v>
      </c>
      <c r="G595" s="1" t="s">
        <v>52</v>
      </c>
      <c r="H595" s="1" t="s">
        <v>14</v>
      </c>
      <c r="I595" s="1" t="s">
        <v>15</v>
      </c>
      <c r="J595" s="1" t="n">
        <v>2</v>
      </c>
    </row>
    <row r="596" customFormat="false" ht="15" hidden="false" customHeight="false" outlineLevel="0" collapsed="false">
      <c r="A596" s="1" t="s">
        <v>978</v>
      </c>
      <c r="B596" s="4" t="n">
        <v>45790</v>
      </c>
      <c r="C596" s="1" t="s">
        <v>345</v>
      </c>
      <c r="D596" s="1" t="s">
        <v>23</v>
      </c>
      <c r="E596" s="1" t="n">
        <v>3</v>
      </c>
      <c r="F596" s="5" t="n">
        <v>0.2</v>
      </c>
      <c r="G596" s="1" t="s">
        <v>34</v>
      </c>
      <c r="H596" s="1" t="s">
        <v>14</v>
      </c>
      <c r="I596" s="1" t="s">
        <v>20</v>
      </c>
      <c r="J596" s="1" t="n">
        <v>5</v>
      </c>
    </row>
    <row r="597" customFormat="false" ht="15" hidden="false" customHeight="false" outlineLevel="0" collapsed="false">
      <c r="A597" s="1" t="s">
        <v>979</v>
      </c>
      <c r="B597" s="4" t="n">
        <v>45795</v>
      </c>
      <c r="C597" s="1" t="s">
        <v>116</v>
      </c>
      <c r="D597" s="1" t="s">
        <v>624</v>
      </c>
      <c r="E597" s="1" t="n">
        <v>1</v>
      </c>
      <c r="F597" s="5" t="n">
        <v>0</v>
      </c>
      <c r="G597" s="1" t="s">
        <v>52</v>
      </c>
      <c r="H597" s="1" t="s">
        <v>14</v>
      </c>
      <c r="I597" s="1" t="s">
        <v>38</v>
      </c>
      <c r="J597" s="1" t="n">
        <v>6</v>
      </c>
    </row>
    <row r="598" customFormat="false" ht="15" hidden="false" customHeight="false" outlineLevel="0" collapsed="false">
      <c r="A598" s="1" t="s">
        <v>980</v>
      </c>
      <c r="B598" s="4" t="n">
        <v>46011</v>
      </c>
      <c r="C598" s="1" t="s">
        <v>268</v>
      </c>
      <c r="D598" s="1" t="s">
        <v>253</v>
      </c>
      <c r="E598" s="1" t="n">
        <v>3</v>
      </c>
      <c r="F598" s="5" t="n">
        <v>0.1</v>
      </c>
      <c r="G598" s="1" t="s">
        <v>34</v>
      </c>
      <c r="H598" s="1" t="s">
        <v>78</v>
      </c>
      <c r="I598" s="1" t="s">
        <v>15</v>
      </c>
      <c r="J598" s="1" t="n">
        <v>2</v>
      </c>
    </row>
    <row r="599" customFormat="false" ht="15" hidden="false" customHeight="false" outlineLevel="0" collapsed="false">
      <c r="A599" s="1" t="s">
        <v>981</v>
      </c>
      <c r="B599" s="4" t="n">
        <v>45752</v>
      </c>
      <c r="C599" s="1" t="s">
        <v>466</v>
      </c>
      <c r="D599" s="1" t="s">
        <v>30</v>
      </c>
      <c r="E599" s="1" t="n">
        <v>2</v>
      </c>
      <c r="F599" s="5" t="n">
        <v>0</v>
      </c>
      <c r="G599" s="1" t="s">
        <v>52</v>
      </c>
      <c r="H599" s="1" t="s">
        <v>14</v>
      </c>
      <c r="I599" s="1" t="s">
        <v>38</v>
      </c>
      <c r="J599" s="1" t="n">
        <v>3</v>
      </c>
    </row>
    <row r="600" customFormat="false" ht="15" hidden="false" customHeight="false" outlineLevel="0" collapsed="false">
      <c r="A600" s="1" t="s">
        <v>982</v>
      </c>
      <c r="B600" s="4" t="n">
        <v>45983</v>
      </c>
      <c r="C600" s="1" t="s">
        <v>621</v>
      </c>
      <c r="D600" s="1" t="s">
        <v>70</v>
      </c>
      <c r="E600" s="1" t="n">
        <v>2</v>
      </c>
      <c r="F600" s="5" t="n">
        <v>0.15</v>
      </c>
      <c r="G600" s="1" t="s">
        <v>34</v>
      </c>
      <c r="H600" s="1" t="s">
        <v>14</v>
      </c>
      <c r="I600" s="1" t="s">
        <v>20</v>
      </c>
      <c r="J600" s="1" t="n">
        <v>4</v>
      </c>
    </row>
    <row r="601" customFormat="false" ht="15" hidden="false" customHeight="false" outlineLevel="0" collapsed="false">
      <c r="A601" s="1" t="s">
        <v>983</v>
      </c>
      <c r="B601" s="4" t="n">
        <v>45833</v>
      </c>
      <c r="C601" s="1" t="s">
        <v>744</v>
      </c>
      <c r="D601" s="1" t="s">
        <v>325</v>
      </c>
      <c r="E601" s="1" t="n">
        <v>1</v>
      </c>
      <c r="F601" s="5" t="n">
        <v>0.1</v>
      </c>
      <c r="G601" s="1" t="s">
        <v>24</v>
      </c>
      <c r="H601" s="1" t="s">
        <v>14</v>
      </c>
      <c r="I601" s="1" t="s">
        <v>15</v>
      </c>
      <c r="J601" s="1" t="n">
        <v>1</v>
      </c>
    </row>
    <row r="602" customFormat="false" ht="15" hidden="false" customHeight="false" outlineLevel="0" collapsed="false">
      <c r="A602" s="1" t="s">
        <v>984</v>
      </c>
      <c r="B602" s="4" t="n">
        <v>45696</v>
      </c>
      <c r="C602" s="1" t="s">
        <v>321</v>
      </c>
      <c r="D602" s="1" t="s">
        <v>985</v>
      </c>
      <c r="E602" s="1" t="n">
        <v>1</v>
      </c>
      <c r="F602" s="5" t="n">
        <v>0.15</v>
      </c>
      <c r="G602" s="1" t="s">
        <v>24</v>
      </c>
      <c r="H602" s="1" t="s">
        <v>14</v>
      </c>
      <c r="I602" s="1" t="s">
        <v>20</v>
      </c>
      <c r="J602" s="1" t="n">
        <v>2</v>
      </c>
    </row>
    <row r="603" customFormat="false" ht="15" hidden="false" customHeight="false" outlineLevel="0" collapsed="false">
      <c r="A603" s="1" t="s">
        <v>986</v>
      </c>
      <c r="B603" s="4" t="n">
        <v>45665</v>
      </c>
      <c r="C603" s="1" t="s">
        <v>252</v>
      </c>
      <c r="D603" s="1" t="s">
        <v>399</v>
      </c>
      <c r="E603" s="1" t="n">
        <v>3</v>
      </c>
      <c r="F603" s="5" t="n">
        <v>0.15</v>
      </c>
      <c r="G603" s="1" t="s">
        <v>24</v>
      </c>
      <c r="H603" s="1" t="s">
        <v>14</v>
      </c>
      <c r="I603" s="1" t="s">
        <v>20</v>
      </c>
      <c r="J603" s="1" t="n">
        <v>1</v>
      </c>
    </row>
    <row r="604" customFormat="false" ht="15" hidden="false" customHeight="false" outlineLevel="0" collapsed="false">
      <c r="A604" s="1" t="s">
        <v>987</v>
      </c>
      <c r="B604" s="4" t="n">
        <v>45743</v>
      </c>
      <c r="C604" s="1" t="s">
        <v>637</v>
      </c>
      <c r="D604" s="1" t="s">
        <v>444</v>
      </c>
      <c r="E604" s="1" t="n">
        <v>2</v>
      </c>
      <c r="F604" s="5" t="n">
        <v>0.2</v>
      </c>
      <c r="G604" s="1" t="s">
        <v>52</v>
      </c>
      <c r="H604" s="1" t="s">
        <v>14</v>
      </c>
      <c r="I604" s="1" t="s">
        <v>15</v>
      </c>
      <c r="J604" s="1" t="n">
        <v>7</v>
      </c>
    </row>
    <row r="605" customFormat="false" ht="15" hidden="false" customHeight="false" outlineLevel="0" collapsed="false">
      <c r="A605" s="1" t="s">
        <v>988</v>
      </c>
      <c r="B605" s="4" t="n">
        <v>45826</v>
      </c>
      <c r="C605" s="1" t="s">
        <v>259</v>
      </c>
      <c r="D605" s="1" t="s">
        <v>140</v>
      </c>
      <c r="E605" s="1" t="n">
        <v>1</v>
      </c>
      <c r="F605" s="5" t="n">
        <v>0.1</v>
      </c>
      <c r="G605" s="1" t="s">
        <v>34</v>
      </c>
      <c r="H605" s="1" t="s">
        <v>53</v>
      </c>
      <c r="I605" s="1" t="s">
        <v>15</v>
      </c>
      <c r="J605" s="1" t="n">
        <v>3</v>
      </c>
    </row>
    <row r="606" customFormat="false" ht="15" hidden="false" customHeight="false" outlineLevel="0" collapsed="false">
      <c r="A606" s="1" t="s">
        <v>989</v>
      </c>
      <c r="B606" s="4" t="n">
        <v>45952</v>
      </c>
      <c r="C606" s="1" t="s">
        <v>99</v>
      </c>
      <c r="D606" s="1" t="s">
        <v>12</v>
      </c>
      <c r="E606" s="1" t="n">
        <v>1</v>
      </c>
      <c r="F606" s="5" t="n">
        <v>0.2</v>
      </c>
      <c r="G606" s="1" t="s">
        <v>19</v>
      </c>
      <c r="H606" s="1" t="s">
        <v>14</v>
      </c>
      <c r="I606" s="1" t="s">
        <v>15</v>
      </c>
      <c r="J606" s="1" t="n">
        <v>2</v>
      </c>
    </row>
    <row r="607" customFormat="false" ht="15" hidden="false" customHeight="false" outlineLevel="0" collapsed="false">
      <c r="A607" s="1" t="s">
        <v>990</v>
      </c>
      <c r="B607" s="4" t="n">
        <v>46005</v>
      </c>
      <c r="C607" s="1" t="s">
        <v>391</v>
      </c>
      <c r="D607" s="1" t="s">
        <v>441</v>
      </c>
      <c r="E607" s="1" t="n">
        <v>1</v>
      </c>
      <c r="F607" s="5" t="n">
        <v>0.05</v>
      </c>
      <c r="G607" s="1" t="s">
        <v>34</v>
      </c>
      <c r="H607" s="1" t="s">
        <v>53</v>
      </c>
      <c r="I607" s="1" t="s">
        <v>38</v>
      </c>
      <c r="J607" s="1" t="n">
        <v>1</v>
      </c>
    </row>
    <row r="608" customFormat="false" ht="15" hidden="false" customHeight="false" outlineLevel="0" collapsed="false">
      <c r="A608" s="1" t="s">
        <v>991</v>
      </c>
      <c r="B608" s="4" t="n">
        <v>45834</v>
      </c>
      <c r="C608" s="1" t="s">
        <v>212</v>
      </c>
      <c r="D608" s="1" t="s">
        <v>405</v>
      </c>
      <c r="E608" s="1" t="n">
        <v>5</v>
      </c>
      <c r="F608" s="5" t="n">
        <v>0</v>
      </c>
      <c r="G608" s="1" t="s">
        <v>52</v>
      </c>
      <c r="H608" s="1" t="s">
        <v>14</v>
      </c>
      <c r="I608" s="1" t="s">
        <v>38</v>
      </c>
      <c r="J608" s="1" t="n">
        <v>1</v>
      </c>
    </row>
    <row r="609" customFormat="false" ht="15" hidden="false" customHeight="false" outlineLevel="0" collapsed="false">
      <c r="A609" s="1" t="s">
        <v>992</v>
      </c>
      <c r="B609" s="4" t="n">
        <v>45680</v>
      </c>
      <c r="C609" s="1" t="s">
        <v>637</v>
      </c>
      <c r="D609" s="1" t="s">
        <v>323</v>
      </c>
      <c r="E609" s="1" t="n">
        <v>2</v>
      </c>
      <c r="F609" s="5" t="n">
        <v>0</v>
      </c>
      <c r="G609" s="1" t="s">
        <v>52</v>
      </c>
      <c r="H609" s="1" t="s">
        <v>14</v>
      </c>
      <c r="I609" s="1" t="s">
        <v>20</v>
      </c>
      <c r="J609" s="1" t="n">
        <v>4</v>
      </c>
    </row>
    <row r="610" customFormat="false" ht="15" hidden="false" customHeight="false" outlineLevel="0" collapsed="false">
      <c r="A610" s="1" t="s">
        <v>993</v>
      </c>
      <c r="B610" s="4" t="n">
        <v>45870</v>
      </c>
      <c r="C610" s="1" t="s">
        <v>203</v>
      </c>
      <c r="D610" s="1" t="s">
        <v>230</v>
      </c>
      <c r="E610" s="1" t="n">
        <v>2</v>
      </c>
      <c r="F610" s="5" t="n">
        <v>0.2</v>
      </c>
      <c r="G610" s="1" t="s">
        <v>34</v>
      </c>
      <c r="H610" s="1" t="s">
        <v>14</v>
      </c>
      <c r="I610" s="1" t="s">
        <v>20</v>
      </c>
      <c r="J610" s="1" t="n">
        <v>5</v>
      </c>
    </row>
    <row r="611" customFormat="false" ht="15" hidden="false" customHeight="false" outlineLevel="0" collapsed="false">
      <c r="A611" s="1" t="s">
        <v>994</v>
      </c>
      <c r="B611" s="4" t="n">
        <v>45839</v>
      </c>
      <c r="C611" s="1" t="s">
        <v>664</v>
      </c>
      <c r="D611" s="1" t="s">
        <v>89</v>
      </c>
      <c r="E611" s="1" t="n">
        <v>1</v>
      </c>
      <c r="F611" s="5" t="n">
        <v>0.25</v>
      </c>
      <c r="G611" s="1" t="s">
        <v>13</v>
      </c>
      <c r="H611" s="1" t="s">
        <v>53</v>
      </c>
      <c r="I611" s="1" t="s">
        <v>38</v>
      </c>
      <c r="J611" s="1" t="n">
        <v>3</v>
      </c>
    </row>
    <row r="612" customFormat="false" ht="15" hidden="false" customHeight="false" outlineLevel="0" collapsed="false">
      <c r="A612" s="1" t="s">
        <v>995</v>
      </c>
      <c r="B612" s="4" t="n">
        <v>45934</v>
      </c>
      <c r="C612" s="1" t="s">
        <v>643</v>
      </c>
      <c r="D612" s="1" t="s">
        <v>578</v>
      </c>
      <c r="E612" s="1" t="n">
        <v>3</v>
      </c>
      <c r="F612" s="5" t="n">
        <v>0.25</v>
      </c>
      <c r="G612" s="1" t="s">
        <v>24</v>
      </c>
      <c r="H612" s="1" t="s">
        <v>14</v>
      </c>
      <c r="I612" s="1" t="s">
        <v>20</v>
      </c>
      <c r="J612" s="1" t="n">
        <v>3</v>
      </c>
    </row>
    <row r="613" customFormat="false" ht="15" hidden="false" customHeight="false" outlineLevel="0" collapsed="false">
      <c r="A613" s="1" t="s">
        <v>996</v>
      </c>
      <c r="B613" s="4" t="n">
        <v>45809</v>
      </c>
      <c r="C613" s="1" t="s">
        <v>170</v>
      </c>
      <c r="D613" s="1" t="s">
        <v>578</v>
      </c>
      <c r="E613" s="1" t="n">
        <v>2</v>
      </c>
      <c r="F613" s="5" t="n">
        <v>0.15</v>
      </c>
      <c r="G613" s="1" t="s">
        <v>34</v>
      </c>
      <c r="H613" s="1" t="s">
        <v>14</v>
      </c>
      <c r="I613" s="1" t="s">
        <v>15</v>
      </c>
      <c r="J613" s="1" t="n">
        <v>8</v>
      </c>
    </row>
    <row r="614" customFormat="false" ht="15" hidden="false" customHeight="false" outlineLevel="0" collapsed="false">
      <c r="A614" s="1" t="s">
        <v>997</v>
      </c>
      <c r="B614" s="4" t="n">
        <v>45821</v>
      </c>
      <c r="C614" s="1" t="s">
        <v>998</v>
      </c>
      <c r="D614" s="1" t="s">
        <v>436</v>
      </c>
      <c r="E614" s="1" t="n">
        <v>1</v>
      </c>
      <c r="F614" s="5" t="n">
        <v>0.2</v>
      </c>
      <c r="G614" s="1" t="s">
        <v>52</v>
      </c>
      <c r="H614" s="1" t="s">
        <v>14</v>
      </c>
      <c r="I614" s="1" t="s">
        <v>20</v>
      </c>
      <c r="J614" s="1" t="n">
        <v>1</v>
      </c>
    </row>
    <row r="615" customFormat="false" ht="15" hidden="false" customHeight="false" outlineLevel="0" collapsed="false">
      <c r="A615" s="1" t="s">
        <v>999</v>
      </c>
      <c r="B615" s="4" t="n">
        <v>45963</v>
      </c>
      <c r="C615" s="1" t="s">
        <v>227</v>
      </c>
      <c r="D615" s="1" t="s">
        <v>106</v>
      </c>
      <c r="E615" s="1" t="n">
        <v>3</v>
      </c>
      <c r="F615" s="5" t="n">
        <v>0.2</v>
      </c>
      <c r="G615" s="1" t="s">
        <v>19</v>
      </c>
      <c r="H615" s="1" t="s">
        <v>14</v>
      </c>
      <c r="I615" s="1" t="s">
        <v>38</v>
      </c>
      <c r="J615" s="1" t="n">
        <v>4</v>
      </c>
    </row>
    <row r="616" customFormat="false" ht="15" hidden="false" customHeight="false" outlineLevel="0" collapsed="false">
      <c r="A616" s="1" t="s">
        <v>1000</v>
      </c>
      <c r="B616" s="4" t="n">
        <v>45941</v>
      </c>
      <c r="C616" s="1" t="s">
        <v>116</v>
      </c>
      <c r="D616" s="1" t="s">
        <v>270</v>
      </c>
      <c r="E616" s="1" t="n">
        <v>2</v>
      </c>
      <c r="F616" s="5" t="n">
        <v>0.15</v>
      </c>
      <c r="G616" s="1" t="s">
        <v>19</v>
      </c>
      <c r="H616" s="1" t="s">
        <v>45</v>
      </c>
      <c r="I616" s="1" t="s">
        <v>15</v>
      </c>
    </row>
    <row r="617" customFormat="false" ht="15" hidden="false" customHeight="false" outlineLevel="0" collapsed="false">
      <c r="A617" s="1" t="s">
        <v>1001</v>
      </c>
      <c r="B617" s="4" t="n">
        <v>45957</v>
      </c>
      <c r="C617" s="1" t="s">
        <v>63</v>
      </c>
      <c r="D617" s="1" t="s">
        <v>37</v>
      </c>
      <c r="E617" s="1" t="n">
        <v>1</v>
      </c>
      <c r="F617" s="5" t="n">
        <v>0.1</v>
      </c>
      <c r="G617" s="1" t="s">
        <v>13</v>
      </c>
      <c r="H617" s="1" t="s">
        <v>14</v>
      </c>
      <c r="I617" s="1" t="s">
        <v>20</v>
      </c>
      <c r="J617" s="1" t="n">
        <v>6</v>
      </c>
    </row>
    <row r="618" customFormat="false" ht="15" hidden="false" customHeight="false" outlineLevel="0" collapsed="false">
      <c r="A618" s="1" t="s">
        <v>1002</v>
      </c>
      <c r="B618" s="4" t="n">
        <v>45998</v>
      </c>
      <c r="C618" s="1" t="s">
        <v>870</v>
      </c>
      <c r="D618" s="1" t="s">
        <v>67</v>
      </c>
      <c r="E618" s="1" t="n">
        <v>3</v>
      </c>
      <c r="F618" s="5" t="n">
        <v>0.2</v>
      </c>
      <c r="G618" s="1" t="s">
        <v>34</v>
      </c>
      <c r="H618" s="1" t="s">
        <v>14</v>
      </c>
      <c r="I618" s="1" t="s">
        <v>20</v>
      </c>
      <c r="J618" s="1" t="n">
        <v>1</v>
      </c>
    </row>
    <row r="619" customFormat="false" ht="15" hidden="false" customHeight="false" outlineLevel="0" collapsed="false">
      <c r="A619" s="1" t="s">
        <v>1003</v>
      </c>
      <c r="B619" s="4" t="n">
        <v>45858</v>
      </c>
      <c r="C619" s="1" t="s">
        <v>102</v>
      </c>
      <c r="D619" s="1" t="s">
        <v>112</v>
      </c>
      <c r="E619" s="1" t="n">
        <v>1</v>
      </c>
      <c r="F619" s="5" t="n">
        <v>0.15</v>
      </c>
      <c r="G619" s="1" t="s">
        <v>71</v>
      </c>
      <c r="H619" s="1" t="s">
        <v>14</v>
      </c>
      <c r="I619" s="1" t="s">
        <v>38</v>
      </c>
      <c r="J619" s="1" t="n">
        <v>5</v>
      </c>
    </row>
    <row r="620" customFormat="false" ht="15" hidden="false" customHeight="false" outlineLevel="0" collapsed="false">
      <c r="A620" s="1" t="s">
        <v>1004</v>
      </c>
      <c r="B620" s="4" t="n">
        <v>46006</v>
      </c>
      <c r="C620" s="1" t="s">
        <v>61</v>
      </c>
      <c r="D620" s="1" t="s">
        <v>27</v>
      </c>
      <c r="E620" s="1" t="n">
        <v>1</v>
      </c>
      <c r="F620" s="5" t="n">
        <v>0.1</v>
      </c>
      <c r="G620" s="1" t="s">
        <v>52</v>
      </c>
      <c r="H620" s="1" t="s">
        <v>92</v>
      </c>
      <c r="I620" s="1" t="s">
        <v>15</v>
      </c>
    </row>
    <row r="621" customFormat="false" ht="15" hidden="false" customHeight="false" outlineLevel="0" collapsed="false">
      <c r="A621" s="1" t="s">
        <v>1005</v>
      </c>
      <c r="B621" s="4" t="n">
        <v>45928</v>
      </c>
      <c r="C621" s="1" t="s">
        <v>867</v>
      </c>
      <c r="D621" s="1" t="s">
        <v>27</v>
      </c>
      <c r="E621" s="1" t="n">
        <v>1</v>
      </c>
      <c r="F621" s="5" t="n">
        <v>0.25</v>
      </c>
      <c r="G621" s="1" t="s">
        <v>34</v>
      </c>
      <c r="H621" s="1" t="s">
        <v>53</v>
      </c>
      <c r="I621" s="1" t="s">
        <v>20</v>
      </c>
      <c r="J621" s="1" t="n">
        <v>2</v>
      </c>
    </row>
    <row r="622" customFormat="false" ht="15" hidden="false" customHeight="false" outlineLevel="0" collapsed="false">
      <c r="A622" s="1" t="s">
        <v>1006</v>
      </c>
      <c r="B622" s="4" t="n">
        <v>45898</v>
      </c>
      <c r="C622" s="1" t="s">
        <v>820</v>
      </c>
      <c r="D622" s="1" t="s">
        <v>109</v>
      </c>
      <c r="E622" s="1" t="n">
        <v>3</v>
      </c>
      <c r="F622" s="5" t="n">
        <v>0</v>
      </c>
      <c r="G622" s="1" t="s">
        <v>24</v>
      </c>
      <c r="H622" s="1" t="s">
        <v>14</v>
      </c>
      <c r="I622" s="1" t="s">
        <v>15</v>
      </c>
      <c r="J622" s="1" t="n">
        <v>5</v>
      </c>
    </row>
    <row r="623" customFormat="false" ht="15" hidden="false" customHeight="false" outlineLevel="0" collapsed="false">
      <c r="A623" s="1" t="s">
        <v>1007</v>
      </c>
      <c r="B623" s="4" t="n">
        <v>45833</v>
      </c>
      <c r="C623" s="1" t="s">
        <v>998</v>
      </c>
      <c r="D623" s="1" t="s">
        <v>230</v>
      </c>
      <c r="E623" s="1" t="n">
        <v>1</v>
      </c>
      <c r="F623" s="5" t="n">
        <v>0</v>
      </c>
      <c r="G623" s="1" t="s">
        <v>34</v>
      </c>
      <c r="H623" s="1" t="s">
        <v>14</v>
      </c>
      <c r="I623" s="1" t="s">
        <v>38</v>
      </c>
      <c r="J623" s="1" t="n">
        <v>1</v>
      </c>
    </row>
    <row r="624" customFormat="false" ht="15" hidden="false" customHeight="false" outlineLevel="0" collapsed="false">
      <c r="A624" s="1" t="s">
        <v>1008</v>
      </c>
      <c r="B624" s="4" t="n">
        <v>45676</v>
      </c>
      <c r="C624" s="1" t="s">
        <v>1009</v>
      </c>
      <c r="D624" s="1" t="s">
        <v>134</v>
      </c>
      <c r="E624" s="1" t="n">
        <v>1</v>
      </c>
      <c r="F624" s="5" t="n">
        <v>0.25</v>
      </c>
      <c r="G624" s="1" t="s">
        <v>52</v>
      </c>
      <c r="H624" s="1" t="s">
        <v>14</v>
      </c>
      <c r="I624" s="1" t="s">
        <v>15</v>
      </c>
      <c r="J624" s="1" t="n">
        <v>6</v>
      </c>
    </row>
    <row r="625" customFormat="false" ht="15" hidden="false" customHeight="false" outlineLevel="0" collapsed="false">
      <c r="A625" s="1" t="s">
        <v>1010</v>
      </c>
      <c r="B625" s="4" t="n">
        <v>45777</v>
      </c>
      <c r="C625" s="1" t="s">
        <v>1011</v>
      </c>
      <c r="D625" s="1" t="s">
        <v>64</v>
      </c>
      <c r="E625" s="1" t="n">
        <v>1</v>
      </c>
      <c r="F625" s="5" t="n">
        <v>0</v>
      </c>
      <c r="G625" s="1" t="s">
        <v>13</v>
      </c>
      <c r="H625" s="1" t="s">
        <v>14</v>
      </c>
      <c r="I625" s="1" t="s">
        <v>15</v>
      </c>
      <c r="J625" s="1" t="n">
        <v>2</v>
      </c>
    </row>
    <row r="626" customFormat="false" ht="15" hidden="false" customHeight="false" outlineLevel="0" collapsed="false">
      <c r="A626" s="1" t="s">
        <v>1012</v>
      </c>
      <c r="B626" s="4" t="n">
        <v>45660</v>
      </c>
      <c r="C626" s="1" t="s">
        <v>396</v>
      </c>
      <c r="D626" s="1" t="s">
        <v>264</v>
      </c>
      <c r="E626" s="1" t="n">
        <v>2</v>
      </c>
      <c r="F626" s="5" t="n">
        <v>0.15</v>
      </c>
      <c r="G626" s="1" t="s">
        <v>19</v>
      </c>
      <c r="H626" s="1" t="s">
        <v>14</v>
      </c>
      <c r="I626" s="1" t="s">
        <v>15</v>
      </c>
      <c r="J626" s="1" t="n">
        <v>7</v>
      </c>
    </row>
    <row r="627" customFormat="false" ht="15" hidden="false" customHeight="false" outlineLevel="0" collapsed="false">
      <c r="A627" s="1" t="s">
        <v>1013</v>
      </c>
      <c r="B627" s="4" t="n">
        <v>45695</v>
      </c>
      <c r="C627" s="1" t="s">
        <v>382</v>
      </c>
      <c r="D627" s="1" t="s">
        <v>162</v>
      </c>
      <c r="E627" s="1" t="n">
        <v>2</v>
      </c>
      <c r="F627" s="5" t="n">
        <v>0.1</v>
      </c>
      <c r="G627" s="1" t="s">
        <v>24</v>
      </c>
      <c r="H627" s="1" t="s">
        <v>14</v>
      </c>
      <c r="I627" s="1" t="s">
        <v>15</v>
      </c>
      <c r="J627" s="1" t="n">
        <v>5</v>
      </c>
    </row>
    <row r="628" customFormat="false" ht="15" hidden="false" customHeight="false" outlineLevel="0" collapsed="false">
      <c r="A628" s="1" t="s">
        <v>1014</v>
      </c>
      <c r="B628" s="4" t="n">
        <v>45797</v>
      </c>
      <c r="C628" s="1" t="s">
        <v>164</v>
      </c>
      <c r="D628" s="1" t="s">
        <v>18</v>
      </c>
      <c r="E628" s="1" t="n">
        <v>1</v>
      </c>
      <c r="F628" s="5" t="n">
        <v>0.1</v>
      </c>
      <c r="G628" s="1" t="s">
        <v>52</v>
      </c>
      <c r="H628" s="1" t="s">
        <v>14</v>
      </c>
      <c r="I628" s="1" t="s">
        <v>15</v>
      </c>
      <c r="J628" s="1" t="n">
        <v>4</v>
      </c>
    </row>
    <row r="629" customFormat="false" ht="15" hidden="false" customHeight="false" outlineLevel="0" collapsed="false">
      <c r="A629" s="1" t="s">
        <v>1015</v>
      </c>
      <c r="B629" s="4" t="n">
        <v>45898</v>
      </c>
      <c r="C629" s="1" t="s">
        <v>17</v>
      </c>
      <c r="D629" s="1" t="s">
        <v>578</v>
      </c>
      <c r="E629" s="1" t="n">
        <v>1</v>
      </c>
      <c r="F629" s="5" t="n">
        <v>0.25</v>
      </c>
      <c r="G629" s="1" t="s">
        <v>71</v>
      </c>
      <c r="H629" s="1" t="s">
        <v>14</v>
      </c>
      <c r="I629" s="1" t="s">
        <v>15</v>
      </c>
      <c r="J629" s="1" t="n">
        <v>8</v>
      </c>
    </row>
    <row r="630" customFormat="false" ht="15" hidden="false" customHeight="false" outlineLevel="0" collapsed="false">
      <c r="A630" s="1" t="s">
        <v>1016</v>
      </c>
      <c r="B630" s="4" t="n">
        <v>45670</v>
      </c>
      <c r="C630" s="1" t="s">
        <v>461</v>
      </c>
      <c r="D630" s="1" t="s">
        <v>134</v>
      </c>
      <c r="E630" s="1" t="n">
        <v>1</v>
      </c>
      <c r="F630" s="5" t="n">
        <v>0</v>
      </c>
      <c r="G630" s="1" t="s">
        <v>34</v>
      </c>
      <c r="H630" s="1" t="s">
        <v>92</v>
      </c>
      <c r="I630" s="1" t="s">
        <v>38</v>
      </c>
    </row>
    <row r="631" customFormat="false" ht="15" hidden="false" customHeight="false" outlineLevel="0" collapsed="false">
      <c r="A631" s="1" t="s">
        <v>1017</v>
      </c>
      <c r="B631" s="4" t="n">
        <v>45840</v>
      </c>
      <c r="C631" s="1" t="s">
        <v>361</v>
      </c>
      <c r="D631" s="1" t="s">
        <v>245</v>
      </c>
      <c r="E631" s="1" t="n">
        <v>1</v>
      </c>
      <c r="F631" s="5" t="n">
        <v>0</v>
      </c>
      <c r="G631" s="1" t="s">
        <v>34</v>
      </c>
      <c r="H631" s="1" t="s">
        <v>14</v>
      </c>
      <c r="I631" s="1" t="s">
        <v>15</v>
      </c>
      <c r="J631" s="1" t="n">
        <v>5</v>
      </c>
    </row>
    <row r="632" customFormat="false" ht="15" hidden="false" customHeight="false" outlineLevel="0" collapsed="false">
      <c r="A632" s="1" t="s">
        <v>1018</v>
      </c>
      <c r="B632" s="4" t="n">
        <v>46012</v>
      </c>
      <c r="C632" s="1" t="s">
        <v>1019</v>
      </c>
      <c r="D632" s="1" t="s">
        <v>237</v>
      </c>
      <c r="E632" s="1" t="n">
        <v>1</v>
      </c>
      <c r="F632" s="5" t="n">
        <v>0.1</v>
      </c>
      <c r="G632" s="1" t="s">
        <v>52</v>
      </c>
      <c r="H632" s="1" t="s">
        <v>45</v>
      </c>
      <c r="I632" s="1" t="s">
        <v>15</v>
      </c>
    </row>
    <row r="633" customFormat="false" ht="15" hidden="false" customHeight="false" outlineLevel="0" collapsed="false">
      <c r="A633" s="1" t="s">
        <v>1020</v>
      </c>
      <c r="B633" s="4" t="n">
        <v>45930</v>
      </c>
      <c r="C633" s="1" t="s">
        <v>170</v>
      </c>
      <c r="D633" s="1" t="s">
        <v>70</v>
      </c>
      <c r="E633" s="1" t="n">
        <v>1</v>
      </c>
      <c r="F633" s="5" t="n">
        <v>0.25</v>
      </c>
      <c r="G633" s="1" t="s">
        <v>52</v>
      </c>
      <c r="H633" s="1" t="s">
        <v>14</v>
      </c>
      <c r="I633" s="1" t="s">
        <v>38</v>
      </c>
      <c r="J633" s="1" t="n">
        <v>7</v>
      </c>
    </row>
    <row r="634" customFormat="false" ht="15" hidden="false" customHeight="false" outlineLevel="0" collapsed="false">
      <c r="A634" s="1" t="s">
        <v>1021</v>
      </c>
      <c r="B634" s="4" t="n">
        <v>45780</v>
      </c>
      <c r="C634" s="1" t="s">
        <v>726</v>
      </c>
      <c r="D634" s="1" t="s">
        <v>70</v>
      </c>
      <c r="E634" s="1" t="n">
        <v>1</v>
      </c>
      <c r="F634" s="5" t="n">
        <v>0.1</v>
      </c>
      <c r="G634" s="1" t="s">
        <v>34</v>
      </c>
      <c r="H634" s="1" t="s">
        <v>14</v>
      </c>
      <c r="I634" s="1" t="s">
        <v>38</v>
      </c>
      <c r="J634" s="1" t="n">
        <v>2</v>
      </c>
    </row>
    <row r="635" customFormat="false" ht="15" hidden="false" customHeight="false" outlineLevel="0" collapsed="false">
      <c r="A635" s="1" t="s">
        <v>1022</v>
      </c>
      <c r="B635" s="4" t="n">
        <v>45728</v>
      </c>
      <c r="C635" s="1" t="s">
        <v>688</v>
      </c>
      <c r="D635" s="1" t="s">
        <v>537</v>
      </c>
      <c r="E635" s="1" t="n">
        <v>2</v>
      </c>
      <c r="F635" s="5" t="n">
        <v>0.1</v>
      </c>
      <c r="G635" s="1" t="s">
        <v>24</v>
      </c>
      <c r="H635" s="1" t="s">
        <v>14</v>
      </c>
      <c r="I635" s="1" t="s">
        <v>15</v>
      </c>
      <c r="J635" s="1" t="n">
        <v>4</v>
      </c>
    </row>
    <row r="636" customFormat="false" ht="15" hidden="false" customHeight="false" outlineLevel="0" collapsed="false">
      <c r="A636" s="1" t="s">
        <v>1023</v>
      </c>
      <c r="B636" s="4" t="n">
        <v>45863</v>
      </c>
      <c r="C636" s="1" t="s">
        <v>338</v>
      </c>
      <c r="D636" s="1" t="s">
        <v>134</v>
      </c>
      <c r="E636" s="1" t="n">
        <v>4</v>
      </c>
      <c r="F636" s="5" t="n">
        <v>0.15</v>
      </c>
      <c r="G636" s="1" t="s">
        <v>52</v>
      </c>
      <c r="H636" s="1" t="s">
        <v>14</v>
      </c>
      <c r="I636" s="1" t="s">
        <v>38</v>
      </c>
      <c r="J636" s="1" t="n">
        <v>8</v>
      </c>
    </row>
    <row r="637" customFormat="false" ht="15" hidden="false" customHeight="false" outlineLevel="0" collapsed="false">
      <c r="A637" s="1" t="s">
        <v>1024</v>
      </c>
      <c r="B637" s="4" t="n">
        <v>45899</v>
      </c>
      <c r="C637" s="1" t="s">
        <v>415</v>
      </c>
      <c r="D637" s="1" t="s">
        <v>89</v>
      </c>
      <c r="E637" s="1" t="n">
        <v>3</v>
      </c>
      <c r="F637" s="5" t="n">
        <v>0.2</v>
      </c>
      <c r="G637" s="1" t="s">
        <v>19</v>
      </c>
      <c r="H637" s="1" t="s">
        <v>14</v>
      </c>
      <c r="I637" s="1" t="s">
        <v>38</v>
      </c>
      <c r="J637" s="1" t="n">
        <v>5</v>
      </c>
    </row>
    <row r="638" customFormat="false" ht="15" hidden="false" customHeight="false" outlineLevel="0" collapsed="false">
      <c r="A638" s="1" t="s">
        <v>1025</v>
      </c>
      <c r="B638" s="4" t="n">
        <v>45786</v>
      </c>
      <c r="C638" s="1" t="s">
        <v>196</v>
      </c>
      <c r="D638" s="1" t="s">
        <v>325</v>
      </c>
      <c r="E638" s="1" t="n">
        <v>1</v>
      </c>
      <c r="F638" s="5" t="n">
        <v>0.15</v>
      </c>
      <c r="G638" s="1" t="s">
        <v>34</v>
      </c>
      <c r="H638" s="1" t="s">
        <v>14</v>
      </c>
      <c r="I638" s="1" t="s">
        <v>20</v>
      </c>
      <c r="J638" s="1" t="n">
        <v>6</v>
      </c>
    </row>
    <row r="639" customFormat="false" ht="15" hidden="false" customHeight="false" outlineLevel="0" collapsed="false">
      <c r="A639" s="1" t="s">
        <v>1026</v>
      </c>
      <c r="B639" s="4" t="n">
        <v>45825</v>
      </c>
      <c r="C639" s="1" t="s">
        <v>298</v>
      </c>
      <c r="D639" s="1" t="s">
        <v>255</v>
      </c>
      <c r="E639" s="1" t="n">
        <v>2</v>
      </c>
      <c r="F639" s="5" t="n">
        <v>0</v>
      </c>
      <c r="G639" s="1" t="s">
        <v>52</v>
      </c>
      <c r="H639" s="1" t="s">
        <v>14</v>
      </c>
      <c r="I639" s="1" t="s">
        <v>20</v>
      </c>
      <c r="J639" s="1" t="n">
        <v>3</v>
      </c>
    </row>
    <row r="640" customFormat="false" ht="15" hidden="false" customHeight="false" outlineLevel="0" collapsed="false">
      <c r="A640" s="1" t="s">
        <v>1027</v>
      </c>
      <c r="B640" s="4" t="n">
        <v>45754</v>
      </c>
      <c r="C640" s="1" t="s">
        <v>518</v>
      </c>
      <c r="D640" s="1" t="s">
        <v>33</v>
      </c>
      <c r="E640" s="1" t="n">
        <v>2</v>
      </c>
      <c r="F640" s="5" t="n">
        <v>0.15</v>
      </c>
      <c r="G640" s="1" t="s">
        <v>52</v>
      </c>
      <c r="H640" s="1" t="s">
        <v>92</v>
      </c>
      <c r="I640" s="1" t="s">
        <v>15</v>
      </c>
    </row>
    <row r="641" customFormat="false" ht="15" hidden="false" customHeight="false" outlineLevel="0" collapsed="false">
      <c r="A641" s="1" t="s">
        <v>1028</v>
      </c>
      <c r="B641" s="4" t="n">
        <v>45947</v>
      </c>
      <c r="C641" s="1" t="s">
        <v>969</v>
      </c>
      <c r="D641" s="1" t="s">
        <v>240</v>
      </c>
      <c r="E641" s="1" t="n">
        <v>4</v>
      </c>
      <c r="F641" s="5" t="n">
        <v>0.1</v>
      </c>
      <c r="G641" s="1" t="s">
        <v>52</v>
      </c>
      <c r="H641" s="1" t="s">
        <v>53</v>
      </c>
      <c r="I641" s="1" t="s">
        <v>20</v>
      </c>
      <c r="J641" s="1" t="n">
        <v>2</v>
      </c>
    </row>
    <row r="642" customFormat="false" ht="15" hidden="false" customHeight="false" outlineLevel="0" collapsed="false">
      <c r="A642" s="1" t="s">
        <v>1029</v>
      </c>
      <c r="B642" s="4" t="n">
        <v>45984</v>
      </c>
      <c r="C642" s="1" t="s">
        <v>608</v>
      </c>
      <c r="D642" s="1" t="s">
        <v>165</v>
      </c>
      <c r="E642" s="1" t="n">
        <v>2</v>
      </c>
      <c r="F642" s="5" t="n">
        <v>0</v>
      </c>
      <c r="G642" s="1" t="s">
        <v>52</v>
      </c>
      <c r="H642" s="1" t="s">
        <v>14</v>
      </c>
      <c r="I642" s="1" t="s">
        <v>20</v>
      </c>
      <c r="J642" s="1" t="n">
        <v>3</v>
      </c>
    </row>
    <row r="643" customFormat="false" ht="15" hidden="false" customHeight="false" outlineLevel="0" collapsed="false">
      <c r="A643" s="1" t="s">
        <v>1030</v>
      </c>
      <c r="B643" s="4" t="n">
        <v>45836</v>
      </c>
      <c r="C643" s="1" t="s">
        <v>178</v>
      </c>
      <c r="D643" s="1" t="s">
        <v>222</v>
      </c>
      <c r="E643" s="1" t="n">
        <v>3</v>
      </c>
      <c r="F643" s="5" t="n">
        <v>0.05</v>
      </c>
      <c r="G643" s="1" t="s">
        <v>52</v>
      </c>
      <c r="H643" s="1" t="s">
        <v>14</v>
      </c>
      <c r="I643" s="1" t="s">
        <v>15</v>
      </c>
      <c r="J643" s="1" t="n">
        <v>2</v>
      </c>
    </row>
    <row r="644" customFormat="false" ht="15" hidden="false" customHeight="false" outlineLevel="0" collapsed="false">
      <c r="A644" s="1" t="s">
        <v>1031</v>
      </c>
      <c r="B644" s="4" t="n">
        <v>45827</v>
      </c>
      <c r="C644" s="1" t="s">
        <v>80</v>
      </c>
      <c r="D644" s="1" t="s">
        <v>222</v>
      </c>
      <c r="E644" s="1" t="n">
        <v>3</v>
      </c>
      <c r="F644" s="5" t="n">
        <v>0.1</v>
      </c>
      <c r="G644" s="1" t="s">
        <v>24</v>
      </c>
      <c r="H644" s="1" t="s">
        <v>14</v>
      </c>
      <c r="I644" s="1" t="s">
        <v>38</v>
      </c>
      <c r="J644" s="1" t="n">
        <v>3</v>
      </c>
    </row>
    <row r="645" customFormat="false" ht="15" hidden="false" customHeight="false" outlineLevel="0" collapsed="false">
      <c r="A645" s="1" t="s">
        <v>1032</v>
      </c>
      <c r="B645" s="4" t="n">
        <v>45994</v>
      </c>
      <c r="C645" s="1" t="s">
        <v>479</v>
      </c>
      <c r="D645" s="1" t="s">
        <v>484</v>
      </c>
      <c r="E645" s="1" t="n">
        <v>2</v>
      </c>
      <c r="F645" s="5" t="n">
        <v>0.2</v>
      </c>
      <c r="G645" s="1" t="s">
        <v>52</v>
      </c>
      <c r="H645" s="1" t="s">
        <v>14</v>
      </c>
      <c r="I645" s="1" t="s">
        <v>20</v>
      </c>
      <c r="J645" s="1" t="n">
        <v>5</v>
      </c>
    </row>
    <row r="646" customFormat="false" ht="15" hidden="false" customHeight="false" outlineLevel="0" collapsed="false">
      <c r="A646" s="1" t="s">
        <v>1033</v>
      </c>
      <c r="B646" s="4" t="n">
        <v>45964</v>
      </c>
      <c r="C646" s="1" t="s">
        <v>127</v>
      </c>
      <c r="D646" s="1" t="s">
        <v>537</v>
      </c>
      <c r="E646" s="1" t="n">
        <v>3</v>
      </c>
      <c r="F646" s="5" t="n">
        <v>0.05</v>
      </c>
      <c r="G646" s="1" t="s">
        <v>34</v>
      </c>
      <c r="H646" s="1" t="s">
        <v>14</v>
      </c>
      <c r="I646" s="1" t="s">
        <v>38</v>
      </c>
      <c r="J646" s="1" t="n">
        <v>6</v>
      </c>
    </row>
    <row r="647" customFormat="false" ht="15" hidden="false" customHeight="false" outlineLevel="0" collapsed="false">
      <c r="A647" s="1" t="s">
        <v>1034</v>
      </c>
      <c r="B647" s="4" t="n">
        <v>45722</v>
      </c>
      <c r="C647" s="1" t="s">
        <v>640</v>
      </c>
      <c r="D647" s="1" t="s">
        <v>328</v>
      </c>
      <c r="E647" s="1" t="n">
        <v>3</v>
      </c>
      <c r="F647" s="5" t="n">
        <v>0.2</v>
      </c>
      <c r="G647" s="1" t="s">
        <v>34</v>
      </c>
      <c r="H647" s="1" t="s">
        <v>92</v>
      </c>
      <c r="I647" s="1" t="s">
        <v>20</v>
      </c>
    </row>
    <row r="648" customFormat="false" ht="15" hidden="false" customHeight="false" outlineLevel="0" collapsed="false">
      <c r="A648" s="1" t="s">
        <v>1035</v>
      </c>
      <c r="B648" s="4" t="n">
        <v>45668</v>
      </c>
      <c r="C648" s="1" t="s">
        <v>974</v>
      </c>
      <c r="D648" s="1" t="s">
        <v>89</v>
      </c>
      <c r="E648" s="1" t="n">
        <v>1</v>
      </c>
      <c r="F648" s="5" t="n">
        <v>0.25</v>
      </c>
      <c r="G648" s="1" t="s">
        <v>52</v>
      </c>
      <c r="H648" s="1" t="s">
        <v>14</v>
      </c>
      <c r="I648" s="1" t="s">
        <v>20</v>
      </c>
      <c r="J648" s="1" t="n">
        <v>6</v>
      </c>
    </row>
    <row r="649" customFormat="false" ht="15" hidden="false" customHeight="false" outlineLevel="0" collapsed="false">
      <c r="A649" s="1" t="s">
        <v>1036</v>
      </c>
      <c r="B649" s="4" t="n">
        <v>45807</v>
      </c>
      <c r="C649" s="1" t="s">
        <v>591</v>
      </c>
      <c r="D649" s="1" t="s">
        <v>168</v>
      </c>
      <c r="E649" s="1" t="n">
        <v>1</v>
      </c>
      <c r="F649" s="5" t="n">
        <v>0.15</v>
      </c>
      <c r="G649" s="1" t="s">
        <v>52</v>
      </c>
      <c r="H649" s="1" t="s">
        <v>53</v>
      </c>
      <c r="I649" s="1" t="s">
        <v>15</v>
      </c>
      <c r="J649" s="1" t="n">
        <v>3</v>
      </c>
    </row>
    <row r="650" customFormat="false" ht="15" hidden="false" customHeight="false" outlineLevel="0" collapsed="false">
      <c r="A650" s="1" t="s">
        <v>1037</v>
      </c>
      <c r="B650" s="4" t="n">
        <v>45844</v>
      </c>
      <c r="C650" s="1" t="s">
        <v>820</v>
      </c>
      <c r="D650" s="1" t="s">
        <v>130</v>
      </c>
      <c r="E650" s="1" t="n">
        <v>3</v>
      </c>
      <c r="F650" s="5" t="n">
        <v>0.1</v>
      </c>
      <c r="G650" s="1" t="s">
        <v>34</v>
      </c>
      <c r="H650" s="1" t="s">
        <v>14</v>
      </c>
      <c r="I650" s="1" t="s">
        <v>20</v>
      </c>
      <c r="J650" s="1" t="n">
        <v>2</v>
      </c>
    </row>
    <row r="651" customFormat="false" ht="15" hidden="false" customHeight="false" outlineLevel="0" collapsed="false">
      <c r="A651" s="1" t="s">
        <v>1038</v>
      </c>
      <c r="B651" s="4" t="n">
        <v>45992</v>
      </c>
      <c r="C651" s="1" t="s">
        <v>726</v>
      </c>
      <c r="D651" s="1" t="s">
        <v>148</v>
      </c>
      <c r="E651" s="1" t="n">
        <v>1</v>
      </c>
      <c r="F651" s="5" t="n">
        <v>0.25</v>
      </c>
      <c r="G651" s="1" t="s">
        <v>24</v>
      </c>
      <c r="H651" s="1" t="s">
        <v>14</v>
      </c>
      <c r="I651" s="1" t="s">
        <v>38</v>
      </c>
      <c r="J651" s="1" t="n">
        <v>5</v>
      </c>
    </row>
    <row r="652" customFormat="false" ht="15" hidden="false" customHeight="false" outlineLevel="0" collapsed="false">
      <c r="A652" s="1" t="s">
        <v>1039</v>
      </c>
      <c r="B652" s="4" t="n">
        <v>46000</v>
      </c>
      <c r="C652" s="1" t="s">
        <v>659</v>
      </c>
      <c r="D652" s="1" t="s">
        <v>253</v>
      </c>
      <c r="E652" s="1" t="n">
        <v>4</v>
      </c>
      <c r="F652" s="5" t="n">
        <v>0.05</v>
      </c>
      <c r="G652" s="1" t="s">
        <v>24</v>
      </c>
      <c r="H652" s="1" t="s">
        <v>14</v>
      </c>
      <c r="I652" s="1" t="s">
        <v>15</v>
      </c>
      <c r="J652" s="1" t="n">
        <v>2</v>
      </c>
    </row>
    <row r="653" customFormat="false" ht="15" hidden="false" customHeight="false" outlineLevel="0" collapsed="false">
      <c r="A653" s="1" t="s">
        <v>1040</v>
      </c>
      <c r="B653" s="4" t="n">
        <v>45799</v>
      </c>
      <c r="C653" s="1" t="s">
        <v>129</v>
      </c>
      <c r="D653" s="1" t="s">
        <v>58</v>
      </c>
      <c r="E653" s="1" t="n">
        <v>1</v>
      </c>
      <c r="F653" s="5" t="n">
        <v>0.1</v>
      </c>
      <c r="G653" s="1" t="s">
        <v>24</v>
      </c>
      <c r="H653" s="1" t="s">
        <v>14</v>
      </c>
      <c r="I653" s="1" t="s">
        <v>15</v>
      </c>
      <c r="J653" s="1" t="n">
        <v>8</v>
      </c>
    </row>
    <row r="654" customFormat="false" ht="15" hidden="false" customHeight="false" outlineLevel="0" collapsed="false">
      <c r="A654" s="1" t="s">
        <v>1041</v>
      </c>
      <c r="B654" s="4" t="n">
        <v>45740</v>
      </c>
      <c r="C654" s="1" t="s">
        <v>47</v>
      </c>
      <c r="D654" s="1" t="s">
        <v>48</v>
      </c>
      <c r="E654" s="1" t="n">
        <v>3</v>
      </c>
      <c r="F654" s="5" t="n">
        <v>0.15</v>
      </c>
      <c r="G654" s="1" t="s">
        <v>52</v>
      </c>
      <c r="H654" s="1" t="s">
        <v>14</v>
      </c>
      <c r="I654" s="1" t="s">
        <v>38</v>
      </c>
      <c r="J654" s="1" t="n">
        <v>8</v>
      </c>
    </row>
    <row r="655" customFormat="false" ht="15" hidden="false" customHeight="false" outlineLevel="0" collapsed="false">
      <c r="A655" s="1" t="s">
        <v>1042</v>
      </c>
      <c r="B655" s="4" t="n">
        <v>45720</v>
      </c>
      <c r="C655" s="1" t="s">
        <v>688</v>
      </c>
      <c r="D655" s="1" t="s">
        <v>303</v>
      </c>
      <c r="E655" s="1" t="n">
        <v>2</v>
      </c>
      <c r="F655" s="5" t="n">
        <v>0</v>
      </c>
      <c r="G655" s="1" t="s">
        <v>34</v>
      </c>
      <c r="H655" s="1" t="s">
        <v>14</v>
      </c>
      <c r="I655" s="1" t="s">
        <v>20</v>
      </c>
      <c r="J655" s="1" t="n">
        <v>5</v>
      </c>
    </row>
    <row r="656" customFormat="false" ht="15" hidden="false" customHeight="false" outlineLevel="0" collapsed="false">
      <c r="A656" s="1" t="s">
        <v>1043</v>
      </c>
      <c r="B656" s="4" t="n">
        <v>45858</v>
      </c>
      <c r="C656" s="1" t="s">
        <v>347</v>
      </c>
      <c r="D656" s="1" t="s">
        <v>985</v>
      </c>
      <c r="E656" s="1" t="n">
        <v>1</v>
      </c>
      <c r="F656" s="5" t="n">
        <v>0.1</v>
      </c>
      <c r="G656" s="1" t="s">
        <v>24</v>
      </c>
      <c r="H656" s="1" t="s">
        <v>14</v>
      </c>
      <c r="I656" s="1" t="s">
        <v>15</v>
      </c>
      <c r="J656" s="1" t="n">
        <v>2</v>
      </c>
    </row>
    <row r="657" customFormat="false" ht="15" hidden="false" customHeight="false" outlineLevel="0" collapsed="false">
      <c r="A657" s="1" t="s">
        <v>1044</v>
      </c>
      <c r="B657" s="4" t="n">
        <v>45762</v>
      </c>
      <c r="C657" s="1" t="s">
        <v>26</v>
      </c>
      <c r="D657" s="1" t="s">
        <v>323</v>
      </c>
      <c r="E657" s="1" t="n">
        <v>2</v>
      </c>
      <c r="F657" s="5" t="n">
        <v>0.05</v>
      </c>
      <c r="G657" s="1" t="s">
        <v>71</v>
      </c>
      <c r="H657" s="1" t="s">
        <v>14</v>
      </c>
      <c r="I657" s="1" t="s">
        <v>20</v>
      </c>
      <c r="J657" s="1" t="n">
        <v>3</v>
      </c>
    </row>
    <row r="658" customFormat="false" ht="15" hidden="false" customHeight="false" outlineLevel="0" collapsed="false">
      <c r="A658" s="1" t="s">
        <v>1045</v>
      </c>
      <c r="B658" s="4" t="n">
        <v>45881</v>
      </c>
      <c r="C658" s="1" t="s">
        <v>396</v>
      </c>
      <c r="D658" s="1" t="s">
        <v>143</v>
      </c>
      <c r="E658" s="1" t="n">
        <v>3</v>
      </c>
      <c r="F658" s="5" t="n">
        <v>0.25</v>
      </c>
      <c r="G658" s="1" t="s">
        <v>13</v>
      </c>
      <c r="H658" s="1" t="s">
        <v>14</v>
      </c>
      <c r="I658" s="1" t="s">
        <v>38</v>
      </c>
      <c r="J658" s="1" t="n">
        <v>7</v>
      </c>
    </row>
    <row r="659" customFormat="false" ht="15" hidden="false" customHeight="false" outlineLevel="0" collapsed="false">
      <c r="A659" s="1" t="s">
        <v>1046</v>
      </c>
      <c r="B659" s="4" t="n">
        <v>45998</v>
      </c>
      <c r="C659" s="1" t="s">
        <v>370</v>
      </c>
      <c r="D659" s="1" t="s">
        <v>171</v>
      </c>
      <c r="E659" s="1" t="n">
        <v>1</v>
      </c>
      <c r="F659" s="5" t="n">
        <v>0.15</v>
      </c>
      <c r="G659" s="1" t="s">
        <v>34</v>
      </c>
      <c r="H659" s="1" t="s">
        <v>45</v>
      </c>
      <c r="I659" s="1" t="s">
        <v>15</v>
      </c>
    </row>
    <row r="660" customFormat="false" ht="15" hidden="false" customHeight="false" outlineLevel="0" collapsed="false">
      <c r="A660" s="1" t="s">
        <v>1047</v>
      </c>
      <c r="B660" s="4" t="n">
        <v>45947</v>
      </c>
      <c r="C660" s="1" t="s">
        <v>288</v>
      </c>
      <c r="D660" s="1" t="s">
        <v>418</v>
      </c>
      <c r="E660" s="1" t="n">
        <v>2</v>
      </c>
      <c r="F660" s="5" t="n">
        <v>0</v>
      </c>
      <c r="G660" s="1" t="s">
        <v>19</v>
      </c>
      <c r="H660" s="1" t="s">
        <v>14</v>
      </c>
      <c r="I660" s="1" t="s">
        <v>20</v>
      </c>
      <c r="J660" s="1" t="n">
        <v>1</v>
      </c>
    </row>
    <row r="661" customFormat="false" ht="15" hidden="false" customHeight="false" outlineLevel="0" collapsed="false">
      <c r="A661" s="1" t="s">
        <v>1048</v>
      </c>
      <c r="B661" s="4" t="n">
        <v>45997</v>
      </c>
      <c r="C661" s="1" t="s">
        <v>730</v>
      </c>
      <c r="D661" s="1" t="s">
        <v>446</v>
      </c>
      <c r="E661" s="1" t="n">
        <v>1</v>
      </c>
      <c r="F661" s="5" t="n">
        <v>0.1</v>
      </c>
      <c r="G661" s="1" t="s">
        <v>52</v>
      </c>
      <c r="H661" s="1" t="s">
        <v>14</v>
      </c>
      <c r="I661" s="1" t="s">
        <v>38</v>
      </c>
      <c r="J661" s="1" t="n">
        <v>6</v>
      </c>
    </row>
    <row r="662" customFormat="false" ht="15" hidden="false" customHeight="false" outlineLevel="0" collapsed="false">
      <c r="A662" s="1" t="s">
        <v>1049</v>
      </c>
      <c r="B662" s="4" t="n">
        <v>45965</v>
      </c>
      <c r="C662" s="1" t="s">
        <v>99</v>
      </c>
      <c r="D662" s="1" t="s">
        <v>405</v>
      </c>
      <c r="E662" s="1" t="n">
        <v>2</v>
      </c>
      <c r="F662" s="5" t="n">
        <v>0.2</v>
      </c>
      <c r="G662" s="1" t="s">
        <v>24</v>
      </c>
      <c r="H662" s="1" t="s">
        <v>53</v>
      </c>
      <c r="I662" s="1" t="s">
        <v>20</v>
      </c>
      <c r="J662" s="1" t="n">
        <v>1</v>
      </c>
    </row>
    <row r="663" customFormat="false" ht="15" hidden="false" customHeight="false" outlineLevel="0" collapsed="false">
      <c r="A663" s="1" t="s">
        <v>1050</v>
      </c>
      <c r="B663" s="4" t="n">
        <v>45740</v>
      </c>
      <c r="C663" s="1" t="s">
        <v>877</v>
      </c>
      <c r="D663" s="1" t="s">
        <v>103</v>
      </c>
      <c r="E663" s="1" t="n">
        <v>1</v>
      </c>
      <c r="F663" s="5" t="n">
        <v>0.05</v>
      </c>
      <c r="G663" s="1" t="s">
        <v>19</v>
      </c>
      <c r="H663" s="1" t="s">
        <v>53</v>
      </c>
      <c r="I663" s="1" t="s">
        <v>20</v>
      </c>
      <c r="J663" s="1" t="n">
        <v>2</v>
      </c>
    </row>
    <row r="664" customFormat="false" ht="15" hidden="false" customHeight="false" outlineLevel="0" collapsed="false">
      <c r="A664" s="1" t="s">
        <v>1051</v>
      </c>
      <c r="B664" s="4" t="n">
        <v>45691</v>
      </c>
      <c r="C664" s="1" t="s">
        <v>124</v>
      </c>
      <c r="D664" s="1" t="s">
        <v>264</v>
      </c>
      <c r="E664" s="1" t="n">
        <v>3</v>
      </c>
      <c r="F664" s="5" t="n">
        <v>0.1</v>
      </c>
      <c r="G664" s="1" t="s">
        <v>52</v>
      </c>
      <c r="H664" s="1" t="s">
        <v>14</v>
      </c>
      <c r="I664" s="1" t="s">
        <v>38</v>
      </c>
      <c r="J664" s="1" t="n">
        <v>4</v>
      </c>
    </row>
    <row r="665" customFormat="false" ht="15" hidden="false" customHeight="false" outlineLevel="0" collapsed="false">
      <c r="A665" s="1" t="s">
        <v>1052</v>
      </c>
      <c r="B665" s="4" t="n">
        <v>45872</v>
      </c>
      <c r="C665" s="1" t="s">
        <v>931</v>
      </c>
      <c r="D665" s="1" t="s">
        <v>289</v>
      </c>
      <c r="E665" s="1" t="n">
        <v>1</v>
      </c>
      <c r="F665" s="5" t="n">
        <v>0</v>
      </c>
      <c r="G665" s="1" t="s">
        <v>34</v>
      </c>
      <c r="H665" s="1" t="s">
        <v>14</v>
      </c>
      <c r="I665" s="1" t="s">
        <v>20</v>
      </c>
      <c r="J665" s="1" t="n">
        <v>7</v>
      </c>
    </row>
    <row r="666" customFormat="false" ht="15" hidden="false" customHeight="false" outlineLevel="0" collapsed="false">
      <c r="A666" s="1" t="s">
        <v>1053</v>
      </c>
      <c r="B666" s="4" t="n">
        <v>45662</v>
      </c>
      <c r="C666" s="1" t="s">
        <v>794</v>
      </c>
      <c r="D666" s="1" t="s">
        <v>253</v>
      </c>
      <c r="E666" s="1" t="n">
        <v>2</v>
      </c>
      <c r="F666" s="5" t="n">
        <v>0.05</v>
      </c>
      <c r="G666" s="1" t="s">
        <v>24</v>
      </c>
      <c r="H666" s="1" t="s">
        <v>14</v>
      </c>
      <c r="I666" s="1" t="s">
        <v>15</v>
      </c>
      <c r="J666" s="1" t="n">
        <v>1</v>
      </c>
    </row>
    <row r="667" customFormat="false" ht="15" hidden="false" customHeight="false" outlineLevel="0" collapsed="false">
      <c r="A667" s="1" t="s">
        <v>1054</v>
      </c>
      <c r="B667" s="4" t="n">
        <v>45872</v>
      </c>
      <c r="C667" s="1" t="s">
        <v>11</v>
      </c>
      <c r="D667" s="1" t="s">
        <v>253</v>
      </c>
      <c r="E667" s="1" t="n">
        <v>1</v>
      </c>
      <c r="F667" s="5" t="n">
        <v>0.1</v>
      </c>
      <c r="G667" s="1" t="s">
        <v>19</v>
      </c>
      <c r="H667" s="1" t="s">
        <v>14</v>
      </c>
      <c r="I667" s="1" t="s">
        <v>15</v>
      </c>
      <c r="J667" s="1" t="n">
        <v>8</v>
      </c>
    </row>
    <row r="668" customFormat="false" ht="15" hidden="false" customHeight="false" outlineLevel="0" collapsed="false">
      <c r="A668" s="1" t="s">
        <v>1055</v>
      </c>
      <c r="B668" s="4" t="n">
        <v>45728</v>
      </c>
      <c r="C668" s="1" t="s">
        <v>1056</v>
      </c>
      <c r="D668" s="1" t="s">
        <v>77</v>
      </c>
      <c r="E668" s="1" t="n">
        <v>1</v>
      </c>
      <c r="F668" s="5" t="n">
        <v>0</v>
      </c>
      <c r="G668" s="1" t="s">
        <v>19</v>
      </c>
      <c r="H668" s="1" t="s">
        <v>14</v>
      </c>
      <c r="I668" s="1" t="s">
        <v>15</v>
      </c>
      <c r="J668" s="1" t="n">
        <v>2</v>
      </c>
    </row>
    <row r="669" customFormat="false" ht="15" hidden="false" customHeight="false" outlineLevel="0" collapsed="false">
      <c r="A669" s="1" t="s">
        <v>1057</v>
      </c>
      <c r="B669" s="4" t="n">
        <v>45878</v>
      </c>
      <c r="C669" s="1" t="s">
        <v>594</v>
      </c>
      <c r="D669" s="1" t="s">
        <v>245</v>
      </c>
      <c r="E669" s="1" t="n">
        <v>1</v>
      </c>
      <c r="F669" s="5" t="n">
        <v>0.05</v>
      </c>
      <c r="G669" s="1" t="s">
        <v>19</v>
      </c>
      <c r="H669" s="1" t="s">
        <v>14</v>
      </c>
      <c r="I669" s="1" t="s">
        <v>20</v>
      </c>
      <c r="J669" s="1" t="n">
        <v>6</v>
      </c>
    </row>
    <row r="670" customFormat="false" ht="15" hidden="false" customHeight="false" outlineLevel="0" collapsed="false">
      <c r="A670" s="1" t="s">
        <v>1058</v>
      </c>
      <c r="B670" s="4" t="n">
        <v>45761</v>
      </c>
      <c r="C670" s="1" t="s">
        <v>145</v>
      </c>
      <c r="D670" s="1" t="s">
        <v>58</v>
      </c>
      <c r="E670" s="1" t="n">
        <v>1</v>
      </c>
      <c r="F670" s="5" t="n">
        <v>0</v>
      </c>
      <c r="G670" s="1" t="s">
        <v>34</v>
      </c>
      <c r="H670" s="1" t="s">
        <v>92</v>
      </c>
      <c r="I670" s="1" t="s">
        <v>15</v>
      </c>
    </row>
    <row r="671" customFormat="false" ht="15" hidden="false" customHeight="false" outlineLevel="0" collapsed="false">
      <c r="A671" s="1" t="s">
        <v>1059</v>
      </c>
      <c r="B671" s="4" t="n">
        <v>45714</v>
      </c>
      <c r="C671" s="1" t="s">
        <v>1060</v>
      </c>
      <c r="D671" s="1" t="s">
        <v>134</v>
      </c>
      <c r="E671" s="1" t="n">
        <v>2</v>
      </c>
      <c r="F671" s="5" t="n">
        <v>0</v>
      </c>
      <c r="G671" s="1" t="s">
        <v>24</v>
      </c>
      <c r="H671" s="1" t="s">
        <v>14</v>
      </c>
      <c r="I671" s="1" t="s">
        <v>15</v>
      </c>
      <c r="J671" s="1" t="n">
        <v>7</v>
      </c>
    </row>
    <row r="672" customFormat="false" ht="15" hidden="false" customHeight="false" outlineLevel="0" collapsed="false">
      <c r="A672" s="1" t="s">
        <v>1061</v>
      </c>
      <c r="B672" s="4" t="n">
        <v>45694</v>
      </c>
      <c r="C672" s="1" t="s">
        <v>848</v>
      </c>
      <c r="D672" s="1" t="s">
        <v>353</v>
      </c>
      <c r="E672" s="1" t="n">
        <v>3</v>
      </c>
      <c r="F672" s="5" t="n">
        <v>0.05</v>
      </c>
      <c r="G672" s="1" t="s">
        <v>52</v>
      </c>
      <c r="H672" s="1" t="s">
        <v>78</v>
      </c>
      <c r="I672" s="1" t="s">
        <v>20</v>
      </c>
      <c r="J672" s="1" t="n">
        <v>8</v>
      </c>
    </row>
    <row r="673" customFormat="false" ht="15" hidden="false" customHeight="false" outlineLevel="0" collapsed="false">
      <c r="A673" s="1" t="s">
        <v>1062</v>
      </c>
      <c r="B673" s="4" t="n">
        <v>46003</v>
      </c>
      <c r="C673" s="1" t="s">
        <v>32</v>
      </c>
      <c r="D673" s="1" t="s">
        <v>77</v>
      </c>
      <c r="E673" s="1" t="n">
        <v>1</v>
      </c>
      <c r="F673" s="5" t="n">
        <v>0</v>
      </c>
      <c r="G673" s="1" t="s">
        <v>52</v>
      </c>
      <c r="H673" s="1" t="s">
        <v>14</v>
      </c>
      <c r="I673" s="1" t="s">
        <v>20</v>
      </c>
      <c r="J673" s="1" t="n">
        <v>1</v>
      </c>
    </row>
    <row r="674" customFormat="false" ht="15" hidden="false" customHeight="false" outlineLevel="0" collapsed="false">
      <c r="A674" s="1" t="s">
        <v>1063</v>
      </c>
      <c r="B674" s="4" t="n">
        <v>46003</v>
      </c>
      <c r="C674" s="1" t="s">
        <v>435</v>
      </c>
      <c r="D674" s="1" t="s">
        <v>444</v>
      </c>
      <c r="E674" s="1" t="n">
        <v>2</v>
      </c>
      <c r="F674" s="5" t="n">
        <v>0.25</v>
      </c>
      <c r="G674" s="1" t="s">
        <v>19</v>
      </c>
      <c r="H674" s="1" t="s">
        <v>14</v>
      </c>
      <c r="I674" s="1" t="s">
        <v>38</v>
      </c>
      <c r="J674" s="1" t="n">
        <v>4</v>
      </c>
    </row>
    <row r="675" customFormat="false" ht="15" hidden="false" customHeight="false" outlineLevel="0" collapsed="false">
      <c r="A675" s="1" t="s">
        <v>1064</v>
      </c>
      <c r="B675" s="4" t="n">
        <v>45690</v>
      </c>
      <c r="C675" s="1" t="s">
        <v>73</v>
      </c>
      <c r="D675" s="1" t="s">
        <v>125</v>
      </c>
      <c r="E675" s="1" t="n">
        <v>1</v>
      </c>
      <c r="F675" s="5" t="n">
        <v>0.25</v>
      </c>
      <c r="G675" s="1" t="s">
        <v>19</v>
      </c>
      <c r="H675" s="1" t="s">
        <v>14</v>
      </c>
      <c r="I675" s="1" t="s">
        <v>20</v>
      </c>
      <c r="J675" s="1" t="n">
        <v>8</v>
      </c>
    </row>
    <row r="676" customFormat="false" ht="15" hidden="false" customHeight="false" outlineLevel="0" collapsed="false">
      <c r="A676" s="1" t="s">
        <v>1065</v>
      </c>
      <c r="B676" s="4" t="n">
        <v>45677</v>
      </c>
      <c r="C676" s="1" t="s">
        <v>608</v>
      </c>
      <c r="D676" s="1" t="s">
        <v>51</v>
      </c>
      <c r="E676" s="1" t="n">
        <v>1</v>
      </c>
      <c r="F676" s="5" t="n">
        <v>0</v>
      </c>
      <c r="G676" s="1" t="s">
        <v>13</v>
      </c>
      <c r="H676" s="1" t="s">
        <v>14</v>
      </c>
      <c r="I676" s="1" t="s">
        <v>20</v>
      </c>
      <c r="J676" s="1" t="n">
        <v>6</v>
      </c>
    </row>
    <row r="677" customFormat="false" ht="15" hidden="false" customHeight="false" outlineLevel="0" collapsed="false">
      <c r="A677" s="1" t="s">
        <v>1066</v>
      </c>
      <c r="B677" s="4" t="n">
        <v>45777</v>
      </c>
      <c r="C677" s="1" t="s">
        <v>1067</v>
      </c>
      <c r="D677" s="1" t="s">
        <v>276</v>
      </c>
      <c r="E677" s="1" t="n">
        <v>2</v>
      </c>
      <c r="F677" s="5" t="n">
        <v>0.05</v>
      </c>
      <c r="G677" s="1" t="s">
        <v>52</v>
      </c>
      <c r="H677" s="1" t="s">
        <v>14</v>
      </c>
      <c r="I677" s="1" t="s">
        <v>20</v>
      </c>
      <c r="J677" s="1" t="n">
        <v>2</v>
      </c>
    </row>
    <row r="678" customFormat="false" ht="15" hidden="false" customHeight="false" outlineLevel="0" collapsed="false">
      <c r="A678" s="1" t="s">
        <v>1068</v>
      </c>
      <c r="B678" s="4" t="n">
        <v>45909</v>
      </c>
      <c r="C678" s="1" t="s">
        <v>841</v>
      </c>
      <c r="D678" s="1" t="s">
        <v>405</v>
      </c>
      <c r="E678" s="1" t="n">
        <v>1</v>
      </c>
      <c r="F678" s="5" t="n">
        <v>0</v>
      </c>
      <c r="G678" s="1" t="s">
        <v>52</v>
      </c>
      <c r="H678" s="1" t="s">
        <v>53</v>
      </c>
      <c r="I678" s="1" t="s">
        <v>15</v>
      </c>
      <c r="J678" s="1" t="n">
        <v>6</v>
      </c>
    </row>
    <row r="679" customFormat="false" ht="15" hidden="false" customHeight="false" outlineLevel="0" collapsed="false">
      <c r="A679" s="1" t="s">
        <v>1069</v>
      </c>
      <c r="B679" s="4" t="n">
        <v>45890</v>
      </c>
      <c r="C679" s="1" t="s">
        <v>753</v>
      </c>
      <c r="D679" s="1" t="s">
        <v>220</v>
      </c>
      <c r="E679" s="1" t="n">
        <v>1</v>
      </c>
      <c r="F679" s="5" t="n">
        <v>0.25</v>
      </c>
      <c r="G679" s="1" t="s">
        <v>24</v>
      </c>
      <c r="H679" s="1" t="s">
        <v>14</v>
      </c>
      <c r="I679" s="1" t="s">
        <v>15</v>
      </c>
      <c r="J679" s="1" t="n">
        <v>5</v>
      </c>
    </row>
    <row r="680" customFormat="false" ht="15" hidden="false" customHeight="false" outlineLevel="0" collapsed="false">
      <c r="A680" s="1" t="s">
        <v>1070</v>
      </c>
      <c r="B680" s="4" t="n">
        <v>45687</v>
      </c>
      <c r="C680" s="1" t="s">
        <v>551</v>
      </c>
      <c r="D680" s="1" t="s">
        <v>641</v>
      </c>
      <c r="E680" s="1" t="n">
        <v>2</v>
      </c>
      <c r="F680" s="5" t="n">
        <v>0.15</v>
      </c>
      <c r="G680" s="1" t="s">
        <v>71</v>
      </c>
      <c r="H680" s="1" t="s">
        <v>14</v>
      </c>
      <c r="I680" s="1" t="s">
        <v>15</v>
      </c>
      <c r="J680" s="1" t="n">
        <v>8</v>
      </c>
    </row>
    <row r="681" customFormat="false" ht="15" hidden="false" customHeight="false" outlineLevel="0" collapsed="false">
      <c r="A681" s="1" t="s">
        <v>1071</v>
      </c>
      <c r="B681" s="4" t="n">
        <v>45737</v>
      </c>
      <c r="C681" s="1" t="s">
        <v>1072</v>
      </c>
      <c r="D681" s="1" t="s">
        <v>493</v>
      </c>
      <c r="E681" s="1" t="n">
        <v>4</v>
      </c>
      <c r="F681" s="5" t="n">
        <v>0.1</v>
      </c>
      <c r="G681" s="1" t="s">
        <v>52</v>
      </c>
      <c r="H681" s="1" t="s">
        <v>53</v>
      </c>
      <c r="I681" s="1" t="s">
        <v>15</v>
      </c>
      <c r="J681" s="1" t="n">
        <v>7</v>
      </c>
    </row>
    <row r="682" customFormat="false" ht="15" hidden="false" customHeight="false" outlineLevel="0" collapsed="false">
      <c r="A682" s="1" t="s">
        <v>1073</v>
      </c>
      <c r="B682" s="4" t="n">
        <v>45879</v>
      </c>
      <c r="C682" s="1" t="s">
        <v>29</v>
      </c>
      <c r="D682" s="1" t="s">
        <v>328</v>
      </c>
      <c r="E682" s="1" t="n">
        <v>2</v>
      </c>
      <c r="F682" s="5" t="n">
        <v>0.2</v>
      </c>
      <c r="G682" s="1" t="s">
        <v>24</v>
      </c>
      <c r="H682" s="1" t="s">
        <v>53</v>
      </c>
      <c r="I682" s="1" t="s">
        <v>15</v>
      </c>
      <c r="J682" s="1" t="n">
        <v>4</v>
      </c>
    </row>
    <row r="683" customFormat="false" ht="15" hidden="false" customHeight="false" outlineLevel="0" collapsed="false">
      <c r="A683" s="1" t="s">
        <v>1074</v>
      </c>
      <c r="B683" s="4" t="n">
        <v>45959</v>
      </c>
      <c r="C683" s="1" t="s">
        <v>215</v>
      </c>
      <c r="D683" s="1" t="s">
        <v>444</v>
      </c>
      <c r="E683" s="1" t="n">
        <v>1</v>
      </c>
      <c r="F683" s="5" t="n">
        <v>0</v>
      </c>
      <c r="G683" s="1" t="s">
        <v>34</v>
      </c>
      <c r="H683" s="1" t="s">
        <v>14</v>
      </c>
      <c r="I683" s="1" t="s">
        <v>15</v>
      </c>
      <c r="J683" s="1" t="n">
        <v>6</v>
      </c>
    </row>
    <row r="684" customFormat="false" ht="15" hidden="false" customHeight="false" outlineLevel="0" collapsed="false">
      <c r="A684" s="1" t="s">
        <v>1075</v>
      </c>
      <c r="B684" s="4" t="n">
        <v>45923</v>
      </c>
      <c r="C684" s="1" t="s">
        <v>726</v>
      </c>
      <c r="D684" s="1" t="s">
        <v>462</v>
      </c>
      <c r="E684" s="1" t="n">
        <v>2</v>
      </c>
      <c r="F684" s="5" t="n">
        <v>0.05</v>
      </c>
      <c r="G684" s="1" t="s">
        <v>13</v>
      </c>
      <c r="H684" s="1" t="s">
        <v>14</v>
      </c>
      <c r="I684" s="1" t="s">
        <v>20</v>
      </c>
      <c r="J684" s="1" t="n">
        <v>4</v>
      </c>
    </row>
    <row r="685" customFormat="false" ht="15" hidden="false" customHeight="false" outlineLevel="0" collapsed="false">
      <c r="A685" s="1" t="s">
        <v>1076</v>
      </c>
      <c r="B685" s="4" t="n">
        <v>45906</v>
      </c>
      <c r="C685" s="1" t="s">
        <v>136</v>
      </c>
      <c r="D685" s="1" t="s">
        <v>487</v>
      </c>
      <c r="E685" s="1" t="n">
        <v>1</v>
      </c>
      <c r="F685" s="5" t="n">
        <v>0.1</v>
      </c>
      <c r="G685" s="1" t="s">
        <v>52</v>
      </c>
      <c r="H685" s="1" t="s">
        <v>78</v>
      </c>
      <c r="I685" s="1" t="s">
        <v>38</v>
      </c>
      <c r="J685" s="1" t="n">
        <v>2</v>
      </c>
    </row>
    <row r="686" customFormat="false" ht="15" hidden="false" customHeight="false" outlineLevel="0" collapsed="false">
      <c r="A686" s="1" t="s">
        <v>1077</v>
      </c>
      <c r="B686" s="4" t="n">
        <v>45674</v>
      </c>
      <c r="C686" s="1" t="s">
        <v>659</v>
      </c>
      <c r="D686" s="1" t="s">
        <v>441</v>
      </c>
      <c r="E686" s="1" t="n">
        <v>2</v>
      </c>
      <c r="F686" s="5" t="n">
        <v>0.25</v>
      </c>
      <c r="G686" s="1" t="s">
        <v>52</v>
      </c>
      <c r="H686" s="1" t="s">
        <v>14</v>
      </c>
      <c r="I686" s="1" t="s">
        <v>20</v>
      </c>
      <c r="J686" s="1" t="n">
        <v>3</v>
      </c>
    </row>
    <row r="687" customFormat="false" ht="15" hidden="false" customHeight="false" outlineLevel="0" collapsed="false">
      <c r="A687" s="1" t="s">
        <v>1078</v>
      </c>
      <c r="B687" s="4" t="n">
        <v>45809</v>
      </c>
      <c r="C687" s="1" t="s">
        <v>387</v>
      </c>
      <c r="D687" s="1" t="s">
        <v>294</v>
      </c>
      <c r="E687" s="1" t="n">
        <v>3</v>
      </c>
      <c r="F687" s="5" t="n">
        <v>0.1</v>
      </c>
      <c r="G687" s="1" t="s">
        <v>52</v>
      </c>
      <c r="H687" s="1" t="s">
        <v>14</v>
      </c>
      <c r="I687" s="1" t="s">
        <v>15</v>
      </c>
      <c r="J687" s="1" t="n">
        <v>5</v>
      </c>
    </row>
    <row r="688" customFormat="false" ht="15" hidden="false" customHeight="false" outlineLevel="0" collapsed="false">
      <c r="A688" s="1" t="s">
        <v>1079</v>
      </c>
      <c r="B688" s="4" t="n">
        <v>45961</v>
      </c>
      <c r="C688" s="1" t="s">
        <v>848</v>
      </c>
      <c r="D688" s="1" t="s">
        <v>257</v>
      </c>
      <c r="E688" s="1" t="n">
        <v>1</v>
      </c>
      <c r="F688" s="5" t="n">
        <v>0.15</v>
      </c>
      <c r="G688" s="1" t="s">
        <v>34</v>
      </c>
      <c r="H688" s="1" t="s">
        <v>14</v>
      </c>
      <c r="I688" s="1" t="s">
        <v>15</v>
      </c>
      <c r="J688" s="1" t="n">
        <v>1</v>
      </c>
    </row>
    <row r="689" customFormat="false" ht="15" hidden="false" customHeight="false" outlineLevel="0" collapsed="false">
      <c r="A689" s="1" t="s">
        <v>1080</v>
      </c>
      <c r="B689" s="4" t="n">
        <v>45812</v>
      </c>
      <c r="C689" s="1" t="s">
        <v>124</v>
      </c>
      <c r="D689" s="1" t="s">
        <v>165</v>
      </c>
      <c r="E689" s="1" t="n">
        <v>1</v>
      </c>
      <c r="F689" s="5" t="n">
        <v>0.25</v>
      </c>
      <c r="G689" s="1" t="s">
        <v>34</v>
      </c>
      <c r="H689" s="1" t="s">
        <v>78</v>
      </c>
      <c r="I689" s="1" t="s">
        <v>20</v>
      </c>
      <c r="J689" s="1" t="n">
        <v>6</v>
      </c>
    </row>
    <row r="690" customFormat="false" ht="15" hidden="false" customHeight="false" outlineLevel="0" collapsed="false">
      <c r="A690" s="1" t="s">
        <v>1081</v>
      </c>
      <c r="B690" s="4" t="n">
        <v>45967</v>
      </c>
      <c r="C690" s="1" t="s">
        <v>334</v>
      </c>
      <c r="D690" s="1" t="s">
        <v>130</v>
      </c>
      <c r="E690" s="1" t="n">
        <v>1</v>
      </c>
      <c r="F690" s="5" t="n">
        <v>0.2</v>
      </c>
      <c r="G690" s="1" t="s">
        <v>34</v>
      </c>
      <c r="H690" s="1" t="s">
        <v>14</v>
      </c>
      <c r="I690" s="1" t="s">
        <v>15</v>
      </c>
      <c r="J690" s="1" t="n">
        <v>7</v>
      </c>
    </row>
    <row r="691" customFormat="false" ht="15" hidden="false" customHeight="false" outlineLevel="0" collapsed="false">
      <c r="A691" s="1" t="s">
        <v>1082</v>
      </c>
      <c r="B691" s="4" t="n">
        <v>45661</v>
      </c>
      <c r="C691" s="1" t="s">
        <v>783</v>
      </c>
      <c r="D691" s="1" t="s">
        <v>276</v>
      </c>
      <c r="E691" s="1" t="n">
        <v>2</v>
      </c>
      <c r="F691" s="5" t="n">
        <v>0.1</v>
      </c>
      <c r="G691" s="1" t="s">
        <v>71</v>
      </c>
      <c r="H691" s="1" t="s">
        <v>14</v>
      </c>
      <c r="I691" s="1" t="s">
        <v>38</v>
      </c>
      <c r="J691" s="1" t="n">
        <v>6</v>
      </c>
    </row>
    <row r="692" customFormat="false" ht="15" hidden="false" customHeight="false" outlineLevel="0" collapsed="false">
      <c r="A692" s="1" t="s">
        <v>1083</v>
      </c>
      <c r="B692" s="4" t="n">
        <v>45932</v>
      </c>
      <c r="C692" s="1" t="s">
        <v>164</v>
      </c>
      <c r="D692" s="1" t="s">
        <v>23</v>
      </c>
      <c r="E692" s="1" t="n">
        <v>2</v>
      </c>
      <c r="F692" s="5" t="n">
        <v>0.15</v>
      </c>
      <c r="G692" s="1" t="s">
        <v>34</v>
      </c>
      <c r="H692" s="1" t="s">
        <v>14</v>
      </c>
      <c r="I692" s="1" t="s">
        <v>15</v>
      </c>
      <c r="J692" s="1" t="n">
        <v>7</v>
      </c>
    </row>
    <row r="693" customFormat="false" ht="15" hidden="false" customHeight="false" outlineLevel="0" collapsed="false">
      <c r="A693" s="1" t="s">
        <v>1084</v>
      </c>
      <c r="B693" s="4" t="n">
        <v>45700</v>
      </c>
      <c r="C693" s="1" t="s">
        <v>175</v>
      </c>
      <c r="D693" s="1" t="s">
        <v>985</v>
      </c>
      <c r="E693" s="1" t="n">
        <v>1</v>
      </c>
      <c r="F693" s="5" t="n">
        <v>0.15</v>
      </c>
      <c r="G693" s="1" t="s">
        <v>24</v>
      </c>
      <c r="H693" s="1" t="s">
        <v>14</v>
      </c>
      <c r="I693" s="1" t="s">
        <v>20</v>
      </c>
      <c r="J693" s="1" t="n">
        <v>4</v>
      </c>
    </row>
    <row r="694" customFormat="false" ht="15" hidden="false" customHeight="false" outlineLevel="0" collapsed="false">
      <c r="A694" s="1" t="s">
        <v>1085</v>
      </c>
      <c r="B694" s="4" t="n">
        <v>45905</v>
      </c>
      <c r="C694" s="1" t="s">
        <v>278</v>
      </c>
      <c r="D694" s="1" t="s">
        <v>89</v>
      </c>
      <c r="E694" s="1" t="n">
        <v>1</v>
      </c>
      <c r="F694" s="5" t="n">
        <v>0.05</v>
      </c>
      <c r="G694" s="1" t="s">
        <v>71</v>
      </c>
      <c r="H694" s="1" t="s">
        <v>14</v>
      </c>
      <c r="I694" s="1" t="s">
        <v>20</v>
      </c>
      <c r="J694" s="1" t="n">
        <v>3</v>
      </c>
    </row>
    <row r="695" customFormat="false" ht="15" hidden="false" customHeight="false" outlineLevel="0" collapsed="false">
      <c r="A695" s="1" t="s">
        <v>1086</v>
      </c>
      <c r="B695" s="4" t="n">
        <v>45880</v>
      </c>
      <c r="C695" s="1" t="s">
        <v>136</v>
      </c>
      <c r="D695" s="1" t="s">
        <v>64</v>
      </c>
      <c r="E695" s="1" t="n">
        <v>1</v>
      </c>
      <c r="F695" s="5" t="n">
        <v>0.1</v>
      </c>
      <c r="G695" s="1" t="s">
        <v>52</v>
      </c>
      <c r="H695" s="1" t="s">
        <v>14</v>
      </c>
      <c r="I695" s="1" t="s">
        <v>38</v>
      </c>
      <c r="J695" s="1" t="n">
        <v>8</v>
      </c>
    </row>
    <row r="696" customFormat="false" ht="15" hidden="false" customHeight="false" outlineLevel="0" collapsed="false">
      <c r="A696" s="1" t="s">
        <v>1087</v>
      </c>
      <c r="B696" s="4" t="n">
        <v>45660</v>
      </c>
      <c r="C696" s="1" t="s">
        <v>185</v>
      </c>
      <c r="D696" s="1" t="s">
        <v>484</v>
      </c>
      <c r="E696" s="1" t="n">
        <v>1</v>
      </c>
      <c r="F696" s="5" t="n">
        <v>0.2</v>
      </c>
      <c r="G696" s="1" t="s">
        <v>19</v>
      </c>
      <c r="H696" s="1" t="s">
        <v>14</v>
      </c>
      <c r="I696" s="1" t="s">
        <v>38</v>
      </c>
      <c r="J696" s="1" t="n">
        <v>5</v>
      </c>
    </row>
    <row r="697" customFormat="false" ht="15" hidden="false" customHeight="false" outlineLevel="0" collapsed="false">
      <c r="A697" s="1" t="s">
        <v>1088</v>
      </c>
      <c r="B697" s="4" t="n">
        <v>45728</v>
      </c>
      <c r="C697" s="1" t="s">
        <v>247</v>
      </c>
      <c r="D697" s="1" t="s">
        <v>213</v>
      </c>
      <c r="E697" s="1" t="n">
        <v>1</v>
      </c>
      <c r="F697" s="5" t="n">
        <v>0.2</v>
      </c>
      <c r="G697" s="1" t="s">
        <v>52</v>
      </c>
      <c r="H697" s="1" t="s">
        <v>92</v>
      </c>
      <c r="I697" s="1" t="s">
        <v>15</v>
      </c>
    </row>
    <row r="698" customFormat="false" ht="15" hidden="false" customHeight="false" outlineLevel="0" collapsed="false">
      <c r="A698" s="1" t="s">
        <v>1089</v>
      </c>
      <c r="B698" s="4" t="n">
        <v>45850</v>
      </c>
      <c r="C698" s="1" t="s">
        <v>608</v>
      </c>
      <c r="D698" s="1" t="s">
        <v>240</v>
      </c>
      <c r="E698" s="1" t="n">
        <v>1</v>
      </c>
      <c r="F698" s="5" t="n">
        <v>0.2</v>
      </c>
      <c r="G698" s="1" t="s">
        <v>52</v>
      </c>
      <c r="H698" s="1" t="s">
        <v>14</v>
      </c>
      <c r="I698" s="1" t="s">
        <v>20</v>
      </c>
      <c r="J698" s="1" t="n">
        <v>4</v>
      </c>
    </row>
    <row r="699" customFormat="false" ht="15" hidden="false" customHeight="false" outlineLevel="0" collapsed="false">
      <c r="A699" s="1" t="s">
        <v>1090</v>
      </c>
      <c r="B699" s="4" t="n">
        <v>45926</v>
      </c>
      <c r="C699" s="1" t="s">
        <v>136</v>
      </c>
      <c r="D699" s="1" t="s">
        <v>624</v>
      </c>
      <c r="E699" s="1" t="n">
        <v>1</v>
      </c>
      <c r="F699" s="5" t="n">
        <v>0.15</v>
      </c>
      <c r="G699" s="1" t="s">
        <v>34</v>
      </c>
      <c r="H699" s="1" t="s">
        <v>45</v>
      </c>
      <c r="I699" s="1" t="s">
        <v>38</v>
      </c>
    </row>
    <row r="700" customFormat="false" ht="15" hidden="false" customHeight="false" outlineLevel="0" collapsed="false">
      <c r="A700" s="1" t="s">
        <v>1091</v>
      </c>
      <c r="B700" s="4" t="n">
        <v>45764</v>
      </c>
      <c r="C700" s="1" t="s">
        <v>36</v>
      </c>
      <c r="D700" s="1" t="s">
        <v>67</v>
      </c>
      <c r="E700" s="1" t="n">
        <v>3</v>
      </c>
      <c r="F700" s="5" t="n">
        <v>0.1</v>
      </c>
      <c r="G700" s="1" t="s">
        <v>52</v>
      </c>
      <c r="H700" s="1" t="s">
        <v>14</v>
      </c>
      <c r="I700" s="1" t="s">
        <v>20</v>
      </c>
      <c r="J700" s="1" t="n">
        <v>1</v>
      </c>
    </row>
    <row r="701" customFormat="false" ht="15" hidden="false" customHeight="false" outlineLevel="0" collapsed="false">
      <c r="A701" s="1" t="s">
        <v>1092</v>
      </c>
      <c r="B701" s="4" t="n">
        <v>45973</v>
      </c>
      <c r="C701" s="1" t="s">
        <v>410</v>
      </c>
      <c r="D701" s="1" t="s">
        <v>985</v>
      </c>
      <c r="E701" s="1" t="n">
        <v>4</v>
      </c>
      <c r="F701" s="5" t="n">
        <v>0.1</v>
      </c>
      <c r="G701" s="1" t="s">
        <v>19</v>
      </c>
      <c r="H701" s="1" t="s">
        <v>14</v>
      </c>
      <c r="I701" s="1" t="s">
        <v>15</v>
      </c>
      <c r="J701" s="1" t="n">
        <v>5</v>
      </c>
    </row>
    <row r="702" customFormat="false" ht="15" hidden="false" customHeight="false" outlineLevel="0" collapsed="false">
      <c r="A702" s="1" t="s">
        <v>1093</v>
      </c>
      <c r="B702" s="4" t="n">
        <v>45797</v>
      </c>
      <c r="C702" s="1" t="s">
        <v>839</v>
      </c>
      <c r="D702" s="1" t="s">
        <v>81</v>
      </c>
      <c r="E702" s="1" t="n">
        <v>1</v>
      </c>
      <c r="F702" s="5" t="n">
        <v>0.15</v>
      </c>
      <c r="G702" s="1" t="s">
        <v>52</v>
      </c>
      <c r="H702" s="1" t="s">
        <v>14</v>
      </c>
      <c r="I702" s="1" t="s">
        <v>15</v>
      </c>
      <c r="J702" s="1" t="n">
        <v>6</v>
      </c>
    </row>
    <row r="703" customFormat="false" ht="15" hidden="false" customHeight="false" outlineLevel="0" collapsed="false">
      <c r="A703" s="1" t="s">
        <v>1094</v>
      </c>
      <c r="B703" s="4" t="n">
        <v>45855</v>
      </c>
      <c r="C703" s="1" t="s">
        <v>839</v>
      </c>
      <c r="D703" s="1" t="s">
        <v>216</v>
      </c>
      <c r="E703" s="1" t="n">
        <v>2</v>
      </c>
      <c r="F703" s="5" t="n">
        <v>0.05</v>
      </c>
      <c r="G703" s="1" t="s">
        <v>24</v>
      </c>
      <c r="H703" s="1" t="s">
        <v>14</v>
      </c>
      <c r="I703" s="1" t="s">
        <v>20</v>
      </c>
      <c r="J703" s="1" t="n">
        <v>6</v>
      </c>
    </row>
    <row r="704" customFormat="false" ht="15" hidden="false" customHeight="false" outlineLevel="0" collapsed="false">
      <c r="A704" s="1" t="s">
        <v>1095</v>
      </c>
      <c r="B704" s="4" t="n">
        <v>45782</v>
      </c>
      <c r="C704" s="1" t="s">
        <v>86</v>
      </c>
      <c r="D704" s="1" t="s">
        <v>493</v>
      </c>
      <c r="E704" s="1" t="n">
        <v>1</v>
      </c>
      <c r="F704" s="5" t="n">
        <v>0.15</v>
      </c>
      <c r="G704" s="1" t="s">
        <v>52</v>
      </c>
      <c r="H704" s="1" t="s">
        <v>14</v>
      </c>
      <c r="I704" s="1" t="s">
        <v>20</v>
      </c>
      <c r="J704" s="1" t="n">
        <v>4</v>
      </c>
    </row>
    <row r="705" customFormat="false" ht="15" hidden="false" customHeight="false" outlineLevel="0" collapsed="false">
      <c r="A705" s="1" t="s">
        <v>1096</v>
      </c>
      <c r="B705" s="4" t="n">
        <v>45783</v>
      </c>
      <c r="C705" s="1" t="s">
        <v>854</v>
      </c>
      <c r="D705" s="1" t="s">
        <v>603</v>
      </c>
      <c r="E705" s="1" t="n">
        <v>1</v>
      </c>
      <c r="F705" s="5" t="n">
        <v>0.2</v>
      </c>
      <c r="G705" s="1" t="s">
        <v>52</v>
      </c>
      <c r="H705" s="1" t="s">
        <v>78</v>
      </c>
      <c r="I705" s="1" t="s">
        <v>20</v>
      </c>
      <c r="J705" s="1" t="n">
        <v>7</v>
      </c>
    </row>
    <row r="706" customFormat="false" ht="15" hidden="false" customHeight="false" outlineLevel="0" collapsed="false">
      <c r="A706" s="1" t="s">
        <v>1097</v>
      </c>
      <c r="B706" s="4" t="n">
        <v>45738</v>
      </c>
      <c r="C706" s="1" t="s">
        <v>382</v>
      </c>
      <c r="D706" s="1" t="s">
        <v>624</v>
      </c>
      <c r="E706" s="1" t="n">
        <v>1</v>
      </c>
      <c r="F706" s="5" t="n">
        <v>0.15</v>
      </c>
      <c r="G706" s="1" t="s">
        <v>52</v>
      </c>
      <c r="H706" s="1" t="s">
        <v>14</v>
      </c>
      <c r="I706" s="1" t="s">
        <v>38</v>
      </c>
      <c r="J706" s="1" t="n">
        <v>4</v>
      </c>
    </row>
    <row r="707" customFormat="false" ht="15" hidden="false" customHeight="false" outlineLevel="0" collapsed="false">
      <c r="A707" s="1" t="s">
        <v>1098</v>
      </c>
      <c r="B707" s="4" t="n">
        <v>45814</v>
      </c>
      <c r="C707" s="1" t="s">
        <v>654</v>
      </c>
      <c r="D707" s="1" t="s">
        <v>446</v>
      </c>
      <c r="E707" s="1" t="n">
        <v>3</v>
      </c>
      <c r="F707" s="5" t="n">
        <v>0.05</v>
      </c>
      <c r="G707" s="1" t="s">
        <v>52</v>
      </c>
      <c r="H707" s="1" t="s">
        <v>14</v>
      </c>
      <c r="I707" s="1" t="s">
        <v>15</v>
      </c>
      <c r="J707" s="1" t="n">
        <v>4</v>
      </c>
    </row>
    <row r="708" customFormat="false" ht="15" hidden="false" customHeight="false" outlineLevel="0" collapsed="false">
      <c r="A708" s="1" t="s">
        <v>1099</v>
      </c>
      <c r="B708" s="4" t="n">
        <v>45987</v>
      </c>
      <c r="C708" s="1" t="s">
        <v>541</v>
      </c>
      <c r="D708" s="1" t="s">
        <v>240</v>
      </c>
      <c r="E708" s="1" t="n">
        <v>2</v>
      </c>
      <c r="F708" s="5" t="n">
        <v>0.15</v>
      </c>
      <c r="G708" s="1" t="s">
        <v>19</v>
      </c>
      <c r="H708" s="1" t="s">
        <v>14</v>
      </c>
      <c r="I708" s="1" t="s">
        <v>15</v>
      </c>
      <c r="J708" s="1" t="n">
        <v>3</v>
      </c>
    </row>
    <row r="709" customFormat="false" ht="15" hidden="false" customHeight="false" outlineLevel="0" collapsed="false">
      <c r="A709" s="1" t="s">
        <v>1100</v>
      </c>
      <c r="B709" s="4" t="n">
        <v>45876</v>
      </c>
      <c r="C709" s="1" t="s">
        <v>568</v>
      </c>
      <c r="D709" s="1" t="s">
        <v>423</v>
      </c>
      <c r="E709" s="1" t="n">
        <v>1</v>
      </c>
      <c r="F709" s="5" t="n">
        <v>0.2</v>
      </c>
      <c r="G709" s="1" t="s">
        <v>52</v>
      </c>
      <c r="H709" s="1" t="s">
        <v>14</v>
      </c>
      <c r="I709" s="1" t="s">
        <v>20</v>
      </c>
      <c r="J709" s="1" t="n">
        <v>4</v>
      </c>
    </row>
    <row r="710" customFormat="false" ht="15" hidden="false" customHeight="false" outlineLevel="0" collapsed="false">
      <c r="A710" s="1" t="s">
        <v>1101</v>
      </c>
      <c r="B710" s="4" t="n">
        <v>45760</v>
      </c>
      <c r="C710" s="1" t="s">
        <v>319</v>
      </c>
      <c r="D710" s="1" t="s">
        <v>436</v>
      </c>
      <c r="E710" s="1" t="n">
        <v>3</v>
      </c>
      <c r="F710" s="5" t="n">
        <v>0.15</v>
      </c>
      <c r="G710" s="1" t="s">
        <v>34</v>
      </c>
      <c r="H710" s="1" t="s">
        <v>14</v>
      </c>
      <c r="I710" s="1" t="s">
        <v>38</v>
      </c>
      <c r="J710" s="1" t="n">
        <v>3</v>
      </c>
    </row>
    <row r="711" customFormat="false" ht="15" hidden="false" customHeight="false" outlineLevel="0" collapsed="false">
      <c r="A711" s="1" t="s">
        <v>1102</v>
      </c>
      <c r="B711" s="4" t="n">
        <v>45780</v>
      </c>
      <c r="C711" s="1" t="s">
        <v>505</v>
      </c>
      <c r="D711" s="1" t="s">
        <v>237</v>
      </c>
      <c r="E711" s="1" t="n">
        <v>3</v>
      </c>
      <c r="F711" s="5" t="n">
        <v>0.05</v>
      </c>
      <c r="G711" s="1" t="s">
        <v>52</v>
      </c>
      <c r="H711" s="1" t="s">
        <v>14</v>
      </c>
      <c r="I711" s="1" t="s">
        <v>15</v>
      </c>
      <c r="J711" s="1" t="n">
        <v>5</v>
      </c>
    </row>
    <row r="712" customFormat="false" ht="15" hidden="false" customHeight="false" outlineLevel="0" collapsed="false">
      <c r="A712" s="1" t="s">
        <v>1103</v>
      </c>
      <c r="B712" s="4" t="n">
        <v>45931</v>
      </c>
      <c r="C712" s="1" t="s">
        <v>293</v>
      </c>
      <c r="D712" s="1" t="s">
        <v>264</v>
      </c>
      <c r="E712" s="1" t="n">
        <v>1</v>
      </c>
      <c r="F712" s="5" t="n">
        <v>0</v>
      </c>
      <c r="G712" s="1" t="s">
        <v>19</v>
      </c>
      <c r="H712" s="1" t="s">
        <v>14</v>
      </c>
      <c r="I712" s="1" t="s">
        <v>15</v>
      </c>
      <c r="J712" s="1" t="n">
        <v>1</v>
      </c>
    </row>
    <row r="713" customFormat="false" ht="15" hidden="false" customHeight="false" outlineLevel="0" collapsed="false">
      <c r="A713" s="1" t="s">
        <v>1104</v>
      </c>
      <c r="B713" s="4" t="n">
        <v>45790</v>
      </c>
      <c r="C713" s="1" t="s">
        <v>1105</v>
      </c>
      <c r="D713" s="1" t="s">
        <v>375</v>
      </c>
      <c r="E713" s="1" t="n">
        <v>1</v>
      </c>
      <c r="F713" s="5" t="n">
        <v>0.05</v>
      </c>
      <c r="G713" s="1" t="s">
        <v>71</v>
      </c>
      <c r="H713" s="1" t="s">
        <v>14</v>
      </c>
      <c r="I713" s="1" t="s">
        <v>15</v>
      </c>
      <c r="J713" s="1" t="n">
        <v>3</v>
      </c>
    </row>
    <row r="714" customFormat="false" ht="15" hidden="false" customHeight="false" outlineLevel="0" collapsed="false">
      <c r="A714" s="1" t="s">
        <v>1106</v>
      </c>
      <c r="B714" s="4" t="n">
        <v>45674</v>
      </c>
      <c r="C714" s="1" t="s">
        <v>1107</v>
      </c>
      <c r="D714" s="1" t="s">
        <v>154</v>
      </c>
      <c r="E714" s="1" t="n">
        <v>1</v>
      </c>
      <c r="F714" s="5" t="n">
        <v>0.1</v>
      </c>
      <c r="G714" s="1" t="s">
        <v>24</v>
      </c>
      <c r="H714" s="1" t="s">
        <v>53</v>
      </c>
      <c r="I714" s="1" t="s">
        <v>15</v>
      </c>
      <c r="J714" s="1" t="n">
        <v>1</v>
      </c>
    </row>
    <row r="715" customFormat="false" ht="15" hidden="false" customHeight="false" outlineLevel="0" collapsed="false">
      <c r="A715" s="1" t="s">
        <v>1108</v>
      </c>
      <c r="B715" s="4" t="n">
        <v>45932</v>
      </c>
      <c r="C715" s="1" t="s">
        <v>1109</v>
      </c>
      <c r="D715" s="1" t="s">
        <v>37</v>
      </c>
      <c r="E715" s="1" t="n">
        <v>4</v>
      </c>
      <c r="F715" s="5" t="n">
        <v>0.05</v>
      </c>
      <c r="G715" s="1" t="s">
        <v>52</v>
      </c>
      <c r="H715" s="1" t="s">
        <v>45</v>
      </c>
      <c r="I715" s="1" t="s">
        <v>20</v>
      </c>
    </row>
    <row r="716" customFormat="false" ht="15" hidden="false" customHeight="false" outlineLevel="0" collapsed="false">
      <c r="A716" s="1" t="s">
        <v>1110</v>
      </c>
      <c r="B716" s="4" t="n">
        <v>45677</v>
      </c>
      <c r="C716" s="1" t="s">
        <v>633</v>
      </c>
      <c r="D716" s="1" t="s">
        <v>335</v>
      </c>
      <c r="E716" s="1" t="n">
        <v>1</v>
      </c>
      <c r="F716" s="5" t="n">
        <v>0</v>
      </c>
      <c r="G716" s="1" t="s">
        <v>24</v>
      </c>
      <c r="H716" s="1" t="s">
        <v>14</v>
      </c>
      <c r="I716" s="1" t="s">
        <v>15</v>
      </c>
      <c r="J716" s="1" t="n">
        <v>5</v>
      </c>
    </row>
    <row r="717" customFormat="false" ht="15" hidden="false" customHeight="false" outlineLevel="0" collapsed="false">
      <c r="A717" s="1" t="s">
        <v>1111</v>
      </c>
      <c r="B717" s="4" t="n">
        <v>45954</v>
      </c>
      <c r="C717" s="1" t="s">
        <v>657</v>
      </c>
      <c r="D717" s="1" t="s">
        <v>48</v>
      </c>
      <c r="E717" s="1" t="n">
        <v>3</v>
      </c>
      <c r="F717" s="5" t="n">
        <v>0.05</v>
      </c>
      <c r="G717" s="1" t="s">
        <v>52</v>
      </c>
      <c r="H717" s="1" t="s">
        <v>14</v>
      </c>
      <c r="I717" s="1" t="s">
        <v>15</v>
      </c>
      <c r="J717" s="1" t="n">
        <v>1</v>
      </c>
    </row>
    <row r="718" customFormat="false" ht="15" hidden="false" customHeight="false" outlineLevel="0" collapsed="false">
      <c r="A718" s="1" t="s">
        <v>1112</v>
      </c>
      <c r="B718" s="4" t="n">
        <v>45802</v>
      </c>
      <c r="C718" s="1" t="s">
        <v>640</v>
      </c>
      <c r="D718" s="1" t="s">
        <v>109</v>
      </c>
      <c r="E718" s="1" t="n">
        <v>2</v>
      </c>
      <c r="F718" s="5" t="n">
        <v>0.05</v>
      </c>
      <c r="G718" s="1" t="s">
        <v>19</v>
      </c>
      <c r="H718" s="1" t="s">
        <v>14</v>
      </c>
      <c r="I718" s="1" t="s">
        <v>15</v>
      </c>
      <c r="J718" s="1" t="n">
        <v>3</v>
      </c>
    </row>
    <row r="719" customFormat="false" ht="15" hidden="false" customHeight="false" outlineLevel="0" collapsed="false">
      <c r="A719" s="1" t="s">
        <v>1113</v>
      </c>
      <c r="B719" s="4" t="n">
        <v>45895</v>
      </c>
      <c r="C719" s="1" t="s">
        <v>661</v>
      </c>
      <c r="D719" s="1" t="s">
        <v>253</v>
      </c>
      <c r="E719" s="1" t="n">
        <v>2</v>
      </c>
      <c r="F719" s="5" t="n">
        <v>0.25</v>
      </c>
      <c r="G719" s="1" t="s">
        <v>52</v>
      </c>
      <c r="H719" s="1" t="s">
        <v>14</v>
      </c>
      <c r="I719" s="1" t="s">
        <v>38</v>
      </c>
      <c r="J719" s="1" t="n">
        <v>2</v>
      </c>
    </row>
    <row r="720" customFormat="false" ht="15" hidden="false" customHeight="false" outlineLevel="0" collapsed="false">
      <c r="A720" s="1" t="s">
        <v>1114</v>
      </c>
      <c r="B720" s="4" t="n">
        <v>46017</v>
      </c>
      <c r="C720" s="1" t="s">
        <v>47</v>
      </c>
      <c r="D720" s="1" t="s">
        <v>399</v>
      </c>
      <c r="E720" s="1" t="n">
        <v>2</v>
      </c>
      <c r="F720" s="5" t="n">
        <v>0</v>
      </c>
      <c r="G720" s="1" t="s">
        <v>34</v>
      </c>
      <c r="H720" s="1" t="s">
        <v>14</v>
      </c>
      <c r="I720" s="1" t="s">
        <v>20</v>
      </c>
      <c r="J720" s="1" t="n">
        <v>1</v>
      </c>
    </row>
    <row r="721" customFormat="false" ht="15" hidden="false" customHeight="false" outlineLevel="0" collapsed="false">
      <c r="A721" s="1" t="s">
        <v>1115</v>
      </c>
      <c r="B721" s="4" t="n">
        <v>45728</v>
      </c>
      <c r="C721" s="1" t="s">
        <v>805</v>
      </c>
      <c r="D721" s="1" t="s">
        <v>240</v>
      </c>
      <c r="E721" s="1" t="n">
        <v>1</v>
      </c>
      <c r="F721" s="5" t="n">
        <v>0</v>
      </c>
      <c r="G721" s="1" t="s">
        <v>19</v>
      </c>
      <c r="H721" s="1" t="s">
        <v>14</v>
      </c>
      <c r="I721" s="1" t="s">
        <v>20</v>
      </c>
      <c r="J721" s="1" t="n">
        <v>1</v>
      </c>
    </row>
    <row r="722" customFormat="false" ht="15" hidden="false" customHeight="false" outlineLevel="0" collapsed="false">
      <c r="A722" s="1" t="s">
        <v>1116</v>
      </c>
      <c r="B722" s="4" t="n">
        <v>45718</v>
      </c>
      <c r="C722" s="1" t="s">
        <v>633</v>
      </c>
      <c r="D722" s="1" t="s">
        <v>325</v>
      </c>
      <c r="E722" s="1" t="n">
        <v>2</v>
      </c>
      <c r="F722" s="5" t="n">
        <v>0</v>
      </c>
      <c r="G722" s="1" t="s">
        <v>19</v>
      </c>
      <c r="H722" s="1" t="s">
        <v>14</v>
      </c>
      <c r="I722" s="1" t="s">
        <v>38</v>
      </c>
      <c r="J722" s="1" t="n">
        <v>5</v>
      </c>
    </row>
    <row r="723" customFormat="false" ht="15" hidden="false" customHeight="false" outlineLevel="0" collapsed="false">
      <c r="A723" s="1" t="s">
        <v>1117</v>
      </c>
      <c r="B723" s="4" t="n">
        <v>46011</v>
      </c>
      <c r="C723" s="1" t="s">
        <v>1118</v>
      </c>
      <c r="D723" s="1" t="s">
        <v>444</v>
      </c>
      <c r="E723" s="1" t="n">
        <v>4</v>
      </c>
      <c r="F723" s="5" t="n">
        <v>0.05</v>
      </c>
      <c r="G723" s="1" t="s">
        <v>24</v>
      </c>
      <c r="H723" s="1" t="s">
        <v>14</v>
      </c>
      <c r="I723" s="1" t="s">
        <v>15</v>
      </c>
      <c r="J723" s="1" t="n">
        <v>4</v>
      </c>
    </row>
    <row r="724" customFormat="false" ht="15" hidden="false" customHeight="false" outlineLevel="0" collapsed="false">
      <c r="A724" s="1" t="s">
        <v>1119</v>
      </c>
      <c r="B724" s="4" t="n">
        <v>45748</v>
      </c>
      <c r="C724" s="1" t="s">
        <v>854</v>
      </c>
      <c r="D724" s="1" t="s">
        <v>362</v>
      </c>
      <c r="E724" s="1" t="n">
        <v>1</v>
      </c>
      <c r="F724" s="5" t="n">
        <v>0.25</v>
      </c>
      <c r="G724" s="1" t="s">
        <v>52</v>
      </c>
      <c r="H724" s="1" t="s">
        <v>53</v>
      </c>
      <c r="I724" s="1" t="s">
        <v>20</v>
      </c>
      <c r="J724" s="1" t="n">
        <v>4</v>
      </c>
    </row>
    <row r="725" customFormat="false" ht="15" hidden="false" customHeight="false" outlineLevel="0" collapsed="false">
      <c r="A725" s="1" t="s">
        <v>1120</v>
      </c>
      <c r="B725" s="4" t="n">
        <v>45762</v>
      </c>
      <c r="C725" s="1" t="s">
        <v>1019</v>
      </c>
      <c r="D725" s="1" t="s">
        <v>171</v>
      </c>
      <c r="E725" s="1" t="n">
        <v>2</v>
      </c>
      <c r="F725" s="5" t="n">
        <v>0.25</v>
      </c>
      <c r="G725" s="1" t="s">
        <v>13</v>
      </c>
      <c r="H725" s="1" t="s">
        <v>14</v>
      </c>
      <c r="I725" s="1" t="s">
        <v>15</v>
      </c>
      <c r="J725" s="1" t="n">
        <v>5</v>
      </c>
    </row>
    <row r="726" customFormat="false" ht="15" hidden="false" customHeight="false" outlineLevel="0" collapsed="false">
      <c r="A726" s="1" t="s">
        <v>1121</v>
      </c>
      <c r="B726" s="4" t="n">
        <v>45878</v>
      </c>
      <c r="C726" s="1" t="s">
        <v>129</v>
      </c>
      <c r="D726" s="1" t="s">
        <v>270</v>
      </c>
      <c r="E726" s="1" t="n">
        <v>1</v>
      </c>
      <c r="F726" s="5" t="n">
        <v>0</v>
      </c>
      <c r="G726" s="1" t="s">
        <v>52</v>
      </c>
      <c r="H726" s="1" t="s">
        <v>45</v>
      </c>
      <c r="I726" s="1" t="s">
        <v>15</v>
      </c>
    </row>
    <row r="727" customFormat="false" ht="15" hidden="false" customHeight="false" outlineLevel="0" collapsed="false">
      <c r="A727" s="1" t="s">
        <v>1122</v>
      </c>
      <c r="B727" s="4" t="n">
        <v>45720</v>
      </c>
      <c r="C727" s="1" t="s">
        <v>275</v>
      </c>
      <c r="D727" s="1" t="s">
        <v>122</v>
      </c>
      <c r="E727" s="1" t="n">
        <v>1</v>
      </c>
      <c r="F727" s="5" t="n">
        <v>0.1</v>
      </c>
      <c r="G727" s="1" t="s">
        <v>52</v>
      </c>
      <c r="H727" s="1" t="s">
        <v>14</v>
      </c>
      <c r="I727" s="1" t="s">
        <v>20</v>
      </c>
      <c r="J727" s="1" t="n">
        <v>8</v>
      </c>
    </row>
    <row r="728" customFormat="false" ht="15" hidden="false" customHeight="false" outlineLevel="0" collapsed="false">
      <c r="A728" s="1" t="s">
        <v>1123</v>
      </c>
      <c r="B728" s="4" t="n">
        <v>45845</v>
      </c>
      <c r="C728" s="1" t="s">
        <v>562</v>
      </c>
      <c r="D728" s="1" t="s">
        <v>245</v>
      </c>
      <c r="E728" s="1" t="n">
        <v>2</v>
      </c>
      <c r="F728" s="5" t="n">
        <v>0.1</v>
      </c>
      <c r="G728" s="1" t="s">
        <v>13</v>
      </c>
      <c r="H728" s="1" t="s">
        <v>14</v>
      </c>
      <c r="I728" s="1" t="s">
        <v>38</v>
      </c>
      <c r="J728" s="1" t="n">
        <v>3</v>
      </c>
    </row>
    <row r="729" customFormat="false" ht="15" hidden="false" customHeight="false" outlineLevel="0" collapsed="false">
      <c r="A729" s="1" t="s">
        <v>1124</v>
      </c>
      <c r="B729" s="4" t="n">
        <v>45800</v>
      </c>
      <c r="C729" s="1" t="s">
        <v>232</v>
      </c>
      <c r="D729" s="1" t="s">
        <v>23</v>
      </c>
      <c r="E729" s="1" t="n">
        <v>1</v>
      </c>
      <c r="F729" s="5" t="n">
        <v>0.15</v>
      </c>
      <c r="G729" s="1" t="s">
        <v>34</v>
      </c>
      <c r="H729" s="1" t="s">
        <v>14</v>
      </c>
      <c r="I729" s="1" t="s">
        <v>38</v>
      </c>
      <c r="J729" s="1" t="n">
        <v>2</v>
      </c>
    </row>
    <row r="730" customFormat="false" ht="15" hidden="false" customHeight="false" outlineLevel="0" collapsed="false">
      <c r="A730" s="1" t="s">
        <v>1125</v>
      </c>
      <c r="B730" s="4" t="n">
        <v>45993</v>
      </c>
      <c r="C730" s="1" t="s">
        <v>136</v>
      </c>
      <c r="D730" s="1" t="s">
        <v>493</v>
      </c>
      <c r="E730" s="1" t="n">
        <v>3</v>
      </c>
      <c r="F730" s="5" t="n">
        <v>0.1</v>
      </c>
      <c r="G730" s="1" t="s">
        <v>71</v>
      </c>
      <c r="H730" s="1" t="s">
        <v>14</v>
      </c>
      <c r="I730" s="1" t="s">
        <v>20</v>
      </c>
      <c r="J730" s="1" t="n">
        <v>8</v>
      </c>
    </row>
    <row r="731" customFormat="false" ht="15" hidden="false" customHeight="false" outlineLevel="0" collapsed="false">
      <c r="A731" s="1" t="s">
        <v>1126</v>
      </c>
      <c r="B731" s="4" t="n">
        <v>45746</v>
      </c>
      <c r="C731" s="1" t="s">
        <v>428</v>
      </c>
      <c r="D731" s="1" t="s">
        <v>51</v>
      </c>
      <c r="E731" s="1" t="n">
        <v>1</v>
      </c>
      <c r="F731" s="5" t="n">
        <v>0.25</v>
      </c>
      <c r="G731" s="1" t="s">
        <v>52</v>
      </c>
      <c r="H731" s="1" t="s">
        <v>92</v>
      </c>
      <c r="I731" s="1" t="s">
        <v>38</v>
      </c>
    </row>
    <row r="732" customFormat="false" ht="15" hidden="false" customHeight="false" outlineLevel="0" collapsed="false">
      <c r="A732" s="1" t="s">
        <v>1127</v>
      </c>
      <c r="B732" s="4" t="n">
        <v>45888</v>
      </c>
      <c r="C732" s="1" t="s">
        <v>1128</v>
      </c>
      <c r="D732" s="1" t="s">
        <v>963</v>
      </c>
      <c r="E732" s="1" t="n">
        <v>1</v>
      </c>
      <c r="F732" s="5" t="n">
        <v>0</v>
      </c>
      <c r="G732" s="1" t="s">
        <v>52</v>
      </c>
      <c r="H732" s="1" t="s">
        <v>14</v>
      </c>
      <c r="I732" s="1" t="s">
        <v>15</v>
      </c>
      <c r="J732" s="1" t="n">
        <v>4</v>
      </c>
    </row>
    <row r="733" customFormat="false" ht="15" hidden="false" customHeight="false" outlineLevel="0" collapsed="false">
      <c r="A733" s="1" t="s">
        <v>1129</v>
      </c>
      <c r="B733" s="4" t="n">
        <v>45713</v>
      </c>
      <c r="C733" s="1" t="s">
        <v>1009</v>
      </c>
      <c r="D733" s="1" t="s">
        <v>134</v>
      </c>
      <c r="E733" s="1" t="n">
        <v>1</v>
      </c>
      <c r="F733" s="5" t="n">
        <v>0</v>
      </c>
      <c r="G733" s="1" t="s">
        <v>13</v>
      </c>
      <c r="H733" s="1" t="s">
        <v>14</v>
      </c>
      <c r="I733" s="1" t="s">
        <v>20</v>
      </c>
      <c r="J733" s="1" t="n">
        <v>4</v>
      </c>
    </row>
    <row r="734" customFormat="false" ht="15" hidden="false" customHeight="false" outlineLevel="0" collapsed="false">
      <c r="A734" s="1" t="s">
        <v>1130</v>
      </c>
      <c r="B734" s="4" t="n">
        <v>45926</v>
      </c>
      <c r="C734" s="1" t="s">
        <v>490</v>
      </c>
      <c r="D734" s="1" t="s">
        <v>276</v>
      </c>
      <c r="E734" s="1" t="n">
        <v>1</v>
      </c>
      <c r="F734" s="5" t="n">
        <v>0</v>
      </c>
      <c r="G734" s="1" t="s">
        <v>34</v>
      </c>
      <c r="H734" s="1" t="s">
        <v>14</v>
      </c>
      <c r="I734" s="1" t="s">
        <v>20</v>
      </c>
      <c r="J734" s="1" t="n">
        <v>4</v>
      </c>
    </row>
    <row r="735" customFormat="false" ht="15" hidden="false" customHeight="false" outlineLevel="0" collapsed="false">
      <c r="A735" s="1" t="s">
        <v>1131</v>
      </c>
      <c r="B735" s="4" t="n">
        <v>45969</v>
      </c>
      <c r="C735" s="1" t="s">
        <v>413</v>
      </c>
      <c r="D735" s="1" t="s">
        <v>323</v>
      </c>
      <c r="E735" s="1" t="n">
        <v>1</v>
      </c>
      <c r="F735" s="5" t="n">
        <v>0.2</v>
      </c>
      <c r="G735" s="1" t="s">
        <v>71</v>
      </c>
      <c r="H735" s="1" t="s">
        <v>78</v>
      </c>
      <c r="I735" s="1" t="s">
        <v>20</v>
      </c>
      <c r="J735" s="1" t="n">
        <v>4</v>
      </c>
    </row>
    <row r="736" customFormat="false" ht="15" hidden="false" customHeight="false" outlineLevel="0" collapsed="false">
      <c r="A736" s="1" t="s">
        <v>1132</v>
      </c>
      <c r="B736" s="4" t="n">
        <v>45746</v>
      </c>
      <c r="C736" s="1" t="s">
        <v>854</v>
      </c>
      <c r="D736" s="1" t="s">
        <v>143</v>
      </c>
      <c r="E736" s="1" t="n">
        <v>2</v>
      </c>
      <c r="F736" s="5" t="n">
        <v>0.1</v>
      </c>
      <c r="G736" s="1" t="s">
        <v>34</v>
      </c>
      <c r="H736" s="1" t="s">
        <v>14</v>
      </c>
      <c r="I736" s="1" t="s">
        <v>15</v>
      </c>
      <c r="J736" s="1" t="n">
        <v>8</v>
      </c>
    </row>
    <row r="737" customFormat="false" ht="15" hidden="false" customHeight="false" outlineLevel="0" collapsed="false">
      <c r="A737" s="1" t="s">
        <v>1133</v>
      </c>
      <c r="B737" s="4" t="n">
        <v>45777</v>
      </c>
      <c r="C737" s="1" t="s">
        <v>490</v>
      </c>
      <c r="D737" s="1" t="s">
        <v>264</v>
      </c>
      <c r="E737" s="1" t="n">
        <v>1</v>
      </c>
      <c r="F737" s="5" t="n">
        <v>0</v>
      </c>
      <c r="G737" s="1" t="s">
        <v>52</v>
      </c>
      <c r="H737" s="1" t="s">
        <v>45</v>
      </c>
      <c r="I737" s="1" t="s">
        <v>38</v>
      </c>
    </row>
    <row r="738" customFormat="false" ht="15" hidden="false" customHeight="false" outlineLevel="0" collapsed="false">
      <c r="A738" s="1" t="s">
        <v>1134</v>
      </c>
      <c r="B738" s="4" t="n">
        <v>45955</v>
      </c>
      <c r="C738" s="1" t="s">
        <v>232</v>
      </c>
      <c r="D738" s="1" t="s">
        <v>222</v>
      </c>
      <c r="E738" s="1" t="n">
        <v>3</v>
      </c>
      <c r="F738" s="5" t="n">
        <v>0</v>
      </c>
      <c r="G738" s="1" t="s">
        <v>52</v>
      </c>
      <c r="H738" s="1" t="s">
        <v>14</v>
      </c>
      <c r="I738" s="1" t="s">
        <v>15</v>
      </c>
      <c r="J738" s="1" t="n">
        <v>6</v>
      </c>
    </row>
    <row r="739" customFormat="false" ht="15" hidden="false" customHeight="false" outlineLevel="0" collapsed="false">
      <c r="A739" s="1" t="s">
        <v>1135</v>
      </c>
      <c r="B739" s="4" t="n">
        <v>45679</v>
      </c>
      <c r="C739" s="1" t="s">
        <v>1136</v>
      </c>
      <c r="D739" s="1" t="s">
        <v>30</v>
      </c>
      <c r="E739" s="1" t="n">
        <v>2</v>
      </c>
      <c r="F739" s="5" t="n">
        <v>0</v>
      </c>
      <c r="G739" s="1" t="s">
        <v>52</v>
      </c>
      <c r="H739" s="1" t="s">
        <v>53</v>
      </c>
      <c r="I739" s="1" t="s">
        <v>20</v>
      </c>
      <c r="J739" s="1" t="n">
        <v>2</v>
      </c>
    </row>
    <row r="740" customFormat="false" ht="15" hidden="false" customHeight="false" outlineLevel="0" collapsed="false">
      <c r="A740" s="1" t="s">
        <v>1137</v>
      </c>
      <c r="B740" s="4" t="n">
        <v>45933</v>
      </c>
      <c r="C740" s="1" t="s">
        <v>225</v>
      </c>
      <c r="D740" s="1" t="s">
        <v>399</v>
      </c>
      <c r="E740" s="1" t="n">
        <v>1</v>
      </c>
      <c r="F740" s="5" t="n">
        <v>0.25</v>
      </c>
      <c r="G740" s="1" t="s">
        <v>71</v>
      </c>
      <c r="H740" s="1" t="s">
        <v>53</v>
      </c>
      <c r="I740" s="1" t="s">
        <v>15</v>
      </c>
      <c r="J740" s="1" t="n">
        <v>2</v>
      </c>
    </row>
    <row r="741" customFormat="false" ht="15" hidden="false" customHeight="false" outlineLevel="0" collapsed="false">
      <c r="A741" s="1" t="s">
        <v>1138</v>
      </c>
      <c r="B741" s="4" t="n">
        <v>45893</v>
      </c>
      <c r="C741" s="1" t="s">
        <v>11</v>
      </c>
      <c r="D741" s="1" t="s">
        <v>255</v>
      </c>
      <c r="E741" s="1" t="n">
        <v>2</v>
      </c>
      <c r="F741" s="5" t="n">
        <v>0.05</v>
      </c>
      <c r="G741" s="1" t="s">
        <v>52</v>
      </c>
      <c r="H741" s="1" t="s">
        <v>14</v>
      </c>
      <c r="I741" s="1" t="s">
        <v>20</v>
      </c>
      <c r="J741" s="1" t="n">
        <v>1</v>
      </c>
    </row>
    <row r="742" customFormat="false" ht="15" hidden="false" customHeight="false" outlineLevel="0" collapsed="false">
      <c r="A742" s="1" t="s">
        <v>1139</v>
      </c>
      <c r="B742" s="4" t="n">
        <v>45798</v>
      </c>
      <c r="C742" s="1" t="s">
        <v>36</v>
      </c>
      <c r="D742" s="1" t="s">
        <v>94</v>
      </c>
      <c r="E742" s="1" t="n">
        <v>1</v>
      </c>
      <c r="F742" s="5" t="n">
        <v>0.2</v>
      </c>
      <c r="G742" s="1" t="s">
        <v>34</v>
      </c>
      <c r="H742" s="1" t="s">
        <v>45</v>
      </c>
      <c r="I742" s="1" t="s">
        <v>15</v>
      </c>
    </row>
    <row r="743" customFormat="false" ht="15" hidden="false" customHeight="false" outlineLevel="0" collapsed="false">
      <c r="A743" s="1" t="s">
        <v>1140</v>
      </c>
      <c r="B743" s="4" t="n">
        <v>45904</v>
      </c>
      <c r="C743" s="1" t="s">
        <v>728</v>
      </c>
      <c r="D743" s="1" t="s">
        <v>213</v>
      </c>
      <c r="E743" s="1" t="n">
        <v>3</v>
      </c>
      <c r="F743" s="5" t="n">
        <v>0.2</v>
      </c>
      <c r="G743" s="1" t="s">
        <v>24</v>
      </c>
      <c r="H743" s="1" t="s">
        <v>14</v>
      </c>
      <c r="I743" s="1" t="s">
        <v>15</v>
      </c>
      <c r="J743" s="1" t="n">
        <v>1</v>
      </c>
    </row>
    <row r="744" customFormat="false" ht="15" hidden="false" customHeight="false" outlineLevel="0" collapsed="false">
      <c r="A744" s="1" t="s">
        <v>1141</v>
      </c>
      <c r="B744" s="4" t="n">
        <v>45853</v>
      </c>
      <c r="C744" s="1" t="s">
        <v>507</v>
      </c>
      <c r="D744" s="1" t="s">
        <v>125</v>
      </c>
      <c r="E744" s="1" t="n">
        <v>3</v>
      </c>
      <c r="F744" s="5" t="n">
        <v>0.25</v>
      </c>
      <c r="G744" s="1" t="s">
        <v>13</v>
      </c>
      <c r="H744" s="1" t="s">
        <v>53</v>
      </c>
      <c r="I744" s="1" t="s">
        <v>20</v>
      </c>
      <c r="J744" s="1" t="n">
        <v>5</v>
      </c>
    </row>
    <row r="745" customFormat="false" ht="15" hidden="false" customHeight="false" outlineLevel="0" collapsed="false">
      <c r="A745" s="1" t="s">
        <v>1142</v>
      </c>
      <c r="B745" s="4" t="n">
        <v>45725</v>
      </c>
      <c r="C745" s="1" t="s">
        <v>877</v>
      </c>
      <c r="D745" s="1" t="s">
        <v>148</v>
      </c>
      <c r="E745" s="1" t="n">
        <v>2</v>
      </c>
      <c r="F745" s="5" t="n">
        <v>0.05</v>
      </c>
      <c r="G745" s="1" t="s">
        <v>19</v>
      </c>
      <c r="H745" s="1" t="s">
        <v>53</v>
      </c>
      <c r="I745" s="1" t="s">
        <v>20</v>
      </c>
      <c r="J745" s="1" t="n">
        <v>3</v>
      </c>
    </row>
    <row r="746" customFormat="false" ht="15" hidden="false" customHeight="false" outlineLevel="0" collapsed="false">
      <c r="A746" s="1" t="s">
        <v>1143</v>
      </c>
      <c r="B746" s="4" t="n">
        <v>45912</v>
      </c>
      <c r="C746" s="1" t="s">
        <v>1144</v>
      </c>
      <c r="D746" s="1" t="s">
        <v>140</v>
      </c>
      <c r="E746" s="1" t="n">
        <v>3</v>
      </c>
      <c r="F746" s="5" t="n">
        <v>0.05</v>
      </c>
      <c r="G746" s="1" t="s">
        <v>52</v>
      </c>
      <c r="H746" s="1" t="s">
        <v>14</v>
      </c>
      <c r="I746" s="1" t="s">
        <v>15</v>
      </c>
      <c r="J746" s="1" t="n">
        <v>5</v>
      </c>
    </row>
    <row r="747" customFormat="false" ht="15" hidden="false" customHeight="false" outlineLevel="0" collapsed="false">
      <c r="A747" s="1" t="s">
        <v>1145</v>
      </c>
      <c r="B747" s="4" t="n">
        <v>45946</v>
      </c>
      <c r="C747" s="1" t="s">
        <v>1146</v>
      </c>
      <c r="D747" s="1" t="s">
        <v>51</v>
      </c>
      <c r="E747" s="1" t="n">
        <v>1</v>
      </c>
      <c r="F747" s="5" t="n">
        <v>0.15</v>
      </c>
      <c r="G747" s="1" t="s">
        <v>52</v>
      </c>
      <c r="H747" s="1" t="s">
        <v>14</v>
      </c>
      <c r="I747" s="1" t="s">
        <v>38</v>
      </c>
      <c r="J747" s="1" t="n">
        <v>7</v>
      </c>
    </row>
    <row r="748" customFormat="false" ht="15" hidden="false" customHeight="false" outlineLevel="0" collapsed="false">
      <c r="A748" s="1" t="s">
        <v>1147</v>
      </c>
      <c r="B748" s="4" t="n">
        <v>45953</v>
      </c>
      <c r="C748" s="1" t="s">
        <v>505</v>
      </c>
      <c r="D748" s="1" t="s">
        <v>353</v>
      </c>
      <c r="E748" s="1" t="n">
        <v>4</v>
      </c>
      <c r="F748" s="5" t="n">
        <v>0.1</v>
      </c>
      <c r="G748" s="1" t="s">
        <v>24</v>
      </c>
      <c r="H748" s="1" t="s">
        <v>14</v>
      </c>
      <c r="I748" s="1" t="s">
        <v>20</v>
      </c>
      <c r="J748" s="1" t="n">
        <v>5</v>
      </c>
    </row>
    <row r="749" customFormat="false" ht="15" hidden="false" customHeight="false" outlineLevel="0" collapsed="false">
      <c r="A749" s="1" t="s">
        <v>1148</v>
      </c>
      <c r="B749" s="4" t="n">
        <v>45923</v>
      </c>
      <c r="C749" s="1" t="s">
        <v>209</v>
      </c>
      <c r="D749" s="1" t="s">
        <v>18</v>
      </c>
      <c r="E749" s="1" t="n">
        <v>2</v>
      </c>
      <c r="F749" s="5" t="n">
        <v>0</v>
      </c>
      <c r="G749" s="1" t="s">
        <v>52</v>
      </c>
      <c r="H749" s="1" t="s">
        <v>14</v>
      </c>
      <c r="I749" s="1" t="s">
        <v>15</v>
      </c>
      <c r="J749" s="1" t="n">
        <v>5</v>
      </c>
    </row>
    <row r="750" customFormat="false" ht="15" hidden="false" customHeight="false" outlineLevel="0" collapsed="false">
      <c r="A750" s="1" t="s">
        <v>1149</v>
      </c>
      <c r="B750" s="4" t="n">
        <v>45984</v>
      </c>
      <c r="C750" s="1" t="s">
        <v>212</v>
      </c>
      <c r="D750" s="1" t="s">
        <v>286</v>
      </c>
      <c r="E750" s="1" t="n">
        <v>1</v>
      </c>
      <c r="F750" s="5" t="n">
        <v>0.05</v>
      </c>
      <c r="G750" s="1" t="s">
        <v>52</v>
      </c>
      <c r="H750" s="1" t="s">
        <v>14</v>
      </c>
      <c r="I750" s="1" t="s">
        <v>20</v>
      </c>
      <c r="J750" s="1" t="n">
        <v>5</v>
      </c>
    </row>
    <row r="751" customFormat="false" ht="15" hidden="false" customHeight="false" outlineLevel="0" collapsed="false">
      <c r="A751" s="1" t="s">
        <v>1150</v>
      </c>
      <c r="B751" s="4" t="n">
        <v>45873</v>
      </c>
      <c r="C751" s="1" t="s">
        <v>459</v>
      </c>
      <c r="D751" s="1" t="s">
        <v>286</v>
      </c>
      <c r="E751" s="1" t="n">
        <v>2</v>
      </c>
      <c r="F751" s="5" t="n">
        <v>0</v>
      </c>
      <c r="G751" s="1" t="s">
        <v>71</v>
      </c>
      <c r="H751" s="1" t="s">
        <v>92</v>
      </c>
      <c r="I751" s="1" t="s">
        <v>20</v>
      </c>
    </row>
    <row r="752" customFormat="false" ht="15" hidden="false" customHeight="false" outlineLevel="0" collapsed="false">
      <c r="A752" s="1" t="s">
        <v>1151</v>
      </c>
      <c r="B752" s="4" t="n">
        <v>45801</v>
      </c>
      <c r="C752" s="1" t="s">
        <v>83</v>
      </c>
      <c r="D752" s="1" t="s">
        <v>286</v>
      </c>
      <c r="E752" s="1" t="n">
        <v>1</v>
      </c>
      <c r="F752" s="5" t="n">
        <v>0</v>
      </c>
      <c r="G752" s="1" t="s">
        <v>24</v>
      </c>
      <c r="H752" s="1" t="s">
        <v>14</v>
      </c>
      <c r="I752" s="1" t="s">
        <v>20</v>
      </c>
      <c r="J752" s="1" t="n">
        <v>4</v>
      </c>
    </row>
    <row r="753" customFormat="false" ht="15" hidden="false" customHeight="false" outlineLevel="0" collapsed="false">
      <c r="A753" s="1" t="s">
        <v>1152</v>
      </c>
      <c r="B753" s="4" t="n">
        <v>45786</v>
      </c>
      <c r="C753" s="1" t="s">
        <v>551</v>
      </c>
      <c r="D753" s="1" t="s">
        <v>179</v>
      </c>
      <c r="E753" s="1" t="n">
        <v>1</v>
      </c>
      <c r="F753" s="5" t="n">
        <v>0.1</v>
      </c>
      <c r="G753" s="1" t="s">
        <v>52</v>
      </c>
      <c r="H753" s="1" t="s">
        <v>14</v>
      </c>
      <c r="I753" s="1" t="s">
        <v>20</v>
      </c>
      <c r="J753" s="1" t="n">
        <v>1</v>
      </c>
    </row>
    <row r="754" customFormat="false" ht="15" hidden="false" customHeight="false" outlineLevel="0" collapsed="false">
      <c r="A754" s="1" t="s">
        <v>1153</v>
      </c>
      <c r="B754" s="4" t="n">
        <v>45880</v>
      </c>
      <c r="C754" s="1" t="s">
        <v>350</v>
      </c>
      <c r="D754" s="1" t="s">
        <v>37</v>
      </c>
      <c r="E754" s="1" t="n">
        <v>1</v>
      </c>
      <c r="F754" s="5" t="n">
        <v>0.15</v>
      </c>
      <c r="G754" s="1" t="s">
        <v>52</v>
      </c>
      <c r="H754" s="1" t="s">
        <v>14</v>
      </c>
      <c r="I754" s="1" t="s">
        <v>15</v>
      </c>
      <c r="J754" s="1" t="n">
        <v>2</v>
      </c>
    </row>
    <row r="755" customFormat="false" ht="15" hidden="false" customHeight="false" outlineLevel="0" collapsed="false">
      <c r="A755" s="1" t="s">
        <v>1154</v>
      </c>
      <c r="B755" s="4" t="n">
        <v>45931</v>
      </c>
      <c r="C755" s="1" t="s">
        <v>244</v>
      </c>
      <c r="D755" s="1" t="s">
        <v>423</v>
      </c>
      <c r="E755" s="1" t="n">
        <v>2</v>
      </c>
      <c r="F755" s="5" t="n">
        <v>0</v>
      </c>
      <c r="G755" s="1" t="s">
        <v>52</v>
      </c>
      <c r="H755" s="1" t="s">
        <v>14</v>
      </c>
      <c r="I755" s="1" t="s">
        <v>20</v>
      </c>
      <c r="J755" s="1" t="n">
        <v>2</v>
      </c>
    </row>
    <row r="756" customFormat="false" ht="15" hidden="false" customHeight="false" outlineLevel="0" collapsed="false">
      <c r="A756" s="1" t="s">
        <v>1155</v>
      </c>
      <c r="B756" s="4" t="n">
        <v>45720</v>
      </c>
      <c r="C756" s="1" t="s">
        <v>753</v>
      </c>
      <c r="D756" s="1" t="s">
        <v>106</v>
      </c>
      <c r="E756" s="1" t="n">
        <v>2</v>
      </c>
      <c r="F756" s="5" t="n">
        <v>0.2</v>
      </c>
      <c r="G756" s="1" t="s">
        <v>52</v>
      </c>
      <c r="H756" s="1" t="s">
        <v>14</v>
      </c>
      <c r="I756" s="1" t="s">
        <v>15</v>
      </c>
      <c r="J756" s="1" t="n">
        <v>2</v>
      </c>
    </row>
    <row r="757" customFormat="false" ht="15" hidden="false" customHeight="false" outlineLevel="0" collapsed="false">
      <c r="A757" s="1" t="s">
        <v>1156</v>
      </c>
      <c r="B757" s="4" t="n">
        <v>45995</v>
      </c>
      <c r="C757" s="1" t="s">
        <v>173</v>
      </c>
      <c r="D757" s="1" t="s">
        <v>237</v>
      </c>
      <c r="E757" s="1" t="n">
        <v>1</v>
      </c>
      <c r="F757" s="5" t="n">
        <v>0</v>
      </c>
      <c r="G757" s="1" t="s">
        <v>71</v>
      </c>
      <c r="H757" s="1" t="s">
        <v>14</v>
      </c>
      <c r="I757" s="1" t="s">
        <v>20</v>
      </c>
      <c r="J757" s="1" t="n">
        <v>8</v>
      </c>
    </row>
    <row r="758" customFormat="false" ht="15" hidden="false" customHeight="false" outlineLevel="0" collapsed="false">
      <c r="A758" s="1" t="s">
        <v>1157</v>
      </c>
      <c r="B758" s="4" t="n">
        <v>45906</v>
      </c>
      <c r="C758" s="1" t="s">
        <v>384</v>
      </c>
      <c r="D758" s="1" t="s">
        <v>160</v>
      </c>
      <c r="E758" s="1" t="n">
        <v>1</v>
      </c>
      <c r="F758" s="5" t="n">
        <v>0</v>
      </c>
      <c r="G758" s="1" t="s">
        <v>52</v>
      </c>
      <c r="H758" s="1" t="s">
        <v>92</v>
      </c>
      <c r="I758" s="1" t="s">
        <v>20</v>
      </c>
    </row>
    <row r="759" customFormat="false" ht="15" hidden="false" customHeight="false" outlineLevel="0" collapsed="false">
      <c r="A759" s="1" t="s">
        <v>1158</v>
      </c>
      <c r="B759" s="4" t="n">
        <v>45759</v>
      </c>
      <c r="C759" s="1" t="s">
        <v>428</v>
      </c>
      <c r="D759" s="1" t="s">
        <v>67</v>
      </c>
      <c r="E759" s="1" t="n">
        <v>1</v>
      </c>
      <c r="F759" s="5" t="n">
        <v>0.05</v>
      </c>
      <c r="G759" s="1" t="s">
        <v>52</v>
      </c>
      <c r="H759" s="1" t="s">
        <v>14</v>
      </c>
      <c r="I759" s="1" t="s">
        <v>20</v>
      </c>
      <c r="J759" s="1" t="n">
        <v>7</v>
      </c>
    </row>
    <row r="760" customFormat="false" ht="15" hidden="false" customHeight="false" outlineLevel="0" collapsed="false">
      <c r="A760" s="1" t="s">
        <v>1159</v>
      </c>
      <c r="B760" s="4" t="n">
        <v>45786</v>
      </c>
      <c r="C760" s="1" t="s">
        <v>76</v>
      </c>
      <c r="D760" s="1" t="s">
        <v>444</v>
      </c>
      <c r="E760" s="1" t="n">
        <v>2</v>
      </c>
      <c r="F760" s="5" t="n">
        <v>0.15</v>
      </c>
      <c r="G760" s="1" t="s">
        <v>52</v>
      </c>
      <c r="H760" s="1" t="s">
        <v>14</v>
      </c>
      <c r="I760" s="1" t="s">
        <v>20</v>
      </c>
      <c r="J760" s="1" t="n">
        <v>6</v>
      </c>
    </row>
    <row r="761" customFormat="false" ht="15" hidden="false" customHeight="false" outlineLevel="0" collapsed="false">
      <c r="A761" s="1" t="s">
        <v>1160</v>
      </c>
      <c r="B761" s="4" t="n">
        <v>45978</v>
      </c>
      <c r="C761" s="1" t="s">
        <v>572</v>
      </c>
      <c r="D761" s="1" t="s">
        <v>985</v>
      </c>
      <c r="E761" s="1" t="n">
        <v>4</v>
      </c>
      <c r="F761" s="5" t="n">
        <v>0.05</v>
      </c>
      <c r="G761" s="1" t="s">
        <v>34</v>
      </c>
      <c r="H761" s="1" t="s">
        <v>14</v>
      </c>
      <c r="I761" s="1" t="s">
        <v>20</v>
      </c>
      <c r="J761" s="1" t="n">
        <v>1</v>
      </c>
    </row>
    <row r="762" customFormat="false" ht="15" hidden="false" customHeight="false" outlineLevel="0" collapsed="false">
      <c r="A762" s="1" t="s">
        <v>1161</v>
      </c>
      <c r="B762" s="4" t="n">
        <v>45983</v>
      </c>
      <c r="C762" s="1" t="s">
        <v>501</v>
      </c>
      <c r="D762" s="1" t="s">
        <v>286</v>
      </c>
      <c r="E762" s="1" t="n">
        <v>2</v>
      </c>
      <c r="F762" s="5" t="n">
        <v>0.15</v>
      </c>
      <c r="G762" s="1" t="s">
        <v>52</v>
      </c>
      <c r="H762" s="1" t="s">
        <v>53</v>
      </c>
      <c r="I762" s="1" t="s">
        <v>38</v>
      </c>
      <c r="J762" s="1" t="n">
        <v>7</v>
      </c>
    </row>
    <row r="763" customFormat="false" ht="15" hidden="false" customHeight="false" outlineLevel="0" collapsed="false">
      <c r="A763" s="1" t="s">
        <v>1162</v>
      </c>
      <c r="B763" s="4" t="n">
        <v>45943</v>
      </c>
      <c r="C763" s="1" t="s">
        <v>777</v>
      </c>
      <c r="D763" s="1" t="s">
        <v>213</v>
      </c>
      <c r="E763" s="1" t="n">
        <v>1</v>
      </c>
      <c r="F763" s="5" t="n">
        <v>0.1</v>
      </c>
      <c r="G763" s="1" t="s">
        <v>24</v>
      </c>
      <c r="H763" s="1" t="s">
        <v>14</v>
      </c>
      <c r="I763" s="1" t="s">
        <v>20</v>
      </c>
      <c r="J763" s="1" t="n">
        <v>6</v>
      </c>
    </row>
    <row r="764" customFormat="false" ht="15" hidden="false" customHeight="false" outlineLevel="0" collapsed="false">
      <c r="A764" s="1" t="s">
        <v>1163</v>
      </c>
      <c r="B764" s="4" t="n">
        <v>45912</v>
      </c>
      <c r="C764" s="1" t="s">
        <v>88</v>
      </c>
      <c r="D764" s="1" t="s">
        <v>114</v>
      </c>
      <c r="E764" s="1" t="n">
        <v>2</v>
      </c>
      <c r="F764" s="5" t="n">
        <v>0.1</v>
      </c>
      <c r="G764" s="1" t="s">
        <v>24</v>
      </c>
      <c r="H764" s="1" t="s">
        <v>14</v>
      </c>
      <c r="I764" s="1" t="s">
        <v>15</v>
      </c>
      <c r="J764" s="1" t="n">
        <v>8</v>
      </c>
    </row>
    <row r="765" customFormat="false" ht="15" hidden="false" customHeight="false" outlineLevel="0" collapsed="false">
      <c r="A765" s="1" t="s">
        <v>1164</v>
      </c>
      <c r="B765" s="4" t="n">
        <v>45794</v>
      </c>
      <c r="C765" s="1" t="s">
        <v>142</v>
      </c>
      <c r="D765" s="1" t="s">
        <v>362</v>
      </c>
      <c r="E765" s="1" t="n">
        <v>2</v>
      </c>
      <c r="F765" s="5" t="n">
        <v>0.15</v>
      </c>
      <c r="G765" s="1" t="s">
        <v>34</v>
      </c>
      <c r="H765" s="1" t="s">
        <v>14</v>
      </c>
      <c r="I765" s="1" t="s">
        <v>15</v>
      </c>
      <c r="J765" s="1" t="n">
        <v>1</v>
      </c>
    </row>
    <row r="766" customFormat="false" ht="15" hidden="false" customHeight="false" outlineLevel="0" collapsed="false">
      <c r="A766" s="1" t="s">
        <v>1165</v>
      </c>
      <c r="B766" s="4" t="n">
        <v>45695</v>
      </c>
      <c r="C766" s="1" t="s">
        <v>1166</v>
      </c>
      <c r="D766" s="1" t="s">
        <v>97</v>
      </c>
      <c r="E766" s="1" t="n">
        <v>3</v>
      </c>
      <c r="F766" s="5" t="n">
        <v>0.15</v>
      </c>
      <c r="G766" s="1" t="s">
        <v>19</v>
      </c>
      <c r="H766" s="1" t="s">
        <v>14</v>
      </c>
      <c r="I766" s="1" t="s">
        <v>15</v>
      </c>
      <c r="J766" s="1" t="n">
        <v>6</v>
      </c>
    </row>
    <row r="767" customFormat="false" ht="15" hidden="false" customHeight="false" outlineLevel="0" collapsed="false">
      <c r="A767" s="1" t="s">
        <v>1167</v>
      </c>
      <c r="B767" s="4" t="n">
        <v>45748</v>
      </c>
      <c r="C767" s="1" t="s">
        <v>261</v>
      </c>
      <c r="D767" s="1" t="s">
        <v>122</v>
      </c>
      <c r="E767" s="1" t="n">
        <v>1</v>
      </c>
      <c r="F767" s="5" t="n">
        <v>0.15</v>
      </c>
      <c r="G767" s="1" t="s">
        <v>34</v>
      </c>
      <c r="H767" s="1" t="s">
        <v>14</v>
      </c>
      <c r="I767" s="1" t="s">
        <v>38</v>
      </c>
      <c r="J767" s="1" t="n">
        <v>7</v>
      </c>
    </row>
    <row r="768" customFormat="false" ht="15" hidden="false" customHeight="false" outlineLevel="0" collapsed="false">
      <c r="A768" s="1" t="s">
        <v>1168</v>
      </c>
      <c r="B768" s="4" t="n">
        <v>45879</v>
      </c>
      <c r="C768" s="1" t="s">
        <v>543</v>
      </c>
      <c r="D768" s="1" t="s">
        <v>1169</v>
      </c>
      <c r="E768" s="1" t="n">
        <v>1</v>
      </c>
      <c r="F768" s="5" t="n">
        <v>0</v>
      </c>
      <c r="G768" s="1" t="s">
        <v>52</v>
      </c>
      <c r="H768" s="1" t="s">
        <v>14</v>
      </c>
      <c r="I768" s="1" t="s">
        <v>38</v>
      </c>
      <c r="J768" s="1" t="n">
        <v>4</v>
      </c>
    </row>
    <row r="769" customFormat="false" ht="15" hidden="false" customHeight="false" outlineLevel="0" collapsed="false">
      <c r="A769" s="1" t="s">
        <v>1170</v>
      </c>
      <c r="B769" s="4" t="n">
        <v>46015</v>
      </c>
      <c r="C769" s="1" t="s">
        <v>490</v>
      </c>
      <c r="D769" s="1" t="s">
        <v>162</v>
      </c>
      <c r="E769" s="1" t="n">
        <v>1</v>
      </c>
      <c r="F769" s="5" t="n">
        <v>0.1</v>
      </c>
      <c r="G769" s="1" t="s">
        <v>24</v>
      </c>
      <c r="H769" s="1" t="s">
        <v>53</v>
      </c>
      <c r="I769" s="1" t="s">
        <v>38</v>
      </c>
      <c r="J769" s="1" t="n">
        <v>1</v>
      </c>
    </row>
    <row r="770" customFormat="false" ht="15" hidden="false" customHeight="false" outlineLevel="0" collapsed="false">
      <c r="A770" s="1" t="s">
        <v>1171</v>
      </c>
      <c r="B770" s="4" t="n">
        <v>45893</v>
      </c>
      <c r="C770" s="1" t="s">
        <v>626</v>
      </c>
      <c r="D770" s="1" t="s">
        <v>12</v>
      </c>
      <c r="E770" s="1" t="n">
        <v>2</v>
      </c>
      <c r="F770" s="5" t="n">
        <v>0.1</v>
      </c>
      <c r="G770" s="1" t="s">
        <v>34</v>
      </c>
      <c r="H770" s="1" t="s">
        <v>14</v>
      </c>
      <c r="I770" s="1" t="s">
        <v>20</v>
      </c>
      <c r="J770" s="1" t="n">
        <v>2</v>
      </c>
    </row>
    <row r="771" customFormat="false" ht="15" hidden="false" customHeight="false" outlineLevel="0" collapsed="false">
      <c r="A771" s="1" t="s">
        <v>1172</v>
      </c>
      <c r="B771" s="4" t="n">
        <v>45719</v>
      </c>
      <c r="C771" s="1" t="s">
        <v>86</v>
      </c>
      <c r="D771" s="1" t="s">
        <v>33</v>
      </c>
      <c r="E771" s="1" t="n">
        <v>2</v>
      </c>
      <c r="F771" s="5" t="n">
        <v>0.25</v>
      </c>
      <c r="G771" s="1" t="s">
        <v>52</v>
      </c>
      <c r="H771" s="1" t="s">
        <v>14</v>
      </c>
      <c r="I771" s="1" t="s">
        <v>20</v>
      </c>
      <c r="J771" s="1" t="n">
        <v>1</v>
      </c>
    </row>
    <row r="772" customFormat="false" ht="15" hidden="false" customHeight="false" outlineLevel="0" collapsed="false">
      <c r="A772" s="1" t="s">
        <v>1173</v>
      </c>
      <c r="B772" s="4" t="n">
        <v>45728</v>
      </c>
      <c r="C772" s="1" t="s">
        <v>69</v>
      </c>
      <c r="D772" s="1" t="s">
        <v>30</v>
      </c>
      <c r="E772" s="1" t="n">
        <v>2</v>
      </c>
      <c r="F772" s="5" t="n">
        <v>0.15</v>
      </c>
      <c r="G772" s="1" t="s">
        <v>52</v>
      </c>
      <c r="H772" s="1" t="s">
        <v>14</v>
      </c>
      <c r="I772" s="1" t="s">
        <v>15</v>
      </c>
      <c r="J772" s="1" t="n">
        <v>5</v>
      </c>
    </row>
    <row r="773" customFormat="false" ht="15" hidden="false" customHeight="false" outlineLevel="0" collapsed="false">
      <c r="A773" s="1" t="s">
        <v>1174</v>
      </c>
      <c r="B773" s="4" t="n">
        <v>45783</v>
      </c>
      <c r="C773" s="1" t="s">
        <v>836</v>
      </c>
      <c r="D773" s="1" t="s">
        <v>446</v>
      </c>
      <c r="E773" s="1" t="n">
        <v>1</v>
      </c>
      <c r="F773" s="5" t="n">
        <v>0.2</v>
      </c>
      <c r="G773" s="1" t="s">
        <v>52</v>
      </c>
      <c r="H773" s="1" t="s">
        <v>14</v>
      </c>
      <c r="I773" s="1" t="s">
        <v>38</v>
      </c>
      <c r="J773" s="1" t="n">
        <v>5</v>
      </c>
    </row>
    <row r="774" customFormat="false" ht="15" hidden="false" customHeight="false" outlineLevel="0" collapsed="false">
      <c r="A774" s="1" t="s">
        <v>1175</v>
      </c>
      <c r="B774" s="4" t="n">
        <v>45835</v>
      </c>
      <c r="C774" s="1" t="s">
        <v>1144</v>
      </c>
      <c r="D774" s="1" t="s">
        <v>77</v>
      </c>
      <c r="E774" s="1" t="n">
        <v>1</v>
      </c>
      <c r="F774" s="5" t="n">
        <v>0</v>
      </c>
      <c r="G774" s="1" t="s">
        <v>34</v>
      </c>
      <c r="H774" s="1" t="s">
        <v>92</v>
      </c>
      <c r="I774" s="1" t="s">
        <v>15</v>
      </c>
    </row>
    <row r="775" customFormat="false" ht="15" hidden="false" customHeight="false" outlineLevel="0" collapsed="false">
      <c r="A775" s="1" t="s">
        <v>1176</v>
      </c>
      <c r="B775" s="4" t="n">
        <v>45731</v>
      </c>
      <c r="C775" s="1" t="s">
        <v>345</v>
      </c>
      <c r="D775" s="1" t="s">
        <v>106</v>
      </c>
      <c r="E775" s="1" t="n">
        <v>2</v>
      </c>
      <c r="F775" s="5" t="n">
        <v>0.1</v>
      </c>
      <c r="G775" s="1" t="s">
        <v>24</v>
      </c>
      <c r="H775" s="1" t="s">
        <v>78</v>
      </c>
      <c r="I775" s="1" t="s">
        <v>15</v>
      </c>
      <c r="J775" s="1" t="n">
        <v>6</v>
      </c>
    </row>
    <row r="776" customFormat="false" ht="15" hidden="false" customHeight="false" outlineLevel="0" collapsed="false">
      <c r="A776" s="1" t="s">
        <v>1177</v>
      </c>
      <c r="B776" s="4" t="n">
        <v>45867</v>
      </c>
      <c r="C776" s="1" t="s">
        <v>534</v>
      </c>
      <c r="D776" s="1" t="s">
        <v>125</v>
      </c>
      <c r="E776" s="1" t="n">
        <v>3</v>
      </c>
      <c r="F776" s="5" t="n">
        <v>0</v>
      </c>
      <c r="G776" s="1" t="s">
        <v>24</v>
      </c>
      <c r="H776" s="1" t="s">
        <v>14</v>
      </c>
      <c r="I776" s="1" t="s">
        <v>38</v>
      </c>
      <c r="J776" s="1" t="n">
        <v>5</v>
      </c>
    </row>
    <row r="777" customFormat="false" ht="15" hidden="false" customHeight="false" outlineLevel="0" collapsed="false">
      <c r="A777" s="1" t="s">
        <v>1178</v>
      </c>
      <c r="B777" s="4" t="n">
        <v>45714</v>
      </c>
      <c r="C777" s="1" t="s">
        <v>661</v>
      </c>
      <c r="D777" s="1" t="s">
        <v>18</v>
      </c>
      <c r="E777" s="1" t="n">
        <v>2</v>
      </c>
      <c r="F777" s="5" t="n">
        <v>0.2</v>
      </c>
      <c r="G777" s="1" t="s">
        <v>34</v>
      </c>
      <c r="H777" s="1" t="s">
        <v>53</v>
      </c>
      <c r="I777" s="1" t="s">
        <v>20</v>
      </c>
      <c r="J777" s="1" t="n">
        <v>5</v>
      </c>
    </row>
    <row r="778" customFormat="false" ht="15" hidden="false" customHeight="false" outlineLevel="0" collapsed="false">
      <c r="A778" s="1" t="s">
        <v>1179</v>
      </c>
      <c r="B778" s="4" t="n">
        <v>45921</v>
      </c>
      <c r="C778" s="1" t="s">
        <v>483</v>
      </c>
      <c r="D778" s="1" t="s">
        <v>44</v>
      </c>
      <c r="E778" s="1" t="n">
        <v>1</v>
      </c>
      <c r="F778" s="5" t="n">
        <v>0</v>
      </c>
      <c r="G778" s="1" t="s">
        <v>52</v>
      </c>
      <c r="H778" s="1" t="s">
        <v>14</v>
      </c>
      <c r="I778" s="1" t="s">
        <v>38</v>
      </c>
      <c r="J778" s="1" t="n">
        <v>5</v>
      </c>
    </row>
    <row r="779" customFormat="false" ht="15" hidden="false" customHeight="false" outlineLevel="0" collapsed="false">
      <c r="A779" s="1" t="s">
        <v>1180</v>
      </c>
      <c r="B779" s="4" t="n">
        <v>45781</v>
      </c>
      <c r="C779" s="1" t="s">
        <v>659</v>
      </c>
      <c r="D779" s="1" t="s">
        <v>33</v>
      </c>
      <c r="E779" s="1" t="n">
        <v>1</v>
      </c>
      <c r="F779" s="5" t="n">
        <v>0.05</v>
      </c>
      <c r="G779" s="1" t="s">
        <v>52</v>
      </c>
      <c r="H779" s="1" t="s">
        <v>14</v>
      </c>
      <c r="I779" s="1" t="s">
        <v>20</v>
      </c>
      <c r="J779" s="1" t="n">
        <v>6</v>
      </c>
    </row>
    <row r="780" customFormat="false" ht="15" hidden="false" customHeight="false" outlineLevel="0" collapsed="false">
      <c r="A780" s="1" t="s">
        <v>1181</v>
      </c>
      <c r="B780" s="4" t="n">
        <v>45865</v>
      </c>
      <c r="C780" s="1" t="s">
        <v>364</v>
      </c>
      <c r="D780" s="1" t="s">
        <v>444</v>
      </c>
      <c r="E780" s="1" t="n">
        <v>2</v>
      </c>
      <c r="F780" s="5" t="n">
        <v>0.1</v>
      </c>
      <c r="G780" s="1" t="s">
        <v>19</v>
      </c>
      <c r="H780" s="1" t="s">
        <v>14</v>
      </c>
      <c r="I780" s="1" t="s">
        <v>20</v>
      </c>
      <c r="J780" s="1" t="n">
        <v>6</v>
      </c>
    </row>
    <row r="781" customFormat="false" ht="15" hidden="false" customHeight="false" outlineLevel="0" collapsed="false">
      <c r="A781" s="1" t="s">
        <v>1182</v>
      </c>
      <c r="B781" s="4" t="n">
        <v>45979</v>
      </c>
      <c r="C781" s="1" t="s">
        <v>839</v>
      </c>
      <c r="D781" s="1" t="s">
        <v>253</v>
      </c>
      <c r="E781" s="1" t="n">
        <v>3</v>
      </c>
      <c r="F781" s="5" t="n">
        <v>0.1</v>
      </c>
      <c r="G781" s="1" t="s">
        <v>52</v>
      </c>
      <c r="H781" s="1" t="s">
        <v>14</v>
      </c>
      <c r="I781" s="1" t="s">
        <v>38</v>
      </c>
      <c r="J781" s="1" t="n">
        <v>1</v>
      </c>
    </row>
    <row r="782" customFormat="false" ht="15" hidden="false" customHeight="false" outlineLevel="0" collapsed="false">
      <c r="A782" s="1" t="s">
        <v>1183</v>
      </c>
      <c r="B782" s="4" t="n">
        <v>45825</v>
      </c>
      <c r="C782" s="1" t="s">
        <v>621</v>
      </c>
      <c r="D782" s="1" t="s">
        <v>37</v>
      </c>
      <c r="E782" s="1" t="n">
        <v>2</v>
      </c>
      <c r="F782" s="5" t="n">
        <v>0.15</v>
      </c>
      <c r="G782" s="1" t="s">
        <v>52</v>
      </c>
      <c r="H782" s="1" t="s">
        <v>92</v>
      </c>
      <c r="I782" s="1" t="s">
        <v>20</v>
      </c>
    </row>
    <row r="783" customFormat="false" ht="15" hidden="false" customHeight="false" outlineLevel="0" collapsed="false">
      <c r="A783" s="1" t="s">
        <v>1184</v>
      </c>
      <c r="B783" s="4" t="n">
        <v>45922</v>
      </c>
      <c r="C783" s="1" t="s">
        <v>822</v>
      </c>
      <c r="D783" s="1" t="s">
        <v>328</v>
      </c>
      <c r="E783" s="1" t="n">
        <v>1</v>
      </c>
      <c r="F783" s="5" t="n">
        <v>0.1</v>
      </c>
      <c r="G783" s="1" t="s">
        <v>13</v>
      </c>
      <c r="H783" s="1" t="s">
        <v>14</v>
      </c>
      <c r="I783" s="1" t="s">
        <v>38</v>
      </c>
      <c r="J783" s="1" t="n">
        <v>5</v>
      </c>
    </row>
    <row r="784" customFormat="false" ht="15" hidden="false" customHeight="false" outlineLevel="0" collapsed="false">
      <c r="A784" s="1" t="s">
        <v>1185</v>
      </c>
      <c r="B784" s="4" t="n">
        <v>46004</v>
      </c>
      <c r="C784" s="1" t="s">
        <v>875</v>
      </c>
      <c r="D784" s="1" t="s">
        <v>134</v>
      </c>
      <c r="E784" s="1" t="n">
        <v>2</v>
      </c>
      <c r="F784" s="5" t="n">
        <v>0</v>
      </c>
      <c r="G784" s="1" t="s">
        <v>52</v>
      </c>
      <c r="H784" s="1" t="s">
        <v>14</v>
      </c>
      <c r="I784" s="1" t="s">
        <v>15</v>
      </c>
      <c r="J784" s="1" t="n">
        <v>5</v>
      </c>
    </row>
    <row r="785" customFormat="false" ht="15" hidden="false" customHeight="false" outlineLevel="0" collapsed="false">
      <c r="A785" s="1" t="s">
        <v>1186</v>
      </c>
      <c r="B785" s="4" t="n">
        <v>45806</v>
      </c>
      <c r="C785" s="1" t="s">
        <v>1072</v>
      </c>
      <c r="D785" s="1" t="s">
        <v>289</v>
      </c>
      <c r="E785" s="1" t="n">
        <v>1</v>
      </c>
      <c r="F785" s="5" t="n">
        <v>0.05</v>
      </c>
      <c r="G785" s="1" t="s">
        <v>24</v>
      </c>
      <c r="H785" s="1" t="s">
        <v>45</v>
      </c>
      <c r="I785" s="1" t="s">
        <v>20</v>
      </c>
    </row>
    <row r="786" customFormat="false" ht="15" hidden="false" customHeight="false" outlineLevel="0" collapsed="false">
      <c r="A786" s="1" t="s">
        <v>1187</v>
      </c>
      <c r="B786" s="4" t="n">
        <v>45821</v>
      </c>
      <c r="C786" s="1" t="s">
        <v>440</v>
      </c>
      <c r="D786" s="1" t="s">
        <v>405</v>
      </c>
      <c r="E786" s="1" t="n">
        <v>1</v>
      </c>
      <c r="F786" s="5" t="n">
        <v>0.05</v>
      </c>
      <c r="G786" s="1" t="s">
        <v>52</v>
      </c>
      <c r="H786" s="1" t="s">
        <v>14</v>
      </c>
      <c r="I786" s="1" t="s">
        <v>20</v>
      </c>
      <c r="J786" s="1" t="n">
        <v>5</v>
      </c>
    </row>
    <row r="787" customFormat="false" ht="15" hidden="false" customHeight="false" outlineLevel="0" collapsed="false">
      <c r="A787" s="1" t="s">
        <v>1188</v>
      </c>
      <c r="B787" s="4" t="n">
        <v>46012</v>
      </c>
      <c r="C787" s="1" t="s">
        <v>1166</v>
      </c>
      <c r="D787" s="1" t="s">
        <v>405</v>
      </c>
      <c r="E787" s="1" t="n">
        <v>5</v>
      </c>
      <c r="F787" s="5" t="n">
        <v>0.2</v>
      </c>
      <c r="G787" s="1" t="s">
        <v>24</v>
      </c>
      <c r="H787" s="1" t="s">
        <v>92</v>
      </c>
      <c r="I787" s="1" t="s">
        <v>20</v>
      </c>
    </row>
    <row r="788" customFormat="false" ht="15" hidden="false" customHeight="false" outlineLevel="0" collapsed="false">
      <c r="A788" s="1" t="s">
        <v>1189</v>
      </c>
      <c r="B788" s="4" t="n">
        <v>45773</v>
      </c>
      <c r="C788" s="1" t="s">
        <v>91</v>
      </c>
      <c r="D788" s="1" t="s">
        <v>44</v>
      </c>
      <c r="E788" s="1" t="n">
        <v>1</v>
      </c>
      <c r="F788" s="5" t="n">
        <v>0.1</v>
      </c>
      <c r="G788" s="1" t="s">
        <v>34</v>
      </c>
      <c r="H788" s="1" t="s">
        <v>14</v>
      </c>
      <c r="I788" s="1" t="s">
        <v>15</v>
      </c>
      <c r="J788" s="1" t="n">
        <v>2</v>
      </c>
    </row>
    <row r="789" customFormat="false" ht="15" hidden="false" customHeight="false" outlineLevel="0" collapsed="false">
      <c r="A789" s="1" t="s">
        <v>1190</v>
      </c>
      <c r="B789" s="4" t="n">
        <v>45817</v>
      </c>
      <c r="C789" s="1" t="s">
        <v>1144</v>
      </c>
      <c r="D789" s="1" t="s">
        <v>325</v>
      </c>
      <c r="E789" s="1" t="n">
        <v>3</v>
      </c>
      <c r="F789" s="5" t="n">
        <v>0.2</v>
      </c>
      <c r="G789" s="1" t="s">
        <v>24</v>
      </c>
      <c r="H789" s="1" t="s">
        <v>14</v>
      </c>
      <c r="I789" s="1" t="s">
        <v>38</v>
      </c>
      <c r="J789" s="1" t="n">
        <v>2</v>
      </c>
    </row>
    <row r="790" customFormat="false" ht="15" hidden="false" customHeight="false" outlineLevel="0" collapsed="false">
      <c r="A790" s="1" t="s">
        <v>1191</v>
      </c>
      <c r="B790" s="4" t="n">
        <v>45693</v>
      </c>
      <c r="C790" s="1" t="s">
        <v>777</v>
      </c>
      <c r="D790" s="1" t="s">
        <v>240</v>
      </c>
      <c r="E790" s="1" t="n">
        <v>2</v>
      </c>
      <c r="F790" s="5" t="n">
        <v>0.25</v>
      </c>
      <c r="G790" s="1" t="s">
        <v>71</v>
      </c>
      <c r="H790" s="1" t="s">
        <v>53</v>
      </c>
      <c r="I790" s="1" t="s">
        <v>20</v>
      </c>
      <c r="J790" s="1" t="n">
        <v>1</v>
      </c>
    </row>
    <row r="791" customFormat="false" ht="15" hidden="false" customHeight="false" outlineLevel="0" collapsed="false">
      <c r="A791" s="1" t="s">
        <v>1192</v>
      </c>
      <c r="B791" s="4" t="n">
        <v>45745</v>
      </c>
      <c r="C791" s="1" t="s">
        <v>1128</v>
      </c>
      <c r="D791" s="1" t="s">
        <v>41</v>
      </c>
      <c r="E791" s="1" t="n">
        <v>3</v>
      </c>
      <c r="F791" s="5" t="n">
        <v>0.2</v>
      </c>
      <c r="G791" s="1" t="s">
        <v>24</v>
      </c>
      <c r="H791" s="1" t="s">
        <v>14</v>
      </c>
      <c r="I791" s="1" t="s">
        <v>15</v>
      </c>
      <c r="J791" s="1" t="n">
        <v>6</v>
      </c>
    </row>
    <row r="792" customFormat="false" ht="15" hidden="false" customHeight="false" outlineLevel="0" collapsed="false">
      <c r="A792" s="1" t="s">
        <v>1193</v>
      </c>
      <c r="B792" s="4" t="n">
        <v>45984</v>
      </c>
      <c r="C792" s="1" t="s">
        <v>551</v>
      </c>
      <c r="D792" s="1" t="s">
        <v>446</v>
      </c>
      <c r="E792" s="1" t="n">
        <v>2</v>
      </c>
      <c r="F792" s="5" t="n">
        <v>0.05</v>
      </c>
      <c r="G792" s="1" t="s">
        <v>52</v>
      </c>
      <c r="H792" s="1" t="s">
        <v>14</v>
      </c>
      <c r="I792" s="1" t="s">
        <v>15</v>
      </c>
      <c r="J792" s="1" t="n">
        <v>2</v>
      </c>
    </row>
    <row r="793" customFormat="false" ht="15" hidden="false" customHeight="false" outlineLevel="0" collapsed="false">
      <c r="A793" s="1" t="s">
        <v>1194</v>
      </c>
      <c r="B793" s="4" t="n">
        <v>45739</v>
      </c>
      <c r="C793" s="1" t="s">
        <v>29</v>
      </c>
      <c r="D793" s="1" t="s">
        <v>165</v>
      </c>
      <c r="E793" s="1" t="n">
        <v>1</v>
      </c>
      <c r="F793" s="5" t="n">
        <v>0</v>
      </c>
      <c r="G793" s="1" t="s">
        <v>52</v>
      </c>
      <c r="H793" s="1" t="s">
        <v>14</v>
      </c>
      <c r="I793" s="1" t="s">
        <v>38</v>
      </c>
      <c r="J793" s="1" t="n">
        <v>4</v>
      </c>
    </row>
    <row r="794" customFormat="false" ht="15" hidden="false" customHeight="false" outlineLevel="0" collapsed="false">
      <c r="A794" s="1" t="s">
        <v>1195</v>
      </c>
      <c r="B794" s="4" t="n">
        <v>46019</v>
      </c>
      <c r="C794" s="1" t="s">
        <v>345</v>
      </c>
      <c r="D794" s="1" t="s">
        <v>264</v>
      </c>
      <c r="E794" s="1" t="n">
        <v>2</v>
      </c>
      <c r="F794" s="5" t="n">
        <v>0.1</v>
      </c>
      <c r="G794" s="1" t="s">
        <v>34</v>
      </c>
      <c r="H794" s="1" t="s">
        <v>14</v>
      </c>
      <c r="I794" s="1" t="s">
        <v>15</v>
      </c>
      <c r="J794" s="1" t="n">
        <v>3</v>
      </c>
    </row>
    <row r="795" customFormat="false" ht="15" hidden="false" customHeight="false" outlineLevel="0" collapsed="false">
      <c r="A795" s="1" t="s">
        <v>1196</v>
      </c>
      <c r="B795" s="4" t="n">
        <v>45972</v>
      </c>
      <c r="C795" s="1" t="s">
        <v>127</v>
      </c>
      <c r="D795" s="1" t="s">
        <v>985</v>
      </c>
      <c r="E795" s="1" t="n">
        <v>1</v>
      </c>
      <c r="F795" s="5" t="n">
        <v>0</v>
      </c>
      <c r="G795" s="1" t="s">
        <v>19</v>
      </c>
      <c r="H795" s="1" t="s">
        <v>14</v>
      </c>
      <c r="I795" s="1" t="s">
        <v>15</v>
      </c>
      <c r="J795" s="1" t="n">
        <v>1</v>
      </c>
    </row>
    <row r="796" customFormat="false" ht="15" hidden="false" customHeight="false" outlineLevel="0" collapsed="false">
      <c r="A796" s="1" t="s">
        <v>1197</v>
      </c>
      <c r="B796" s="4" t="n">
        <v>45928</v>
      </c>
      <c r="C796" s="1" t="s">
        <v>1198</v>
      </c>
      <c r="D796" s="1" t="s">
        <v>213</v>
      </c>
      <c r="E796" s="1" t="n">
        <v>1</v>
      </c>
      <c r="F796" s="5" t="n">
        <v>0.25</v>
      </c>
      <c r="G796" s="1" t="s">
        <v>19</v>
      </c>
      <c r="H796" s="1" t="s">
        <v>14</v>
      </c>
      <c r="I796" s="1" t="s">
        <v>15</v>
      </c>
      <c r="J796" s="1" t="n">
        <v>5</v>
      </c>
    </row>
    <row r="797" customFormat="false" ht="15" hidden="false" customHeight="false" outlineLevel="0" collapsed="false">
      <c r="A797" s="1" t="s">
        <v>1199</v>
      </c>
      <c r="B797" s="4" t="n">
        <v>45688</v>
      </c>
      <c r="C797" s="1" t="s">
        <v>739</v>
      </c>
      <c r="D797" s="1" t="s">
        <v>148</v>
      </c>
      <c r="E797" s="1" t="n">
        <v>1</v>
      </c>
      <c r="F797" s="5" t="n">
        <v>0.05</v>
      </c>
      <c r="G797" s="1" t="s">
        <v>24</v>
      </c>
      <c r="H797" s="1" t="s">
        <v>14</v>
      </c>
      <c r="I797" s="1" t="s">
        <v>20</v>
      </c>
      <c r="J797" s="1" t="n">
        <v>3</v>
      </c>
    </row>
    <row r="798" customFormat="false" ht="15" hidden="false" customHeight="false" outlineLevel="0" collapsed="false">
      <c r="A798" s="1" t="s">
        <v>1200</v>
      </c>
      <c r="B798" s="4" t="n">
        <v>45672</v>
      </c>
      <c r="C798" s="1" t="s">
        <v>396</v>
      </c>
      <c r="D798" s="1" t="s">
        <v>134</v>
      </c>
      <c r="E798" s="1" t="n">
        <v>2</v>
      </c>
      <c r="F798" s="5" t="n">
        <v>0.05</v>
      </c>
      <c r="G798" s="1" t="s">
        <v>52</v>
      </c>
      <c r="H798" s="1" t="s">
        <v>14</v>
      </c>
      <c r="I798" s="1" t="s">
        <v>15</v>
      </c>
      <c r="J798" s="1" t="n">
        <v>7</v>
      </c>
    </row>
    <row r="799" customFormat="false" ht="15" hidden="false" customHeight="false" outlineLevel="0" collapsed="false">
      <c r="A799" s="1" t="s">
        <v>1201</v>
      </c>
      <c r="B799" s="4" t="n">
        <v>46022</v>
      </c>
      <c r="C799" s="1" t="s">
        <v>691</v>
      </c>
      <c r="D799" s="1" t="s">
        <v>18</v>
      </c>
      <c r="E799" s="1" t="n">
        <v>2</v>
      </c>
      <c r="F799" s="5" t="n">
        <v>0.25</v>
      </c>
      <c r="G799" s="1" t="s">
        <v>52</v>
      </c>
      <c r="H799" s="1" t="s">
        <v>53</v>
      </c>
      <c r="I799" s="1" t="s">
        <v>38</v>
      </c>
      <c r="J799" s="1" t="n">
        <v>6</v>
      </c>
    </row>
    <row r="800" customFormat="false" ht="15" hidden="false" customHeight="false" outlineLevel="0" collapsed="false">
      <c r="A800" s="1" t="s">
        <v>1202</v>
      </c>
      <c r="B800" s="4" t="n">
        <v>45843</v>
      </c>
      <c r="C800" s="1" t="s">
        <v>119</v>
      </c>
      <c r="D800" s="1" t="s">
        <v>44</v>
      </c>
      <c r="E800" s="1" t="n">
        <v>1</v>
      </c>
      <c r="F800" s="5" t="n">
        <v>0.1</v>
      </c>
      <c r="G800" s="1" t="s">
        <v>34</v>
      </c>
      <c r="H800" s="1" t="s">
        <v>45</v>
      </c>
      <c r="I800" s="1" t="s">
        <v>20</v>
      </c>
    </row>
    <row r="801" customFormat="false" ht="15" hidden="false" customHeight="false" outlineLevel="0" collapsed="false">
      <c r="A801" s="1" t="s">
        <v>1203</v>
      </c>
      <c r="B801" s="4" t="n">
        <v>45777</v>
      </c>
      <c r="C801" s="1" t="s">
        <v>633</v>
      </c>
      <c r="D801" s="1" t="s">
        <v>140</v>
      </c>
      <c r="E801" s="1" t="n">
        <v>1</v>
      </c>
      <c r="F801" s="5" t="n">
        <v>0.05</v>
      </c>
      <c r="G801" s="1" t="s">
        <v>34</v>
      </c>
      <c r="H801" s="1" t="s">
        <v>14</v>
      </c>
      <c r="I801" s="1" t="s">
        <v>15</v>
      </c>
      <c r="J801" s="1" t="n">
        <v>7</v>
      </c>
    </row>
    <row r="802" customFormat="false" ht="15" hidden="false" customHeight="false" outlineLevel="0" collapsed="false">
      <c r="A802" s="1" t="s">
        <v>1204</v>
      </c>
      <c r="B802" s="4" t="n">
        <v>45891</v>
      </c>
      <c r="C802" s="1" t="s">
        <v>1067</v>
      </c>
      <c r="D802" s="1" t="s">
        <v>444</v>
      </c>
      <c r="E802" s="1" t="n">
        <v>1</v>
      </c>
      <c r="F802" s="5" t="n">
        <v>0</v>
      </c>
      <c r="G802" s="1" t="s">
        <v>24</v>
      </c>
      <c r="H802" s="1" t="s">
        <v>14</v>
      </c>
      <c r="I802" s="1" t="s">
        <v>38</v>
      </c>
      <c r="J802" s="1" t="n">
        <v>8</v>
      </c>
    </row>
    <row r="803" customFormat="false" ht="15" hidden="false" customHeight="false" outlineLevel="0" collapsed="false">
      <c r="A803" s="1" t="s">
        <v>1205</v>
      </c>
      <c r="B803" s="4" t="n">
        <v>46015</v>
      </c>
      <c r="C803" s="1" t="s">
        <v>306</v>
      </c>
      <c r="D803" s="1" t="s">
        <v>222</v>
      </c>
      <c r="E803" s="1" t="n">
        <v>1</v>
      </c>
      <c r="F803" s="5" t="n">
        <v>0.15</v>
      </c>
      <c r="G803" s="1" t="s">
        <v>71</v>
      </c>
      <c r="H803" s="1" t="s">
        <v>14</v>
      </c>
      <c r="I803" s="1" t="s">
        <v>20</v>
      </c>
      <c r="J803" s="1" t="n">
        <v>3</v>
      </c>
    </row>
    <row r="804" customFormat="false" ht="15" hidden="false" customHeight="false" outlineLevel="0" collapsed="false">
      <c r="A804" s="1" t="s">
        <v>1206</v>
      </c>
      <c r="B804" s="4" t="n">
        <v>45718</v>
      </c>
      <c r="C804" s="1" t="s">
        <v>317</v>
      </c>
      <c r="D804" s="1" t="s">
        <v>213</v>
      </c>
      <c r="E804" s="1" t="n">
        <v>1</v>
      </c>
      <c r="F804" s="5" t="n">
        <v>0.2</v>
      </c>
      <c r="G804" s="1" t="s">
        <v>34</v>
      </c>
      <c r="H804" s="1" t="s">
        <v>45</v>
      </c>
      <c r="I804" s="1" t="s">
        <v>15</v>
      </c>
    </row>
    <row r="805" customFormat="false" ht="15" hidden="false" customHeight="false" outlineLevel="0" collapsed="false">
      <c r="A805" s="1" t="s">
        <v>1207</v>
      </c>
      <c r="B805" s="4" t="n">
        <v>45978</v>
      </c>
      <c r="C805" s="1" t="s">
        <v>615</v>
      </c>
      <c r="D805" s="1" t="s">
        <v>264</v>
      </c>
      <c r="E805" s="1" t="n">
        <v>1</v>
      </c>
      <c r="F805" s="5" t="n">
        <v>0.15</v>
      </c>
      <c r="G805" s="1" t="s">
        <v>13</v>
      </c>
      <c r="H805" s="1" t="s">
        <v>14</v>
      </c>
      <c r="I805" s="1" t="s">
        <v>15</v>
      </c>
      <c r="J805" s="1" t="n">
        <v>8</v>
      </c>
    </row>
    <row r="806" customFormat="false" ht="15" hidden="false" customHeight="false" outlineLevel="0" collapsed="false">
      <c r="A806" s="1" t="s">
        <v>1208</v>
      </c>
      <c r="B806" s="4" t="n">
        <v>45993</v>
      </c>
      <c r="C806" s="1" t="s">
        <v>501</v>
      </c>
      <c r="D806" s="1" t="s">
        <v>341</v>
      </c>
      <c r="E806" s="1" t="n">
        <v>2</v>
      </c>
      <c r="F806" s="5" t="n">
        <v>0</v>
      </c>
      <c r="G806" s="1" t="s">
        <v>52</v>
      </c>
      <c r="H806" s="1" t="s">
        <v>53</v>
      </c>
      <c r="I806" s="1" t="s">
        <v>15</v>
      </c>
      <c r="J806" s="1" t="n">
        <v>7</v>
      </c>
    </row>
    <row r="807" customFormat="false" ht="15" hidden="false" customHeight="false" outlineLevel="0" collapsed="false">
      <c r="A807" s="1" t="s">
        <v>1209</v>
      </c>
      <c r="B807" s="4" t="n">
        <v>45889</v>
      </c>
      <c r="C807" s="1" t="s">
        <v>1210</v>
      </c>
      <c r="D807" s="1" t="s">
        <v>325</v>
      </c>
      <c r="E807" s="1" t="n">
        <v>1</v>
      </c>
      <c r="F807" s="5" t="n">
        <v>0.25</v>
      </c>
      <c r="G807" s="1" t="s">
        <v>71</v>
      </c>
      <c r="H807" s="1" t="s">
        <v>92</v>
      </c>
      <c r="I807" s="1" t="s">
        <v>15</v>
      </c>
    </row>
    <row r="808" customFormat="false" ht="15" hidden="false" customHeight="false" outlineLevel="0" collapsed="false">
      <c r="A808" s="1" t="s">
        <v>1211</v>
      </c>
      <c r="B808" s="4" t="n">
        <v>45970</v>
      </c>
      <c r="C808" s="1" t="s">
        <v>572</v>
      </c>
      <c r="D808" s="1" t="s">
        <v>436</v>
      </c>
      <c r="E808" s="1" t="n">
        <v>1</v>
      </c>
      <c r="F808" s="5" t="n">
        <v>0.1</v>
      </c>
      <c r="G808" s="1" t="s">
        <v>24</v>
      </c>
      <c r="H808" s="1" t="s">
        <v>14</v>
      </c>
      <c r="I808" s="1" t="s">
        <v>20</v>
      </c>
      <c r="J808" s="1" t="n">
        <v>5</v>
      </c>
    </row>
    <row r="809" customFormat="false" ht="15" hidden="false" customHeight="false" outlineLevel="0" collapsed="false">
      <c r="A809" s="1" t="s">
        <v>1212</v>
      </c>
      <c r="B809" s="4" t="n">
        <v>45994</v>
      </c>
      <c r="C809" s="1" t="s">
        <v>278</v>
      </c>
      <c r="D809" s="1" t="s">
        <v>216</v>
      </c>
      <c r="E809" s="1" t="n">
        <v>2</v>
      </c>
      <c r="F809" s="5" t="n">
        <v>0.15</v>
      </c>
      <c r="G809" s="1" t="s">
        <v>19</v>
      </c>
      <c r="H809" s="1" t="s">
        <v>14</v>
      </c>
      <c r="I809" s="1" t="s">
        <v>20</v>
      </c>
      <c r="J809" s="1" t="n">
        <v>5</v>
      </c>
    </row>
    <row r="810" customFormat="false" ht="15" hidden="false" customHeight="false" outlineLevel="0" collapsed="false">
      <c r="A810" s="1" t="s">
        <v>1213</v>
      </c>
      <c r="B810" s="4" t="n">
        <v>45712</v>
      </c>
      <c r="C810" s="1" t="s">
        <v>450</v>
      </c>
      <c r="D810" s="1" t="s">
        <v>554</v>
      </c>
      <c r="E810" s="1" t="n">
        <v>4</v>
      </c>
      <c r="F810" s="5" t="n">
        <v>0.1</v>
      </c>
      <c r="G810" s="1" t="s">
        <v>24</v>
      </c>
      <c r="H810" s="1" t="s">
        <v>14</v>
      </c>
      <c r="I810" s="1" t="s">
        <v>15</v>
      </c>
      <c r="J810" s="1" t="n">
        <v>8</v>
      </c>
    </row>
    <row r="811" customFormat="false" ht="15" hidden="false" customHeight="false" outlineLevel="0" collapsed="false">
      <c r="A811" s="1" t="s">
        <v>1214</v>
      </c>
      <c r="B811" s="4" t="n">
        <v>45660</v>
      </c>
      <c r="C811" s="1" t="s">
        <v>528</v>
      </c>
      <c r="D811" s="1" t="s">
        <v>143</v>
      </c>
      <c r="E811" s="1" t="n">
        <v>2</v>
      </c>
      <c r="F811" s="5" t="n">
        <v>0.15</v>
      </c>
      <c r="G811" s="1" t="s">
        <v>52</v>
      </c>
      <c r="H811" s="1" t="s">
        <v>14</v>
      </c>
      <c r="I811" s="1" t="s">
        <v>15</v>
      </c>
      <c r="J811" s="1" t="n">
        <v>2</v>
      </c>
    </row>
    <row r="812" customFormat="false" ht="15" hidden="false" customHeight="false" outlineLevel="0" collapsed="false">
      <c r="A812" s="1" t="s">
        <v>1215</v>
      </c>
      <c r="B812" s="4" t="n">
        <v>45941</v>
      </c>
      <c r="C812" s="1" t="s">
        <v>440</v>
      </c>
      <c r="D812" s="1" t="s">
        <v>230</v>
      </c>
      <c r="E812" s="1" t="n">
        <v>1</v>
      </c>
      <c r="F812" s="5" t="n">
        <v>0.15</v>
      </c>
      <c r="G812" s="1" t="s">
        <v>71</v>
      </c>
      <c r="H812" s="1" t="s">
        <v>14</v>
      </c>
      <c r="I812" s="1" t="s">
        <v>20</v>
      </c>
      <c r="J812" s="1" t="n">
        <v>2</v>
      </c>
    </row>
    <row r="813" customFormat="false" ht="15" hidden="false" customHeight="false" outlineLevel="0" collapsed="false">
      <c r="A813" s="1" t="s">
        <v>1216</v>
      </c>
      <c r="B813" s="4" t="n">
        <v>45828</v>
      </c>
      <c r="C813" s="1" t="s">
        <v>600</v>
      </c>
      <c r="D813" s="1" t="s">
        <v>197</v>
      </c>
      <c r="E813" s="1" t="n">
        <v>1</v>
      </c>
      <c r="F813" s="5" t="n">
        <v>0.1</v>
      </c>
      <c r="G813" s="1" t="s">
        <v>24</v>
      </c>
      <c r="H813" s="1" t="s">
        <v>45</v>
      </c>
      <c r="I813" s="1" t="s">
        <v>15</v>
      </c>
    </row>
    <row r="814" customFormat="false" ht="15" hidden="false" customHeight="false" outlineLevel="0" collapsed="false">
      <c r="A814" s="1" t="s">
        <v>1217</v>
      </c>
      <c r="B814" s="4" t="n">
        <v>45994</v>
      </c>
      <c r="C814" s="1" t="s">
        <v>1218</v>
      </c>
      <c r="D814" s="1" t="s">
        <v>154</v>
      </c>
      <c r="E814" s="1" t="n">
        <v>1</v>
      </c>
      <c r="F814" s="5" t="n">
        <v>0.1</v>
      </c>
      <c r="G814" s="1" t="s">
        <v>19</v>
      </c>
      <c r="H814" s="1" t="s">
        <v>14</v>
      </c>
      <c r="I814" s="1" t="s">
        <v>15</v>
      </c>
      <c r="J814" s="1" t="n">
        <v>5</v>
      </c>
    </row>
    <row r="815" customFormat="false" ht="15" hidden="false" customHeight="false" outlineLevel="0" collapsed="false">
      <c r="A815" s="1" t="s">
        <v>1219</v>
      </c>
      <c r="B815" s="4" t="n">
        <v>45959</v>
      </c>
      <c r="C815" s="1" t="s">
        <v>357</v>
      </c>
      <c r="D815" s="1" t="s">
        <v>33</v>
      </c>
      <c r="E815" s="1" t="n">
        <v>1</v>
      </c>
      <c r="F815" s="5" t="n">
        <v>0.2</v>
      </c>
      <c r="G815" s="1" t="s">
        <v>34</v>
      </c>
      <c r="H815" s="1" t="s">
        <v>14</v>
      </c>
      <c r="I815" s="1" t="s">
        <v>20</v>
      </c>
      <c r="J815" s="1" t="n">
        <v>8</v>
      </c>
    </row>
    <row r="816" customFormat="false" ht="15" hidden="false" customHeight="false" outlineLevel="0" collapsed="false">
      <c r="A816" s="1" t="s">
        <v>1220</v>
      </c>
      <c r="B816" s="4" t="n">
        <v>45743</v>
      </c>
      <c r="C816" s="1" t="s">
        <v>280</v>
      </c>
      <c r="D816" s="1" t="s">
        <v>176</v>
      </c>
      <c r="E816" s="1" t="n">
        <v>1</v>
      </c>
      <c r="F816" s="5" t="n">
        <v>0.05</v>
      </c>
      <c r="G816" s="1" t="s">
        <v>52</v>
      </c>
      <c r="H816" s="1" t="s">
        <v>14</v>
      </c>
      <c r="I816" s="1" t="s">
        <v>15</v>
      </c>
      <c r="J816" s="1" t="n">
        <v>4</v>
      </c>
    </row>
    <row r="817" customFormat="false" ht="15" hidden="false" customHeight="false" outlineLevel="0" collapsed="false">
      <c r="A817" s="1" t="s">
        <v>1221</v>
      </c>
      <c r="B817" s="4" t="n">
        <v>45697</v>
      </c>
      <c r="C817" s="1" t="s">
        <v>236</v>
      </c>
      <c r="D817" s="1" t="s">
        <v>23</v>
      </c>
      <c r="E817" s="1" t="n">
        <v>1</v>
      </c>
      <c r="F817" s="5" t="n">
        <v>0.1</v>
      </c>
      <c r="G817" s="1" t="s">
        <v>24</v>
      </c>
      <c r="H817" s="1" t="s">
        <v>92</v>
      </c>
      <c r="I817" s="1" t="s">
        <v>15</v>
      </c>
    </row>
    <row r="818" customFormat="false" ht="15" hidden="false" customHeight="false" outlineLevel="0" collapsed="false">
      <c r="A818" s="1" t="s">
        <v>1222</v>
      </c>
      <c r="B818" s="4" t="n">
        <v>45873</v>
      </c>
      <c r="C818" s="1" t="s">
        <v>747</v>
      </c>
      <c r="D818" s="1" t="s">
        <v>270</v>
      </c>
      <c r="E818" s="1" t="n">
        <v>2</v>
      </c>
      <c r="F818" s="5" t="n">
        <v>0.1</v>
      </c>
      <c r="G818" s="1" t="s">
        <v>19</v>
      </c>
      <c r="H818" s="1" t="s">
        <v>14</v>
      </c>
      <c r="I818" s="1" t="s">
        <v>20</v>
      </c>
      <c r="J818" s="1" t="n">
        <v>4</v>
      </c>
    </row>
    <row r="819" customFormat="false" ht="15" hidden="false" customHeight="false" outlineLevel="0" collapsed="false">
      <c r="A819" s="1" t="s">
        <v>1223</v>
      </c>
      <c r="B819" s="4" t="n">
        <v>45807</v>
      </c>
      <c r="C819" s="1" t="s">
        <v>1166</v>
      </c>
      <c r="D819" s="1" t="s">
        <v>253</v>
      </c>
      <c r="E819" s="1" t="n">
        <v>1</v>
      </c>
      <c r="F819" s="5" t="n">
        <v>0</v>
      </c>
      <c r="G819" s="1" t="s">
        <v>19</v>
      </c>
      <c r="H819" s="1" t="s">
        <v>14</v>
      </c>
      <c r="I819" s="1" t="s">
        <v>38</v>
      </c>
      <c r="J819" s="1" t="n">
        <v>5</v>
      </c>
    </row>
    <row r="820" customFormat="false" ht="15" hidden="false" customHeight="false" outlineLevel="0" collapsed="false">
      <c r="A820" s="1" t="s">
        <v>1224</v>
      </c>
      <c r="B820" s="4" t="n">
        <v>45736</v>
      </c>
      <c r="C820" s="1" t="s">
        <v>647</v>
      </c>
      <c r="D820" s="1" t="s">
        <v>37</v>
      </c>
      <c r="E820" s="1" t="n">
        <v>2</v>
      </c>
      <c r="F820" s="5" t="n">
        <v>0.05</v>
      </c>
      <c r="G820" s="1" t="s">
        <v>24</v>
      </c>
      <c r="H820" s="1" t="s">
        <v>14</v>
      </c>
      <c r="I820" s="1" t="s">
        <v>38</v>
      </c>
      <c r="J820" s="1" t="n">
        <v>5</v>
      </c>
    </row>
    <row r="821" customFormat="false" ht="15" hidden="false" customHeight="false" outlineLevel="0" collapsed="false">
      <c r="A821" s="1" t="s">
        <v>1225</v>
      </c>
      <c r="B821" s="4" t="n">
        <v>45783</v>
      </c>
      <c r="C821" s="1" t="s">
        <v>572</v>
      </c>
      <c r="D821" s="1" t="s">
        <v>103</v>
      </c>
      <c r="E821" s="1" t="n">
        <v>2</v>
      </c>
      <c r="F821" s="5" t="n">
        <v>0.15</v>
      </c>
      <c r="G821" s="1" t="s">
        <v>34</v>
      </c>
      <c r="H821" s="1" t="s">
        <v>14</v>
      </c>
      <c r="I821" s="1" t="s">
        <v>38</v>
      </c>
      <c r="J821" s="1" t="n">
        <v>6</v>
      </c>
    </row>
    <row r="822" customFormat="false" ht="15" hidden="false" customHeight="false" outlineLevel="0" collapsed="false">
      <c r="A822" s="1" t="s">
        <v>1226</v>
      </c>
      <c r="B822" s="4" t="n">
        <v>45688</v>
      </c>
      <c r="C822" s="1" t="s">
        <v>1227</v>
      </c>
      <c r="D822" s="1" t="s">
        <v>77</v>
      </c>
      <c r="E822" s="1" t="n">
        <v>2</v>
      </c>
      <c r="F822" s="5" t="n">
        <v>0</v>
      </c>
      <c r="G822" s="1" t="s">
        <v>52</v>
      </c>
      <c r="H822" s="1" t="s">
        <v>14</v>
      </c>
      <c r="I822" s="1" t="s">
        <v>20</v>
      </c>
      <c r="J822" s="1" t="n">
        <v>6</v>
      </c>
    </row>
    <row r="823" customFormat="false" ht="15" hidden="false" customHeight="false" outlineLevel="0" collapsed="false">
      <c r="A823" s="1" t="s">
        <v>1228</v>
      </c>
      <c r="B823" s="4" t="n">
        <v>45766</v>
      </c>
      <c r="C823" s="1" t="s">
        <v>1229</v>
      </c>
      <c r="D823" s="1" t="s">
        <v>325</v>
      </c>
      <c r="E823" s="1" t="n">
        <v>3</v>
      </c>
      <c r="F823" s="5" t="n">
        <v>0.05</v>
      </c>
      <c r="G823" s="1" t="s">
        <v>34</v>
      </c>
      <c r="H823" s="1" t="s">
        <v>14</v>
      </c>
      <c r="I823" s="1" t="s">
        <v>38</v>
      </c>
      <c r="J823" s="1" t="n">
        <v>4</v>
      </c>
    </row>
    <row r="824" customFormat="false" ht="15" hidden="false" customHeight="false" outlineLevel="0" collapsed="false">
      <c r="A824" s="1" t="s">
        <v>1230</v>
      </c>
      <c r="B824" s="4" t="n">
        <v>45963</v>
      </c>
      <c r="C824" s="1" t="s">
        <v>314</v>
      </c>
      <c r="D824" s="1" t="s">
        <v>446</v>
      </c>
      <c r="E824" s="1" t="n">
        <v>4</v>
      </c>
      <c r="F824" s="5" t="n">
        <v>0.05</v>
      </c>
      <c r="G824" s="1" t="s">
        <v>24</v>
      </c>
      <c r="H824" s="1" t="s">
        <v>53</v>
      </c>
      <c r="I824" s="1" t="s">
        <v>15</v>
      </c>
      <c r="J824" s="1" t="n">
        <v>7</v>
      </c>
    </row>
    <row r="825" customFormat="false" ht="15" hidden="false" customHeight="false" outlineLevel="0" collapsed="false">
      <c r="A825" s="1" t="s">
        <v>1231</v>
      </c>
      <c r="B825" s="4" t="n">
        <v>45978</v>
      </c>
      <c r="C825" s="1" t="s">
        <v>188</v>
      </c>
      <c r="D825" s="1" t="s">
        <v>264</v>
      </c>
      <c r="E825" s="1" t="n">
        <v>1</v>
      </c>
      <c r="F825" s="5" t="n">
        <v>0.15</v>
      </c>
      <c r="G825" s="1" t="s">
        <v>34</v>
      </c>
      <c r="H825" s="1" t="s">
        <v>14</v>
      </c>
      <c r="I825" s="1" t="s">
        <v>15</v>
      </c>
      <c r="J825" s="1" t="n">
        <v>6</v>
      </c>
    </row>
    <row r="826" customFormat="false" ht="15" hidden="false" customHeight="false" outlineLevel="0" collapsed="false">
      <c r="A826" s="1" t="s">
        <v>1232</v>
      </c>
      <c r="B826" s="4" t="n">
        <v>45942</v>
      </c>
      <c r="C826" s="1" t="s">
        <v>1233</v>
      </c>
      <c r="D826" s="1" t="s">
        <v>286</v>
      </c>
      <c r="E826" s="1" t="n">
        <v>2</v>
      </c>
      <c r="F826" s="5" t="n">
        <v>0.1</v>
      </c>
      <c r="G826" s="1" t="s">
        <v>52</v>
      </c>
      <c r="H826" s="1" t="s">
        <v>92</v>
      </c>
      <c r="I826" s="1" t="s">
        <v>15</v>
      </c>
    </row>
    <row r="827" customFormat="false" ht="15" hidden="false" customHeight="false" outlineLevel="0" collapsed="false">
      <c r="A827" s="1" t="s">
        <v>1234</v>
      </c>
      <c r="B827" s="4" t="n">
        <v>45859</v>
      </c>
      <c r="C827" s="1" t="s">
        <v>479</v>
      </c>
      <c r="D827" s="1" t="s">
        <v>315</v>
      </c>
      <c r="E827" s="1" t="n">
        <v>1</v>
      </c>
      <c r="F827" s="5" t="n">
        <v>0</v>
      </c>
      <c r="G827" s="1" t="s">
        <v>19</v>
      </c>
      <c r="H827" s="1" t="s">
        <v>78</v>
      </c>
      <c r="I827" s="1" t="s">
        <v>38</v>
      </c>
      <c r="J827" s="1" t="n">
        <v>7</v>
      </c>
    </row>
    <row r="828" customFormat="false" ht="15" hidden="false" customHeight="false" outlineLevel="0" collapsed="false">
      <c r="A828" s="1" t="s">
        <v>1235</v>
      </c>
      <c r="B828" s="4" t="n">
        <v>46019</v>
      </c>
      <c r="C828" s="1" t="s">
        <v>966</v>
      </c>
      <c r="D828" s="1" t="s">
        <v>27</v>
      </c>
      <c r="E828" s="1" t="n">
        <v>1</v>
      </c>
      <c r="F828" s="5" t="n">
        <v>0.2</v>
      </c>
      <c r="G828" s="1" t="s">
        <v>52</v>
      </c>
      <c r="H828" s="1" t="s">
        <v>14</v>
      </c>
      <c r="I828" s="1" t="s">
        <v>15</v>
      </c>
      <c r="J828" s="1" t="n">
        <v>6</v>
      </c>
    </row>
    <row r="829" customFormat="false" ht="15" hidden="false" customHeight="false" outlineLevel="0" collapsed="false">
      <c r="A829" s="1" t="s">
        <v>1236</v>
      </c>
      <c r="B829" s="4" t="n">
        <v>45962</v>
      </c>
      <c r="C829" s="1" t="s">
        <v>229</v>
      </c>
      <c r="D829" s="1" t="s">
        <v>436</v>
      </c>
      <c r="E829" s="1" t="n">
        <v>4</v>
      </c>
      <c r="F829" s="5" t="n">
        <v>0.05</v>
      </c>
      <c r="G829" s="1" t="s">
        <v>24</v>
      </c>
      <c r="H829" s="1" t="s">
        <v>14</v>
      </c>
      <c r="I829" s="1" t="s">
        <v>20</v>
      </c>
      <c r="J829" s="1" t="n">
        <v>7</v>
      </c>
    </row>
    <row r="830" customFormat="false" ht="15" hidden="false" customHeight="false" outlineLevel="0" collapsed="false">
      <c r="A830" s="1" t="s">
        <v>1237</v>
      </c>
      <c r="B830" s="4" t="n">
        <v>45699</v>
      </c>
      <c r="C830" s="1" t="s">
        <v>768</v>
      </c>
      <c r="D830" s="1" t="s">
        <v>23</v>
      </c>
      <c r="E830" s="1" t="n">
        <v>1</v>
      </c>
      <c r="F830" s="5" t="n">
        <v>0.1</v>
      </c>
      <c r="G830" s="1" t="s">
        <v>52</v>
      </c>
      <c r="H830" s="1" t="s">
        <v>92</v>
      </c>
      <c r="I830" s="1" t="s">
        <v>15</v>
      </c>
    </row>
    <row r="831" customFormat="false" ht="15" hidden="false" customHeight="false" outlineLevel="0" collapsed="false">
      <c r="A831" s="1" t="s">
        <v>1238</v>
      </c>
      <c r="B831" s="4" t="n">
        <v>45711</v>
      </c>
      <c r="C831" s="1" t="s">
        <v>215</v>
      </c>
      <c r="D831" s="1" t="s">
        <v>84</v>
      </c>
      <c r="E831" s="1" t="n">
        <v>1</v>
      </c>
      <c r="F831" s="5" t="n">
        <v>0.2</v>
      </c>
      <c r="G831" s="1" t="s">
        <v>34</v>
      </c>
      <c r="H831" s="1" t="s">
        <v>53</v>
      </c>
      <c r="I831" s="1" t="s">
        <v>38</v>
      </c>
      <c r="J831" s="1" t="n">
        <v>5</v>
      </c>
    </row>
    <row r="832" customFormat="false" ht="15" hidden="false" customHeight="false" outlineLevel="0" collapsed="false">
      <c r="A832" s="1" t="s">
        <v>1239</v>
      </c>
      <c r="B832" s="4" t="n">
        <v>46004</v>
      </c>
      <c r="C832" s="1" t="s">
        <v>302</v>
      </c>
      <c r="D832" s="1" t="s">
        <v>399</v>
      </c>
      <c r="E832" s="1" t="n">
        <v>1</v>
      </c>
      <c r="F832" s="5" t="n">
        <v>0.1</v>
      </c>
      <c r="G832" s="1" t="s">
        <v>19</v>
      </c>
      <c r="H832" s="1" t="s">
        <v>14</v>
      </c>
      <c r="I832" s="1" t="s">
        <v>20</v>
      </c>
      <c r="J832" s="1" t="n">
        <v>3</v>
      </c>
    </row>
    <row r="833" customFormat="false" ht="15" hidden="false" customHeight="false" outlineLevel="0" collapsed="false">
      <c r="A833" s="1" t="s">
        <v>1240</v>
      </c>
      <c r="B833" s="4" t="n">
        <v>45751</v>
      </c>
      <c r="C833" s="1" t="s">
        <v>188</v>
      </c>
      <c r="D833" s="1" t="s">
        <v>67</v>
      </c>
      <c r="E833" s="1" t="n">
        <v>5</v>
      </c>
      <c r="F833" s="5" t="n">
        <v>0.1</v>
      </c>
      <c r="G833" s="1" t="s">
        <v>24</v>
      </c>
      <c r="H833" s="1" t="s">
        <v>14</v>
      </c>
      <c r="I833" s="1" t="s">
        <v>38</v>
      </c>
      <c r="J833" s="1" t="n">
        <v>3</v>
      </c>
    </row>
    <row r="834" customFormat="false" ht="15" hidden="false" customHeight="false" outlineLevel="0" collapsed="false">
      <c r="A834" s="1" t="s">
        <v>1241</v>
      </c>
      <c r="B834" s="4" t="n">
        <v>45980</v>
      </c>
      <c r="C834" s="1" t="s">
        <v>839</v>
      </c>
      <c r="D834" s="1" t="s">
        <v>429</v>
      </c>
      <c r="E834" s="1" t="n">
        <v>1</v>
      </c>
      <c r="F834" s="5" t="n">
        <v>0.05</v>
      </c>
      <c r="G834" s="1" t="s">
        <v>24</v>
      </c>
      <c r="H834" s="1" t="s">
        <v>14</v>
      </c>
      <c r="I834" s="1" t="s">
        <v>20</v>
      </c>
      <c r="J834" s="1" t="n">
        <v>5</v>
      </c>
    </row>
    <row r="835" customFormat="false" ht="15" hidden="false" customHeight="false" outlineLevel="0" collapsed="false">
      <c r="A835" s="1" t="s">
        <v>1242</v>
      </c>
      <c r="B835" s="4" t="n">
        <v>45949</v>
      </c>
      <c r="C835" s="1" t="s">
        <v>1243</v>
      </c>
      <c r="D835" s="1" t="s">
        <v>125</v>
      </c>
      <c r="E835" s="1" t="n">
        <v>1</v>
      </c>
      <c r="F835" s="5" t="n">
        <v>0.25</v>
      </c>
      <c r="G835" s="1" t="s">
        <v>71</v>
      </c>
      <c r="H835" s="1" t="s">
        <v>14</v>
      </c>
      <c r="I835" s="1" t="s">
        <v>15</v>
      </c>
      <c r="J835" s="1" t="n">
        <v>1</v>
      </c>
    </row>
    <row r="836" customFormat="false" ht="15" hidden="false" customHeight="false" outlineLevel="0" collapsed="false">
      <c r="A836" s="1" t="s">
        <v>1244</v>
      </c>
      <c r="B836" s="4" t="n">
        <v>45932</v>
      </c>
      <c r="C836" s="1" t="s">
        <v>312</v>
      </c>
      <c r="D836" s="1" t="s">
        <v>112</v>
      </c>
      <c r="E836" s="1" t="n">
        <v>2</v>
      </c>
      <c r="F836" s="5" t="n">
        <v>0</v>
      </c>
      <c r="G836" s="1" t="s">
        <v>52</v>
      </c>
      <c r="H836" s="1" t="s">
        <v>14</v>
      </c>
      <c r="I836" s="1" t="s">
        <v>20</v>
      </c>
      <c r="J836" s="1" t="n">
        <v>2</v>
      </c>
    </row>
    <row r="837" customFormat="false" ht="15" hidden="false" customHeight="false" outlineLevel="0" collapsed="false">
      <c r="A837" s="1" t="s">
        <v>1245</v>
      </c>
      <c r="B837" s="4" t="n">
        <v>45692</v>
      </c>
      <c r="C837" s="1" t="s">
        <v>314</v>
      </c>
      <c r="D837" s="1" t="s">
        <v>487</v>
      </c>
      <c r="E837" s="1" t="n">
        <v>1</v>
      </c>
      <c r="F837" s="5" t="n">
        <v>0.05</v>
      </c>
      <c r="G837" s="1" t="s">
        <v>24</v>
      </c>
      <c r="H837" s="1" t="s">
        <v>78</v>
      </c>
      <c r="I837" s="1" t="s">
        <v>38</v>
      </c>
      <c r="J837" s="1" t="n">
        <v>7</v>
      </c>
    </row>
    <row r="838" customFormat="false" ht="15" hidden="false" customHeight="false" outlineLevel="0" collapsed="false">
      <c r="A838" s="1" t="s">
        <v>1246</v>
      </c>
      <c r="B838" s="4" t="n">
        <v>45981</v>
      </c>
      <c r="C838" s="1" t="s">
        <v>777</v>
      </c>
      <c r="D838" s="1" t="s">
        <v>171</v>
      </c>
      <c r="E838" s="1" t="n">
        <v>3</v>
      </c>
      <c r="F838" s="5" t="n">
        <v>0.15</v>
      </c>
      <c r="G838" s="1" t="s">
        <v>19</v>
      </c>
      <c r="H838" s="1" t="s">
        <v>14</v>
      </c>
      <c r="I838" s="1" t="s">
        <v>38</v>
      </c>
      <c r="J838" s="1" t="n">
        <v>2</v>
      </c>
    </row>
    <row r="839" customFormat="false" ht="15" hidden="false" customHeight="false" outlineLevel="0" collapsed="false">
      <c r="A839" s="1" t="s">
        <v>1247</v>
      </c>
      <c r="B839" s="4" t="n">
        <v>45937</v>
      </c>
      <c r="C839" s="1" t="s">
        <v>954</v>
      </c>
      <c r="D839" s="1" t="s">
        <v>81</v>
      </c>
      <c r="E839" s="1" t="n">
        <v>2</v>
      </c>
      <c r="F839" s="5" t="n">
        <v>0.2</v>
      </c>
      <c r="G839" s="1" t="s">
        <v>52</v>
      </c>
      <c r="H839" s="1" t="s">
        <v>53</v>
      </c>
      <c r="I839" s="1" t="s">
        <v>15</v>
      </c>
      <c r="J839" s="1" t="n">
        <v>4</v>
      </c>
    </row>
    <row r="840" customFormat="false" ht="15" hidden="false" customHeight="false" outlineLevel="0" collapsed="false">
      <c r="A840" s="1" t="s">
        <v>1248</v>
      </c>
      <c r="B840" s="4" t="n">
        <v>45809</v>
      </c>
      <c r="C840" s="1" t="s">
        <v>1072</v>
      </c>
      <c r="D840" s="1" t="s">
        <v>328</v>
      </c>
      <c r="E840" s="1" t="n">
        <v>1</v>
      </c>
      <c r="F840" s="5" t="n">
        <v>0</v>
      </c>
      <c r="G840" s="1" t="s">
        <v>34</v>
      </c>
      <c r="H840" s="1" t="s">
        <v>14</v>
      </c>
      <c r="I840" s="1" t="s">
        <v>20</v>
      </c>
      <c r="J840" s="1" t="n">
        <v>2</v>
      </c>
    </row>
    <row r="841" customFormat="false" ht="15" hidden="false" customHeight="false" outlineLevel="0" collapsed="false">
      <c r="A841" s="1" t="s">
        <v>1249</v>
      </c>
      <c r="B841" s="4" t="n">
        <v>45888</v>
      </c>
      <c r="C841" s="1" t="s">
        <v>1227</v>
      </c>
      <c r="D841" s="1" t="s">
        <v>165</v>
      </c>
      <c r="E841" s="1" t="n">
        <v>1</v>
      </c>
      <c r="F841" s="5" t="n">
        <v>0.05</v>
      </c>
      <c r="G841" s="1" t="s">
        <v>24</v>
      </c>
      <c r="H841" s="1" t="s">
        <v>45</v>
      </c>
      <c r="I841" s="1" t="s">
        <v>15</v>
      </c>
    </row>
    <row r="842" customFormat="false" ht="15" hidden="false" customHeight="false" outlineLevel="0" collapsed="false">
      <c r="A842" s="1" t="s">
        <v>1250</v>
      </c>
      <c r="B842" s="4" t="n">
        <v>45693</v>
      </c>
      <c r="C842" s="1" t="s">
        <v>713</v>
      </c>
      <c r="D842" s="1" t="s">
        <v>125</v>
      </c>
      <c r="E842" s="1" t="n">
        <v>2</v>
      </c>
      <c r="F842" s="5" t="n">
        <v>0.2</v>
      </c>
      <c r="G842" s="1" t="s">
        <v>52</v>
      </c>
      <c r="H842" s="1" t="s">
        <v>14</v>
      </c>
      <c r="I842" s="1" t="s">
        <v>20</v>
      </c>
      <c r="J842" s="1" t="n">
        <v>8</v>
      </c>
    </row>
    <row r="843" customFormat="false" ht="15" hidden="false" customHeight="false" outlineLevel="0" collapsed="false">
      <c r="A843" s="1" t="s">
        <v>1251</v>
      </c>
      <c r="B843" s="4" t="n">
        <v>45686</v>
      </c>
      <c r="C843" s="1" t="s">
        <v>111</v>
      </c>
      <c r="D843" s="1" t="s">
        <v>462</v>
      </c>
      <c r="E843" s="1" t="n">
        <v>1</v>
      </c>
      <c r="F843" s="5" t="n">
        <v>0.25</v>
      </c>
      <c r="G843" s="1" t="s">
        <v>19</v>
      </c>
      <c r="H843" s="1" t="s">
        <v>53</v>
      </c>
      <c r="I843" s="1" t="s">
        <v>38</v>
      </c>
      <c r="J843" s="1" t="n">
        <v>8</v>
      </c>
    </row>
    <row r="844" customFormat="false" ht="15" hidden="false" customHeight="false" outlineLevel="0" collapsed="false">
      <c r="A844" s="1" t="s">
        <v>1252</v>
      </c>
      <c r="B844" s="4" t="n">
        <v>46017</v>
      </c>
      <c r="C844" s="1" t="s">
        <v>908</v>
      </c>
      <c r="D844" s="1" t="s">
        <v>70</v>
      </c>
      <c r="E844" s="1" t="n">
        <v>3</v>
      </c>
      <c r="F844" s="5" t="n">
        <v>0.05</v>
      </c>
      <c r="G844" s="1" t="s">
        <v>52</v>
      </c>
      <c r="H844" s="1" t="s">
        <v>45</v>
      </c>
      <c r="I844" s="1" t="s">
        <v>15</v>
      </c>
    </row>
    <row r="845" customFormat="false" ht="15" hidden="false" customHeight="false" outlineLevel="0" collapsed="false">
      <c r="A845" s="1" t="s">
        <v>1253</v>
      </c>
      <c r="B845" s="4" t="n">
        <v>46005</v>
      </c>
      <c r="C845" s="1" t="s">
        <v>142</v>
      </c>
      <c r="D845" s="1" t="s">
        <v>134</v>
      </c>
      <c r="E845" s="1" t="n">
        <v>2</v>
      </c>
      <c r="F845" s="5" t="n">
        <v>0.2</v>
      </c>
      <c r="G845" s="1" t="s">
        <v>52</v>
      </c>
      <c r="H845" s="1" t="s">
        <v>14</v>
      </c>
      <c r="I845" s="1" t="s">
        <v>20</v>
      </c>
      <c r="J845" s="1" t="n">
        <v>8</v>
      </c>
    </row>
    <row r="846" customFormat="false" ht="15" hidden="false" customHeight="false" outlineLevel="0" collapsed="false">
      <c r="A846" s="1" t="s">
        <v>1254</v>
      </c>
      <c r="B846" s="4" t="n">
        <v>45833</v>
      </c>
      <c r="C846" s="1" t="s">
        <v>530</v>
      </c>
      <c r="D846" s="1" t="s">
        <v>137</v>
      </c>
      <c r="E846" s="1" t="n">
        <v>1</v>
      </c>
      <c r="F846" s="5" t="n">
        <v>0.05</v>
      </c>
      <c r="G846" s="1" t="s">
        <v>19</v>
      </c>
      <c r="H846" s="1" t="s">
        <v>14</v>
      </c>
      <c r="I846" s="1" t="s">
        <v>15</v>
      </c>
      <c r="J846" s="1" t="n">
        <v>3</v>
      </c>
    </row>
    <row r="847" customFormat="false" ht="15" hidden="false" customHeight="false" outlineLevel="0" collapsed="false">
      <c r="A847" s="1" t="s">
        <v>1255</v>
      </c>
      <c r="B847" s="4" t="n">
        <v>45968</v>
      </c>
      <c r="C847" s="1" t="s">
        <v>1233</v>
      </c>
      <c r="D847" s="1" t="s">
        <v>286</v>
      </c>
      <c r="E847" s="1" t="n">
        <v>4</v>
      </c>
      <c r="F847" s="5" t="n">
        <v>0</v>
      </c>
      <c r="G847" s="1" t="s">
        <v>34</v>
      </c>
      <c r="H847" s="1" t="s">
        <v>14</v>
      </c>
      <c r="I847" s="1" t="s">
        <v>20</v>
      </c>
      <c r="J847" s="1" t="n">
        <v>3</v>
      </c>
    </row>
    <row r="848" customFormat="false" ht="15" hidden="false" customHeight="false" outlineLevel="0" collapsed="false">
      <c r="A848" s="1" t="s">
        <v>1256</v>
      </c>
      <c r="B848" s="4" t="n">
        <v>46014</v>
      </c>
      <c r="C848" s="1" t="s">
        <v>1019</v>
      </c>
      <c r="D848" s="1" t="s">
        <v>137</v>
      </c>
      <c r="E848" s="1" t="n">
        <v>2</v>
      </c>
      <c r="F848" s="5" t="n">
        <v>0.25</v>
      </c>
      <c r="G848" s="1" t="s">
        <v>52</v>
      </c>
      <c r="H848" s="1" t="s">
        <v>14</v>
      </c>
      <c r="I848" s="1" t="s">
        <v>15</v>
      </c>
      <c r="J848" s="1" t="n">
        <v>8</v>
      </c>
    </row>
    <row r="849" customFormat="false" ht="15" hidden="false" customHeight="false" outlineLevel="0" collapsed="false">
      <c r="A849" s="1" t="s">
        <v>1257</v>
      </c>
      <c r="B849" s="4" t="n">
        <v>45910</v>
      </c>
      <c r="C849" s="1" t="s">
        <v>882</v>
      </c>
      <c r="D849" s="1" t="s">
        <v>130</v>
      </c>
      <c r="E849" s="1" t="n">
        <v>1</v>
      </c>
      <c r="F849" s="5" t="n">
        <v>0.1</v>
      </c>
      <c r="G849" s="1" t="s">
        <v>34</v>
      </c>
      <c r="H849" s="1" t="s">
        <v>53</v>
      </c>
      <c r="I849" s="1" t="s">
        <v>15</v>
      </c>
      <c r="J849" s="1" t="n">
        <v>1</v>
      </c>
    </row>
    <row r="850" customFormat="false" ht="15" hidden="false" customHeight="false" outlineLevel="0" collapsed="false">
      <c r="A850" s="1" t="s">
        <v>1258</v>
      </c>
      <c r="B850" s="4" t="n">
        <v>45799</v>
      </c>
      <c r="C850" s="1" t="s">
        <v>357</v>
      </c>
      <c r="D850" s="1" t="s">
        <v>51</v>
      </c>
      <c r="E850" s="1" t="n">
        <v>1</v>
      </c>
      <c r="F850" s="5" t="n">
        <v>0.15</v>
      </c>
      <c r="G850" s="1" t="s">
        <v>52</v>
      </c>
      <c r="H850" s="1" t="s">
        <v>14</v>
      </c>
      <c r="I850" s="1" t="s">
        <v>15</v>
      </c>
      <c r="J850" s="1" t="n">
        <v>7</v>
      </c>
    </row>
    <row r="851" customFormat="false" ht="15" hidden="false" customHeight="false" outlineLevel="0" collapsed="false">
      <c r="A851" s="1" t="s">
        <v>1259</v>
      </c>
      <c r="B851" s="4" t="n">
        <v>45759</v>
      </c>
      <c r="C851" s="1" t="s">
        <v>688</v>
      </c>
      <c r="D851" s="1" t="s">
        <v>255</v>
      </c>
      <c r="E851" s="1" t="n">
        <v>1</v>
      </c>
      <c r="F851" s="5" t="n">
        <v>0.15</v>
      </c>
      <c r="G851" s="1" t="s">
        <v>24</v>
      </c>
      <c r="H851" s="1" t="s">
        <v>14</v>
      </c>
      <c r="I851" s="1" t="s">
        <v>15</v>
      </c>
      <c r="J851" s="1" t="n">
        <v>7</v>
      </c>
    </row>
    <row r="852" customFormat="false" ht="15" hidden="false" customHeight="false" outlineLevel="0" collapsed="false">
      <c r="A852" s="1" t="s">
        <v>1260</v>
      </c>
      <c r="B852" s="4" t="n">
        <v>45995</v>
      </c>
      <c r="C852" s="1" t="s">
        <v>747</v>
      </c>
      <c r="D852" s="1" t="s">
        <v>328</v>
      </c>
      <c r="E852" s="1" t="n">
        <v>1</v>
      </c>
      <c r="F852" s="5" t="n">
        <v>0.05</v>
      </c>
      <c r="G852" s="1" t="s">
        <v>19</v>
      </c>
      <c r="H852" s="1" t="s">
        <v>14</v>
      </c>
      <c r="I852" s="1" t="s">
        <v>38</v>
      </c>
      <c r="J852" s="1" t="n">
        <v>1</v>
      </c>
    </row>
    <row r="853" customFormat="false" ht="15" hidden="false" customHeight="false" outlineLevel="0" collapsed="false">
      <c r="A853" s="1" t="s">
        <v>1261</v>
      </c>
      <c r="B853" s="4" t="n">
        <v>45765</v>
      </c>
      <c r="C853" s="1" t="s">
        <v>319</v>
      </c>
      <c r="D853" s="1" t="s">
        <v>77</v>
      </c>
      <c r="E853" s="1" t="n">
        <v>2</v>
      </c>
      <c r="F853" s="5" t="n">
        <v>0.15</v>
      </c>
      <c r="G853" s="1" t="s">
        <v>52</v>
      </c>
      <c r="H853" s="1" t="s">
        <v>53</v>
      </c>
      <c r="I853" s="1" t="s">
        <v>20</v>
      </c>
      <c r="J853" s="1" t="n">
        <v>4</v>
      </c>
    </row>
    <row r="854" customFormat="false" ht="15" hidden="false" customHeight="false" outlineLevel="0" collapsed="false">
      <c r="A854" s="1" t="s">
        <v>1262</v>
      </c>
      <c r="B854" s="4" t="n">
        <v>45729</v>
      </c>
      <c r="C854" s="1" t="s">
        <v>459</v>
      </c>
      <c r="D854" s="1" t="s">
        <v>220</v>
      </c>
      <c r="E854" s="1" t="n">
        <v>3</v>
      </c>
      <c r="F854" s="5" t="n">
        <v>0.05</v>
      </c>
      <c r="G854" s="1" t="s">
        <v>52</v>
      </c>
      <c r="H854" s="1" t="s">
        <v>53</v>
      </c>
      <c r="I854" s="1" t="s">
        <v>15</v>
      </c>
      <c r="J854" s="1" t="n">
        <v>7</v>
      </c>
    </row>
    <row r="855" customFormat="false" ht="15" hidden="false" customHeight="false" outlineLevel="0" collapsed="false">
      <c r="A855" s="1" t="s">
        <v>1263</v>
      </c>
      <c r="B855" s="4" t="n">
        <v>45872</v>
      </c>
      <c r="C855" s="1" t="s">
        <v>105</v>
      </c>
      <c r="D855" s="1" t="s">
        <v>176</v>
      </c>
      <c r="E855" s="1" t="n">
        <v>2</v>
      </c>
      <c r="F855" s="5" t="n">
        <v>0</v>
      </c>
      <c r="G855" s="1" t="s">
        <v>52</v>
      </c>
      <c r="H855" s="1" t="s">
        <v>45</v>
      </c>
      <c r="I855" s="1" t="s">
        <v>20</v>
      </c>
    </row>
    <row r="856" customFormat="false" ht="15" hidden="false" customHeight="false" outlineLevel="0" collapsed="false">
      <c r="A856" s="1" t="s">
        <v>1264</v>
      </c>
      <c r="B856" s="4" t="n">
        <v>45806</v>
      </c>
      <c r="C856" s="1" t="s">
        <v>327</v>
      </c>
      <c r="D856" s="1" t="s">
        <v>237</v>
      </c>
      <c r="E856" s="1" t="n">
        <v>3</v>
      </c>
      <c r="F856" s="5" t="n">
        <v>0.15</v>
      </c>
      <c r="G856" s="1" t="s">
        <v>13</v>
      </c>
      <c r="H856" s="1" t="s">
        <v>14</v>
      </c>
      <c r="I856" s="1" t="s">
        <v>20</v>
      </c>
      <c r="J856" s="1" t="n">
        <v>5</v>
      </c>
    </row>
    <row r="857" customFormat="false" ht="15" hidden="false" customHeight="false" outlineLevel="0" collapsed="false">
      <c r="A857" s="1" t="s">
        <v>1265</v>
      </c>
      <c r="B857" s="4" t="n">
        <v>45916</v>
      </c>
      <c r="C857" s="1" t="s">
        <v>164</v>
      </c>
      <c r="D857" s="1" t="s">
        <v>112</v>
      </c>
      <c r="E857" s="1" t="n">
        <v>1</v>
      </c>
      <c r="F857" s="5" t="n">
        <v>0.25</v>
      </c>
      <c r="G857" s="1" t="s">
        <v>34</v>
      </c>
      <c r="H857" s="1" t="s">
        <v>92</v>
      </c>
      <c r="I857" s="1" t="s">
        <v>15</v>
      </c>
    </row>
    <row r="858" customFormat="false" ht="15" hidden="false" customHeight="false" outlineLevel="0" collapsed="false">
      <c r="A858" s="1" t="s">
        <v>1266</v>
      </c>
      <c r="B858" s="4" t="n">
        <v>45835</v>
      </c>
      <c r="C858" s="1" t="s">
        <v>83</v>
      </c>
      <c r="D858" s="1" t="s">
        <v>537</v>
      </c>
      <c r="E858" s="1" t="n">
        <v>1</v>
      </c>
      <c r="F858" s="5" t="n">
        <v>0.15</v>
      </c>
      <c r="G858" s="1" t="s">
        <v>52</v>
      </c>
      <c r="H858" s="1" t="s">
        <v>14</v>
      </c>
      <c r="I858" s="1" t="s">
        <v>20</v>
      </c>
      <c r="J858" s="1" t="n">
        <v>8</v>
      </c>
    </row>
    <row r="859" customFormat="false" ht="15" hidden="false" customHeight="false" outlineLevel="0" collapsed="false">
      <c r="A859" s="1" t="s">
        <v>1267</v>
      </c>
      <c r="B859" s="4" t="n">
        <v>45934</v>
      </c>
      <c r="C859" s="1" t="s">
        <v>73</v>
      </c>
      <c r="D859" s="1" t="s">
        <v>405</v>
      </c>
      <c r="E859" s="1" t="n">
        <v>1</v>
      </c>
      <c r="F859" s="5" t="n">
        <v>0.2</v>
      </c>
      <c r="G859" s="1" t="s">
        <v>52</v>
      </c>
      <c r="H859" s="1" t="s">
        <v>14</v>
      </c>
      <c r="I859" s="1" t="s">
        <v>20</v>
      </c>
      <c r="J859" s="1" t="n">
        <v>7</v>
      </c>
    </row>
    <row r="860" customFormat="false" ht="15" hidden="false" customHeight="false" outlineLevel="0" collapsed="false">
      <c r="A860" s="1" t="s">
        <v>1268</v>
      </c>
      <c r="B860" s="4" t="n">
        <v>45877</v>
      </c>
      <c r="C860" s="1" t="s">
        <v>647</v>
      </c>
      <c r="D860" s="1" t="s">
        <v>97</v>
      </c>
      <c r="E860" s="1" t="n">
        <v>1</v>
      </c>
      <c r="F860" s="5" t="n">
        <v>0</v>
      </c>
      <c r="G860" s="1" t="s">
        <v>34</v>
      </c>
      <c r="H860" s="1" t="s">
        <v>14</v>
      </c>
      <c r="I860" s="1" t="s">
        <v>15</v>
      </c>
      <c r="J860" s="1" t="n">
        <v>6</v>
      </c>
    </row>
    <row r="861" customFormat="false" ht="15" hidden="false" customHeight="false" outlineLevel="0" collapsed="false">
      <c r="A861" s="1" t="s">
        <v>1269</v>
      </c>
      <c r="B861" s="4" t="n">
        <v>46003</v>
      </c>
      <c r="C861" s="1" t="s">
        <v>505</v>
      </c>
      <c r="D861" s="1" t="s">
        <v>134</v>
      </c>
      <c r="E861" s="1" t="n">
        <v>2</v>
      </c>
      <c r="F861" s="5" t="n">
        <v>0.15</v>
      </c>
      <c r="G861" s="1" t="s">
        <v>24</v>
      </c>
      <c r="H861" s="1" t="s">
        <v>14</v>
      </c>
      <c r="I861" s="1" t="s">
        <v>15</v>
      </c>
      <c r="J861" s="1" t="n">
        <v>6</v>
      </c>
    </row>
    <row r="862" customFormat="false" ht="15" hidden="false" customHeight="false" outlineLevel="0" collapsed="false">
      <c r="A862" s="1" t="s">
        <v>1270</v>
      </c>
      <c r="B862" s="4" t="n">
        <v>46000</v>
      </c>
      <c r="C862" s="1" t="s">
        <v>931</v>
      </c>
      <c r="D862" s="1" t="s">
        <v>328</v>
      </c>
      <c r="E862" s="1" t="n">
        <v>1</v>
      </c>
      <c r="F862" s="5" t="n">
        <v>0.15</v>
      </c>
      <c r="G862" s="1" t="s">
        <v>52</v>
      </c>
      <c r="H862" s="1" t="s">
        <v>14</v>
      </c>
      <c r="I862" s="1" t="s">
        <v>20</v>
      </c>
      <c r="J862" s="1" t="n">
        <v>8</v>
      </c>
    </row>
    <row r="863" customFormat="false" ht="15" hidden="false" customHeight="false" outlineLevel="0" collapsed="false">
      <c r="A863" s="1" t="s">
        <v>1271</v>
      </c>
      <c r="B863" s="4" t="n">
        <v>45978</v>
      </c>
      <c r="C863" s="1" t="s">
        <v>66</v>
      </c>
      <c r="D863" s="1" t="s">
        <v>230</v>
      </c>
      <c r="E863" s="1" t="n">
        <v>1</v>
      </c>
      <c r="F863" s="5" t="n">
        <v>0</v>
      </c>
      <c r="G863" s="1" t="s">
        <v>52</v>
      </c>
      <c r="H863" s="1" t="s">
        <v>14</v>
      </c>
      <c r="I863" s="1" t="s">
        <v>38</v>
      </c>
      <c r="J863" s="1" t="n">
        <v>8</v>
      </c>
    </row>
    <row r="864" customFormat="false" ht="15" hidden="false" customHeight="false" outlineLevel="0" collapsed="false">
      <c r="A864" s="1" t="s">
        <v>1272</v>
      </c>
      <c r="B864" s="4" t="n">
        <v>45752</v>
      </c>
      <c r="C864" s="1" t="s">
        <v>893</v>
      </c>
      <c r="D864" s="1" t="s">
        <v>140</v>
      </c>
      <c r="E864" s="1" t="n">
        <v>1</v>
      </c>
      <c r="F864" s="5" t="n">
        <v>0.2</v>
      </c>
      <c r="G864" s="1" t="s">
        <v>52</v>
      </c>
      <c r="H864" s="1" t="s">
        <v>53</v>
      </c>
      <c r="I864" s="1" t="s">
        <v>38</v>
      </c>
      <c r="J864" s="1" t="n">
        <v>1</v>
      </c>
    </row>
    <row r="865" customFormat="false" ht="15" hidden="false" customHeight="false" outlineLevel="0" collapsed="false">
      <c r="A865" s="1" t="s">
        <v>1273</v>
      </c>
      <c r="B865" s="4" t="n">
        <v>45833</v>
      </c>
      <c r="C865" s="1" t="s">
        <v>744</v>
      </c>
      <c r="D865" s="1" t="s">
        <v>162</v>
      </c>
      <c r="E865" s="1" t="n">
        <v>1</v>
      </c>
      <c r="F865" s="5" t="n">
        <v>0.1</v>
      </c>
      <c r="G865" s="1" t="s">
        <v>24</v>
      </c>
      <c r="H865" s="1" t="s">
        <v>14</v>
      </c>
      <c r="I865" s="1" t="s">
        <v>15</v>
      </c>
      <c r="J865" s="1" t="n">
        <v>1</v>
      </c>
    </row>
    <row r="866" customFormat="false" ht="15" hidden="false" customHeight="false" outlineLevel="0" collapsed="false">
      <c r="A866" s="1" t="s">
        <v>1274</v>
      </c>
      <c r="B866" s="4" t="n">
        <v>45803</v>
      </c>
      <c r="C866" s="1" t="s">
        <v>929</v>
      </c>
      <c r="D866" s="1" t="s">
        <v>341</v>
      </c>
      <c r="E866" s="1" t="n">
        <v>3</v>
      </c>
      <c r="F866" s="5" t="n">
        <v>0.15</v>
      </c>
      <c r="G866" s="1" t="s">
        <v>71</v>
      </c>
      <c r="H866" s="1" t="s">
        <v>14</v>
      </c>
      <c r="I866" s="1" t="s">
        <v>15</v>
      </c>
      <c r="J866" s="1" t="n">
        <v>2</v>
      </c>
    </row>
    <row r="867" customFormat="false" ht="15" hidden="false" customHeight="false" outlineLevel="0" collapsed="false">
      <c r="A867" s="1" t="s">
        <v>1275</v>
      </c>
      <c r="B867" s="4" t="n">
        <v>45907</v>
      </c>
      <c r="C867" s="1" t="s">
        <v>450</v>
      </c>
      <c r="D867" s="1" t="s">
        <v>165</v>
      </c>
      <c r="E867" s="1" t="n">
        <v>2</v>
      </c>
      <c r="F867" s="5" t="n">
        <v>0.25</v>
      </c>
      <c r="G867" s="1" t="s">
        <v>52</v>
      </c>
      <c r="H867" s="1" t="s">
        <v>14</v>
      </c>
      <c r="I867" s="1" t="s">
        <v>15</v>
      </c>
      <c r="J867" s="1" t="n">
        <v>2</v>
      </c>
    </row>
    <row r="868" customFormat="false" ht="15" hidden="false" customHeight="false" outlineLevel="0" collapsed="false">
      <c r="A868" s="1" t="s">
        <v>1276</v>
      </c>
      <c r="B868" s="4" t="n">
        <v>45916</v>
      </c>
      <c r="C868" s="1" t="s">
        <v>696</v>
      </c>
      <c r="D868" s="1" t="s">
        <v>216</v>
      </c>
      <c r="E868" s="1" t="n">
        <v>1</v>
      </c>
      <c r="F868" s="5" t="n">
        <v>0.2</v>
      </c>
      <c r="G868" s="1" t="s">
        <v>24</v>
      </c>
      <c r="H868" s="1" t="s">
        <v>53</v>
      </c>
      <c r="I868" s="1" t="s">
        <v>20</v>
      </c>
      <c r="J868" s="1" t="n">
        <v>2</v>
      </c>
    </row>
    <row r="869" customFormat="false" ht="15" hidden="false" customHeight="false" outlineLevel="0" collapsed="false">
      <c r="A869" s="1" t="s">
        <v>1277</v>
      </c>
      <c r="B869" s="4" t="n">
        <v>45828</v>
      </c>
      <c r="C869" s="1" t="s">
        <v>370</v>
      </c>
      <c r="D869" s="1" t="s">
        <v>106</v>
      </c>
      <c r="E869" s="1" t="n">
        <v>1</v>
      </c>
      <c r="F869" s="5" t="n">
        <v>0.15</v>
      </c>
      <c r="G869" s="1" t="s">
        <v>24</v>
      </c>
      <c r="H869" s="1" t="s">
        <v>14</v>
      </c>
      <c r="I869" s="1" t="s">
        <v>20</v>
      </c>
      <c r="J869" s="1" t="n">
        <v>5</v>
      </c>
    </row>
    <row r="870" customFormat="false" ht="15" hidden="false" customHeight="false" outlineLevel="0" collapsed="false">
      <c r="A870" s="1" t="s">
        <v>1278</v>
      </c>
      <c r="B870" s="4" t="n">
        <v>45817</v>
      </c>
      <c r="C870" s="1" t="s">
        <v>459</v>
      </c>
      <c r="D870" s="1" t="s">
        <v>23</v>
      </c>
      <c r="E870" s="1" t="n">
        <v>1</v>
      </c>
      <c r="F870" s="5" t="n">
        <v>0.05</v>
      </c>
      <c r="G870" s="1" t="s">
        <v>52</v>
      </c>
      <c r="H870" s="1" t="s">
        <v>14</v>
      </c>
      <c r="I870" s="1" t="s">
        <v>15</v>
      </c>
      <c r="J870" s="1" t="n">
        <v>7</v>
      </c>
    </row>
    <row r="871" customFormat="false" ht="15" hidden="false" customHeight="false" outlineLevel="0" collapsed="false">
      <c r="A871" s="1" t="s">
        <v>1279</v>
      </c>
      <c r="B871" s="4" t="n">
        <v>45711</v>
      </c>
      <c r="C871" s="1" t="s">
        <v>408</v>
      </c>
      <c r="D871" s="1" t="s">
        <v>48</v>
      </c>
      <c r="E871" s="1" t="n">
        <v>2</v>
      </c>
      <c r="F871" s="5" t="n">
        <v>0.05</v>
      </c>
      <c r="G871" s="1" t="s">
        <v>24</v>
      </c>
      <c r="H871" s="1" t="s">
        <v>14</v>
      </c>
      <c r="I871" s="1" t="s">
        <v>15</v>
      </c>
      <c r="J871" s="1" t="n">
        <v>4</v>
      </c>
    </row>
    <row r="872" customFormat="false" ht="15" hidden="false" customHeight="false" outlineLevel="0" collapsed="false">
      <c r="A872" s="1" t="s">
        <v>1280</v>
      </c>
      <c r="B872" s="4" t="n">
        <v>45942</v>
      </c>
      <c r="C872" s="1" t="s">
        <v>615</v>
      </c>
      <c r="D872" s="1" t="s">
        <v>162</v>
      </c>
      <c r="E872" s="1" t="n">
        <v>2</v>
      </c>
      <c r="F872" s="5" t="n">
        <v>0.1</v>
      </c>
      <c r="G872" s="1" t="s">
        <v>52</v>
      </c>
      <c r="H872" s="1" t="s">
        <v>14</v>
      </c>
      <c r="I872" s="1" t="s">
        <v>20</v>
      </c>
      <c r="J872" s="1" t="n">
        <v>8</v>
      </c>
    </row>
    <row r="873" customFormat="false" ht="15" hidden="false" customHeight="false" outlineLevel="0" collapsed="false">
      <c r="A873" s="1" t="s">
        <v>1281</v>
      </c>
      <c r="B873" s="4" t="n">
        <v>45753</v>
      </c>
      <c r="C873" s="1" t="s">
        <v>753</v>
      </c>
      <c r="D873" s="1" t="s">
        <v>171</v>
      </c>
      <c r="E873" s="1" t="n">
        <v>2</v>
      </c>
      <c r="F873" s="5" t="n">
        <v>0.15</v>
      </c>
      <c r="G873" s="1" t="s">
        <v>34</v>
      </c>
      <c r="H873" s="1" t="s">
        <v>14</v>
      </c>
      <c r="I873" s="1" t="s">
        <v>15</v>
      </c>
      <c r="J873" s="1" t="n">
        <v>2</v>
      </c>
    </row>
    <row r="874" customFormat="false" ht="15" hidden="false" customHeight="false" outlineLevel="0" collapsed="false">
      <c r="A874" s="1" t="s">
        <v>1282</v>
      </c>
      <c r="B874" s="4" t="n">
        <v>45694</v>
      </c>
      <c r="C874" s="1" t="s">
        <v>1136</v>
      </c>
      <c r="D874" s="1" t="s">
        <v>81</v>
      </c>
      <c r="E874" s="1" t="n">
        <v>3</v>
      </c>
      <c r="F874" s="5" t="n">
        <v>0.05</v>
      </c>
      <c r="G874" s="1" t="s">
        <v>71</v>
      </c>
      <c r="H874" s="1" t="s">
        <v>78</v>
      </c>
      <c r="I874" s="1" t="s">
        <v>38</v>
      </c>
      <c r="J874" s="1" t="n">
        <v>6</v>
      </c>
    </row>
    <row r="875" customFormat="false" ht="15" hidden="false" customHeight="false" outlineLevel="0" collapsed="false">
      <c r="A875" s="1" t="s">
        <v>1283</v>
      </c>
      <c r="B875" s="4" t="n">
        <v>45993</v>
      </c>
      <c r="C875" s="1" t="s">
        <v>1284</v>
      </c>
      <c r="D875" s="1" t="s">
        <v>154</v>
      </c>
      <c r="E875" s="1" t="n">
        <v>5</v>
      </c>
      <c r="F875" s="5" t="n">
        <v>0.25</v>
      </c>
      <c r="G875" s="1" t="s">
        <v>34</v>
      </c>
      <c r="H875" s="1" t="s">
        <v>14</v>
      </c>
      <c r="I875" s="1" t="s">
        <v>20</v>
      </c>
      <c r="J875" s="1" t="n">
        <v>4</v>
      </c>
    </row>
    <row r="876" customFormat="false" ht="15" hidden="false" customHeight="false" outlineLevel="0" collapsed="false">
      <c r="A876" s="1" t="s">
        <v>1285</v>
      </c>
      <c r="B876" s="4" t="n">
        <v>45750</v>
      </c>
      <c r="C876" s="1" t="s">
        <v>150</v>
      </c>
      <c r="D876" s="1" t="s">
        <v>963</v>
      </c>
      <c r="E876" s="1" t="n">
        <v>2</v>
      </c>
      <c r="F876" s="5" t="n">
        <v>0.05</v>
      </c>
      <c r="G876" s="1" t="s">
        <v>71</v>
      </c>
      <c r="H876" s="1" t="s">
        <v>53</v>
      </c>
      <c r="I876" s="1" t="s">
        <v>38</v>
      </c>
      <c r="J876" s="1" t="n">
        <v>6</v>
      </c>
    </row>
    <row r="877" customFormat="false" ht="15" hidden="false" customHeight="false" outlineLevel="0" collapsed="false">
      <c r="A877" s="1" t="s">
        <v>1286</v>
      </c>
      <c r="B877" s="4" t="n">
        <v>45999</v>
      </c>
      <c r="C877" s="1" t="s">
        <v>415</v>
      </c>
      <c r="D877" s="1" t="s">
        <v>484</v>
      </c>
      <c r="E877" s="1" t="n">
        <v>2</v>
      </c>
      <c r="F877" s="5" t="n">
        <v>0.15</v>
      </c>
      <c r="G877" s="1" t="s">
        <v>13</v>
      </c>
      <c r="H877" s="1" t="s">
        <v>14</v>
      </c>
      <c r="I877" s="1" t="s">
        <v>20</v>
      </c>
      <c r="J877" s="1" t="n">
        <v>3</v>
      </c>
    </row>
    <row r="878" customFormat="false" ht="15" hidden="false" customHeight="false" outlineLevel="0" collapsed="false">
      <c r="A878" s="1" t="s">
        <v>1287</v>
      </c>
      <c r="B878" s="4" t="n">
        <v>45709</v>
      </c>
      <c r="C878" s="1" t="s">
        <v>352</v>
      </c>
      <c r="D878" s="1" t="s">
        <v>165</v>
      </c>
      <c r="E878" s="1" t="n">
        <v>2</v>
      </c>
      <c r="F878" s="5" t="n">
        <v>0.05</v>
      </c>
      <c r="G878" s="1" t="s">
        <v>52</v>
      </c>
      <c r="H878" s="1" t="s">
        <v>14</v>
      </c>
      <c r="I878" s="1" t="s">
        <v>15</v>
      </c>
      <c r="J878" s="1" t="n">
        <v>5</v>
      </c>
    </row>
    <row r="879" customFormat="false" ht="15" hidden="false" customHeight="false" outlineLevel="0" collapsed="false">
      <c r="A879" s="1" t="s">
        <v>1288</v>
      </c>
      <c r="B879" s="4" t="n">
        <v>45993</v>
      </c>
      <c r="C879" s="1" t="s">
        <v>747</v>
      </c>
      <c r="D879" s="1" t="s">
        <v>455</v>
      </c>
      <c r="E879" s="1" t="n">
        <v>1</v>
      </c>
      <c r="F879" s="5" t="n">
        <v>0</v>
      </c>
      <c r="G879" s="1" t="s">
        <v>13</v>
      </c>
      <c r="H879" s="1" t="s">
        <v>92</v>
      </c>
      <c r="I879" s="1" t="s">
        <v>38</v>
      </c>
    </row>
    <row r="880" customFormat="false" ht="15" hidden="false" customHeight="false" outlineLevel="0" collapsed="false">
      <c r="A880" s="1" t="s">
        <v>1289</v>
      </c>
      <c r="B880" s="4" t="n">
        <v>45791</v>
      </c>
      <c r="C880" s="1" t="s">
        <v>822</v>
      </c>
      <c r="D880" s="1" t="s">
        <v>33</v>
      </c>
      <c r="E880" s="1" t="n">
        <v>2</v>
      </c>
      <c r="F880" s="5" t="n">
        <v>0.05</v>
      </c>
      <c r="G880" s="1" t="s">
        <v>24</v>
      </c>
      <c r="H880" s="1" t="s">
        <v>14</v>
      </c>
      <c r="I880" s="1" t="s">
        <v>38</v>
      </c>
      <c r="J880" s="1" t="n">
        <v>4</v>
      </c>
    </row>
    <row r="881" customFormat="false" ht="15" hidden="false" customHeight="false" outlineLevel="0" collapsed="false">
      <c r="A881" s="1" t="s">
        <v>1290</v>
      </c>
      <c r="B881" s="4" t="n">
        <v>45742</v>
      </c>
      <c r="C881" s="1" t="s">
        <v>1291</v>
      </c>
      <c r="D881" s="1" t="s">
        <v>114</v>
      </c>
      <c r="E881" s="1" t="n">
        <v>1</v>
      </c>
      <c r="F881" s="5" t="n">
        <v>0</v>
      </c>
      <c r="G881" s="1" t="s">
        <v>24</v>
      </c>
      <c r="H881" s="1" t="s">
        <v>14</v>
      </c>
      <c r="I881" s="1" t="s">
        <v>38</v>
      </c>
      <c r="J881" s="1" t="n">
        <v>7</v>
      </c>
    </row>
    <row r="882" customFormat="false" ht="15" hidden="false" customHeight="false" outlineLevel="0" collapsed="false">
      <c r="A882" s="1" t="s">
        <v>1292</v>
      </c>
      <c r="B882" s="4" t="n">
        <v>45823</v>
      </c>
      <c r="C882" s="1" t="s">
        <v>57</v>
      </c>
      <c r="D882" s="1" t="s">
        <v>33</v>
      </c>
      <c r="E882" s="1" t="n">
        <v>2</v>
      </c>
      <c r="F882" s="5" t="n">
        <v>0.25</v>
      </c>
      <c r="G882" s="1" t="s">
        <v>34</v>
      </c>
      <c r="H882" s="1" t="s">
        <v>14</v>
      </c>
      <c r="I882" s="1" t="s">
        <v>15</v>
      </c>
      <c r="J882" s="1" t="n">
        <v>3</v>
      </c>
    </row>
    <row r="883" customFormat="false" ht="15" hidden="false" customHeight="false" outlineLevel="0" collapsed="false">
      <c r="A883" s="1" t="s">
        <v>1293</v>
      </c>
      <c r="B883" s="4" t="n">
        <v>45992</v>
      </c>
      <c r="C883" s="1" t="s">
        <v>560</v>
      </c>
      <c r="D883" s="1" t="s">
        <v>197</v>
      </c>
      <c r="E883" s="1" t="n">
        <v>1</v>
      </c>
      <c r="F883" s="5" t="n">
        <v>0.1</v>
      </c>
      <c r="G883" s="1" t="s">
        <v>34</v>
      </c>
      <c r="H883" s="1" t="s">
        <v>45</v>
      </c>
      <c r="I883" s="1" t="s">
        <v>20</v>
      </c>
    </row>
    <row r="884" customFormat="false" ht="15" hidden="false" customHeight="false" outlineLevel="0" collapsed="false">
      <c r="A884" s="1" t="s">
        <v>1294</v>
      </c>
      <c r="B884" s="4" t="n">
        <v>45934</v>
      </c>
      <c r="C884" s="1" t="s">
        <v>854</v>
      </c>
      <c r="D884" s="1" t="s">
        <v>109</v>
      </c>
      <c r="E884" s="1" t="n">
        <v>1</v>
      </c>
      <c r="F884" s="5" t="n">
        <v>0.1</v>
      </c>
      <c r="G884" s="1" t="s">
        <v>19</v>
      </c>
      <c r="H884" s="1" t="s">
        <v>14</v>
      </c>
      <c r="I884" s="1" t="s">
        <v>20</v>
      </c>
      <c r="J884" s="1" t="n">
        <v>8</v>
      </c>
    </row>
    <row r="885" customFormat="false" ht="15" hidden="false" customHeight="false" outlineLevel="0" collapsed="false">
      <c r="A885" s="1" t="s">
        <v>1295</v>
      </c>
      <c r="B885" s="4" t="n">
        <v>45684</v>
      </c>
      <c r="C885" s="1" t="s">
        <v>951</v>
      </c>
      <c r="D885" s="1" t="s">
        <v>462</v>
      </c>
      <c r="E885" s="1" t="n">
        <v>4</v>
      </c>
      <c r="F885" s="5" t="n">
        <v>0.15</v>
      </c>
      <c r="G885" s="1" t="s">
        <v>24</v>
      </c>
      <c r="H885" s="1" t="s">
        <v>14</v>
      </c>
      <c r="I885" s="1" t="s">
        <v>15</v>
      </c>
      <c r="J885" s="1" t="n">
        <v>3</v>
      </c>
    </row>
    <row r="886" customFormat="false" ht="15" hidden="false" customHeight="false" outlineLevel="0" collapsed="false">
      <c r="A886" s="1" t="s">
        <v>1296</v>
      </c>
      <c r="B886" s="4" t="n">
        <v>45703</v>
      </c>
      <c r="C886" s="1" t="s">
        <v>83</v>
      </c>
      <c r="D886" s="1" t="s">
        <v>48</v>
      </c>
      <c r="E886" s="1" t="n">
        <v>1</v>
      </c>
      <c r="F886" s="5" t="n">
        <v>0.05</v>
      </c>
      <c r="G886" s="1" t="s">
        <v>19</v>
      </c>
      <c r="H886" s="1" t="s">
        <v>92</v>
      </c>
      <c r="I886" s="1" t="s">
        <v>15</v>
      </c>
    </row>
    <row r="887" customFormat="false" ht="15" hidden="false" customHeight="false" outlineLevel="0" collapsed="false">
      <c r="A887" s="1" t="s">
        <v>1297</v>
      </c>
      <c r="B887" s="4" t="n">
        <v>45875</v>
      </c>
      <c r="C887" s="1" t="s">
        <v>1284</v>
      </c>
      <c r="D887" s="1" t="s">
        <v>213</v>
      </c>
      <c r="E887" s="1" t="n">
        <v>1</v>
      </c>
      <c r="F887" s="5" t="n">
        <v>0.05</v>
      </c>
      <c r="G887" s="1" t="s">
        <v>34</v>
      </c>
      <c r="H887" s="1" t="s">
        <v>78</v>
      </c>
      <c r="I887" s="1" t="s">
        <v>15</v>
      </c>
      <c r="J887" s="1" t="n">
        <v>4</v>
      </c>
    </row>
    <row r="888" customFormat="false" ht="15" hidden="false" customHeight="false" outlineLevel="0" collapsed="false">
      <c r="A888" s="1" t="s">
        <v>1298</v>
      </c>
      <c r="B888" s="4" t="n">
        <v>45996</v>
      </c>
      <c r="C888" s="1" t="s">
        <v>438</v>
      </c>
      <c r="D888" s="1" t="s">
        <v>554</v>
      </c>
      <c r="E888" s="1" t="n">
        <v>1</v>
      </c>
      <c r="F888" s="5" t="n">
        <v>0.1</v>
      </c>
      <c r="G888" s="1" t="s">
        <v>13</v>
      </c>
      <c r="H888" s="1" t="s">
        <v>14</v>
      </c>
      <c r="I888" s="1" t="s">
        <v>15</v>
      </c>
      <c r="J888" s="1" t="n">
        <v>6</v>
      </c>
    </row>
    <row r="889" customFormat="false" ht="15" hidden="false" customHeight="false" outlineLevel="0" collapsed="false">
      <c r="A889" s="1" t="s">
        <v>1299</v>
      </c>
      <c r="B889" s="4" t="n">
        <v>45988</v>
      </c>
      <c r="C889" s="1" t="s">
        <v>827</v>
      </c>
      <c r="D889" s="1" t="s">
        <v>210</v>
      </c>
      <c r="E889" s="1" t="n">
        <v>1</v>
      </c>
      <c r="F889" s="5" t="n">
        <v>0</v>
      </c>
      <c r="G889" s="1" t="s">
        <v>52</v>
      </c>
      <c r="H889" s="1" t="s">
        <v>14</v>
      </c>
      <c r="I889" s="1" t="s">
        <v>15</v>
      </c>
      <c r="J889" s="1" t="n">
        <v>4</v>
      </c>
    </row>
    <row r="890" customFormat="false" ht="15" hidden="false" customHeight="false" outlineLevel="0" collapsed="false">
      <c r="A890" s="1" t="s">
        <v>1300</v>
      </c>
      <c r="B890" s="4" t="n">
        <v>45806</v>
      </c>
      <c r="C890" s="1" t="s">
        <v>43</v>
      </c>
      <c r="D890" s="1" t="s">
        <v>641</v>
      </c>
      <c r="E890" s="1" t="n">
        <v>1</v>
      </c>
      <c r="F890" s="5" t="n">
        <v>0.15</v>
      </c>
      <c r="G890" s="1" t="s">
        <v>52</v>
      </c>
      <c r="H890" s="1" t="s">
        <v>14</v>
      </c>
      <c r="I890" s="1" t="s">
        <v>20</v>
      </c>
      <c r="J890" s="1" t="n">
        <v>2</v>
      </c>
    </row>
    <row r="891" customFormat="false" ht="15" hidden="false" customHeight="false" outlineLevel="0" collapsed="false">
      <c r="A891" s="1" t="s">
        <v>1301</v>
      </c>
      <c r="B891" s="4" t="n">
        <v>45733</v>
      </c>
      <c r="C891" s="1" t="s">
        <v>99</v>
      </c>
      <c r="D891" s="1" t="s">
        <v>106</v>
      </c>
      <c r="E891" s="1" t="n">
        <v>5</v>
      </c>
      <c r="F891" s="5" t="n">
        <v>0.05</v>
      </c>
      <c r="G891" s="1" t="s">
        <v>19</v>
      </c>
      <c r="H891" s="1" t="s">
        <v>78</v>
      </c>
      <c r="I891" s="1" t="s">
        <v>38</v>
      </c>
      <c r="J891" s="1" t="n">
        <v>6</v>
      </c>
    </row>
    <row r="892" customFormat="false" ht="15" hidden="false" customHeight="false" outlineLevel="0" collapsed="false">
      <c r="A892" s="1" t="s">
        <v>1302</v>
      </c>
      <c r="B892" s="4" t="n">
        <v>45742</v>
      </c>
      <c r="C892" s="1" t="s">
        <v>317</v>
      </c>
      <c r="D892" s="1" t="s">
        <v>554</v>
      </c>
      <c r="E892" s="1" t="n">
        <v>5</v>
      </c>
      <c r="F892" s="5" t="n">
        <v>0.05</v>
      </c>
      <c r="G892" s="1" t="s">
        <v>34</v>
      </c>
      <c r="H892" s="1" t="s">
        <v>45</v>
      </c>
      <c r="I892" s="1" t="s">
        <v>38</v>
      </c>
    </row>
    <row r="893" customFormat="false" ht="15" hidden="false" customHeight="false" outlineLevel="0" collapsed="false">
      <c r="A893" s="1" t="s">
        <v>1303</v>
      </c>
      <c r="B893" s="4" t="n">
        <v>45891</v>
      </c>
      <c r="C893" s="1" t="s">
        <v>854</v>
      </c>
      <c r="D893" s="1" t="s">
        <v>446</v>
      </c>
      <c r="E893" s="1" t="n">
        <v>1</v>
      </c>
      <c r="F893" s="5" t="n">
        <v>0.1</v>
      </c>
      <c r="G893" s="1" t="s">
        <v>19</v>
      </c>
      <c r="H893" s="1" t="s">
        <v>14</v>
      </c>
      <c r="I893" s="1" t="s">
        <v>38</v>
      </c>
      <c r="J893" s="1" t="n">
        <v>1</v>
      </c>
    </row>
    <row r="894" customFormat="false" ht="15" hidden="false" customHeight="false" outlineLevel="0" collapsed="false">
      <c r="A894" s="1" t="s">
        <v>1304</v>
      </c>
      <c r="B894" s="4" t="n">
        <v>45761</v>
      </c>
      <c r="C894" s="1" t="s">
        <v>359</v>
      </c>
      <c r="D894" s="1" t="s">
        <v>1169</v>
      </c>
      <c r="E894" s="1" t="n">
        <v>2</v>
      </c>
      <c r="F894" s="5" t="n">
        <v>0</v>
      </c>
      <c r="G894" s="1" t="s">
        <v>71</v>
      </c>
      <c r="H894" s="1" t="s">
        <v>14</v>
      </c>
      <c r="I894" s="1" t="s">
        <v>38</v>
      </c>
      <c r="J894" s="1" t="n">
        <v>6</v>
      </c>
    </row>
    <row r="895" customFormat="false" ht="15" hidden="false" customHeight="false" outlineLevel="0" collapsed="false">
      <c r="A895" s="1" t="s">
        <v>1305</v>
      </c>
      <c r="B895" s="4" t="n">
        <v>45919</v>
      </c>
      <c r="C895" s="1" t="s">
        <v>696</v>
      </c>
      <c r="D895" s="1" t="s">
        <v>94</v>
      </c>
      <c r="E895" s="1" t="n">
        <v>2</v>
      </c>
      <c r="F895" s="5" t="n">
        <v>0.1</v>
      </c>
      <c r="G895" s="1" t="s">
        <v>34</v>
      </c>
      <c r="H895" s="1" t="s">
        <v>14</v>
      </c>
      <c r="I895" s="1" t="s">
        <v>15</v>
      </c>
      <c r="J895" s="1" t="n">
        <v>1</v>
      </c>
    </row>
    <row r="896" customFormat="false" ht="15" hidden="false" customHeight="false" outlineLevel="0" collapsed="false">
      <c r="A896" s="1" t="s">
        <v>1306</v>
      </c>
      <c r="B896" s="4" t="n">
        <v>46016</v>
      </c>
      <c r="C896" s="1" t="s">
        <v>32</v>
      </c>
      <c r="D896" s="1" t="s">
        <v>441</v>
      </c>
      <c r="E896" s="1" t="n">
        <v>1</v>
      </c>
      <c r="F896" s="5" t="n">
        <v>0.15</v>
      </c>
      <c r="G896" s="1" t="s">
        <v>52</v>
      </c>
      <c r="H896" s="1" t="s">
        <v>14</v>
      </c>
      <c r="I896" s="1" t="s">
        <v>20</v>
      </c>
      <c r="J896" s="1" t="n">
        <v>1</v>
      </c>
    </row>
    <row r="897" customFormat="false" ht="15" hidden="false" customHeight="false" outlineLevel="0" collapsed="false">
      <c r="A897" s="1" t="s">
        <v>1307</v>
      </c>
      <c r="B897" s="4" t="n">
        <v>46007</v>
      </c>
      <c r="C897" s="1" t="s">
        <v>474</v>
      </c>
      <c r="D897" s="1" t="s">
        <v>112</v>
      </c>
      <c r="E897" s="1" t="n">
        <v>4</v>
      </c>
      <c r="F897" s="5" t="n">
        <v>0.25</v>
      </c>
      <c r="G897" s="1" t="s">
        <v>34</v>
      </c>
      <c r="H897" s="1" t="s">
        <v>14</v>
      </c>
      <c r="I897" s="1" t="s">
        <v>20</v>
      </c>
      <c r="J897" s="1" t="n">
        <v>8</v>
      </c>
    </row>
    <row r="898" customFormat="false" ht="15" hidden="false" customHeight="false" outlineLevel="0" collapsed="false">
      <c r="A898" s="1" t="s">
        <v>1308</v>
      </c>
      <c r="B898" s="4" t="n">
        <v>45747</v>
      </c>
      <c r="C898" s="1" t="s">
        <v>178</v>
      </c>
      <c r="D898" s="1" t="s">
        <v>37</v>
      </c>
      <c r="E898" s="1" t="n">
        <v>3</v>
      </c>
      <c r="F898" s="5" t="n">
        <v>0.1</v>
      </c>
      <c r="G898" s="1" t="s">
        <v>13</v>
      </c>
      <c r="H898" s="1" t="s">
        <v>14</v>
      </c>
      <c r="I898" s="1" t="s">
        <v>20</v>
      </c>
      <c r="J898" s="1" t="n">
        <v>6</v>
      </c>
    </row>
    <row r="899" customFormat="false" ht="15" hidden="false" customHeight="false" outlineLevel="0" collapsed="false">
      <c r="A899" s="1" t="s">
        <v>1309</v>
      </c>
      <c r="B899" s="4" t="n">
        <v>45743</v>
      </c>
      <c r="C899" s="1" t="s">
        <v>275</v>
      </c>
      <c r="D899" s="1" t="s">
        <v>255</v>
      </c>
      <c r="E899" s="1" t="n">
        <v>3</v>
      </c>
      <c r="F899" s="5" t="n">
        <v>0.1</v>
      </c>
      <c r="G899" s="1" t="s">
        <v>52</v>
      </c>
      <c r="H899" s="1" t="s">
        <v>92</v>
      </c>
      <c r="I899" s="1" t="s">
        <v>20</v>
      </c>
    </row>
    <row r="900" customFormat="false" ht="15" hidden="false" customHeight="false" outlineLevel="0" collapsed="false">
      <c r="A900" s="1" t="s">
        <v>1310</v>
      </c>
      <c r="B900" s="4" t="n">
        <v>45726</v>
      </c>
      <c r="C900" s="1" t="s">
        <v>199</v>
      </c>
      <c r="D900" s="1" t="s">
        <v>100</v>
      </c>
      <c r="E900" s="1" t="n">
        <v>2</v>
      </c>
      <c r="F900" s="5" t="n">
        <v>0.15</v>
      </c>
      <c r="G900" s="1" t="s">
        <v>19</v>
      </c>
      <c r="H900" s="1" t="s">
        <v>53</v>
      </c>
      <c r="I900" s="1" t="s">
        <v>38</v>
      </c>
      <c r="J900" s="1" t="n">
        <v>8</v>
      </c>
    </row>
    <row r="901" customFormat="false" ht="15" hidden="false" customHeight="false" outlineLevel="0" collapsed="false">
      <c r="A901" s="1" t="s">
        <v>1311</v>
      </c>
      <c r="B901" s="4" t="n">
        <v>45980</v>
      </c>
      <c r="C901" s="1" t="s">
        <v>570</v>
      </c>
      <c r="D901" s="1" t="s">
        <v>100</v>
      </c>
      <c r="E901" s="1" t="n">
        <v>1</v>
      </c>
      <c r="F901" s="5" t="n">
        <v>0.05</v>
      </c>
      <c r="G901" s="1" t="s">
        <v>34</v>
      </c>
      <c r="H901" s="1" t="s">
        <v>53</v>
      </c>
      <c r="I901" s="1" t="s">
        <v>15</v>
      </c>
      <c r="J901" s="1" t="n">
        <v>7</v>
      </c>
    </row>
    <row r="902" customFormat="false" ht="15" hidden="false" customHeight="false" outlineLevel="0" collapsed="false">
      <c r="A902" s="1" t="s">
        <v>1312</v>
      </c>
      <c r="B902" s="4" t="n">
        <v>45877</v>
      </c>
      <c r="C902" s="1" t="s">
        <v>854</v>
      </c>
      <c r="D902" s="1" t="s">
        <v>74</v>
      </c>
      <c r="E902" s="1" t="n">
        <v>3</v>
      </c>
      <c r="F902" s="5" t="n">
        <v>0</v>
      </c>
      <c r="G902" s="1" t="s">
        <v>19</v>
      </c>
      <c r="H902" s="1" t="s">
        <v>78</v>
      </c>
      <c r="I902" s="1" t="s">
        <v>38</v>
      </c>
      <c r="J902" s="1" t="n">
        <v>7</v>
      </c>
    </row>
    <row r="903" customFormat="false" ht="15" hidden="false" customHeight="false" outlineLevel="0" collapsed="false">
      <c r="A903" s="1" t="s">
        <v>1313</v>
      </c>
      <c r="B903" s="4" t="n">
        <v>45728</v>
      </c>
      <c r="C903" s="1" t="s">
        <v>378</v>
      </c>
      <c r="D903" s="1" t="s">
        <v>487</v>
      </c>
      <c r="E903" s="1" t="n">
        <v>3</v>
      </c>
      <c r="F903" s="5" t="n">
        <v>0</v>
      </c>
      <c r="G903" s="1" t="s">
        <v>34</v>
      </c>
      <c r="H903" s="1" t="s">
        <v>14</v>
      </c>
      <c r="I903" s="1" t="s">
        <v>15</v>
      </c>
      <c r="J903" s="1" t="n">
        <v>6</v>
      </c>
    </row>
    <row r="904" customFormat="false" ht="15" hidden="false" customHeight="false" outlineLevel="0" collapsed="false">
      <c r="A904" s="1" t="s">
        <v>1314</v>
      </c>
      <c r="B904" s="4" t="n">
        <v>45840</v>
      </c>
      <c r="C904" s="1" t="s">
        <v>922</v>
      </c>
      <c r="D904" s="1" t="s">
        <v>985</v>
      </c>
      <c r="E904" s="1" t="n">
        <v>2</v>
      </c>
      <c r="F904" s="5" t="n">
        <v>0</v>
      </c>
      <c r="G904" s="1" t="s">
        <v>34</v>
      </c>
      <c r="H904" s="1" t="s">
        <v>14</v>
      </c>
      <c r="I904" s="1" t="s">
        <v>20</v>
      </c>
      <c r="J904" s="1" t="n">
        <v>8</v>
      </c>
    </row>
    <row r="905" customFormat="false" ht="15" hidden="false" customHeight="false" outlineLevel="0" collapsed="false">
      <c r="A905" s="1" t="s">
        <v>1315</v>
      </c>
      <c r="B905" s="4" t="n">
        <v>45687</v>
      </c>
      <c r="C905" s="1" t="s">
        <v>882</v>
      </c>
      <c r="D905" s="1" t="s">
        <v>429</v>
      </c>
      <c r="E905" s="1" t="n">
        <v>1</v>
      </c>
      <c r="F905" s="5" t="n">
        <v>0.2</v>
      </c>
      <c r="G905" s="1" t="s">
        <v>19</v>
      </c>
      <c r="H905" s="1" t="s">
        <v>14</v>
      </c>
      <c r="I905" s="1" t="s">
        <v>15</v>
      </c>
      <c r="J905" s="1" t="n">
        <v>5</v>
      </c>
    </row>
    <row r="906" customFormat="false" ht="15" hidden="false" customHeight="false" outlineLevel="0" collapsed="false">
      <c r="A906" s="1" t="s">
        <v>1316</v>
      </c>
      <c r="B906" s="4" t="n">
        <v>45996</v>
      </c>
      <c r="C906" s="1" t="s">
        <v>278</v>
      </c>
      <c r="D906" s="1" t="s">
        <v>399</v>
      </c>
      <c r="E906" s="1" t="n">
        <v>2</v>
      </c>
      <c r="F906" s="5" t="n">
        <v>0</v>
      </c>
      <c r="G906" s="1" t="s">
        <v>24</v>
      </c>
      <c r="H906" s="1" t="s">
        <v>14</v>
      </c>
      <c r="I906" s="1" t="s">
        <v>15</v>
      </c>
      <c r="J906" s="1" t="n">
        <v>1</v>
      </c>
    </row>
    <row r="907" customFormat="false" ht="15" hidden="false" customHeight="false" outlineLevel="0" collapsed="false">
      <c r="A907" s="1" t="s">
        <v>1317</v>
      </c>
      <c r="B907" s="4" t="n">
        <v>45684</v>
      </c>
      <c r="C907" s="1" t="s">
        <v>380</v>
      </c>
      <c r="D907" s="1" t="s">
        <v>125</v>
      </c>
      <c r="E907" s="1" t="n">
        <v>1</v>
      </c>
      <c r="F907" s="5" t="n">
        <v>0</v>
      </c>
      <c r="G907" s="1" t="s">
        <v>52</v>
      </c>
      <c r="H907" s="1" t="s">
        <v>14</v>
      </c>
      <c r="I907" s="1" t="s">
        <v>15</v>
      </c>
      <c r="J907" s="1" t="n">
        <v>7</v>
      </c>
    </row>
    <row r="908" customFormat="false" ht="15" hidden="false" customHeight="false" outlineLevel="0" collapsed="false">
      <c r="A908" s="1" t="s">
        <v>1318</v>
      </c>
      <c r="B908" s="4" t="n">
        <v>45886</v>
      </c>
      <c r="C908" s="1" t="s">
        <v>205</v>
      </c>
      <c r="D908" s="1" t="s">
        <v>323</v>
      </c>
      <c r="E908" s="1" t="n">
        <v>4</v>
      </c>
      <c r="F908" s="5" t="n">
        <v>0.05</v>
      </c>
      <c r="G908" s="1" t="s">
        <v>52</v>
      </c>
      <c r="H908" s="1" t="s">
        <v>14</v>
      </c>
      <c r="I908" s="1" t="s">
        <v>15</v>
      </c>
      <c r="J908" s="1" t="n">
        <v>6</v>
      </c>
    </row>
    <row r="909" customFormat="false" ht="15" hidden="false" customHeight="false" outlineLevel="0" collapsed="false">
      <c r="A909" s="1" t="s">
        <v>1319</v>
      </c>
      <c r="B909" s="4" t="n">
        <v>45690</v>
      </c>
      <c r="C909" s="1" t="s">
        <v>431</v>
      </c>
      <c r="D909" s="1" t="s">
        <v>171</v>
      </c>
      <c r="E909" s="1" t="n">
        <v>1</v>
      </c>
      <c r="F909" s="5" t="n">
        <v>0.05</v>
      </c>
      <c r="G909" s="1" t="s">
        <v>71</v>
      </c>
      <c r="H909" s="1" t="s">
        <v>78</v>
      </c>
      <c r="I909" s="1" t="s">
        <v>15</v>
      </c>
      <c r="J909" s="1" t="n">
        <v>4</v>
      </c>
    </row>
    <row r="910" customFormat="false" ht="15" hidden="false" customHeight="false" outlineLevel="0" collapsed="false">
      <c r="A910" s="1" t="s">
        <v>1320</v>
      </c>
      <c r="B910" s="4" t="n">
        <v>45735</v>
      </c>
      <c r="C910" s="1" t="s">
        <v>1321</v>
      </c>
      <c r="D910" s="1" t="s">
        <v>148</v>
      </c>
      <c r="E910" s="1" t="n">
        <v>1</v>
      </c>
      <c r="F910" s="5" t="n">
        <v>0.2</v>
      </c>
      <c r="G910" s="1" t="s">
        <v>34</v>
      </c>
      <c r="H910" s="1" t="s">
        <v>92</v>
      </c>
      <c r="I910" s="1" t="s">
        <v>38</v>
      </c>
    </row>
    <row r="911" customFormat="false" ht="15" hidden="false" customHeight="false" outlineLevel="0" collapsed="false">
      <c r="A911" s="1" t="s">
        <v>1322</v>
      </c>
      <c r="B911" s="4" t="n">
        <v>45715</v>
      </c>
      <c r="C911" s="1" t="s">
        <v>443</v>
      </c>
      <c r="D911" s="1" t="s">
        <v>33</v>
      </c>
      <c r="E911" s="1" t="n">
        <v>4</v>
      </c>
      <c r="F911" s="5" t="n">
        <v>0</v>
      </c>
      <c r="G911" s="1" t="s">
        <v>34</v>
      </c>
      <c r="H911" s="1" t="s">
        <v>14</v>
      </c>
      <c r="I911" s="1" t="s">
        <v>15</v>
      </c>
      <c r="J911" s="1" t="n">
        <v>6</v>
      </c>
    </row>
    <row r="912" customFormat="false" ht="15" hidden="false" customHeight="false" outlineLevel="0" collapsed="false">
      <c r="A912" s="1" t="s">
        <v>1323</v>
      </c>
      <c r="B912" s="4" t="n">
        <v>45903</v>
      </c>
      <c r="C912" s="1" t="s">
        <v>951</v>
      </c>
      <c r="D912" s="1" t="s">
        <v>436</v>
      </c>
      <c r="E912" s="1" t="n">
        <v>1</v>
      </c>
      <c r="F912" s="5" t="n">
        <v>0.1</v>
      </c>
      <c r="G912" s="1" t="s">
        <v>19</v>
      </c>
      <c r="H912" s="1" t="s">
        <v>14</v>
      </c>
      <c r="I912" s="1" t="s">
        <v>15</v>
      </c>
      <c r="J912" s="1" t="n">
        <v>4</v>
      </c>
    </row>
    <row r="913" customFormat="false" ht="15" hidden="false" customHeight="false" outlineLevel="0" collapsed="false">
      <c r="A913" s="1" t="s">
        <v>1324</v>
      </c>
      <c r="B913" s="4" t="n">
        <v>45692</v>
      </c>
      <c r="C913" s="1" t="s">
        <v>777</v>
      </c>
      <c r="D913" s="1" t="s">
        <v>462</v>
      </c>
      <c r="E913" s="1" t="n">
        <v>1</v>
      </c>
      <c r="F913" s="5" t="n">
        <v>0.25</v>
      </c>
      <c r="G913" s="1" t="s">
        <v>24</v>
      </c>
      <c r="H913" s="1" t="s">
        <v>14</v>
      </c>
      <c r="I913" s="1" t="s">
        <v>15</v>
      </c>
      <c r="J913" s="1" t="n">
        <v>7</v>
      </c>
    </row>
    <row r="914" customFormat="false" ht="15" hidden="false" customHeight="false" outlineLevel="0" collapsed="false">
      <c r="A914" s="1" t="s">
        <v>1325</v>
      </c>
      <c r="B914" s="4" t="n">
        <v>45976</v>
      </c>
      <c r="C914" s="1" t="s">
        <v>495</v>
      </c>
      <c r="D914" s="1" t="s">
        <v>323</v>
      </c>
      <c r="E914" s="1" t="n">
        <v>1</v>
      </c>
      <c r="F914" s="5" t="n">
        <v>0.1</v>
      </c>
      <c r="G914" s="1" t="s">
        <v>34</v>
      </c>
      <c r="H914" s="1" t="s">
        <v>14</v>
      </c>
      <c r="I914" s="1" t="s">
        <v>15</v>
      </c>
      <c r="J914" s="1" t="n">
        <v>8</v>
      </c>
    </row>
    <row r="915" customFormat="false" ht="15" hidden="false" customHeight="false" outlineLevel="0" collapsed="false">
      <c r="A915" s="1" t="s">
        <v>1326</v>
      </c>
      <c r="B915" s="4" t="n">
        <v>45719</v>
      </c>
      <c r="C915" s="1" t="s">
        <v>1144</v>
      </c>
      <c r="D915" s="1" t="s">
        <v>441</v>
      </c>
      <c r="E915" s="1" t="n">
        <v>3</v>
      </c>
      <c r="F915" s="5" t="n">
        <v>0.25</v>
      </c>
      <c r="G915" s="1" t="s">
        <v>52</v>
      </c>
      <c r="H915" s="1" t="s">
        <v>14</v>
      </c>
      <c r="I915" s="1" t="s">
        <v>38</v>
      </c>
      <c r="J915" s="1" t="n">
        <v>6</v>
      </c>
    </row>
    <row r="916" customFormat="false" ht="15" hidden="false" customHeight="false" outlineLevel="0" collapsed="false">
      <c r="A916" s="1" t="s">
        <v>1327</v>
      </c>
      <c r="B916" s="4" t="n">
        <v>45698</v>
      </c>
      <c r="C916" s="1" t="s">
        <v>181</v>
      </c>
      <c r="D916" s="1" t="s">
        <v>418</v>
      </c>
      <c r="E916" s="1" t="n">
        <v>1</v>
      </c>
      <c r="F916" s="5" t="n">
        <v>0</v>
      </c>
      <c r="G916" s="1" t="s">
        <v>71</v>
      </c>
      <c r="H916" s="1" t="s">
        <v>53</v>
      </c>
      <c r="I916" s="1" t="s">
        <v>20</v>
      </c>
      <c r="J916" s="1" t="n">
        <v>1</v>
      </c>
    </row>
    <row r="917" customFormat="false" ht="15" hidden="false" customHeight="false" outlineLevel="0" collapsed="false">
      <c r="A917" s="1" t="s">
        <v>1328</v>
      </c>
      <c r="B917" s="4" t="n">
        <v>45821</v>
      </c>
      <c r="C917" s="1" t="s">
        <v>252</v>
      </c>
      <c r="D917" s="1" t="s">
        <v>441</v>
      </c>
      <c r="E917" s="1" t="n">
        <v>1</v>
      </c>
      <c r="F917" s="5" t="n">
        <v>0.05</v>
      </c>
      <c r="G917" s="1" t="s">
        <v>71</v>
      </c>
      <c r="H917" s="1" t="s">
        <v>92</v>
      </c>
      <c r="I917" s="1" t="s">
        <v>38</v>
      </c>
    </row>
    <row r="918" customFormat="false" ht="15" hidden="false" customHeight="false" outlineLevel="0" collapsed="false">
      <c r="A918" s="1" t="s">
        <v>1329</v>
      </c>
      <c r="B918" s="4" t="n">
        <v>45970</v>
      </c>
      <c r="C918" s="1" t="s">
        <v>922</v>
      </c>
      <c r="D918" s="1" t="s">
        <v>81</v>
      </c>
      <c r="E918" s="1" t="n">
        <v>2</v>
      </c>
      <c r="F918" s="5" t="n">
        <v>0.15</v>
      </c>
      <c r="G918" s="1" t="s">
        <v>71</v>
      </c>
      <c r="H918" s="1" t="s">
        <v>14</v>
      </c>
      <c r="I918" s="1" t="s">
        <v>15</v>
      </c>
      <c r="J918" s="1" t="n">
        <v>2</v>
      </c>
    </row>
    <row r="919" customFormat="false" ht="15" hidden="false" customHeight="false" outlineLevel="0" collapsed="false">
      <c r="A919" s="1" t="s">
        <v>1330</v>
      </c>
      <c r="B919" s="4" t="n">
        <v>45962</v>
      </c>
      <c r="C919" s="1" t="s">
        <v>55</v>
      </c>
      <c r="D919" s="1" t="s">
        <v>323</v>
      </c>
      <c r="E919" s="1" t="n">
        <v>1</v>
      </c>
      <c r="F919" s="5" t="n">
        <v>0.1</v>
      </c>
      <c r="G919" s="1" t="s">
        <v>19</v>
      </c>
      <c r="H919" s="1" t="s">
        <v>92</v>
      </c>
      <c r="I919" s="1" t="s">
        <v>20</v>
      </c>
    </row>
    <row r="920" customFormat="false" ht="15" hidden="false" customHeight="false" outlineLevel="0" collapsed="false">
      <c r="A920" s="1" t="s">
        <v>1331</v>
      </c>
      <c r="B920" s="4" t="n">
        <v>45906</v>
      </c>
      <c r="C920" s="1" t="s">
        <v>505</v>
      </c>
      <c r="D920" s="1" t="s">
        <v>554</v>
      </c>
      <c r="E920" s="1" t="n">
        <v>1</v>
      </c>
      <c r="F920" s="5" t="n">
        <v>0.05</v>
      </c>
      <c r="G920" s="1" t="s">
        <v>52</v>
      </c>
      <c r="H920" s="1" t="s">
        <v>78</v>
      </c>
      <c r="I920" s="1" t="s">
        <v>15</v>
      </c>
      <c r="J920" s="1" t="n">
        <v>3</v>
      </c>
    </row>
    <row r="921" customFormat="false" ht="15" hidden="false" customHeight="false" outlineLevel="0" collapsed="false">
      <c r="A921" s="1" t="s">
        <v>1332</v>
      </c>
      <c r="B921" s="4" t="n">
        <v>45665</v>
      </c>
      <c r="C921" s="1" t="s">
        <v>116</v>
      </c>
      <c r="D921" s="1" t="s">
        <v>148</v>
      </c>
      <c r="E921" s="1" t="n">
        <v>1</v>
      </c>
      <c r="F921" s="5" t="n">
        <v>0</v>
      </c>
      <c r="G921" s="1" t="s">
        <v>52</v>
      </c>
      <c r="H921" s="1" t="s">
        <v>14</v>
      </c>
      <c r="I921" s="1" t="s">
        <v>20</v>
      </c>
      <c r="J921" s="1" t="n">
        <v>8</v>
      </c>
    </row>
    <row r="922" customFormat="false" ht="15" hidden="false" customHeight="false" outlineLevel="0" collapsed="false">
      <c r="A922" s="1" t="s">
        <v>1333</v>
      </c>
      <c r="B922" s="4" t="n">
        <v>45935</v>
      </c>
      <c r="C922" s="1" t="s">
        <v>170</v>
      </c>
      <c r="D922" s="1" t="s">
        <v>77</v>
      </c>
      <c r="E922" s="1" t="n">
        <v>2</v>
      </c>
      <c r="F922" s="5" t="n">
        <v>0</v>
      </c>
      <c r="G922" s="1" t="s">
        <v>71</v>
      </c>
      <c r="H922" s="1" t="s">
        <v>14</v>
      </c>
      <c r="I922" s="1" t="s">
        <v>15</v>
      </c>
      <c r="J922" s="1" t="n">
        <v>8</v>
      </c>
    </row>
    <row r="923" customFormat="false" ht="15" hidden="false" customHeight="false" outlineLevel="0" collapsed="false">
      <c r="A923" s="1" t="s">
        <v>1334</v>
      </c>
      <c r="B923" s="4" t="n">
        <v>45697</v>
      </c>
      <c r="C923" s="1" t="s">
        <v>283</v>
      </c>
      <c r="D923" s="1" t="s">
        <v>100</v>
      </c>
      <c r="E923" s="1" t="n">
        <v>1</v>
      </c>
      <c r="F923" s="5" t="n">
        <v>0.05</v>
      </c>
      <c r="G923" s="1" t="s">
        <v>52</v>
      </c>
      <c r="H923" s="1" t="s">
        <v>14</v>
      </c>
      <c r="I923" s="1" t="s">
        <v>20</v>
      </c>
      <c r="J923" s="1" t="n">
        <v>6</v>
      </c>
    </row>
    <row r="924" customFormat="false" ht="15" hidden="false" customHeight="false" outlineLevel="0" collapsed="false">
      <c r="A924" s="1" t="s">
        <v>1335</v>
      </c>
      <c r="B924" s="4" t="n">
        <v>45833</v>
      </c>
      <c r="C924" s="1" t="s">
        <v>836</v>
      </c>
      <c r="D924" s="1" t="s">
        <v>455</v>
      </c>
      <c r="E924" s="1" t="n">
        <v>2</v>
      </c>
      <c r="F924" s="5" t="n">
        <v>0.25</v>
      </c>
      <c r="G924" s="1" t="s">
        <v>24</v>
      </c>
      <c r="H924" s="1" t="s">
        <v>14</v>
      </c>
      <c r="I924" s="1" t="s">
        <v>38</v>
      </c>
      <c r="J924" s="1" t="n">
        <v>6</v>
      </c>
    </row>
    <row r="925" customFormat="false" ht="15" hidden="false" customHeight="false" outlineLevel="0" collapsed="false">
      <c r="A925" s="1" t="s">
        <v>1336</v>
      </c>
      <c r="B925" s="4" t="n">
        <v>45894</v>
      </c>
      <c r="C925" s="1" t="s">
        <v>490</v>
      </c>
      <c r="D925" s="1" t="s">
        <v>27</v>
      </c>
      <c r="E925" s="1" t="n">
        <v>3</v>
      </c>
      <c r="F925" s="5" t="n">
        <v>0.05</v>
      </c>
      <c r="G925" s="1" t="s">
        <v>34</v>
      </c>
      <c r="H925" s="1" t="s">
        <v>14</v>
      </c>
      <c r="I925" s="1" t="s">
        <v>15</v>
      </c>
      <c r="J925" s="1" t="n">
        <v>3</v>
      </c>
    </row>
    <row r="926" customFormat="false" ht="15" hidden="false" customHeight="false" outlineLevel="0" collapsed="false">
      <c r="A926" s="1" t="s">
        <v>1337</v>
      </c>
      <c r="B926" s="4" t="n">
        <v>45798</v>
      </c>
      <c r="C926" s="1" t="s">
        <v>288</v>
      </c>
      <c r="D926" s="1" t="s">
        <v>399</v>
      </c>
      <c r="E926" s="1" t="n">
        <v>1</v>
      </c>
      <c r="F926" s="5" t="n">
        <v>0.1</v>
      </c>
      <c r="G926" s="1" t="s">
        <v>24</v>
      </c>
      <c r="H926" s="1" t="s">
        <v>14</v>
      </c>
      <c r="I926" s="1" t="s">
        <v>15</v>
      </c>
      <c r="J926" s="1" t="n">
        <v>5</v>
      </c>
    </row>
    <row r="927" customFormat="false" ht="15" hidden="false" customHeight="false" outlineLevel="0" collapsed="false">
      <c r="A927" s="1" t="s">
        <v>1338</v>
      </c>
      <c r="B927" s="4" t="n">
        <v>45922</v>
      </c>
      <c r="C927" s="1" t="s">
        <v>1339</v>
      </c>
      <c r="D927" s="1" t="s">
        <v>77</v>
      </c>
      <c r="E927" s="1" t="n">
        <v>2</v>
      </c>
      <c r="F927" s="5" t="n">
        <v>0</v>
      </c>
      <c r="G927" s="1" t="s">
        <v>19</v>
      </c>
      <c r="H927" s="1" t="s">
        <v>14</v>
      </c>
      <c r="I927" s="1" t="s">
        <v>15</v>
      </c>
      <c r="J927" s="1" t="n">
        <v>7</v>
      </c>
    </row>
    <row r="928" customFormat="false" ht="15" hidden="false" customHeight="false" outlineLevel="0" collapsed="false">
      <c r="A928" s="1" t="s">
        <v>1340</v>
      </c>
      <c r="B928" s="4" t="n">
        <v>45723</v>
      </c>
      <c r="C928" s="1" t="s">
        <v>922</v>
      </c>
      <c r="D928" s="1" t="s">
        <v>192</v>
      </c>
      <c r="E928" s="1" t="n">
        <v>1</v>
      </c>
      <c r="F928" s="5" t="n">
        <v>0.2</v>
      </c>
      <c r="G928" s="1" t="s">
        <v>34</v>
      </c>
      <c r="H928" s="1" t="s">
        <v>14</v>
      </c>
      <c r="I928" s="1" t="s">
        <v>20</v>
      </c>
      <c r="J928" s="1" t="n">
        <v>6</v>
      </c>
    </row>
    <row r="929" customFormat="false" ht="15" hidden="false" customHeight="false" outlineLevel="0" collapsed="false">
      <c r="A929" s="1" t="s">
        <v>1341</v>
      </c>
      <c r="B929" s="4" t="n">
        <v>45969</v>
      </c>
      <c r="C929" s="1" t="s">
        <v>1233</v>
      </c>
      <c r="D929" s="1" t="s">
        <v>484</v>
      </c>
      <c r="E929" s="1" t="n">
        <v>1</v>
      </c>
      <c r="F929" s="5" t="n">
        <v>0.05</v>
      </c>
      <c r="G929" s="1" t="s">
        <v>34</v>
      </c>
      <c r="H929" s="1" t="s">
        <v>53</v>
      </c>
      <c r="I929" s="1" t="s">
        <v>20</v>
      </c>
      <c r="J929" s="1" t="n">
        <v>5</v>
      </c>
    </row>
    <row r="930" customFormat="false" ht="15" hidden="false" customHeight="false" outlineLevel="0" collapsed="false">
      <c r="A930" s="1" t="s">
        <v>1342</v>
      </c>
      <c r="B930" s="4" t="n">
        <v>45985</v>
      </c>
      <c r="C930" s="1" t="s">
        <v>302</v>
      </c>
      <c r="D930" s="1" t="s">
        <v>179</v>
      </c>
      <c r="E930" s="1" t="n">
        <v>3</v>
      </c>
      <c r="F930" s="5" t="n">
        <v>0.1</v>
      </c>
      <c r="G930" s="1" t="s">
        <v>52</v>
      </c>
      <c r="H930" s="1" t="s">
        <v>14</v>
      </c>
      <c r="I930" s="1" t="s">
        <v>15</v>
      </c>
      <c r="J930" s="1" t="n">
        <v>8</v>
      </c>
    </row>
    <row r="931" customFormat="false" ht="15" hidden="false" customHeight="false" outlineLevel="0" collapsed="false">
      <c r="A931" s="1" t="s">
        <v>1343</v>
      </c>
      <c r="B931" s="4" t="n">
        <v>46001</v>
      </c>
      <c r="C931" s="1" t="s">
        <v>562</v>
      </c>
      <c r="D931" s="1" t="s">
        <v>245</v>
      </c>
      <c r="E931" s="1" t="n">
        <v>1</v>
      </c>
      <c r="F931" s="5" t="n">
        <v>0.15</v>
      </c>
      <c r="G931" s="1" t="s">
        <v>19</v>
      </c>
      <c r="H931" s="1" t="s">
        <v>14</v>
      </c>
      <c r="I931" s="1" t="s">
        <v>38</v>
      </c>
      <c r="J931" s="1" t="n">
        <v>6</v>
      </c>
    </row>
    <row r="932" customFormat="false" ht="15" hidden="false" customHeight="false" outlineLevel="0" collapsed="false">
      <c r="A932" s="1" t="s">
        <v>1344</v>
      </c>
      <c r="B932" s="4" t="n">
        <v>45967</v>
      </c>
      <c r="C932" s="1" t="s">
        <v>22</v>
      </c>
      <c r="D932" s="1" t="s">
        <v>264</v>
      </c>
      <c r="E932" s="1" t="n">
        <v>1</v>
      </c>
      <c r="F932" s="5" t="n">
        <v>0</v>
      </c>
      <c r="G932" s="1" t="s">
        <v>34</v>
      </c>
      <c r="H932" s="1" t="s">
        <v>78</v>
      </c>
      <c r="I932" s="1" t="s">
        <v>38</v>
      </c>
      <c r="J932" s="1" t="n">
        <v>7</v>
      </c>
    </row>
    <row r="933" customFormat="false" ht="15" hidden="false" customHeight="false" outlineLevel="0" collapsed="false">
      <c r="A933" s="1" t="s">
        <v>1345</v>
      </c>
      <c r="B933" s="4" t="n">
        <v>45966</v>
      </c>
      <c r="C933" s="1" t="s">
        <v>88</v>
      </c>
      <c r="D933" s="1" t="s">
        <v>323</v>
      </c>
      <c r="E933" s="1" t="n">
        <v>1</v>
      </c>
      <c r="F933" s="5" t="n">
        <v>0.2</v>
      </c>
      <c r="G933" s="1" t="s">
        <v>19</v>
      </c>
      <c r="H933" s="1" t="s">
        <v>14</v>
      </c>
      <c r="I933" s="1" t="s">
        <v>15</v>
      </c>
      <c r="J933" s="1" t="n">
        <v>6</v>
      </c>
    </row>
    <row r="934" customFormat="false" ht="15" hidden="false" customHeight="false" outlineLevel="0" collapsed="false">
      <c r="A934" s="1" t="s">
        <v>1346</v>
      </c>
      <c r="B934" s="4" t="n">
        <v>45823</v>
      </c>
      <c r="C934" s="1" t="s">
        <v>805</v>
      </c>
      <c r="D934" s="1" t="s">
        <v>455</v>
      </c>
      <c r="E934" s="1" t="n">
        <v>1</v>
      </c>
      <c r="F934" s="5" t="n">
        <v>0.05</v>
      </c>
      <c r="G934" s="1" t="s">
        <v>34</v>
      </c>
      <c r="H934" s="1" t="s">
        <v>14</v>
      </c>
      <c r="I934" s="1" t="s">
        <v>20</v>
      </c>
      <c r="J934" s="1" t="n">
        <v>5</v>
      </c>
    </row>
    <row r="935" customFormat="false" ht="15" hidden="false" customHeight="false" outlineLevel="0" collapsed="false">
      <c r="A935" s="1" t="s">
        <v>1347</v>
      </c>
      <c r="B935" s="4" t="n">
        <v>45703</v>
      </c>
      <c r="C935" s="1" t="s">
        <v>331</v>
      </c>
      <c r="D935" s="1" t="s">
        <v>429</v>
      </c>
      <c r="E935" s="1" t="n">
        <v>3</v>
      </c>
      <c r="F935" s="5" t="n">
        <v>0.05</v>
      </c>
      <c r="G935" s="1" t="s">
        <v>34</v>
      </c>
      <c r="H935" s="1" t="s">
        <v>14</v>
      </c>
      <c r="I935" s="1" t="s">
        <v>15</v>
      </c>
      <c r="J935" s="1" t="n">
        <v>5</v>
      </c>
    </row>
    <row r="936" customFormat="false" ht="15" hidden="false" customHeight="false" outlineLevel="0" collapsed="false">
      <c r="A936" s="1" t="s">
        <v>1348</v>
      </c>
      <c r="B936" s="4" t="n">
        <v>45928</v>
      </c>
      <c r="C936" s="1" t="s">
        <v>1109</v>
      </c>
      <c r="D936" s="1" t="s">
        <v>253</v>
      </c>
      <c r="E936" s="1" t="n">
        <v>3</v>
      </c>
      <c r="F936" s="5" t="n">
        <v>0.1</v>
      </c>
      <c r="G936" s="1" t="s">
        <v>71</v>
      </c>
      <c r="H936" s="1" t="s">
        <v>14</v>
      </c>
      <c r="I936" s="1" t="s">
        <v>15</v>
      </c>
      <c r="J936" s="1" t="n">
        <v>4</v>
      </c>
    </row>
    <row r="937" customFormat="false" ht="15" hidden="false" customHeight="false" outlineLevel="0" collapsed="false">
      <c r="A937" s="1" t="s">
        <v>1349</v>
      </c>
      <c r="B937" s="4" t="n">
        <v>45839</v>
      </c>
      <c r="C937" s="1" t="s">
        <v>536</v>
      </c>
      <c r="D937" s="1" t="s">
        <v>77</v>
      </c>
      <c r="E937" s="1" t="n">
        <v>1</v>
      </c>
      <c r="F937" s="5" t="n">
        <v>0</v>
      </c>
      <c r="G937" s="1" t="s">
        <v>52</v>
      </c>
      <c r="H937" s="1" t="s">
        <v>14</v>
      </c>
      <c r="I937" s="1" t="s">
        <v>15</v>
      </c>
      <c r="J937" s="1" t="n">
        <v>7</v>
      </c>
    </row>
    <row r="938" customFormat="false" ht="15" hidden="false" customHeight="false" outlineLevel="0" collapsed="false">
      <c r="A938" s="1" t="s">
        <v>1350</v>
      </c>
      <c r="B938" s="4" t="n">
        <v>45802</v>
      </c>
      <c r="C938" s="1" t="s">
        <v>194</v>
      </c>
      <c r="D938" s="1" t="s">
        <v>114</v>
      </c>
      <c r="E938" s="1" t="n">
        <v>2</v>
      </c>
      <c r="F938" s="5" t="n">
        <v>0.1</v>
      </c>
      <c r="G938" s="1" t="s">
        <v>71</v>
      </c>
      <c r="H938" s="1" t="s">
        <v>78</v>
      </c>
      <c r="I938" s="1" t="s">
        <v>15</v>
      </c>
      <c r="J938" s="1" t="n">
        <v>7</v>
      </c>
    </row>
    <row r="939" customFormat="false" ht="15" hidden="false" customHeight="false" outlineLevel="0" collapsed="false">
      <c r="A939" s="1" t="s">
        <v>1351</v>
      </c>
      <c r="B939" s="4" t="n">
        <v>45992</v>
      </c>
      <c r="C939" s="1" t="s">
        <v>1056</v>
      </c>
      <c r="D939" s="1" t="s">
        <v>134</v>
      </c>
      <c r="E939" s="1" t="n">
        <v>2</v>
      </c>
      <c r="F939" s="5" t="n">
        <v>0.15</v>
      </c>
      <c r="G939" s="1" t="s">
        <v>52</v>
      </c>
      <c r="H939" s="1" t="s">
        <v>53</v>
      </c>
      <c r="I939" s="1" t="s">
        <v>15</v>
      </c>
      <c r="J939" s="1" t="n">
        <v>3</v>
      </c>
    </row>
    <row r="940" customFormat="false" ht="15" hidden="false" customHeight="false" outlineLevel="0" collapsed="false">
      <c r="A940" s="1" t="s">
        <v>1352</v>
      </c>
      <c r="B940" s="4" t="n">
        <v>45926</v>
      </c>
      <c r="C940" s="1" t="s">
        <v>530</v>
      </c>
      <c r="D940" s="1" t="s">
        <v>985</v>
      </c>
      <c r="E940" s="1" t="n">
        <v>2</v>
      </c>
      <c r="F940" s="5" t="n">
        <v>0.05</v>
      </c>
      <c r="G940" s="1" t="s">
        <v>71</v>
      </c>
      <c r="H940" s="1" t="s">
        <v>14</v>
      </c>
      <c r="I940" s="1" t="s">
        <v>20</v>
      </c>
      <c r="J940" s="1" t="n">
        <v>2</v>
      </c>
    </row>
    <row r="941" customFormat="false" ht="15" hidden="false" customHeight="false" outlineLevel="0" collapsed="false">
      <c r="A941" s="1" t="s">
        <v>1353</v>
      </c>
      <c r="B941" s="4" t="n">
        <v>45694</v>
      </c>
      <c r="C941" s="1" t="s">
        <v>157</v>
      </c>
      <c r="D941" s="1" t="s">
        <v>255</v>
      </c>
      <c r="E941" s="1" t="n">
        <v>1</v>
      </c>
      <c r="F941" s="5" t="n">
        <v>0.05</v>
      </c>
      <c r="G941" s="1" t="s">
        <v>52</v>
      </c>
      <c r="H941" s="1" t="s">
        <v>14</v>
      </c>
      <c r="I941" s="1" t="s">
        <v>38</v>
      </c>
      <c r="J941" s="1" t="n">
        <v>2</v>
      </c>
    </row>
    <row r="942" customFormat="false" ht="15" hidden="false" customHeight="false" outlineLevel="0" collapsed="false">
      <c r="A942" s="1" t="s">
        <v>1354</v>
      </c>
      <c r="B942" s="4" t="n">
        <v>45784</v>
      </c>
      <c r="C942" s="1" t="s">
        <v>291</v>
      </c>
      <c r="D942" s="1" t="s">
        <v>446</v>
      </c>
      <c r="E942" s="1" t="n">
        <v>2</v>
      </c>
      <c r="F942" s="5" t="n">
        <v>0</v>
      </c>
      <c r="G942" s="1" t="s">
        <v>52</v>
      </c>
      <c r="H942" s="1" t="s">
        <v>14</v>
      </c>
      <c r="I942" s="1" t="s">
        <v>20</v>
      </c>
      <c r="J942" s="1" t="n">
        <v>2</v>
      </c>
    </row>
    <row r="943" customFormat="false" ht="15" hidden="false" customHeight="false" outlineLevel="0" collapsed="false">
      <c r="A943" s="1" t="s">
        <v>1355</v>
      </c>
      <c r="B943" s="4" t="n">
        <v>45761</v>
      </c>
      <c r="C943" s="1" t="s">
        <v>73</v>
      </c>
      <c r="D943" s="1" t="s">
        <v>286</v>
      </c>
      <c r="E943" s="1" t="n">
        <v>3</v>
      </c>
      <c r="F943" s="5" t="n">
        <v>0.05</v>
      </c>
      <c r="G943" s="1" t="s">
        <v>24</v>
      </c>
      <c r="H943" s="1" t="s">
        <v>45</v>
      </c>
      <c r="I943" s="1" t="s">
        <v>15</v>
      </c>
    </row>
    <row r="944" customFormat="false" ht="15" hidden="false" customHeight="false" outlineLevel="0" collapsed="false">
      <c r="A944" s="1" t="s">
        <v>1356</v>
      </c>
      <c r="B944" s="4" t="n">
        <v>45857</v>
      </c>
      <c r="C944" s="1" t="s">
        <v>532</v>
      </c>
      <c r="D944" s="1" t="s">
        <v>89</v>
      </c>
      <c r="E944" s="1" t="n">
        <v>1</v>
      </c>
      <c r="F944" s="5" t="n">
        <v>0</v>
      </c>
      <c r="G944" s="1" t="s">
        <v>19</v>
      </c>
      <c r="H944" s="1" t="s">
        <v>53</v>
      </c>
      <c r="I944" s="1" t="s">
        <v>15</v>
      </c>
      <c r="J944" s="1" t="n">
        <v>4</v>
      </c>
    </row>
    <row r="945" customFormat="false" ht="15" hidden="false" customHeight="false" outlineLevel="0" collapsed="false">
      <c r="A945" s="1" t="s">
        <v>1357</v>
      </c>
      <c r="B945" s="4" t="n">
        <v>45806</v>
      </c>
      <c r="C945" s="1" t="s">
        <v>32</v>
      </c>
      <c r="D945" s="1" t="s">
        <v>444</v>
      </c>
      <c r="E945" s="1" t="n">
        <v>3</v>
      </c>
      <c r="F945" s="5" t="n">
        <v>0.05</v>
      </c>
      <c r="G945" s="1" t="s">
        <v>24</v>
      </c>
      <c r="H945" s="1" t="s">
        <v>14</v>
      </c>
      <c r="I945" s="1" t="s">
        <v>15</v>
      </c>
      <c r="J945" s="1" t="n">
        <v>1</v>
      </c>
    </row>
    <row r="946" customFormat="false" ht="15" hidden="false" customHeight="false" outlineLevel="0" collapsed="false">
      <c r="A946" s="1" t="s">
        <v>1358</v>
      </c>
      <c r="B946" s="4" t="n">
        <v>45684</v>
      </c>
      <c r="C946" s="1" t="s">
        <v>124</v>
      </c>
      <c r="D946" s="1" t="s">
        <v>441</v>
      </c>
      <c r="E946" s="1" t="n">
        <v>3</v>
      </c>
      <c r="F946" s="5" t="n">
        <v>0.05</v>
      </c>
      <c r="G946" s="1" t="s">
        <v>52</v>
      </c>
      <c r="H946" s="1" t="s">
        <v>92</v>
      </c>
      <c r="I946" s="1" t="s">
        <v>15</v>
      </c>
    </row>
    <row r="947" customFormat="false" ht="15" hidden="false" customHeight="false" outlineLevel="0" collapsed="false">
      <c r="A947" s="1" t="s">
        <v>1359</v>
      </c>
      <c r="B947" s="4" t="n">
        <v>45838</v>
      </c>
      <c r="C947" s="1" t="s">
        <v>249</v>
      </c>
      <c r="D947" s="1" t="s">
        <v>81</v>
      </c>
      <c r="E947" s="1" t="n">
        <v>2</v>
      </c>
      <c r="F947" s="5" t="n">
        <v>0.15</v>
      </c>
      <c r="G947" s="1" t="s">
        <v>52</v>
      </c>
      <c r="H947" s="1" t="s">
        <v>14</v>
      </c>
      <c r="I947" s="1" t="s">
        <v>38</v>
      </c>
      <c r="J947" s="1" t="n">
        <v>4</v>
      </c>
    </row>
    <row r="948" customFormat="false" ht="15" hidden="false" customHeight="false" outlineLevel="0" collapsed="false">
      <c r="A948" s="1" t="s">
        <v>1360</v>
      </c>
      <c r="B948" s="4" t="n">
        <v>45750</v>
      </c>
      <c r="C948" s="1" t="s">
        <v>520</v>
      </c>
      <c r="D948" s="1" t="s">
        <v>554</v>
      </c>
      <c r="E948" s="1" t="n">
        <v>2</v>
      </c>
      <c r="F948" s="5" t="n">
        <v>0.15</v>
      </c>
      <c r="G948" s="1" t="s">
        <v>19</v>
      </c>
      <c r="H948" s="1" t="s">
        <v>92</v>
      </c>
      <c r="I948" s="1" t="s">
        <v>15</v>
      </c>
    </row>
    <row r="949" customFormat="false" ht="15" hidden="false" customHeight="false" outlineLevel="0" collapsed="false">
      <c r="A949" s="1" t="s">
        <v>1361</v>
      </c>
      <c r="B949" s="4" t="n">
        <v>45733</v>
      </c>
      <c r="C949" s="1" t="s">
        <v>503</v>
      </c>
      <c r="D949" s="1" t="s">
        <v>341</v>
      </c>
      <c r="E949" s="1" t="n">
        <v>1</v>
      </c>
      <c r="F949" s="5" t="n">
        <v>0.05</v>
      </c>
      <c r="G949" s="1" t="s">
        <v>24</v>
      </c>
      <c r="H949" s="1" t="s">
        <v>14</v>
      </c>
      <c r="I949" s="1" t="s">
        <v>38</v>
      </c>
      <c r="J949" s="1" t="n">
        <v>4</v>
      </c>
    </row>
    <row r="950" customFormat="false" ht="15" hidden="false" customHeight="false" outlineLevel="0" collapsed="false">
      <c r="A950" s="1" t="s">
        <v>1362</v>
      </c>
      <c r="B950" s="4" t="n">
        <v>45706</v>
      </c>
      <c r="C950" s="1" t="s">
        <v>150</v>
      </c>
      <c r="D950" s="1" t="s">
        <v>109</v>
      </c>
      <c r="E950" s="1" t="n">
        <v>1</v>
      </c>
      <c r="F950" s="5" t="n">
        <v>0.1</v>
      </c>
      <c r="G950" s="1" t="s">
        <v>52</v>
      </c>
      <c r="H950" s="1" t="s">
        <v>14</v>
      </c>
      <c r="I950" s="1" t="s">
        <v>38</v>
      </c>
      <c r="J950" s="1" t="n">
        <v>4</v>
      </c>
    </row>
    <row r="951" customFormat="false" ht="15" hidden="false" customHeight="false" outlineLevel="0" collapsed="false">
      <c r="A951" s="1" t="s">
        <v>1363</v>
      </c>
      <c r="B951" s="4" t="n">
        <v>45798</v>
      </c>
      <c r="C951" s="1" t="s">
        <v>338</v>
      </c>
      <c r="D951" s="1" t="s">
        <v>117</v>
      </c>
      <c r="E951" s="1" t="n">
        <v>1</v>
      </c>
      <c r="F951" s="5" t="n">
        <v>0.05</v>
      </c>
      <c r="G951" s="1" t="s">
        <v>13</v>
      </c>
      <c r="H951" s="1" t="s">
        <v>45</v>
      </c>
      <c r="I951" s="1" t="s">
        <v>15</v>
      </c>
    </row>
    <row r="952" customFormat="false" ht="15" hidden="false" customHeight="false" outlineLevel="0" collapsed="false">
      <c r="A952" s="1" t="s">
        <v>1364</v>
      </c>
      <c r="B952" s="4" t="n">
        <v>45811</v>
      </c>
      <c r="C952" s="1" t="s">
        <v>96</v>
      </c>
      <c r="D952" s="1" t="s">
        <v>253</v>
      </c>
      <c r="E952" s="1" t="n">
        <v>3</v>
      </c>
      <c r="F952" s="5" t="n">
        <v>0.2</v>
      </c>
      <c r="G952" s="1" t="s">
        <v>19</v>
      </c>
      <c r="H952" s="1" t="s">
        <v>14</v>
      </c>
      <c r="I952" s="1" t="s">
        <v>15</v>
      </c>
      <c r="J952" s="1" t="n">
        <v>6</v>
      </c>
    </row>
    <row r="953" customFormat="false" ht="15" hidden="false" customHeight="false" outlineLevel="0" collapsed="false">
      <c r="A953" s="1" t="s">
        <v>1365</v>
      </c>
      <c r="B953" s="4" t="n">
        <v>45815</v>
      </c>
      <c r="C953" s="1" t="s">
        <v>188</v>
      </c>
      <c r="D953" s="1" t="s">
        <v>257</v>
      </c>
      <c r="E953" s="1" t="n">
        <v>1</v>
      </c>
      <c r="F953" s="5" t="n">
        <v>0.25</v>
      </c>
      <c r="G953" s="1" t="s">
        <v>19</v>
      </c>
      <c r="H953" s="1" t="s">
        <v>53</v>
      </c>
      <c r="I953" s="1" t="s">
        <v>20</v>
      </c>
      <c r="J953" s="1" t="n">
        <v>6</v>
      </c>
    </row>
    <row r="954" customFormat="false" ht="15" hidden="false" customHeight="false" outlineLevel="0" collapsed="false">
      <c r="A954" s="1" t="s">
        <v>1366</v>
      </c>
      <c r="B954" s="4" t="n">
        <v>45996</v>
      </c>
      <c r="C954" s="1" t="s">
        <v>1118</v>
      </c>
      <c r="D954" s="1" t="s">
        <v>74</v>
      </c>
      <c r="E954" s="1" t="n">
        <v>1</v>
      </c>
      <c r="F954" s="5" t="n">
        <v>0.1</v>
      </c>
      <c r="G954" s="1" t="s">
        <v>52</v>
      </c>
      <c r="H954" s="1" t="s">
        <v>14</v>
      </c>
      <c r="I954" s="1" t="s">
        <v>15</v>
      </c>
      <c r="J954" s="1" t="n">
        <v>7</v>
      </c>
    </row>
    <row r="955" customFormat="false" ht="15" hidden="false" customHeight="false" outlineLevel="0" collapsed="false">
      <c r="A955" s="1" t="s">
        <v>1367</v>
      </c>
      <c r="B955" s="4" t="n">
        <v>45777</v>
      </c>
      <c r="C955" s="1" t="s">
        <v>440</v>
      </c>
      <c r="D955" s="1" t="s">
        <v>176</v>
      </c>
      <c r="E955" s="1" t="n">
        <v>3</v>
      </c>
      <c r="F955" s="5" t="n">
        <v>0.25</v>
      </c>
      <c r="G955" s="1" t="s">
        <v>34</v>
      </c>
      <c r="H955" s="1" t="s">
        <v>14</v>
      </c>
      <c r="I955" s="1" t="s">
        <v>15</v>
      </c>
      <c r="J955" s="1" t="n">
        <v>4</v>
      </c>
    </row>
    <row r="956" customFormat="false" ht="15" hidden="false" customHeight="false" outlineLevel="0" collapsed="false">
      <c r="A956" s="1" t="s">
        <v>1368</v>
      </c>
      <c r="B956" s="4" t="n">
        <v>45671</v>
      </c>
      <c r="C956" s="1" t="s">
        <v>43</v>
      </c>
      <c r="D956" s="1" t="s">
        <v>216</v>
      </c>
      <c r="E956" s="1" t="n">
        <v>1</v>
      </c>
      <c r="F956" s="5" t="n">
        <v>0</v>
      </c>
      <c r="G956" s="1" t="s">
        <v>24</v>
      </c>
      <c r="H956" s="1" t="s">
        <v>14</v>
      </c>
      <c r="I956" s="1" t="s">
        <v>15</v>
      </c>
      <c r="J956" s="1" t="n">
        <v>5</v>
      </c>
    </row>
    <row r="957" customFormat="false" ht="15" hidden="false" customHeight="false" outlineLevel="0" collapsed="false">
      <c r="A957" s="1" t="s">
        <v>1369</v>
      </c>
      <c r="B957" s="4" t="n">
        <v>45735</v>
      </c>
      <c r="C957" s="1" t="s">
        <v>1019</v>
      </c>
      <c r="D957" s="1" t="s">
        <v>168</v>
      </c>
      <c r="E957" s="1" t="n">
        <v>1</v>
      </c>
      <c r="F957" s="5" t="n">
        <v>0.15</v>
      </c>
      <c r="G957" s="1" t="s">
        <v>24</v>
      </c>
      <c r="H957" s="1" t="s">
        <v>92</v>
      </c>
      <c r="I957" s="1" t="s">
        <v>38</v>
      </c>
    </row>
    <row r="958" customFormat="false" ht="15" hidden="false" customHeight="false" outlineLevel="0" collapsed="false">
      <c r="A958" s="1" t="s">
        <v>1370</v>
      </c>
      <c r="B958" s="4" t="n">
        <v>45962</v>
      </c>
      <c r="C958" s="1" t="s">
        <v>536</v>
      </c>
      <c r="D958" s="1" t="s">
        <v>423</v>
      </c>
      <c r="E958" s="1" t="n">
        <v>1</v>
      </c>
      <c r="F958" s="5" t="n">
        <v>0.2</v>
      </c>
      <c r="G958" s="1" t="s">
        <v>52</v>
      </c>
      <c r="H958" s="1" t="s">
        <v>14</v>
      </c>
      <c r="I958" s="1" t="s">
        <v>15</v>
      </c>
      <c r="J958" s="1" t="n">
        <v>7</v>
      </c>
    </row>
    <row r="959" customFormat="false" ht="15" hidden="false" customHeight="false" outlineLevel="0" collapsed="false">
      <c r="A959" s="1" t="s">
        <v>1371</v>
      </c>
      <c r="B959" s="4" t="n">
        <v>45908</v>
      </c>
      <c r="C959" s="1" t="s">
        <v>273</v>
      </c>
      <c r="D959" s="1" t="s">
        <v>444</v>
      </c>
      <c r="E959" s="1" t="n">
        <v>2</v>
      </c>
      <c r="F959" s="5" t="n">
        <v>0.05</v>
      </c>
      <c r="G959" s="1" t="s">
        <v>19</v>
      </c>
      <c r="H959" s="1" t="s">
        <v>14</v>
      </c>
      <c r="I959" s="1" t="s">
        <v>38</v>
      </c>
      <c r="J959" s="1" t="n">
        <v>7</v>
      </c>
    </row>
    <row r="960" customFormat="false" ht="15" hidden="false" customHeight="false" outlineLevel="0" collapsed="false">
      <c r="A960" s="1" t="s">
        <v>1372</v>
      </c>
      <c r="B960" s="4" t="n">
        <v>45997</v>
      </c>
      <c r="C960" s="1" t="s">
        <v>273</v>
      </c>
      <c r="D960" s="1" t="s">
        <v>286</v>
      </c>
      <c r="E960" s="1" t="n">
        <v>3</v>
      </c>
      <c r="F960" s="5" t="n">
        <v>0.1</v>
      </c>
      <c r="G960" s="1" t="s">
        <v>24</v>
      </c>
      <c r="H960" s="1" t="s">
        <v>14</v>
      </c>
      <c r="I960" s="1" t="s">
        <v>20</v>
      </c>
      <c r="J960" s="1" t="n">
        <v>7</v>
      </c>
    </row>
    <row r="961" customFormat="false" ht="15" hidden="false" customHeight="false" outlineLevel="0" collapsed="false">
      <c r="A961" s="1" t="s">
        <v>1373</v>
      </c>
      <c r="B961" s="4" t="n">
        <v>45980</v>
      </c>
      <c r="C961" s="1" t="s">
        <v>422</v>
      </c>
      <c r="D961" s="1" t="s">
        <v>148</v>
      </c>
      <c r="E961" s="1" t="n">
        <v>3</v>
      </c>
      <c r="F961" s="5" t="n">
        <v>0.15</v>
      </c>
      <c r="G961" s="1" t="s">
        <v>52</v>
      </c>
      <c r="H961" s="1" t="s">
        <v>14</v>
      </c>
      <c r="I961" s="1" t="s">
        <v>20</v>
      </c>
      <c r="J961" s="1" t="n">
        <v>2</v>
      </c>
    </row>
    <row r="962" customFormat="false" ht="15" hidden="false" customHeight="false" outlineLevel="0" collapsed="false">
      <c r="A962" s="1" t="s">
        <v>1374</v>
      </c>
      <c r="B962" s="4" t="n">
        <v>45758</v>
      </c>
      <c r="C962" s="1" t="s">
        <v>440</v>
      </c>
      <c r="D962" s="1" t="s">
        <v>23</v>
      </c>
      <c r="E962" s="1" t="n">
        <v>3</v>
      </c>
      <c r="F962" s="5" t="n">
        <v>0.05</v>
      </c>
      <c r="G962" s="1" t="s">
        <v>24</v>
      </c>
      <c r="H962" s="1" t="s">
        <v>14</v>
      </c>
      <c r="I962" s="1" t="s">
        <v>20</v>
      </c>
      <c r="J962" s="1" t="n">
        <v>3</v>
      </c>
    </row>
    <row r="963" customFormat="false" ht="15" hidden="false" customHeight="false" outlineLevel="0" collapsed="false">
      <c r="A963" s="1" t="s">
        <v>1375</v>
      </c>
      <c r="B963" s="4" t="n">
        <v>45984</v>
      </c>
      <c r="C963" s="1" t="s">
        <v>153</v>
      </c>
      <c r="D963" s="1" t="s">
        <v>230</v>
      </c>
      <c r="E963" s="1" t="n">
        <v>2</v>
      </c>
      <c r="F963" s="5" t="n">
        <v>0.05</v>
      </c>
      <c r="G963" s="1" t="s">
        <v>52</v>
      </c>
      <c r="H963" s="1" t="s">
        <v>14</v>
      </c>
      <c r="I963" s="1" t="s">
        <v>15</v>
      </c>
      <c r="J963" s="1" t="n">
        <v>5</v>
      </c>
    </row>
    <row r="964" customFormat="false" ht="15" hidden="false" customHeight="false" outlineLevel="0" collapsed="false">
      <c r="A964" s="1" t="s">
        <v>1376</v>
      </c>
      <c r="B964" s="4" t="n">
        <v>45949</v>
      </c>
      <c r="C964" s="1" t="s">
        <v>347</v>
      </c>
      <c r="D964" s="1" t="s">
        <v>323</v>
      </c>
      <c r="E964" s="1" t="n">
        <v>2</v>
      </c>
      <c r="F964" s="5" t="n">
        <v>0</v>
      </c>
      <c r="G964" s="1" t="s">
        <v>24</v>
      </c>
      <c r="H964" s="1" t="s">
        <v>14</v>
      </c>
      <c r="I964" s="1" t="s">
        <v>38</v>
      </c>
      <c r="J964" s="1" t="n">
        <v>4</v>
      </c>
    </row>
    <row r="965" customFormat="false" ht="15" hidden="false" customHeight="false" outlineLevel="0" collapsed="false">
      <c r="A965" s="1" t="s">
        <v>1377</v>
      </c>
      <c r="B965" s="4" t="n">
        <v>45892</v>
      </c>
      <c r="C965" s="1" t="s">
        <v>659</v>
      </c>
      <c r="D965" s="1" t="s">
        <v>455</v>
      </c>
      <c r="E965" s="1" t="n">
        <v>1</v>
      </c>
      <c r="F965" s="5" t="n">
        <v>0.1</v>
      </c>
      <c r="G965" s="1" t="s">
        <v>52</v>
      </c>
      <c r="H965" s="1" t="s">
        <v>14</v>
      </c>
      <c r="I965" s="1" t="s">
        <v>15</v>
      </c>
      <c r="J965" s="1" t="n">
        <v>7</v>
      </c>
    </row>
    <row r="966" customFormat="false" ht="15" hidden="false" customHeight="false" outlineLevel="0" collapsed="false">
      <c r="A966" s="1" t="s">
        <v>1378</v>
      </c>
      <c r="B966" s="4" t="n">
        <v>45676</v>
      </c>
      <c r="C966" s="1" t="s">
        <v>76</v>
      </c>
      <c r="D966" s="1" t="s">
        <v>197</v>
      </c>
      <c r="E966" s="1" t="n">
        <v>2</v>
      </c>
      <c r="F966" s="5" t="n">
        <v>0.1</v>
      </c>
      <c r="G966" s="1" t="s">
        <v>52</v>
      </c>
      <c r="H966" s="1" t="s">
        <v>14</v>
      </c>
      <c r="I966" s="1" t="s">
        <v>38</v>
      </c>
      <c r="J966" s="1" t="n">
        <v>1</v>
      </c>
    </row>
    <row r="967" customFormat="false" ht="15" hidden="false" customHeight="false" outlineLevel="0" collapsed="false">
      <c r="A967" s="1" t="s">
        <v>1379</v>
      </c>
      <c r="B967" s="4" t="n">
        <v>45760</v>
      </c>
      <c r="C967" s="1" t="s">
        <v>26</v>
      </c>
      <c r="D967" s="1" t="s">
        <v>270</v>
      </c>
      <c r="E967" s="1" t="n">
        <v>1</v>
      </c>
      <c r="F967" s="5" t="n">
        <v>0.2</v>
      </c>
      <c r="G967" s="1" t="s">
        <v>34</v>
      </c>
      <c r="H967" s="1" t="s">
        <v>14</v>
      </c>
      <c r="I967" s="1" t="s">
        <v>15</v>
      </c>
      <c r="J967" s="1" t="n">
        <v>4</v>
      </c>
    </row>
    <row r="968" customFormat="false" ht="15" hidden="false" customHeight="false" outlineLevel="0" collapsed="false">
      <c r="A968" s="1" t="s">
        <v>1380</v>
      </c>
      <c r="B968" s="4" t="n">
        <v>45988</v>
      </c>
      <c r="C968" s="1" t="s">
        <v>314</v>
      </c>
      <c r="D968" s="1" t="s">
        <v>230</v>
      </c>
      <c r="E968" s="1" t="n">
        <v>2</v>
      </c>
      <c r="F968" s="5" t="n">
        <v>0</v>
      </c>
      <c r="G968" s="1" t="s">
        <v>52</v>
      </c>
      <c r="H968" s="1" t="s">
        <v>45</v>
      </c>
      <c r="I968" s="1" t="s">
        <v>20</v>
      </c>
    </row>
    <row r="969" customFormat="false" ht="15" hidden="false" customHeight="false" outlineLevel="0" collapsed="false">
      <c r="A969" s="1" t="s">
        <v>1381</v>
      </c>
      <c r="B969" s="4" t="n">
        <v>45681</v>
      </c>
      <c r="C969" s="1" t="s">
        <v>696</v>
      </c>
      <c r="D969" s="1" t="s">
        <v>114</v>
      </c>
      <c r="E969" s="1" t="n">
        <v>2</v>
      </c>
      <c r="F969" s="5" t="n">
        <v>0.05</v>
      </c>
      <c r="G969" s="1" t="s">
        <v>52</v>
      </c>
      <c r="H969" s="1" t="s">
        <v>14</v>
      </c>
      <c r="I969" s="1" t="s">
        <v>38</v>
      </c>
      <c r="J969" s="1" t="n">
        <v>2</v>
      </c>
    </row>
    <row r="970" customFormat="false" ht="15" hidden="false" customHeight="false" outlineLevel="0" collapsed="false">
      <c r="A970" s="1" t="s">
        <v>1382</v>
      </c>
      <c r="B970" s="4" t="n">
        <v>45715</v>
      </c>
      <c r="C970" s="1" t="s">
        <v>503</v>
      </c>
      <c r="D970" s="1" t="s">
        <v>493</v>
      </c>
      <c r="E970" s="1" t="n">
        <v>2</v>
      </c>
      <c r="F970" s="5" t="n">
        <v>0.05</v>
      </c>
      <c r="G970" s="1" t="s">
        <v>71</v>
      </c>
      <c r="H970" s="1" t="s">
        <v>78</v>
      </c>
      <c r="I970" s="1" t="s">
        <v>15</v>
      </c>
      <c r="J970" s="1" t="n">
        <v>1</v>
      </c>
    </row>
    <row r="971" customFormat="false" ht="15" hidden="false" customHeight="false" outlineLevel="0" collapsed="false">
      <c r="A971" s="1" t="s">
        <v>1383</v>
      </c>
      <c r="B971" s="4" t="n">
        <v>45899</v>
      </c>
      <c r="C971" s="1" t="s">
        <v>560</v>
      </c>
      <c r="D971" s="1" t="s">
        <v>462</v>
      </c>
      <c r="E971" s="1" t="n">
        <v>3</v>
      </c>
      <c r="F971" s="5" t="n">
        <v>0.05</v>
      </c>
      <c r="G971" s="1" t="s">
        <v>19</v>
      </c>
      <c r="H971" s="1" t="s">
        <v>14</v>
      </c>
      <c r="I971" s="1" t="s">
        <v>38</v>
      </c>
      <c r="J971" s="1" t="n">
        <v>3</v>
      </c>
    </row>
    <row r="972" customFormat="false" ht="15" hidden="false" customHeight="false" outlineLevel="0" collapsed="false">
      <c r="A972" s="1" t="s">
        <v>1384</v>
      </c>
      <c r="B972" s="4" t="n">
        <v>45671</v>
      </c>
      <c r="C972" s="1" t="s">
        <v>974</v>
      </c>
      <c r="D972" s="1" t="s">
        <v>154</v>
      </c>
      <c r="E972" s="1" t="n">
        <v>4</v>
      </c>
      <c r="F972" s="5" t="n">
        <v>0.15</v>
      </c>
      <c r="G972" s="1" t="s">
        <v>52</v>
      </c>
      <c r="H972" s="1" t="s">
        <v>14</v>
      </c>
      <c r="I972" s="1" t="s">
        <v>20</v>
      </c>
      <c r="J972" s="1" t="n">
        <v>3</v>
      </c>
    </row>
    <row r="973" customFormat="false" ht="15" hidden="false" customHeight="false" outlineLevel="0" collapsed="false">
      <c r="A973" s="1" t="s">
        <v>1385</v>
      </c>
      <c r="B973" s="4" t="n">
        <v>45904</v>
      </c>
      <c r="C973" s="1" t="s">
        <v>966</v>
      </c>
      <c r="D973" s="1" t="s">
        <v>109</v>
      </c>
      <c r="E973" s="1" t="n">
        <v>4</v>
      </c>
      <c r="F973" s="5" t="n">
        <v>0.05</v>
      </c>
      <c r="G973" s="1" t="s">
        <v>71</v>
      </c>
      <c r="H973" s="1" t="s">
        <v>45</v>
      </c>
      <c r="I973" s="1" t="s">
        <v>20</v>
      </c>
    </row>
    <row r="974" customFormat="false" ht="15" hidden="false" customHeight="false" outlineLevel="0" collapsed="false">
      <c r="A974" s="1" t="s">
        <v>1386</v>
      </c>
      <c r="B974" s="4" t="n">
        <v>45827</v>
      </c>
      <c r="C974" s="1" t="s">
        <v>854</v>
      </c>
      <c r="D974" s="1" t="s">
        <v>58</v>
      </c>
      <c r="E974" s="1" t="n">
        <v>1</v>
      </c>
      <c r="F974" s="5" t="n">
        <v>0.25</v>
      </c>
      <c r="G974" s="1" t="s">
        <v>34</v>
      </c>
      <c r="H974" s="1" t="s">
        <v>78</v>
      </c>
      <c r="I974" s="1" t="s">
        <v>38</v>
      </c>
      <c r="J974" s="1" t="n">
        <v>1</v>
      </c>
    </row>
    <row r="975" customFormat="false" ht="15" hidden="false" customHeight="false" outlineLevel="0" collapsed="false">
      <c r="A975" s="1" t="s">
        <v>1387</v>
      </c>
      <c r="B975" s="4" t="n">
        <v>45990</v>
      </c>
      <c r="C975" s="1" t="s">
        <v>643</v>
      </c>
      <c r="D975" s="1" t="s">
        <v>220</v>
      </c>
      <c r="E975" s="1" t="n">
        <v>2</v>
      </c>
      <c r="F975" s="5" t="n">
        <v>0.1</v>
      </c>
      <c r="G975" s="1" t="s">
        <v>52</v>
      </c>
      <c r="H975" s="1" t="s">
        <v>14</v>
      </c>
      <c r="I975" s="1" t="s">
        <v>38</v>
      </c>
      <c r="J975" s="1" t="n">
        <v>2</v>
      </c>
    </row>
    <row r="976" customFormat="false" ht="15" hidden="false" customHeight="false" outlineLevel="0" collapsed="false">
      <c r="A976" s="1" t="s">
        <v>1388</v>
      </c>
      <c r="B976" s="4" t="n">
        <v>45812</v>
      </c>
      <c r="C976" s="1" t="s">
        <v>846</v>
      </c>
      <c r="D976" s="1" t="s">
        <v>487</v>
      </c>
      <c r="E976" s="1" t="n">
        <v>1</v>
      </c>
      <c r="F976" s="5" t="n">
        <v>0.15</v>
      </c>
      <c r="G976" s="1" t="s">
        <v>52</v>
      </c>
      <c r="H976" s="1" t="s">
        <v>14</v>
      </c>
      <c r="I976" s="1" t="s">
        <v>38</v>
      </c>
      <c r="J976" s="1" t="n">
        <v>7</v>
      </c>
    </row>
    <row r="977" customFormat="false" ht="15" hidden="false" customHeight="false" outlineLevel="0" collapsed="false">
      <c r="A977" s="1" t="s">
        <v>1389</v>
      </c>
      <c r="B977" s="4" t="n">
        <v>45890</v>
      </c>
      <c r="C977" s="1" t="s">
        <v>1144</v>
      </c>
      <c r="D977" s="1" t="s">
        <v>171</v>
      </c>
      <c r="E977" s="1" t="n">
        <v>3</v>
      </c>
      <c r="F977" s="5" t="n">
        <v>0.15</v>
      </c>
      <c r="G977" s="1" t="s">
        <v>52</v>
      </c>
      <c r="H977" s="1" t="s">
        <v>14</v>
      </c>
      <c r="I977" s="1" t="s">
        <v>20</v>
      </c>
      <c r="J977" s="1" t="n">
        <v>1</v>
      </c>
    </row>
    <row r="978" customFormat="false" ht="15" hidden="false" customHeight="false" outlineLevel="0" collapsed="false">
      <c r="A978" s="1" t="s">
        <v>1390</v>
      </c>
      <c r="B978" s="4" t="n">
        <v>45845</v>
      </c>
      <c r="C978" s="1" t="s">
        <v>591</v>
      </c>
      <c r="D978" s="1" t="s">
        <v>74</v>
      </c>
      <c r="E978" s="1" t="n">
        <v>2</v>
      </c>
      <c r="F978" s="5" t="n">
        <v>0</v>
      </c>
      <c r="G978" s="1" t="s">
        <v>34</v>
      </c>
      <c r="H978" s="1" t="s">
        <v>45</v>
      </c>
      <c r="I978" s="1" t="s">
        <v>15</v>
      </c>
    </row>
    <row r="979" customFormat="false" ht="15" hidden="false" customHeight="false" outlineLevel="0" collapsed="false">
      <c r="A979" s="1" t="s">
        <v>1391</v>
      </c>
      <c r="B979" s="4" t="n">
        <v>45906</v>
      </c>
      <c r="C979" s="1" t="s">
        <v>91</v>
      </c>
      <c r="D979" s="1" t="s">
        <v>117</v>
      </c>
      <c r="E979" s="1" t="n">
        <v>1</v>
      </c>
      <c r="F979" s="5" t="n">
        <v>0.1</v>
      </c>
      <c r="G979" s="1" t="s">
        <v>52</v>
      </c>
      <c r="H979" s="1" t="s">
        <v>53</v>
      </c>
      <c r="I979" s="1" t="s">
        <v>15</v>
      </c>
      <c r="J979" s="1" t="n">
        <v>6</v>
      </c>
    </row>
    <row r="980" customFormat="false" ht="15" hidden="false" customHeight="false" outlineLevel="0" collapsed="false">
      <c r="A980" s="1" t="s">
        <v>1392</v>
      </c>
      <c r="B980" s="4" t="n">
        <v>45846</v>
      </c>
      <c r="C980" s="1" t="s">
        <v>1393</v>
      </c>
      <c r="D980" s="1" t="s">
        <v>84</v>
      </c>
      <c r="E980" s="1" t="n">
        <v>2</v>
      </c>
      <c r="F980" s="5" t="n">
        <v>0.05</v>
      </c>
      <c r="G980" s="1" t="s">
        <v>52</v>
      </c>
      <c r="H980" s="1" t="s">
        <v>14</v>
      </c>
      <c r="I980" s="1" t="s">
        <v>15</v>
      </c>
      <c r="J980" s="1" t="n">
        <v>8</v>
      </c>
    </row>
    <row r="981" customFormat="false" ht="15" hidden="false" customHeight="false" outlineLevel="0" collapsed="false">
      <c r="A981" s="1" t="s">
        <v>1394</v>
      </c>
      <c r="B981" s="4" t="n">
        <v>45688</v>
      </c>
      <c r="C981" s="1" t="s">
        <v>86</v>
      </c>
      <c r="D981" s="1" t="s">
        <v>114</v>
      </c>
      <c r="E981" s="1" t="n">
        <v>2</v>
      </c>
      <c r="F981" s="5" t="n">
        <v>0.15</v>
      </c>
      <c r="G981" s="1" t="s">
        <v>13</v>
      </c>
      <c r="H981" s="1" t="s">
        <v>14</v>
      </c>
      <c r="I981" s="1" t="s">
        <v>15</v>
      </c>
      <c r="J981" s="1" t="n">
        <v>3</v>
      </c>
    </row>
    <row r="982" customFormat="false" ht="15" hidden="false" customHeight="false" outlineLevel="0" collapsed="false">
      <c r="A982" s="1" t="s">
        <v>1395</v>
      </c>
      <c r="B982" s="4" t="n">
        <v>45699</v>
      </c>
      <c r="C982" s="1" t="s">
        <v>520</v>
      </c>
      <c r="D982" s="1" t="s">
        <v>84</v>
      </c>
      <c r="E982" s="1" t="n">
        <v>1</v>
      </c>
      <c r="F982" s="5" t="n">
        <v>0.25</v>
      </c>
      <c r="G982" s="1" t="s">
        <v>71</v>
      </c>
      <c r="H982" s="1" t="s">
        <v>92</v>
      </c>
      <c r="I982" s="1" t="s">
        <v>20</v>
      </c>
    </row>
    <row r="983" customFormat="false" ht="15" hidden="false" customHeight="false" outlineLevel="0" collapsed="false">
      <c r="A983" s="1" t="s">
        <v>1396</v>
      </c>
      <c r="B983" s="4" t="n">
        <v>45736</v>
      </c>
      <c r="C983" s="1" t="s">
        <v>528</v>
      </c>
      <c r="D983" s="1" t="s">
        <v>162</v>
      </c>
      <c r="E983" s="1" t="n">
        <v>2</v>
      </c>
      <c r="F983" s="5" t="n">
        <v>0.15</v>
      </c>
      <c r="G983" s="1" t="s">
        <v>19</v>
      </c>
      <c r="H983" s="1" t="s">
        <v>14</v>
      </c>
      <c r="I983" s="1" t="s">
        <v>20</v>
      </c>
      <c r="J983" s="1" t="n">
        <v>2</v>
      </c>
    </row>
    <row r="984" customFormat="false" ht="15" hidden="false" customHeight="false" outlineLevel="0" collapsed="false">
      <c r="A984" s="1" t="s">
        <v>1397</v>
      </c>
      <c r="B984" s="4" t="n">
        <v>45815</v>
      </c>
      <c r="C984" s="1" t="s">
        <v>312</v>
      </c>
      <c r="D984" s="1" t="s">
        <v>423</v>
      </c>
      <c r="E984" s="1" t="n">
        <v>1</v>
      </c>
      <c r="F984" s="5" t="n">
        <v>0.2</v>
      </c>
      <c r="G984" s="1" t="s">
        <v>52</v>
      </c>
      <c r="H984" s="1" t="s">
        <v>14</v>
      </c>
      <c r="I984" s="1" t="s">
        <v>15</v>
      </c>
      <c r="J984" s="1" t="n">
        <v>3</v>
      </c>
    </row>
    <row r="985" customFormat="false" ht="15" hidden="false" customHeight="false" outlineLevel="0" collapsed="false">
      <c r="A985" s="1" t="s">
        <v>1398</v>
      </c>
      <c r="B985" s="4" t="n">
        <v>45699</v>
      </c>
      <c r="C985" s="1" t="s">
        <v>836</v>
      </c>
      <c r="D985" s="1" t="s">
        <v>100</v>
      </c>
      <c r="E985" s="1" t="n">
        <v>1</v>
      </c>
      <c r="F985" s="5" t="n">
        <v>0.1</v>
      </c>
      <c r="G985" s="1" t="s">
        <v>52</v>
      </c>
      <c r="H985" s="1" t="s">
        <v>92</v>
      </c>
      <c r="I985" s="1" t="s">
        <v>38</v>
      </c>
    </row>
    <row r="986" customFormat="false" ht="15" hidden="false" customHeight="false" outlineLevel="0" collapsed="false">
      <c r="A986" s="1" t="s">
        <v>1399</v>
      </c>
      <c r="B986" s="4" t="n">
        <v>45944</v>
      </c>
      <c r="C986" s="1" t="s">
        <v>661</v>
      </c>
      <c r="D986" s="1" t="s">
        <v>641</v>
      </c>
      <c r="E986" s="1" t="n">
        <v>2</v>
      </c>
      <c r="F986" s="5" t="n">
        <v>0.05</v>
      </c>
      <c r="G986" s="1" t="s">
        <v>52</v>
      </c>
      <c r="H986" s="1" t="s">
        <v>53</v>
      </c>
      <c r="I986" s="1" t="s">
        <v>20</v>
      </c>
      <c r="J986" s="1" t="n">
        <v>8</v>
      </c>
    </row>
    <row r="987" customFormat="false" ht="15" hidden="false" customHeight="false" outlineLevel="0" collapsed="false">
      <c r="A987" s="1" t="s">
        <v>1400</v>
      </c>
      <c r="B987" s="4" t="n">
        <v>45962</v>
      </c>
      <c r="C987" s="1" t="s">
        <v>908</v>
      </c>
      <c r="D987" s="1" t="s">
        <v>23</v>
      </c>
      <c r="E987" s="1" t="n">
        <v>3</v>
      </c>
      <c r="F987" s="5" t="n">
        <v>0.05</v>
      </c>
      <c r="G987" s="1" t="s">
        <v>19</v>
      </c>
      <c r="H987" s="1" t="s">
        <v>14</v>
      </c>
      <c r="I987" s="1" t="s">
        <v>20</v>
      </c>
      <c r="J987" s="1" t="n">
        <v>7</v>
      </c>
    </row>
    <row r="988" customFormat="false" ht="15" hidden="false" customHeight="false" outlineLevel="0" collapsed="false">
      <c r="A988" s="1" t="s">
        <v>1401</v>
      </c>
      <c r="B988" s="4" t="n">
        <v>45867</v>
      </c>
      <c r="C988" s="1" t="s">
        <v>640</v>
      </c>
      <c r="D988" s="1" t="s">
        <v>74</v>
      </c>
      <c r="E988" s="1" t="n">
        <v>4</v>
      </c>
      <c r="F988" s="5" t="n">
        <v>0</v>
      </c>
      <c r="G988" s="1" t="s">
        <v>71</v>
      </c>
      <c r="H988" s="1" t="s">
        <v>53</v>
      </c>
      <c r="I988" s="1" t="s">
        <v>15</v>
      </c>
      <c r="J988" s="1" t="n">
        <v>5</v>
      </c>
    </row>
    <row r="989" customFormat="false" ht="15" hidden="false" customHeight="false" outlineLevel="0" collapsed="false">
      <c r="A989" s="1" t="s">
        <v>1402</v>
      </c>
      <c r="B989" s="4" t="n">
        <v>45944</v>
      </c>
      <c r="C989" s="1" t="s">
        <v>839</v>
      </c>
      <c r="D989" s="1" t="s">
        <v>70</v>
      </c>
      <c r="E989" s="1" t="n">
        <v>1</v>
      </c>
      <c r="F989" s="5" t="n">
        <v>0</v>
      </c>
      <c r="G989" s="1" t="s">
        <v>71</v>
      </c>
      <c r="H989" s="1" t="s">
        <v>92</v>
      </c>
      <c r="I989" s="1" t="s">
        <v>15</v>
      </c>
    </row>
    <row r="990" customFormat="false" ht="15" hidden="false" customHeight="false" outlineLevel="0" collapsed="false">
      <c r="A990" s="1" t="s">
        <v>1403</v>
      </c>
      <c r="B990" s="4" t="n">
        <v>45806</v>
      </c>
      <c r="C990" s="1" t="s">
        <v>1166</v>
      </c>
      <c r="D990" s="1" t="s">
        <v>94</v>
      </c>
      <c r="E990" s="1" t="n">
        <v>1</v>
      </c>
      <c r="F990" s="5" t="n">
        <v>0</v>
      </c>
      <c r="G990" s="1" t="s">
        <v>52</v>
      </c>
      <c r="H990" s="1" t="s">
        <v>14</v>
      </c>
      <c r="I990" s="1" t="s">
        <v>15</v>
      </c>
      <c r="J990" s="1" t="n">
        <v>7</v>
      </c>
    </row>
    <row r="991" customFormat="false" ht="15" hidden="false" customHeight="false" outlineLevel="0" collapsed="false">
      <c r="A991" s="1" t="s">
        <v>1404</v>
      </c>
      <c r="B991" s="4" t="n">
        <v>45891</v>
      </c>
      <c r="C991" s="1" t="s">
        <v>520</v>
      </c>
      <c r="D991" s="1" t="s">
        <v>186</v>
      </c>
      <c r="E991" s="1" t="n">
        <v>2</v>
      </c>
      <c r="F991" s="5" t="n">
        <v>0</v>
      </c>
      <c r="G991" s="1" t="s">
        <v>71</v>
      </c>
      <c r="H991" s="1" t="s">
        <v>14</v>
      </c>
      <c r="I991" s="1" t="s">
        <v>20</v>
      </c>
      <c r="J991" s="1" t="n">
        <v>8</v>
      </c>
    </row>
    <row r="992" customFormat="false" ht="15" hidden="false" customHeight="false" outlineLevel="0" collapsed="false">
      <c r="A992" s="1" t="s">
        <v>1405</v>
      </c>
      <c r="B992" s="4" t="n">
        <v>45825</v>
      </c>
      <c r="C992" s="1" t="s">
        <v>1019</v>
      </c>
      <c r="D992" s="1" t="s">
        <v>289</v>
      </c>
      <c r="E992" s="1" t="n">
        <v>3</v>
      </c>
      <c r="F992" s="5" t="n">
        <v>0.15</v>
      </c>
      <c r="G992" s="1" t="s">
        <v>24</v>
      </c>
      <c r="H992" s="1" t="s">
        <v>78</v>
      </c>
      <c r="I992" s="1" t="s">
        <v>15</v>
      </c>
      <c r="J992" s="1" t="n">
        <v>8</v>
      </c>
    </row>
    <row r="993" customFormat="false" ht="15" hidden="false" customHeight="false" outlineLevel="0" collapsed="false">
      <c r="A993" s="1" t="s">
        <v>1406</v>
      </c>
      <c r="B993" s="4" t="n">
        <v>45751</v>
      </c>
      <c r="C993" s="1" t="s">
        <v>99</v>
      </c>
      <c r="D993" s="1" t="s">
        <v>70</v>
      </c>
      <c r="E993" s="1" t="n">
        <v>1</v>
      </c>
      <c r="F993" s="5" t="n">
        <v>0</v>
      </c>
      <c r="G993" s="1" t="s">
        <v>34</v>
      </c>
      <c r="H993" s="1" t="s">
        <v>14</v>
      </c>
      <c r="I993" s="1" t="s">
        <v>38</v>
      </c>
      <c r="J993" s="1" t="n">
        <v>7</v>
      </c>
    </row>
    <row r="994" customFormat="false" ht="15" hidden="false" customHeight="false" outlineLevel="0" collapsed="false">
      <c r="A994" s="1" t="s">
        <v>1407</v>
      </c>
      <c r="B994" s="4" t="n">
        <v>45992</v>
      </c>
      <c r="C994" s="1" t="s">
        <v>43</v>
      </c>
      <c r="D994" s="1" t="s">
        <v>294</v>
      </c>
      <c r="E994" s="1" t="n">
        <v>1</v>
      </c>
      <c r="F994" s="5" t="n">
        <v>0.1</v>
      </c>
      <c r="G994" s="1" t="s">
        <v>34</v>
      </c>
      <c r="H994" s="1" t="s">
        <v>14</v>
      </c>
      <c r="I994" s="1" t="s">
        <v>38</v>
      </c>
      <c r="J994" s="1" t="n">
        <v>4</v>
      </c>
    </row>
    <row r="995" customFormat="false" ht="15" hidden="false" customHeight="false" outlineLevel="0" collapsed="false">
      <c r="A995" s="1" t="s">
        <v>1408</v>
      </c>
      <c r="B995" s="4" t="n">
        <v>45909</v>
      </c>
      <c r="C995" s="1" t="s">
        <v>882</v>
      </c>
      <c r="D995" s="1" t="s">
        <v>484</v>
      </c>
      <c r="E995" s="1" t="n">
        <v>1</v>
      </c>
      <c r="F995" s="5" t="n">
        <v>0.05</v>
      </c>
      <c r="G995" s="1" t="s">
        <v>24</v>
      </c>
      <c r="H995" s="1" t="s">
        <v>14</v>
      </c>
      <c r="I995" s="1" t="s">
        <v>38</v>
      </c>
      <c r="J995" s="1" t="n">
        <v>2</v>
      </c>
    </row>
    <row r="996" customFormat="false" ht="15" hidden="false" customHeight="false" outlineLevel="0" collapsed="false">
      <c r="A996" s="1" t="s">
        <v>1409</v>
      </c>
      <c r="B996" s="4" t="n">
        <v>45780</v>
      </c>
      <c r="C996" s="1" t="s">
        <v>466</v>
      </c>
      <c r="D996" s="1" t="s">
        <v>114</v>
      </c>
      <c r="E996" s="1" t="n">
        <v>4</v>
      </c>
      <c r="F996" s="5" t="n">
        <v>0</v>
      </c>
      <c r="G996" s="1" t="s">
        <v>34</v>
      </c>
      <c r="H996" s="1" t="s">
        <v>14</v>
      </c>
      <c r="I996" s="1" t="s">
        <v>38</v>
      </c>
      <c r="J996" s="1" t="n">
        <v>7</v>
      </c>
    </row>
    <row r="997" customFormat="false" ht="15" hidden="false" customHeight="false" outlineLevel="0" collapsed="false">
      <c r="A997" s="1" t="s">
        <v>1410</v>
      </c>
      <c r="B997" s="4" t="n">
        <v>45733</v>
      </c>
      <c r="C997" s="1" t="s">
        <v>551</v>
      </c>
      <c r="D997" s="1" t="s">
        <v>12</v>
      </c>
      <c r="E997" s="1" t="n">
        <v>1</v>
      </c>
      <c r="F997" s="5" t="n">
        <v>0.2</v>
      </c>
      <c r="G997" s="1" t="s">
        <v>52</v>
      </c>
      <c r="H997" s="1" t="s">
        <v>14</v>
      </c>
      <c r="I997" s="1" t="s">
        <v>20</v>
      </c>
      <c r="J997" s="1" t="n">
        <v>3</v>
      </c>
    </row>
    <row r="998" customFormat="false" ht="15" hidden="false" customHeight="false" outlineLevel="0" collapsed="false">
      <c r="A998" s="1" t="s">
        <v>1411</v>
      </c>
      <c r="B998" s="4" t="n">
        <v>45882</v>
      </c>
      <c r="C998" s="1" t="s">
        <v>298</v>
      </c>
      <c r="D998" s="1" t="s">
        <v>537</v>
      </c>
      <c r="E998" s="1" t="n">
        <v>2</v>
      </c>
      <c r="F998" s="5" t="n">
        <v>0.2</v>
      </c>
      <c r="G998" s="1" t="s">
        <v>52</v>
      </c>
      <c r="H998" s="1" t="s">
        <v>14</v>
      </c>
      <c r="I998" s="1" t="s">
        <v>15</v>
      </c>
      <c r="J998" s="1" t="n">
        <v>4</v>
      </c>
    </row>
    <row r="999" customFormat="false" ht="15" hidden="false" customHeight="false" outlineLevel="0" collapsed="false">
      <c r="A999" s="1" t="s">
        <v>1412</v>
      </c>
      <c r="B999" s="4" t="n">
        <v>45670</v>
      </c>
      <c r="C999" s="1" t="s">
        <v>364</v>
      </c>
      <c r="D999" s="1" t="s">
        <v>18</v>
      </c>
      <c r="E999" s="1" t="n">
        <v>1</v>
      </c>
      <c r="F999" s="5" t="n">
        <v>0.2</v>
      </c>
      <c r="G999" s="1" t="s">
        <v>34</v>
      </c>
      <c r="H999" s="1" t="s">
        <v>78</v>
      </c>
      <c r="I999" s="1" t="s">
        <v>20</v>
      </c>
      <c r="J999" s="1" t="n">
        <v>3</v>
      </c>
    </row>
    <row r="1000" customFormat="false" ht="15" hidden="false" customHeight="false" outlineLevel="0" collapsed="false">
      <c r="A1000" s="1" t="s">
        <v>1413</v>
      </c>
      <c r="B1000" s="4" t="n">
        <v>45880</v>
      </c>
      <c r="C1000" s="1" t="s">
        <v>382</v>
      </c>
      <c r="D1000" s="1" t="s">
        <v>216</v>
      </c>
      <c r="E1000" s="1" t="n">
        <v>2</v>
      </c>
      <c r="F1000" s="5" t="n">
        <v>0.25</v>
      </c>
      <c r="G1000" s="1" t="s">
        <v>71</v>
      </c>
      <c r="H1000" s="1" t="s">
        <v>53</v>
      </c>
      <c r="I1000" s="1" t="s">
        <v>20</v>
      </c>
      <c r="J1000" s="1" t="n">
        <v>8</v>
      </c>
    </row>
    <row r="1001" customFormat="false" ht="15" hidden="false" customHeight="false" outlineLevel="0" collapsed="false">
      <c r="A1001" s="1" t="s">
        <v>1414</v>
      </c>
      <c r="B1001" s="4" t="n">
        <v>45702</v>
      </c>
      <c r="C1001" s="1" t="s">
        <v>361</v>
      </c>
      <c r="D1001" s="1" t="s">
        <v>70</v>
      </c>
      <c r="E1001" s="1" t="n">
        <v>3</v>
      </c>
      <c r="F1001" s="5" t="n">
        <v>0.1</v>
      </c>
      <c r="G1001" s="1" t="s">
        <v>34</v>
      </c>
      <c r="H1001" s="1" t="s">
        <v>92</v>
      </c>
      <c r="I1001" s="1" t="s">
        <v>20</v>
      </c>
    </row>
    <row r="1002" customFormat="false" ht="15" hidden="false" customHeight="false" outlineLevel="0" collapsed="false">
      <c r="A1002" s="1" t="s">
        <v>1415</v>
      </c>
      <c r="B1002" s="4" t="n">
        <v>45662</v>
      </c>
      <c r="C1002" s="1" t="s">
        <v>452</v>
      </c>
      <c r="D1002" s="1" t="s">
        <v>325</v>
      </c>
      <c r="E1002" s="1" t="n">
        <v>1</v>
      </c>
      <c r="F1002" s="5" t="n">
        <v>0.1</v>
      </c>
      <c r="G1002" s="1" t="s">
        <v>52</v>
      </c>
      <c r="H1002" s="1" t="s">
        <v>14</v>
      </c>
      <c r="I1002" s="1" t="s">
        <v>20</v>
      </c>
      <c r="J1002" s="1" t="n">
        <v>4</v>
      </c>
    </row>
    <row r="1003" customFormat="false" ht="15" hidden="false" customHeight="false" outlineLevel="0" collapsed="false">
      <c r="A1003" s="1" t="s">
        <v>1416</v>
      </c>
      <c r="B1003" s="4" t="n">
        <v>45685</v>
      </c>
      <c r="C1003" s="1" t="s">
        <v>541</v>
      </c>
      <c r="D1003" s="1" t="s">
        <v>134</v>
      </c>
      <c r="E1003" s="1" t="n">
        <v>1</v>
      </c>
      <c r="F1003" s="5" t="n">
        <v>0</v>
      </c>
      <c r="G1003" s="1" t="s">
        <v>34</v>
      </c>
      <c r="H1003" s="1" t="s">
        <v>14</v>
      </c>
      <c r="I1003" s="1" t="s">
        <v>15</v>
      </c>
      <c r="J1003" s="1" t="n">
        <v>1</v>
      </c>
    </row>
    <row r="1004" customFormat="false" ht="15" hidden="false" customHeight="false" outlineLevel="0" collapsed="false">
      <c r="A1004" s="1" t="s">
        <v>1417</v>
      </c>
      <c r="B1004" s="4" t="n">
        <v>45955</v>
      </c>
      <c r="C1004" s="1" t="s">
        <v>728</v>
      </c>
      <c r="D1004" s="1" t="s">
        <v>371</v>
      </c>
      <c r="E1004" s="1" t="n">
        <v>2</v>
      </c>
      <c r="F1004" s="5" t="n">
        <v>0.15</v>
      </c>
      <c r="G1004" s="1" t="s">
        <v>19</v>
      </c>
      <c r="H1004" s="1" t="s">
        <v>92</v>
      </c>
      <c r="I1004" s="1" t="s">
        <v>15</v>
      </c>
    </row>
    <row r="1005" customFormat="false" ht="15" hidden="false" customHeight="false" outlineLevel="0" collapsed="false">
      <c r="A1005" s="1" t="s">
        <v>1418</v>
      </c>
      <c r="B1005" s="4" t="n">
        <v>45803</v>
      </c>
      <c r="C1005" s="1" t="s">
        <v>88</v>
      </c>
      <c r="D1005" s="1" t="s">
        <v>44</v>
      </c>
      <c r="E1005" s="1" t="n">
        <v>1</v>
      </c>
      <c r="F1005" s="5" t="n">
        <v>0.05</v>
      </c>
      <c r="G1005" s="1" t="s">
        <v>13</v>
      </c>
      <c r="H1005" s="1" t="s">
        <v>14</v>
      </c>
      <c r="I1005" s="1" t="s">
        <v>15</v>
      </c>
      <c r="J1005" s="1" t="n">
        <v>7</v>
      </c>
    </row>
    <row r="1006" customFormat="false" ht="15" hidden="false" customHeight="false" outlineLevel="0" collapsed="false">
      <c r="A1006" s="1" t="s">
        <v>1419</v>
      </c>
      <c r="B1006" s="4" t="n">
        <v>45761</v>
      </c>
      <c r="C1006" s="1" t="s">
        <v>1210</v>
      </c>
      <c r="D1006" s="1" t="s">
        <v>30</v>
      </c>
      <c r="E1006" s="1" t="n">
        <v>2</v>
      </c>
      <c r="F1006" s="5" t="n">
        <v>0</v>
      </c>
      <c r="G1006" s="1" t="s">
        <v>52</v>
      </c>
      <c r="H1006" s="1" t="s">
        <v>14</v>
      </c>
      <c r="I1006" s="1" t="s">
        <v>38</v>
      </c>
      <c r="J1006" s="1" t="n">
        <v>3</v>
      </c>
    </row>
    <row r="1007" customFormat="false" ht="15" hidden="false" customHeight="false" outlineLevel="0" collapsed="false">
      <c r="A1007" s="1" t="s">
        <v>1420</v>
      </c>
      <c r="B1007" s="4" t="n">
        <v>45808</v>
      </c>
      <c r="C1007" s="1" t="s">
        <v>1229</v>
      </c>
      <c r="D1007" s="1" t="s">
        <v>444</v>
      </c>
      <c r="E1007" s="1" t="n">
        <v>1</v>
      </c>
      <c r="F1007" s="5" t="n">
        <v>0.15</v>
      </c>
      <c r="G1007" s="1" t="s">
        <v>52</v>
      </c>
      <c r="H1007" s="1" t="s">
        <v>92</v>
      </c>
      <c r="I1007" s="1" t="s">
        <v>38</v>
      </c>
    </row>
    <row r="1008" customFormat="false" ht="15" hidden="false" customHeight="false" outlineLevel="0" collapsed="false">
      <c r="A1008" s="1" t="s">
        <v>1421</v>
      </c>
      <c r="B1008" s="4" t="n">
        <v>45828</v>
      </c>
      <c r="C1008" s="1" t="s">
        <v>207</v>
      </c>
      <c r="D1008" s="1" t="s">
        <v>112</v>
      </c>
      <c r="E1008" s="1" t="n">
        <v>2</v>
      </c>
      <c r="F1008" s="5" t="n">
        <v>0.15</v>
      </c>
      <c r="G1008" s="1" t="s">
        <v>71</v>
      </c>
      <c r="H1008" s="1" t="s">
        <v>14</v>
      </c>
      <c r="I1008" s="1" t="s">
        <v>38</v>
      </c>
      <c r="J1008" s="1" t="n">
        <v>7</v>
      </c>
    </row>
    <row r="1009" customFormat="false" ht="15" hidden="false" customHeight="false" outlineLevel="0" collapsed="false">
      <c r="A1009" s="1" t="s">
        <v>1422</v>
      </c>
      <c r="B1009" s="4" t="n">
        <v>45714</v>
      </c>
      <c r="C1009" s="1" t="s">
        <v>293</v>
      </c>
      <c r="D1009" s="1" t="s">
        <v>74</v>
      </c>
      <c r="E1009" s="1" t="n">
        <v>1</v>
      </c>
      <c r="F1009" s="5" t="n">
        <v>0.2</v>
      </c>
      <c r="G1009" s="1" t="s">
        <v>52</v>
      </c>
      <c r="H1009" s="1" t="s">
        <v>14</v>
      </c>
      <c r="I1009" s="1" t="s">
        <v>15</v>
      </c>
      <c r="J1009" s="1" t="n">
        <v>7</v>
      </c>
    </row>
    <row r="1010" customFormat="false" ht="15" hidden="false" customHeight="false" outlineLevel="0" collapsed="false">
      <c r="A1010" s="1" t="s">
        <v>1423</v>
      </c>
      <c r="B1010" s="4" t="n">
        <v>45884</v>
      </c>
      <c r="C1010" s="1" t="s">
        <v>929</v>
      </c>
      <c r="D1010" s="1" t="s">
        <v>58</v>
      </c>
      <c r="E1010" s="1" t="n">
        <v>3</v>
      </c>
      <c r="F1010" s="5" t="n">
        <v>0.1</v>
      </c>
      <c r="G1010" s="1" t="s">
        <v>19</v>
      </c>
      <c r="H1010" s="1" t="s">
        <v>45</v>
      </c>
      <c r="I1010" s="1" t="s">
        <v>38</v>
      </c>
    </row>
    <row r="1011" customFormat="false" ht="15" hidden="false" customHeight="false" outlineLevel="0" collapsed="false">
      <c r="A1011" s="1" t="s">
        <v>1424</v>
      </c>
      <c r="B1011" s="4" t="n">
        <v>45865</v>
      </c>
      <c r="C1011" s="1" t="s">
        <v>1227</v>
      </c>
      <c r="D1011" s="1" t="s">
        <v>37</v>
      </c>
      <c r="E1011" s="1" t="n">
        <v>1</v>
      </c>
      <c r="F1011" s="5" t="n">
        <v>0.15</v>
      </c>
      <c r="G1011" s="1" t="s">
        <v>24</v>
      </c>
      <c r="H1011" s="1" t="s">
        <v>14</v>
      </c>
      <c r="I1011" s="1" t="s">
        <v>15</v>
      </c>
      <c r="J1011" s="1" t="n">
        <v>5</v>
      </c>
    </row>
    <row r="1012" customFormat="false" ht="15" hidden="false" customHeight="false" outlineLevel="0" collapsed="false">
      <c r="A1012" s="1" t="s">
        <v>1425</v>
      </c>
      <c r="B1012" s="4" t="n">
        <v>45659</v>
      </c>
      <c r="C1012" s="1" t="s">
        <v>227</v>
      </c>
      <c r="D1012" s="1" t="s">
        <v>624</v>
      </c>
      <c r="E1012" s="1" t="n">
        <v>1</v>
      </c>
      <c r="F1012" s="5" t="n">
        <v>0.1</v>
      </c>
      <c r="G1012" s="1" t="s">
        <v>34</v>
      </c>
      <c r="H1012" s="1" t="s">
        <v>14</v>
      </c>
      <c r="I1012" s="1" t="s">
        <v>20</v>
      </c>
      <c r="J1012" s="1" t="n">
        <v>6</v>
      </c>
    </row>
    <row r="1013" customFormat="false" ht="15" hidden="false" customHeight="false" outlineLevel="0" collapsed="false">
      <c r="A1013" s="1" t="s">
        <v>1426</v>
      </c>
      <c r="B1013" s="4" t="n">
        <v>45768</v>
      </c>
      <c r="C1013" s="1" t="s">
        <v>827</v>
      </c>
      <c r="D1013" s="1" t="s">
        <v>109</v>
      </c>
      <c r="E1013" s="1" t="n">
        <v>1</v>
      </c>
      <c r="F1013" s="5" t="n">
        <v>0.05</v>
      </c>
      <c r="G1013" s="1" t="s">
        <v>19</v>
      </c>
      <c r="H1013" s="1" t="s">
        <v>14</v>
      </c>
      <c r="I1013" s="1" t="s">
        <v>15</v>
      </c>
      <c r="J1013" s="1" t="n">
        <v>7</v>
      </c>
    </row>
    <row r="1014" customFormat="false" ht="15" hidden="false" customHeight="false" outlineLevel="0" collapsed="false">
      <c r="A1014" s="1" t="s">
        <v>1427</v>
      </c>
      <c r="B1014" s="4" t="n">
        <v>45903</v>
      </c>
      <c r="C1014" s="1" t="s">
        <v>908</v>
      </c>
      <c r="D1014" s="1" t="s">
        <v>220</v>
      </c>
      <c r="E1014" s="1" t="n">
        <v>2</v>
      </c>
      <c r="F1014" s="5" t="n">
        <v>0.2</v>
      </c>
      <c r="G1014" s="1" t="s">
        <v>34</v>
      </c>
      <c r="H1014" s="1" t="s">
        <v>14</v>
      </c>
      <c r="I1014" s="1" t="s">
        <v>15</v>
      </c>
      <c r="J1014" s="1" t="n">
        <v>7</v>
      </c>
    </row>
    <row r="1015" customFormat="false" ht="15" hidden="false" customHeight="false" outlineLevel="0" collapsed="false">
      <c r="A1015" s="1" t="s">
        <v>1428</v>
      </c>
      <c r="B1015" s="4" t="n">
        <v>45778</v>
      </c>
      <c r="C1015" s="1" t="s">
        <v>640</v>
      </c>
      <c r="D1015" s="1" t="s">
        <v>165</v>
      </c>
      <c r="E1015" s="1" t="n">
        <v>1</v>
      </c>
      <c r="F1015" s="5" t="n">
        <v>0.2</v>
      </c>
      <c r="G1015" s="1" t="s">
        <v>24</v>
      </c>
      <c r="H1015" s="1" t="s">
        <v>14</v>
      </c>
      <c r="I1015" s="1" t="s">
        <v>20</v>
      </c>
      <c r="J1015" s="1" t="n">
        <v>3</v>
      </c>
    </row>
    <row r="1016" customFormat="false" ht="15" hidden="false" customHeight="false" outlineLevel="0" collapsed="false">
      <c r="A1016" s="1" t="s">
        <v>1429</v>
      </c>
      <c r="B1016" s="4" t="n">
        <v>45929</v>
      </c>
      <c r="C1016" s="1" t="s">
        <v>1430</v>
      </c>
      <c r="D1016" s="1" t="s">
        <v>70</v>
      </c>
      <c r="E1016" s="1" t="n">
        <v>3</v>
      </c>
      <c r="F1016" s="5" t="n">
        <v>0</v>
      </c>
      <c r="G1016" s="1" t="s">
        <v>24</v>
      </c>
      <c r="H1016" s="1" t="s">
        <v>45</v>
      </c>
      <c r="I1016" s="1" t="s">
        <v>20</v>
      </c>
    </row>
    <row r="1017" customFormat="false" ht="15" hidden="false" customHeight="false" outlineLevel="0" collapsed="false">
      <c r="A1017" s="1" t="s">
        <v>1431</v>
      </c>
      <c r="B1017" s="4" t="n">
        <v>45898</v>
      </c>
      <c r="C1017" s="1" t="s">
        <v>608</v>
      </c>
      <c r="D1017" s="1" t="s">
        <v>12</v>
      </c>
      <c r="E1017" s="1" t="n">
        <v>1</v>
      </c>
      <c r="F1017" s="5" t="n">
        <v>0</v>
      </c>
      <c r="G1017" s="1" t="s">
        <v>24</v>
      </c>
      <c r="H1017" s="1" t="s">
        <v>14</v>
      </c>
      <c r="I1017" s="1" t="s">
        <v>15</v>
      </c>
      <c r="J1017" s="1" t="n">
        <v>5</v>
      </c>
    </row>
    <row r="1018" customFormat="false" ht="15" hidden="false" customHeight="false" outlineLevel="0" collapsed="false">
      <c r="A1018" s="1" t="s">
        <v>1432</v>
      </c>
      <c r="B1018" s="4" t="n">
        <v>45734</v>
      </c>
      <c r="C1018" s="1" t="s">
        <v>47</v>
      </c>
      <c r="D1018" s="1" t="s">
        <v>160</v>
      </c>
      <c r="E1018" s="1" t="n">
        <v>2</v>
      </c>
      <c r="F1018" s="5" t="n">
        <v>0.25</v>
      </c>
      <c r="G1018" s="1" t="s">
        <v>52</v>
      </c>
      <c r="H1018" s="1" t="s">
        <v>14</v>
      </c>
      <c r="I1018" s="1" t="s">
        <v>38</v>
      </c>
      <c r="J1018" s="1" t="n">
        <v>7</v>
      </c>
    </row>
    <row r="1019" customFormat="false" ht="15" hidden="false" customHeight="false" outlineLevel="0" collapsed="false">
      <c r="A1019" s="1" t="s">
        <v>1433</v>
      </c>
      <c r="B1019" s="4" t="n">
        <v>45682</v>
      </c>
      <c r="C1019" s="1" t="s">
        <v>219</v>
      </c>
      <c r="D1019" s="1" t="s">
        <v>237</v>
      </c>
      <c r="E1019" s="1" t="n">
        <v>1</v>
      </c>
      <c r="F1019" s="5" t="n">
        <v>0.05</v>
      </c>
      <c r="G1019" s="1" t="s">
        <v>19</v>
      </c>
      <c r="H1019" s="1" t="s">
        <v>14</v>
      </c>
      <c r="I1019" s="1" t="s">
        <v>15</v>
      </c>
      <c r="J1019" s="1" t="n">
        <v>4</v>
      </c>
    </row>
    <row r="1020" customFormat="false" ht="15" hidden="false" customHeight="false" outlineLevel="0" collapsed="false">
      <c r="A1020" s="1" t="s">
        <v>1434</v>
      </c>
      <c r="B1020" s="4" t="n">
        <v>45667</v>
      </c>
      <c r="C1020" s="1" t="s">
        <v>684</v>
      </c>
      <c r="D1020" s="1" t="s">
        <v>213</v>
      </c>
      <c r="E1020" s="1" t="n">
        <v>2</v>
      </c>
      <c r="F1020" s="5" t="n">
        <v>0</v>
      </c>
      <c r="G1020" s="1" t="s">
        <v>24</v>
      </c>
      <c r="H1020" s="1" t="s">
        <v>53</v>
      </c>
      <c r="I1020" s="1" t="s">
        <v>15</v>
      </c>
      <c r="J1020" s="1" t="n">
        <v>1</v>
      </c>
    </row>
    <row r="1021" customFormat="false" ht="15" hidden="false" customHeight="false" outlineLevel="0" collapsed="false">
      <c r="A1021" s="1" t="s">
        <v>1435</v>
      </c>
      <c r="B1021" s="4" t="n">
        <v>45728</v>
      </c>
      <c r="C1021" s="1" t="s">
        <v>854</v>
      </c>
      <c r="D1021" s="1" t="s">
        <v>216</v>
      </c>
      <c r="E1021" s="1" t="n">
        <v>1</v>
      </c>
      <c r="F1021" s="5" t="n">
        <v>0.25</v>
      </c>
      <c r="G1021" s="1" t="s">
        <v>52</v>
      </c>
      <c r="H1021" s="1" t="s">
        <v>92</v>
      </c>
      <c r="I1021" s="1" t="s">
        <v>15</v>
      </c>
    </row>
    <row r="1022" customFormat="false" ht="15" hidden="false" customHeight="false" outlineLevel="0" collapsed="false">
      <c r="A1022" s="1" t="s">
        <v>1436</v>
      </c>
      <c r="B1022" s="4" t="n">
        <v>45709</v>
      </c>
      <c r="C1022" s="1" t="s">
        <v>178</v>
      </c>
      <c r="D1022" s="1" t="s">
        <v>325</v>
      </c>
      <c r="E1022" s="1" t="n">
        <v>2</v>
      </c>
      <c r="F1022" s="5" t="n">
        <v>0.1</v>
      </c>
      <c r="G1022" s="1" t="s">
        <v>13</v>
      </c>
      <c r="H1022" s="1" t="s">
        <v>14</v>
      </c>
      <c r="I1022" s="1" t="s">
        <v>15</v>
      </c>
      <c r="J1022" s="1" t="n">
        <v>2</v>
      </c>
    </row>
    <row r="1023" customFormat="false" ht="15" hidden="false" customHeight="false" outlineLevel="0" collapsed="false">
      <c r="A1023" s="1" t="s">
        <v>1437</v>
      </c>
      <c r="B1023" s="4" t="n">
        <v>45902</v>
      </c>
      <c r="C1023" s="1" t="s">
        <v>1438</v>
      </c>
      <c r="D1023" s="1" t="s">
        <v>176</v>
      </c>
      <c r="E1023" s="1" t="n">
        <v>1</v>
      </c>
      <c r="F1023" s="5" t="n">
        <v>0.2</v>
      </c>
      <c r="G1023" s="1" t="s">
        <v>52</v>
      </c>
      <c r="H1023" s="1" t="s">
        <v>92</v>
      </c>
      <c r="I1023" s="1" t="s">
        <v>38</v>
      </c>
    </row>
    <row r="1024" customFormat="false" ht="15" hidden="false" customHeight="false" outlineLevel="0" collapsed="false">
      <c r="A1024" s="1" t="s">
        <v>1439</v>
      </c>
      <c r="B1024" s="4" t="n">
        <v>45941</v>
      </c>
      <c r="C1024" s="1" t="s">
        <v>129</v>
      </c>
      <c r="D1024" s="1" t="s">
        <v>137</v>
      </c>
      <c r="E1024" s="1" t="n">
        <v>2</v>
      </c>
      <c r="F1024" s="5" t="n">
        <v>0.05</v>
      </c>
      <c r="G1024" s="1" t="s">
        <v>52</v>
      </c>
      <c r="H1024" s="1" t="s">
        <v>14</v>
      </c>
      <c r="I1024" s="1" t="s">
        <v>15</v>
      </c>
      <c r="J1024" s="1" t="n">
        <v>1</v>
      </c>
    </row>
    <row r="1025" customFormat="false" ht="15" hidden="false" customHeight="false" outlineLevel="0" collapsed="false">
      <c r="A1025" s="1" t="s">
        <v>1440</v>
      </c>
      <c r="B1025" s="4" t="n">
        <v>45864</v>
      </c>
      <c r="C1025" s="1" t="s">
        <v>232</v>
      </c>
      <c r="D1025" s="1" t="s">
        <v>371</v>
      </c>
      <c r="E1025" s="1" t="n">
        <v>1</v>
      </c>
      <c r="F1025" s="5" t="n">
        <v>0.05</v>
      </c>
      <c r="G1025" s="1" t="s">
        <v>52</v>
      </c>
      <c r="H1025" s="1" t="s">
        <v>14</v>
      </c>
      <c r="I1025" s="1" t="s">
        <v>20</v>
      </c>
      <c r="J1025" s="1" t="n">
        <v>4</v>
      </c>
    </row>
    <row r="1026" customFormat="false" ht="15" hidden="false" customHeight="false" outlineLevel="0" collapsed="false">
      <c r="A1026" s="1" t="s">
        <v>1441</v>
      </c>
      <c r="B1026" s="4" t="n">
        <v>45964</v>
      </c>
      <c r="C1026" s="1" t="s">
        <v>378</v>
      </c>
      <c r="D1026" s="1" t="s">
        <v>168</v>
      </c>
      <c r="E1026" s="1" t="n">
        <v>1</v>
      </c>
      <c r="F1026" s="5" t="n">
        <v>0.15</v>
      </c>
      <c r="G1026" s="1" t="s">
        <v>19</v>
      </c>
      <c r="H1026" s="1" t="s">
        <v>14</v>
      </c>
      <c r="I1026" s="1" t="s">
        <v>15</v>
      </c>
      <c r="J1026" s="1" t="n">
        <v>1</v>
      </c>
    </row>
    <row r="1027" customFormat="false" ht="15" hidden="false" customHeight="false" outlineLevel="0" collapsed="false">
      <c r="A1027" s="1" t="s">
        <v>1442</v>
      </c>
      <c r="B1027" s="4" t="n">
        <v>45682</v>
      </c>
      <c r="C1027" s="1" t="s">
        <v>461</v>
      </c>
      <c r="D1027" s="1" t="s">
        <v>328</v>
      </c>
      <c r="E1027" s="1" t="n">
        <v>2</v>
      </c>
      <c r="F1027" s="5" t="n">
        <v>0</v>
      </c>
      <c r="G1027" s="1" t="s">
        <v>52</v>
      </c>
      <c r="H1027" s="1" t="s">
        <v>45</v>
      </c>
      <c r="I1027" s="1" t="s">
        <v>38</v>
      </c>
    </row>
    <row r="1028" customFormat="false" ht="15" hidden="false" customHeight="false" outlineLevel="0" collapsed="false">
      <c r="A1028" s="1" t="s">
        <v>1443</v>
      </c>
      <c r="B1028" s="4" t="n">
        <v>45913</v>
      </c>
      <c r="C1028" s="1" t="s">
        <v>29</v>
      </c>
      <c r="D1028" s="1" t="s">
        <v>487</v>
      </c>
      <c r="E1028" s="1" t="n">
        <v>4</v>
      </c>
      <c r="F1028" s="5" t="n">
        <v>0.05</v>
      </c>
      <c r="G1028" s="1" t="s">
        <v>52</v>
      </c>
      <c r="H1028" s="1" t="s">
        <v>14</v>
      </c>
      <c r="I1028" s="1" t="s">
        <v>15</v>
      </c>
      <c r="J1028" s="1" t="n">
        <v>2</v>
      </c>
    </row>
    <row r="1029" customFormat="false" ht="15" hidden="false" customHeight="false" outlineLevel="0" collapsed="false">
      <c r="A1029" s="1" t="s">
        <v>1444</v>
      </c>
      <c r="B1029" s="4" t="n">
        <v>45968</v>
      </c>
      <c r="C1029" s="1" t="s">
        <v>268</v>
      </c>
      <c r="D1029" s="1" t="s">
        <v>264</v>
      </c>
      <c r="E1029" s="1" t="n">
        <v>1</v>
      </c>
      <c r="F1029" s="5" t="n">
        <v>0.1</v>
      </c>
      <c r="G1029" s="1" t="s">
        <v>24</v>
      </c>
      <c r="H1029" s="1" t="s">
        <v>53</v>
      </c>
      <c r="I1029" s="1" t="s">
        <v>38</v>
      </c>
      <c r="J1029" s="1" t="n">
        <v>7</v>
      </c>
    </row>
    <row r="1030" customFormat="false" ht="15" hidden="false" customHeight="false" outlineLevel="0" collapsed="false">
      <c r="A1030" s="1" t="s">
        <v>1445</v>
      </c>
      <c r="B1030" s="4" t="n">
        <v>45837</v>
      </c>
      <c r="C1030" s="1" t="s">
        <v>413</v>
      </c>
      <c r="D1030" s="1" t="s">
        <v>100</v>
      </c>
      <c r="E1030" s="1" t="n">
        <v>2</v>
      </c>
      <c r="F1030" s="5" t="n">
        <v>0.1</v>
      </c>
      <c r="G1030" s="1" t="s">
        <v>34</v>
      </c>
      <c r="H1030" s="1" t="s">
        <v>14</v>
      </c>
      <c r="I1030" s="1" t="s">
        <v>20</v>
      </c>
      <c r="J1030" s="1" t="n">
        <v>1</v>
      </c>
    </row>
    <row r="1031" customFormat="false" ht="15" hidden="false" customHeight="false" outlineLevel="0" collapsed="false">
      <c r="A1031" s="1" t="s">
        <v>1446</v>
      </c>
      <c r="B1031" s="4" t="n">
        <v>45826</v>
      </c>
      <c r="C1031" s="1" t="s">
        <v>836</v>
      </c>
      <c r="D1031" s="1" t="s">
        <v>197</v>
      </c>
      <c r="E1031" s="1" t="n">
        <v>1</v>
      </c>
      <c r="F1031" s="5" t="n">
        <v>0.15</v>
      </c>
      <c r="G1031" s="1" t="s">
        <v>13</v>
      </c>
      <c r="H1031" s="1" t="s">
        <v>14</v>
      </c>
      <c r="I1031" s="1" t="s">
        <v>15</v>
      </c>
      <c r="J1031" s="1" t="n">
        <v>6</v>
      </c>
    </row>
    <row r="1032" customFormat="false" ht="15" hidden="false" customHeight="false" outlineLevel="0" collapsed="false">
      <c r="A1032" s="1" t="s">
        <v>1447</v>
      </c>
      <c r="B1032" s="4" t="n">
        <v>45752</v>
      </c>
      <c r="C1032" s="1" t="s">
        <v>534</v>
      </c>
      <c r="D1032" s="1" t="s">
        <v>253</v>
      </c>
      <c r="E1032" s="1" t="n">
        <v>2</v>
      </c>
      <c r="F1032" s="5" t="n">
        <v>0.05</v>
      </c>
      <c r="G1032" s="1" t="s">
        <v>24</v>
      </c>
      <c r="H1032" s="1" t="s">
        <v>14</v>
      </c>
      <c r="I1032" s="1" t="s">
        <v>15</v>
      </c>
      <c r="J1032" s="1" t="n">
        <v>5</v>
      </c>
    </row>
    <row r="1033" customFormat="false" ht="15" hidden="false" customHeight="false" outlineLevel="0" collapsed="false">
      <c r="A1033" s="1" t="s">
        <v>1448</v>
      </c>
      <c r="B1033" s="4" t="n">
        <v>45867</v>
      </c>
      <c r="C1033" s="1" t="s">
        <v>1233</v>
      </c>
      <c r="D1033" s="1" t="s">
        <v>328</v>
      </c>
      <c r="E1033" s="1" t="n">
        <v>1</v>
      </c>
      <c r="F1033" s="5" t="n">
        <v>0</v>
      </c>
      <c r="G1033" s="1" t="s">
        <v>52</v>
      </c>
      <c r="H1033" s="1" t="s">
        <v>14</v>
      </c>
      <c r="I1033" s="1" t="s">
        <v>20</v>
      </c>
      <c r="J1033" s="1" t="n">
        <v>3</v>
      </c>
    </row>
    <row r="1034" customFormat="false" ht="15" hidden="false" customHeight="false" outlineLevel="0" collapsed="false">
      <c r="A1034" s="1" t="s">
        <v>1449</v>
      </c>
      <c r="B1034" s="4" t="n">
        <v>45758</v>
      </c>
      <c r="C1034" s="1" t="s">
        <v>252</v>
      </c>
      <c r="D1034" s="1" t="s">
        <v>371</v>
      </c>
      <c r="E1034" s="1" t="n">
        <v>4</v>
      </c>
      <c r="F1034" s="5" t="n">
        <v>0.15</v>
      </c>
      <c r="G1034" s="1" t="s">
        <v>13</v>
      </c>
      <c r="H1034" s="1" t="s">
        <v>14</v>
      </c>
      <c r="I1034" s="1" t="s">
        <v>15</v>
      </c>
      <c r="J1034" s="1" t="n">
        <v>4</v>
      </c>
    </row>
    <row r="1035" customFormat="false" ht="15" hidden="false" customHeight="false" outlineLevel="0" collapsed="false">
      <c r="A1035" s="1" t="s">
        <v>1450</v>
      </c>
      <c r="B1035" s="4" t="n">
        <v>45670</v>
      </c>
      <c r="C1035" s="1" t="s">
        <v>742</v>
      </c>
      <c r="D1035" s="1" t="s">
        <v>37</v>
      </c>
      <c r="E1035" s="1" t="n">
        <v>1</v>
      </c>
      <c r="F1035" s="5" t="n">
        <v>0.2</v>
      </c>
      <c r="G1035" s="1" t="s">
        <v>19</v>
      </c>
      <c r="H1035" s="1" t="s">
        <v>14</v>
      </c>
      <c r="I1035" s="1" t="s">
        <v>20</v>
      </c>
      <c r="J1035" s="1" t="n">
        <v>5</v>
      </c>
    </row>
    <row r="1036" customFormat="false" ht="15" hidden="false" customHeight="false" outlineLevel="0" collapsed="false">
      <c r="A1036" s="1" t="s">
        <v>1451</v>
      </c>
      <c r="B1036" s="4" t="n">
        <v>45815</v>
      </c>
      <c r="C1036" s="1" t="s">
        <v>340</v>
      </c>
      <c r="D1036" s="1" t="s">
        <v>27</v>
      </c>
      <c r="E1036" s="1" t="n">
        <v>1</v>
      </c>
      <c r="F1036" s="5" t="n">
        <v>0.2</v>
      </c>
      <c r="G1036" s="1" t="s">
        <v>52</v>
      </c>
      <c r="H1036" s="1" t="s">
        <v>14</v>
      </c>
      <c r="I1036" s="1" t="s">
        <v>20</v>
      </c>
      <c r="J1036" s="1" t="n">
        <v>3</v>
      </c>
    </row>
    <row r="1037" customFormat="false" ht="15" hidden="false" customHeight="false" outlineLevel="0" collapsed="false">
      <c r="A1037" s="1" t="s">
        <v>1452</v>
      </c>
      <c r="B1037" s="4" t="n">
        <v>45986</v>
      </c>
      <c r="C1037" s="1" t="s">
        <v>99</v>
      </c>
      <c r="D1037" s="1" t="s">
        <v>125</v>
      </c>
      <c r="E1037" s="1" t="n">
        <v>2</v>
      </c>
      <c r="F1037" s="5" t="n">
        <v>0</v>
      </c>
      <c r="G1037" s="1" t="s">
        <v>52</v>
      </c>
      <c r="H1037" s="1" t="s">
        <v>45</v>
      </c>
      <c r="I1037" s="1" t="s">
        <v>20</v>
      </c>
    </row>
    <row r="1038" customFormat="false" ht="15" hidden="false" customHeight="false" outlineLevel="0" collapsed="false">
      <c r="A1038" s="1" t="s">
        <v>1453</v>
      </c>
      <c r="B1038" s="4" t="n">
        <v>45676</v>
      </c>
      <c r="C1038" s="1" t="s">
        <v>422</v>
      </c>
      <c r="D1038" s="1" t="s">
        <v>462</v>
      </c>
      <c r="E1038" s="1" t="n">
        <v>4</v>
      </c>
      <c r="F1038" s="5" t="n">
        <v>0.25</v>
      </c>
      <c r="G1038" s="1" t="s">
        <v>24</v>
      </c>
      <c r="H1038" s="1" t="s">
        <v>14</v>
      </c>
      <c r="I1038" s="1" t="s">
        <v>38</v>
      </c>
      <c r="J1038" s="1" t="n">
        <v>8</v>
      </c>
    </row>
    <row r="1039" customFormat="false" ht="15" hidden="false" customHeight="false" outlineLevel="0" collapsed="false">
      <c r="A1039" s="1" t="s">
        <v>1454</v>
      </c>
      <c r="B1039" s="4" t="n">
        <v>45842</v>
      </c>
      <c r="C1039" s="1" t="s">
        <v>47</v>
      </c>
      <c r="D1039" s="1" t="s">
        <v>220</v>
      </c>
      <c r="E1039" s="1" t="n">
        <v>1</v>
      </c>
      <c r="F1039" s="5" t="n">
        <v>0.05</v>
      </c>
      <c r="G1039" s="1" t="s">
        <v>52</v>
      </c>
      <c r="H1039" s="1" t="s">
        <v>14</v>
      </c>
      <c r="I1039" s="1" t="s">
        <v>15</v>
      </c>
      <c r="J1039" s="1" t="n">
        <v>6</v>
      </c>
    </row>
    <row r="1040" customFormat="false" ht="15" hidden="false" customHeight="false" outlineLevel="0" collapsed="false">
      <c r="A1040" s="1" t="s">
        <v>1455</v>
      </c>
      <c r="B1040" s="4" t="n">
        <v>45827</v>
      </c>
      <c r="C1040" s="1" t="s">
        <v>600</v>
      </c>
      <c r="D1040" s="1" t="s">
        <v>171</v>
      </c>
      <c r="E1040" s="1" t="n">
        <v>2</v>
      </c>
      <c r="F1040" s="5" t="n">
        <v>0</v>
      </c>
      <c r="G1040" s="1" t="s">
        <v>52</v>
      </c>
      <c r="H1040" s="1" t="s">
        <v>14</v>
      </c>
      <c r="I1040" s="1" t="s">
        <v>15</v>
      </c>
      <c r="J1040" s="1" t="n">
        <v>8</v>
      </c>
    </row>
    <row r="1041" customFormat="false" ht="15" hidden="false" customHeight="false" outlineLevel="0" collapsed="false">
      <c r="A1041" s="1" t="s">
        <v>1456</v>
      </c>
      <c r="B1041" s="4" t="n">
        <v>45914</v>
      </c>
      <c r="C1041" s="1" t="s">
        <v>870</v>
      </c>
      <c r="D1041" s="1" t="s">
        <v>554</v>
      </c>
      <c r="E1041" s="1" t="n">
        <v>1</v>
      </c>
      <c r="F1041" s="5" t="n">
        <v>0.1</v>
      </c>
      <c r="G1041" s="1" t="s">
        <v>24</v>
      </c>
      <c r="H1041" s="1" t="s">
        <v>14</v>
      </c>
      <c r="I1041" s="1" t="s">
        <v>20</v>
      </c>
      <c r="J1041" s="1" t="n">
        <v>1</v>
      </c>
    </row>
    <row r="1042" customFormat="false" ht="15" hidden="false" customHeight="false" outlineLevel="0" collapsed="false">
      <c r="A1042" s="1" t="s">
        <v>1457</v>
      </c>
      <c r="B1042" s="4" t="n">
        <v>45943</v>
      </c>
      <c r="C1042" s="1" t="s">
        <v>805</v>
      </c>
      <c r="D1042" s="1" t="s">
        <v>84</v>
      </c>
      <c r="E1042" s="1" t="n">
        <v>1</v>
      </c>
      <c r="F1042" s="5" t="n">
        <v>0.25</v>
      </c>
      <c r="G1042" s="1" t="s">
        <v>34</v>
      </c>
      <c r="H1042" s="1" t="s">
        <v>78</v>
      </c>
      <c r="I1042" s="1" t="s">
        <v>15</v>
      </c>
      <c r="J1042" s="1" t="n">
        <v>7</v>
      </c>
    </row>
    <row r="1043" customFormat="false" ht="15" hidden="false" customHeight="false" outlineLevel="0" collapsed="false">
      <c r="A1043" s="1" t="s">
        <v>1458</v>
      </c>
      <c r="B1043" s="4" t="n">
        <v>45953</v>
      </c>
      <c r="C1043" s="1" t="s">
        <v>608</v>
      </c>
      <c r="D1043" s="1" t="s">
        <v>210</v>
      </c>
      <c r="E1043" s="1" t="n">
        <v>4</v>
      </c>
      <c r="F1043" s="5" t="n">
        <v>0</v>
      </c>
      <c r="G1043" s="1" t="s">
        <v>34</v>
      </c>
      <c r="H1043" s="1" t="s">
        <v>14</v>
      </c>
      <c r="I1043" s="1" t="s">
        <v>20</v>
      </c>
      <c r="J1043" s="1" t="n">
        <v>5</v>
      </c>
    </row>
    <row r="1044" customFormat="false" ht="15" hidden="false" customHeight="false" outlineLevel="0" collapsed="false">
      <c r="A1044" s="1" t="s">
        <v>1459</v>
      </c>
      <c r="B1044" s="4" t="n">
        <v>45865</v>
      </c>
      <c r="C1044" s="1" t="s">
        <v>501</v>
      </c>
      <c r="D1044" s="1" t="s">
        <v>109</v>
      </c>
      <c r="E1044" s="1" t="n">
        <v>1</v>
      </c>
      <c r="F1044" s="5" t="n">
        <v>0</v>
      </c>
      <c r="G1044" s="1" t="s">
        <v>52</v>
      </c>
      <c r="H1044" s="1" t="s">
        <v>78</v>
      </c>
      <c r="I1044" s="1" t="s">
        <v>20</v>
      </c>
      <c r="J1044" s="1" t="n">
        <v>1</v>
      </c>
    </row>
    <row r="1045" customFormat="false" ht="15" hidden="false" customHeight="false" outlineLevel="0" collapsed="false">
      <c r="A1045" s="1" t="s">
        <v>1460</v>
      </c>
      <c r="B1045" s="4" t="n">
        <v>45821</v>
      </c>
      <c r="C1045" s="1" t="s">
        <v>440</v>
      </c>
      <c r="D1045" s="1" t="s">
        <v>446</v>
      </c>
      <c r="E1045" s="1" t="n">
        <v>1</v>
      </c>
      <c r="F1045" s="5" t="n">
        <v>0.15</v>
      </c>
      <c r="G1045" s="1" t="s">
        <v>24</v>
      </c>
      <c r="H1045" s="1" t="s">
        <v>14</v>
      </c>
      <c r="I1045" s="1" t="s">
        <v>15</v>
      </c>
      <c r="J1045" s="1" t="n">
        <v>8</v>
      </c>
    </row>
    <row r="1046" customFormat="false" ht="15" hidden="false" customHeight="false" outlineLevel="0" collapsed="false">
      <c r="A1046" s="1" t="s">
        <v>1461</v>
      </c>
      <c r="B1046" s="4" t="n">
        <v>45824</v>
      </c>
      <c r="C1046" s="1" t="s">
        <v>512</v>
      </c>
      <c r="D1046" s="1" t="s">
        <v>624</v>
      </c>
      <c r="E1046" s="1" t="n">
        <v>3</v>
      </c>
      <c r="F1046" s="5" t="n">
        <v>0.25</v>
      </c>
      <c r="G1046" s="1" t="s">
        <v>52</v>
      </c>
      <c r="H1046" s="1" t="s">
        <v>14</v>
      </c>
      <c r="I1046" s="1" t="s">
        <v>38</v>
      </c>
      <c r="J1046" s="1" t="n">
        <v>6</v>
      </c>
    </row>
    <row r="1047" customFormat="false" ht="15" hidden="false" customHeight="false" outlineLevel="0" collapsed="false">
      <c r="A1047" s="1" t="s">
        <v>1462</v>
      </c>
      <c r="B1047" s="4" t="n">
        <v>45963</v>
      </c>
      <c r="C1047" s="1" t="s">
        <v>139</v>
      </c>
      <c r="D1047" s="1" t="s">
        <v>30</v>
      </c>
      <c r="E1047" s="1" t="n">
        <v>3</v>
      </c>
      <c r="F1047" s="5" t="n">
        <v>0.05</v>
      </c>
      <c r="G1047" s="1" t="s">
        <v>24</v>
      </c>
      <c r="H1047" s="1" t="s">
        <v>14</v>
      </c>
      <c r="I1047" s="1" t="s">
        <v>20</v>
      </c>
      <c r="J1047" s="1" t="n">
        <v>6</v>
      </c>
    </row>
    <row r="1048" customFormat="false" ht="15" hidden="false" customHeight="false" outlineLevel="0" collapsed="false">
      <c r="A1048" s="1" t="s">
        <v>1463</v>
      </c>
      <c r="B1048" s="4" t="n">
        <v>45886</v>
      </c>
      <c r="C1048" s="1" t="s">
        <v>350</v>
      </c>
      <c r="D1048" s="1" t="s">
        <v>27</v>
      </c>
      <c r="E1048" s="1" t="n">
        <v>1</v>
      </c>
      <c r="F1048" s="5" t="n">
        <v>0.15</v>
      </c>
      <c r="G1048" s="1" t="s">
        <v>52</v>
      </c>
      <c r="H1048" s="1" t="s">
        <v>14</v>
      </c>
      <c r="I1048" s="1" t="s">
        <v>38</v>
      </c>
      <c r="J1048" s="1" t="n">
        <v>2</v>
      </c>
    </row>
    <row r="1049" customFormat="false" ht="15" hidden="false" customHeight="false" outlineLevel="0" collapsed="false">
      <c r="A1049" s="1" t="s">
        <v>1464</v>
      </c>
      <c r="B1049" s="4" t="n">
        <v>45878</v>
      </c>
      <c r="C1049" s="1" t="s">
        <v>696</v>
      </c>
      <c r="D1049" s="1" t="s">
        <v>176</v>
      </c>
      <c r="E1049" s="1" t="n">
        <v>2</v>
      </c>
      <c r="F1049" s="5" t="n">
        <v>0.1</v>
      </c>
      <c r="G1049" s="1" t="s">
        <v>52</v>
      </c>
      <c r="H1049" s="1" t="s">
        <v>92</v>
      </c>
      <c r="I1049" s="1" t="s">
        <v>15</v>
      </c>
    </row>
    <row r="1050" customFormat="false" ht="15" hidden="false" customHeight="false" outlineLevel="0" collapsed="false">
      <c r="A1050" s="1" t="s">
        <v>1465</v>
      </c>
      <c r="B1050" s="4" t="n">
        <v>45739</v>
      </c>
      <c r="C1050" s="1" t="s">
        <v>66</v>
      </c>
      <c r="D1050" s="1" t="s">
        <v>130</v>
      </c>
      <c r="E1050" s="1" t="n">
        <v>1</v>
      </c>
      <c r="F1050" s="5" t="n">
        <v>0.15</v>
      </c>
      <c r="G1050" s="1" t="s">
        <v>24</v>
      </c>
      <c r="H1050" s="1" t="s">
        <v>78</v>
      </c>
      <c r="I1050" s="1" t="s">
        <v>38</v>
      </c>
      <c r="J1050" s="1" t="n">
        <v>1</v>
      </c>
    </row>
    <row r="1051" customFormat="false" ht="15" hidden="false" customHeight="false" outlineLevel="0" collapsed="false">
      <c r="A1051" s="1" t="s">
        <v>1466</v>
      </c>
      <c r="B1051" s="4" t="n">
        <v>45942</v>
      </c>
      <c r="C1051" s="1" t="s">
        <v>783</v>
      </c>
      <c r="D1051" s="1" t="s">
        <v>168</v>
      </c>
      <c r="E1051" s="1" t="n">
        <v>1</v>
      </c>
      <c r="F1051" s="5" t="n">
        <v>0</v>
      </c>
      <c r="G1051" s="1" t="s">
        <v>71</v>
      </c>
      <c r="H1051" s="1" t="s">
        <v>45</v>
      </c>
      <c r="I1051" s="1" t="s">
        <v>38</v>
      </c>
    </row>
    <row r="1052" customFormat="false" ht="15" hidden="false" customHeight="false" outlineLevel="0" collapsed="false">
      <c r="A1052" s="1" t="s">
        <v>1467</v>
      </c>
      <c r="B1052" s="4" t="n">
        <v>45868</v>
      </c>
      <c r="C1052" s="1" t="s">
        <v>401</v>
      </c>
      <c r="D1052" s="1" t="s">
        <v>441</v>
      </c>
      <c r="E1052" s="1" t="n">
        <v>1</v>
      </c>
      <c r="F1052" s="5" t="n">
        <v>0.15</v>
      </c>
      <c r="G1052" s="1" t="s">
        <v>19</v>
      </c>
      <c r="H1052" s="1" t="s">
        <v>14</v>
      </c>
      <c r="I1052" s="1" t="s">
        <v>38</v>
      </c>
      <c r="J1052" s="1" t="n">
        <v>5</v>
      </c>
    </row>
    <row r="1053" customFormat="false" ht="15" hidden="false" customHeight="false" outlineLevel="0" collapsed="false">
      <c r="A1053" s="1" t="s">
        <v>1468</v>
      </c>
      <c r="B1053" s="4" t="n">
        <v>45826</v>
      </c>
      <c r="C1053" s="1" t="s">
        <v>259</v>
      </c>
      <c r="D1053" s="1" t="s">
        <v>67</v>
      </c>
      <c r="E1053" s="1" t="n">
        <v>4</v>
      </c>
      <c r="F1053" s="5" t="n">
        <v>0.15</v>
      </c>
      <c r="G1053" s="1" t="s">
        <v>19</v>
      </c>
      <c r="H1053" s="1" t="s">
        <v>14</v>
      </c>
      <c r="I1053" s="1" t="s">
        <v>15</v>
      </c>
      <c r="J1053" s="1" t="n">
        <v>1</v>
      </c>
    </row>
    <row r="1054" customFormat="false" ht="15" hidden="false" customHeight="false" outlineLevel="0" collapsed="false">
      <c r="A1054" s="1" t="s">
        <v>1469</v>
      </c>
      <c r="B1054" s="4" t="n">
        <v>45718</v>
      </c>
      <c r="C1054" s="1" t="s">
        <v>922</v>
      </c>
      <c r="D1054" s="1" t="s">
        <v>176</v>
      </c>
      <c r="E1054" s="1" t="n">
        <v>1</v>
      </c>
      <c r="F1054" s="5" t="n">
        <v>0.05</v>
      </c>
      <c r="G1054" s="1" t="s">
        <v>52</v>
      </c>
      <c r="H1054" s="1" t="s">
        <v>14</v>
      </c>
      <c r="I1054" s="1" t="s">
        <v>15</v>
      </c>
      <c r="J1054" s="1" t="n">
        <v>3</v>
      </c>
    </row>
    <row r="1055" customFormat="false" ht="15" hidden="false" customHeight="false" outlineLevel="0" collapsed="false">
      <c r="A1055" s="1" t="s">
        <v>1470</v>
      </c>
      <c r="B1055" s="4" t="n">
        <v>45680</v>
      </c>
      <c r="C1055" s="1" t="s">
        <v>343</v>
      </c>
      <c r="D1055" s="1" t="s">
        <v>362</v>
      </c>
      <c r="E1055" s="1" t="n">
        <v>1</v>
      </c>
      <c r="F1055" s="5" t="n">
        <v>0.1</v>
      </c>
      <c r="G1055" s="1" t="s">
        <v>52</v>
      </c>
      <c r="H1055" s="1" t="s">
        <v>45</v>
      </c>
      <c r="I1055" s="1" t="s">
        <v>20</v>
      </c>
    </row>
    <row r="1056" customFormat="false" ht="15" hidden="false" customHeight="false" outlineLevel="0" collapsed="false">
      <c r="A1056" s="1" t="s">
        <v>1471</v>
      </c>
      <c r="B1056" s="4" t="n">
        <v>45851</v>
      </c>
      <c r="C1056" s="1" t="s">
        <v>459</v>
      </c>
      <c r="D1056" s="1" t="s">
        <v>230</v>
      </c>
      <c r="E1056" s="1" t="n">
        <v>1</v>
      </c>
      <c r="F1056" s="5" t="n">
        <v>0.15</v>
      </c>
      <c r="G1056" s="1" t="s">
        <v>34</v>
      </c>
      <c r="H1056" s="1" t="s">
        <v>14</v>
      </c>
      <c r="I1056" s="1" t="s">
        <v>38</v>
      </c>
      <c r="J1056" s="1" t="n">
        <v>7</v>
      </c>
    </row>
    <row r="1057" customFormat="false" ht="15" hidden="false" customHeight="false" outlineLevel="0" collapsed="false">
      <c r="A1057" s="1" t="s">
        <v>1472</v>
      </c>
      <c r="B1057" s="4" t="n">
        <v>45694</v>
      </c>
      <c r="C1057" s="1" t="s">
        <v>947</v>
      </c>
      <c r="D1057" s="1" t="s">
        <v>27</v>
      </c>
      <c r="E1057" s="1" t="n">
        <v>1</v>
      </c>
      <c r="F1057" s="5" t="n">
        <v>0.05</v>
      </c>
      <c r="G1057" s="1" t="s">
        <v>34</v>
      </c>
      <c r="H1057" s="1" t="s">
        <v>14</v>
      </c>
      <c r="I1057" s="1" t="s">
        <v>15</v>
      </c>
      <c r="J1057" s="1" t="n">
        <v>5</v>
      </c>
    </row>
    <row r="1058" customFormat="false" ht="15" hidden="false" customHeight="false" outlineLevel="0" collapsed="false">
      <c r="A1058" s="1" t="s">
        <v>1473</v>
      </c>
      <c r="B1058" s="4" t="n">
        <v>45797</v>
      </c>
      <c r="C1058" s="1" t="s">
        <v>88</v>
      </c>
      <c r="D1058" s="1" t="s">
        <v>429</v>
      </c>
      <c r="E1058" s="1" t="n">
        <v>3</v>
      </c>
      <c r="F1058" s="5" t="n">
        <v>0</v>
      </c>
      <c r="G1058" s="1" t="s">
        <v>52</v>
      </c>
      <c r="H1058" s="1" t="s">
        <v>14</v>
      </c>
      <c r="I1058" s="1" t="s">
        <v>20</v>
      </c>
      <c r="J1058" s="1" t="n">
        <v>4</v>
      </c>
    </row>
    <row r="1059" customFormat="false" ht="15" hidden="false" customHeight="false" outlineLevel="0" collapsed="false">
      <c r="A1059" s="1" t="s">
        <v>1474</v>
      </c>
      <c r="B1059" s="4" t="n">
        <v>45928</v>
      </c>
      <c r="C1059" s="1" t="s">
        <v>661</v>
      </c>
      <c r="D1059" s="1" t="s">
        <v>33</v>
      </c>
      <c r="E1059" s="1" t="n">
        <v>4</v>
      </c>
      <c r="F1059" s="5" t="n">
        <v>0.05</v>
      </c>
      <c r="G1059" s="1" t="s">
        <v>24</v>
      </c>
      <c r="H1059" s="1" t="s">
        <v>92</v>
      </c>
      <c r="I1059" s="1" t="s">
        <v>38</v>
      </c>
    </row>
    <row r="1060" customFormat="false" ht="15" hidden="false" customHeight="false" outlineLevel="0" collapsed="false">
      <c r="A1060" s="1" t="s">
        <v>1475</v>
      </c>
      <c r="B1060" s="4" t="n">
        <v>45797</v>
      </c>
      <c r="C1060" s="1" t="s">
        <v>352</v>
      </c>
      <c r="D1060" s="1" t="s">
        <v>112</v>
      </c>
      <c r="E1060" s="1" t="n">
        <v>2</v>
      </c>
      <c r="F1060" s="5" t="n">
        <v>0.1</v>
      </c>
      <c r="G1060" s="1" t="s">
        <v>19</v>
      </c>
      <c r="H1060" s="1" t="s">
        <v>14</v>
      </c>
      <c r="I1060" s="1" t="s">
        <v>38</v>
      </c>
      <c r="J1060" s="1" t="n">
        <v>6</v>
      </c>
    </row>
    <row r="1061" customFormat="false" ht="15" hidden="false" customHeight="false" outlineLevel="0" collapsed="false">
      <c r="A1061" s="1" t="s">
        <v>1476</v>
      </c>
      <c r="B1061" s="4" t="n">
        <v>45833</v>
      </c>
      <c r="C1061" s="1" t="s">
        <v>63</v>
      </c>
      <c r="D1061" s="1" t="s">
        <v>97</v>
      </c>
      <c r="E1061" s="1" t="n">
        <v>3</v>
      </c>
      <c r="F1061" s="5" t="n">
        <v>0.05</v>
      </c>
      <c r="G1061" s="1" t="s">
        <v>19</v>
      </c>
      <c r="H1061" s="1" t="s">
        <v>14</v>
      </c>
      <c r="I1061" s="1" t="s">
        <v>38</v>
      </c>
      <c r="J1061" s="1" t="n">
        <v>2</v>
      </c>
    </row>
    <row r="1062" customFormat="false" ht="15" hidden="false" customHeight="false" outlineLevel="0" collapsed="false">
      <c r="A1062" s="1" t="s">
        <v>1477</v>
      </c>
      <c r="B1062" s="4" t="n">
        <v>45843</v>
      </c>
      <c r="C1062" s="1" t="s">
        <v>173</v>
      </c>
      <c r="D1062" s="1" t="s">
        <v>603</v>
      </c>
      <c r="E1062" s="1" t="n">
        <v>5</v>
      </c>
      <c r="F1062" s="5" t="n">
        <v>0.05</v>
      </c>
      <c r="G1062" s="1" t="s">
        <v>19</v>
      </c>
      <c r="H1062" s="1" t="s">
        <v>14</v>
      </c>
      <c r="I1062" s="1" t="s">
        <v>15</v>
      </c>
      <c r="J1062" s="1" t="n">
        <v>8</v>
      </c>
    </row>
    <row r="1063" customFormat="false" ht="15" hidden="false" customHeight="false" outlineLevel="0" collapsed="false">
      <c r="A1063" s="1" t="s">
        <v>1478</v>
      </c>
      <c r="B1063" s="4" t="n">
        <v>45811</v>
      </c>
      <c r="C1063" s="1" t="s">
        <v>459</v>
      </c>
      <c r="D1063" s="1" t="s">
        <v>140</v>
      </c>
      <c r="E1063" s="1" t="n">
        <v>1</v>
      </c>
      <c r="F1063" s="5" t="n">
        <v>0.05</v>
      </c>
      <c r="G1063" s="1" t="s">
        <v>34</v>
      </c>
      <c r="H1063" s="1" t="s">
        <v>14</v>
      </c>
      <c r="I1063" s="1" t="s">
        <v>20</v>
      </c>
      <c r="J1063" s="1" t="n">
        <v>6</v>
      </c>
    </row>
    <row r="1064" customFormat="false" ht="15" hidden="false" customHeight="false" outlineLevel="0" collapsed="false">
      <c r="A1064" s="1" t="s">
        <v>1479</v>
      </c>
      <c r="B1064" s="4" t="n">
        <v>45825</v>
      </c>
      <c r="C1064" s="1" t="s">
        <v>507</v>
      </c>
      <c r="D1064" s="1" t="s">
        <v>216</v>
      </c>
      <c r="E1064" s="1" t="n">
        <v>5</v>
      </c>
      <c r="F1064" s="5" t="n">
        <v>0.1</v>
      </c>
      <c r="G1064" s="1" t="s">
        <v>19</v>
      </c>
      <c r="H1064" s="1" t="s">
        <v>14</v>
      </c>
      <c r="I1064" s="1" t="s">
        <v>15</v>
      </c>
      <c r="J1064" s="1" t="n">
        <v>8</v>
      </c>
    </row>
    <row r="1065" customFormat="false" ht="15" hidden="false" customHeight="false" outlineLevel="0" collapsed="false">
      <c r="A1065" s="1" t="s">
        <v>1480</v>
      </c>
      <c r="B1065" s="4" t="n">
        <v>45807</v>
      </c>
      <c r="C1065" s="1" t="s">
        <v>370</v>
      </c>
      <c r="D1065" s="1" t="s">
        <v>186</v>
      </c>
      <c r="E1065" s="1" t="n">
        <v>1</v>
      </c>
      <c r="F1065" s="5" t="n">
        <v>0.25</v>
      </c>
      <c r="G1065" s="1" t="s">
        <v>34</v>
      </c>
      <c r="H1065" s="1" t="s">
        <v>14</v>
      </c>
      <c r="I1065" s="1" t="s">
        <v>15</v>
      </c>
      <c r="J1065" s="1" t="n">
        <v>3</v>
      </c>
    </row>
    <row r="1066" customFormat="false" ht="15" hidden="false" customHeight="false" outlineLevel="0" collapsed="false">
      <c r="A1066" s="1" t="s">
        <v>1481</v>
      </c>
      <c r="B1066" s="4" t="n">
        <v>45658</v>
      </c>
      <c r="C1066" s="1" t="s">
        <v>974</v>
      </c>
      <c r="D1066" s="1" t="s">
        <v>220</v>
      </c>
      <c r="E1066" s="1" t="n">
        <v>1</v>
      </c>
      <c r="F1066" s="5" t="n">
        <v>0</v>
      </c>
      <c r="G1066" s="1" t="s">
        <v>24</v>
      </c>
      <c r="H1066" s="1" t="s">
        <v>14</v>
      </c>
      <c r="I1066" s="1" t="s">
        <v>20</v>
      </c>
      <c r="J1066" s="1" t="n">
        <v>6</v>
      </c>
    </row>
    <row r="1067" customFormat="false" ht="15" hidden="false" customHeight="false" outlineLevel="0" collapsed="false">
      <c r="A1067" s="1" t="s">
        <v>1482</v>
      </c>
      <c r="B1067" s="4" t="n">
        <v>45676</v>
      </c>
      <c r="C1067" s="1" t="s">
        <v>150</v>
      </c>
      <c r="D1067" s="1" t="s">
        <v>222</v>
      </c>
      <c r="E1067" s="1" t="n">
        <v>2</v>
      </c>
      <c r="F1067" s="5" t="n">
        <v>0.15</v>
      </c>
      <c r="G1067" s="1" t="s">
        <v>52</v>
      </c>
      <c r="H1067" s="1" t="s">
        <v>53</v>
      </c>
      <c r="I1067" s="1" t="s">
        <v>20</v>
      </c>
      <c r="J1067" s="1" t="n">
        <v>8</v>
      </c>
    </row>
    <row r="1068" customFormat="false" ht="15" hidden="false" customHeight="false" outlineLevel="0" collapsed="false">
      <c r="A1068" s="1" t="s">
        <v>1483</v>
      </c>
      <c r="B1068" s="4" t="n">
        <v>46007</v>
      </c>
      <c r="C1068" s="1" t="s">
        <v>225</v>
      </c>
      <c r="D1068" s="1" t="s">
        <v>81</v>
      </c>
      <c r="E1068" s="1" t="n">
        <v>2</v>
      </c>
      <c r="F1068" s="5" t="n">
        <v>0.1</v>
      </c>
      <c r="G1068" s="1" t="s">
        <v>34</v>
      </c>
      <c r="H1068" s="1" t="s">
        <v>14</v>
      </c>
      <c r="I1068" s="1" t="s">
        <v>15</v>
      </c>
      <c r="J1068" s="1" t="n">
        <v>3</v>
      </c>
    </row>
    <row r="1069" customFormat="false" ht="15" hidden="false" customHeight="false" outlineLevel="0" collapsed="false">
      <c r="A1069" s="1" t="s">
        <v>1484</v>
      </c>
      <c r="B1069" s="4" t="n">
        <v>45767</v>
      </c>
      <c r="C1069" s="1" t="s">
        <v>490</v>
      </c>
      <c r="D1069" s="1" t="s">
        <v>537</v>
      </c>
      <c r="E1069" s="1" t="n">
        <v>3</v>
      </c>
      <c r="F1069" s="5" t="n">
        <v>0.05</v>
      </c>
      <c r="G1069" s="1" t="s">
        <v>34</v>
      </c>
      <c r="H1069" s="1" t="s">
        <v>14</v>
      </c>
      <c r="I1069" s="1" t="s">
        <v>15</v>
      </c>
      <c r="J1069" s="1" t="n">
        <v>4</v>
      </c>
    </row>
    <row r="1070" customFormat="false" ht="15" hidden="false" customHeight="false" outlineLevel="0" collapsed="false">
      <c r="A1070" s="1" t="s">
        <v>1485</v>
      </c>
      <c r="B1070" s="4" t="n">
        <v>45968</v>
      </c>
      <c r="C1070" s="1" t="s">
        <v>830</v>
      </c>
      <c r="D1070" s="1" t="s">
        <v>74</v>
      </c>
      <c r="E1070" s="1" t="n">
        <v>3</v>
      </c>
      <c r="F1070" s="5" t="n">
        <v>0</v>
      </c>
      <c r="G1070" s="1" t="s">
        <v>34</v>
      </c>
      <c r="H1070" s="1" t="s">
        <v>78</v>
      </c>
      <c r="I1070" s="1" t="s">
        <v>15</v>
      </c>
      <c r="J1070" s="1" t="n">
        <v>2</v>
      </c>
    </row>
    <row r="1071" customFormat="false" ht="15" hidden="false" customHeight="false" outlineLevel="0" collapsed="false">
      <c r="A1071" s="1" t="s">
        <v>1486</v>
      </c>
      <c r="B1071" s="4" t="n">
        <v>45919</v>
      </c>
      <c r="C1071" s="1" t="s">
        <v>119</v>
      </c>
      <c r="D1071" s="1" t="s">
        <v>100</v>
      </c>
      <c r="E1071" s="1" t="n">
        <v>2</v>
      </c>
      <c r="F1071" s="5" t="n">
        <v>0.05</v>
      </c>
      <c r="G1071" s="1" t="s">
        <v>34</v>
      </c>
      <c r="H1071" s="1" t="s">
        <v>14</v>
      </c>
      <c r="I1071" s="1" t="s">
        <v>20</v>
      </c>
      <c r="J1071" s="1" t="n">
        <v>6</v>
      </c>
    </row>
    <row r="1072" customFormat="false" ht="15" hidden="false" customHeight="false" outlineLevel="0" collapsed="false">
      <c r="A1072" s="1" t="s">
        <v>1487</v>
      </c>
      <c r="B1072" s="4" t="n">
        <v>45742</v>
      </c>
      <c r="C1072" s="1" t="s">
        <v>647</v>
      </c>
      <c r="D1072" s="1" t="s">
        <v>168</v>
      </c>
      <c r="E1072" s="1" t="n">
        <v>2</v>
      </c>
      <c r="F1072" s="5" t="n">
        <v>0.05</v>
      </c>
      <c r="G1072" s="1" t="s">
        <v>19</v>
      </c>
      <c r="H1072" s="1" t="s">
        <v>53</v>
      </c>
      <c r="I1072" s="1" t="s">
        <v>15</v>
      </c>
      <c r="J1072" s="1" t="n">
        <v>2</v>
      </c>
    </row>
    <row r="1073" customFormat="false" ht="15" hidden="false" customHeight="false" outlineLevel="0" collapsed="false">
      <c r="A1073" s="1" t="s">
        <v>1488</v>
      </c>
      <c r="B1073" s="4" t="n">
        <v>45849</v>
      </c>
      <c r="C1073" s="1" t="s">
        <v>32</v>
      </c>
      <c r="D1073" s="1" t="s">
        <v>168</v>
      </c>
      <c r="E1073" s="1" t="n">
        <v>1</v>
      </c>
      <c r="F1073" s="5" t="n">
        <v>0.1</v>
      </c>
      <c r="G1073" s="1" t="s">
        <v>34</v>
      </c>
      <c r="H1073" s="1" t="s">
        <v>14</v>
      </c>
      <c r="I1073" s="1" t="s">
        <v>38</v>
      </c>
      <c r="J1073" s="1" t="n">
        <v>2</v>
      </c>
    </row>
    <row r="1074" customFormat="false" ht="15" hidden="false" customHeight="false" outlineLevel="0" collapsed="false">
      <c r="A1074" s="1" t="s">
        <v>1489</v>
      </c>
      <c r="B1074" s="4" t="n">
        <v>45705</v>
      </c>
      <c r="C1074" s="1" t="s">
        <v>661</v>
      </c>
      <c r="D1074" s="1" t="s">
        <v>30</v>
      </c>
      <c r="E1074" s="1" t="n">
        <v>1</v>
      </c>
      <c r="F1074" s="5" t="n">
        <v>0</v>
      </c>
      <c r="G1074" s="1" t="s">
        <v>52</v>
      </c>
      <c r="H1074" s="1" t="s">
        <v>45</v>
      </c>
      <c r="I1074" s="1" t="s">
        <v>20</v>
      </c>
    </row>
    <row r="1075" customFormat="false" ht="15" hidden="false" customHeight="false" outlineLevel="0" collapsed="false">
      <c r="A1075" s="1" t="s">
        <v>1490</v>
      </c>
      <c r="B1075" s="4" t="n">
        <v>45755</v>
      </c>
      <c r="C1075" s="1" t="s">
        <v>839</v>
      </c>
      <c r="D1075" s="1" t="s">
        <v>210</v>
      </c>
      <c r="E1075" s="1" t="n">
        <v>2</v>
      </c>
      <c r="F1075" s="5" t="n">
        <v>0.15</v>
      </c>
      <c r="G1075" s="1" t="s">
        <v>71</v>
      </c>
      <c r="H1075" s="1" t="s">
        <v>14</v>
      </c>
      <c r="I1075" s="1" t="s">
        <v>20</v>
      </c>
      <c r="J1075" s="1" t="n">
        <v>7</v>
      </c>
    </row>
    <row r="1076" customFormat="false" ht="15" hidden="false" customHeight="false" outlineLevel="0" collapsed="false">
      <c r="A1076" s="1" t="s">
        <v>1491</v>
      </c>
      <c r="B1076" s="4" t="n">
        <v>46005</v>
      </c>
      <c r="C1076" s="1" t="s">
        <v>721</v>
      </c>
      <c r="D1076" s="1" t="s">
        <v>222</v>
      </c>
      <c r="E1076" s="1" t="n">
        <v>1</v>
      </c>
      <c r="F1076" s="5" t="n">
        <v>0.15</v>
      </c>
      <c r="G1076" s="1" t="s">
        <v>24</v>
      </c>
      <c r="H1076" s="1" t="s">
        <v>14</v>
      </c>
      <c r="I1076" s="1" t="s">
        <v>15</v>
      </c>
      <c r="J1076" s="1" t="n">
        <v>8</v>
      </c>
    </row>
    <row r="1077" customFormat="false" ht="15" hidden="false" customHeight="false" outlineLevel="0" collapsed="false">
      <c r="A1077" s="1" t="s">
        <v>1492</v>
      </c>
      <c r="B1077" s="4" t="n">
        <v>45856</v>
      </c>
      <c r="C1077" s="1" t="s">
        <v>413</v>
      </c>
      <c r="D1077" s="1" t="s">
        <v>94</v>
      </c>
      <c r="E1077" s="1" t="n">
        <v>1</v>
      </c>
      <c r="F1077" s="5" t="n">
        <v>0.05</v>
      </c>
      <c r="G1077" s="1" t="s">
        <v>24</v>
      </c>
      <c r="H1077" s="1" t="s">
        <v>14</v>
      </c>
      <c r="I1077" s="1" t="s">
        <v>38</v>
      </c>
      <c r="J1077" s="1" t="n">
        <v>6</v>
      </c>
    </row>
    <row r="1078" customFormat="false" ht="15" hidden="false" customHeight="false" outlineLevel="0" collapsed="false">
      <c r="A1078" s="1" t="s">
        <v>1493</v>
      </c>
      <c r="B1078" s="4" t="n">
        <v>45766</v>
      </c>
      <c r="C1078" s="1" t="s">
        <v>1243</v>
      </c>
      <c r="D1078" s="1" t="s">
        <v>253</v>
      </c>
      <c r="E1078" s="1" t="n">
        <v>1</v>
      </c>
      <c r="F1078" s="5" t="n">
        <v>0.1</v>
      </c>
      <c r="G1078" s="1" t="s">
        <v>24</v>
      </c>
      <c r="H1078" s="1" t="s">
        <v>78</v>
      </c>
      <c r="I1078" s="1" t="s">
        <v>15</v>
      </c>
      <c r="J1078" s="1" t="n">
        <v>7</v>
      </c>
    </row>
    <row r="1079" customFormat="false" ht="15" hidden="false" customHeight="false" outlineLevel="0" collapsed="false">
      <c r="A1079" s="1" t="s">
        <v>1494</v>
      </c>
      <c r="B1079" s="4" t="n">
        <v>45975</v>
      </c>
      <c r="C1079" s="1" t="s">
        <v>721</v>
      </c>
      <c r="D1079" s="1" t="s">
        <v>186</v>
      </c>
      <c r="E1079" s="1" t="n">
        <v>1</v>
      </c>
      <c r="F1079" s="5" t="n">
        <v>0.15</v>
      </c>
      <c r="G1079" s="1" t="s">
        <v>19</v>
      </c>
      <c r="H1079" s="1" t="s">
        <v>45</v>
      </c>
      <c r="I1079" s="1" t="s">
        <v>20</v>
      </c>
    </row>
    <row r="1080" customFormat="false" ht="15" hidden="false" customHeight="false" outlineLevel="0" collapsed="false">
      <c r="A1080" s="1" t="s">
        <v>1495</v>
      </c>
      <c r="B1080" s="4" t="n">
        <v>45925</v>
      </c>
      <c r="C1080" s="1" t="s">
        <v>327</v>
      </c>
      <c r="D1080" s="1" t="s">
        <v>303</v>
      </c>
      <c r="E1080" s="1" t="n">
        <v>1</v>
      </c>
      <c r="F1080" s="5" t="n">
        <v>0.1</v>
      </c>
      <c r="G1080" s="1" t="s">
        <v>13</v>
      </c>
      <c r="H1080" s="1" t="s">
        <v>53</v>
      </c>
      <c r="I1080" s="1" t="s">
        <v>20</v>
      </c>
      <c r="J1080" s="1" t="n">
        <v>1</v>
      </c>
    </row>
    <row r="1081" customFormat="false" ht="15" hidden="false" customHeight="false" outlineLevel="0" collapsed="false">
      <c r="A1081" s="1" t="s">
        <v>1496</v>
      </c>
      <c r="B1081" s="4" t="n">
        <v>45881</v>
      </c>
      <c r="C1081" s="1" t="s">
        <v>870</v>
      </c>
      <c r="D1081" s="1" t="s">
        <v>171</v>
      </c>
      <c r="E1081" s="1" t="n">
        <v>1</v>
      </c>
      <c r="F1081" s="5" t="n">
        <v>0.05</v>
      </c>
      <c r="G1081" s="1" t="s">
        <v>52</v>
      </c>
      <c r="H1081" s="1" t="s">
        <v>14</v>
      </c>
      <c r="I1081" s="1" t="s">
        <v>38</v>
      </c>
      <c r="J1081" s="1" t="n">
        <v>1</v>
      </c>
    </row>
    <row r="1082" customFormat="false" ht="15" hidden="false" customHeight="false" outlineLevel="0" collapsed="false">
      <c r="A1082" s="1" t="s">
        <v>1497</v>
      </c>
      <c r="B1082" s="4" t="n">
        <v>45774</v>
      </c>
      <c r="C1082" s="1" t="s">
        <v>183</v>
      </c>
      <c r="D1082" s="1" t="s">
        <v>154</v>
      </c>
      <c r="E1082" s="1" t="n">
        <v>3</v>
      </c>
      <c r="F1082" s="5" t="n">
        <v>0.05</v>
      </c>
      <c r="G1082" s="1" t="s">
        <v>13</v>
      </c>
      <c r="H1082" s="1" t="s">
        <v>14</v>
      </c>
      <c r="I1082" s="1" t="s">
        <v>38</v>
      </c>
      <c r="J1082" s="1" t="n">
        <v>5</v>
      </c>
    </row>
    <row r="1083" customFormat="false" ht="15" hidden="false" customHeight="false" outlineLevel="0" collapsed="false">
      <c r="A1083" s="1" t="s">
        <v>1498</v>
      </c>
      <c r="B1083" s="4" t="n">
        <v>45854</v>
      </c>
      <c r="C1083" s="1" t="s">
        <v>319</v>
      </c>
      <c r="D1083" s="1" t="s">
        <v>493</v>
      </c>
      <c r="E1083" s="1" t="n">
        <v>1</v>
      </c>
      <c r="F1083" s="5" t="n">
        <v>0.15</v>
      </c>
      <c r="G1083" s="1" t="s">
        <v>52</v>
      </c>
      <c r="H1083" s="1" t="s">
        <v>14</v>
      </c>
      <c r="I1083" s="1" t="s">
        <v>15</v>
      </c>
      <c r="J1083" s="1" t="n">
        <v>6</v>
      </c>
    </row>
    <row r="1084" customFormat="false" ht="15" hidden="false" customHeight="false" outlineLevel="0" collapsed="false">
      <c r="A1084" s="1" t="s">
        <v>1499</v>
      </c>
      <c r="B1084" s="4" t="n">
        <v>45865</v>
      </c>
      <c r="C1084" s="1" t="s">
        <v>854</v>
      </c>
      <c r="D1084" s="1" t="s">
        <v>30</v>
      </c>
      <c r="E1084" s="1" t="n">
        <v>5</v>
      </c>
      <c r="F1084" s="5" t="n">
        <v>0.2</v>
      </c>
      <c r="G1084" s="1" t="s">
        <v>34</v>
      </c>
      <c r="H1084" s="1" t="s">
        <v>14</v>
      </c>
      <c r="I1084" s="1" t="s">
        <v>20</v>
      </c>
      <c r="J1084" s="1" t="n">
        <v>6</v>
      </c>
    </row>
    <row r="1085" customFormat="false" ht="15" hidden="false" customHeight="false" outlineLevel="0" collapsed="false">
      <c r="A1085" s="1" t="s">
        <v>1500</v>
      </c>
      <c r="B1085" s="4" t="n">
        <v>46021</v>
      </c>
      <c r="C1085" s="1" t="s">
        <v>1501</v>
      </c>
      <c r="D1085" s="1" t="s">
        <v>603</v>
      </c>
      <c r="E1085" s="1" t="n">
        <v>1</v>
      </c>
      <c r="F1085" s="5" t="n">
        <v>0.05</v>
      </c>
      <c r="G1085" s="1" t="s">
        <v>24</v>
      </c>
      <c r="H1085" s="1" t="s">
        <v>14</v>
      </c>
      <c r="I1085" s="1" t="s">
        <v>20</v>
      </c>
      <c r="J1085" s="1" t="n">
        <v>8</v>
      </c>
    </row>
    <row r="1086" customFormat="false" ht="15" hidden="false" customHeight="false" outlineLevel="0" collapsed="false">
      <c r="A1086" s="1" t="s">
        <v>1502</v>
      </c>
      <c r="B1086" s="4" t="n">
        <v>45826</v>
      </c>
      <c r="C1086" s="1" t="s">
        <v>306</v>
      </c>
      <c r="D1086" s="1" t="s">
        <v>112</v>
      </c>
      <c r="E1086" s="1" t="n">
        <v>3</v>
      </c>
      <c r="F1086" s="5" t="n">
        <v>0.05</v>
      </c>
      <c r="G1086" s="1" t="s">
        <v>34</v>
      </c>
      <c r="H1086" s="1" t="s">
        <v>14</v>
      </c>
      <c r="I1086" s="1" t="s">
        <v>20</v>
      </c>
      <c r="J1086" s="1" t="n">
        <v>2</v>
      </c>
    </row>
    <row r="1087" customFormat="false" ht="15" hidden="false" customHeight="false" outlineLevel="0" collapsed="false">
      <c r="A1087" s="1" t="s">
        <v>1503</v>
      </c>
      <c r="B1087" s="4" t="n">
        <v>45808</v>
      </c>
      <c r="C1087" s="1" t="s">
        <v>175</v>
      </c>
      <c r="D1087" s="1" t="s">
        <v>289</v>
      </c>
      <c r="E1087" s="1" t="n">
        <v>2</v>
      </c>
      <c r="F1087" s="5" t="n">
        <v>0</v>
      </c>
      <c r="G1087" s="1" t="s">
        <v>52</v>
      </c>
      <c r="H1087" s="1" t="s">
        <v>92</v>
      </c>
      <c r="I1087" s="1" t="s">
        <v>20</v>
      </c>
    </row>
    <row r="1088" customFormat="false" ht="15" hidden="false" customHeight="false" outlineLevel="0" collapsed="false">
      <c r="A1088" s="1" t="s">
        <v>1504</v>
      </c>
      <c r="B1088" s="4" t="n">
        <v>45726</v>
      </c>
      <c r="C1088" s="1" t="s">
        <v>615</v>
      </c>
      <c r="D1088" s="1" t="s">
        <v>137</v>
      </c>
      <c r="E1088" s="1" t="n">
        <v>3</v>
      </c>
      <c r="F1088" s="5" t="n">
        <v>0.1</v>
      </c>
      <c r="G1088" s="1" t="s">
        <v>52</v>
      </c>
      <c r="H1088" s="1" t="s">
        <v>14</v>
      </c>
      <c r="I1088" s="1" t="s">
        <v>15</v>
      </c>
      <c r="J1088" s="1" t="n">
        <v>5</v>
      </c>
    </row>
    <row r="1089" customFormat="false" ht="15" hidden="false" customHeight="false" outlineLevel="0" collapsed="false">
      <c r="A1089" s="1" t="s">
        <v>1505</v>
      </c>
      <c r="B1089" s="4" t="n">
        <v>45709</v>
      </c>
      <c r="C1089" s="1" t="s">
        <v>236</v>
      </c>
      <c r="D1089" s="1" t="s">
        <v>328</v>
      </c>
      <c r="E1089" s="1" t="n">
        <v>2</v>
      </c>
      <c r="F1089" s="5" t="n">
        <v>0.15</v>
      </c>
      <c r="G1089" s="1" t="s">
        <v>52</v>
      </c>
      <c r="H1089" s="1" t="s">
        <v>14</v>
      </c>
      <c r="I1089" s="1" t="s">
        <v>20</v>
      </c>
      <c r="J1089" s="1" t="n">
        <v>3</v>
      </c>
    </row>
    <row r="1090" customFormat="false" ht="15" hidden="false" customHeight="false" outlineLevel="0" collapsed="false">
      <c r="A1090" s="1" t="s">
        <v>1506</v>
      </c>
      <c r="B1090" s="4" t="n">
        <v>45711</v>
      </c>
      <c r="C1090" s="1" t="s">
        <v>91</v>
      </c>
      <c r="D1090" s="1" t="s">
        <v>70</v>
      </c>
      <c r="E1090" s="1" t="n">
        <v>1</v>
      </c>
      <c r="F1090" s="5" t="n">
        <v>0.15</v>
      </c>
      <c r="G1090" s="1" t="s">
        <v>71</v>
      </c>
      <c r="H1090" s="1" t="s">
        <v>14</v>
      </c>
      <c r="I1090" s="1" t="s">
        <v>20</v>
      </c>
      <c r="J1090" s="1" t="n">
        <v>6</v>
      </c>
    </row>
    <row r="1091" customFormat="false" ht="15" hidden="false" customHeight="false" outlineLevel="0" collapsed="false">
      <c r="A1091" s="1" t="s">
        <v>1507</v>
      </c>
      <c r="B1091" s="4" t="n">
        <v>45784</v>
      </c>
      <c r="C1091" s="1" t="s">
        <v>541</v>
      </c>
      <c r="D1091" s="1" t="s">
        <v>230</v>
      </c>
      <c r="E1091" s="1" t="n">
        <v>3</v>
      </c>
      <c r="F1091" s="5" t="n">
        <v>0.2</v>
      </c>
      <c r="G1091" s="1" t="s">
        <v>34</v>
      </c>
      <c r="H1091" s="1" t="s">
        <v>14</v>
      </c>
      <c r="I1091" s="1" t="s">
        <v>38</v>
      </c>
      <c r="J1091" s="1" t="n">
        <v>4</v>
      </c>
    </row>
    <row r="1092" customFormat="false" ht="15" hidden="false" customHeight="false" outlineLevel="0" collapsed="false">
      <c r="A1092" s="1" t="s">
        <v>1508</v>
      </c>
      <c r="B1092" s="4" t="n">
        <v>45993</v>
      </c>
      <c r="C1092" s="1" t="s">
        <v>167</v>
      </c>
      <c r="D1092" s="1" t="s">
        <v>375</v>
      </c>
      <c r="E1092" s="1" t="n">
        <v>3</v>
      </c>
      <c r="F1092" s="5" t="n">
        <v>0.25</v>
      </c>
      <c r="G1092" s="1" t="s">
        <v>52</v>
      </c>
      <c r="H1092" s="1" t="s">
        <v>14</v>
      </c>
      <c r="I1092" s="1" t="s">
        <v>15</v>
      </c>
      <c r="J1092" s="1" t="n">
        <v>3</v>
      </c>
    </row>
    <row r="1093" customFormat="false" ht="15" hidden="false" customHeight="false" outlineLevel="0" collapsed="false">
      <c r="A1093" s="1" t="s">
        <v>1509</v>
      </c>
      <c r="B1093" s="4" t="n">
        <v>45696</v>
      </c>
      <c r="C1093" s="1" t="s">
        <v>661</v>
      </c>
      <c r="D1093" s="1" t="s">
        <v>165</v>
      </c>
      <c r="E1093" s="1" t="n">
        <v>1</v>
      </c>
      <c r="F1093" s="5" t="n">
        <v>0.1</v>
      </c>
      <c r="G1093" s="1" t="s">
        <v>34</v>
      </c>
      <c r="H1093" s="1" t="s">
        <v>14</v>
      </c>
      <c r="I1093" s="1" t="s">
        <v>20</v>
      </c>
      <c r="J1093" s="1" t="n">
        <v>4</v>
      </c>
    </row>
    <row r="1094" customFormat="false" ht="15" hidden="false" customHeight="false" outlineLevel="0" collapsed="false">
      <c r="A1094" s="1" t="s">
        <v>1510</v>
      </c>
      <c r="B1094" s="4" t="n">
        <v>45946</v>
      </c>
      <c r="C1094" s="1" t="s">
        <v>102</v>
      </c>
      <c r="D1094" s="1" t="s">
        <v>303</v>
      </c>
      <c r="E1094" s="1" t="n">
        <v>2</v>
      </c>
      <c r="F1094" s="5" t="n">
        <v>0.2</v>
      </c>
      <c r="G1094" s="1" t="s">
        <v>34</v>
      </c>
      <c r="H1094" s="1" t="s">
        <v>14</v>
      </c>
      <c r="I1094" s="1" t="s">
        <v>15</v>
      </c>
      <c r="J1094" s="1" t="n">
        <v>6</v>
      </c>
    </row>
    <row r="1095" customFormat="false" ht="15" hidden="false" customHeight="false" outlineLevel="0" collapsed="false">
      <c r="A1095" s="1" t="s">
        <v>1511</v>
      </c>
      <c r="B1095" s="4" t="n">
        <v>45715</v>
      </c>
      <c r="C1095" s="1" t="s">
        <v>633</v>
      </c>
      <c r="D1095" s="1" t="s">
        <v>197</v>
      </c>
      <c r="E1095" s="1" t="n">
        <v>1</v>
      </c>
      <c r="F1095" s="5" t="n">
        <v>0.05</v>
      </c>
      <c r="G1095" s="1" t="s">
        <v>34</v>
      </c>
      <c r="H1095" s="1" t="s">
        <v>14</v>
      </c>
      <c r="I1095" s="1" t="s">
        <v>15</v>
      </c>
      <c r="J1095" s="1" t="n">
        <v>3</v>
      </c>
    </row>
    <row r="1096" customFormat="false" ht="15" hidden="false" customHeight="false" outlineLevel="0" collapsed="false">
      <c r="A1096" s="1" t="s">
        <v>1512</v>
      </c>
      <c r="B1096" s="4" t="n">
        <v>45773</v>
      </c>
      <c r="C1096" s="1" t="s">
        <v>615</v>
      </c>
      <c r="D1096" s="1" t="s">
        <v>81</v>
      </c>
      <c r="E1096" s="1" t="n">
        <v>1</v>
      </c>
      <c r="F1096" s="5" t="n">
        <v>0.2</v>
      </c>
      <c r="G1096" s="1" t="s">
        <v>13</v>
      </c>
      <c r="H1096" s="1" t="s">
        <v>14</v>
      </c>
      <c r="I1096" s="1" t="s">
        <v>15</v>
      </c>
      <c r="J1096" s="1" t="n">
        <v>1</v>
      </c>
    </row>
    <row r="1097" customFormat="false" ht="15" hidden="false" customHeight="false" outlineLevel="0" collapsed="false">
      <c r="A1097" s="1" t="s">
        <v>1513</v>
      </c>
      <c r="B1097" s="4" t="n">
        <v>45826</v>
      </c>
      <c r="C1097" s="1" t="s">
        <v>501</v>
      </c>
      <c r="D1097" s="1" t="s">
        <v>641</v>
      </c>
      <c r="E1097" s="1" t="n">
        <v>2</v>
      </c>
      <c r="F1097" s="5" t="n">
        <v>0</v>
      </c>
      <c r="G1097" s="1" t="s">
        <v>52</v>
      </c>
      <c r="H1097" s="1" t="s">
        <v>14</v>
      </c>
      <c r="I1097" s="1" t="s">
        <v>15</v>
      </c>
      <c r="J1097" s="1" t="n">
        <v>6</v>
      </c>
    </row>
    <row r="1098" customFormat="false" ht="15" hidden="false" customHeight="false" outlineLevel="0" collapsed="false">
      <c r="A1098" s="1" t="s">
        <v>1514</v>
      </c>
      <c r="B1098" s="4" t="n">
        <v>45746</v>
      </c>
      <c r="C1098" s="1" t="s">
        <v>640</v>
      </c>
      <c r="D1098" s="1" t="s">
        <v>286</v>
      </c>
      <c r="E1098" s="1" t="n">
        <v>2</v>
      </c>
      <c r="F1098" s="5" t="n">
        <v>0.1</v>
      </c>
      <c r="G1098" s="1" t="s">
        <v>52</v>
      </c>
      <c r="H1098" s="1" t="s">
        <v>14</v>
      </c>
      <c r="I1098" s="1" t="s">
        <v>20</v>
      </c>
      <c r="J1098" s="1" t="n">
        <v>5</v>
      </c>
    </row>
    <row r="1099" customFormat="false" ht="15" hidden="false" customHeight="false" outlineLevel="0" collapsed="false">
      <c r="A1099" s="1" t="s">
        <v>1515</v>
      </c>
      <c r="B1099" s="4" t="n">
        <v>45824</v>
      </c>
      <c r="C1099" s="1" t="s">
        <v>805</v>
      </c>
      <c r="D1099" s="1" t="s">
        <v>44</v>
      </c>
      <c r="E1099" s="1" t="n">
        <v>1</v>
      </c>
      <c r="F1099" s="5" t="n">
        <v>0.1</v>
      </c>
      <c r="G1099" s="1" t="s">
        <v>19</v>
      </c>
      <c r="H1099" s="1" t="s">
        <v>45</v>
      </c>
      <c r="I1099" s="1" t="s">
        <v>20</v>
      </c>
    </row>
    <row r="1100" customFormat="false" ht="15" hidden="false" customHeight="false" outlineLevel="0" collapsed="false">
      <c r="A1100" s="1" t="s">
        <v>1516</v>
      </c>
      <c r="B1100" s="4" t="n">
        <v>45979</v>
      </c>
      <c r="C1100" s="1" t="s">
        <v>196</v>
      </c>
      <c r="D1100" s="1" t="s">
        <v>444</v>
      </c>
      <c r="E1100" s="1" t="n">
        <v>1</v>
      </c>
      <c r="F1100" s="5" t="n">
        <v>0.15</v>
      </c>
      <c r="G1100" s="1" t="s">
        <v>19</v>
      </c>
      <c r="H1100" s="1" t="s">
        <v>14</v>
      </c>
      <c r="I1100" s="1" t="s">
        <v>20</v>
      </c>
      <c r="J1100" s="1" t="n">
        <v>5</v>
      </c>
    </row>
    <row r="1101" customFormat="false" ht="15" hidden="false" customHeight="false" outlineLevel="0" collapsed="false">
      <c r="A1101" s="1" t="s">
        <v>1517</v>
      </c>
      <c r="B1101" s="4" t="n">
        <v>45695</v>
      </c>
      <c r="C1101" s="1" t="s">
        <v>428</v>
      </c>
      <c r="D1101" s="1" t="s">
        <v>484</v>
      </c>
      <c r="E1101" s="1" t="n">
        <v>1</v>
      </c>
      <c r="F1101" s="5" t="n">
        <v>0.05</v>
      </c>
      <c r="G1101" s="1" t="s">
        <v>71</v>
      </c>
      <c r="H1101" s="1" t="s">
        <v>14</v>
      </c>
      <c r="I1101" s="1" t="s">
        <v>15</v>
      </c>
      <c r="J1101" s="1" t="n">
        <v>8</v>
      </c>
    </row>
    <row r="1102" customFormat="false" ht="15" hidden="false" customHeight="false" outlineLevel="0" collapsed="false">
      <c r="A1102" s="1" t="s">
        <v>1518</v>
      </c>
      <c r="B1102" s="4" t="n">
        <v>45956</v>
      </c>
      <c r="C1102" s="1" t="s">
        <v>457</v>
      </c>
      <c r="D1102" s="1" t="s">
        <v>222</v>
      </c>
      <c r="E1102" s="1" t="n">
        <v>2</v>
      </c>
      <c r="F1102" s="5" t="n">
        <v>0.1</v>
      </c>
      <c r="G1102" s="1" t="s">
        <v>52</v>
      </c>
      <c r="H1102" s="1" t="s">
        <v>14</v>
      </c>
      <c r="I1102" s="1" t="s">
        <v>38</v>
      </c>
      <c r="J1102" s="1" t="n">
        <v>3</v>
      </c>
    </row>
    <row r="1103" customFormat="false" ht="15" hidden="false" customHeight="false" outlineLevel="0" collapsed="false">
      <c r="A1103" s="1" t="s">
        <v>1519</v>
      </c>
      <c r="B1103" s="4" t="n">
        <v>45853</v>
      </c>
      <c r="C1103" s="1" t="s">
        <v>568</v>
      </c>
      <c r="D1103" s="1" t="s">
        <v>171</v>
      </c>
      <c r="E1103" s="1" t="n">
        <v>4</v>
      </c>
      <c r="F1103" s="5" t="n">
        <v>0.1</v>
      </c>
      <c r="G1103" s="1" t="s">
        <v>52</v>
      </c>
      <c r="H1103" s="1" t="s">
        <v>14</v>
      </c>
      <c r="I1103" s="1" t="s">
        <v>15</v>
      </c>
      <c r="J1103" s="1" t="n">
        <v>4</v>
      </c>
    </row>
    <row r="1104" customFormat="false" ht="15" hidden="false" customHeight="false" outlineLevel="0" collapsed="false">
      <c r="A1104" s="1" t="s">
        <v>1520</v>
      </c>
      <c r="B1104" s="4" t="n">
        <v>45985</v>
      </c>
      <c r="C1104" s="1" t="s">
        <v>457</v>
      </c>
      <c r="D1104" s="1" t="s">
        <v>134</v>
      </c>
      <c r="E1104" s="1" t="n">
        <v>1</v>
      </c>
      <c r="F1104" s="5" t="n">
        <v>0.05</v>
      </c>
      <c r="G1104" s="1" t="s">
        <v>13</v>
      </c>
      <c r="H1104" s="1" t="s">
        <v>14</v>
      </c>
      <c r="I1104" s="1" t="s">
        <v>15</v>
      </c>
      <c r="J1104" s="1" t="n">
        <v>7</v>
      </c>
    </row>
    <row r="1105" customFormat="false" ht="15" hidden="false" customHeight="false" outlineLevel="0" collapsed="false">
      <c r="A1105" s="1" t="s">
        <v>1521</v>
      </c>
      <c r="B1105" s="4" t="n">
        <v>45871</v>
      </c>
      <c r="C1105" s="1" t="s">
        <v>247</v>
      </c>
      <c r="D1105" s="1" t="s">
        <v>112</v>
      </c>
      <c r="E1105" s="1" t="n">
        <v>3</v>
      </c>
      <c r="F1105" s="5" t="n">
        <v>0.25</v>
      </c>
      <c r="G1105" s="1" t="s">
        <v>52</v>
      </c>
      <c r="H1105" s="1" t="s">
        <v>14</v>
      </c>
      <c r="I1105" s="1" t="s">
        <v>15</v>
      </c>
      <c r="J1105" s="1" t="n">
        <v>8</v>
      </c>
    </row>
    <row r="1106" customFormat="false" ht="15" hidden="false" customHeight="false" outlineLevel="0" collapsed="false">
      <c r="A1106" s="1" t="s">
        <v>1522</v>
      </c>
      <c r="B1106" s="4" t="n">
        <v>45686</v>
      </c>
      <c r="C1106" s="1" t="s">
        <v>317</v>
      </c>
      <c r="D1106" s="1" t="s">
        <v>315</v>
      </c>
      <c r="E1106" s="1" t="n">
        <v>2</v>
      </c>
      <c r="F1106" s="5" t="n">
        <v>0.05</v>
      </c>
      <c r="G1106" s="1" t="s">
        <v>24</v>
      </c>
      <c r="H1106" s="1" t="s">
        <v>14</v>
      </c>
      <c r="I1106" s="1" t="s">
        <v>20</v>
      </c>
      <c r="J1106" s="1" t="n">
        <v>5</v>
      </c>
    </row>
    <row r="1107" customFormat="false" ht="15" hidden="false" customHeight="false" outlineLevel="0" collapsed="false">
      <c r="A1107" s="1" t="s">
        <v>1523</v>
      </c>
      <c r="B1107" s="4" t="n">
        <v>45669</v>
      </c>
      <c r="C1107" s="1" t="s">
        <v>88</v>
      </c>
      <c r="D1107" s="1" t="s">
        <v>429</v>
      </c>
      <c r="E1107" s="1" t="n">
        <v>1</v>
      </c>
      <c r="F1107" s="5" t="n">
        <v>0.1</v>
      </c>
      <c r="G1107" s="1" t="s">
        <v>34</v>
      </c>
      <c r="H1107" s="1" t="s">
        <v>14</v>
      </c>
      <c r="I1107" s="1" t="s">
        <v>38</v>
      </c>
      <c r="J1107" s="1" t="n">
        <v>7</v>
      </c>
    </row>
    <row r="1108" customFormat="false" ht="15" hidden="false" customHeight="false" outlineLevel="0" collapsed="false">
      <c r="A1108" s="1" t="s">
        <v>1524</v>
      </c>
      <c r="B1108" s="4" t="n">
        <v>45867</v>
      </c>
      <c r="C1108" s="1" t="s">
        <v>105</v>
      </c>
      <c r="D1108" s="1" t="s">
        <v>484</v>
      </c>
      <c r="E1108" s="1" t="n">
        <v>2</v>
      </c>
      <c r="F1108" s="5" t="n">
        <v>0.25</v>
      </c>
      <c r="G1108" s="1" t="s">
        <v>19</v>
      </c>
      <c r="H1108" s="1" t="s">
        <v>14</v>
      </c>
      <c r="I1108" s="1" t="s">
        <v>15</v>
      </c>
      <c r="J1108" s="1" t="n">
        <v>6</v>
      </c>
    </row>
    <row r="1109" customFormat="false" ht="15" hidden="false" customHeight="false" outlineLevel="0" collapsed="false">
      <c r="A1109" s="1" t="s">
        <v>1525</v>
      </c>
      <c r="B1109" s="4" t="n">
        <v>45810</v>
      </c>
      <c r="C1109" s="1" t="s">
        <v>615</v>
      </c>
      <c r="D1109" s="1" t="s">
        <v>89</v>
      </c>
      <c r="E1109" s="1" t="n">
        <v>1</v>
      </c>
      <c r="F1109" s="5" t="n">
        <v>0</v>
      </c>
      <c r="G1109" s="1" t="s">
        <v>52</v>
      </c>
      <c r="H1109" s="1" t="s">
        <v>14</v>
      </c>
      <c r="I1109" s="1" t="s">
        <v>38</v>
      </c>
      <c r="J1109" s="1" t="n">
        <v>3</v>
      </c>
    </row>
    <row r="1110" customFormat="false" ht="15" hidden="false" customHeight="false" outlineLevel="0" collapsed="false">
      <c r="A1110" s="1" t="s">
        <v>1526</v>
      </c>
      <c r="B1110" s="4" t="n">
        <v>45891</v>
      </c>
      <c r="C1110" s="1" t="s">
        <v>43</v>
      </c>
      <c r="D1110" s="1" t="s">
        <v>641</v>
      </c>
      <c r="E1110" s="1" t="n">
        <v>1</v>
      </c>
      <c r="F1110" s="5" t="n">
        <v>0.15</v>
      </c>
      <c r="G1110" s="1" t="s">
        <v>34</v>
      </c>
      <c r="H1110" s="1" t="s">
        <v>53</v>
      </c>
      <c r="I1110" s="1" t="s">
        <v>15</v>
      </c>
      <c r="J1110" s="1" t="n">
        <v>7</v>
      </c>
    </row>
    <row r="1111" customFormat="false" ht="15" hidden="false" customHeight="false" outlineLevel="0" collapsed="false">
      <c r="A1111" s="1" t="s">
        <v>1527</v>
      </c>
      <c r="B1111" s="4" t="n">
        <v>45717</v>
      </c>
      <c r="C1111" s="1" t="s">
        <v>1118</v>
      </c>
      <c r="D1111" s="1" t="s">
        <v>255</v>
      </c>
      <c r="E1111" s="1" t="n">
        <v>1</v>
      </c>
      <c r="F1111" s="5" t="n">
        <v>0.05</v>
      </c>
      <c r="G1111" s="1" t="s">
        <v>19</v>
      </c>
      <c r="H1111" s="1" t="s">
        <v>14</v>
      </c>
      <c r="I1111" s="1" t="s">
        <v>20</v>
      </c>
      <c r="J1111" s="1" t="n">
        <v>1</v>
      </c>
    </row>
    <row r="1112" customFormat="false" ht="15" hidden="false" customHeight="false" outlineLevel="0" collapsed="false">
      <c r="A1112" s="1" t="s">
        <v>1528</v>
      </c>
      <c r="B1112" s="4" t="n">
        <v>45722</v>
      </c>
      <c r="C1112" s="1" t="s">
        <v>1284</v>
      </c>
      <c r="D1112" s="1" t="s">
        <v>33</v>
      </c>
      <c r="E1112" s="1" t="n">
        <v>1</v>
      </c>
      <c r="F1112" s="5" t="n">
        <v>0</v>
      </c>
      <c r="G1112" s="1" t="s">
        <v>19</v>
      </c>
      <c r="H1112" s="1" t="s">
        <v>14</v>
      </c>
      <c r="I1112" s="1" t="s">
        <v>15</v>
      </c>
      <c r="J1112" s="1" t="n">
        <v>8</v>
      </c>
    </row>
    <row r="1113" customFormat="false" ht="15" hidden="false" customHeight="false" outlineLevel="0" collapsed="false">
      <c r="A1113" s="1" t="s">
        <v>1529</v>
      </c>
      <c r="B1113" s="4" t="n">
        <v>45822</v>
      </c>
      <c r="C1113" s="1" t="s">
        <v>744</v>
      </c>
      <c r="D1113" s="1" t="s">
        <v>264</v>
      </c>
      <c r="E1113" s="1" t="n">
        <v>1</v>
      </c>
      <c r="F1113" s="5" t="n">
        <v>0.05</v>
      </c>
      <c r="G1113" s="1" t="s">
        <v>71</v>
      </c>
      <c r="H1113" s="1" t="s">
        <v>92</v>
      </c>
      <c r="I1113" s="1" t="s">
        <v>38</v>
      </c>
    </row>
    <row r="1114" customFormat="false" ht="15" hidden="false" customHeight="false" outlineLevel="0" collapsed="false">
      <c r="A1114" s="1" t="s">
        <v>1530</v>
      </c>
      <c r="B1114" s="4" t="n">
        <v>45885</v>
      </c>
      <c r="C1114" s="1" t="s">
        <v>435</v>
      </c>
      <c r="D1114" s="1" t="s">
        <v>537</v>
      </c>
      <c r="E1114" s="1" t="n">
        <v>1</v>
      </c>
      <c r="F1114" s="5" t="n">
        <v>0.1</v>
      </c>
      <c r="G1114" s="1" t="s">
        <v>24</v>
      </c>
      <c r="H1114" s="1" t="s">
        <v>14</v>
      </c>
      <c r="I1114" s="1" t="s">
        <v>15</v>
      </c>
      <c r="J1114" s="1" t="n">
        <v>6</v>
      </c>
    </row>
    <row r="1115" customFormat="false" ht="15" hidden="false" customHeight="false" outlineLevel="0" collapsed="false">
      <c r="A1115" s="1" t="s">
        <v>1531</v>
      </c>
      <c r="B1115" s="4" t="n">
        <v>45836</v>
      </c>
      <c r="C1115" s="1" t="s">
        <v>355</v>
      </c>
      <c r="D1115" s="1" t="s">
        <v>444</v>
      </c>
      <c r="E1115" s="1" t="n">
        <v>2</v>
      </c>
      <c r="F1115" s="5" t="n">
        <v>0.05</v>
      </c>
      <c r="G1115" s="1" t="s">
        <v>19</v>
      </c>
      <c r="H1115" s="1" t="s">
        <v>45</v>
      </c>
      <c r="I1115" s="1" t="s">
        <v>15</v>
      </c>
    </row>
    <row r="1116" customFormat="false" ht="15" hidden="false" customHeight="false" outlineLevel="0" collapsed="false">
      <c r="A1116" s="1" t="s">
        <v>1532</v>
      </c>
      <c r="B1116" s="4" t="n">
        <v>45862</v>
      </c>
      <c r="C1116" s="1" t="s">
        <v>499</v>
      </c>
      <c r="D1116" s="1" t="s">
        <v>67</v>
      </c>
      <c r="E1116" s="1" t="n">
        <v>1</v>
      </c>
      <c r="F1116" s="5" t="n">
        <v>0.05</v>
      </c>
      <c r="G1116" s="1" t="s">
        <v>19</v>
      </c>
      <c r="H1116" s="1" t="s">
        <v>53</v>
      </c>
      <c r="I1116" s="1" t="s">
        <v>15</v>
      </c>
      <c r="J1116" s="1" t="n">
        <v>8</v>
      </c>
    </row>
    <row r="1117" customFormat="false" ht="15" hidden="false" customHeight="false" outlineLevel="0" collapsed="false">
      <c r="A1117" s="1" t="s">
        <v>1533</v>
      </c>
      <c r="B1117" s="4" t="n">
        <v>45856</v>
      </c>
      <c r="C1117" s="1" t="s">
        <v>124</v>
      </c>
      <c r="D1117" s="1" t="s">
        <v>493</v>
      </c>
      <c r="E1117" s="1" t="n">
        <v>2</v>
      </c>
      <c r="F1117" s="5" t="n">
        <v>0.05</v>
      </c>
      <c r="G1117" s="1" t="s">
        <v>71</v>
      </c>
      <c r="H1117" s="1" t="s">
        <v>14</v>
      </c>
      <c r="I1117" s="1" t="s">
        <v>20</v>
      </c>
      <c r="J1117" s="1" t="n">
        <v>4</v>
      </c>
    </row>
    <row r="1118" customFormat="false" ht="15" hidden="false" customHeight="false" outlineLevel="0" collapsed="false">
      <c r="A1118" s="1" t="s">
        <v>1534</v>
      </c>
      <c r="B1118" s="4" t="n">
        <v>45717</v>
      </c>
      <c r="C1118" s="1" t="s">
        <v>391</v>
      </c>
      <c r="D1118" s="1" t="s">
        <v>270</v>
      </c>
      <c r="E1118" s="1" t="n">
        <v>4</v>
      </c>
      <c r="F1118" s="5" t="n">
        <v>0.1</v>
      </c>
      <c r="G1118" s="1" t="s">
        <v>24</v>
      </c>
      <c r="H1118" s="1" t="s">
        <v>92</v>
      </c>
      <c r="I1118" s="1" t="s">
        <v>20</v>
      </c>
    </row>
    <row r="1119" customFormat="false" ht="15" hidden="false" customHeight="false" outlineLevel="0" collapsed="false">
      <c r="A1119" s="1" t="s">
        <v>1535</v>
      </c>
      <c r="B1119" s="4" t="n">
        <v>45835</v>
      </c>
      <c r="C1119" s="1" t="s">
        <v>1536</v>
      </c>
      <c r="D1119" s="1" t="s">
        <v>18</v>
      </c>
      <c r="E1119" s="1" t="n">
        <v>1</v>
      </c>
      <c r="F1119" s="5" t="n">
        <v>0.05</v>
      </c>
      <c r="G1119" s="1" t="s">
        <v>34</v>
      </c>
      <c r="H1119" s="1" t="s">
        <v>14</v>
      </c>
      <c r="I1119" s="1" t="s">
        <v>15</v>
      </c>
      <c r="J1119" s="1" t="n">
        <v>8</v>
      </c>
    </row>
    <row r="1120" customFormat="false" ht="15" hidden="false" customHeight="false" outlineLevel="0" collapsed="false">
      <c r="A1120" s="1" t="s">
        <v>1537</v>
      </c>
      <c r="B1120" s="4" t="n">
        <v>45891</v>
      </c>
      <c r="C1120" s="1" t="s">
        <v>643</v>
      </c>
      <c r="D1120" s="1" t="s">
        <v>341</v>
      </c>
      <c r="E1120" s="1" t="n">
        <v>1</v>
      </c>
      <c r="F1120" s="5" t="n">
        <v>0.1</v>
      </c>
      <c r="G1120" s="1" t="s">
        <v>34</v>
      </c>
      <c r="H1120" s="1" t="s">
        <v>14</v>
      </c>
      <c r="I1120" s="1" t="s">
        <v>15</v>
      </c>
      <c r="J1120" s="1" t="n">
        <v>3</v>
      </c>
    </row>
    <row r="1121" customFormat="false" ht="15" hidden="false" customHeight="false" outlineLevel="0" collapsed="false">
      <c r="A1121" s="1" t="s">
        <v>1538</v>
      </c>
      <c r="B1121" s="4" t="n">
        <v>45665</v>
      </c>
      <c r="C1121" s="1" t="s">
        <v>702</v>
      </c>
      <c r="D1121" s="1" t="s">
        <v>97</v>
      </c>
      <c r="E1121" s="1" t="n">
        <v>2</v>
      </c>
      <c r="F1121" s="5" t="n">
        <v>0.1</v>
      </c>
      <c r="G1121" s="1" t="s">
        <v>24</v>
      </c>
      <c r="H1121" s="1" t="s">
        <v>14</v>
      </c>
      <c r="I1121" s="1" t="s">
        <v>20</v>
      </c>
      <c r="J1121" s="1" t="n">
        <v>8</v>
      </c>
    </row>
    <row r="1122" customFormat="false" ht="15" hidden="false" customHeight="false" outlineLevel="0" collapsed="false">
      <c r="A1122" s="1" t="s">
        <v>1539</v>
      </c>
      <c r="B1122" s="4" t="n">
        <v>45912</v>
      </c>
      <c r="C1122" s="1" t="s">
        <v>1540</v>
      </c>
      <c r="D1122" s="1" t="s">
        <v>160</v>
      </c>
      <c r="E1122" s="1" t="n">
        <v>2</v>
      </c>
      <c r="F1122" s="5" t="n">
        <v>0.1</v>
      </c>
      <c r="G1122" s="1" t="s">
        <v>34</v>
      </c>
      <c r="H1122" s="1" t="s">
        <v>14</v>
      </c>
      <c r="I1122" s="1" t="s">
        <v>15</v>
      </c>
      <c r="J1122" s="1" t="n">
        <v>3</v>
      </c>
    </row>
    <row r="1123" customFormat="false" ht="15" hidden="false" customHeight="false" outlineLevel="0" collapsed="false">
      <c r="A1123" s="1" t="s">
        <v>1541</v>
      </c>
      <c r="B1123" s="4" t="n">
        <v>45731</v>
      </c>
      <c r="C1123" s="1" t="s">
        <v>36</v>
      </c>
      <c r="D1123" s="1" t="s">
        <v>64</v>
      </c>
      <c r="E1123" s="1" t="n">
        <v>2</v>
      </c>
      <c r="F1123" s="5" t="n">
        <v>0.1</v>
      </c>
      <c r="G1123" s="1" t="s">
        <v>19</v>
      </c>
      <c r="H1123" s="1" t="s">
        <v>14</v>
      </c>
      <c r="I1123" s="1" t="s">
        <v>38</v>
      </c>
      <c r="J1123" s="1" t="n">
        <v>6</v>
      </c>
    </row>
    <row r="1124" customFormat="false" ht="15" hidden="false" customHeight="false" outlineLevel="0" collapsed="false">
      <c r="A1124" s="1" t="s">
        <v>1542</v>
      </c>
      <c r="B1124" s="4" t="n">
        <v>45784</v>
      </c>
      <c r="C1124" s="1" t="s">
        <v>191</v>
      </c>
      <c r="D1124" s="1" t="s">
        <v>230</v>
      </c>
      <c r="E1124" s="1" t="n">
        <v>1</v>
      </c>
      <c r="F1124" s="5" t="n">
        <v>0.1</v>
      </c>
      <c r="G1124" s="1" t="s">
        <v>19</v>
      </c>
      <c r="H1124" s="1" t="s">
        <v>14</v>
      </c>
      <c r="I1124" s="1" t="s">
        <v>15</v>
      </c>
      <c r="J1124" s="1" t="n">
        <v>8</v>
      </c>
    </row>
    <row r="1125" customFormat="false" ht="15" hidden="false" customHeight="false" outlineLevel="0" collapsed="false">
      <c r="A1125" s="1" t="s">
        <v>1543</v>
      </c>
      <c r="B1125" s="4" t="n">
        <v>45820</v>
      </c>
      <c r="C1125" s="1" t="s">
        <v>121</v>
      </c>
      <c r="D1125" s="1" t="s">
        <v>255</v>
      </c>
      <c r="E1125" s="1" t="n">
        <v>1</v>
      </c>
      <c r="F1125" s="5" t="n">
        <v>0.05</v>
      </c>
      <c r="G1125" s="1" t="s">
        <v>34</v>
      </c>
      <c r="H1125" s="1" t="s">
        <v>14</v>
      </c>
      <c r="I1125" s="1" t="s">
        <v>15</v>
      </c>
      <c r="J1125" s="1" t="n">
        <v>5</v>
      </c>
    </row>
    <row r="1126" customFormat="false" ht="15" hidden="false" customHeight="false" outlineLevel="0" collapsed="false">
      <c r="A1126" s="1" t="s">
        <v>1544</v>
      </c>
      <c r="B1126" s="4" t="n">
        <v>45931</v>
      </c>
      <c r="C1126" s="1" t="s">
        <v>312</v>
      </c>
      <c r="D1126" s="1" t="s">
        <v>484</v>
      </c>
      <c r="E1126" s="1" t="n">
        <v>4</v>
      </c>
      <c r="F1126" s="5" t="n">
        <v>0.25</v>
      </c>
      <c r="G1126" s="1" t="s">
        <v>52</v>
      </c>
      <c r="H1126" s="1" t="s">
        <v>45</v>
      </c>
      <c r="I1126" s="1" t="s">
        <v>38</v>
      </c>
    </row>
    <row r="1127" customFormat="false" ht="15" hidden="false" customHeight="false" outlineLevel="0" collapsed="false">
      <c r="A1127" s="1" t="s">
        <v>1545</v>
      </c>
      <c r="B1127" s="4" t="n">
        <v>45727</v>
      </c>
      <c r="C1127" s="1" t="s">
        <v>501</v>
      </c>
      <c r="D1127" s="1" t="s">
        <v>405</v>
      </c>
      <c r="E1127" s="1" t="n">
        <v>2</v>
      </c>
      <c r="F1127" s="5" t="n">
        <v>0.15</v>
      </c>
      <c r="G1127" s="1" t="s">
        <v>34</v>
      </c>
      <c r="H1127" s="1" t="s">
        <v>14</v>
      </c>
      <c r="I1127" s="1" t="s">
        <v>38</v>
      </c>
      <c r="J1127" s="1" t="n">
        <v>5</v>
      </c>
    </row>
    <row r="1128" customFormat="false" ht="15" hidden="false" customHeight="false" outlineLevel="0" collapsed="false">
      <c r="A1128" s="1" t="s">
        <v>1546</v>
      </c>
      <c r="B1128" s="4" t="n">
        <v>45719</v>
      </c>
      <c r="C1128" s="1" t="s">
        <v>822</v>
      </c>
      <c r="D1128" s="1" t="s">
        <v>985</v>
      </c>
      <c r="E1128" s="1" t="n">
        <v>3</v>
      </c>
      <c r="F1128" s="5" t="n">
        <v>0.25</v>
      </c>
      <c r="G1128" s="1" t="s">
        <v>24</v>
      </c>
      <c r="H1128" s="1" t="s">
        <v>14</v>
      </c>
      <c r="I1128" s="1" t="s">
        <v>38</v>
      </c>
      <c r="J1128" s="1" t="n">
        <v>5</v>
      </c>
    </row>
    <row r="1129" customFormat="false" ht="15" hidden="false" customHeight="false" outlineLevel="0" collapsed="false">
      <c r="A1129" s="1" t="s">
        <v>1547</v>
      </c>
      <c r="B1129" s="4" t="n">
        <v>45715</v>
      </c>
      <c r="C1129" s="1" t="s">
        <v>417</v>
      </c>
      <c r="D1129" s="1" t="s">
        <v>30</v>
      </c>
      <c r="E1129" s="1" t="n">
        <v>2</v>
      </c>
      <c r="F1129" s="5" t="n">
        <v>0.05</v>
      </c>
      <c r="G1129" s="1" t="s">
        <v>19</v>
      </c>
      <c r="H1129" s="1" t="s">
        <v>14</v>
      </c>
      <c r="I1129" s="1" t="s">
        <v>20</v>
      </c>
      <c r="J1129" s="1" t="n">
        <v>3</v>
      </c>
    </row>
    <row r="1130" customFormat="false" ht="15" hidden="false" customHeight="false" outlineLevel="0" collapsed="false">
      <c r="A1130" s="1" t="s">
        <v>1548</v>
      </c>
      <c r="B1130" s="4" t="n">
        <v>45937</v>
      </c>
      <c r="C1130" s="1" t="s">
        <v>922</v>
      </c>
      <c r="D1130" s="1" t="s">
        <v>294</v>
      </c>
      <c r="E1130" s="1" t="n">
        <v>2</v>
      </c>
      <c r="F1130" s="5" t="n">
        <v>0.2</v>
      </c>
      <c r="G1130" s="1" t="s">
        <v>52</v>
      </c>
      <c r="H1130" s="1" t="s">
        <v>14</v>
      </c>
      <c r="I1130" s="1" t="s">
        <v>20</v>
      </c>
      <c r="J1130" s="1" t="n">
        <v>8</v>
      </c>
    </row>
    <row r="1131" customFormat="false" ht="15" hidden="false" customHeight="false" outlineLevel="0" collapsed="false">
      <c r="A1131" s="1" t="s">
        <v>1549</v>
      </c>
      <c r="B1131" s="4" t="n">
        <v>45767</v>
      </c>
      <c r="C1131" s="1" t="s">
        <v>706</v>
      </c>
      <c r="D1131" s="1" t="s">
        <v>64</v>
      </c>
      <c r="E1131" s="1" t="n">
        <v>2</v>
      </c>
      <c r="F1131" s="5" t="n">
        <v>0</v>
      </c>
      <c r="G1131" s="1" t="s">
        <v>34</v>
      </c>
      <c r="H1131" s="1" t="s">
        <v>14</v>
      </c>
      <c r="I1131" s="1" t="s">
        <v>20</v>
      </c>
      <c r="J1131" s="1" t="n">
        <v>8</v>
      </c>
    </row>
    <row r="1132" customFormat="false" ht="15" hidden="false" customHeight="false" outlineLevel="0" collapsed="false">
      <c r="A1132" s="1" t="s">
        <v>1550</v>
      </c>
      <c r="B1132" s="4" t="n">
        <v>45713</v>
      </c>
      <c r="C1132" s="1" t="s">
        <v>1284</v>
      </c>
      <c r="D1132" s="1" t="s">
        <v>222</v>
      </c>
      <c r="E1132" s="1" t="n">
        <v>2</v>
      </c>
      <c r="F1132" s="5" t="n">
        <v>0.05</v>
      </c>
      <c r="G1132" s="1" t="s">
        <v>34</v>
      </c>
      <c r="H1132" s="1" t="s">
        <v>14</v>
      </c>
      <c r="I1132" s="1" t="s">
        <v>15</v>
      </c>
      <c r="J1132" s="1" t="n">
        <v>8</v>
      </c>
    </row>
    <row r="1133" customFormat="false" ht="15" hidden="false" customHeight="false" outlineLevel="0" collapsed="false">
      <c r="A1133" s="1" t="s">
        <v>1551</v>
      </c>
      <c r="B1133" s="4" t="n">
        <v>45772</v>
      </c>
      <c r="C1133" s="1" t="s">
        <v>121</v>
      </c>
      <c r="D1133" s="1" t="s">
        <v>143</v>
      </c>
      <c r="E1133" s="1" t="n">
        <v>2</v>
      </c>
      <c r="F1133" s="5" t="n">
        <v>0.15</v>
      </c>
      <c r="G1133" s="1" t="s">
        <v>19</v>
      </c>
      <c r="H1133" s="1" t="s">
        <v>53</v>
      </c>
      <c r="I1133" s="1" t="s">
        <v>15</v>
      </c>
      <c r="J1133" s="1" t="n">
        <v>8</v>
      </c>
    </row>
    <row r="1134" customFormat="false" ht="15" hidden="false" customHeight="false" outlineLevel="0" collapsed="false">
      <c r="A1134" s="1" t="s">
        <v>1552</v>
      </c>
      <c r="B1134" s="4" t="n">
        <v>45779</v>
      </c>
      <c r="C1134" s="1" t="s">
        <v>562</v>
      </c>
      <c r="D1134" s="1" t="s">
        <v>77</v>
      </c>
      <c r="E1134" s="1" t="n">
        <v>1</v>
      </c>
      <c r="F1134" s="5" t="n">
        <v>0.15</v>
      </c>
      <c r="G1134" s="1" t="s">
        <v>34</v>
      </c>
      <c r="H1134" s="1" t="s">
        <v>14</v>
      </c>
      <c r="I1134" s="1" t="s">
        <v>15</v>
      </c>
      <c r="J1134" s="1" t="n">
        <v>6</v>
      </c>
    </row>
    <row r="1135" customFormat="false" ht="15" hidden="false" customHeight="false" outlineLevel="0" collapsed="false">
      <c r="A1135" s="1" t="s">
        <v>1553</v>
      </c>
      <c r="B1135" s="4" t="n">
        <v>45877</v>
      </c>
      <c r="C1135" s="1" t="s">
        <v>345</v>
      </c>
      <c r="D1135" s="1" t="s">
        <v>74</v>
      </c>
      <c r="E1135" s="1" t="n">
        <v>2</v>
      </c>
      <c r="F1135" s="5" t="n">
        <v>0.1</v>
      </c>
      <c r="G1135" s="1" t="s">
        <v>24</v>
      </c>
      <c r="H1135" s="1" t="s">
        <v>14</v>
      </c>
      <c r="I1135" s="1" t="s">
        <v>15</v>
      </c>
      <c r="J1135" s="1" t="n">
        <v>3</v>
      </c>
    </row>
    <row r="1136" customFormat="false" ht="15" hidden="false" customHeight="false" outlineLevel="0" collapsed="false">
      <c r="A1136" s="1" t="s">
        <v>1554</v>
      </c>
      <c r="B1136" s="4" t="n">
        <v>45674</v>
      </c>
      <c r="C1136" s="1" t="s">
        <v>568</v>
      </c>
      <c r="D1136" s="1" t="s">
        <v>253</v>
      </c>
      <c r="E1136" s="1" t="n">
        <v>2</v>
      </c>
      <c r="F1136" s="5" t="n">
        <v>0.15</v>
      </c>
      <c r="G1136" s="1" t="s">
        <v>24</v>
      </c>
      <c r="H1136" s="1" t="s">
        <v>53</v>
      </c>
      <c r="I1136" s="1" t="s">
        <v>15</v>
      </c>
      <c r="J1136" s="1" t="n">
        <v>2</v>
      </c>
    </row>
    <row r="1137" customFormat="false" ht="15" hidden="false" customHeight="false" outlineLevel="0" collapsed="false">
      <c r="A1137" s="1" t="s">
        <v>1555</v>
      </c>
      <c r="B1137" s="4" t="n">
        <v>45909</v>
      </c>
      <c r="C1137" s="1" t="s">
        <v>431</v>
      </c>
      <c r="D1137" s="1" t="s">
        <v>176</v>
      </c>
      <c r="E1137" s="1" t="n">
        <v>3</v>
      </c>
      <c r="F1137" s="5" t="n">
        <v>0.15</v>
      </c>
      <c r="G1137" s="1" t="s">
        <v>52</v>
      </c>
      <c r="H1137" s="1" t="s">
        <v>14</v>
      </c>
      <c r="I1137" s="1" t="s">
        <v>15</v>
      </c>
      <c r="J1137" s="1" t="n">
        <v>7</v>
      </c>
    </row>
    <row r="1138" customFormat="false" ht="15" hidden="false" customHeight="false" outlineLevel="0" collapsed="false">
      <c r="A1138" s="1" t="s">
        <v>1556</v>
      </c>
      <c r="B1138" s="4" t="n">
        <v>45801</v>
      </c>
      <c r="C1138" s="1" t="s">
        <v>285</v>
      </c>
      <c r="D1138" s="1" t="s">
        <v>125</v>
      </c>
      <c r="E1138" s="1" t="n">
        <v>1</v>
      </c>
      <c r="F1138" s="5" t="n">
        <v>0</v>
      </c>
      <c r="G1138" s="1" t="s">
        <v>19</v>
      </c>
      <c r="H1138" s="1" t="s">
        <v>53</v>
      </c>
      <c r="I1138" s="1" t="s">
        <v>20</v>
      </c>
      <c r="J1138" s="1" t="n">
        <v>7</v>
      </c>
    </row>
    <row r="1139" customFormat="false" ht="15" hidden="false" customHeight="false" outlineLevel="0" collapsed="false">
      <c r="A1139" s="1" t="s">
        <v>1557</v>
      </c>
      <c r="B1139" s="4" t="n">
        <v>45896</v>
      </c>
      <c r="C1139" s="1" t="s">
        <v>99</v>
      </c>
      <c r="D1139" s="1" t="s">
        <v>484</v>
      </c>
      <c r="E1139" s="1" t="n">
        <v>2</v>
      </c>
      <c r="F1139" s="5" t="n">
        <v>0</v>
      </c>
      <c r="G1139" s="1" t="s">
        <v>52</v>
      </c>
      <c r="H1139" s="1" t="s">
        <v>14</v>
      </c>
      <c r="I1139" s="1" t="s">
        <v>15</v>
      </c>
      <c r="J1139" s="1" t="n">
        <v>3</v>
      </c>
    </row>
    <row r="1140" customFormat="false" ht="15" hidden="false" customHeight="false" outlineLevel="0" collapsed="false">
      <c r="A1140" s="1" t="s">
        <v>1558</v>
      </c>
      <c r="B1140" s="4" t="n">
        <v>45824</v>
      </c>
      <c r="C1140" s="1" t="s">
        <v>1559</v>
      </c>
      <c r="D1140" s="1" t="s">
        <v>405</v>
      </c>
      <c r="E1140" s="1" t="n">
        <v>1</v>
      </c>
      <c r="F1140" s="5" t="n">
        <v>0.15</v>
      </c>
      <c r="G1140" s="1" t="s">
        <v>34</v>
      </c>
      <c r="H1140" s="1" t="s">
        <v>14</v>
      </c>
      <c r="I1140" s="1" t="s">
        <v>20</v>
      </c>
      <c r="J1140" s="1" t="n">
        <v>7</v>
      </c>
    </row>
    <row r="1141" customFormat="false" ht="15" hidden="false" customHeight="false" outlineLevel="0" collapsed="false">
      <c r="A1141" s="1" t="s">
        <v>1560</v>
      </c>
      <c r="B1141" s="4" t="n">
        <v>45666</v>
      </c>
      <c r="C1141" s="1" t="s">
        <v>615</v>
      </c>
      <c r="D1141" s="1" t="s">
        <v>493</v>
      </c>
      <c r="E1141" s="1" t="n">
        <v>1</v>
      </c>
      <c r="F1141" s="5" t="n">
        <v>0.25</v>
      </c>
      <c r="G1141" s="1" t="s">
        <v>71</v>
      </c>
      <c r="H1141" s="1" t="s">
        <v>14</v>
      </c>
      <c r="I1141" s="1" t="s">
        <v>15</v>
      </c>
      <c r="J1141" s="1" t="n">
        <v>6</v>
      </c>
    </row>
    <row r="1142" customFormat="false" ht="15" hidden="false" customHeight="false" outlineLevel="0" collapsed="false">
      <c r="A1142" s="1" t="s">
        <v>1561</v>
      </c>
      <c r="B1142" s="4" t="n">
        <v>46000</v>
      </c>
      <c r="C1142" s="1" t="s">
        <v>124</v>
      </c>
      <c r="D1142" s="1" t="s">
        <v>353</v>
      </c>
      <c r="E1142" s="1" t="n">
        <v>1</v>
      </c>
      <c r="F1142" s="5" t="n">
        <v>0.05</v>
      </c>
      <c r="G1142" s="1" t="s">
        <v>24</v>
      </c>
      <c r="H1142" s="1" t="s">
        <v>14</v>
      </c>
      <c r="I1142" s="1" t="s">
        <v>38</v>
      </c>
      <c r="J1142" s="1" t="n">
        <v>2</v>
      </c>
    </row>
    <row r="1143" customFormat="false" ht="15" hidden="false" customHeight="false" outlineLevel="0" collapsed="false">
      <c r="A1143" s="1" t="s">
        <v>1562</v>
      </c>
      <c r="B1143" s="4" t="n">
        <v>45855</v>
      </c>
      <c r="C1143" s="1" t="s">
        <v>247</v>
      </c>
      <c r="D1143" s="1" t="s">
        <v>399</v>
      </c>
      <c r="E1143" s="1" t="n">
        <v>1</v>
      </c>
      <c r="F1143" s="5" t="n">
        <v>0</v>
      </c>
      <c r="G1143" s="1" t="s">
        <v>34</v>
      </c>
      <c r="H1143" s="1" t="s">
        <v>14</v>
      </c>
      <c r="I1143" s="1" t="s">
        <v>38</v>
      </c>
      <c r="J1143" s="1" t="n">
        <v>7</v>
      </c>
    </row>
    <row r="1144" customFormat="false" ht="15" hidden="false" customHeight="false" outlineLevel="0" collapsed="false">
      <c r="A1144" s="1" t="s">
        <v>1563</v>
      </c>
      <c r="B1144" s="4" t="n">
        <v>45846</v>
      </c>
      <c r="C1144" s="1" t="s">
        <v>259</v>
      </c>
      <c r="D1144" s="1" t="s">
        <v>197</v>
      </c>
      <c r="E1144" s="1" t="n">
        <v>1</v>
      </c>
      <c r="F1144" s="5" t="n">
        <v>0</v>
      </c>
      <c r="G1144" s="1" t="s">
        <v>52</v>
      </c>
      <c r="H1144" s="1" t="s">
        <v>53</v>
      </c>
      <c r="I1144" s="1" t="s">
        <v>15</v>
      </c>
      <c r="J1144" s="1" t="n">
        <v>3</v>
      </c>
    </row>
    <row r="1145" customFormat="false" ht="15" hidden="false" customHeight="false" outlineLevel="0" collapsed="false">
      <c r="A1145" s="1" t="s">
        <v>1564</v>
      </c>
      <c r="B1145" s="4" t="n">
        <v>45841</v>
      </c>
      <c r="C1145" s="1" t="s">
        <v>236</v>
      </c>
      <c r="D1145" s="1" t="s">
        <v>484</v>
      </c>
      <c r="E1145" s="1" t="n">
        <v>3</v>
      </c>
      <c r="F1145" s="5" t="n">
        <v>0</v>
      </c>
      <c r="G1145" s="1" t="s">
        <v>19</v>
      </c>
      <c r="H1145" s="1" t="s">
        <v>14</v>
      </c>
      <c r="I1145" s="1" t="s">
        <v>20</v>
      </c>
      <c r="J1145" s="1" t="n">
        <v>1</v>
      </c>
    </row>
    <row r="1146" customFormat="false" ht="15" hidden="false" customHeight="false" outlineLevel="0" collapsed="false">
      <c r="A1146" s="1" t="s">
        <v>1565</v>
      </c>
      <c r="B1146" s="4" t="n">
        <v>45879</v>
      </c>
      <c r="C1146" s="1" t="s">
        <v>239</v>
      </c>
      <c r="D1146" s="1" t="s">
        <v>100</v>
      </c>
      <c r="E1146" s="1" t="n">
        <v>3</v>
      </c>
      <c r="F1146" s="5" t="n">
        <v>0.2</v>
      </c>
      <c r="G1146" s="1" t="s">
        <v>24</v>
      </c>
      <c r="H1146" s="1" t="s">
        <v>14</v>
      </c>
      <c r="I1146" s="1" t="s">
        <v>15</v>
      </c>
      <c r="J1146" s="1" t="n">
        <v>8</v>
      </c>
    </row>
    <row r="1147" customFormat="false" ht="15" hidden="false" customHeight="false" outlineLevel="0" collapsed="false">
      <c r="A1147" s="1" t="s">
        <v>1566</v>
      </c>
      <c r="B1147" s="4" t="n">
        <v>45805</v>
      </c>
      <c r="C1147" s="1" t="s">
        <v>142</v>
      </c>
      <c r="D1147" s="1" t="s">
        <v>537</v>
      </c>
      <c r="E1147" s="1" t="n">
        <v>1</v>
      </c>
      <c r="F1147" s="5" t="n">
        <v>0.05</v>
      </c>
      <c r="G1147" s="1" t="s">
        <v>13</v>
      </c>
      <c r="H1147" s="1" t="s">
        <v>53</v>
      </c>
      <c r="I1147" s="1" t="s">
        <v>15</v>
      </c>
      <c r="J1147" s="1" t="n">
        <v>2</v>
      </c>
    </row>
    <row r="1148" customFormat="false" ht="15" hidden="false" customHeight="false" outlineLevel="0" collapsed="false">
      <c r="A1148" s="1" t="s">
        <v>1567</v>
      </c>
      <c r="B1148" s="4" t="n">
        <v>45797</v>
      </c>
      <c r="C1148" s="1" t="s">
        <v>543</v>
      </c>
      <c r="D1148" s="1" t="s">
        <v>58</v>
      </c>
      <c r="E1148" s="1" t="n">
        <v>1</v>
      </c>
      <c r="F1148" s="5" t="n">
        <v>0</v>
      </c>
      <c r="G1148" s="1" t="s">
        <v>52</v>
      </c>
      <c r="H1148" s="1" t="s">
        <v>53</v>
      </c>
      <c r="I1148" s="1" t="s">
        <v>20</v>
      </c>
      <c r="J1148" s="1" t="n">
        <v>6</v>
      </c>
    </row>
    <row r="1149" customFormat="false" ht="15" hidden="false" customHeight="false" outlineLevel="0" collapsed="false">
      <c r="A1149" s="1" t="s">
        <v>1568</v>
      </c>
      <c r="B1149" s="4" t="n">
        <v>45768</v>
      </c>
      <c r="C1149" s="1" t="s">
        <v>534</v>
      </c>
      <c r="D1149" s="1" t="s">
        <v>30</v>
      </c>
      <c r="E1149" s="1" t="n">
        <v>2</v>
      </c>
      <c r="F1149" s="5" t="n">
        <v>0.15</v>
      </c>
      <c r="G1149" s="1" t="s">
        <v>13</v>
      </c>
      <c r="H1149" s="1" t="s">
        <v>14</v>
      </c>
      <c r="I1149" s="1" t="s">
        <v>15</v>
      </c>
      <c r="J1149" s="1" t="n">
        <v>7</v>
      </c>
    </row>
    <row r="1150" customFormat="false" ht="15" hidden="false" customHeight="false" outlineLevel="0" collapsed="false">
      <c r="A1150" s="1" t="s">
        <v>1569</v>
      </c>
      <c r="B1150" s="4" t="n">
        <v>45790</v>
      </c>
      <c r="C1150" s="1" t="s">
        <v>1107</v>
      </c>
      <c r="D1150" s="1" t="s">
        <v>140</v>
      </c>
      <c r="E1150" s="1" t="n">
        <v>1</v>
      </c>
      <c r="F1150" s="5" t="n">
        <v>0.1</v>
      </c>
      <c r="G1150" s="1" t="s">
        <v>34</v>
      </c>
      <c r="H1150" s="1" t="s">
        <v>14</v>
      </c>
      <c r="I1150" s="1" t="s">
        <v>15</v>
      </c>
      <c r="J1150" s="1" t="n">
        <v>8</v>
      </c>
    </row>
    <row r="1151" customFormat="false" ht="15" hidden="false" customHeight="false" outlineLevel="0" collapsed="false">
      <c r="A1151" s="1" t="s">
        <v>1570</v>
      </c>
      <c r="B1151" s="4" t="n">
        <v>45707</v>
      </c>
      <c r="C1151" s="1" t="s">
        <v>696</v>
      </c>
      <c r="D1151" s="1" t="s">
        <v>165</v>
      </c>
      <c r="E1151" s="1" t="n">
        <v>2</v>
      </c>
      <c r="F1151" s="5" t="n">
        <v>0.25</v>
      </c>
      <c r="G1151" s="1" t="s">
        <v>52</v>
      </c>
      <c r="H1151" s="1" t="s">
        <v>53</v>
      </c>
      <c r="I1151" s="1" t="s">
        <v>15</v>
      </c>
      <c r="J1151" s="1" t="n">
        <v>4</v>
      </c>
    </row>
    <row r="1152" customFormat="false" ht="15" hidden="false" customHeight="false" outlineLevel="0" collapsed="false">
      <c r="A1152" s="1" t="s">
        <v>1571</v>
      </c>
      <c r="B1152" s="4" t="n">
        <v>45704</v>
      </c>
      <c r="C1152" s="1" t="s">
        <v>483</v>
      </c>
      <c r="D1152" s="1" t="s">
        <v>51</v>
      </c>
      <c r="E1152" s="1" t="n">
        <v>1</v>
      </c>
      <c r="F1152" s="5" t="n">
        <v>0</v>
      </c>
      <c r="G1152" s="1" t="s">
        <v>34</v>
      </c>
      <c r="H1152" s="1" t="s">
        <v>14</v>
      </c>
      <c r="I1152" s="1" t="s">
        <v>15</v>
      </c>
      <c r="J1152" s="1" t="n">
        <v>2</v>
      </c>
    </row>
    <row r="1153" customFormat="false" ht="15" hidden="false" customHeight="false" outlineLevel="0" collapsed="false">
      <c r="A1153" s="1" t="s">
        <v>1572</v>
      </c>
      <c r="B1153" s="4" t="n">
        <v>45912</v>
      </c>
      <c r="C1153" s="1" t="s">
        <v>1430</v>
      </c>
      <c r="D1153" s="1" t="s">
        <v>109</v>
      </c>
      <c r="E1153" s="1" t="n">
        <v>1</v>
      </c>
      <c r="F1153" s="5" t="n">
        <v>0.05</v>
      </c>
      <c r="G1153" s="1" t="s">
        <v>34</v>
      </c>
      <c r="H1153" s="1" t="s">
        <v>45</v>
      </c>
      <c r="I1153" s="1" t="s">
        <v>38</v>
      </c>
    </row>
    <row r="1154" customFormat="false" ht="15" hidden="false" customHeight="false" outlineLevel="0" collapsed="false">
      <c r="A1154" s="1" t="s">
        <v>1573</v>
      </c>
      <c r="B1154" s="4" t="n">
        <v>45689</v>
      </c>
      <c r="C1154" s="1" t="s">
        <v>1229</v>
      </c>
      <c r="D1154" s="1" t="s">
        <v>484</v>
      </c>
      <c r="E1154" s="1" t="n">
        <v>2</v>
      </c>
      <c r="F1154" s="5" t="n">
        <v>0.05</v>
      </c>
      <c r="G1154" s="1" t="s">
        <v>71</v>
      </c>
      <c r="H1154" s="1" t="s">
        <v>14</v>
      </c>
      <c r="I1154" s="1" t="s">
        <v>15</v>
      </c>
      <c r="J1154" s="1" t="n">
        <v>1</v>
      </c>
    </row>
    <row r="1155" customFormat="false" ht="15" hidden="false" customHeight="false" outlineLevel="0" collapsed="false">
      <c r="A1155" s="1" t="s">
        <v>1574</v>
      </c>
      <c r="B1155" s="4" t="n">
        <v>45925</v>
      </c>
      <c r="C1155" s="1" t="s">
        <v>203</v>
      </c>
      <c r="D1155" s="1" t="s">
        <v>162</v>
      </c>
      <c r="E1155" s="1" t="n">
        <v>1</v>
      </c>
      <c r="F1155" s="5" t="n">
        <v>0.15</v>
      </c>
      <c r="G1155" s="1" t="s">
        <v>34</v>
      </c>
      <c r="H1155" s="1" t="s">
        <v>45</v>
      </c>
      <c r="I1155" s="1" t="s">
        <v>15</v>
      </c>
    </row>
    <row r="1156" customFormat="false" ht="15" hidden="false" customHeight="false" outlineLevel="0" collapsed="false">
      <c r="A1156" s="1" t="s">
        <v>1575</v>
      </c>
      <c r="B1156" s="4" t="n">
        <v>45725</v>
      </c>
      <c r="C1156" s="1" t="s">
        <v>661</v>
      </c>
      <c r="D1156" s="1" t="s">
        <v>455</v>
      </c>
      <c r="E1156" s="1" t="n">
        <v>1</v>
      </c>
      <c r="F1156" s="5" t="n">
        <v>0</v>
      </c>
      <c r="G1156" s="1" t="s">
        <v>52</v>
      </c>
      <c r="H1156" s="1" t="s">
        <v>53</v>
      </c>
      <c r="I1156" s="1" t="s">
        <v>15</v>
      </c>
      <c r="J1156" s="1" t="n">
        <v>4</v>
      </c>
    </row>
    <row r="1157" customFormat="false" ht="15" hidden="false" customHeight="false" outlineLevel="0" collapsed="false">
      <c r="A1157" s="1" t="s">
        <v>1576</v>
      </c>
      <c r="B1157" s="4" t="n">
        <v>45907</v>
      </c>
      <c r="C1157" s="1" t="s">
        <v>261</v>
      </c>
      <c r="D1157" s="1" t="s">
        <v>106</v>
      </c>
      <c r="E1157" s="1" t="n">
        <v>2</v>
      </c>
      <c r="F1157" s="5" t="n">
        <v>0</v>
      </c>
      <c r="G1157" s="1" t="s">
        <v>13</v>
      </c>
      <c r="H1157" s="1" t="s">
        <v>92</v>
      </c>
      <c r="I1157" s="1" t="s">
        <v>20</v>
      </c>
    </row>
    <row r="1158" customFormat="false" ht="15" hidden="false" customHeight="false" outlineLevel="0" collapsed="false">
      <c r="A1158" s="1" t="s">
        <v>1577</v>
      </c>
      <c r="B1158" s="4" t="n">
        <v>45844</v>
      </c>
      <c r="C1158" s="1" t="s">
        <v>530</v>
      </c>
      <c r="D1158" s="1" t="s">
        <v>37</v>
      </c>
      <c r="E1158" s="1" t="n">
        <v>3</v>
      </c>
      <c r="F1158" s="5" t="n">
        <v>0</v>
      </c>
      <c r="G1158" s="1" t="s">
        <v>13</v>
      </c>
      <c r="H1158" s="1" t="s">
        <v>14</v>
      </c>
      <c r="I1158" s="1" t="s">
        <v>38</v>
      </c>
      <c r="J1158" s="1" t="n">
        <v>6</v>
      </c>
    </row>
    <row r="1159" customFormat="false" ht="15" hidden="false" customHeight="false" outlineLevel="0" collapsed="false">
      <c r="A1159" s="1" t="s">
        <v>1578</v>
      </c>
      <c r="B1159" s="4" t="n">
        <v>45844</v>
      </c>
      <c r="C1159" s="1" t="s">
        <v>312</v>
      </c>
      <c r="D1159" s="1" t="s">
        <v>240</v>
      </c>
      <c r="E1159" s="1" t="n">
        <v>1</v>
      </c>
      <c r="F1159" s="5" t="n">
        <v>0.05</v>
      </c>
      <c r="G1159" s="1" t="s">
        <v>24</v>
      </c>
      <c r="H1159" s="1" t="s">
        <v>14</v>
      </c>
      <c r="I1159" s="1" t="s">
        <v>15</v>
      </c>
      <c r="J1159" s="1" t="n">
        <v>7</v>
      </c>
    </row>
    <row r="1160" customFormat="false" ht="15" hidden="false" customHeight="false" outlineLevel="0" collapsed="false">
      <c r="A1160" s="1" t="s">
        <v>1579</v>
      </c>
      <c r="B1160" s="4" t="n">
        <v>45680</v>
      </c>
      <c r="C1160" s="1" t="s">
        <v>91</v>
      </c>
      <c r="D1160" s="1" t="s">
        <v>117</v>
      </c>
      <c r="E1160" s="1" t="n">
        <v>2</v>
      </c>
      <c r="F1160" s="5" t="n">
        <v>0.1</v>
      </c>
      <c r="G1160" s="1" t="s">
        <v>52</v>
      </c>
      <c r="H1160" s="1" t="s">
        <v>14</v>
      </c>
      <c r="I1160" s="1" t="s">
        <v>20</v>
      </c>
      <c r="J1160" s="1" t="n">
        <v>6</v>
      </c>
    </row>
    <row r="1161" customFormat="false" ht="15" hidden="false" customHeight="false" outlineLevel="0" collapsed="false">
      <c r="A1161" s="1" t="s">
        <v>1580</v>
      </c>
      <c r="B1161" s="4" t="n">
        <v>45664</v>
      </c>
      <c r="C1161" s="1" t="s">
        <v>435</v>
      </c>
      <c r="D1161" s="1" t="s">
        <v>74</v>
      </c>
      <c r="E1161" s="1" t="n">
        <v>1</v>
      </c>
      <c r="F1161" s="5" t="n">
        <v>0.1</v>
      </c>
      <c r="G1161" s="1" t="s">
        <v>19</v>
      </c>
      <c r="H1161" s="1" t="s">
        <v>14</v>
      </c>
      <c r="I1161" s="1" t="s">
        <v>15</v>
      </c>
      <c r="J1161" s="1" t="n">
        <v>6</v>
      </c>
    </row>
    <row r="1162" customFormat="false" ht="15" hidden="false" customHeight="false" outlineLevel="0" collapsed="false">
      <c r="A1162" s="1" t="s">
        <v>1581</v>
      </c>
      <c r="B1162" s="4" t="n">
        <v>45762</v>
      </c>
      <c r="C1162" s="1" t="s">
        <v>229</v>
      </c>
      <c r="D1162" s="1" t="s">
        <v>84</v>
      </c>
      <c r="E1162" s="1" t="n">
        <v>1</v>
      </c>
      <c r="F1162" s="5" t="n">
        <v>0.05</v>
      </c>
      <c r="G1162" s="1" t="s">
        <v>52</v>
      </c>
      <c r="H1162" s="1" t="s">
        <v>45</v>
      </c>
      <c r="I1162" s="1" t="s">
        <v>38</v>
      </c>
    </row>
    <row r="1163" customFormat="false" ht="15" hidden="false" customHeight="false" outlineLevel="0" collapsed="false">
      <c r="A1163" s="1" t="s">
        <v>1582</v>
      </c>
      <c r="B1163" s="4" t="n">
        <v>45860</v>
      </c>
      <c r="C1163" s="1" t="s">
        <v>1583</v>
      </c>
      <c r="D1163" s="1" t="s">
        <v>179</v>
      </c>
      <c r="E1163" s="1" t="n">
        <v>1</v>
      </c>
      <c r="F1163" s="5" t="n">
        <v>0</v>
      </c>
      <c r="G1163" s="1" t="s">
        <v>13</v>
      </c>
      <c r="H1163" s="1" t="s">
        <v>53</v>
      </c>
      <c r="I1163" s="1" t="s">
        <v>38</v>
      </c>
      <c r="J1163" s="1" t="n">
        <v>5</v>
      </c>
    </row>
    <row r="1164" customFormat="false" ht="15" hidden="false" customHeight="false" outlineLevel="0" collapsed="false">
      <c r="A1164" s="1" t="s">
        <v>1584</v>
      </c>
      <c r="B1164" s="4" t="n">
        <v>45760</v>
      </c>
      <c r="C1164" s="1" t="s">
        <v>203</v>
      </c>
      <c r="D1164" s="1" t="s">
        <v>197</v>
      </c>
      <c r="E1164" s="1" t="n">
        <v>1</v>
      </c>
      <c r="F1164" s="5" t="n">
        <v>0</v>
      </c>
      <c r="G1164" s="1" t="s">
        <v>19</v>
      </c>
      <c r="H1164" s="1" t="s">
        <v>14</v>
      </c>
      <c r="I1164" s="1" t="s">
        <v>15</v>
      </c>
      <c r="J1164" s="1" t="n">
        <v>8</v>
      </c>
    </row>
    <row r="1165" customFormat="false" ht="15" hidden="false" customHeight="false" outlineLevel="0" collapsed="false">
      <c r="A1165" s="1" t="s">
        <v>1585</v>
      </c>
      <c r="B1165" s="4" t="n">
        <v>45826</v>
      </c>
      <c r="C1165" s="1" t="s">
        <v>591</v>
      </c>
      <c r="D1165" s="1" t="s">
        <v>148</v>
      </c>
      <c r="E1165" s="1" t="n">
        <v>1</v>
      </c>
      <c r="F1165" s="5" t="n">
        <v>0.05</v>
      </c>
      <c r="G1165" s="1" t="s">
        <v>52</v>
      </c>
      <c r="H1165" s="1" t="s">
        <v>14</v>
      </c>
      <c r="I1165" s="1" t="s">
        <v>15</v>
      </c>
      <c r="J1165" s="1" t="n">
        <v>4</v>
      </c>
    </row>
    <row r="1166" customFormat="false" ht="15" hidden="false" customHeight="false" outlineLevel="0" collapsed="false">
      <c r="A1166" s="1" t="s">
        <v>1586</v>
      </c>
      <c r="B1166" s="4" t="n">
        <v>45939</v>
      </c>
      <c r="C1166" s="1" t="s">
        <v>167</v>
      </c>
      <c r="D1166" s="1" t="s">
        <v>213</v>
      </c>
      <c r="E1166" s="1" t="n">
        <v>5</v>
      </c>
      <c r="F1166" s="5" t="n">
        <v>0.15</v>
      </c>
      <c r="G1166" s="1" t="s">
        <v>24</v>
      </c>
      <c r="H1166" s="1" t="s">
        <v>45</v>
      </c>
      <c r="I1166" s="1" t="s">
        <v>20</v>
      </c>
    </row>
    <row r="1167" customFormat="false" ht="15" hidden="false" customHeight="false" outlineLevel="0" collapsed="false">
      <c r="A1167" s="1" t="s">
        <v>1587</v>
      </c>
      <c r="B1167" s="4" t="n">
        <v>45823</v>
      </c>
      <c r="C1167" s="1" t="s">
        <v>175</v>
      </c>
      <c r="D1167" s="1" t="s">
        <v>429</v>
      </c>
      <c r="E1167" s="1" t="n">
        <v>4</v>
      </c>
      <c r="F1167" s="5" t="n">
        <v>0</v>
      </c>
      <c r="G1167" s="1" t="s">
        <v>13</v>
      </c>
      <c r="H1167" s="1" t="s">
        <v>14</v>
      </c>
      <c r="I1167" s="1" t="s">
        <v>20</v>
      </c>
      <c r="J1167" s="1" t="n">
        <v>2</v>
      </c>
    </row>
    <row r="1168" customFormat="false" ht="15" hidden="false" customHeight="false" outlineLevel="0" collapsed="false">
      <c r="A1168" s="1" t="s">
        <v>1588</v>
      </c>
      <c r="B1168" s="4" t="n">
        <v>46008</v>
      </c>
      <c r="C1168" s="1" t="s">
        <v>201</v>
      </c>
      <c r="D1168" s="1" t="s">
        <v>985</v>
      </c>
      <c r="E1168" s="1" t="n">
        <v>2</v>
      </c>
      <c r="F1168" s="5" t="n">
        <v>0.1</v>
      </c>
      <c r="G1168" s="1" t="s">
        <v>19</v>
      </c>
      <c r="H1168" s="1" t="s">
        <v>14</v>
      </c>
      <c r="I1168" s="1" t="s">
        <v>38</v>
      </c>
      <c r="J1168" s="1" t="n">
        <v>2</v>
      </c>
    </row>
    <row r="1169" customFormat="false" ht="15" hidden="false" customHeight="false" outlineLevel="0" collapsed="false">
      <c r="A1169" s="1" t="s">
        <v>1589</v>
      </c>
      <c r="B1169" s="4" t="n">
        <v>45959</v>
      </c>
      <c r="C1169" s="1" t="s">
        <v>882</v>
      </c>
      <c r="D1169" s="1" t="s">
        <v>179</v>
      </c>
      <c r="E1169" s="1" t="n">
        <v>1</v>
      </c>
      <c r="F1169" s="5" t="n">
        <v>0.1</v>
      </c>
      <c r="G1169" s="1" t="s">
        <v>34</v>
      </c>
      <c r="H1169" s="1" t="s">
        <v>14</v>
      </c>
      <c r="I1169" s="1" t="s">
        <v>20</v>
      </c>
      <c r="J1169" s="1" t="n">
        <v>2</v>
      </c>
    </row>
    <row r="1170" customFormat="false" ht="15" hidden="false" customHeight="false" outlineLevel="0" collapsed="false">
      <c r="A1170" s="1" t="s">
        <v>1590</v>
      </c>
      <c r="B1170" s="4" t="n">
        <v>45963</v>
      </c>
      <c r="C1170" s="1" t="s">
        <v>805</v>
      </c>
      <c r="D1170" s="1" t="s">
        <v>143</v>
      </c>
      <c r="E1170" s="1" t="n">
        <v>1</v>
      </c>
      <c r="F1170" s="5" t="n">
        <v>0</v>
      </c>
      <c r="G1170" s="1" t="s">
        <v>24</v>
      </c>
      <c r="H1170" s="1" t="s">
        <v>14</v>
      </c>
      <c r="I1170" s="1" t="s">
        <v>20</v>
      </c>
      <c r="J1170" s="1" t="n">
        <v>3</v>
      </c>
    </row>
    <row r="1171" customFormat="false" ht="15" hidden="false" customHeight="false" outlineLevel="0" collapsed="false">
      <c r="A1171" s="1" t="s">
        <v>1591</v>
      </c>
      <c r="B1171" s="4" t="n">
        <v>45817</v>
      </c>
      <c r="C1171" s="1" t="s">
        <v>1430</v>
      </c>
      <c r="D1171" s="1" t="s">
        <v>154</v>
      </c>
      <c r="E1171" s="1" t="n">
        <v>1</v>
      </c>
      <c r="F1171" s="5" t="n">
        <v>0.05</v>
      </c>
      <c r="G1171" s="1" t="s">
        <v>19</v>
      </c>
      <c r="H1171" s="1" t="s">
        <v>14</v>
      </c>
      <c r="I1171" s="1" t="s">
        <v>38</v>
      </c>
      <c r="J1171" s="1" t="n">
        <v>8</v>
      </c>
    </row>
    <row r="1172" customFormat="false" ht="15" hidden="false" customHeight="false" outlineLevel="0" collapsed="false">
      <c r="A1172" s="1" t="s">
        <v>1592</v>
      </c>
      <c r="B1172" s="4" t="n">
        <v>45901</v>
      </c>
      <c r="C1172" s="1" t="s">
        <v>244</v>
      </c>
      <c r="D1172" s="1" t="s">
        <v>148</v>
      </c>
      <c r="E1172" s="1" t="n">
        <v>1</v>
      </c>
      <c r="F1172" s="5" t="n">
        <v>0</v>
      </c>
      <c r="G1172" s="1" t="s">
        <v>34</v>
      </c>
      <c r="H1172" s="1" t="s">
        <v>14</v>
      </c>
      <c r="I1172" s="1" t="s">
        <v>38</v>
      </c>
      <c r="J1172" s="1" t="n">
        <v>6</v>
      </c>
    </row>
    <row r="1173" customFormat="false" ht="15" hidden="false" customHeight="false" outlineLevel="0" collapsed="false">
      <c r="A1173" s="1" t="s">
        <v>1593</v>
      </c>
      <c r="B1173" s="4" t="n">
        <v>45733</v>
      </c>
      <c r="C1173" s="1" t="s">
        <v>63</v>
      </c>
      <c r="D1173" s="1" t="s">
        <v>578</v>
      </c>
      <c r="E1173" s="1" t="n">
        <v>2</v>
      </c>
      <c r="F1173" s="5" t="n">
        <v>0.2</v>
      </c>
      <c r="G1173" s="1" t="s">
        <v>52</v>
      </c>
      <c r="H1173" s="1" t="s">
        <v>14</v>
      </c>
      <c r="I1173" s="1" t="s">
        <v>15</v>
      </c>
      <c r="J1173" s="1" t="n">
        <v>8</v>
      </c>
    </row>
    <row r="1174" customFormat="false" ht="15" hidden="false" customHeight="false" outlineLevel="0" collapsed="false">
      <c r="A1174" s="1" t="s">
        <v>1594</v>
      </c>
      <c r="B1174" s="4" t="n">
        <v>45708</v>
      </c>
      <c r="C1174" s="1" t="s">
        <v>917</v>
      </c>
      <c r="D1174" s="1" t="s">
        <v>624</v>
      </c>
      <c r="E1174" s="1" t="n">
        <v>1</v>
      </c>
      <c r="F1174" s="5" t="n">
        <v>0.1</v>
      </c>
      <c r="G1174" s="1" t="s">
        <v>24</v>
      </c>
      <c r="H1174" s="1" t="s">
        <v>14</v>
      </c>
      <c r="I1174" s="1" t="s">
        <v>15</v>
      </c>
      <c r="J1174" s="1" t="n">
        <v>1</v>
      </c>
    </row>
    <row r="1175" customFormat="false" ht="15" hidden="false" customHeight="false" outlineLevel="0" collapsed="false">
      <c r="A1175" s="1" t="s">
        <v>1595</v>
      </c>
      <c r="B1175" s="4" t="n">
        <v>45814</v>
      </c>
      <c r="C1175" s="1" t="s">
        <v>651</v>
      </c>
      <c r="D1175" s="1" t="s">
        <v>171</v>
      </c>
      <c r="E1175" s="1" t="n">
        <v>5</v>
      </c>
      <c r="F1175" s="5" t="n">
        <v>0</v>
      </c>
      <c r="G1175" s="1" t="s">
        <v>52</v>
      </c>
      <c r="H1175" s="1" t="s">
        <v>14</v>
      </c>
      <c r="I1175" s="1" t="s">
        <v>15</v>
      </c>
      <c r="J1175" s="1" t="n">
        <v>5</v>
      </c>
    </row>
    <row r="1176" customFormat="false" ht="15" hidden="false" customHeight="false" outlineLevel="0" collapsed="false">
      <c r="A1176" s="1" t="s">
        <v>1596</v>
      </c>
      <c r="B1176" s="4" t="n">
        <v>45674</v>
      </c>
      <c r="C1176" s="1" t="s">
        <v>96</v>
      </c>
      <c r="D1176" s="1" t="s">
        <v>94</v>
      </c>
      <c r="E1176" s="1" t="n">
        <v>1</v>
      </c>
      <c r="F1176" s="5" t="n">
        <v>0.15</v>
      </c>
      <c r="G1176" s="1" t="s">
        <v>24</v>
      </c>
      <c r="H1176" s="1" t="s">
        <v>14</v>
      </c>
      <c r="I1176" s="1" t="s">
        <v>15</v>
      </c>
      <c r="J1176" s="1" t="n">
        <v>1</v>
      </c>
    </row>
    <row r="1177" customFormat="false" ht="15" hidden="false" customHeight="false" outlineLevel="0" collapsed="false">
      <c r="A1177" s="1" t="s">
        <v>1597</v>
      </c>
      <c r="B1177" s="4" t="n">
        <v>45761</v>
      </c>
      <c r="C1177" s="1" t="s">
        <v>518</v>
      </c>
      <c r="D1177" s="1" t="s">
        <v>328</v>
      </c>
      <c r="E1177" s="1" t="n">
        <v>2</v>
      </c>
      <c r="F1177" s="5" t="n">
        <v>0.2</v>
      </c>
      <c r="G1177" s="1" t="s">
        <v>19</v>
      </c>
      <c r="H1177" s="1" t="s">
        <v>14</v>
      </c>
      <c r="I1177" s="1" t="s">
        <v>38</v>
      </c>
      <c r="J1177" s="1" t="n">
        <v>4</v>
      </c>
    </row>
    <row r="1178" customFormat="false" ht="15" hidden="false" customHeight="false" outlineLevel="0" collapsed="false">
      <c r="A1178" s="1" t="s">
        <v>1598</v>
      </c>
      <c r="B1178" s="4" t="n">
        <v>45976</v>
      </c>
      <c r="C1178" s="1" t="s">
        <v>268</v>
      </c>
      <c r="D1178" s="1" t="s">
        <v>64</v>
      </c>
      <c r="E1178" s="1" t="n">
        <v>3</v>
      </c>
      <c r="F1178" s="5" t="n">
        <v>0.15</v>
      </c>
      <c r="G1178" s="1" t="s">
        <v>52</v>
      </c>
      <c r="H1178" s="1" t="s">
        <v>14</v>
      </c>
      <c r="I1178" s="1" t="s">
        <v>38</v>
      </c>
      <c r="J1178" s="1" t="n">
        <v>7</v>
      </c>
    </row>
    <row r="1179" customFormat="false" ht="15" hidden="false" customHeight="false" outlineLevel="0" collapsed="false">
      <c r="A1179" s="1" t="s">
        <v>1599</v>
      </c>
      <c r="B1179" s="4" t="n">
        <v>45822</v>
      </c>
      <c r="C1179" s="1" t="s">
        <v>643</v>
      </c>
      <c r="D1179" s="1" t="s">
        <v>462</v>
      </c>
      <c r="E1179" s="1" t="n">
        <v>1</v>
      </c>
      <c r="F1179" s="5" t="n">
        <v>0.25</v>
      </c>
      <c r="G1179" s="1" t="s">
        <v>24</v>
      </c>
      <c r="H1179" s="1" t="s">
        <v>14</v>
      </c>
      <c r="I1179" s="1" t="s">
        <v>15</v>
      </c>
      <c r="J1179" s="1" t="n">
        <v>1</v>
      </c>
    </row>
    <row r="1180" customFormat="false" ht="15" hidden="false" customHeight="false" outlineLevel="0" collapsed="false">
      <c r="A1180" s="1" t="s">
        <v>1600</v>
      </c>
      <c r="B1180" s="4" t="n">
        <v>46008</v>
      </c>
      <c r="C1180" s="1" t="s">
        <v>108</v>
      </c>
      <c r="D1180" s="1" t="s">
        <v>125</v>
      </c>
      <c r="E1180" s="1" t="n">
        <v>1</v>
      </c>
      <c r="F1180" s="5" t="n">
        <v>0.05</v>
      </c>
      <c r="G1180" s="1" t="s">
        <v>24</v>
      </c>
      <c r="H1180" s="1" t="s">
        <v>14</v>
      </c>
      <c r="I1180" s="1" t="s">
        <v>15</v>
      </c>
      <c r="J1180" s="1" t="n">
        <v>8</v>
      </c>
    </row>
    <row r="1181" customFormat="false" ht="15" hidden="false" customHeight="false" outlineLevel="0" collapsed="false">
      <c r="A1181" s="1" t="s">
        <v>1601</v>
      </c>
      <c r="B1181" s="4" t="n">
        <v>45916</v>
      </c>
      <c r="C1181" s="1" t="s">
        <v>170</v>
      </c>
      <c r="D1181" s="1" t="s">
        <v>30</v>
      </c>
      <c r="E1181" s="1" t="n">
        <v>1</v>
      </c>
      <c r="F1181" s="5" t="n">
        <v>0.1</v>
      </c>
      <c r="G1181" s="1" t="s">
        <v>24</v>
      </c>
      <c r="H1181" s="1" t="s">
        <v>14</v>
      </c>
      <c r="I1181" s="1" t="s">
        <v>15</v>
      </c>
      <c r="J1181" s="1" t="n">
        <v>5</v>
      </c>
    </row>
    <row r="1182" customFormat="false" ht="15" hidden="false" customHeight="false" outlineLevel="0" collapsed="false">
      <c r="A1182" s="1" t="s">
        <v>1602</v>
      </c>
      <c r="B1182" s="4" t="n">
        <v>45989</v>
      </c>
      <c r="C1182" s="1" t="s">
        <v>345</v>
      </c>
      <c r="D1182" s="1" t="s">
        <v>12</v>
      </c>
      <c r="E1182" s="1" t="n">
        <v>1</v>
      </c>
      <c r="F1182" s="5" t="n">
        <v>0.05</v>
      </c>
      <c r="G1182" s="1" t="s">
        <v>24</v>
      </c>
      <c r="H1182" s="1" t="s">
        <v>14</v>
      </c>
      <c r="I1182" s="1" t="s">
        <v>38</v>
      </c>
      <c r="J1182" s="1" t="n">
        <v>5</v>
      </c>
    </row>
    <row r="1183" customFormat="false" ht="15" hidden="false" customHeight="false" outlineLevel="0" collapsed="false">
      <c r="A1183" s="1" t="s">
        <v>1603</v>
      </c>
      <c r="B1183" s="4" t="n">
        <v>45683</v>
      </c>
      <c r="C1183" s="1" t="s">
        <v>702</v>
      </c>
      <c r="D1183" s="1" t="s">
        <v>77</v>
      </c>
      <c r="E1183" s="1" t="n">
        <v>1</v>
      </c>
      <c r="F1183" s="5" t="n">
        <v>0.1</v>
      </c>
      <c r="G1183" s="1" t="s">
        <v>52</v>
      </c>
      <c r="H1183" s="1" t="s">
        <v>14</v>
      </c>
      <c r="I1183" s="1" t="s">
        <v>15</v>
      </c>
      <c r="J1183" s="1" t="n">
        <v>6</v>
      </c>
    </row>
    <row r="1184" customFormat="false" ht="15" hidden="false" customHeight="false" outlineLevel="0" collapsed="false">
      <c r="A1184" s="1" t="s">
        <v>1604</v>
      </c>
      <c r="B1184" s="4" t="n">
        <v>45957</v>
      </c>
      <c r="C1184" s="1" t="s">
        <v>319</v>
      </c>
      <c r="D1184" s="1" t="s">
        <v>171</v>
      </c>
      <c r="E1184" s="1" t="n">
        <v>4</v>
      </c>
      <c r="F1184" s="5" t="n">
        <v>0.1</v>
      </c>
      <c r="G1184" s="1" t="s">
        <v>24</v>
      </c>
      <c r="H1184" s="1" t="s">
        <v>14</v>
      </c>
      <c r="I1184" s="1" t="s">
        <v>15</v>
      </c>
      <c r="J1184" s="1" t="n">
        <v>4</v>
      </c>
    </row>
    <row r="1185" customFormat="false" ht="15" hidden="false" customHeight="false" outlineLevel="0" collapsed="false">
      <c r="A1185" s="1" t="s">
        <v>1605</v>
      </c>
      <c r="B1185" s="4" t="n">
        <v>45796</v>
      </c>
      <c r="C1185" s="1" t="s">
        <v>543</v>
      </c>
      <c r="D1185" s="1" t="s">
        <v>103</v>
      </c>
      <c r="E1185" s="1" t="n">
        <v>4</v>
      </c>
      <c r="F1185" s="5" t="n">
        <v>0.2</v>
      </c>
      <c r="G1185" s="1" t="s">
        <v>24</v>
      </c>
      <c r="H1185" s="1" t="s">
        <v>14</v>
      </c>
      <c r="I1185" s="1" t="s">
        <v>20</v>
      </c>
      <c r="J1185" s="1" t="n">
        <v>4</v>
      </c>
    </row>
    <row r="1186" customFormat="false" ht="15" hidden="false" customHeight="false" outlineLevel="0" collapsed="false">
      <c r="A1186" s="1" t="s">
        <v>1606</v>
      </c>
      <c r="B1186" s="4" t="n">
        <v>45868</v>
      </c>
      <c r="C1186" s="1" t="s">
        <v>350</v>
      </c>
      <c r="D1186" s="1" t="s">
        <v>624</v>
      </c>
      <c r="E1186" s="1" t="n">
        <v>1</v>
      </c>
      <c r="F1186" s="5" t="n">
        <v>0</v>
      </c>
      <c r="G1186" s="1" t="s">
        <v>34</v>
      </c>
      <c r="H1186" s="1" t="s">
        <v>53</v>
      </c>
      <c r="I1186" s="1" t="s">
        <v>15</v>
      </c>
      <c r="J1186" s="1" t="n">
        <v>8</v>
      </c>
    </row>
    <row r="1187" customFormat="false" ht="15" hidden="false" customHeight="false" outlineLevel="0" collapsed="false">
      <c r="A1187" s="1" t="s">
        <v>1607</v>
      </c>
      <c r="B1187" s="4" t="n">
        <v>45785</v>
      </c>
      <c r="C1187" s="1" t="s">
        <v>647</v>
      </c>
      <c r="D1187" s="1" t="s">
        <v>444</v>
      </c>
      <c r="E1187" s="1" t="n">
        <v>4</v>
      </c>
      <c r="F1187" s="5" t="n">
        <v>0</v>
      </c>
      <c r="G1187" s="1" t="s">
        <v>34</v>
      </c>
      <c r="H1187" s="1" t="s">
        <v>14</v>
      </c>
      <c r="I1187" s="1" t="s">
        <v>15</v>
      </c>
      <c r="J1187" s="1" t="n">
        <v>8</v>
      </c>
    </row>
    <row r="1188" customFormat="false" ht="15" hidden="false" customHeight="false" outlineLevel="0" collapsed="false">
      <c r="A1188" s="1" t="s">
        <v>1608</v>
      </c>
      <c r="B1188" s="4" t="n">
        <v>45666</v>
      </c>
      <c r="C1188" s="1" t="s">
        <v>275</v>
      </c>
      <c r="D1188" s="1" t="s">
        <v>103</v>
      </c>
      <c r="E1188" s="1" t="n">
        <v>2</v>
      </c>
      <c r="F1188" s="5" t="n">
        <v>0.05</v>
      </c>
      <c r="G1188" s="1" t="s">
        <v>34</v>
      </c>
      <c r="H1188" s="1" t="s">
        <v>53</v>
      </c>
      <c r="I1188" s="1" t="s">
        <v>20</v>
      </c>
      <c r="J1188" s="1" t="n">
        <v>6</v>
      </c>
    </row>
    <row r="1189" customFormat="false" ht="15" hidden="false" customHeight="false" outlineLevel="0" collapsed="false">
      <c r="A1189" s="1" t="s">
        <v>1609</v>
      </c>
      <c r="B1189" s="4" t="n">
        <v>45973</v>
      </c>
      <c r="C1189" s="1" t="s">
        <v>512</v>
      </c>
      <c r="D1189" s="1" t="s">
        <v>603</v>
      </c>
      <c r="E1189" s="1" t="n">
        <v>1</v>
      </c>
      <c r="F1189" s="5" t="n">
        <v>0.1</v>
      </c>
      <c r="G1189" s="1" t="s">
        <v>34</v>
      </c>
      <c r="H1189" s="1" t="s">
        <v>92</v>
      </c>
      <c r="I1189" s="1" t="s">
        <v>15</v>
      </c>
    </row>
    <row r="1190" customFormat="false" ht="15" hidden="false" customHeight="false" outlineLevel="0" collapsed="false">
      <c r="A1190" s="1" t="s">
        <v>1610</v>
      </c>
      <c r="B1190" s="4" t="n">
        <v>45928</v>
      </c>
      <c r="C1190" s="1" t="s">
        <v>591</v>
      </c>
      <c r="D1190" s="1" t="s">
        <v>444</v>
      </c>
      <c r="E1190" s="1" t="n">
        <v>2</v>
      </c>
      <c r="F1190" s="5" t="n">
        <v>0.05</v>
      </c>
      <c r="G1190" s="1" t="s">
        <v>19</v>
      </c>
      <c r="H1190" s="1" t="s">
        <v>14</v>
      </c>
      <c r="I1190" s="1" t="s">
        <v>15</v>
      </c>
      <c r="J1190" s="1" t="n">
        <v>2</v>
      </c>
    </row>
    <row r="1191" customFormat="false" ht="15" hidden="false" customHeight="false" outlineLevel="0" collapsed="false">
      <c r="A1191" s="1" t="s">
        <v>1611</v>
      </c>
      <c r="B1191" s="4" t="n">
        <v>45942</v>
      </c>
      <c r="C1191" s="1" t="s">
        <v>47</v>
      </c>
      <c r="D1191" s="1" t="s">
        <v>237</v>
      </c>
      <c r="E1191" s="1" t="n">
        <v>1</v>
      </c>
      <c r="F1191" s="5" t="n">
        <v>0.2</v>
      </c>
      <c r="G1191" s="1" t="s">
        <v>24</v>
      </c>
      <c r="H1191" s="1" t="s">
        <v>14</v>
      </c>
      <c r="I1191" s="1" t="s">
        <v>15</v>
      </c>
      <c r="J1191" s="1" t="n">
        <v>7</v>
      </c>
    </row>
    <row r="1192" customFormat="false" ht="15" hidden="false" customHeight="false" outlineLevel="0" collapsed="false">
      <c r="A1192" s="1" t="s">
        <v>1612</v>
      </c>
      <c r="B1192" s="4" t="n">
        <v>46004</v>
      </c>
      <c r="C1192" s="1" t="s">
        <v>32</v>
      </c>
      <c r="D1192" s="1" t="s">
        <v>176</v>
      </c>
      <c r="E1192" s="1" t="n">
        <v>3</v>
      </c>
      <c r="F1192" s="5" t="n">
        <v>0.15</v>
      </c>
      <c r="G1192" s="1" t="s">
        <v>19</v>
      </c>
      <c r="H1192" s="1" t="s">
        <v>53</v>
      </c>
      <c r="I1192" s="1" t="s">
        <v>20</v>
      </c>
      <c r="J1192" s="1" t="n">
        <v>6</v>
      </c>
    </row>
    <row r="1193" customFormat="false" ht="15" hidden="false" customHeight="false" outlineLevel="0" collapsed="false">
      <c r="A1193" s="1" t="s">
        <v>1613</v>
      </c>
      <c r="B1193" s="4" t="n">
        <v>45983</v>
      </c>
      <c r="C1193" s="1" t="s">
        <v>191</v>
      </c>
      <c r="D1193" s="1" t="s">
        <v>624</v>
      </c>
      <c r="E1193" s="1" t="n">
        <v>2</v>
      </c>
      <c r="F1193" s="5" t="n">
        <v>0</v>
      </c>
      <c r="G1193" s="1" t="s">
        <v>52</v>
      </c>
      <c r="H1193" s="1" t="s">
        <v>53</v>
      </c>
      <c r="I1193" s="1" t="s">
        <v>15</v>
      </c>
      <c r="J1193" s="1" t="n">
        <v>1</v>
      </c>
    </row>
    <row r="1194" customFormat="false" ht="15" hidden="false" customHeight="false" outlineLevel="0" collapsed="false">
      <c r="A1194" s="1" t="s">
        <v>1614</v>
      </c>
      <c r="B1194" s="4" t="n">
        <v>45960</v>
      </c>
      <c r="C1194" s="1" t="s">
        <v>435</v>
      </c>
      <c r="D1194" s="1" t="s">
        <v>554</v>
      </c>
      <c r="E1194" s="1" t="n">
        <v>2</v>
      </c>
      <c r="F1194" s="5" t="n">
        <v>0.05</v>
      </c>
      <c r="G1194" s="1" t="s">
        <v>24</v>
      </c>
      <c r="H1194" s="1" t="s">
        <v>14</v>
      </c>
      <c r="I1194" s="1" t="s">
        <v>15</v>
      </c>
      <c r="J1194" s="1" t="n">
        <v>1</v>
      </c>
    </row>
    <row r="1195" customFormat="false" ht="15" hidden="false" customHeight="false" outlineLevel="0" collapsed="false">
      <c r="A1195" s="1" t="s">
        <v>1615</v>
      </c>
      <c r="B1195" s="4" t="n">
        <v>46008</v>
      </c>
      <c r="C1195" s="1" t="s">
        <v>820</v>
      </c>
      <c r="D1195" s="1" t="s">
        <v>41</v>
      </c>
      <c r="E1195" s="1" t="n">
        <v>2</v>
      </c>
      <c r="F1195" s="5" t="n">
        <v>0.05</v>
      </c>
      <c r="G1195" s="1" t="s">
        <v>52</v>
      </c>
      <c r="H1195" s="1" t="s">
        <v>14</v>
      </c>
      <c r="I1195" s="1" t="s">
        <v>15</v>
      </c>
      <c r="J1195" s="1" t="n">
        <v>4</v>
      </c>
    </row>
    <row r="1196" customFormat="false" ht="15" hidden="false" customHeight="false" outlineLevel="0" collapsed="false">
      <c r="A1196" s="1" t="s">
        <v>1616</v>
      </c>
      <c r="B1196" s="4" t="n">
        <v>45697</v>
      </c>
      <c r="C1196" s="1" t="s">
        <v>355</v>
      </c>
      <c r="D1196" s="1" t="s">
        <v>353</v>
      </c>
      <c r="E1196" s="1" t="n">
        <v>1</v>
      </c>
      <c r="F1196" s="5" t="n">
        <v>0.1</v>
      </c>
      <c r="G1196" s="1" t="s">
        <v>24</v>
      </c>
      <c r="H1196" s="1" t="s">
        <v>78</v>
      </c>
      <c r="I1196" s="1" t="s">
        <v>15</v>
      </c>
      <c r="J1196" s="1" t="n">
        <v>6</v>
      </c>
    </row>
    <row r="1197" customFormat="false" ht="15" hidden="false" customHeight="false" outlineLevel="0" collapsed="false">
      <c r="A1197" s="1" t="s">
        <v>1617</v>
      </c>
      <c r="B1197" s="4" t="n">
        <v>45760</v>
      </c>
      <c r="C1197" s="1" t="s">
        <v>501</v>
      </c>
      <c r="D1197" s="1" t="s">
        <v>253</v>
      </c>
      <c r="E1197" s="1" t="n">
        <v>1</v>
      </c>
      <c r="F1197" s="5" t="n">
        <v>0.2</v>
      </c>
      <c r="G1197" s="1" t="s">
        <v>52</v>
      </c>
      <c r="H1197" s="1" t="s">
        <v>45</v>
      </c>
      <c r="I1197" s="1" t="s">
        <v>15</v>
      </c>
    </row>
    <row r="1198" customFormat="false" ht="15" hidden="false" customHeight="false" outlineLevel="0" collapsed="false">
      <c r="A1198" s="1" t="s">
        <v>1618</v>
      </c>
      <c r="B1198" s="4" t="n">
        <v>45698</v>
      </c>
      <c r="C1198" s="1" t="s">
        <v>88</v>
      </c>
      <c r="D1198" s="1" t="s">
        <v>578</v>
      </c>
      <c r="E1198" s="1" t="n">
        <v>1</v>
      </c>
      <c r="F1198" s="5" t="n">
        <v>0.15</v>
      </c>
      <c r="G1198" s="1" t="s">
        <v>34</v>
      </c>
      <c r="H1198" s="1" t="s">
        <v>14</v>
      </c>
      <c r="I1198" s="1" t="s">
        <v>20</v>
      </c>
      <c r="J1198" s="1" t="n">
        <v>6</v>
      </c>
    </row>
    <row r="1199" customFormat="false" ht="15" hidden="false" customHeight="false" outlineLevel="0" collapsed="false">
      <c r="A1199" s="1" t="s">
        <v>1619</v>
      </c>
      <c r="B1199" s="4" t="n">
        <v>45781</v>
      </c>
      <c r="C1199" s="1" t="s">
        <v>61</v>
      </c>
      <c r="D1199" s="1" t="s">
        <v>97</v>
      </c>
      <c r="E1199" s="1" t="n">
        <v>1</v>
      </c>
      <c r="F1199" s="5" t="n">
        <v>0</v>
      </c>
      <c r="G1199" s="1" t="s">
        <v>52</v>
      </c>
      <c r="H1199" s="1" t="s">
        <v>14</v>
      </c>
      <c r="I1199" s="1" t="s">
        <v>38</v>
      </c>
      <c r="J1199" s="1" t="n">
        <v>4</v>
      </c>
    </row>
    <row r="1200" customFormat="false" ht="15" hidden="false" customHeight="false" outlineLevel="0" collapsed="false">
      <c r="A1200" s="1" t="s">
        <v>1620</v>
      </c>
      <c r="B1200" s="4" t="n">
        <v>45973</v>
      </c>
      <c r="C1200" s="1" t="s">
        <v>643</v>
      </c>
      <c r="D1200" s="1" t="s">
        <v>134</v>
      </c>
      <c r="E1200" s="1" t="n">
        <v>3</v>
      </c>
      <c r="F1200" s="5" t="n">
        <v>0.1</v>
      </c>
      <c r="G1200" s="1" t="s">
        <v>52</v>
      </c>
      <c r="H1200" s="1" t="s">
        <v>92</v>
      </c>
      <c r="I1200" s="1" t="s">
        <v>20</v>
      </c>
    </row>
    <row r="1201" customFormat="false" ht="15" hidden="false" customHeight="false" outlineLevel="0" collapsed="false">
      <c r="A1201" s="1" t="s">
        <v>1621</v>
      </c>
      <c r="B1201" s="4" t="n">
        <v>45839</v>
      </c>
      <c r="C1201" s="1" t="s">
        <v>145</v>
      </c>
      <c r="D1201" s="1" t="s">
        <v>210</v>
      </c>
      <c r="E1201" s="1" t="n">
        <v>1</v>
      </c>
      <c r="F1201" s="5" t="n">
        <v>0.1</v>
      </c>
      <c r="G1201" s="1" t="s">
        <v>34</v>
      </c>
      <c r="H1201" s="1" t="s">
        <v>14</v>
      </c>
      <c r="I1201" s="1" t="s">
        <v>20</v>
      </c>
      <c r="J1201" s="1" t="n">
        <v>1</v>
      </c>
    </row>
    <row r="1202" customFormat="false" ht="15" hidden="false" customHeight="false" outlineLevel="0" collapsed="false">
      <c r="A1202" s="1" t="s">
        <v>1622</v>
      </c>
      <c r="B1202" s="4" t="n">
        <v>45709</v>
      </c>
      <c r="C1202" s="1" t="s">
        <v>917</v>
      </c>
      <c r="D1202" s="1" t="s">
        <v>323</v>
      </c>
      <c r="E1202" s="1" t="n">
        <v>1</v>
      </c>
      <c r="F1202" s="5" t="n">
        <v>0.15</v>
      </c>
      <c r="G1202" s="1" t="s">
        <v>52</v>
      </c>
      <c r="H1202" s="1" t="s">
        <v>14</v>
      </c>
      <c r="I1202" s="1" t="s">
        <v>20</v>
      </c>
      <c r="J1202" s="1" t="n">
        <v>4</v>
      </c>
    </row>
    <row r="1203" customFormat="false" ht="15" hidden="false" customHeight="false" outlineLevel="0" collapsed="false">
      <c r="A1203" s="1" t="s">
        <v>1623</v>
      </c>
      <c r="B1203" s="4" t="n">
        <v>45882</v>
      </c>
      <c r="C1203" s="1" t="s">
        <v>1060</v>
      </c>
      <c r="D1203" s="1" t="s">
        <v>289</v>
      </c>
      <c r="E1203" s="1" t="n">
        <v>2</v>
      </c>
      <c r="F1203" s="5" t="n">
        <v>0.15</v>
      </c>
      <c r="G1203" s="1" t="s">
        <v>52</v>
      </c>
      <c r="H1203" s="1" t="s">
        <v>53</v>
      </c>
      <c r="I1203" s="1" t="s">
        <v>15</v>
      </c>
      <c r="J1203" s="1" t="n">
        <v>2</v>
      </c>
    </row>
    <row r="1204" customFormat="false" ht="15" hidden="false" customHeight="false" outlineLevel="0" collapsed="false">
      <c r="A1204" s="1" t="s">
        <v>1624</v>
      </c>
      <c r="B1204" s="4" t="n">
        <v>45741</v>
      </c>
      <c r="C1204" s="1" t="s">
        <v>1625</v>
      </c>
      <c r="D1204" s="1" t="s">
        <v>446</v>
      </c>
      <c r="E1204" s="1" t="n">
        <v>4</v>
      </c>
      <c r="F1204" s="5" t="n">
        <v>0.1</v>
      </c>
      <c r="G1204" s="1" t="s">
        <v>34</v>
      </c>
      <c r="H1204" s="1" t="s">
        <v>45</v>
      </c>
      <c r="I1204" s="1" t="s">
        <v>15</v>
      </c>
    </row>
    <row r="1205" customFormat="false" ht="15" hidden="false" customHeight="false" outlineLevel="0" collapsed="false">
      <c r="A1205" s="1" t="s">
        <v>1626</v>
      </c>
      <c r="B1205" s="4" t="n">
        <v>45754</v>
      </c>
      <c r="C1205" s="1" t="s">
        <v>415</v>
      </c>
      <c r="D1205" s="1" t="s">
        <v>436</v>
      </c>
      <c r="E1205" s="1" t="n">
        <v>1</v>
      </c>
      <c r="F1205" s="5" t="n">
        <v>0.15</v>
      </c>
      <c r="G1205" s="1" t="s">
        <v>71</v>
      </c>
      <c r="H1205" s="1" t="s">
        <v>14</v>
      </c>
      <c r="I1205" s="1" t="s">
        <v>38</v>
      </c>
      <c r="J1205" s="1" t="n">
        <v>5</v>
      </c>
    </row>
    <row r="1206" customFormat="false" ht="15" hidden="false" customHeight="false" outlineLevel="0" collapsed="false">
      <c r="A1206" s="1" t="s">
        <v>1627</v>
      </c>
      <c r="B1206" s="4" t="n">
        <v>45810</v>
      </c>
      <c r="C1206" s="1" t="s">
        <v>438</v>
      </c>
      <c r="D1206" s="1" t="s">
        <v>537</v>
      </c>
      <c r="E1206" s="1" t="n">
        <v>5</v>
      </c>
      <c r="F1206" s="5" t="n">
        <v>0.1</v>
      </c>
      <c r="G1206" s="1" t="s">
        <v>34</v>
      </c>
      <c r="H1206" s="1" t="s">
        <v>14</v>
      </c>
      <c r="I1206" s="1" t="s">
        <v>38</v>
      </c>
      <c r="J1206" s="1" t="n">
        <v>8</v>
      </c>
    </row>
    <row r="1207" customFormat="false" ht="15" hidden="false" customHeight="false" outlineLevel="0" collapsed="false">
      <c r="A1207" s="1" t="s">
        <v>1628</v>
      </c>
      <c r="B1207" s="4" t="n">
        <v>45695</v>
      </c>
      <c r="C1207" s="1" t="s">
        <v>159</v>
      </c>
      <c r="D1207" s="1" t="s">
        <v>462</v>
      </c>
      <c r="E1207" s="1" t="n">
        <v>1</v>
      </c>
      <c r="F1207" s="5" t="n">
        <v>0.2</v>
      </c>
      <c r="G1207" s="1" t="s">
        <v>19</v>
      </c>
      <c r="H1207" s="1" t="s">
        <v>14</v>
      </c>
      <c r="I1207" s="1" t="s">
        <v>38</v>
      </c>
      <c r="J1207" s="1" t="n">
        <v>3</v>
      </c>
    </row>
    <row r="1208" customFormat="false" ht="15" hidden="false" customHeight="false" outlineLevel="0" collapsed="false">
      <c r="A1208" s="1" t="s">
        <v>1629</v>
      </c>
      <c r="B1208" s="4" t="n">
        <v>45836</v>
      </c>
      <c r="C1208" s="1" t="s">
        <v>728</v>
      </c>
      <c r="D1208" s="1" t="s">
        <v>117</v>
      </c>
      <c r="E1208" s="1" t="n">
        <v>1</v>
      </c>
      <c r="F1208" s="5" t="n">
        <v>0.1</v>
      </c>
      <c r="G1208" s="1" t="s">
        <v>19</v>
      </c>
      <c r="H1208" s="1" t="s">
        <v>14</v>
      </c>
      <c r="I1208" s="1" t="s">
        <v>38</v>
      </c>
      <c r="J1208" s="1" t="n">
        <v>2</v>
      </c>
    </row>
    <row r="1209" customFormat="false" ht="15" hidden="false" customHeight="false" outlineLevel="0" collapsed="false">
      <c r="A1209" s="1" t="s">
        <v>1630</v>
      </c>
      <c r="B1209" s="4" t="n">
        <v>45930</v>
      </c>
      <c r="C1209" s="1" t="s">
        <v>1339</v>
      </c>
      <c r="D1209" s="1" t="s">
        <v>418</v>
      </c>
      <c r="E1209" s="1" t="n">
        <v>1</v>
      </c>
      <c r="F1209" s="5" t="n">
        <v>0.05</v>
      </c>
      <c r="G1209" s="1" t="s">
        <v>52</v>
      </c>
      <c r="H1209" s="1" t="s">
        <v>92</v>
      </c>
      <c r="I1209" s="1" t="s">
        <v>15</v>
      </c>
    </row>
    <row r="1210" customFormat="false" ht="15" hidden="false" customHeight="false" outlineLevel="0" collapsed="false">
      <c r="A1210" s="1" t="s">
        <v>1631</v>
      </c>
      <c r="B1210" s="4" t="n">
        <v>45783</v>
      </c>
      <c r="C1210" s="1" t="s">
        <v>147</v>
      </c>
      <c r="D1210" s="1" t="s">
        <v>122</v>
      </c>
      <c r="E1210" s="1" t="n">
        <v>1</v>
      </c>
      <c r="F1210" s="5" t="n">
        <v>0.15</v>
      </c>
      <c r="G1210" s="1" t="s">
        <v>13</v>
      </c>
      <c r="H1210" s="1" t="s">
        <v>14</v>
      </c>
      <c r="I1210" s="1" t="s">
        <v>15</v>
      </c>
      <c r="J1210" s="1" t="n">
        <v>8</v>
      </c>
    </row>
    <row r="1211" customFormat="false" ht="15" hidden="false" customHeight="false" outlineLevel="0" collapsed="false">
      <c r="A1211" s="1" t="s">
        <v>1632</v>
      </c>
      <c r="B1211" s="4" t="n">
        <v>45913</v>
      </c>
      <c r="C1211" s="1" t="s">
        <v>201</v>
      </c>
      <c r="D1211" s="1" t="s">
        <v>210</v>
      </c>
      <c r="E1211" s="1" t="n">
        <v>3</v>
      </c>
      <c r="F1211" s="5" t="n">
        <v>0.2</v>
      </c>
      <c r="G1211" s="1" t="s">
        <v>52</v>
      </c>
      <c r="H1211" s="1" t="s">
        <v>14</v>
      </c>
      <c r="I1211" s="1" t="s">
        <v>15</v>
      </c>
      <c r="J1211" s="1" t="n">
        <v>4</v>
      </c>
    </row>
    <row r="1212" customFormat="false" ht="15" hidden="false" customHeight="false" outlineLevel="0" collapsed="false">
      <c r="A1212" s="1" t="s">
        <v>1633</v>
      </c>
      <c r="B1212" s="4" t="n">
        <v>45774</v>
      </c>
      <c r="C1212" s="1" t="s">
        <v>396</v>
      </c>
      <c r="D1212" s="1" t="s">
        <v>186</v>
      </c>
      <c r="E1212" s="1" t="n">
        <v>1</v>
      </c>
      <c r="F1212" s="5" t="n">
        <v>0.25</v>
      </c>
      <c r="G1212" s="1" t="s">
        <v>52</v>
      </c>
      <c r="H1212" s="1" t="s">
        <v>14</v>
      </c>
      <c r="I1212" s="1" t="s">
        <v>20</v>
      </c>
      <c r="J1212" s="1" t="n">
        <v>4</v>
      </c>
    </row>
    <row r="1213" customFormat="false" ht="15" hidden="false" customHeight="false" outlineLevel="0" collapsed="false">
      <c r="A1213" s="1" t="s">
        <v>1634</v>
      </c>
      <c r="B1213" s="4" t="n">
        <v>45871</v>
      </c>
      <c r="C1213" s="1" t="s">
        <v>867</v>
      </c>
      <c r="D1213" s="1" t="s">
        <v>197</v>
      </c>
      <c r="E1213" s="1" t="n">
        <v>4</v>
      </c>
      <c r="F1213" s="5" t="n">
        <v>0</v>
      </c>
      <c r="G1213" s="1" t="s">
        <v>19</v>
      </c>
      <c r="H1213" s="1" t="s">
        <v>14</v>
      </c>
      <c r="I1213" s="1" t="s">
        <v>20</v>
      </c>
      <c r="J1213" s="1" t="n">
        <v>3</v>
      </c>
    </row>
    <row r="1214" customFormat="false" ht="15" hidden="false" customHeight="false" outlineLevel="0" collapsed="false">
      <c r="A1214" s="1" t="s">
        <v>1635</v>
      </c>
      <c r="B1214" s="4" t="n">
        <v>45939</v>
      </c>
      <c r="C1214" s="1" t="s">
        <v>345</v>
      </c>
      <c r="D1214" s="1" t="s">
        <v>67</v>
      </c>
      <c r="E1214" s="1" t="n">
        <v>1</v>
      </c>
      <c r="F1214" s="5" t="n">
        <v>0.05</v>
      </c>
      <c r="G1214" s="1" t="s">
        <v>34</v>
      </c>
      <c r="H1214" s="1" t="s">
        <v>14</v>
      </c>
      <c r="I1214" s="1" t="s">
        <v>20</v>
      </c>
      <c r="J1214" s="1" t="n">
        <v>4</v>
      </c>
    </row>
    <row r="1215" customFormat="false" ht="15" hidden="false" customHeight="false" outlineLevel="0" collapsed="false">
      <c r="A1215" s="1" t="s">
        <v>1636</v>
      </c>
      <c r="B1215" s="4" t="n">
        <v>45798</v>
      </c>
      <c r="C1215" s="1" t="s">
        <v>753</v>
      </c>
      <c r="D1215" s="1" t="s">
        <v>103</v>
      </c>
      <c r="E1215" s="1" t="n">
        <v>1</v>
      </c>
      <c r="F1215" s="5" t="n">
        <v>0</v>
      </c>
      <c r="G1215" s="1" t="s">
        <v>52</v>
      </c>
      <c r="H1215" s="1" t="s">
        <v>14</v>
      </c>
      <c r="I1215" s="1" t="s">
        <v>20</v>
      </c>
      <c r="J1215" s="1" t="n">
        <v>8</v>
      </c>
    </row>
    <row r="1216" customFormat="false" ht="15" hidden="false" customHeight="false" outlineLevel="0" collapsed="false">
      <c r="A1216" s="1" t="s">
        <v>1637</v>
      </c>
      <c r="B1216" s="4" t="n">
        <v>45858</v>
      </c>
      <c r="C1216" s="1" t="s">
        <v>142</v>
      </c>
      <c r="D1216" s="1" t="s">
        <v>441</v>
      </c>
      <c r="E1216" s="1" t="n">
        <v>1</v>
      </c>
      <c r="F1216" s="5" t="n">
        <v>0</v>
      </c>
      <c r="G1216" s="1" t="s">
        <v>13</v>
      </c>
      <c r="H1216" s="1" t="s">
        <v>14</v>
      </c>
      <c r="I1216" s="1" t="s">
        <v>15</v>
      </c>
      <c r="J1216" s="1" t="n">
        <v>5</v>
      </c>
    </row>
    <row r="1217" customFormat="false" ht="15" hidden="false" customHeight="false" outlineLevel="0" collapsed="false">
      <c r="A1217" s="1" t="s">
        <v>1638</v>
      </c>
      <c r="B1217" s="4" t="n">
        <v>45747</v>
      </c>
      <c r="C1217" s="1" t="s">
        <v>908</v>
      </c>
      <c r="D1217" s="1" t="s">
        <v>171</v>
      </c>
      <c r="E1217" s="1" t="n">
        <v>2</v>
      </c>
      <c r="F1217" s="5" t="n">
        <v>0.2</v>
      </c>
      <c r="G1217" s="1" t="s">
        <v>34</v>
      </c>
      <c r="H1217" s="1" t="s">
        <v>14</v>
      </c>
      <c r="I1217" s="1" t="s">
        <v>20</v>
      </c>
      <c r="J1217" s="1" t="n">
        <v>7</v>
      </c>
    </row>
    <row r="1218" customFormat="false" ht="15" hidden="false" customHeight="false" outlineLevel="0" collapsed="false">
      <c r="A1218" s="1" t="s">
        <v>1639</v>
      </c>
      <c r="B1218" s="4" t="n">
        <v>45855</v>
      </c>
      <c r="C1218" s="1" t="s">
        <v>55</v>
      </c>
      <c r="D1218" s="1" t="s">
        <v>253</v>
      </c>
      <c r="E1218" s="1" t="n">
        <v>1</v>
      </c>
      <c r="F1218" s="5" t="n">
        <v>0.05</v>
      </c>
      <c r="G1218" s="1" t="s">
        <v>52</v>
      </c>
      <c r="H1218" s="1" t="s">
        <v>14</v>
      </c>
      <c r="I1218" s="1" t="s">
        <v>15</v>
      </c>
      <c r="J1218" s="1" t="n">
        <v>3</v>
      </c>
    </row>
    <row r="1219" customFormat="false" ht="15" hidden="false" customHeight="false" outlineLevel="0" collapsed="false">
      <c r="A1219" s="1" t="s">
        <v>1640</v>
      </c>
      <c r="B1219" s="4" t="n">
        <v>45983</v>
      </c>
      <c r="C1219" s="1" t="s">
        <v>532</v>
      </c>
      <c r="D1219" s="1" t="s">
        <v>18</v>
      </c>
      <c r="E1219" s="1" t="n">
        <v>1</v>
      </c>
      <c r="F1219" s="5" t="n">
        <v>0.05</v>
      </c>
      <c r="G1219" s="1" t="s">
        <v>34</v>
      </c>
      <c r="H1219" s="1" t="s">
        <v>14</v>
      </c>
      <c r="I1219" s="1" t="s">
        <v>15</v>
      </c>
      <c r="J1219" s="1" t="n">
        <v>4</v>
      </c>
    </row>
    <row r="1220" customFormat="false" ht="15" hidden="false" customHeight="false" outlineLevel="0" collapsed="false">
      <c r="A1220" s="1" t="s">
        <v>1641</v>
      </c>
      <c r="B1220" s="4" t="n">
        <v>45685</v>
      </c>
      <c r="C1220" s="1" t="s">
        <v>207</v>
      </c>
      <c r="D1220" s="1" t="s">
        <v>257</v>
      </c>
      <c r="E1220" s="1" t="n">
        <v>3</v>
      </c>
      <c r="F1220" s="5" t="n">
        <v>0.15</v>
      </c>
      <c r="G1220" s="1" t="s">
        <v>34</v>
      </c>
      <c r="H1220" s="1" t="s">
        <v>14</v>
      </c>
      <c r="I1220" s="1" t="s">
        <v>15</v>
      </c>
      <c r="J1220" s="1" t="n">
        <v>4</v>
      </c>
    </row>
    <row r="1221" customFormat="false" ht="15" hidden="false" customHeight="false" outlineLevel="0" collapsed="false">
      <c r="A1221" s="1" t="s">
        <v>1642</v>
      </c>
      <c r="B1221" s="4" t="n">
        <v>45852</v>
      </c>
      <c r="C1221" s="1" t="s">
        <v>1284</v>
      </c>
      <c r="D1221" s="1" t="s">
        <v>186</v>
      </c>
      <c r="E1221" s="1" t="n">
        <v>3</v>
      </c>
      <c r="F1221" s="5" t="n">
        <v>0.25</v>
      </c>
      <c r="G1221" s="1" t="s">
        <v>34</v>
      </c>
      <c r="H1221" s="1" t="s">
        <v>14</v>
      </c>
      <c r="I1221" s="1" t="s">
        <v>15</v>
      </c>
      <c r="J1221" s="1" t="n">
        <v>2</v>
      </c>
    </row>
    <row r="1222" customFormat="false" ht="15" hidden="false" customHeight="false" outlineLevel="0" collapsed="false">
      <c r="A1222" s="1" t="s">
        <v>1643</v>
      </c>
      <c r="B1222" s="4" t="n">
        <v>46014</v>
      </c>
      <c r="C1222" s="1" t="s">
        <v>591</v>
      </c>
      <c r="D1222" s="1" t="s">
        <v>179</v>
      </c>
      <c r="E1222" s="1" t="n">
        <v>1</v>
      </c>
      <c r="F1222" s="5" t="n">
        <v>0.15</v>
      </c>
      <c r="G1222" s="1" t="s">
        <v>71</v>
      </c>
      <c r="H1222" s="1" t="s">
        <v>14</v>
      </c>
      <c r="I1222" s="1" t="s">
        <v>38</v>
      </c>
      <c r="J1222" s="1" t="n">
        <v>6</v>
      </c>
    </row>
    <row r="1223" customFormat="false" ht="15" hidden="false" customHeight="false" outlineLevel="0" collapsed="false">
      <c r="A1223" s="1" t="s">
        <v>1644</v>
      </c>
      <c r="B1223" s="4" t="n">
        <v>45917</v>
      </c>
      <c r="C1223" s="1" t="s">
        <v>805</v>
      </c>
      <c r="D1223" s="1" t="s">
        <v>289</v>
      </c>
      <c r="E1223" s="1" t="n">
        <v>1</v>
      </c>
      <c r="F1223" s="5" t="n">
        <v>0.2</v>
      </c>
      <c r="G1223" s="1" t="s">
        <v>34</v>
      </c>
      <c r="H1223" s="1" t="s">
        <v>14</v>
      </c>
      <c r="I1223" s="1" t="s">
        <v>15</v>
      </c>
      <c r="J1223" s="1" t="n">
        <v>2</v>
      </c>
    </row>
    <row r="1224" customFormat="false" ht="15" hidden="false" customHeight="false" outlineLevel="0" collapsed="false">
      <c r="A1224" s="1" t="s">
        <v>1645</v>
      </c>
      <c r="B1224" s="4" t="n">
        <v>45720</v>
      </c>
      <c r="C1224" s="1" t="s">
        <v>1009</v>
      </c>
      <c r="D1224" s="1" t="s">
        <v>1169</v>
      </c>
      <c r="E1224" s="1" t="n">
        <v>1</v>
      </c>
      <c r="F1224" s="5" t="n">
        <v>0.05</v>
      </c>
      <c r="G1224" s="1" t="s">
        <v>52</v>
      </c>
      <c r="H1224" s="1" t="s">
        <v>14</v>
      </c>
      <c r="I1224" s="1" t="s">
        <v>20</v>
      </c>
      <c r="J1224" s="1" t="n">
        <v>7</v>
      </c>
    </row>
    <row r="1225" customFormat="false" ht="15" hidden="false" customHeight="false" outlineLevel="0" collapsed="false">
      <c r="A1225" s="1" t="s">
        <v>1646</v>
      </c>
      <c r="B1225" s="4" t="n">
        <v>45869</v>
      </c>
      <c r="C1225" s="1" t="s">
        <v>145</v>
      </c>
      <c r="D1225" s="1" t="s">
        <v>462</v>
      </c>
      <c r="E1225" s="1" t="n">
        <v>2</v>
      </c>
      <c r="F1225" s="5" t="n">
        <v>0.2</v>
      </c>
      <c r="G1225" s="1" t="s">
        <v>34</v>
      </c>
      <c r="H1225" s="1" t="s">
        <v>92</v>
      </c>
      <c r="I1225" s="1" t="s">
        <v>20</v>
      </c>
    </row>
    <row r="1226" customFormat="false" ht="15" hidden="false" customHeight="false" outlineLevel="0" collapsed="false">
      <c r="A1226" s="1" t="s">
        <v>1647</v>
      </c>
      <c r="B1226" s="4" t="n">
        <v>45838</v>
      </c>
      <c r="C1226" s="1" t="s">
        <v>702</v>
      </c>
      <c r="D1226" s="1" t="s">
        <v>375</v>
      </c>
      <c r="E1226" s="1" t="n">
        <v>1</v>
      </c>
      <c r="F1226" s="5" t="n">
        <v>0</v>
      </c>
      <c r="G1226" s="1" t="s">
        <v>52</v>
      </c>
      <c r="H1226" s="1" t="s">
        <v>14</v>
      </c>
      <c r="I1226" s="1" t="s">
        <v>15</v>
      </c>
      <c r="J1226" s="1" t="n">
        <v>3</v>
      </c>
    </row>
    <row r="1227" customFormat="false" ht="15" hidden="false" customHeight="false" outlineLevel="0" collapsed="false">
      <c r="A1227" s="1" t="s">
        <v>1648</v>
      </c>
      <c r="B1227" s="4" t="n">
        <v>45925</v>
      </c>
      <c r="C1227" s="1" t="s">
        <v>600</v>
      </c>
      <c r="D1227" s="1" t="s">
        <v>109</v>
      </c>
      <c r="E1227" s="1" t="n">
        <v>2</v>
      </c>
      <c r="F1227" s="5" t="n">
        <v>0</v>
      </c>
      <c r="G1227" s="1" t="s">
        <v>34</v>
      </c>
      <c r="H1227" s="1" t="s">
        <v>14</v>
      </c>
      <c r="I1227" s="1" t="s">
        <v>15</v>
      </c>
      <c r="J1227" s="1" t="n">
        <v>6</v>
      </c>
    </row>
    <row r="1228" customFormat="false" ht="15" hidden="false" customHeight="false" outlineLevel="0" collapsed="false">
      <c r="A1228" s="1" t="s">
        <v>1649</v>
      </c>
      <c r="B1228" s="4" t="n">
        <v>45912</v>
      </c>
      <c r="C1228" s="1" t="s">
        <v>733</v>
      </c>
      <c r="D1228" s="1" t="s">
        <v>94</v>
      </c>
      <c r="E1228" s="1" t="n">
        <v>4</v>
      </c>
      <c r="F1228" s="5" t="n">
        <v>0.15</v>
      </c>
      <c r="G1228" s="1" t="s">
        <v>52</v>
      </c>
      <c r="H1228" s="1" t="s">
        <v>92</v>
      </c>
      <c r="I1228" s="1" t="s">
        <v>15</v>
      </c>
    </row>
    <row r="1229" customFormat="false" ht="15" hidden="false" customHeight="false" outlineLevel="0" collapsed="false">
      <c r="A1229" s="1" t="s">
        <v>1650</v>
      </c>
      <c r="B1229" s="4" t="n">
        <v>45950</v>
      </c>
      <c r="C1229" s="1" t="s">
        <v>518</v>
      </c>
      <c r="D1229" s="1" t="s">
        <v>362</v>
      </c>
      <c r="E1229" s="1" t="n">
        <v>2</v>
      </c>
      <c r="F1229" s="5" t="n">
        <v>0.05</v>
      </c>
      <c r="G1229" s="1" t="s">
        <v>34</v>
      </c>
      <c r="H1229" s="1" t="s">
        <v>14</v>
      </c>
      <c r="I1229" s="1" t="s">
        <v>38</v>
      </c>
      <c r="J1229" s="1" t="n">
        <v>6</v>
      </c>
    </row>
    <row r="1230" customFormat="false" ht="15" hidden="false" customHeight="false" outlineLevel="0" collapsed="false">
      <c r="A1230" s="1" t="s">
        <v>1651</v>
      </c>
      <c r="B1230" s="4" t="n">
        <v>45970</v>
      </c>
      <c r="C1230" s="1" t="s">
        <v>150</v>
      </c>
      <c r="D1230" s="1" t="s">
        <v>276</v>
      </c>
      <c r="E1230" s="1" t="n">
        <v>1</v>
      </c>
      <c r="F1230" s="5" t="n">
        <v>0</v>
      </c>
      <c r="G1230" s="1" t="s">
        <v>71</v>
      </c>
      <c r="H1230" s="1" t="s">
        <v>14</v>
      </c>
      <c r="I1230" s="1" t="s">
        <v>20</v>
      </c>
      <c r="J1230" s="1" t="n">
        <v>4</v>
      </c>
    </row>
    <row r="1231" customFormat="false" ht="15" hidden="false" customHeight="false" outlineLevel="0" collapsed="false">
      <c r="A1231" s="1" t="s">
        <v>1652</v>
      </c>
      <c r="B1231" s="4" t="n">
        <v>45942</v>
      </c>
      <c r="C1231" s="1" t="s">
        <v>127</v>
      </c>
      <c r="D1231" s="1" t="s">
        <v>165</v>
      </c>
      <c r="E1231" s="1" t="n">
        <v>3</v>
      </c>
      <c r="F1231" s="5" t="n">
        <v>0.05</v>
      </c>
      <c r="G1231" s="1" t="s">
        <v>34</v>
      </c>
      <c r="H1231" s="1" t="s">
        <v>14</v>
      </c>
      <c r="I1231" s="1" t="s">
        <v>15</v>
      </c>
      <c r="J1231" s="1" t="n">
        <v>5</v>
      </c>
    </row>
    <row r="1232" customFormat="false" ht="15" hidden="false" customHeight="false" outlineLevel="0" collapsed="false">
      <c r="A1232" s="1" t="s">
        <v>1653</v>
      </c>
      <c r="B1232" s="4" t="n">
        <v>45690</v>
      </c>
      <c r="C1232" s="1" t="s">
        <v>227</v>
      </c>
      <c r="D1232" s="1" t="s">
        <v>81</v>
      </c>
      <c r="E1232" s="1" t="n">
        <v>1</v>
      </c>
      <c r="F1232" s="5" t="n">
        <v>0</v>
      </c>
      <c r="G1232" s="1" t="s">
        <v>13</v>
      </c>
      <c r="H1232" s="1" t="s">
        <v>14</v>
      </c>
      <c r="I1232" s="1" t="s">
        <v>38</v>
      </c>
      <c r="J1232" s="1" t="n">
        <v>8</v>
      </c>
    </row>
    <row r="1233" customFormat="false" ht="15" hidden="false" customHeight="false" outlineLevel="0" collapsed="false">
      <c r="A1233" s="1" t="s">
        <v>1654</v>
      </c>
      <c r="B1233" s="4" t="n">
        <v>45956</v>
      </c>
      <c r="C1233" s="1" t="s">
        <v>384</v>
      </c>
      <c r="D1233" s="1" t="s">
        <v>240</v>
      </c>
      <c r="E1233" s="1" t="n">
        <v>2</v>
      </c>
      <c r="F1233" s="5" t="n">
        <v>0</v>
      </c>
      <c r="G1233" s="1" t="s">
        <v>34</v>
      </c>
      <c r="H1233" s="1" t="s">
        <v>14</v>
      </c>
      <c r="I1233" s="1" t="s">
        <v>20</v>
      </c>
      <c r="J1233" s="1" t="n">
        <v>3</v>
      </c>
    </row>
    <row r="1234" customFormat="false" ht="15" hidden="false" customHeight="false" outlineLevel="0" collapsed="false">
      <c r="A1234" s="1" t="s">
        <v>1655</v>
      </c>
      <c r="B1234" s="4" t="n">
        <v>45765</v>
      </c>
      <c r="C1234" s="1" t="s">
        <v>534</v>
      </c>
      <c r="D1234" s="1" t="s">
        <v>41</v>
      </c>
      <c r="E1234" s="1" t="n">
        <v>2</v>
      </c>
      <c r="F1234" s="5" t="n">
        <v>0.05</v>
      </c>
      <c r="G1234" s="1" t="s">
        <v>19</v>
      </c>
      <c r="H1234" s="1" t="s">
        <v>53</v>
      </c>
      <c r="I1234" s="1" t="s">
        <v>15</v>
      </c>
      <c r="J1234" s="1" t="n">
        <v>4</v>
      </c>
    </row>
    <row r="1235" customFormat="false" ht="15" hidden="false" customHeight="false" outlineLevel="0" collapsed="false">
      <c r="A1235" s="1" t="s">
        <v>1656</v>
      </c>
      <c r="B1235" s="4" t="n">
        <v>45697</v>
      </c>
      <c r="C1235" s="1" t="s">
        <v>415</v>
      </c>
      <c r="D1235" s="1" t="s">
        <v>70</v>
      </c>
      <c r="E1235" s="1" t="n">
        <v>2</v>
      </c>
      <c r="F1235" s="5" t="n">
        <v>0</v>
      </c>
      <c r="G1235" s="1" t="s">
        <v>24</v>
      </c>
      <c r="H1235" s="1" t="s">
        <v>14</v>
      </c>
      <c r="I1235" s="1" t="s">
        <v>20</v>
      </c>
      <c r="J1235" s="1" t="n">
        <v>8</v>
      </c>
    </row>
    <row r="1236" customFormat="false" ht="15" hidden="false" customHeight="false" outlineLevel="0" collapsed="false">
      <c r="A1236" s="1" t="s">
        <v>1657</v>
      </c>
      <c r="B1236" s="4" t="n">
        <v>45772</v>
      </c>
      <c r="C1236" s="1" t="s">
        <v>170</v>
      </c>
      <c r="D1236" s="1" t="s">
        <v>160</v>
      </c>
      <c r="E1236" s="1" t="n">
        <v>2</v>
      </c>
      <c r="F1236" s="5" t="n">
        <v>0.1</v>
      </c>
      <c r="G1236" s="1" t="s">
        <v>19</v>
      </c>
      <c r="H1236" s="1" t="s">
        <v>92</v>
      </c>
      <c r="I1236" s="1" t="s">
        <v>15</v>
      </c>
    </row>
    <row r="1237" customFormat="false" ht="15" hidden="false" customHeight="false" outlineLevel="0" collapsed="false">
      <c r="A1237" s="1" t="s">
        <v>1658</v>
      </c>
      <c r="B1237" s="4" t="n">
        <v>45856</v>
      </c>
      <c r="C1237" s="1" t="s">
        <v>278</v>
      </c>
      <c r="D1237" s="1" t="s">
        <v>97</v>
      </c>
      <c r="E1237" s="1" t="n">
        <v>1</v>
      </c>
      <c r="F1237" s="5" t="n">
        <v>0.15</v>
      </c>
      <c r="G1237" s="1" t="s">
        <v>24</v>
      </c>
      <c r="H1237" s="1" t="s">
        <v>53</v>
      </c>
      <c r="I1237" s="1" t="s">
        <v>15</v>
      </c>
      <c r="J1237" s="1" t="n">
        <v>1</v>
      </c>
    </row>
    <row r="1238" customFormat="false" ht="15" hidden="false" customHeight="false" outlineLevel="0" collapsed="false">
      <c r="A1238" s="1" t="s">
        <v>1659</v>
      </c>
      <c r="B1238" s="4" t="n">
        <v>45996</v>
      </c>
      <c r="C1238" s="1" t="s">
        <v>546</v>
      </c>
      <c r="D1238" s="1" t="s">
        <v>106</v>
      </c>
      <c r="E1238" s="1" t="n">
        <v>3</v>
      </c>
      <c r="F1238" s="5" t="n">
        <v>0</v>
      </c>
      <c r="G1238" s="1" t="s">
        <v>24</v>
      </c>
      <c r="H1238" s="1" t="s">
        <v>14</v>
      </c>
      <c r="I1238" s="1" t="s">
        <v>15</v>
      </c>
      <c r="J1238" s="1" t="n">
        <v>2</v>
      </c>
    </row>
    <row r="1239" customFormat="false" ht="15" hidden="false" customHeight="false" outlineLevel="0" collapsed="false">
      <c r="A1239" s="1" t="s">
        <v>1660</v>
      </c>
      <c r="B1239" s="4" t="n">
        <v>45902</v>
      </c>
      <c r="C1239" s="1" t="s">
        <v>466</v>
      </c>
      <c r="D1239" s="1" t="s">
        <v>289</v>
      </c>
      <c r="E1239" s="1" t="n">
        <v>1</v>
      </c>
      <c r="F1239" s="5" t="n">
        <v>0</v>
      </c>
      <c r="G1239" s="1" t="s">
        <v>52</v>
      </c>
      <c r="H1239" s="1" t="s">
        <v>14</v>
      </c>
      <c r="I1239" s="1" t="s">
        <v>15</v>
      </c>
      <c r="J1239" s="1" t="n">
        <v>4</v>
      </c>
    </row>
    <row r="1240" customFormat="false" ht="15" hidden="false" customHeight="false" outlineLevel="0" collapsed="false">
      <c r="A1240" s="1" t="s">
        <v>1661</v>
      </c>
      <c r="B1240" s="4" t="n">
        <v>45683</v>
      </c>
      <c r="C1240" s="1" t="s">
        <v>352</v>
      </c>
      <c r="D1240" s="1" t="s">
        <v>23</v>
      </c>
      <c r="E1240" s="1" t="n">
        <v>5</v>
      </c>
      <c r="F1240" s="5" t="n">
        <v>0.1</v>
      </c>
      <c r="G1240" s="1" t="s">
        <v>19</v>
      </c>
      <c r="H1240" s="1" t="s">
        <v>45</v>
      </c>
      <c r="I1240" s="1" t="s">
        <v>38</v>
      </c>
    </row>
    <row r="1241" customFormat="false" ht="15" hidden="false" customHeight="false" outlineLevel="0" collapsed="false">
      <c r="A1241" s="1" t="s">
        <v>1662</v>
      </c>
      <c r="B1241" s="4" t="n">
        <v>45754</v>
      </c>
      <c r="C1241" s="1" t="s">
        <v>413</v>
      </c>
      <c r="D1241" s="1" t="s">
        <v>12</v>
      </c>
      <c r="E1241" s="1" t="n">
        <v>3</v>
      </c>
      <c r="F1241" s="5" t="n">
        <v>0.15</v>
      </c>
      <c r="G1241" s="1" t="s">
        <v>52</v>
      </c>
      <c r="H1241" s="1" t="s">
        <v>78</v>
      </c>
      <c r="I1241" s="1" t="s">
        <v>38</v>
      </c>
      <c r="J1241" s="1" t="n">
        <v>7</v>
      </c>
    </row>
    <row r="1242" customFormat="false" ht="15" hidden="false" customHeight="false" outlineLevel="0" collapsed="false">
      <c r="A1242" s="1" t="s">
        <v>1663</v>
      </c>
      <c r="B1242" s="4" t="n">
        <v>45990</v>
      </c>
      <c r="C1242" s="1" t="s">
        <v>384</v>
      </c>
      <c r="D1242" s="1" t="s">
        <v>162</v>
      </c>
      <c r="E1242" s="1" t="n">
        <v>1</v>
      </c>
      <c r="F1242" s="5" t="n">
        <v>0</v>
      </c>
      <c r="G1242" s="1" t="s">
        <v>71</v>
      </c>
      <c r="H1242" s="1" t="s">
        <v>14</v>
      </c>
      <c r="I1242" s="1" t="s">
        <v>38</v>
      </c>
      <c r="J1242" s="1" t="n">
        <v>6</v>
      </c>
    </row>
    <row r="1243" customFormat="false" ht="15" hidden="false" customHeight="false" outlineLevel="0" collapsed="false">
      <c r="A1243" s="1" t="s">
        <v>1664</v>
      </c>
      <c r="B1243" s="4" t="n">
        <v>45803</v>
      </c>
      <c r="C1243" s="1" t="s">
        <v>86</v>
      </c>
      <c r="D1243" s="1" t="s">
        <v>441</v>
      </c>
      <c r="E1243" s="1" t="n">
        <v>3</v>
      </c>
      <c r="F1243" s="5" t="n">
        <v>0.05</v>
      </c>
      <c r="G1243" s="1" t="s">
        <v>52</v>
      </c>
      <c r="H1243" s="1" t="s">
        <v>14</v>
      </c>
      <c r="I1243" s="1" t="s">
        <v>20</v>
      </c>
      <c r="J1243" s="1" t="n">
        <v>2</v>
      </c>
    </row>
    <row r="1244" customFormat="false" ht="15" hidden="false" customHeight="false" outlineLevel="0" collapsed="false">
      <c r="A1244" s="1" t="s">
        <v>1665</v>
      </c>
      <c r="B1244" s="4" t="n">
        <v>45820</v>
      </c>
      <c r="C1244" s="1" t="s">
        <v>1321</v>
      </c>
      <c r="D1244" s="1" t="s">
        <v>37</v>
      </c>
      <c r="E1244" s="1" t="n">
        <v>4</v>
      </c>
      <c r="F1244" s="5" t="n">
        <v>0.15</v>
      </c>
      <c r="G1244" s="1" t="s">
        <v>24</v>
      </c>
      <c r="H1244" s="1" t="s">
        <v>14</v>
      </c>
      <c r="I1244" s="1" t="s">
        <v>38</v>
      </c>
      <c r="J1244" s="1" t="n">
        <v>7</v>
      </c>
    </row>
    <row r="1245" customFormat="false" ht="15" hidden="false" customHeight="false" outlineLevel="0" collapsed="false">
      <c r="A1245" s="1" t="s">
        <v>1666</v>
      </c>
      <c r="B1245" s="4" t="n">
        <v>45716</v>
      </c>
      <c r="C1245" s="1" t="s">
        <v>466</v>
      </c>
      <c r="D1245" s="1" t="s">
        <v>97</v>
      </c>
      <c r="E1245" s="1" t="n">
        <v>1</v>
      </c>
      <c r="F1245" s="5" t="n">
        <v>0.05</v>
      </c>
      <c r="G1245" s="1" t="s">
        <v>19</v>
      </c>
      <c r="H1245" s="1" t="s">
        <v>14</v>
      </c>
      <c r="I1245" s="1" t="s">
        <v>15</v>
      </c>
      <c r="J1245" s="1" t="n">
        <v>2</v>
      </c>
    </row>
    <row r="1246" customFormat="false" ht="15" hidden="false" customHeight="false" outlineLevel="0" collapsed="false">
      <c r="A1246" s="1" t="s">
        <v>1667</v>
      </c>
      <c r="B1246" s="4" t="n">
        <v>45889</v>
      </c>
      <c r="C1246" s="1" t="s">
        <v>382</v>
      </c>
      <c r="D1246" s="1" t="s">
        <v>429</v>
      </c>
      <c r="E1246" s="1" t="n">
        <v>1</v>
      </c>
      <c r="F1246" s="5" t="n">
        <v>0.25</v>
      </c>
      <c r="G1246" s="1" t="s">
        <v>52</v>
      </c>
      <c r="H1246" s="1" t="s">
        <v>14</v>
      </c>
      <c r="I1246" s="1" t="s">
        <v>15</v>
      </c>
      <c r="J1246" s="1" t="n">
        <v>6</v>
      </c>
    </row>
    <row r="1247" customFormat="false" ht="15" hidden="false" customHeight="false" outlineLevel="0" collapsed="false">
      <c r="A1247" s="1" t="s">
        <v>1668</v>
      </c>
      <c r="B1247" s="4" t="n">
        <v>45831</v>
      </c>
      <c r="C1247" s="1" t="s">
        <v>836</v>
      </c>
      <c r="D1247" s="1" t="s">
        <v>537</v>
      </c>
      <c r="E1247" s="1" t="n">
        <v>1</v>
      </c>
      <c r="F1247" s="5" t="n">
        <v>0.2</v>
      </c>
      <c r="G1247" s="1" t="s">
        <v>19</v>
      </c>
      <c r="H1247" s="1" t="s">
        <v>14</v>
      </c>
      <c r="I1247" s="1" t="s">
        <v>15</v>
      </c>
      <c r="J1247" s="1" t="n">
        <v>6</v>
      </c>
    </row>
    <row r="1248" customFormat="false" ht="15" hidden="false" customHeight="false" outlineLevel="0" collapsed="false">
      <c r="A1248" s="1" t="s">
        <v>1669</v>
      </c>
      <c r="B1248" s="4" t="n">
        <v>45928</v>
      </c>
      <c r="C1248" s="1" t="s">
        <v>739</v>
      </c>
      <c r="D1248" s="1" t="s">
        <v>44</v>
      </c>
      <c r="E1248" s="1" t="n">
        <v>2</v>
      </c>
      <c r="F1248" s="5" t="n">
        <v>0.1</v>
      </c>
      <c r="G1248" s="1" t="s">
        <v>71</v>
      </c>
      <c r="H1248" s="1" t="s">
        <v>14</v>
      </c>
      <c r="I1248" s="1" t="s">
        <v>15</v>
      </c>
      <c r="J1248" s="1" t="n">
        <v>5</v>
      </c>
    </row>
    <row r="1249" customFormat="false" ht="15" hidden="false" customHeight="false" outlineLevel="0" collapsed="false">
      <c r="A1249" s="1" t="s">
        <v>1670</v>
      </c>
      <c r="B1249" s="4" t="n">
        <v>45786</v>
      </c>
      <c r="C1249" s="1" t="s">
        <v>40</v>
      </c>
      <c r="D1249" s="1" t="s">
        <v>253</v>
      </c>
      <c r="E1249" s="1" t="n">
        <v>1</v>
      </c>
      <c r="F1249" s="5" t="n">
        <v>0.05</v>
      </c>
      <c r="G1249" s="1" t="s">
        <v>71</v>
      </c>
      <c r="H1249" s="1" t="s">
        <v>14</v>
      </c>
      <c r="I1249" s="1" t="s">
        <v>38</v>
      </c>
      <c r="J1249" s="1" t="n">
        <v>4</v>
      </c>
    </row>
    <row r="1250" customFormat="false" ht="15" hidden="false" customHeight="false" outlineLevel="0" collapsed="false">
      <c r="A1250" s="1" t="s">
        <v>1671</v>
      </c>
      <c r="B1250" s="4" t="n">
        <v>45881</v>
      </c>
      <c r="C1250" s="1" t="s">
        <v>461</v>
      </c>
      <c r="D1250" s="1" t="s">
        <v>325</v>
      </c>
      <c r="E1250" s="1" t="n">
        <v>1</v>
      </c>
      <c r="F1250" s="5" t="n">
        <v>0.2</v>
      </c>
      <c r="G1250" s="1" t="s">
        <v>52</v>
      </c>
      <c r="H1250" s="1" t="s">
        <v>53</v>
      </c>
      <c r="I1250" s="1" t="s">
        <v>20</v>
      </c>
      <c r="J1250" s="1" t="n">
        <v>4</v>
      </c>
    </row>
    <row r="1251" customFormat="false" ht="15" hidden="false" customHeight="false" outlineLevel="0" collapsed="false">
      <c r="A1251" s="1" t="s">
        <v>1672</v>
      </c>
      <c r="B1251" s="4" t="n">
        <v>45998</v>
      </c>
      <c r="C1251" s="1" t="s">
        <v>227</v>
      </c>
      <c r="D1251" s="1" t="s">
        <v>58</v>
      </c>
      <c r="E1251" s="1" t="n">
        <v>3</v>
      </c>
      <c r="F1251" s="5" t="n">
        <v>0.15</v>
      </c>
      <c r="G1251" s="1" t="s">
        <v>34</v>
      </c>
      <c r="H1251" s="1" t="s">
        <v>92</v>
      </c>
      <c r="I1251" s="1" t="s">
        <v>20</v>
      </c>
    </row>
    <row r="1252" customFormat="false" ht="15" hidden="false" customHeight="false" outlineLevel="0" collapsed="false">
      <c r="A1252" s="1" t="s">
        <v>1673</v>
      </c>
      <c r="B1252" s="4" t="n">
        <v>45710</v>
      </c>
      <c r="C1252" s="1" t="s">
        <v>298</v>
      </c>
      <c r="D1252" s="1" t="s">
        <v>84</v>
      </c>
      <c r="E1252" s="1" t="n">
        <v>2</v>
      </c>
      <c r="F1252" s="5" t="n">
        <v>0.1</v>
      </c>
      <c r="G1252" s="1" t="s">
        <v>19</v>
      </c>
      <c r="H1252" s="1" t="s">
        <v>53</v>
      </c>
      <c r="I1252" s="1" t="s">
        <v>38</v>
      </c>
      <c r="J1252" s="1" t="n">
        <v>4</v>
      </c>
    </row>
    <row r="1253" customFormat="false" ht="15" hidden="false" customHeight="false" outlineLevel="0" collapsed="false">
      <c r="A1253" s="1" t="s">
        <v>1674</v>
      </c>
      <c r="B1253" s="4" t="n">
        <v>45663</v>
      </c>
      <c r="C1253" s="1" t="s">
        <v>61</v>
      </c>
      <c r="D1253" s="1" t="s">
        <v>487</v>
      </c>
      <c r="E1253" s="1" t="n">
        <v>1</v>
      </c>
      <c r="F1253" s="5" t="n">
        <v>0.1</v>
      </c>
      <c r="G1253" s="1" t="s">
        <v>52</v>
      </c>
      <c r="H1253" s="1" t="s">
        <v>14</v>
      </c>
      <c r="I1253" s="1" t="s">
        <v>15</v>
      </c>
      <c r="J1253" s="1" t="n">
        <v>3</v>
      </c>
    </row>
    <row r="1254" customFormat="false" ht="15" hidden="false" customHeight="false" outlineLevel="0" collapsed="false">
      <c r="A1254" s="1" t="s">
        <v>1675</v>
      </c>
      <c r="B1254" s="4" t="n">
        <v>45726</v>
      </c>
      <c r="C1254" s="1" t="s">
        <v>546</v>
      </c>
      <c r="D1254" s="1" t="s">
        <v>112</v>
      </c>
      <c r="E1254" s="1" t="n">
        <v>2</v>
      </c>
      <c r="F1254" s="5" t="n">
        <v>0.2</v>
      </c>
      <c r="G1254" s="1" t="s">
        <v>52</v>
      </c>
      <c r="H1254" s="1" t="s">
        <v>14</v>
      </c>
      <c r="I1254" s="1" t="s">
        <v>38</v>
      </c>
      <c r="J1254" s="1" t="n">
        <v>2</v>
      </c>
    </row>
    <row r="1255" customFormat="false" ht="15" hidden="false" customHeight="false" outlineLevel="0" collapsed="false">
      <c r="A1255" s="1" t="s">
        <v>1676</v>
      </c>
      <c r="B1255" s="4" t="n">
        <v>45675</v>
      </c>
      <c r="C1255" s="1" t="s">
        <v>355</v>
      </c>
      <c r="D1255" s="1" t="s">
        <v>192</v>
      </c>
      <c r="E1255" s="1" t="n">
        <v>3</v>
      </c>
      <c r="F1255" s="5" t="n">
        <v>0.1</v>
      </c>
      <c r="G1255" s="1" t="s">
        <v>34</v>
      </c>
      <c r="H1255" s="1" t="s">
        <v>14</v>
      </c>
      <c r="I1255" s="1" t="s">
        <v>20</v>
      </c>
      <c r="J1255" s="1" t="n">
        <v>5</v>
      </c>
    </row>
    <row r="1256" customFormat="false" ht="15" hidden="false" customHeight="false" outlineLevel="0" collapsed="false">
      <c r="A1256" s="1" t="s">
        <v>1677</v>
      </c>
      <c r="B1256" s="4" t="n">
        <v>45887</v>
      </c>
      <c r="C1256" s="1" t="s">
        <v>830</v>
      </c>
      <c r="D1256" s="1" t="s">
        <v>245</v>
      </c>
      <c r="E1256" s="1" t="n">
        <v>2</v>
      </c>
      <c r="F1256" s="5" t="n">
        <v>0.15</v>
      </c>
      <c r="G1256" s="1" t="s">
        <v>19</v>
      </c>
      <c r="H1256" s="1" t="s">
        <v>14</v>
      </c>
      <c r="I1256" s="1" t="s">
        <v>38</v>
      </c>
      <c r="J1256" s="1" t="n">
        <v>3</v>
      </c>
    </row>
    <row r="1257" customFormat="false" ht="15" hidden="false" customHeight="false" outlineLevel="0" collapsed="false">
      <c r="A1257" s="1" t="s">
        <v>1678</v>
      </c>
      <c r="B1257" s="4" t="n">
        <v>45912</v>
      </c>
      <c r="C1257" s="1" t="s">
        <v>640</v>
      </c>
      <c r="D1257" s="1" t="s">
        <v>963</v>
      </c>
      <c r="E1257" s="1" t="n">
        <v>1</v>
      </c>
      <c r="F1257" s="5" t="n">
        <v>0.2</v>
      </c>
      <c r="G1257" s="1" t="s">
        <v>52</v>
      </c>
      <c r="H1257" s="1" t="s">
        <v>14</v>
      </c>
      <c r="I1257" s="1" t="s">
        <v>20</v>
      </c>
      <c r="J1257" s="1" t="n">
        <v>3</v>
      </c>
    </row>
    <row r="1258" customFormat="false" ht="15" hidden="false" customHeight="false" outlineLevel="0" collapsed="false">
      <c r="A1258" s="1" t="s">
        <v>1679</v>
      </c>
      <c r="B1258" s="4" t="n">
        <v>45855</v>
      </c>
      <c r="C1258" s="1" t="s">
        <v>499</v>
      </c>
      <c r="D1258" s="1" t="s">
        <v>143</v>
      </c>
      <c r="E1258" s="1" t="n">
        <v>2</v>
      </c>
      <c r="F1258" s="5" t="n">
        <v>0.15</v>
      </c>
      <c r="G1258" s="1" t="s">
        <v>24</v>
      </c>
      <c r="H1258" s="1" t="s">
        <v>14</v>
      </c>
      <c r="I1258" s="1" t="s">
        <v>15</v>
      </c>
      <c r="J1258" s="1" t="n">
        <v>7</v>
      </c>
    </row>
    <row r="1259" customFormat="false" ht="15" hidden="false" customHeight="false" outlineLevel="0" collapsed="false">
      <c r="A1259" s="1" t="s">
        <v>1680</v>
      </c>
      <c r="B1259" s="4" t="n">
        <v>45881</v>
      </c>
      <c r="C1259" s="1" t="s">
        <v>1284</v>
      </c>
      <c r="D1259" s="1" t="s">
        <v>362</v>
      </c>
      <c r="E1259" s="1" t="n">
        <v>2</v>
      </c>
      <c r="F1259" s="5" t="n">
        <v>0.1</v>
      </c>
      <c r="G1259" s="1" t="s">
        <v>52</v>
      </c>
      <c r="H1259" s="1" t="s">
        <v>14</v>
      </c>
      <c r="I1259" s="1" t="s">
        <v>15</v>
      </c>
      <c r="J1259" s="1" t="n">
        <v>3</v>
      </c>
    </row>
    <row r="1260" customFormat="false" ht="15" hidden="false" customHeight="false" outlineLevel="0" collapsed="false">
      <c r="A1260" s="1" t="s">
        <v>1681</v>
      </c>
      <c r="B1260" s="4" t="n">
        <v>45803</v>
      </c>
      <c r="C1260" s="1" t="s">
        <v>530</v>
      </c>
      <c r="D1260" s="1" t="s">
        <v>294</v>
      </c>
      <c r="E1260" s="1" t="n">
        <v>1</v>
      </c>
      <c r="F1260" s="5" t="n">
        <v>0.05</v>
      </c>
      <c r="G1260" s="1" t="s">
        <v>52</v>
      </c>
      <c r="H1260" s="1" t="s">
        <v>78</v>
      </c>
      <c r="I1260" s="1" t="s">
        <v>38</v>
      </c>
      <c r="J1260" s="1" t="n">
        <v>5</v>
      </c>
    </row>
    <row r="1261" customFormat="false" ht="15" hidden="false" customHeight="false" outlineLevel="0" collapsed="false">
      <c r="A1261" s="1" t="s">
        <v>1682</v>
      </c>
      <c r="B1261" s="4" t="n">
        <v>45697</v>
      </c>
      <c r="C1261" s="1" t="s">
        <v>721</v>
      </c>
      <c r="D1261" s="1" t="s">
        <v>140</v>
      </c>
      <c r="E1261" s="1" t="n">
        <v>2</v>
      </c>
      <c r="F1261" s="5" t="n">
        <v>0.05</v>
      </c>
      <c r="G1261" s="1" t="s">
        <v>52</v>
      </c>
      <c r="H1261" s="1" t="s">
        <v>14</v>
      </c>
      <c r="I1261" s="1" t="s">
        <v>38</v>
      </c>
      <c r="J1261" s="1" t="n">
        <v>7</v>
      </c>
    </row>
    <row r="1262" customFormat="false" ht="15" hidden="false" customHeight="false" outlineLevel="0" collapsed="false">
      <c r="A1262" s="1" t="s">
        <v>1683</v>
      </c>
      <c r="B1262" s="4" t="n">
        <v>45681</v>
      </c>
      <c r="C1262" s="1" t="s">
        <v>1011</v>
      </c>
      <c r="D1262" s="1" t="s">
        <v>255</v>
      </c>
      <c r="E1262" s="1" t="n">
        <v>3</v>
      </c>
      <c r="F1262" s="5" t="n">
        <v>0.2</v>
      </c>
      <c r="G1262" s="1" t="s">
        <v>52</v>
      </c>
      <c r="H1262" s="1" t="s">
        <v>14</v>
      </c>
      <c r="I1262" s="1" t="s">
        <v>15</v>
      </c>
      <c r="J1262" s="1" t="n">
        <v>8</v>
      </c>
    </row>
    <row r="1263" customFormat="false" ht="15" hidden="false" customHeight="false" outlineLevel="0" collapsed="false">
      <c r="A1263" s="1" t="s">
        <v>1684</v>
      </c>
      <c r="B1263" s="4" t="n">
        <v>46014</v>
      </c>
      <c r="C1263" s="1" t="s">
        <v>76</v>
      </c>
      <c r="D1263" s="1" t="s">
        <v>125</v>
      </c>
      <c r="E1263" s="1" t="n">
        <v>2</v>
      </c>
      <c r="F1263" s="5" t="n">
        <v>0.2</v>
      </c>
      <c r="G1263" s="1" t="s">
        <v>52</v>
      </c>
      <c r="H1263" s="1" t="s">
        <v>14</v>
      </c>
      <c r="I1263" s="1" t="s">
        <v>38</v>
      </c>
      <c r="J1263" s="1" t="n">
        <v>2</v>
      </c>
    </row>
    <row r="1264" customFormat="false" ht="15" hidden="false" customHeight="false" outlineLevel="0" collapsed="false">
      <c r="A1264" s="1" t="s">
        <v>1685</v>
      </c>
      <c r="B1264" s="4" t="n">
        <v>45731</v>
      </c>
      <c r="C1264" s="1" t="s">
        <v>450</v>
      </c>
      <c r="D1264" s="1" t="s">
        <v>641</v>
      </c>
      <c r="E1264" s="1" t="n">
        <v>1</v>
      </c>
      <c r="F1264" s="5" t="n">
        <v>0</v>
      </c>
      <c r="G1264" s="1" t="s">
        <v>52</v>
      </c>
      <c r="H1264" s="1" t="s">
        <v>14</v>
      </c>
      <c r="I1264" s="1" t="s">
        <v>20</v>
      </c>
      <c r="J1264" s="1" t="n">
        <v>7</v>
      </c>
    </row>
    <row r="1265" customFormat="false" ht="15" hidden="false" customHeight="false" outlineLevel="0" collapsed="false">
      <c r="A1265" s="1" t="s">
        <v>1686</v>
      </c>
      <c r="B1265" s="4" t="n">
        <v>45908</v>
      </c>
      <c r="C1265" s="1" t="s">
        <v>763</v>
      </c>
      <c r="D1265" s="1" t="s">
        <v>134</v>
      </c>
      <c r="E1265" s="1" t="n">
        <v>2</v>
      </c>
      <c r="F1265" s="5" t="n">
        <v>0</v>
      </c>
      <c r="G1265" s="1" t="s">
        <v>34</v>
      </c>
      <c r="H1265" s="1" t="s">
        <v>14</v>
      </c>
      <c r="I1265" s="1" t="s">
        <v>15</v>
      </c>
      <c r="J1265" s="1" t="n">
        <v>1</v>
      </c>
    </row>
    <row r="1266" customFormat="false" ht="15" hidden="false" customHeight="false" outlineLevel="0" collapsed="false">
      <c r="A1266" s="1" t="s">
        <v>1687</v>
      </c>
      <c r="B1266" s="4" t="n">
        <v>45813</v>
      </c>
      <c r="C1266" s="1" t="s">
        <v>1501</v>
      </c>
      <c r="D1266" s="1" t="s">
        <v>74</v>
      </c>
      <c r="E1266" s="1" t="n">
        <v>3</v>
      </c>
      <c r="F1266" s="5" t="n">
        <v>0</v>
      </c>
      <c r="G1266" s="1" t="s">
        <v>24</v>
      </c>
      <c r="H1266" s="1" t="s">
        <v>14</v>
      </c>
      <c r="I1266" s="1" t="s">
        <v>20</v>
      </c>
      <c r="J1266" s="1" t="n">
        <v>5</v>
      </c>
    </row>
    <row r="1267" customFormat="false" ht="15" hidden="false" customHeight="false" outlineLevel="0" collapsed="false">
      <c r="A1267" s="1" t="s">
        <v>1688</v>
      </c>
      <c r="B1267" s="4" t="n">
        <v>45781</v>
      </c>
      <c r="C1267" s="1" t="s">
        <v>199</v>
      </c>
      <c r="D1267" s="1" t="s">
        <v>624</v>
      </c>
      <c r="E1267" s="1" t="n">
        <v>2</v>
      </c>
      <c r="F1267" s="5" t="n">
        <v>0.1</v>
      </c>
      <c r="G1267" s="1" t="s">
        <v>19</v>
      </c>
      <c r="H1267" s="1" t="s">
        <v>14</v>
      </c>
      <c r="I1267" s="1" t="s">
        <v>15</v>
      </c>
      <c r="J1267" s="1" t="n">
        <v>6</v>
      </c>
    </row>
    <row r="1268" customFormat="false" ht="15" hidden="false" customHeight="false" outlineLevel="0" collapsed="false">
      <c r="A1268" s="1" t="s">
        <v>1689</v>
      </c>
      <c r="B1268" s="4" t="n">
        <v>45729</v>
      </c>
      <c r="C1268" s="1" t="s">
        <v>408</v>
      </c>
      <c r="D1268" s="1" t="s">
        <v>122</v>
      </c>
      <c r="E1268" s="1" t="n">
        <v>2</v>
      </c>
      <c r="F1268" s="5" t="n">
        <v>0.2</v>
      </c>
      <c r="G1268" s="1" t="s">
        <v>19</v>
      </c>
      <c r="H1268" s="1" t="s">
        <v>14</v>
      </c>
      <c r="I1268" s="1" t="s">
        <v>20</v>
      </c>
      <c r="J1268" s="1" t="n">
        <v>7</v>
      </c>
    </row>
    <row r="1269" customFormat="false" ht="15" hidden="false" customHeight="false" outlineLevel="0" collapsed="false">
      <c r="A1269" s="1" t="s">
        <v>1690</v>
      </c>
      <c r="B1269" s="4" t="n">
        <v>45953</v>
      </c>
      <c r="C1269" s="1" t="s">
        <v>425</v>
      </c>
      <c r="D1269" s="1" t="s">
        <v>294</v>
      </c>
      <c r="E1269" s="1" t="n">
        <v>1</v>
      </c>
      <c r="F1269" s="5" t="n">
        <v>0</v>
      </c>
      <c r="G1269" s="1" t="s">
        <v>34</v>
      </c>
      <c r="H1269" s="1" t="s">
        <v>14</v>
      </c>
      <c r="I1269" s="1" t="s">
        <v>15</v>
      </c>
      <c r="J1269" s="1" t="n">
        <v>4</v>
      </c>
    </row>
    <row r="1270" customFormat="false" ht="15" hidden="false" customHeight="false" outlineLevel="0" collapsed="false">
      <c r="A1270" s="1" t="s">
        <v>1691</v>
      </c>
      <c r="B1270" s="4" t="n">
        <v>45957</v>
      </c>
      <c r="C1270" s="1" t="s">
        <v>802</v>
      </c>
      <c r="D1270" s="1" t="s">
        <v>186</v>
      </c>
      <c r="E1270" s="1" t="n">
        <v>1</v>
      </c>
      <c r="F1270" s="5" t="n">
        <v>0.15</v>
      </c>
      <c r="G1270" s="1" t="s">
        <v>19</v>
      </c>
      <c r="H1270" s="1" t="s">
        <v>14</v>
      </c>
      <c r="I1270" s="1" t="s">
        <v>15</v>
      </c>
      <c r="J1270" s="1" t="n">
        <v>1</v>
      </c>
    </row>
    <row r="1271" customFormat="false" ht="15" hidden="false" customHeight="false" outlineLevel="0" collapsed="false">
      <c r="A1271" s="1" t="s">
        <v>1692</v>
      </c>
      <c r="B1271" s="4" t="n">
        <v>45768</v>
      </c>
      <c r="C1271" s="1" t="s">
        <v>327</v>
      </c>
      <c r="D1271" s="1" t="s">
        <v>444</v>
      </c>
      <c r="E1271" s="1" t="n">
        <v>4</v>
      </c>
      <c r="F1271" s="5" t="n">
        <v>0.1</v>
      </c>
      <c r="G1271" s="1" t="s">
        <v>52</v>
      </c>
      <c r="H1271" s="1" t="s">
        <v>45</v>
      </c>
      <c r="I1271" s="1" t="s">
        <v>15</v>
      </c>
    </row>
    <row r="1272" customFormat="false" ht="15" hidden="false" customHeight="false" outlineLevel="0" collapsed="false">
      <c r="A1272" s="1" t="s">
        <v>1693</v>
      </c>
      <c r="B1272" s="4" t="n">
        <v>46005</v>
      </c>
      <c r="C1272" s="1" t="s">
        <v>343</v>
      </c>
      <c r="D1272" s="1" t="s">
        <v>100</v>
      </c>
      <c r="E1272" s="1" t="n">
        <v>1</v>
      </c>
      <c r="F1272" s="5" t="n">
        <v>0</v>
      </c>
      <c r="G1272" s="1" t="s">
        <v>52</v>
      </c>
      <c r="H1272" s="1" t="s">
        <v>14</v>
      </c>
      <c r="I1272" s="1" t="s">
        <v>15</v>
      </c>
      <c r="J1272" s="1" t="n">
        <v>5</v>
      </c>
    </row>
    <row r="1273" customFormat="false" ht="15" hidden="false" customHeight="false" outlineLevel="0" collapsed="false">
      <c r="A1273" s="1" t="s">
        <v>1694</v>
      </c>
      <c r="B1273" s="4" t="n">
        <v>45801</v>
      </c>
      <c r="C1273" s="1" t="s">
        <v>343</v>
      </c>
      <c r="D1273" s="1" t="s">
        <v>429</v>
      </c>
      <c r="E1273" s="1" t="n">
        <v>5</v>
      </c>
      <c r="F1273" s="5" t="n">
        <v>0.2</v>
      </c>
      <c r="G1273" s="1" t="s">
        <v>34</v>
      </c>
      <c r="H1273" s="1" t="s">
        <v>14</v>
      </c>
      <c r="I1273" s="1" t="s">
        <v>20</v>
      </c>
      <c r="J1273" s="1" t="n">
        <v>8</v>
      </c>
    </row>
    <row r="1274" customFormat="false" ht="15" hidden="false" customHeight="false" outlineLevel="0" collapsed="false">
      <c r="A1274" s="1" t="s">
        <v>1695</v>
      </c>
      <c r="B1274" s="4" t="n">
        <v>45967</v>
      </c>
      <c r="C1274" s="1" t="s">
        <v>428</v>
      </c>
      <c r="D1274" s="1" t="s">
        <v>192</v>
      </c>
      <c r="E1274" s="1" t="n">
        <v>1</v>
      </c>
      <c r="F1274" s="5" t="n">
        <v>0.15</v>
      </c>
      <c r="G1274" s="1" t="s">
        <v>34</v>
      </c>
      <c r="H1274" s="1" t="s">
        <v>14</v>
      </c>
      <c r="I1274" s="1" t="s">
        <v>20</v>
      </c>
      <c r="J1274" s="1" t="n">
        <v>1</v>
      </c>
    </row>
    <row r="1275" customFormat="false" ht="15" hidden="false" customHeight="false" outlineLevel="0" collapsed="false">
      <c r="A1275" s="1" t="s">
        <v>1696</v>
      </c>
      <c r="B1275" s="4" t="n">
        <v>45825</v>
      </c>
      <c r="C1275" s="1" t="s">
        <v>922</v>
      </c>
      <c r="D1275" s="1" t="s">
        <v>537</v>
      </c>
      <c r="E1275" s="1" t="n">
        <v>1</v>
      </c>
      <c r="F1275" s="5" t="n">
        <v>0.15</v>
      </c>
      <c r="G1275" s="1" t="s">
        <v>34</v>
      </c>
      <c r="H1275" s="1" t="s">
        <v>14</v>
      </c>
      <c r="I1275" s="1" t="s">
        <v>38</v>
      </c>
      <c r="J1275" s="1" t="n">
        <v>5</v>
      </c>
    </row>
    <row r="1276" customFormat="false" ht="15" hidden="false" customHeight="false" outlineLevel="0" collapsed="false">
      <c r="A1276" s="1" t="s">
        <v>1697</v>
      </c>
      <c r="B1276" s="4" t="n">
        <v>45790</v>
      </c>
      <c r="C1276" s="1" t="s">
        <v>428</v>
      </c>
      <c r="D1276" s="1" t="s">
        <v>484</v>
      </c>
      <c r="E1276" s="1" t="n">
        <v>1</v>
      </c>
      <c r="F1276" s="5" t="n">
        <v>0.15</v>
      </c>
      <c r="G1276" s="1" t="s">
        <v>52</v>
      </c>
      <c r="H1276" s="1" t="s">
        <v>92</v>
      </c>
      <c r="I1276" s="1" t="s">
        <v>20</v>
      </c>
    </row>
    <row r="1277" customFormat="false" ht="15" hidden="false" customHeight="false" outlineLevel="0" collapsed="false">
      <c r="A1277" s="1" t="s">
        <v>1698</v>
      </c>
      <c r="B1277" s="4" t="n">
        <v>45966</v>
      </c>
      <c r="C1277" s="1" t="s">
        <v>805</v>
      </c>
      <c r="D1277" s="1" t="s">
        <v>77</v>
      </c>
      <c r="E1277" s="1" t="n">
        <v>1</v>
      </c>
      <c r="F1277" s="5" t="n">
        <v>0</v>
      </c>
      <c r="G1277" s="1" t="s">
        <v>34</v>
      </c>
      <c r="H1277" s="1" t="s">
        <v>45</v>
      </c>
      <c r="I1277" s="1" t="s">
        <v>15</v>
      </c>
    </row>
    <row r="1278" customFormat="false" ht="15" hidden="false" customHeight="false" outlineLevel="0" collapsed="false">
      <c r="A1278" s="1" t="s">
        <v>1699</v>
      </c>
      <c r="B1278" s="4" t="n">
        <v>45992</v>
      </c>
      <c r="C1278" s="1" t="s">
        <v>452</v>
      </c>
      <c r="D1278" s="1" t="s">
        <v>328</v>
      </c>
      <c r="E1278" s="1" t="n">
        <v>3</v>
      </c>
      <c r="F1278" s="5" t="n">
        <v>0.1</v>
      </c>
      <c r="G1278" s="1" t="s">
        <v>52</v>
      </c>
      <c r="H1278" s="1" t="s">
        <v>14</v>
      </c>
      <c r="I1278" s="1" t="s">
        <v>38</v>
      </c>
      <c r="J1278" s="1" t="n">
        <v>2</v>
      </c>
    </row>
    <row r="1279" customFormat="false" ht="15" hidden="false" customHeight="false" outlineLevel="0" collapsed="false">
      <c r="A1279" s="1" t="s">
        <v>1700</v>
      </c>
      <c r="B1279" s="4" t="n">
        <v>45774</v>
      </c>
      <c r="C1279" s="1" t="s">
        <v>364</v>
      </c>
      <c r="D1279" s="1" t="s">
        <v>963</v>
      </c>
      <c r="E1279" s="1" t="n">
        <v>1</v>
      </c>
      <c r="F1279" s="5" t="n">
        <v>0</v>
      </c>
      <c r="G1279" s="1" t="s">
        <v>52</v>
      </c>
      <c r="H1279" s="1" t="s">
        <v>14</v>
      </c>
      <c r="I1279" s="1" t="s">
        <v>38</v>
      </c>
      <c r="J1279" s="1" t="n">
        <v>3</v>
      </c>
    </row>
    <row r="1280" customFormat="false" ht="15" hidden="false" customHeight="false" outlineLevel="0" collapsed="false">
      <c r="A1280" s="1" t="s">
        <v>1701</v>
      </c>
      <c r="B1280" s="4" t="n">
        <v>45832</v>
      </c>
      <c r="C1280" s="1" t="s">
        <v>1583</v>
      </c>
      <c r="D1280" s="1" t="s">
        <v>353</v>
      </c>
      <c r="E1280" s="1" t="n">
        <v>1</v>
      </c>
      <c r="F1280" s="5" t="n">
        <v>0.15</v>
      </c>
      <c r="G1280" s="1" t="s">
        <v>34</v>
      </c>
      <c r="H1280" s="1" t="s">
        <v>53</v>
      </c>
      <c r="I1280" s="1" t="s">
        <v>20</v>
      </c>
      <c r="J1280" s="1" t="n">
        <v>5</v>
      </c>
    </row>
    <row r="1281" customFormat="false" ht="15" hidden="false" customHeight="false" outlineLevel="0" collapsed="false">
      <c r="A1281" s="1" t="s">
        <v>1702</v>
      </c>
      <c r="B1281" s="4" t="n">
        <v>45758</v>
      </c>
      <c r="C1281" s="1" t="s">
        <v>96</v>
      </c>
      <c r="D1281" s="1" t="s">
        <v>286</v>
      </c>
      <c r="E1281" s="1" t="n">
        <v>3</v>
      </c>
      <c r="F1281" s="5" t="n">
        <v>0</v>
      </c>
      <c r="G1281" s="1" t="s">
        <v>34</v>
      </c>
      <c r="H1281" s="1" t="s">
        <v>14</v>
      </c>
      <c r="I1281" s="1" t="s">
        <v>20</v>
      </c>
      <c r="J1281" s="1" t="n">
        <v>3</v>
      </c>
    </row>
    <row r="1282" customFormat="false" ht="15" hidden="false" customHeight="false" outlineLevel="0" collapsed="false">
      <c r="A1282" s="1" t="s">
        <v>1703</v>
      </c>
      <c r="B1282" s="4" t="n">
        <v>45941</v>
      </c>
      <c r="C1282" s="1" t="s">
        <v>854</v>
      </c>
      <c r="D1282" s="1" t="s">
        <v>303</v>
      </c>
      <c r="E1282" s="1" t="n">
        <v>1</v>
      </c>
      <c r="F1282" s="5" t="n">
        <v>0.1</v>
      </c>
      <c r="G1282" s="1" t="s">
        <v>34</v>
      </c>
      <c r="H1282" s="1" t="s">
        <v>14</v>
      </c>
      <c r="I1282" s="1" t="s">
        <v>15</v>
      </c>
      <c r="J1282" s="1" t="n">
        <v>7</v>
      </c>
    </row>
    <row r="1283" customFormat="false" ht="15" hidden="false" customHeight="false" outlineLevel="0" collapsed="false">
      <c r="A1283" s="1" t="s">
        <v>1704</v>
      </c>
      <c r="B1283" s="4" t="n">
        <v>45761</v>
      </c>
      <c r="C1283" s="1" t="s">
        <v>666</v>
      </c>
      <c r="D1283" s="1" t="s">
        <v>94</v>
      </c>
      <c r="E1283" s="1" t="n">
        <v>1</v>
      </c>
      <c r="F1283" s="5" t="n">
        <v>0.05</v>
      </c>
      <c r="G1283" s="1" t="s">
        <v>52</v>
      </c>
      <c r="H1283" s="1" t="s">
        <v>14</v>
      </c>
      <c r="I1283" s="1" t="s">
        <v>15</v>
      </c>
      <c r="J1283" s="1" t="n">
        <v>1</v>
      </c>
    </row>
    <row r="1284" customFormat="false" ht="15" hidden="false" customHeight="false" outlineLevel="0" collapsed="false">
      <c r="A1284" s="1" t="s">
        <v>1705</v>
      </c>
      <c r="B1284" s="4" t="n">
        <v>46005</v>
      </c>
      <c r="C1284" s="1" t="s">
        <v>867</v>
      </c>
      <c r="D1284" s="1" t="s">
        <v>484</v>
      </c>
      <c r="E1284" s="1" t="n">
        <v>1</v>
      </c>
      <c r="F1284" s="5" t="n">
        <v>0</v>
      </c>
      <c r="G1284" s="1" t="s">
        <v>19</v>
      </c>
      <c r="H1284" s="1" t="s">
        <v>14</v>
      </c>
      <c r="I1284" s="1" t="s">
        <v>38</v>
      </c>
      <c r="J1284" s="1" t="n">
        <v>6</v>
      </c>
    </row>
    <row r="1285" customFormat="false" ht="15" hidden="false" customHeight="false" outlineLevel="0" collapsed="false">
      <c r="A1285" s="1" t="s">
        <v>1706</v>
      </c>
      <c r="B1285" s="4" t="n">
        <v>45911</v>
      </c>
      <c r="C1285" s="1" t="s">
        <v>730</v>
      </c>
      <c r="D1285" s="1" t="s">
        <v>84</v>
      </c>
      <c r="E1285" s="1" t="n">
        <v>3</v>
      </c>
      <c r="F1285" s="5" t="n">
        <v>0.1</v>
      </c>
      <c r="G1285" s="1" t="s">
        <v>52</v>
      </c>
      <c r="H1285" s="1" t="s">
        <v>14</v>
      </c>
      <c r="I1285" s="1" t="s">
        <v>20</v>
      </c>
      <c r="J1285" s="1" t="n">
        <v>8</v>
      </c>
    </row>
    <row r="1286" customFormat="false" ht="15" hidden="false" customHeight="false" outlineLevel="0" collapsed="false">
      <c r="A1286" s="1" t="s">
        <v>1707</v>
      </c>
      <c r="B1286" s="4" t="n">
        <v>45963</v>
      </c>
      <c r="C1286" s="1" t="s">
        <v>1229</v>
      </c>
      <c r="D1286" s="1" t="s">
        <v>237</v>
      </c>
      <c r="E1286" s="1" t="n">
        <v>1</v>
      </c>
      <c r="F1286" s="5" t="n">
        <v>0</v>
      </c>
      <c r="G1286" s="1" t="s">
        <v>13</v>
      </c>
      <c r="H1286" s="1" t="s">
        <v>14</v>
      </c>
      <c r="I1286" s="1" t="s">
        <v>38</v>
      </c>
      <c r="J1286" s="1" t="n">
        <v>5</v>
      </c>
    </row>
    <row r="1287" customFormat="false" ht="15" hidden="false" customHeight="false" outlineLevel="0" collapsed="false">
      <c r="A1287" s="1" t="s">
        <v>1708</v>
      </c>
      <c r="B1287" s="4" t="n">
        <v>45662</v>
      </c>
      <c r="C1287" s="1" t="s">
        <v>530</v>
      </c>
      <c r="D1287" s="1" t="s">
        <v>554</v>
      </c>
      <c r="E1287" s="1" t="n">
        <v>1</v>
      </c>
      <c r="F1287" s="5" t="n">
        <v>0.05</v>
      </c>
      <c r="G1287" s="1" t="s">
        <v>34</v>
      </c>
      <c r="H1287" s="1" t="s">
        <v>78</v>
      </c>
      <c r="I1287" s="1" t="s">
        <v>38</v>
      </c>
      <c r="J1287" s="1" t="n">
        <v>4</v>
      </c>
    </row>
    <row r="1288" customFormat="false" ht="15" hidden="false" customHeight="false" outlineLevel="0" collapsed="false">
      <c r="A1288" s="1" t="s">
        <v>1709</v>
      </c>
      <c r="B1288" s="4" t="n">
        <v>45801</v>
      </c>
      <c r="C1288" s="1" t="s">
        <v>1501</v>
      </c>
      <c r="D1288" s="1" t="s">
        <v>103</v>
      </c>
      <c r="E1288" s="1" t="n">
        <v>2</v>
      </c>
      <c r="F1288" s="5" t="n">
        <v>0.05</v>
      </c>
      <c r="G1288" s="1" t="s">
        <v>19</v>
      </c>
      <c r="H1288" s="1" t="s">
        <v>53</v>
      </c>
      <c r="I1288" s="1" t="s">
        <v>38</v>
      </c>
      <c r="J1288" s="1" t="n">
        <v>3</v>
      </c>
    </row>
    <row r="1289" customFormat="false" ht="15" hidden="false" customHeight="false" outlineLevel="0" collapsed="false">
      <c r="A1289" s="1" t="s">
        <v>1710</v>
      </c>
      <c r="B1289" s="4" t="n">
        <v>45813</v>
      </c>
      <c r="C1289" s="1" t="s">
        <v>841</v>
      </c>
      <c r="D1289" s="1" t="s">
        <v>335</v>
      </c>
      <c r="E1289" s="1" t="n">
        <v>2</v>
      </c>
      <c r="F1289" s="5" t="n">
        <v>0.05</v>
      </c>
      <c r="G1289" s="1" t="s">
        <v>34</v>
      </c>
      <c r="H1289" s="1" t="s">
        <v>92</v>
      </c>
      <c r="I1289" s="1" t="s">
        <v>20</v>
      </c>
    </row>
    <row r="1290" customFormat="false" ht="15" hidden="false" customHeight="false" outlineLevel="0" collapsed="false">
      <c r="A1290" s="1" t="s">
        <v>1711</v>
      </c>
      <c r="B1290" s="4" t="n">
        <v>45840</v>
      </c>
      <c r="C1290" s="1" t="s">
        <v>361</v>
      </c>
      <c r="D1290" s="1" t="s">
        <v>341</v>
      </c>
      <c r="E1290" s="1" t="n">
        <v>3</v>
      </c>
      <c r="F1290" s="5" t="n">
        <v>0.05</v>
      </c>
      <c r="G1290" s="1" t="s">
        <v>52</v>
      </c>
      <c r="H1290" s="1" t="s">
        <v>78</v>
      </c>
      <c r="I1290" s="1" t="s">
        <v>20</v>
      </c>
      <c r="J1290" s="1" t="n">
        <v>8</v>
      </c>
    </row>
    <row r="1291" customFormat="false" ht="15" hidden="false" customHeight="false" outlineLevel="0" collapsed="false">
      <c r="A1291" s="1" t="s">
        <v>1712</v>
      </c>
      <c r="B1291" s="4" t="n">
        <v>45944</v>
      </c>
      <c r="C1291" s="1" t="s">
        <v>108</v>
      </c>
      <c r="D1291" s="1" t="s">
        <v>245</v>
      </c>
      <c r="E1291" s="1" t="n">
        <v>2</v>
      </c>
      <c r="F1291" s="5" t="n">
        <v>0</v>
      </c>
      <c r="G1291" s="1" t="s">
        <v>52</v>
      </c>
      <c r="H1291" s="1" t="s">
        <v>14</v>
      </c>
      <c r="I1291" s="1" t="s">
        <v>15</v>
      </c>
      <c r="J1291" s="1" t="n">
        <v>6</v>
      </c>
    </row>
    <row r="1292" customFormat="false" ht="15" hidden="false" customHeight="false" outlineLevel="0" collapsed="false">
      <c r="A1292" s="1" t="s">
        <v>1713</v>
      </c>
      <c r="B1292" s="4" t="n">
        <v>45851</v>
      </c>
      <c r="C1292" s="1" t="s">
        <v>1166</v>
      </c>
      <c r="D1292" s="1" t="s">
        <v>171</v>
      </c>
      <c r="E1292" s="1" t="n">
        <v>2</v>
      </c>
      <c r="F1292" s="5" t="n">
        <v>0.15</v>
      </c>
      <c r="G1292" s="1" t="s">
        <v>24</v>
      </c>
      <c r="H1292" s="1" t="s">
        <v>14</v>
      </c>
      <c r="I1292" s="1" t="s">
        <v>20</v>
      </c>
      <c r="J1292" s="1" t="n">
        <v>7</v>
      </c>
    </row>
    <row r="1293" customFormat="false" ht="15" hidden="false" customHeight="false" outlineLevel="0" collapsed="false">
      <c r="A1293" s="1" t="s">
        <v>1714</v>
      </c>
      <c r="B1293" s="4" t="n">
        <v>45910</v>
      </c>
      <c r="C1293" s="1" t="s">
        <v>338</v>
      </c>
      <c r="D1293" s="1" t="s">
        <v>41</v>
      </c>
      <c r="E1293" s="1" t="n">
        <v>1</v>
      </c>
      <c r="F1293" s="5" t="n">
        <v>0.05</v>
      </c>
      <c r="G1293" s="1" t="s">
        <v>52</v>
      </c>
      <c r="H1293" s="1" t="s">
        <v>14</v>
      </c>
      <c r="I1293" s="1" t="s">
        <v>15</v>
      </c>
      <c r="J1293" s="1" t="n">
        <v>4</v>
      </c>
    </row>
    <row r="1294" customFormat="false" ht="15" hidden="false" customHeight="false" outlineLevel="0" collapsed="false">
      <c r="A1294" s="1" t="s">
        <v>1715</v>
      </c>
      <c r="B1294" s="4" t="n">
        <v>45767</v>
      </c>
      <c r="C1294" s="1" t="s">
        <v>247</v>
      </c>
      <c r="D1294" s="1" t="s">
        <v>230</v>
      </c>
      <c r="E1294" s="1" t="n">
        <v>1</v>
      </c>
      <c r="F1294" s="5" t="n">
        <v>0.25</v>
      </c>
      <c r="G1294" s="1" t="s">
        <v>71</v>
      </c>
      <c r="H1294" s="1" t="s">
        <v>14</v>
      </c>
      <c r="I1294" s="1" t="s">
        <v>15</v>
      </c>
      <c r="J1294" s="1" t="n">
        <v>6</v>
      </c>
    </row>
    <row r="1295" customFormat="false" ht="15" hidden="false" customHeight="false" outlineLevel="0" collapsed="false">
      <c r="A1295" s="1" t="s">
        <v>1716</v>
      </c>
      <c r="B1295" s="4" t="n">
        <v>45901</v>
      </c>
      <c r="C1295" s="1" t="s">
        <v>111</v>
      </c>
      <c r="D1295" s="1" t="s">
        <v>186</v>
      </c>
      <c r="E1295" s="1" t="n">
        <v>1</v>
      </c>
      <c r="F1295" s="5" t="n">
        <v>0.25</v>
      </c>
      <c r="G1295" s="1" t="s">
        <v>52</v>
      </c>
      <c r="H1295" s="1" t="s">
        <v>78</v>
      </c>
      <c r="I1295" s="1" t="s">
        <v>20</v>
      </c>
      <c r="J1295" s="1" t="n">
        <v>3</v>
      </c>
    </row>
    <row r="1296" customFormat="false" ht="15" hidden="false" customHeight="false" outlineLevel="0" collapsed="false">
      <c r="A1296" s="1" t="s">
        <v>1717</v>
      </c>
      <c r="B1296" s="4" t="n">
        <v>45891</v>
      </c>
      <c r="C1296" s="1" t="s">
        <v>815</v>
      </c>
      <c r="D1296" s="1" t="s">
        <v>429</v>
      </c>
      <c r="E1296" s="1" t="n">
        <v>2</v>
      </c>
      <c r="F1296" s="5" t="n">
        <v>0.15</v>
      </c>
      <c r="G1296" s="1" t="s">
        <v>19</v>
      </c>
      <c r="H1296" s="1" t="s">
        <v>92</v>
      </c>
      <c r="I1296" s="1" t="s">
        <v>15</v>
      </c>
    </row>
    <row r="1297" customFormat="false" ht="15" hidden="false" customHeight="false" outlineLevel="0" collapsed="false">
      <c r="A1297" s="1" t="s">
        <v>1718</v>
      </c>
      <c r="B1297" s="4" t="n">
        <v>45878</v>
      </c>
      <c r="C1297" s="1" t="s">
        <v>830</v>
      </c>
      <c r="D1297" s="1" t="s">
        <v>171</v>
      </c>
      <c r="E1297" s="1" t="n">
        <v>1</v>
      </c>
      <c r="F1297" s="5" t="n">
        <v>0.1</v>
      </c>
      <c r="G1297" s="1" t="s">
        <v>52</v>
      </c>
      <c r="H1297" s="1" t="s">
        <v>14</v>
      </c>
      <c r="I1297" s="1" t="s">
        <v>15</v>
      </c>
      <c r="J1297" s="1" t="n">
        <v>2</v>
      </c>
    </row>
    <row r="1298" customFormat="false" ht="15" hidden="false" customHeight="false" outlineLevel="0" collapsed="false">
      <c r="A1298" s="1" t="s">
        <v>1719</v>
      </c>
      <c r="B1298" s="4" t="n">
        <v>45895</v>
      </c>
      <c r="C1298" s="1" t="s">
        <v>387</v>
      </c>
      <c r="D1298" s="1" t="s">
        <v>64</v>
      </c>
      <c r="E1298" s="1" t="n">
        <v>1</v>
      </c>
      <c r="F1298" s="5" t="n">
        <v>0.05</v>
      </c>
      <c r="G1298" s="1" t="s">
        <v>71</v>
      </c>
      <c r="H1298" s="1" t="s">
        <v>53</v>
      </c>
      <c r="I1298" s="1" t="s">
        <v>20</v>
      </c>
      <c r="J1298" s="1" t="n">
        <v>7</v>
      </c>
    </row>
    <row r="1299" customFormat="false" ht="15" hidden="false" customHeight="false" outlineLevel="0" collapsed="false">
      <c r="A1299" s="1" t="s">
        <v>1720</v>
      </c>
      <c r="B1299" s="4" t="n">
        <v>45944</v>
      </c>
      <c r="C1299" s="1" t="s">
        <v>306</v>
      </c>
      <c r="D1299" s="1" t="s">
        <v>341</v>
      </c>
      <c r="E1299" s="1" t="n">
        <v>1</v>
      </c>
      <c r="F1299" s="5" t="n">
        <v>0</v>
      </c>
      <c r="G1299" s="1" t="s">
        <v>52</v>
      </c>
      <c r="H1299" s="1" t="s">
        <v>14</v>
      </c>
      <c r="I1299" s="1" t="s">
        <v>15</v>
      </c>
      <c r="J1299" s="1" t="n">
        <v>7</v>
      </c>
    </row>
    <row r="1300" customFormat="false" ht="15" hidden="false" customHeight="false" outlineLevel="0" collapsed="false">
      <c r="A1300" s="1" t="s">
        <v>1721</v>
      </c>
      <c r="B1300" s="4" t="n">
        <v>45888</v>
      </c>
      <c r="C1300" s="1" t="s">
        <v>86</v>
      </c>
      <c r="D1300" s="1" t="s">
        <v>130</v>
      </c>
      <c r="E1300" s="1" t="n">
        <v>3</v>
      </c>
      <c r="F1300" s="5" t="n">
        <v>0.05</v>
      </c>
      <c r="G1300" s="1" t="s">
        <v>13</v>
      </c>
      <c r="H1300" s="1" t="s">
        <v>14</v>
      </c>
      <c r="I1300" s="1" t="s">
        <v>15</v>
      </c>
      <c r="J1300" s="1" t="n">
        <v>8</v>
      </c>
    </row>
    <row r="1301" customFormat="false" ht="15" hidden="false" customHeight="false" outlineLevel="0" collapsed="false">
      <c r="A1301" s="1" t="s">
        <v>1722</v>
      </c>
      <c r="B1301" s="4" t="n">
        <v>45757</v>
      </c>
      <c r="C1301" s="1" t="s">
        <v>643</v>
      </c>
      <c r="D1301" s="1" t="s">
        <v>213</v>
      </c>
      <c r="E1301" s="1" t="n">
        <v>1</v>
      </c>
      <c r="F1301" s="5" t="n">
        <v>0.15</v>
      </c>
      <c r="G1301" s="1" t="s">
        <v>52</v>
      </c>
      <c r="H1301" s="1" t="s">
        <v>45</v>
      </c>
      <c r="I1301" s="1" t="s">
        <v>20</v>
      </c>
    </row>
    <row r="1302" customFormat="false" ht="15" hidden="false" customHeight="false" outlineLevel="0" collapsed="false">
      <c r="A1302" s="1" t="s">
        <v>1723</v>
      </c>
      <c r="B1302" s="4" t="n">
        <v>45946</v>
      </c>
      <c r="C1302" s="1" t="s">
        <v>105</v>
      </c>
      <c r="D1302" s="1" t="s">
        <v>30</v>
      </c>
      <c r="E1302" s="1" t="n">
        <v>1</v>
      </c>
      <c r="F1302" s="5" t="n">
        <v>0.05</v>
      </c>
      <c r="G1302" s="1" t="s">
        <v>71</v>
      </c>
      <c r="H1302" s="1" t="s">
        <v>14</v>
      </c>
      <c r="I1302" s="1" t="s">
        <v>15</v>
      </c>
      <c r="J1302" s="1" t="n">
        <v>4</v>
      </c>
    </row>
    <row r="1303" customFormat="false" ht="15" hidden="false" customHeight="false" outlineLevel="0" collapsed="false">
      <c r="A1303" s="1" t="s">
        <v>1724</v>
      </c>
      <c r="B1303" s="4" t="n">
        <v>45942</v>
      </c>
      <c r="C1303" s="1" t="s">
        <v>215</v>
      </c>
      <c r="D1303" s="1" t="s">
        <v>148</v>
      </c>
      <c r="E1303" s="1" t="n">
        <v>1</v>
      </c>
      <c r="F1303" s="5" t="n">
        <v>0.1</v>
      </c>
      <c r="G1303" s="1" t="s">
        <v>52</v>
      </c>
      <c r="H1303" s="1" t="s">
        <v>14</v>
      </c>
      <c r="I1303" s="1" t="s">
        <v>15</v>
      </c>
      <c r="J1303" s="1" t="n">
        <v>5</v>
      </c>
    </row>
    <row r="1304" customFormat="false" ht="15" hidden="false" customHeight="false" outlineLevel="0" collapsed="false">
      <c r="A1304" s="1" t="s">
        <v>1725</v>
      </c>
      <c r="B1304" s="4" t="n">
        <v>45972</v>
      </c>
      <c r="C1304" s="1" t="s">
        <v>472</v>
      </c>
      <c r="D1304" s="1" t="s">
        <v>493</v>
      </c>
      <c r="E1304" s="1" t="n">
        <v>2</v>
      </c>
      <c r="F1304" s="5" t="n">
        <v>0.2</v>
      </c>
      <c r="G1304" s="1" t="s">
        <v>24</v>
      </c>
      <c r="H1304" s="1" t="s">
        <v>53</v>
      </c>
      <c r="I1304" s="1" t="s">
        <v>15</v>
      </c>
      <c r="J1304" s="1" t="n">
        <v>8</v>
      </c>
    </row>
    <row r="1305" customFormat="false" ht="15" hidden="false" customHeight="false" outlineLevel="0" collapsed="false">
      <c r="A1305" s="1" t="s">
        <v>1726</v>
      </c>
      <c r="B1305" s="4" t="n">
        <v>45972</v>
      </c>
      <c r="C1305" s="1" t="s">
        <v>706</v>
      </c>
      <c r="D1305" s="1" t="s">
        <v>37</v>
      </c>
      <c r="E1305" s="1" t="n">
        <v>2</v>
      </c>
      <c r="F1305" s="5" t="n">
        <v>0.1</v>
      </c>
      <c r="G1305" s="1" t="s">
        <v>34</v>
      </c>
      <c r="H1305" s="1" t="s">
        <v>92</v>
      </c>
      <c r="I1305" s="1" t="s">
        <v>38</v>
      </c>
    </row>
    <row r="1306" customFormat="false" ht="15" hidden="false" customHeight="false" outlineLevel="0" collapsed="false">
      <c r="A1306" s="1" t="s">
        <v>1727</v>
      </c>
      <c r="B1306" s="4" t="n">
        <v>45998</v>
      </c>
      <c r="C1306" s="1" t="s">
        <v>913</v>
      </c>
      <c r="D1306" s="1" t="s">
        <v>94</v>
      </c>
      <c r="E1306" s="1" t="n">
        <v>1</v>
      </c>
      <c r="F1306" s="5" t="n">
        <v>0.15</v>
      </c>
      <c r="G1306" s="1" t="s">
        <v>19</v>
      </c>
      <c r="H1306" s="1" t="s">
        <v>14</v>
      </c>
      <c r="I1306" s="1" t="s">
        <v>15</v>
      </c>
      <c r="J1306" s="1" t="n">
        <v>6</v>
      </c>
    </row>
    <row r="1307" customFormat="false" ht="15" hidden="false" customHeight="false" outlineLevel="0" collapsed="false">
      <c r="A1307" s="1" t="s">
        <v>1728</v>
      </c>
      <c r="B1307" s="4" t="n">
        <v>45911</v>
      </c>
      <c r="C1307" s="1" t="s">
        <v>706</v>
      </c>
      <c r="D1307" s="1" t="s">
        <v>371</v>
      </c>
      <c r="E1307" s="1" t="n">
        <v>1</v>
      </c>
      <c r="F1307" s="5" t="n">
        <v>0.2</v>
      </c>
      <c r="G1307" s="1" t="s">
        <v>34</v>
      </c>
      <c r="H1307" s="1" t="s">
        <v>45</v>
      </c>
      <c r="I1307" s="1" t="s">
        <v>15</v>
      </c>
    </row>
    <row r="1308" customFormat="false" ht="15" hidden="false" customHeight="false" outlineLevel="0" collapsed="false">
      <c r="A1308" s="1" t="s">
        <v>1729</v>
      </c>
      <c r="B1308" s="4" t="n">
        <v>45949</v>
      </c>
      <c r="C1308" s="1" t="s">
        <v>735</v>
      </c>
      <c r="D1308" s="1" t="s">
        <v>162</v>
      </c>
      <c r="E1308" s="1" t="n">
        <v>1</v>
      </c>
      <c r="F1308" s="5" t="n">
        <v>0.15</v>
      </c>
      <c r="G1308" s="1" t="s">
        <v>24</v>
      </c>
      <c r="H1308" s="1" t="s">
        <v>14</v>
      </c>
      <c r="I1308" s="1" t="s">
        <v>20</v>
      </c>
      <c r="J1308" s="1" t="n">
        <v>1</v>
      </c>
    </row>
    <row r="1309" customFormat="false" ht="15" hidden="false" customHeight="false" outlineLevel="0" collapsed="false">
      <c r="A1309" s="1" t="s">
        <v>1730</v>
      </c>
      <c r="B1309" s="4" t="n">
        <v>45690</v>
      </c>
      <c r="C1309" s="1" t="s">
        <v>413</v>
      </c>
      <c r="D1309" s="1" t="s">
        <v>27</v>
      </c>
      <c r="E1309" s="1" t="n">
        <v>3</v>
      </c>
      <c r="F1309" s="5" t="n">
        <v>0.05</v>
      </c>
      <c r="G1309" s="1" t="s">
        <v>52</v>
      </c>
      <c r="H1309" s="1" t="s">
        <v>14</v>
      </c>
      <c r="I1309" s="1" t="s">
        <v>38</v>
      </c>
      <c r="J1309" s="1" t="n">
        <v>7</v>
      </c>
    </row>
    <row r="1310" customFormat="false" ht="15" hidden="false" customHeight="false" outlineLevel="0" collapsed="false">
      <c r="A1310" s="1" t="s">
        <v>1731</v>
      </c>
      <c r="B1310" s="4" t="n">
        <v>45909</v>
      </c>
      <c r="C1310" s="1" t="s">
        <v>966</v>
      </c>
      <c r="D1310" s="1" t="s">
        <v>237</v>
      </c>
      <c r="E1310" s="1" t="n">
        <v>1</v>
      </c>
      <c r="F1310" s="5" t="n">
        <v>0</v>
      </c>
      <c r="G1310" s="1" t="s">
        <v>52</v>
      </c>
      <c r="H1310" s="1" t="s">
        <v>45</v>
      </c>
      <c r="I1310" s="1" t="s">
        <v>15</v>
      </c>
    </row>
    <row r="1311" customFormat="false" ht="15" hidden="false" customHeight="false" outlineLevel="0" collapsed="false">
      <c r="A1311" s="1" t="s">
        <v>1732</v>
      </c>
      <c r="B1311" s="4" t="n">
        <v>45974</v>
      </c>
      <c r="C1311" s="1" t="s">
        <v>507</v>
      </c>
      <c r="D1311" s="1" t="s">
        <v>362</v>
      </c>
      <c r="E1311" s="1" t="n">
        <v>3</v>
      </c>
      <c r="F1311" s="5" t="n">
        <v>0.1</v>
      </c>
      <c r="G1311" s="1" t="s">
        <v>34</v>
      </c>
      <c r="H1311" s="1" t="s">
        <v>14</v>
      </c>
      <c r="I1311" s="1" t="s">
        <v>20</v>
      </c>
      <c r="J1311" s="1" t="n">
        <v>3</v>
      </c>
    </row>
    <row r="1312" customFormat="false" ht="15" hidden="false" customHeight="false" outlineLevel="0" collapsed="false">
      <c r="A1312" s="1" t="s">
        <v>1733</v>
      </c>
      <c r="B1312" s="4" t="n">
        <v>45723</v>
      </c>
      <c r="C1312" s="1" t="s">
        <v>26</v>
      </c>
      <c r="D1312" s="1" t="s">
        <v>143</v>
      </c>
      <c r="E1312" s="1" t="n">
        <v>1</v>
      </c>
      <c r="F1312" s="5" t="n">
        <v>0.15</v>
      </c>
      <c r="G1312" s="1" t="s">
        <v>34</v>
      </c>
      <c r="H1312" s="1" t="s">
        <v>14</v>
      </c>
      <c r="I1312" s="1" t="s">
        <v>38</v>
      </c>
      <c r="J1312" s="1" t="n">
        <v>2</v>
      </c>
    </row>
    <row r="1313" customFormat="false" ht="15" hidden="false" customHeight="false" outlineLevel="0" collapsed="false">
      <c r="A1313" s="1" t="s">
        <v>1734</v>
      </c>
      <c r="B1313" s="4" t="n">
        <v>45798</v>
      </c>
      <c r="C1313" s="1" t="s">
        <v>956</v>
      </c>
      <c r="D1313" s="1" t="s">
        <v>94</v>
      </c>
      <c r="E1313" s="1" t="n">
        <v>1</v>
      </c>
      <c r="F1313" s="5" t="n">
        <v>0.05</v>
      </c>
      <c r="G1313" s="1" t="s">
        <v>13</v>
      </c>
      <c r="H1313" s="1" t="s">
        <v>14</v>
      </c>
      <c r="I1313" s="1" t="s">
        <v>38</v>
      </c>
      <c r="J1313" s="1" t="n">
        <v>8</v>
      </c>
    </row>
    <row r="1314" customFormat="false" ht="15" hidden="false" customHeight="false" outlineLevel="0" collapsed="false">
      <c r="A1314" s="1" t="s">
        <v>1735</v>
      </c>
      <c r="B1314" s="4" t="n">
        <v>45685</v>
      </c>
      <c r="C1314" s="1" t="s">
        <v>380</v>
      </c>
      <c r="D1314" s="1" t="s">
        <v>125</v>
      </c>
      <c r="E1314" s="1" t="n">
        <v>5</v>
      </c>
      <c r="F1314" s="5" t="n">
        <v>0.05</v>
      </c>
      <c r="G1314" s="1" t="s">
        <v>52</v>
      </c>
      <c r="H1314" s="1" t="s">
        <v>14</v>
      </c>
      <c r="I1314" s="1" t="s">
        <v>15</v>
      </c>
      <c r="J1314" s="1" t="n">
        <v>2</v>
      </c>
    </row>
    <row r="1315" customFormat="false" ht="15" hidden="false" customHeight="false" outlineLevel="0" collapsed="false">
      <c r="A1315" s="1" t="s">
        <v>1736</v>
      </c>
      <c r="B1315" s="4" t="n">
        <v>45965</v>
      </c>
      <c r="C1315" s="1" t="s">
        <v>688</v>
      </c>
      <c r="D1315" s="1" t="s">
        <v>168</v>
      </c>
      <c r="E1315" s="1" t="n">
        <v>1</v>
      </c>
      <c r="F1315" s="5" t="n">
        <v>0.1</v>
      </c>
      <c r="G1315" s="1" t="s">
        <v>52</v>
      </c>
      <c r="H1315" s="1" t="s">
        <v>14</v>
      </c>
      <c r="I1315" s="1" t="s">
        <v>20</v>
      </c>
      <c r="J1315" s="1" t="n">
        <v>3</v>
      </c>
    </row>
    <row r="1316" customFormat="false" ht="15" hidden="false" customHeight="false" outlineLevel="0" collapsed="false">
      <c r="A1316" s="1" t="s">
        <v>1737</v>
      </c>
      <c r="B1316" s="4" t="n">
        <v>45906</v>
      </c>
      <c r="C1316" s="1" t="s">
        <v>170</v>
      </c>
      <c r="D1316" s="1" t="s">
        <v>446</v>
      </c>
      <c r="E1316" s="1" t="n">
        <v>1</v>
      </c>
      <c r="F1316" s="5" t="n">
        <v>0.25</v>
      </c>
      <c r="G1316" s="1" t="s">
        <v>52</v>
      </c>
      <c r="H1316" s="1" t="s">
        <v>14</v>
      </c>
      <c r="I1316" s="1" t="s">
        <v>15</v>
      </c>
      <c r="J1316" s="1" t="n">
        <v>5</v>
      </c>
    </row>
    <row r="1317" customFormat="false" ht="15" hidden="false" customHeight="false" outlineLevel="0" collapsed="false">
      <c r="A1317" s="1" t="s">
        <v>1738</v>
      </c>
      <c r="B1317" s="4" t="n">
        <v>45921</v>
      </c>
      <c r="C1317" s="1" t="s">
        <v>127</v>
      </c>
      <c r="D1317" s="1" t="s">
        <v>109</v>
      </c>
      <c r="E1317" s="1" t="n">
        <v>2</v>
      </c>
      <c r="F1317" s="5" t="n">
        <v>0</v>
      </c>
      <c r="G1317" s="1" t="s">
        <v>52</v>
      </c>
      <c r="H1317" s="1" t="s">
        <v>14</v>
      </c>
      <c r="I1317" s="1" t="s">
        <v>15</v>
      </c>
      <c r="J1317" s="1" t="n">
        <v>5</v>
      </c>
    </row>
    <row r="1318" customFormat="false" ht="15" hidden="false" customHeight="false" outlineLevel="0" collapsed="false">
      <c r="A1318" s="1" t="s">
        <v>1739</v>
      </c>
      <c r="B1318" s="4" t="n">
        <v>45828</v>
      </c>
      <c r="C1318" s="1" t="s">
        <v>1067</v>
      </c>
      <c r="D1318" s="1" t="s">
        <v>624</v>
      </c>
      <c r="E1318" s="1" t="n">
        <v>5</v>
      </c>
      <c r="F1318" s="5" t="n">
        <v>0.25</v>
      </c>
      <c r="G1318" s="1" t="s">
        <v>24</v>
      </c>
      <c r="H1318" s="1" t="s">
        <v>14</v>
      </c>
      <c r="I1318" s="1" t="s">
        <v>15</v>
      </c>
      <c r="J1318" s="1" t="n">
        <v>8</v>
      </c>
    </row>
    <row r="1319" customFormat="false" ht="15" hidden="false" customHeight="false" outlineLevel="0" collapsed="false">
      <c r="A1319" s="1" t="s">
        <v>1740</v>
      </c>
      <c r="B1319" s="4" t="n">
        <v>45765</v>
      </c>
      <c r="C1319" s="1" t="s">
        <v>280</v>
      </c>
      <c r="D1319" s="1" t="s">
        <v>341</v>
      </c>
      <c r="E1319" s="1" t="n">
        <v>1</v>
      </c>
      <c r="F1319" s="5" t="n">
        <v>0.1</v>
      </c>
      <c r="G1319" s="1" t="s">
        <v>24</v>
      </c>
      <c r="H1319" s="1" t="s">
        <v>53</v>
      </c>
      <c r="I1319" s="1" t="s">
        <v>38</v>
      </c>
      <c r="J1319" s="1" t="n">
        <v>4</v>
      </c>
    </row>
    <row r="1320" customFormat="false" ht="15" hidden="false" customHeight="false" outlineLevel="0" collapsed="false">
      <c r="A1320" s="1" t="s">
        <v>1741</v>
      </c>
      <c r="B1320" s="4" t="n">
        <v>45869</v>
      </c>
      <c r="C1320" s="1" t="s">
        <v>263</v>
      </c>
      <c r="D1320" s="1" t="s">
        <v>77</v>
      </c>
      <c r="E1320" s="1" t="n">
        <v>1</v>
      </c>
      <c r="F1320" s="5" t="n">
        <v>0</v>
      </c>
      <c r="G1320" s="1" t="s">
        <v>71</v>
      </c>
      <c r="H1320" s="1" t="s">
        <v>78</v>
      </c>
      <c r="I1320" s="1" t="s">
        <v>20</v>
      </c>
      <c r="J1320" s="1" t="n">
        <v>3</v>
      </c>
    </row>
    <row r="1321" customFormat="false" ht="15" hidden="false" customHeight="false" outlineLevel="0" collapsed="false">
      <c r="A1321" s="1" t="s">
        <v>1742</v>
      </c>
      <c r="B1321" s="4" t="n">
        <v>45930</v>
      </c>
      <c r="C1321" s="1" t="s">
        <v>1105</v>
      </c>
      <c r="D1321" s="1" t="s">
        <v>160</v>
      </c>
      <c r="E1321" s="1" t="n">
        <v>1</v>
      </c>
      <c r="F1321" s="5" t="n">
        <v>0.2</v>
      </c>
      <c r="G1321" s="1" t="s">
        <v>52</v>
      </c>
      <c r="H1321" s="1" t="s">
        <v>14</v>
      </c>
      <c r="I1321" s="1" t="s">
        <v>15</v>
      </c>
      <c r="J1321" s="1" t="n">
        <v>3</v>
      </c>
    </row>
    <row r="1322" customFormat="false" ht="15" hidden="false" customHeight="false" outlineLevel="0" collapsed="false">
      <c r="A1322" s="1" t="s">
        <v>1743</v>
      </c>
      <c r="B1322" s="4" t="n">
        <v>45700</v>
      </c>
      <c r="C1322" s="1" t="s">
        <v>877</v>
      </c>
      <c r="D1322" s="1" t="s">
        <v>418</v>
      </c>
      <c r="E1322" s="1" t="n">
        <v>3</v>
      </c>
      <c r="F1322" s="5" t="n">
        <v>0.15</v>
      </c>
      <c r="G1322" s="1" t="s">
        <v>24</v>
      </c>
      <c r="H1322" s="1" t="s">
        <v>14</v>
      </c>
      <c r="I1322" s="1" t="s">
        <v>15</v>
      </c>
      <c r="J1322" s="1" t="n">
        <v>8</v>
      </c>
    </row>
    <row r="1323" customFormat="false" ht="15" hidden="false" customHeight="false" outlineLevel="0" collapsed="false">
      <c r="A1323" s="1" t="s">
        <v>1744</v>
      </c>
      <c r="B1323" s="4" t="n">
        <v>45874</v>
      </c>
      <c r="C1323" s="1" t="s">
        <v>794</v>
      </c>
      <c r="D1323" s="1" t="s">
        <v>255</v>
      </c>
      <c r="E1323" s="1" t="n">
        <v>1</v>
      </c>
      <c r="F1323" s="5" t="n">
        <v>0.15</v>
      </c>
      <c r="G1323" s="1" t="s">
        <v>24</v>
      </c>
      <c r="H1323" s="1" t="s">
        <v>14</v>
      </c>
      <c r="I1323" s="1" t="s">
        <v>20</v>
      </c>
      <c r="J1323" s="1" t="n">
        <v>3</v>
      </c>
    </row>
    <row r="1324" customFormat="false" ht="15" hidden="false" customHeight="false" outlineLevel="0" collapsed="false">
      <c r="A1324" s="1" t="s">
        <v>1745</v>
      </c>
      <c r="B1324" s="4" t="n">
        <v>45965</v>
      </c>
      <c r="C1324" s="1" t="s">
        <v>640</v>
      </c>
      <c r="D1324" s="1" t="s">
        <v>444</v>
      </c>
      <c r="E1324" s="1" t="n">
        <v>1</v>
      </c>
      <c r="F1324" s="5" t="n">
        <v>0</v>
      </c>
      <c r="G1324" s="1" t="s">
        <v>34</v>
      </c>
      <c r="H1324" s="1" t="s">
        <v>14</v>
      </c>
      <c r="I1324" s="1" t="s">
        <v>20</v>
      </c>
      <c r="J1324" s="1" t="n">
        <v>3</v>
      </c>
    </row>
    <row r="1325" customFormat="false" ht="15" hidden="false" customHeight="false" outlineLevel="0" collapsed="false">
      <c r="A1325" s="1" t="s">
        <v>1746</v>
      </c>
      <c r="B1325" s="4" t="n">
        <v>45916</v>
      </c>
      <c r="C1325" s="1" t="s">
        <v>236</v>
      </c>
      <c r="D1325" s="1" t="s">
        <v>603</v>
      </c>
      <c r="E1325" s="1" t="n">
        <v>1</v>
      </c>
      <c r="F1325" s="5" t="n">
        <v>0.15</v>
      </c>
      <c r="G1325" s="1" t="s">
        <v>52</v>
      </c>
      <c r="H1325" s="1" t="s">
        <v>14</v>
      </c>
      <c r="I1325" s="1" t="s">
        <v>15</v>
      </c>
      <c r="J1325" s="1" t="n">
        <v>7</v>
      </c>
    </row>
    <row r="1326" customFormat="false" ht="15" hidden="false" customHeight="false" outlineLevel="0" collapsed="false">
      <c r="A1326" s="1" t="s">
        <v>1747</v>
      </c>
      <c r="B1326" s="4" t="n">
        <v>45872</v>
      </c>
      <c r="C1326" s="1" t="s">
        <v>47</v>
      </c>
      <c r="D1326" s="1" t="s">
        <v>303</v>
      </c>
      <c r="E1326" s="1" t="n">
        <v>4</v>
      </c>
      <c r="F1326" s="5" t="n">
        <v>0.15</v>
      </c>
      <c r="G1326" s="1" t="s">
        <v>71</v>
      </c>
      <c r="H1326" s="1" t="s">
        <v>14</v>
      </c>
      <c r="I1326" s="1" t="s">
        <v>38</v>
      </c>
      <c r="J1326" s="1" t="n">
        <v>2</v>
      </c>
    </row>
    <row r="1327" customFormat="false" ht="15" hidden="false" customHeight="false" outlineLevel="0" collapsed="false">
      <c r="A1327" s="1" t="s">
        <v>1748</v>
      </c>
      <c r="B1327" s="4" t="n">
        <v>45845</v>
      </c>
      <c r="C1327" s="1" t="s">
        <v>684</v>
      </c>
      <c r="D1327" s="1" t="s">
        <v>176</v>
      </c>
      <c r="E1327" s="1" t="n">
        <v>1</v>
      </c>
      <c r="F1327" s="5" t="n">
        <v>0.05</v>
      </c>
      <c r="G1327" s="1" t="s">
        <v>52</v>
      </c>
      <c r="H1327" s="1" t="s">
        <v>14</v>
      </c>
      <c r="I1327" s="1" t="s">
        <v>15</v>
      </c>
      <c r="J1327" s="1" t="n">
        <v>2</v>
      </c>
    </row>
    <row r="1328" customFormat="false" ht="15" hidden="false" customHeight="false" outlineLevel="0" collapsed="false">
      <c r="A1328" s="1" t="s">
        <v>1749</v>
      </c>
      <c r="B1328" s="4" t="n">
        <v>45784</v>
      </c>
      <c r="C1328" s="1" t="s">
        <v>657</v>
      </c>
      <c r="D1328" s="1" t="s">
        <v>484</v>
      </c>
      <c r="E1328" s="1" t="n">
        <v>4</v>
      </c>
      <c r="F1328" s="5" t="n">
        <v>0</v>
      </c>
      <c r="G1328" s="1" t="s">
        <v>52</v>
      </c>
      <c r="H1328" s="1" t="s">
        <v>92</v>
      </c>
      <c r="I1328" s="1" t="s">
        <v>20</v>
      </c>
    </row>
    <row r="1329" customFormat="false" ht="15" hidden="false" customHeight="false" outlineLevel="0" collapsed="false">
      <c r="A1329" s="1" t="s">
        <v>1750</v>
      </c>
      <c r="B1329" s="4" t="n">
        <v>45943</v>
      </c>
      <c r="C1329" s="1" t="s">
        <v>1583</v>
      </c>
      <c r="D1329" s="1" t="s">
        <v>487</v>
      </c>
      <c r="E1329" s="1" t="n">
        <v>1</v>
      </c>
      <c r="F1329" s="5" t="n">
        <v>0.25</v>
      </c>
      <c r="G1329" s="1" t="s">
        <v>34</v>
      </c>
      <c r="H1329" s="1" t="s">
        <v>14</v>
      </c>
      <c r="I1329" s="1" t="s">
        <v>15</v>
      </c>
      <c r="J1329" s="1" t="n">
        <v>3</v>
      </c>
    </row>
    <row r="1330" customFormat="false" ht="15" hidden="false" customHeight="false" outlineLevel="0" collapsed="false">
      <c r="A1330" s="1" t="s">
        <v>1751</v>
      </c>
      <c r="B1330" s="4" t="n">
        <v>45828</v>
      </c>
      <c r="C1330" s="1" t="s">
        <v>929</v>
      </c>
      <c r="D1330" s="1" t="s">
        <v>117</v>
      </c>
      <c r="E1330" s="1" t="n">
        <v>1</v>
      </c>
      <c r="F1330" s="5" t="n">
        <v>0.25</v>
      </c>
      <c r="G1330" s="1" t="s">
        <v>71</v>
      </c>
      <c r="H1330" s="1" t="s">
        <v>14</v>
      </c>
      <c r="I1330" s="1" t="s">
        <v>15</v>
      </c>
      <c r="J1330" s="1" t="n">
        <v>4</v>
      </c>
    </row>
    <row r="1331" customFormat="false" ht="15" hidden="false" customHeight="false" outlineLevel="0" collapsed="false">
      <c r="A1331" s="1" t="s">
        <v>1752</v>
      </c>
      <c r="B1331" s="4" t="n">
        <v>45763</v>
      </c>
      <c r="C1331" s="1" t="s">
        <v>136</v>
      </c>
      <c r="D1331" s="1" t="s">
        <v>12</v>
      </c>
      <c r="E1331" s="1" t="n">
        <v>4</v>
      </c>
      <c r="F1331" s="5" t="n">
        <v>0.05</v>
      </c>
      <c r="G1331" s="1" t="s">
        <v>19</v>
      </c>
      <c r="H1331" s="1" t="s">
        <v>92</v>
      </c>
      <c r="I1331" s="1" t="s">
        <v>15</v>
      </c>
    </row>
    <row r="1332" customFormat="false" ht="15" hidden="false" customHeight="false" outlineLevel="0" collapsed="false">
      <c r="A1332" s="1" t="s">
        <v>1753</v>
      </c>
      <c r="B1332" s="4" t="n">
        <v>45961</v>
      </c>
      <c r="C1332" s="1" t="s">
        <v>586</v>
      </c>
      <c r="D1332" s="1" t="s">
        <v>230</v>
      </c>
      <c r="E1332" s="1" t="n">
        <v>3</v>
      </c>
      <c r="F1332" s="5" t="n">
        <v>0</v>
      </c>
      <c r="G1332" s="1" t="s">
        <v>52</v>
      </c>
      <c r="H1332" s="1" t="s">
        <v>14</v>
      </c>
      <c r="I1332" s="1" t="s">
        <v>20</v>
      </c>
      <c r="J1332" s="1" t="n">
        <v>8</v>
      </c>
    </row>
    <row r="1333" customFormat="false" ht="15" hidden="false" customHeight="false" outlineLevel="0" collapsed="false">
      <c r="A1333" s="1" t="s">
        <v>1754</v>
      </c>
      <c r="B1333" s="4" t="n">
        <v>45799</v>
      </c>
      <c r="C1333" s="1" t="s">
        <v>788</v>
      </c>
      <c r="D1333" s="1" t="s">
        <v>30</v>
      </c>
      <c r="E1333" s="1" t="n">
        <v>1</v>
      </c>
      <c r="F1333" s="5" t="n">
        <v>0.1</v>
      </c>
      <c r="G1333" s="1" t="s">
        <v>52</v>
      </c>
      <c r="H1333" s="1" t="s">
        <v>14</v>
      </c>
      <c r="I1333" s="1" t="s">
        <v>38</v>
      </c>
      <c r="J1333" s="1" t="n">
        <v>1</v>
      </c>
    </row>
    <row r="1334" customFormat="false" ht="15" hidden="false" customHeight="false" outlineLevel="0" collapsed="false">
      <c r="A1334" s="1" t="s">
        <v>1755</v>
      </c>
      <c r="B1334" s="4" t="n">
        <v>45950</v>
      </c>
      <c r="C1334" s="1" t="s">
        <v>922</v>
      </c>
      <c r="D1334" s="1" t="s">
        <v>67</v>
      </c>
      <c r="E1334" s="1" t="n">
        <v>2</v>
      </c>
      <c r="F1334" s="5" t="n">
        <v>0.05</v>
      </c>
      <c r="G1334" s="1" t="s">
        <v>52</v>
      </c>
      <c r="H1334" s="1" t="s">
        <v>14</v>
      </c>
      <c r="I1334" s="1" t="s">
        <v>15</v>
      </c>
      <c r="J1334" s="1" t="n">
        <v>1</v>
      </c>
    </row>
    <row r="1335" customFormat="false" ht="15" hidden="false" customHeight="false" outlineLevel="0" collapsed="false">
      <c r="A1335" s="1" t="s">
        <v>1756</v>
      </c>
      <c r="B1335" s="4" t="n">
        <v>45668</v>
      </c>
      <c r="C1335" s="1" t="s">
        <v>188</v>
      </c>
      <c r="D1335" s="1" t="s">
        <v>446</v>
      </c>
      <c r="E1335" s="1" t="n">
        <v>3</v>
      </c>
      <c r="F1335" s="5" t="n">
        <v>0.15</v>
      </c>
      <c r="G1335" s="1" t="s">
        <v>52</v>
      </c>
      <c r="H1335" s="1" t="s">
        <v>45</v>
      </c>
      <c r="I1335" s="1" t="s">
        <v>20</v>
      </c>
    </row>
    <row r="1336" customFormat="false" ht="15" hidden="false" customHeight="false" outlineLevel="0" collapsed="false">
      <c r="A1336" s="1" t="s">
        <v>1757</v>
      </c>
      <c r="B1336" s="4" t="n">
        <v>45721</v>
      </c>
      <c r="C1336" s="1" t="s">
        <v>234</v>
      </c>
      <c r="D1336" s="1" t="s">
        <v>484</v>
      </c>
      <c r="E1336" s="1" t="n">
        <v>2</v>
      </c>
      <c r="F1336" s="5" t="n">
        <v>0.05</v>
      </c>
      <c r="G1336" s="1" t="s">
        <v>24</v>
      </c>
      <c r="H1336" s="1" t="s">
        <v>14</v>
      </c>
      <c r="I1336" s="1" t="s">
        <v>15</v>
      </c>
      <c r="J1336" s="1" t="n">
        <v>1</v>
      </c>
    </row>
    <row r="1337" customFormat="false" ht="15" hidden="false" customHeight="false" outlineLevel="0" collapsed="false">
      <c r="A1337" s="1" t="s">
        <v>1758</v>
      </c>
      <c r="B1337" s="4" t="n">
        <v>45676</v>
      </c>
      <c r="C1337" s="1" t="s">
        <v>1146</v>
      </c>
      <c r="D1337" s="1" t="s">
        <v>143</v>
      </c>
      <c r="E1337" s="1" t="n">
        <v>1</v>
      </c>
      <c r="F1337" s="5" t="n">
        <v>0.15</v>
      </c>
      <c r="G1337" s="1" t="s">
        <v>71</v>
      </c>
      <c r="H1337" s="1" t="s">
        <v>14</v>
      </c>
      <c r="I1337" s="1" t="s">
        <v>20</v>
      </c>
      <c r="J1337" s="1" t="n">
        <v>8</v>
      </c>
    </row>
    <row r="1338" customFormat="false" ht="15" hidden="false" customHeight="false" outlineLevel="0" collapsed="false">
      <c r="A1338" s="1" t="s">
        <v>1759</v>
      </c>
      <c r="B1338" s="4" t="n">
        <v>45946</v>
      </c>
      <c r="C1338" s="1" t="s">
        <v>391</v>
      </c>
      <c r="D1338" s="1" t="s">
        <v>109</v>
      </c>
      <c r="E1338" s="1" t="n">
        <v>1</v>
      </c>
      <c r="F1338" s="5" t="n">
        <v>0</v>
      </c>
      <c r="G1338" s="1" t="s">
        <v>19</v>
      </c>
      <c r="H1338" s="1" t="s">
        <v>53</v>
      </c>
      <c r="I1338" s="1" t="s">
        <v>20</v>
      </c>
      <c r="J1338" s="1" t="n">
        <v>5</v>
      </c>
    </row>
    <row r="1339" customFormat="false" ht="15" hidden="false" customHeight="false" outlineLevel="0" collapsed="false">
      <c r="A1339" s="1" t="s">
        <v>1760</v>
      </c>
      <c r="B1339" s="4" t="n">
        <v>45807</v>
      </c>
      <c r="C1339" s="1" t="s">
        <v>841</v>
      </c>
      <c r="D1339" s="1" t="s">
        <v>192</v>
      </c>
      <c r="E1339" s="1" t="n">
        <v>4</v>
      </c>
      <c r="F1339" s="5" t="n">
        <v>0</v>
      </c>
      <c r="G1339" s="1" t="s">
        <v>34</v>
      </c>
      <c r="H1339" s="1" t="s">
        <v>14</v>
      </c>
      <c r="I1339" s="1" t="s">
        <v>38</v>
      </c>
      <c r="J1339" s="1" t="n">
        <v>8</v>
      </c>
    </row>
    <row r="1340" customFormat="false" ht="15" hidden="false" customHeight="false" outlineLevel="0" collapsed="false">
      <c r="A1340" s="1" t="s">
        <v>1761</v>
      </c>
      <c r="B1340" s="4" t="n">
        <v>45984</v>
      </c>
      <c r="C1340" s="1" t="s">
        <v>696</v>
      </c>
      <c r="D1340" s="1" t="s">
        <v>641</v>
      </c>
      <c r="E1340" s="1" t="n">
        <v>1</v>
      </c>
      <c r="F1340" s="5" t="n">
        <v>0.1</v>
      </c>
      <c r="G1340" s="1" t="s">
        <v>71</v>
      </c>
      <c r="H1340" s="1" t="s">
        <v>14</v>
      </c>
      <c r="I1340" s="1" t="s">
        <v>20</v>
      </c>
      <c r="J1340" s="1" t="n">
        <v>7</v>
      </c>
    </row>
    <row r="1341" customFormat="false" ht="15" hidden="false" customHeight="false" outlineLevel="0" collapsed="false">
      <c r="A1341" s="1" t="s">
        <v>1762</v>
      </c>
      <c r="B1341" s="4" t="n">
        <v>46006</v>
      </c>
      <c r="C1341" s="1" t="s">
        <v>331</v>
      </c>
      <c r="D1341" s="1" t="s">
        <v>1169</v>
      </c>
      <c r="E1341" s="1" t="n">
        <v>1</v>
      </c>
      <c r="F1341" s="5" t="n">
        <v>0.05</v>
      </c>
      <c r="G1341" s="1" t="s">
        <v>24</v>
      </c>
      <c r="H1341" s="1" t="s">
        <v>92</v>
      </c>
      <c r="I1341" s="1" t="s">
        <v>15</v>
      </c>
    </row>
    <row r="1342" customFormat="false" ht="15" hidden="false" customHeight="false" outlineLevel="0" collapsed="false">
      <c r="A1342" s="1" t="s">
        <v>1763</v>
      </c>
      <c r="B1342" s="4" t="n">
        <v>45821</v>
      </c>
      <c r="C1342" s="1" t="s">
        <v>370</v>
      </c>
      <c r="D1342" s="1" t="s">
        <v>230</v>
      </c>
      <c r="E1342" s="1" t="n">
        <v>2</v>
      </c>
      <c r="F1342" s="5" t="n">
        <v>0.2</v>
      </c>
      <c r="G1342" s="1" t="s">
        <v>71</v>
      </c>
      <c r="H1342" s="1" t="s">
        <v>14</v>
      </c>
      <c r="I1342" s="1" t="s">
        <v>15</v>
      </c>
      <c r="J1342" s="1" t="n">
        <v>1</v>
      </c>
    </row>
    <row r="1343" customFormat="false" ht="15" hidden="false" customHeight="false" outlineLevel="0" collapsed="false">
      <c r="A1343" s="1" t="s">
        <v>1764</v>
      </c>
      <c r="B1343" s="4" t="n">
        <v>45861</v>
      </c>
      <c r="C1343" s="1" t="s">
        <v>637</v>
      </c>
      <c r="D1343" s="1" t="s">
        <v>84</v>
      </c>
      <c r="E1343" s="1" t="n">
        <v>3</v>
      </c>
      <c r="F1343" s="5" t="n">
        <v>0.15</v>
      </c>
      <c r="G1343" s="1" t="s">
        <v>24</v>
      </c>
      <c r="H1343" s="1" t="s">
        <v>14</v>
      </c>
      <c r="I1343" s="1" t="s">
        <v>20</v>
      </c>
      <c r="J1343" s="1" t="n">
        <v>3</v>
      </c>
    </row>
    <row r="1344" customFormat="false" ht="15" hidden="false" customHeight="false" outlineLevel="0" collapsed="false">
      <c r="A1344" s="1" t="s">
        <v>1765</v>
      </c>
      <c r="B1344" s="4" t="n">
        <v>45992</v>
      </c>
      <c r="C1344" s="1" t="s">
        <v>298</v>
      </c>
      <c r="D1344" s="1" t="s">
        <v>554</v>
      </c>
      <c r="E1344" s="1" t="n">
        <v>2</v>
      </c>
      <c r="F1344" s="5" t="n">
        <v>0.15</v>
      </c>
      <c r="G1344" s="1" t="s">
        <v>52</v>
      </c>
      <c r="H1344" s="1" t="s">
        <v>92</v>
      </c>
      <c r="I1344" s="1" t="s">
        <v>20</v>
      </c>
    </row>
    <row r="1345" customFormat="false" ht="15" hidden="false" customHeight="false" outlineLevel="0" collapsed="false">
      <c r="A1345" s="1" t="s">
        <v>1766</v>
      </c>
      <c r="B1345" s="4" t="n">
        <v>45857</v>
      </c>
      <c r="C1345" s="1" t="s">
        <v>917</v>
      </c>
      <c r="D1345" s="1" t="s">
        <v>328</v>
      </c>
      <c r="E1345" s="1" t="n">
        <v>3</v>
      </c>
      <c r="F1345" s="5" t="n">
        <v>0.2</v>
      </c>
      <c r="G1345" s="1" t="s">
        <v>52</v>
      </c>
      <c r="H1345" s="1" t="s">
        <v>14</v>
      </c>
      <c r="I1345" s="1" t="s">
        <v>38</v>
      </c>
      <c r="J1345" s="1" t="n">
        <v>4</v>
      </c>
    </row>
    <row r="1346" customFormat="false" ht="15" hidden="false" customHeight="false" outlineLevel="0" collapsed="false">
      <c r="A1346" s="1" t="s">
        <v>1767</v>
      </c>
      <c r="B1346" s="4" t="n">
        <v>45772</v>
      </c>
      <c r="C1346" s="1" t="s">
        <v>350</v>
      </c>
      <c r="D1346" s="1" t="s">
        <v>44</v>
      </c>
      <c r="E1346" s="1" t="n">
        <v>3</v>
      </c>
      <c r="F1346" s="5" t="n">
        <v>0.2</v>
      </c>
      <c r="G1346" s="1" t="s">
        <v>24</v>
      </c>
      <c r="H1346" s="1" t="s">
        <v>53</v>
      </c>
      <c r="I1346" s="1" t="s">
        <v>15</v>
      </c>
      <c r="J1346" s="1" t="n">
        <v>4</v>
      </c>
    </row>
    <row r="1347" customFormat="false" ht="15" hidden="false" customHeight="false" outlineLevel="0" collapsed="false">
      <c r="A1347" s="1" t="s">
        <v>1768</v>
      </c>
      <c r="B1347" s="4" t="n">
        <v>45804</v>
      </c>
      <c r="C1347" s="1" t="s">
        <v>11</v>
      </c>
      <c r="D1347" s="1" t="s">
        <v>222</v>
      </c>
      <c r="E1347" s="1" t="n">
        <v>1</v>
      </c>
      <c r="F1347" s="5" t="n">
        <v>0.05</v>
      </c>
      <c r="G1347" s="1" t="s">
        <v>34</v>
      </c>
      <c r="H1347" s="1" t="s">
        <v>92</v>
      </c>
      <c r="I1347" s="1" t="s">
        <v>38</v>
      </c>
    </row>
    <row r="1348" customFormat="false" ht="15" hidden="false" customHeight="false" outlineLevel="0" collapsed="false">
      <c r="A1348" s="1" t="s">
        <v>1769</v>
      </c>
      <c r="B1348" s="4" t="n">
        <v>45814</v>
      </c>
      <c r="C1348" s="1" t="s">
        <v>105</v>
      </c>
      <c r="D1348" s="1" t="s">
        <v>213</v>
      </c>
      <c r="E1348" s="1" t="n">
        <v>3</v>
      </c>
      <c r="F1348" s="5" t="n">
        <v>0</v>
      </c>
      <c r="G1348" s="1" t="s">
        <v>19</v>
      </c>
      <c r="H1348" s="1" t="s">
        <v>14</v>
      </c>
      <c r="I1348" s="1" t="s">
        <v>15</v>
      </c>
      <c r="J1348" s="1" t="n">
        <v>7</v>
      </c>
    </row>
    <row r="1349" customFormat="false" ht="15" hidden="false" customHeight="false" outlineLevel="0" collapsed="false">
      <c r="A1349" s="1" t="s">
        <v>1770</v>
      </c>
      <c r="B1349" s="4" t="n">
        <v>45814</v>
      </c>
      <c r="C1349" s="1" t="s">
        <v>55</v>
      </c>
      <c r="D1349" s="1" t="s">
        <v>270</v>
      </c>
      <c r="E1349" s="1" t="n">
        <v>2</v>
      </c>
      <c r="F1349" s="5" t="n">
        <v>0.15</v>
      </c>
      <c r="G1349" s="1" t="s">
        <v>34</v>
      </c>
      <c r="H1349" s="1" t="s">
        <v>14</v>
      </c>
      <c r="I1349" s="1" t="s">
        <v>15</v>
      </c>
      <c r="J1349" s="1" t="n">
        <v>5</v>
      </c>
    </row>
    <row r="1350" customFormat="false" ht="15" hidden="false" customHeight="false" outlineLevel="0" collapsed="false">
      <c r="A1350" s="1" t="s">
        <v>1771</v>
      </c>
      <c r="B1350" s="4" t="n">
        <v>45840</v>
      </c>
      <c r="C1350" s="1" t="s">
        <v>229</v>
      </c>
      <c r="D1350" s="1" t="s">
        <v>148</v>
      </c>
      <c r="E1350" s="1" t="n">
        <v>3</v>
      </c>
      <c r="F1350" s="5" t="n">
        <v>0.25</v>
      </c>
      <c r="G1350" s="1" t="s">
        <v>52</v>
      </c>
      <c r="H1350" s="1" t="s">
        <v>14</v>
      </c>
      <c r="I1350" s="1" t="s">
        <v>20</v>
      </c>
      <c r="J1350" s="1" t="n">
        <v>2</v>
      </c>
    </row>
    <row r="1351" customFormat="false" ht="15" hidden="false" customHeight="false" outlineLevel="0" collapsed="false">
      <c r="A1351" s="1" t="s">
        <v>1772</v>
      </c>
      <c r="B1351" s="4" t="n">
        <v>45975</v>
      </c>
      <c r="C1351" s="1" t="s">
        <v>1321</v>
      </c>
      <c r="D1351" s="1" t="s">
        <v>294</v>
      </c>
      <c r="E1351" s="1" t="n">
        <v>1</v>
      </c>
      <c r="F1351" s="5" t="n">
        <v>0.15</v>
      </c>
      <c r="G1351" s="1" t="s">
        <v>19</v>
      </c>
      <c r="H1351" s="1" t="s">
        <v>14</v>
      </c>
      <c r="I1351" s="1" t="s">
        <v>15</v>
      </c>
      <c r="J1351" s="1" t="n">
        <v>7</v>
      </c>
    </row>
    <row r="1352" customFormat="false" ht="15" hidden="false" customHeight="false" outlineLevel="0" collapsed="false">
      <c r="A1352" s="1" t="s">
        <v>1773</v>
      </c>
      <c r="B1352" s="4" t="n">
        <v>46002</v>
      </c>
      <c r="C1352" s="1" t="s">
        <v>66</v>
      </c>
      <c r="D1352" s="1" t="s">
        <v>33</v>
      </c>
      <c r="E1352" s="1" t="n">
        <v>2</v>
      </c>
      <c r="F1352" s="5" t="n">
        <v>0</v>
      </c>
      <c r="G1352" s="1" t="s">
        <v>19</v>
      </c>
      <c r="H1352" s="1" t="s">
        <v>14</v>
      </c>
      <c r="I1352" s="1" t="s">
        <v>38</v>
      </c>
      <c r="J1352" s="1" t="n">
        <v>6</v>
      </c>
    </row>
    <row r="1353" customFormat="false" ht="15" hidden="false" customHeight="false" outlineLevel="0" collapsed="false">
      <c r="A1353" s="1" t="s">
        <v>1774</v>
      </c>
      <c r="B1353" s="4" t="n">
        <v>45976</v>
      </c>
      <c r="C1353" s="1" t="s">
        <v>47</v>
      </c>
      <c r="D1353" s="1" t="s">
        <v>171</v>
      </c>
      <c r="E1353" s="1" t="n">
        <v>1</v>
      </c>
      <c r="F1353" s="5" t="n">
        <v>0.15</v>
      </c>
      <c r="G1353" s="1" t="s">
        <v>71</v>
      </c>
      <c r="H1353" s="1" t="s">
        <v>53</v>
      </c>
      <c r="I1353" s="1" t="s">
        <v>38</v>
      </c>
      <c r="J1353" s="1" t="n">
        <v>2</v>
      </c>
    </row>
    <row r="1354" customFormat="false" ht="15" hidden="false" customHeight="false" outlineLevel="0" collapsed="false">
      <c r="A1354" s="1" t="s">
        <v>1775</v>
      </c>
      <c r="B1354" s="4" t="n">
        <v>45899</v>
      </c>
      <c r="C1354" s="1" t="s">
        <v>1233</v>
      </c>
      <c r="D1354" s="1" t="s">
        <v>362</v>
      </c>
      <c r="E1354" s="1" t="n">
        <v>5</v>
      </c>
      <c r="F1354" s="5" t="n">
        <v>0.15</v>
      </c>
      <c r="G1354" s="1" t="s">
        <v>52</v>
      </c>
      <c r="H1354" s="1" t="s">
        <v>14</v>
      </c>
      <c r="I1354" s="1" t="s">
        <v>20</v>
      </c>
      <c r="J1354" s="1" t="n">
        <v>1</v>
      </c>
    </row>
    <row r="1355" customFormat="false" ht="15" hidden="false" customHeight="false" outlineLevel="0" collapsed="false">
      <c r="A1355" s="1" t="s">
        <v>1776</v>
      </c>
      <c r="B1355" s="4" t="n">
        <v>45866</v>
      </c>
      <c r="C1355" s="1" t="s">
        <v>1438</v>
      </c>
      <c r="D1355" s="1" t="s">
        <v>493</v>
      </c>
      <c r="E1355" s="1" t="n">
        <v>4</v>
      </c>
      <c r="F1355" s="5" t="n">
        <v>0.25</v>
      </c>
      <c r="G1355" s="1" t="s">
        <v>19</v>
      </c>
      <c r="H1355" s="1" t="s">
        <v>14</v>
      </c>
      <c r="I1355" s="1" t="s">
        <v>20</v>
      </c>
      <c r="J1355" s="1" t="n">
        <v>4</v>
      </c>
    </row>
    <row r="1356" customFormat="false" ht="15" hidden="false" customHeight="false" outlineLevel="0" collapsed="false">
      <c r="A1356" s="1" t="s">
        <v>1777</v>
      </c>
      <c r="B1356" s="4" t="n">
        <v>45766</v>
      </c>
      <c r="C1356" s="1" t="s">
        <v>1067</v>
      </c>
      <c r="D1356" s="1" t="s">
        <v>27</v>
      </c>
      <c r="E1356" s="1" t="n">
        <v>1</v>
      </c>
      <c r="F1356" s="5" t="n">
        <v>0</v>
      </c>
      <c r="G1356" s="1" t="s">
        <v>52</v>
      </c>
      <c r="H1356" s="1" t="s">
        <v>14</v>
      </c>
      <c r="I1356" s="1" t="s">
        <v>20</v>
      </c>
      <c r="J1356" s="1" t="n">
        <v>6</v>
      </c>
    </row>
    <row r="1357" customFormat="false" ht="15" hidden="false" customHeight="false" outlineLevel="0" collapsed="false">
      <c r="A1357" s="1" t="s">
        <v>1778</v>
      </c>
      <c r="B1357" s="4" t="n">
        <v>46003</v>
      </c>
      <c r="C1357" s="1" t="s">
        <v>440</v>
      </c>
      <c r="D1357" s="1" t="s">
        <v>125</v>
      </c>
      <c r="E1357" s="1" t="n">
        <v>2</v>
      </c>
      <c r="F1357" s="5" t="n">
        <v>0.1</v>
      </c>
      <c r="G1357" s="1" t="s">
        <v>19</v>
      </c>
      <c r="H1357" s="1" t="s">
        <v>14</v>
      </c>
      <c r="I1357" s="1" t="s">
        <v>15</v>
      </c>
      <c r="J1357" s="1" t="n">
        <v>4</v>
      </c>
    </row>
    <row r="1358" customFormat="false" ht="15" hidden="false" customHeight="false" outlineLevel="0" collapsed="false">
      <c r="A1358" s="1" t="s">
        <v>1779</v>
      </c>
      <c r="B1358" s="4" t="n">
        <v>45978</v>
      </c>
      <c r="C1358" s="1" t="s">
        <v>69</v>
      </c>
      <c r="D1358" s="1" t="s">
        <v>210</v>
      </c>
      <c r="E1358" s="1" t="n">
        <v>1</v>
      </c>
      <c r="F1358" s="5" t="n">
        <v>0.2</v>
      </c>
      <c r="G1358" s="1" t="s">
        <v>52</v>
      </c>
      <c r="H1358" s="1" t="s">
        <v>92</v>
      </c>
      <c r="I1358" s="1" t="s">
        <v>38</v>
      </c>
    </row>
    <row r="1359" customFormat="false" ht="15" hidden="false" customHeight="false" outlineLevel="0" collapsed="false">
      <c r="A1359" s="1" t="s">
        <v>1780</v>
      </c>
      <c r="B1359" s="4" t="n">
        <v>45949</v>
      </c>
      <c r="C1359" s="1" t="s">
        <v>268</v>
      </c>
      <c r="D1359" s="1" t="s">
        <v>44</v>
      </c>
      <c r="E1359" s="1" t="n">
        <v>4</v>
      </c>
      <c r="F1359" s="5" t="n">
        <v>0</v>
      </c>
      <c r="G1359" s="1" t="s">
        <v>52</v>
      </c>
      <c r="H1359" s="1" t="s">
        <v>14</v>
      </c>
      <c r="I1359" s="1" t="s">
        <v>38</v>
      </c>
      <c r="J1359" s="1" t="n">
        <v>6</v>
      </c>
    </row>
    <row r="1360" customFormat="false" ht="15" hidden="false" customHeight="false" outlineLevel="0" collapsed="false">
      <c r="A1360" s="1" t="s">
        <v>1781</v>
      </c>
      <c r="B1360" s="4" t="n">
        <v>45771</v>
      </c>
      <c r="C1360" s="1" t="s">
        <v>404</v>
      </c>
      <c r="D1360" s="1" t="s">
        <v>253</v>
      </c>
      <c r="E1360" s="1" t="n">
        <v>1</v>
      </c>
      <c r="F1360" s="5" t="n">
        <v>0.05</v>
      </c>
      <c r="G1360" s="1" t="s">
        <v>52</v>
      </c>
      <c r="H1360" s="1" t="s">
        <v>53</v>
      </c>
      <c r="I1360" s="1" t="s">
        <v>15</v>
      </c>
      <c r="J1360" s="1" t="n">
        <v>2</v>
      </c>
    </row>
    <row r="1361" customFormat="false" ht="15" hidden="false" customHeight="false" outlineLevel="0" collapsed="false">
      <c r="A1361" s="1" t="s">
        <v>1782</v>
      </c>
      <c r="B1361" s="4" t="n">
        <v>45960</v>
      </c>
      <c r="C1361" s="1" t="s">
        <v>805</v>
      </c>
      <c r="D1361" s="1" t="s">
        <v>197</v>
      </c>
      <c r="E1361" s="1" t="n">
        <v>1</v>
      </c>
      <c r="F1361" s="5" t="n">
        <v>0</v>
      </c>
      <c r="G1361" s="1" t="s">
        <v>19</v>
      </c>
      <c r="H1361" s="1" t="s">
        <v>14</v>
      </c>
      <c r="I1361" s="1" t="s">
        <v>20</v>
      </c>
      <c r="J1361" s="1" t="n">
        <v>1</v>
      </c>
    </row>
    <row r="1362" customFormat="false" ht="15" hidden="false" customHeight="false" outlineLevel="0" collapsed="false">
      <c r="A1362" s="1" t="s">
        <v>1783</v>
      </c>
      <c r="B1362" s="4" t="n">
        <v>45698</v>
      </c>
      <c r="C1362" s="1" t="s">
        <v>167</v>
      </c>
      <c r="D1362" s="1" t="s">
        <v>122</v>
      </c>
      <c r="E1362" s="1" t="n">
        <v>1</v>
      </c>
      <c r="F1362" s="5" t="n">
        <v>0.1</v>
      </c>
      <c r="G1362" s="1" t="s">
        <v>19</v>
      </c>
      <c r="H1362" s="1" t="s">
        <v>92</v>
      </c>
      <c r="I1362" s="1" t="s">
        <v>20</v>
      </c>
    </row>
    <row r="1363" customFormat="false" ht="15" hidden="false" customHeight="false" outlineLevel="0" collapsed="false">
      <c r="A1363" s="1" t="s">
        <v>1784</v>
      </c>
      <c r="B1363" s="4" t="n">
        <v>45921</v>
      </c>
      <c r="C1363" s="1" t="s">
        <v>88</v>
      </c>
      <c r="D1363" s="1" t="s">
        <v>27</v>
      </c>
      <c r="E1363" s="1" t="n">
        <v>1</v>
      </c>
      <c r="F1363" s="5" t="n">
        <v>0</v>
      </c>
      <c r="G1363" s="1" t="s">
        <v>52</v>
      </c>
      <c r="H1363" s="1" t="s">
        <v>45</v>
      </c>
      <c r="I1363" s="1" t="s">
        <v>15</v>
      </c>
    </row>
    <row r="1364" customFormat="false" ht="15" hidden="false" customHeight="false" outlineLevel="0" collapsed="false">
      <c r="A1364" s="1" t="s">
        <v>1785</v>
      </c>
      <c r="B1364" s="4" t="n">
        <v>45666</v>
      </c>
      <c r="C1364" s="1" t="s">
        <v>229</v>
      </c>
      <c r="D1364" s="1" t="s">
        <v>41</v>
      </c>
      <c r="E1364" s="1" t="n">
        <v>1</v>
      </c>
      <c r="F1364" s="5" t="n">
        <v>0.05</v>
      </c>
      <c r="G1364" s="1" t="s">
        <v>24</v>
      </c>
      <c r="H1364" s="1" t="s">
        <v>14</v>
      </c>
      <c r="I1364" s="1" t="s">
        <v>38</v>
      </c>
      <c r="J1364" s="1" t="n">
        <v>5</v>
      </c>
    </row>
    <row r="1365" customFormat="false" ht="15" hidden="false" customHeight="false" outlineLevel="0" collapsed="false">
      <c r="A1365" s="1" t="s">
        <v>1786</v>
      </c>
      <c r="B1365" s="4" t="n">
        <v>45782</v>
      </c>
      <c r="C1365" s="1" t="s">
        <v>647</v>
      </c>
      <c r="D1365" s="1" t="s">
        <v>125</v>
      </c>
      <c r="E1365" s="1" t="n">
        <v>1</v>
      </c>
      <c r="F1365" s="5" t="n">
        <v>0</v>
      </c>
      <c r="G1365" s="1" t="s">
        <v>13</v>
      </c>
      <c r="H1365" s="1" t="s">
        <v>53</v>
      </c>
      <c r="I1365" s="1" t="s">
        <v>15</v>
      </c>
      <c r="J1365" s="1" t="n">
        <v>7</v>
      </c>
    </row>
    <row r="1366" customFormat="false" ht="15" hidden="false" customHeight="false" outlineLevel="0" collapsed="false">
      <c r="A1366" s="1" t="s">
        <v>1787</v>
      </c>
      <c r="B1366" s="4" t="n">
        <v>45662</v>
      </c>
      <c r="C1366" s="1" t="s">
        <v>408</v>
      </c>
      <c r="D1366" s="1" t="s">
        <v>441</v>
      </c>
      <c r="E1366" s="1" t="n">
        <v>3</v>
      </c>
      <c r="F1366" s="5" t="n">
        <v>0.1</v>
      </c>
      <c r="G1366" s="1" t="s">
        <v>19</v>
      </c>
      <c r="H1366" s="1" t="s">
        <v>14</v>
      </c>
      <c r="I1366" s="1" t="s">
        <v>20</v>
      </c>
      <c r="J1366" s="1" t="n">
        <v>3</v>
      </c>
    </row>
    <row r="1367" customFormat="false" ht="15" hidden="false" customHeight="false" outlineLevel="0" collapsed="false">
      <c r="A1367" s="1" t="s">
        <v>1788</v>
      </c>
      <c r="B1367" s="4" t="n">
        <v>45709</v>
      </c>
      <c r="C1367" s="1" t="s">
        <v>50</v>
      </c>
      <c r="D1367" s="1" t="s">
        <v>89</v>
      </c>
      <c r="E1367" s="1" t="n">
        <v>1</v>
      </c>
      <c r="F1367" s="5" t="n">
        <v>0.05</v>
      </c>
      <c r="G1367" s="1" t="s">
        <v>34</v>
      </c>
      <c r="H1367" s="1" t="s">
        <v>78</v>
      </c>
      <c r="I1367" s="1" t="s">
        <v>15</v>
      </c>
      <c r="J1367" s="1" t="n">
        <v>2</v>
      </c>
    </row>
    <row r="1368" customFormat="false" ht="15" hidden="false" customHeight="false" outlineLevel="0" collapsed="false">
      <c r="A1368" s="1" t="s">
        <v>1789</v>
      </c>
      <c r="B1368" s="4" t="n">
        <v>45696</v>
      </c>
      <c r="C1368" s="1" t="s">
        <v>452</v>
      </c>
      <c r="D1368" s="1" t="s">
        <v>58</v>
      </c>
      <c r="E1368" s="1" t="n">
        <v>2</v>
      </c>
      <c r="F1368" s="5" t="n">
        <v>0</v>
      </c>
      <c r="G1368" s="1" t="s">
        <v>19</v>
      </c>
      <c r="H1368" s="1" t="s">
        <v>14</v>
      </c>
      <c r="I1368" s="1" t="s">
        <v>38</v>
      </c>
      <c r="J1368" s="1" t="n">
        <v>4</v>
      </c>
    </row>
    <row r="1369" customFormat="false" ht="15" hidden="false" customHeight="false" outlineLevel="0" collapsed="false">
      <c r="A1369" s="1" t="s">
        <v>1790</v>
      </c>
      <c r="B1369" s="4" t="n">
        <v>45800</v>
      </c>
      <c r="C1369" s="1" t="s">
        <v>747</v>
      </c>
      <c r="D1369" s="1" t="s">
        <v>41</v>
      </c>
      <c r="E1369" s="1" t="n">
        <v>1</v>
      </c>
      <c r="F1369" s="5" t="n">
        <v>0.1</v>
      </c>
      <c r="G1369" s="1" t="s">
        <v>52</v>
      </c>
      <c r="H1369" s="1" t="s">
        <v>14</v>
      </c>
      <c r="I1369" s="1" t="s">
        <v>38</v>
      </c>
      <c r="J1369" s="1" t="n">
        <v>3</v>
      </c>
    </row>
    <row r="1370" customFormat="false" ht="15" hidden="false" customHeight="false" outlineLevel="0" collapsed="false">
      <c r="A1370" s="1" t="s">
        <v>1791</v>
      </c>
      <c r="B1370" s="4" t="n">
        <v>45934</v>
      </c>
      <c r="C1370" s="1" t="s">
        <v>1019</v>
      </c>
      <c r="D1370" s="1" t="s">
        <v>134</v>
      </c>
      <c r="E1370" s="1" t="n">
        <v>3</v>
      </c>
      <c r="F1370" s="5" t="n">
        <v>0.05</v>
      </c>
      <c r="G1370" s="1" t="s">
        <v>24</v>
      </c>
      <c r="H1370" s="1" t="s">
        <v>14</v>
      </c>
      <c r="I1370" s="1" t="s">
        <v>38</v>
      </c>
      <c r="J1370" s="1" t="n">
        <v>5</v>
      </c>
    </row>
    <row r="1371" customFormat="false" ht="15" hidden="false" customHeight="false" outlineLevel="0" collapsed="false">
      <c r="A1371" s="1" t="s">
        <v>1792</v>
      </c>
      <c r="B1371" s="4" t="n">
        <v>45892</v>
      </c>
      <c r="C1371" s="1" t="s">
        <v>721</v>
      </c>
      <c r="D1371" s="1" t="s">
        <v>418</v>
      </c>
      <c r="E1371" s="1" t="n">
        <v>1</v>
      </c>
      <c r="F1371" s="5" t="n">
        <v>0</v>
      </c>
      <c r="G1371" s="1" t="s">
        <v>52</v>
      </c>
      <c r="H1371" s="1" t="s">
        <v>14</v>
      </c>
      <c r="I1371" s="1" t="s">
        <v>15</v>
      </c>
      <c r="J1371" s="1" t="n">
        <v>1</v>
      </c>
    </row>
    <row r="1372" customFormat="false" ht="15" hidden="false" customHeight="false" outlineLevel="0" collapsed="false">
      <c r="A1372" s="1" t="s">
        <v>1793</v>
      </c>
      <c r="B1372" s="4" t="n">
        <v>45929</v>
      </c>
      <c r="C1372" s="1" t="s">
        <v>1559</v>
      </c>
      <c r="D1372" s="1" t="s">
        <v>303</v>
      </c>
      <c r="E1372" s="1" t="n">
        <v>1</v>
      </c>
      <c r="F1372" s="5" t="n">
        <v>0.1</v>
      </c>
      <c r="G1372" s="1" t="s">
        <v>34</v>
      </c>
      <c r="H1372" s="1" t="s">
        <v>14</v>
      </c>
      <c r="I1372" s="1" t="s">
        <v>38</v>
      </c>
      <c r="J1372" s="1" t="n">
        <v>4</v>
      </c>
    </row>
    <row r="1373" customFormat="false" ht="15" hidden="false" customHeight="false" outlineLevel="0" collapsed="false">
      <c r="A1373" s="1" t="s">
        <v>1794</v>
      </c>
      <c r="B1373" s="4" t="n">
        <v>45739</v>
      </c>
      <c r="C1373" s="1" t="s">
        <v>314</v>
      </c>
      <c r="D1373" s="1" t="s">
        <v>77</v>
      </c>
      <c r="E1373" s="1" t="n">
        <v>1</v>
      </c>
      <c r="F1373" s="5" t="n">
        <v>0.05</v>
      </c>
      <c r="G1373" s="1" t="s">
        <v>34</v>
      </c>
      <c r="H1373" s="1" t="s">
        <v>14</v>
      </c>
      <c r="I1373" s="1" t="s">
        <v>15</v>
      </c>
      <c r="J1373" s="1" t="n">
        <v>3</v>
      </c>
    </row>
    <row r="1374" customFormat="false" ht="15" hidden="false" customHeight="false" outlineLevel="0" collapsed="false">
      <c r="A1374" s="1" t="s">
        <v>1795</v>
      </c>
      <c r="B1374" s="4" t="n">
        <v>45894</v>
      </c>
      <c r="C1374" s="1" t="s">
        <v>1430</v>
      </c>
      <c r="D1374" s="1" t="s">
        <v>375</v>
      </c>
      <c r="E1374" s="1" t="n">
        <v>5</v>
      </c>
      <c r="F1374" s="5" t="n">
        <v>0.2</v>
      </c>
      <c r="G1374" s="1" t="s">
        <v>52</v>
      </c>
      <c r="H1374" s="1" t="s">
        <v>14</v>
      </c>
      <c r="I1374" s="1" t="s">
        <v>20</v>
      </c>
      <c r="J1374" s="1" t="n">
        <v>8</v>
      </c>
    </row>
    <row r="1375" customFormat="false" ht="15" hidden="false" customHeight="false" outlineLevel="0" collapsed="false">
      <c r="A1375" s="1" t="s">
        <v>1796</v>
      </c>
      <c r="B1375" s="4" t="n">
        <v>45687</v>
      </c>
      <c r="C1375" s="1" t="s">
        <v>314</v>
      </c>
      <c r="D1375" s="1" t="s">
        <v>18</v>
      </c>
      <c r="E1375" s="1" t="n">
        <v>1</v>
      </c>
      <c r="F1375" s="5" t="n">
        <v>0.15</v>
      </c>
      <c r="G1375" s="1" t="s">
        <v>24</v>
      </c>
      <c r="H1375" s="1" t="s">
        <v>14</v>
      </c>
      <c r="I1375" s="1" t="s">
        <v>20</v>
      </c>
      <c r="J1375" s="1" t="n">
        <v>3</v>
      </c>
    </row>
    <row r="1376" customFormat="false" ht="15" hidden="false" customHeight="false" outlineLevel="0" collapsed="false">
      <c r="A1376" s="1" t="s">
        <v>1797</v>
      </c>
      <c r="B1376" s="4" t="n">
        <v>45860</v>
      </c>
      <c r="C1376" s="1" t="s">
        <v>1625</v>
      </c>
      <c r="D1376" s="1" t="s">
        <v>240</v>
      </c>
      <c r="E1376" s="1" t="n">
        <v>2</v>
      </c>
      <c r="F1376" s="5" t="n">
        <v>0.1</v>
      </c>
      <c r="G1376" s="1" t="s">
        <v>19</v>
      </c>
      <c r="H1376" s="1" t="s">
        <v>14</v>
      </c>
      <c r="I1376" s="1" t="s">
        <v>15</v>
      </c>
      <c r="J1376" s="1" t="n">
        <v>8</v>
      </c>
    </row>
    <row r="1377" customFormat="false" ht="15" hidden="false" customHeight="false" outlineLevel="0" collapsed="false">
      <c r="A1377" s="1" t="s">
        <v>1798</v>
      </c>
      <c r="B1377" s="4" t="n">
        <v>45894</v>
      </c>
      <c r="C1377" s="1" t="s">
        <v>747</v>
      </c>
      <c r="D1377" s="1" t="s">
        <v>429</v>
      </c>
      <c r="E1377" s="1" t="n">
        <v>1</v>
      </c>
      <c r="F1377" s="5" t="n">
        <v>0.05</v>
      </c>
      <c r="G1377" s="1" t="s">
        <v>19</v>
      </c>
      <c r="H1377" s="1" t="s">
        <v>53</v>
      </c>
      <c r="I1377" s="1" t="s">
        <v>15</v>
      </c>
      <c r="J1377" s="1" t="n">
        <v>1</v>
      </c>
    </row>
    <row r="1378" customFormat="false" ht="15" hidden="false" customHeight="false" outlineLevel="0" collapsed="false">
      <c r="A1378" s="1" t="s">
        <v>1799</v>
      </c>
      <c r="B1378" s="4" t="n">
        <v>45710</v>
      </c>
      <c r="C1378" s="1" t="s">
        <v>1229</v>
      </c>
      <c r="D1378" s="1" t="s">
        <v>134</v>
      </c>
      <c r="E1378" s="1" t="n">
        <v>1</v>
      </c>
      <c r="F1378" s="5" t="n">
        <v>0.15</v>
      </c>
      <c r="G1378" s="1" t="s">
        <v>19</v>
      </c>
      <c r="H1378" s="1" t="s">
        <v>14</v>
      </c>
      <c r="I1378" s="1" t="s">
        <v>15</v>
      </c>
      <c r="J1378" s="1" t="n">
        <v>8</v>
      </c>
    </row>
    <row r="1379" customFormat="false" ht="15" hidden="false" customHeight="false" outlineLevel="0" collapsed="false">
      <c r="A1379" s="1" t="s">
        <v>1800</v>
      </c>
      <c r="B1379" s="4" t="n">
        <v>45710</v>
      </c>
      <c r="C1379" s="1" t="s">
        <v>413</v>
      </c>
      <c r="D1379" s="1" t="s">
        <v>27</v>
      </c>
      <c r="E1379" s="1" t="n">
        <v>3</v>
      </c>
      <c r="F1379" s="5" t="n">
        <v>0.1</v>
      </c>
      <c r="G1379" s="1" t="s">
        <v>34</v>
      </c>
      <c r="H1379" s="1" t="s">
        <v>92</v>
      </c>
      <c r="I1379" s="1" t="s">
        <v>38</v>
      </c>
    </row>
    <row r="1380" customFormat="false" ht="15" hidden="false" customHeight="false" outlineLevel="0" collapsed="false">
      <c r="A1380" s="1" t="s">
        <v>1801</v>
      </c>
      <c r="B1380" s="4" t="n">
        <v>45997</v>
      </c>
      <c r="C1380" s="1" t="s">
        <v>378</v>
      </c>
      <c r="D1380" s="1" t="s">
        <v>106</v>
      </c>
      <c r="E1380" s="1" t="n">
        <v>1</v>
      </c>
      <c r="F1380" s="5" t="n">
        <v>0.05</v>
      </c>
      <c r="G1380" s="1" t="s">
        <v>71</v>
      </c>
      <c r="H1380" s="1" t="s">
        <v>14</v>
      </c>
      <c r="I1380" s="1" t="s">
        <v>20</v>
      </c>
      <c r="J1380" s="1" t="n">
        <v>7</v>
      </c>
    </row>
    <row r="1381" customFormat="false" ht="15" hidden="false" customHeight="false" outlineLevel="0" collapsed="false">
      <c r="A1381" s="1" t="s">
        <v>1802</v>
      </c>
      <c r="B1381" s="4" t="n">
        <v>45711</v>
      </c>
      <c r="C1381" s="1" t="s">
        <v>105</v>
      </c>
      <c r="D1381" s="1" t="s">
        <v>176</v>
      </c>
      <c r="E1381" s="1" t="n">
        <v>1</v>
      </c>
      <c r="F1381" s="5" t="n">
        <v>0.05</v>
      </c>
      <c r="G1381" s="1" t="s">
        <v>34</v>
      </c>
      <c r="H1381" s="1" t="s">
        <v>14</v>
      </c>
      <c r="I1381" s="1" t="s">
        <v>15</v>
      </c>
      <c r="J1381" s="1" t="n">
        <v>8</v>
      </c>
    </row>
    <row r="1382" customFormat="false" ht="15" hidden="false" customHeight="false" outlineLevel="0" collapsed="false">
      <c r="A1382" s="1" t="s">
        <v>1803</v>
      </c>
      <c r="B1382" s="4" t="n">
        <v>45890</v>
      </c>
      <c r="C1382" s="1" t="s">
        <v>615</v>
      </c>
      <c r="D1382" s="1" t="s">
        <v>462</v>
      </c>
      <c r="E1382" s="1" t="n">
        <v>2</v>
      </c>
      <c r="F1382" s="5" t="n">
        <v>0.05</v>
      </c>
      <c r="G1382" s="1" t="s">
        <v>52</v>
      </c>
      <c r="H1382" s="1" t="s">
        <v>14</v>
      </c>
      <c r="I1382" s="1" t="s">
        <v>38</v>
      </c>
      <c r="J1382" s="1" t="n">
        <v>4</v>
      </c>
    </row>
    <row r="1383" customFormat="false" ht="15" hidden="false" customHeight="false" outlineLevel="0" collapsed="false">
      <c r="A1383" s="1" t="s">
        <v>1804</v>
      </c>
      <c r="B1383" s="4" t="n">
        <v>45930</v>
      </c>
      <c r="C1383" s="1" t="s">
        <v>518</v>
      </c>
      <c r="D1383" s="1" t="s">
        <v>484</v>
      </c>
      <c r="E1383" s="1" t="n">
        <v>2</v>
      </c>
      <c r="F1383" s="5" t="n">
        <v>0.05</v>
      </c>
      <c r="G1383" s="1" t="s">
        <v>52</v>
      </c>
      <c r="H1383" s="1" t="s">
        <v>14</v>
      </c>
      <c r="I1383" s="1" t="s">
        <v>20</v>
      </c>
      <c r="J1383" s="1" t="n">
        <v>1</v>
      </c>
    </row>
    <row r="1384" customFormat="false" ht="15" hidden="false" customHeight="false" outlineLevel="0" collapsed="false">
      <c r="A1384" s="1" t="s">
        <v>1805</v>
      </c>
      <c r="B1384" s="4" t="n">
        <v>46019</v>
      </c>
      <c r="C1384" s="1" t="s">
        <v>608</v>
      </c>
      <c r="D1384" s="1" t="s">
        <v>270</v>
      </c>
      <c r="E1384" s="1" t="n">
        <v>3</v>
      </c>
      <c r="F1384" s="5" t="n">
        <v>0.05</v>
      </c>
      <c r="G1384" s="1" t="s">
        <v>34</v>
      </c>
      <c r="H1384" s="1" t="s">
        <v>53</v>
      </c>
      <c r="I1384" s="1" t="s">
        <v>38</v>
      </c>
      <c r="J1384" s="1" t="n">
        <v>1</v>
      </c>
    </row>
    <row r="1385" customFormat="false" ht="15" hidden="false" customHeight="false" outlineLevel="0" collapsed="false">
      <c r="A1385" s="1" t="s">
        <v>1806</v>
      </c>
      <c r="B1385" s="4" t="n">
        <v>45666</v>
      </c>
      <c r="C1385" s="1" t="s">
        <v>954</v>
      </c>
      <c r="D1385" s="1" t="s">
        <v>84</v>
      </c>
      <c r="E1385" s="1" t="n">
        <v>3</v>
      </c>
      <c r="F1385" s="5" t="n">
        <v>0.1</v>
      </c>
      <c r="G1385" s="1" t="s">
        <v>52</v>
      </c>
      <c r="H1385" s="1" t="s">
        <v>14</v>
      </c>
      <c r="I1385" s="1" t="s">
        <v>15</v>
      </c>
      <c r="J1385" s="1" t="n">
        <v>4</v>
      </c>
    </row>
    <row r="1386" customFormat="false" ht="15" hidden="false" customHeight="false" outlineLevel="0" collapsed="false">
      <c r="A1386" s="1" t="s">
        <v>1807</v>
      </c>
      <c r="B1386" s="4" t="n">
        <v>45871</v>
      </c>
      <c r="C1386" s="1" t="s">
        <v>466</v>
      </c>
      <c r="D1386" s="1" t="s">
        <v>418</v>
      </c>
      <c r="E1386" s="1" t="n">
        <v>1</v>
      </c>
      <c r="F1386" s="5" t="n">
        <v>0</v>
      </c>
      <c r="G1386" s="1" t="s">
        <v>13</v>
      </c>
      <c r="H1386" s="1" t="s">
        <v>14</v>
      </c>
      <c r="I1386" s="1" t="s">
        <v>15</v>
      </c>
      <c r="J1386" s="1" t="n">
        <v>3</v>
      </c>
    </row>
    <row r="1387" customFormat="false" ht="15" hidden="false" customHeight="false" outlineLevel="0" collapsed="false">
      <c r="A1387" s="1" t="s">
        <v>1808</v>
      </c>
      <c r="B1387" s="4" t="n">
        <v>45951</v>
      </c>
      <c r="C1387" s="1" t="s">
        <v>361</v>
      </c>
      <c r="D1387" s="1" t="s">
        <v>230</v>
      </c>
      <c r="E1387" s="1" t="n">
        <v>1</v>
      </c>
      <c r="F1387" s="5" t="n">
        <v>0</v>
      </c>
      <c r="G1387" s="1" t="s">
        <v>34</v>
      </c>
      <c r="H1387" s="1" t="s">
        <v>14</v>
      </c>
      <c r="I1387" s="1" t="s">
        <v>38</v>
      </c>
      <c r="J1387" s="1" t="n">
        <v>3</v>
      </c>
    </row>
    <row r="1388" customFormat="false" ht="15" hidden="false" customHeight="false" outlineLevel="0" collapsed="false">
      <c r="A1388" s="1" t="s">
        <v>1809</v>
      </c>
      <c r="B1388" s="4" t="n">
        <v>45854</v>
      </c>
      <c r="C1388" s="1" t="s">
        <v>355</v>
      </c>
      <c r="D1388" s="1" t="s">
        <v>253</v>
      </c>
      <c r="E1388" s="1" t="n">
        <v>2</v>
      </c>
      <c r="F1388" s="5" t="n">
        <v>0.05</v>
      </c>
      <c r="G1388" s="1" t="s">
        <v>24</v>
      </c>
      <c r="H1388" s="1" t="s">
        <v>14</v>
      </c>
      <c r="I1388" s="1" t="s">
        <v>15</v>
      </c>
      <c r="J1388" s="1" t="n">
        <v>6</v>
      </c>
    </row>
    <row r="1389" customFormat="false" ht="15" hidden="false" customHeight="false" outlineLevel="0" collapsed="false">
      <c r="A1389" s="1" t="s">
        <v>1810</v>
      </c>
      <c r="B1389" s="4" t="n">
        <v>45874</v>
      </c>
      <c r="C1389" s="1" t="s">
        <v>317</v>
      </c>
      <c r="D1389" s="1" t="s">
        <v>171</v>
      </c>
      <c r="E1389" s="1" t="n">
        <v>1</v>
      </c>
      <c r="F1389" s="5" t="n">
        <v>0.05</v>
      </c>
      <c r="G1389" s="1" t="s">
        <v>24</v>
      </c>
      <c r="H1389" s="1" t="s">
        <v>14</v>
      </c>
      <c r="I1389" s="1" t="s">
        <v>15</v>
      </c>
      <c r="J1389" s="1" t="n">
        <v>2</v>
      </c>
    </row>
    <row r="1390" customFormat="false" ht="15" hidden="false" customHeight="false" outlineLevel="0" collapsed="false">
      <c r="A1390" s="1" t="s">
        <v>1811</v>
      </c>
      <c r="B1390" s="4" t="n">
        <v>45922</v>
      </c>
      <c r="C1390" s="1" t="s">
        <v>836</v>
      </c>
      <c r="D1390" s="1" t="s">
        <v>493</v>
      </c>
      <c r="E1390" s="1" t="n">
        <v>2</v>
      </c>
      <c r="F1390" s="5" t="n">
        <v>0.05</v>
      </c>
      <c r="G1390" s="1" t="s">
        <v>24</v>
      </c>
      <c r="H1390" s="1" t="s">
        <v>14</v>
      </c>
      <c r="I1390" s="1" t="s">
        <v>15</v>
      </c>
      <c r="J1390" s="1" t="n">
        <v>5</v>
      </c>
    </row>
    <row r="1391" customFormat="false" ht="15" hidden="false" customHeight="false" outlineLevel="0" collapsed="false">
      <c r="A1391" s="1" t="s">
        <v>1812</v>
      </c>
      <c r="B1391" s="4" t="n">
        <v>45812</v>
      </c>
      <c r="C1391" s="1" t="s">
        <v>61</v>
      </c>
      <c r="D1391" s="1" t="s">
        <v>27</v>
      </c>
      <c r="E1391" s="1" t="n">
        <v>2</v>
      </c>
      <c r="F1391" s="5" t="n">
        <v>0.2</v>
      </c>
      <c r="G1391" s="1" t="s">
        <v>24</v>
      </c>
      <c r="H1391" s="1" t="s">
        <v>14</v>
      </c>
      <c r="I1391" s="1" t="s">
        <v>15</v>
      </c>
      <c r="J1391" s="1" t="n">
        <v>2</v>
      </c>
    </row>
    <row r="1392" customFormat="false" ht="15" hidden="false" customHeight="false" outlineLevel="0" collapsed="false">
      <c r="A1392" s="1" t="s">
        <v>1813</v>
      </c>
      <c r="B1392" s="4" t="n">
        <v>45797</v>
      </c>
      <c r="C1392" s="1" t="s">
        <v>951</v>
      </c>
      <c r="D1392" s="1" t="s">
        <v>335</v>
      </c>
      <c r="E1392" s="1" t="n">
        <v>1</v>
      </c>
      <c r="F1392" s="5" t="n">
        <v>0.15</v>
      </c>
      <c r="G1392" s="1" t="s">
        <v>34</v>
      </c>
      <c r="H1392" s="1" t="s">
        <v>14</v>
      </c>
      <c r="I1392" s="1" t="s">
        <v>15</v>
      </c>
      <c r="J1392" s="1" t="n">
        <v>7</v>
      </c>
    </row>
    <row r="1393" customFormat="false" ht="15" hidden="false" customHeight="false" outlineLevel="0" collapsed="false">
      <c r="A1393" s="1" t="s">
        <v>1814</v>
      </c>
      <c r="B1393" s="4" t="n">
        <v>45672</v>
      </c>
      <c r="C1393" s="1" t="s">
        <v>647</v>
      </c>
      <c r="D1393" s="1" t="s">
        <v>117</v>
      </c>
      <c r="E1393" s="1" t="n">
        <v>1</v>
      </c>
      <c r="F1393" s="5" t="n">
        <v>0.05</v>
      </c>
      <c r="G1393" s="1" t="s">
        <v>52</v>
      </c>
      <c r="H1393" s="1" t="s">
        <v>14</v>
      </c>
      <c r="I1393" s="1" t="s">
        <v>20</v>
      </c>
      <c r="J1393" s="1" t="n">
        <v>4</v>
      </c>
    </row>
    <row r="1394" customFormat="false" ht="15" hidden="false" customHeight="false" outlineLevel="0" collapsed="false">
      <c r="A1394" s="1" t="s">
        <v>1815</v>
      </c>
      <c r="B1394" s="4" t="n">
        <v>45788</v>
      </c>
      <c r="C1394" s="1" t="s">
        <v>572</v>
      </c>
      <c r="D1394" s="1" t="s">
        <v>371</v>
      </c>
      <c r="E1394" s="1" t="n">
        <v>1</v>
      </c>
      <c r="F1394" s="5" t="n">
        <v>0.1</v>
      </c>
      <c r="G1394" s="1" t="s">
        <v>34</v>
      </c>
      <c r="H1394" s="1" t="s">
        <v>14</v>
      </c>
      <c r="I1394" s="1" t="s">
        <v>38</v>
      </c>
      <c r="J1394" s="1" t="n">
        <v>5</v>
      </c>
    </row>
    <row r="1395" customFormat="false" ht="15" hidden="false" customHeight="false" outlineLevel="0" collapsed="false">
      <c r="A1395" s="1" t="s">
        <v>1816</v>
      </c>
      <c r="B1395" s="4" t="n">
        <v>45722</v>
      </c>
      <c r="C1395" s="1" t="s">
        <v>1540</v>
      </c>
      <c r="D1395" s="1" t="s">
        <v>106</v>
      </c>
      <c r="E1395" s="1" t="n">
        <v>2</v>
      </c>
      <c r="F1395" s="5" t="n">
        <v>0.2</v>
      </c>
      <c r="G1395" s="1" t="s">
        <v>19</v>
      </c>
      <c r="H1395" s="1" t="s">
        <v>78</v>
      </c>
      <c r="I1395" s="1" t="s">
        <v>15</v>
      </c>
      <c r="J1395" s="1" t="n">
        <v>6</v>
      </c>
    </row>
    <row r="1396" customFormat="false" ht="15" hidden="false" customHeight="false" outlineLevel="0" collapsed="false">
      <c r="A1396" s="1" t="s">
        <v>1817</v>
      </c>
      <c r="B1396" s="4" t="n">
        <v>45963</v>
      </c>
      <c r="C1396" s="1" t="s">
        <v>370</v>
      </c>
      <c r="D1396" s="1" t="s">
        <v>399</v>
      </c>
      <c r="E1396" s="1" t="n">
        <v>1</v>
      </c>
      <c r="F1396" s="5" t="n">
        <v>0.2</v>
      </c>
      <c r="G1396" s="1" t="s">
        <v>52</v>
      </c>
      <c r="H1396" s="1" t="s">
        <v>14</v>
      </c>
      <c r="I1396" s="1" t="s">
        <v>20</v>
      </c>
      <c r="J1396" s="1" t="n">
        <v>3</v>
      </c>
    </row>
    <row r="1397" customFormat="false" ht="15" hidden="false" customHeight="false" outlineLevel="0" collapsed="false">
      <c r="A1397" s="1" t="s">
        <v>1818</v>
      </c>
      <c r="B1397" s="4" t="n">
        <v>45911</v>
      </c>
      <c r="C1397" s="1" t="s">
        <v>145</v>
      </c>
      <c r="D1397" s="1" t="s">
        <v>985</v>
      </c>
      <c r="E1397" s="1" t="n">
        <v>2</v>
      </c>
      <c r="F1397" s="5" t="n">
        <v>0.1</v>
      </c>
      <c r="G1397" s="1" t="s">
        <v>52</v>
      </c>
      <c r="H1397" s="1" t="s">
        <v>53</v>
      </c>
      <c r="I1397" s="1" t="s">
        <v>15</v>
      </c>
      <c r="J1397" s="1" t="n">
        <v>7</v>
      </c>
    </row>
    <row r="1398" customFormat="false" ht="15" hidden="false" customHeight="false" outlineLevel="0" collapsed="false">
      <c r="A1398" s="1" t="s">
        <v>1819</v>
      </c>
      <c r="B1398" s="4" t="n">
        <v>45785</v>
      </c>
      <c r="C1398" s="1" t="s">
        <v>96</v>
      </c>
      <c r="D1398" s="1" t="s">
        <v>94</v>
      </c>
      <c r="E1398" s="1" t="n">
        <v>1</v>
      </c>
      <c r="F1398" s="5" t="n">
        <v>0</v>
      </c>
      <c r="G1398" s="1" t="s">
        <v>19</v>
      </c>
      <c r="H1398" s="1" t="s">
        <v>78</v>
      </c>
      <c r="I1398" s="1" t="s">
        <v>15</v>
      </c>
      <c r="J1398" s="1" t="n">
        <v>7</v>
      </c>
    </row>
    <row r="1399" customFormat="false" ht="15" hidden="false" customHeight="false" outlineLevel="0" collapsed="false">
      <c r="A1399" s="1" t="s">
        <v>1820</v>
      </c>
      <c r="B1399" s="4" t="n">
        <v>45993</v>
      </c>
      <c r="C1399" s="1" t="s">
        <v>191</v>
      </c>
      <c r="D1399" s="1" t="s">
        <v>70</v>
      </c>
      <c r="E1399" s="1" t="n">
        <v>3</v>
      </c>
      <c r="F1399" s="5" t="n">
        <v>0.15</v>
      </c>
      <c r="G1399" s="1" t="s">
        <v>71</v>
      </c>
      <c r="H1399" s="1" t="s">
        <v>14</v>
      </c>
      <c r="I1399" s="1" t="s">
        <v>20</v>
      </c>
      <c r="J1399" s="1" t="n">
        <v>4</v>
      </c>
    </row>
    <row r="1400" customFormat="false" ht="15" hidden="false" customHeight="false" outlineLevel="0" collapsed="false">
      <c r="A1400" s="1" t="s">
        <v>1821</v>
      </c>
      <c r="B1400" s="4" t="n">
        <v>45912</v>
      </c>
      <c r="C1400" s="1" t="s">
        <v>119</v>
      </c>
      <c r="D1400" s="1" t="s">
        <v>168</v>
      </c>
      <c r="E1400" s="1" t="n">
        <v>1</v>
      </c>
      <c r="F1400" s="5" t="n">
        <v>0.05</v>
      </c>
      <c r="G1400" s="1" t="s">
        <v>24</v>
      </c>
      <c r="H1400" s="1" t="s">
        <v>53</v>
      </c>
      <c r="I1400" s="1" t="s">
        <v>15</v>
      </c>
      <c r="J1400" s="1" t="n">
        <v>8</v>
      </c>
    </row>
    <row r="1401" customFormat="false" ht="15" hidden="false" customHeight="false" outlineLevel="0" collapsed="false">
      <c r="A1401" s="1" t="s">
        <v>1822</v>
      </c>
      <c r="B1401" s="4" t="n">
        <v>45794</v>
      </c>
      <c r="C1401" s="1" t="s">
        <v>391</v>
      </c>
      <c r="D1401" s="1" t="s">
        <v>985</v>
      </c>
      <c r="E1401" s="1" t="n">
        <v>2</v>
      </c>
      <c r="F1401" s="5" t="n">
        <v>0.15</v>
      </c>
      <c r="G1401" s="1" t="s">
        <v>19</v>
      </c>
      <c r="H1401" s="1" t="s">
        <v>14</v>
      </c>
      <c r="I1401" s="1" t="s">
        <v>15</v>
      </c>
      <c r="J1401" s="1" t="n">
        <v>5</v>
      </c>
    </row>
    <row r="1402" customFormat="false" ht="15" hidden="false" customHeight="false" outlineLevel="0" collapsed="false">
      <c r="A1402" s="1" t="s">
        <v>1823</v>
      </c>
      <c r="B1402" s="4" t="n">
        <v>45663</v>
      </c>
      <c r="C1402" s="1" t="s">
        <v>541</v>
      </c>
      <c r="D1402" s="1" t="s">
        <v>176</v>
      </c>
      <c r="E1402" s="1" t="n">
        <v>1</v>
      </c>
      <c r="F1402" s="5" t="n">
        <v>0.25</v>
      </c>
      <c r="G1402" s="1" t="s">
        <v>34</v>
      </c>
      <c r="H1402" s="1" t="s">
        <v>14</v>
      </c>
      <c r="I1402" s="1" t="s">
        <v>15</v>
      </c>
      <c r="J1402" s="1" t="n">
        <v>8</v>
      </c>
    </row>
    <row r="1403" customFormat="false" ht="15" hidden="false" customHeight="false" outlineLevel="0" collapsed="false">
      <c r="A1403" s="1" t="s">
        <v>1824</v>
      </c>
      <c r="B1403" s="4" t="n">
        <v>45784</v>
      </c>
      <c r="C1403" s="1" t="s">
        <v>747</v>
      </c>
      <c r="D1403" s="1" t="s">
        <v>216</v>
      </c>
      <c r="E1403" s="1" t="n">
        <v>2</v>
      </c>
      <c r="F1403" s="5" t="n">
        <v>0.2</v>
      </c>
      <c r="G1403" s="1" t="s">
        <v>34</v>
      </c>
      <c r="H1403" s="1" t="s">
        <v>53</v>
      </c>
      <c r="I1403" s="1" t="s">
        <v>20</v>
      </c>
      <c r="J1403" s="1" t="n">
        <v>2</v>
      </c>
    </row>
    <row r="1404" customFormat="false" ht="15" hidden="false" customHeight="false" outlineLevel="0" collapsed="false">
      <c r="A1404" s="1" t="s">
        <v>1825</v>
      </c>
      <c r="B1404" s="4" t="n">
        <v>45849</v>
      </c>
      <c r="C1404" s="1" t="s">
        <v>413</v>
      </c>
      <c r="D1404" s="1" t="s">
        <v>23</v>
      </c>
      <c r="E1404" s="1" t="n">
        <v>1</v>
      </c>
      <c r="F1404" s="5" t="n">
        <v>0</v>
      </c>
      <c r="G1404" s="1" t="s">
        <v>19</v>
      </c>
      <c r="H1404" s="1" t="s">
        <v>14</v>
      </c>
      <c r="I1404" s="1" t="s">
        <v>15</v>
      </c>
      <c r="J1404" s="1" t="n">
        <v>5</v>
      </c>
    </row>
    <row r="1405" customFormat="false" ht="15" hidden="false" customHeight="false" outlineLevel="0" collapsed="false">
      <c r="A1405" s="1" t="s">
        <v>1826</v>
      </c>
      <c r="B1405" s="4" t="n">
        <v>45848</v>
      </c>
      <c r="C1405" s="1" t="s">
        <v>22</v>
      </c>
      <c r="D1405" s="1" t="s">
        <v>125</v>
      </c>
      <c r="E1405" s="1" t="n">
        <v>1</v>
      </c>
      <c r="F1405" s="5" t="n">
        <v>0.25</v>
      </c>
      <c r="G1405" s="1" t="s">
        <v>34</v>
      </c>
      <c r="H1405" s="1" t="s">
        <v>14</v>
      </c>
      <c r="I1405" s="1" t="s">
        <v>20</v>
      </c>
      <c r="J1405" s="1" t="n">
        <v>6</v>
      </c>
    </row>
    <row r="1406" customFormat="false" ht="15" hidden="false" customHeight="false" outlineLevel="0" collapsed="false">
      <c r="A1406" s="1" t="s">
        <v>1827</v>
      </c>
      <c r="B1406" s="4" t="n">
        <v>45961</v>
      </c>
      <c r="C1406" s="1" t="s">
        <v>626</v>
      </c>
      <c r="D1406" s="1" t="s">
        <v>44</v>
      </c>
      <c r="E1406" s="1" t="n">
        <v>1</v>
      </c>
      <c r="F1406" s="5" t="n">
        <v>0.1</v>
      </c>
      <c r="G1406" s="1" t="s">
        <v>71</v>
      </c>
      <c r="H1406" s="1" t="s">
        <v>14</v>
      </c>
      <c r="I1406" s="1" t="s">
        <v>20</v>
      </c>
      <c r="J1406" s="1" t="n">
        <v>6</v>
      </c>
    </row>
    <row r="1407" customFormat="false" ht="15" hidden="false" customHeight="false" outlineLevel="0" collapsed="false">
      <c r="A1407" s="1" t="s">
        <v>1828</v>
      </c>
      <c r="B1407" s="4" t="n">
        <v>45852</v>
      </c>
      <c r="C1407" s="1" t="s">
        <v>541</v>
      </c>
      <c r="D1407" s="1" t="s">
        <v>48</v>
      </c>
      <c r="E1407" s="1" t="n">
        <v>2</v>
      </c>
      <c r="F1407" s="5" t="n">
        <v>0.1</v>
      </c>
      <c r="G1407" s="1" t="s">
        <v>24</v>
      </c>
      <c r="H1407" s="1" t="s">
        <v>53</v>
      </c>
      <c r="I1407" s="1" t="s">
        <v>15</v>
      </c>
      <c r="J1407" s="1" t="n">
        <v>3</v>
      </c>
    </row>
    <row r="1408" customFormat="false" ht="15" hidden="false" customHeight="false" outlineLevel="0" collapsed="false">
      <c r="A1408" s="1" t="s">
        <v>1829</v>
      </c>
      <c r="B1408" s="4" t="n">
        <v>45989</v>
      </c>
      <c r="C1408" s="1" t="s">
        <v>268</v>
      </c>
      <c r="D1408" s="1" t="s">
        <v>375</v>
      </c>
      <c r="E1408" s="1" t="n">
        <v>2</v>
      </c>
      <c r="F1408" s="5" t="n">
        <v>0</v>
      </c>
      <c r="G1408" s="1" t="s">
        <v>24</v>
      </c>
      <c r="H1408" s="1" t="s">
        <v>14</v>
      </c>
      <c r="I1408" s="1" t="s">
        <v>15</v>
      </c>
      <c r="J1408" s="1" t="n">
        <v>5</v>
      </c>
    </row>
    <row r="1409" customFormat="false" ht="15" hidden="false" customHeight="false" outlineLevel="0" collapsed="false">
      <c r="A1409" s="1" t="s">
        <v>1830</v>
      </c>
      <c r="B1409" s="4" t="n">
        <v>45872</v>
      </c>
      <c r="C1409" s="1" t="s">
        <v>457</v>
      </c>
      <c r="D1409" s="1" t="s">
        <v>455</v>
      </c>
      <c r="E1409" s="1" t="n">
        <v>1</v>
      </c>
      <c r="F1409" s="5" t="n">
        <v>0.1</v>
      </c>
      <c r="G1409" s="1" t="s">
        <v>52</v>
      </c>
      <c r="H1409" s="1" t="s">
        <v>45</v>
      </c>
      <c r="I1409" s="1" t="s">
        <v>38</v>
      </c>
    </row>
    <row r="1410" customFormat="false" ht="15" hidden="false" customHeight="false" outlineLevel="0" collapsed="false">
      <c r="A1410" s="1" t="s">
        <v>1831</v>
      </c>
      <c r="B1410" s="4" t="n">
        <v>45950</v>
      </c>
      <c r="C1410" s="1" t="s">
        <v>285</v>
      </c>
      <c r="D1410" s="1" t="s">
        <v>89</v>
      </c>
      <c r="E1410" s="1" t="n">
        <v>2</v>
      </c>
      <c r="F1410" s="5" t="n">
        <v>0</v>
      </c>
      <c r="G1410" s="1" t="s">
        <v>52</v>
      </c>
      <c r="H1410" s="1" t="s">
        <v>45</v>
      </c>
      <c r="I1410" s="1" t="s">
        <v>15</v>
      </c>
    </row>
    <row r="1411" customFormat="false" ht="15" hidden="false" customHeight="false" outlineLevel="0" collapsed="false">
      <c r="A1411" s="1" t="s">
        <v>1832</v>
      </c>
      <c r="B1411" s="4" t="n">
        <v>45697</v>
      </c>
      <c r="C1411" s="1" t="s">
        <v>259</v>
      </c>
      <c r="D1411" s="1" t="s">
        <v>186</v>
      </c>
      <c r="E1411" s="1" t="n">
        <v>2</v>
      </c>
      <c r="F1411" s="5" t="n">
        <v>0.05</v>
      </c>
      <c r="G1411" s="1" t="s">
        <v>24</v>
      </c>
      <c r="H1411" s="1" t="s">
        <v>14</v>
      </c>
      <c r="I1411" s="1" t="s">
        <v>15</v>
      </c>
      <c r="J1411" s="1" t="n">
        <v>2</v>
      </c>
    </row>
    <row r="1412" customFormat="false" ht="15" hidden="false" customHeight="false" outlineLevel="0" collapsed="false">
      <c r="A1412" s="1" t="s">
        <v>1833</v>
      </c>
      <c r="B1412" s="4" t="n">
        <v>45946</v>
      </c>
      <c r="C1412" s="1" t="s">
        <v>951</v>
      </c>
      <c r="D1412" s="1" t="s">
        <v>41</v>
      </c>
      <c r="E1412" s="1" t="n">
        <v>1</v>
      </c>
      <c r="F1412" s="5" t="n">
        <v>0.1</v>
      </c>
      <c r="G1412" s="1" t="s">
        <v>24</v>
      </c>
      <c r="H1412" s="1" t="s">
        <v>14</v>
      </c>
      <c r="I1412" s="1" t="s">
        <v>15</v>
      </c>
      <c r="J1412" s="1" t="n">
        <v>3</v>
      </c>
    </row>
    <row r="1413" customFormat="false" ht="15" hidden="false" customHeight="false" outlineLevel="0" collapsed="false">
      <c r="A1413" s="1" t="s">
        <v>1834</v>
      </c>
      <c r="B1413" s="4" t="n">
        <v>45717</v>
      </c>
      <c r="C1413" s="1" t="s">
        <v>350</v>
      </c>
      <c r="D1413" s="1" t="s">
        <v>37</v>
      </c>
      <c r="E1413" s="1" t="n">
        <v>2</v>
      </c>
      <c r="F1413" s="5" t="n">
        <v>0.05</v>
      </c>
      <c r="G1413" s="1" t="s">
        <v>52</v>
      </c>
      <c r="H1413" s="1" t="s">
        <v>14</v>
      </c>
      <c r="I1413" s="1" t="s">
        <v>15</v>
      </c>
      <c r="J1413" s="1" t="n">
        <v>8</v>
      </c>
    </row>
    <row r="1414" customFormat="false" ht="15" hidden="false" customHeight="false" outlineLevel="0" collapsed="false">
      <c r="A1414" s="1" t="s">
        <v>1835</v>
      </c>
      <c r="B1414" s="4" t="n">
        <v>45977</v>
      </c>
      <c r="C1414" s="1" t="s">
        <v>1128</v>
      </c>
      <c r="D1414" s="1" t="s">
        <v>255</v>
      </c>
      <c r="E1414" s="1" t="n">
        <v>2</v>
      </c>
      <c r="F1414" s="5" t="n">
        <v>0.1</v>
      </c>
      <c r="G1414" s="1" t="s">
        <v>52</v>
      </c>
      <c r="H1414" s="1" t="s">
        <v>92</v>
      </c>
      <c r="I1414" s="1" t="s">
        <v>15</v>
      </c>
    </row>
    <row r="1415" customFormat="false" ht="15" hidden="false" customHeight="false" outlineLevel="0" collapsed="false">
      <c r="A1415" s="1" t="s">
        <v>1836</v>
      </c>
      <c r="B1415" s="4" t="n">
        <v>45884</v>
      </c>
      <c r="C1415" s="1" t="s">
        <v>783</v>
      </c>
      <c r="D1415" s="1" t="s">
        <v>109</v>
      </c>
      <c r="E1415" s="1" t="n">
        <v>1</v>
      </c>
      <c r="F1415" s="5" t="n">
        <v>0.2</v>
      </c>
      <c r="G1415" s="1" t="s">
        <v>34</v>
      </c>
      <c r="H1415" s="1" t="s">
        <v>14</v>
      </c>
      <c r="I1415" s="1" t="s">
        <v>20</v>
      </c>
      <c r="J1415" s="1" t="n">
        <v>1</v>
      </c>
    </row>
    <row r="1416" customFormat="false" ht="15" hidden="false" customHeight="false" outlineLevel="0" collapsed="false">
      <c r="A1416" s="1" t="s">
        <v>1837</v>
      </c>
      <c r="B1416" s="4" t="n">
        <v>45698</v>
      </c>
      <c r="C1416" s="1" t="s">
        <v>83</v>
      </c>
      <c r="D1416" s="1" t="s">
        <v>294</v>
      </c>
      <c r="E1416" s="1" t="n">
        <v>1</v>
      </c>
      <c r="F1416" s="5" t="n">
        <v>0.05</v>
      </c>
      <c r="G1416" s="1" t="s">
        <v>24</v>
      </c>
      <c r="H1416" s="1" t="s">
        <v>14</v>
      </c>
      <c r="I1416" s="1" t="s">
        <v>38</v>
      </c>
      <c r="J1416" s="1" t="n">
        <v>4</v>
      </c>
    </row>
    <row r="1417" customFormat="false" ht="15" hidden="false" customHeight="false" outlineLevel="0" collapsed="false">
      <c r="A1417" s="1" t="s">
        <v>1838</v>
      </c>
      <c r="B1417" s="4" t="n">
        <v>45739</v>
      </c>
      <c r="C1417" s="1" t="s">
        <v>651</v>
      </c>
      <c r="D1417" s="1" t="s">
        <v>67</v>
      </c>
      <c r="E1417" s="1" t="n">
        <v>1</v>
      </c>
      <c r="F1417" s="5" t="n">
        <v>0.25</v>
      </c>
      <c r="G1417" s="1" t="s">
        <v>52</v>
      </c>
      <c r="H1417" s="1" t="s">
        <v>14</v>
      </c>
      <c r="I1417" s="1" t="s">
        <v>20</v>
      </c>
      <c r="J1417" s="1" t="n">
        <v>7</v>
      </c>
    </row>
    <row r="1418" customFormat="false" ht="15" hidden="false" customHeight="false" outlineLevel="0" collapsed="false">
      <c r="A1418" s="1" t="s">
        <v>1839</v>
      </c>
      <c r="B1418" s="4" t="n">
        <v>45722</v>
      </c>
      <c r="C1418" s="1" t="s">
        <v>841</v>
      </c>
      <c r="D1418" s="1" t="s">
        <v>641</v>
      </c>
      <c r="E1418" s="1" t="n">
        <v>3</v>
      </c>
      <c r="F1418" s="5" t="n">
        <v>0.1</v>
      </c>
      <c r="G1418" s="1" t="s">
        <v>34</v>
      </c>
      <c r="H1418" s="1" t="s">
        <v>14</v>
      </c>
      <c r="I1418" s="1" t="s">
        <v>15</v>
      </c>
      <c r="J1418" s="1" t="n">
        <v>2</v>
      </c>
    </row>
    <row r="1419" customFormat="false" ht="15" hidden="false" customHeight="false" outlineLevel="0" collapsed="false">
      <c r="A1419" s="1" t="s">
        <v>1840</v>
      </c>
      <c r="B1419" s="4" t="n">
        <v>45971</v>
      </c>
      <c r="C1419" s="1" t="s">
        <v>893</v>
      </c>
      <c r="D1419" s="1" t="s">
        <v>257</v>
      </c>
      <c r="E1419" s="1" t="n">
        <v>2</v>
      </c>
      <c r="F1419" s="5" t="n">
        <v>0.15</v>
      </c>
      <c r="G1419" s="1" t="s">
        <v>34</v>
      </c>
      <c r="H1419" s="1" t="s">
        <v>14</v>
      </c>
      <c r="I1419" s="1" t="s">
        <v>38</v>
      </c>
      <c r="J1419" s="1" t="n">
        <v>2</v>
      </c>
    </row>
    <row r="1420" customFormat="false" ht="15" hidden="false" customHeight="false" outlineLevel="0" collapsed="false">
      <c r="A1420" s="1" t="s">
        <v>1841</v>
      </c>
      <c r="B1420" s="4" t="n">
        <v>45840</v>
      </c>
      <c r="C1420" s="1" t="s">
        <v>830</v>
      </c>
      <c r="D1420" s="1" t="s">
        <v>97</v>
      </c>
      <c r="E1420" s="1" t="n">
        <v>1</v>
      </c>
      <c r="F1420" s="5" t="n">
        <v>0.1</v>
      </c>
      <c r="G1420" s="1" t="s">
        <v>24</v>
      </c>
      <c r="H1420" s="1" t="s">
        <v>14</v>
      </c>
      <c r="I1420" s="1" t="s">
        <v>15</v>
      </c>
      <c r="J1420" s="1" t="n">
        <v>2</v>
      </c>
    </row>
    <row r="1421" customFormat="false" ht="15" hidden="false" customHeight="false" outlineLevel="0" collapsed="false">
      <c r="A1421" s="1" t="s">
        <v>1842</v>
      </c>
      <c r="B1421" s="4" t="n">
        <v>45960</v>
      </c>
      <c r="C1421" s="1" t="s">
        <v>215</v>
      </c>
      <c r="D1421" s="1" t="s">
        <v>222</v>
      </c>
      <c r="E1421" s="1" t="n">
        <v>1</v>
      </c>
      <c r="F1421" s="5" t="n">
        <v>0.25</v>
      </c>
      <c r="G1421" s="1" t="s">
        <v>52</v>
      </c>
      <c r="H1421" s="1" t="s">
        <v>53</v>
      </c>
      <c r="I1421" s="1" t="s">
        <v>38</v>
      </c>
      <c r="J1421" s="1" t="n">
        <v>4</v>
      </c>
    </row>
    <row r="1422" customFormat="false" ht="15" hidden="false" customHeight="false" outlineLevel="0" collapsed="false">
      <c r="A1422" s="1" t="s">
        <v>1843</v>
      </c>
      <c r="B1422" s="4" t="n">
        <v>45976</v>
      </c>
      <c r="C1422" s="1" t="s">
        <v>877</v>
      </c>
      <c r="D1422" s="1" t="s">
        <v>140</v>
      </c>
      <c r="E1422" s="1" t="n">
        <v>1</v>
      </c>
      <c r="F1422" s="5" t="n">
        <v>0.1</v>
      </c>
      <c r="G1422" s="1" t="s">
        <v>52</v>
      </c>
      <c r="H1422" s="1" t="s">
        <v>14</v>
      </c>
      <c r="I1422" s="1" t="s">
        <v>38</v>
      </c>
      <c r="J1422" s="1" t="n">
        <v>7</v>
      </c>
    </row>
    <row r="1423" customFormat="false" ht="15" hidden="false" customHeight="false" outlineLevel="0" collapsed="false">
      <c r="A1423" s="1" t="s">
        <v>1844</v>
      </c>
      <c r="B1423" s="4" t="n">
        <v>45693</v>
      </c>
      <c r="C1423" s="1" t="s">
        <v>721</v>
      </c>
      <c r="D1423" s="1" t="s">
        <v>325</v>
      </c>
      <c r="E1423" s="1" t="n">
        <v>1</v>
      </c>
      <c r="F1423" s="5" t="n">
        <v>0.1</v>
      </c>
      <c r="G1423" s="1" t="s">
        <v>19</v>
      </c>
      <c r="H1423" s="1" t="s">
        <v>53</v>
      </c>
      <c r="I1423" s="1" t="s">
        <v>20</v>
      </c>
      <c r="J1423" s="1" t="n">
        <v>2</v>
      </c>
    </row>
    <row r="1424" customFormat="false" ht="15" hidden="false" customHeight="false" outlineLevel="0" collapsed="false">
      <c r="A1424" s="1" t="s">
        <v>1845</v>
      </c>
      <c r="B1424" s="4" t="n">
        <v>45704</v>
      </c>
      <c r="C1424" s="1" t="s">
        <v>1540</v>
      </c>
      <c r="D1424" s="1" t="s">
        <v>23</v>
      </c>
      <c r="E1424" s="1" t="n">
        <v>1</v>
      </c>
      <c r="F1424" s="5" t="n">
        <v>0.05</v>
      </c>
      <c r="G1424" s="1" t="s">
        <v>52</v>
      </c>
      <c r="H1424" s="1" t="s">
        <v>14</v>
      </c>
      <c r="I1424" s="1" t="s">
        <v>20</v>
      </c>
      <c r="J1424" s="1" t="n">
        <v>5</v>
      </c>
    </row>
    <row r="1425" customFormat="false" ht="15" hidden="false" customHeight="false" outlineLevel="0" collapsed="false">
      <c r="A1425" s="1" t="s">
        <v>1846</v>
      </c>
      <c r="B1425" s="4" t="n">
        <v>45995</v>
      </c>
      <c r="C1425" s="1" t="s">
        <v>875</v>
      </c>
      <c r="D1425" s="1" t="s">
        <v>418</v>
      </c>
      <c r="E1425" s="1" t="n">
        <v>2</v>
      </c>
      <c r="F1425" s="5" t="n">
        <v>0.2</v>
      </c>
      <c r="G1425" s="1" t="s">
        <v>52</v>
      </c>
      <c r="H1425" s="1" t="s">
        <v>14</v>
      </c>
      <c r="I1425" s="1" t="s">
        <v>38</v>
      </c>
      <c r="J1425" s="1" t="n">
        <v>1</v>
      </c>
    </row>
    <row r="1426" customFormat="false" ht="15" hidden="false" customHeight="false" outlineLevel="0" collapsed="false">
      <c r="A1426" s="1" t="s">
        <v>1847</v>
      </c>
      <c r="B1426" s="4" t="n">
        <v>45919</v>
      </c>
      <c r="C1426" s="1" t="s">
        <v>364</v>
      </c>
      <c r="D1426" s="1" t="s">
        <v>216</v>
      </c>
      <c r="E1426" s="1" t="n">
        <v>4</v>
      </c>
      <c r="F1426" s="5" t="n">
        <v>0.05</v>
      </c>
      <c r="G1426" s="1" t="s">
        <v>52</v>
      </c>
      <c r="H1426" s="1" t="s">
        <v>92</v>
      </c>
      <c r="I1426" s="1" t="s">
        <v>15</v>
      </c>
    </row>
    <row r="1427" customFormat="false" ht="15" hidden="false" customHeight="false" outlineLevel="0" collapsed="false">
      <c r="A1427" s="1" t="s">
        <v>1848</v>
      </c>
      <c r="B1427" s="4" t="n">
        <v>45752</v>
      </c>
      <c r="C1427" s="1" t="s">
        <v>188</v>
      </c>
      <c r="D1427" s="1" t="s">
        <v>192</v>
      </c>
      <c r="E1427" s="1" t="n">
        <v>1</v>
      </c>
      <c r="F1427" s="5" t="n">
        <v>0.1</v>
      </c>
      <c r="G1427" s="1" t="s">
        <v>24</v>
      </c>
      <c r="H1427" s="1" t="s">
        <v>14</v>
      </c>
      <c r="I1427" s="1" t="s">
        <v>38</v>
      </c>
      <c r="J1427" s="1" t="n">
        <v>6</v>
      </c>
    </row>
    <row r="1428" customFormat="false" ht="15" hidden="false" customHeight="false" outlineLevel="0" collapsed="false">
      <c r="A1428" s="1" t="s">
        <v>1849</v>
      </c>
      <c r="B1428" s="4" t="n">
        <v>46000</v>
      </c>
      <c r="C1428" s="1" t="s">
        <v>570</v>
      </c>
      <c r="D1428" s="1" t="s">
        <v>117</v>
      </c>
      <c r="E1428" s="1" t="n">
        <v>2</v>
      </c>
      <c r="F1428" s="5" t="n">
        <v>0.05</v>
      </c>
      <c r="G1428" s="1" t="s">
        <v>52</v>
      </c>
      <c r="H1428" s="1" t="s">
        <v>78</v>
      </c>
      <c r="I1428" s="1" t="s">
        <v>20</v>
      </c>
      <c r="J1428" s="1" t="n">
        <v>7</v>
      </c>
    </row>
    <row r="1429" customFormat="false" ht="15" hidden="false" customHeight="false" outlineLevel="0" collapsed="false">
      <c r="A1429" s="1" t="s">
        <v>1850</v>
      </c>
      <c r="B1429" s="4" t="n">
        <v>45885</v>
      </c>
      <c r="C1429" s="1" t="s">
        <v>728</v>
      </c>
      <c r="D1429" s="1" t="s">
        <v>624</v>
      </c>
      <c r="E1429" s="1" t="n">
        <v>1</v>
      </c>
      <c r="F1429" s="5" t="n">
        <v>0</v>
      </c>
      <c r="G1429" s="1" t="s">
        <v>13</v>
      </c>
      <c r="H1429" s="1" t="s">
        <v>14</v>
      </c>
      <c r="I1429" s="1" t="s">
        <v>38</v>
      </c>
      <c r="J1429" s="1" t="n">
        <v>6</v>
      </c>
    </row>
    <row r="1430" customFormat="false" ht="15" hidden="false" customHeight="false" outlineLevel="0" collapsed="false">
      <c r="A1430" s="1" t="s">
        <v>1851</v>
      </c>
      <c r="B1430" s="4" t="n">
        <v>45838</v>
      </c>
      <c r="C1430" s="1" t="s">
        <v>576</v>
      </c>
      <c r="D1430" s="1" t="s">
        <v>171</v>
      </c>
      <c r="E1430" s="1" t="n">
        <v>1</v>
      </c>
      <c r="F1430" s="5" t="n">
        <v>0.1</v>
      </c>
      <c r="G1430" s="1" t="s">
        <v>52</v>
      </c>
      <c r="H1430" s="1" t="s">
        <v>14</v>
      </c>
      <c r="I1430" s="1" t="s">
        <v>20</v>
      </c>
      <c r="J1430" s="1" t="n">
        <v>8</v>
      </c>
    </row>
    <row r="1431" customFormat="false" ht="15" hidden="false" customHeight="false" outlineLevel="0" collapsed="false">
      <c r="A1431" s="1" t="s">
        <v>1852</v>
      </c>
      <c r="B1431" s="4" t="n">
        <v>45663</v>
      </c>
      <c r="C1431" s="1" t="s">
        <v>417</v>
      </c>
      <c r="D1431" s="1" t="s">
        <v>220</v>
      </c>
      <c r="E1431" s="1" t="n">
        <v>2</v>
      </c>
      <c r="F1431" s="5" t="n">
        <v>0.1</v>
      </c>
      <c r="G1431" s="1" t="s">
        <v>52</v>
      </c>
      <c r="H1431" s="1" t="s">
        <v>14</v>
      </c>
      <c r="I1431" s="1" t="s">
        <v>15</v>
      </c>
      <c r="J1431" s="1" t="n">
        <v>6</v>
      </c>
    </row>
    <row r="1432" customFormat="false" ht="15" hidden="false" customHeight="false" outlineLevel="0" collapsed="false">
      <c r="A1432" s="1" t="s">
        <v>1853</v>
      </c>
      <c r="B1432" s="4" t="n">
        <v>45771</v>
      </c>
      <c r="C1432" s="1" t="s">
        <v>490</v>
      </c>
      <c r="D1432" s="1" t="s">
        <v>294</v>
      </c>
      <c r="E1432" s="1" t="n">
        <v>1</v>
      </c>
      <c r="F1432" s="5" t="n">
        <v>0.1</v>
      </c>
      <c r="G1432" s="1" t="s">
        <v>52</v>
      </c>
      <c r="H1432" s="1" t="s">
        <v>92</v>
      </c>
      <c r="I1432" s="1" t="s">
        <v>20</v>
      </c>
    </row>
    <row r="1433" customFormat="false" ht="15" hidden="false" customHeight="false" outlineLevel="0" collapsed="false">
      <c r="A1433" s="1" t="s">
        <v>1854</v>
      </c>
      <c r="B1433" s="4" t="n">
        <v>45791</v>
      </c>
      <c r="C1433" s="1" t="s">
        <v>232</v>
      </c>
      <c r="D1433" s="1" t="s">
        <v>222</v>
      </c>
      <c r="E1433" s="1" t="n">
        <v>3</v>
      </c>
      <c r="F1433" s="5" t="n">
        <v>0.15</v>
      </c>
      <c r="G1433" s="1" t="s">
        <v>34</v>
      </c>
      <c r="H1433" s="1" t="s">
        <v>14</v>
      </c>
      <c r="I1433" s="1" t="s">
        <v>20</v>
      </c>
      <c r="J1433" s="1" t="n">
        <v>4</v>
      </c>
    </row>
    <row r="1434" customFormat="false" ht="15" hidden="false" customHeight="false" outlineLevel="0" collapsed="false">
      <c r="A1434" s="1" t="s">
        <v>1855</v>
      </c>
      <c r="B1434" s="4" t="n">
        <v>45990</v>
      </c>
      <c r="C1434" s="1" t="s">
        <v>40</v>
      </c>
      <c r="D1434" s="1" t="s">
        <v>106</v>
      </c>
      <c r="E1434" s="1" t="n">
        <v>2</v>
      </c>
      <c r="F1434" s="5" t="n">
        <v>0.15</v>
      </c>
      <c r="G1434" s="1" t="s">
        <v>24</v>
      </c>
      <c r="H1434" s="1" t="s">
        <v>14</v>
      </c>
      <c r="I1434" s="1" t="s">
        <v>15</v>
      </c>
      <c r="J1434" s="1" t="n">
        <v>5</v>
      </c>
    </row>
    <row r="1435" customFormat="false" ht="15" hidden="false" customHeight="false" outlineLevel="0" collapsed="false">
      <c r="A1435" s="1" t="s">
        <v>1856</v>
      </c>
      <c r="B1435" s="4" t="n">
        <v>45871</v>
      </c>
      <c r="C1435" s="1" t="s">
        <v>173</v>
      </c>
      <c r="D1435" s="1" t="s">
        <v>210</v>
      </c>
      <c r="E1435" s="1" t="n">
        <v>1</v>
      </c>
      <c r="F1435" s="5" t="n">
        <v>0.05</v>
      </c>
      <c r="G1435" s="1" t="s">
        <v>13</v>
      </c>
      <c r="H1435" s="1" t="s">
        <v>14</v>
      </c>
      <c r="I1435" s="1" t="s">
        <v>15</v>
      </c>
      <c r="J1435" s="1" t="n">
        <v>7</v>
      </c>
    </row>
    <row r="1436" customFormat="false" ht="15" hidden="false" customHeight="false" outlineLevel="0" collapsed="false">
      <c r="A1436" s="1" t="s">
        <v>1857</v>
      </c>
      <c r="B1436" s="4" t="n">
        <v>45825</v>
      </c>
      <c r="C1436" s="1" t="s">
        <v>96</v>
      </c>
      <c r="D1436" s="1" t="s">
        <v>137</v>
      </c>
      <c r="E1436" s="1" t="n">
        <v>1</v>
      </c>
      <c r="F1436" s="5" t="n">
        <v>0</v>
      </c>
      <c r="G1436" s="1" t="s">
        <v>52</v>
      </c>
      <c r="H1436" s="1" t="s">
        <v>14</v>
      </c>
      <c r="I1436" s="1" t="s">
        <v>38</v>
      </c>
      <c r="J1436" s="1" t="n">
        <v>1</v>
      </c>
    </row>
    <row r="1437" customFormat="false" ht="15" hidden="false" customHeight="false" outlineLevel="0" collapsed="false">
      <c r="A1437" s="1" t="s">
        <v>1858</v>
      </c>
      <c r="B1437" s="4" t="n">
        <v>45861</v>
      </c>
      <c r="C1437" s="1" t="s">
        <v>1393</v>
      </c>
      <c r="D1437" s="1" t="s">
        <v>484</v>
      </c>
      <c r="E1437" s="1" t="n">
        <v>3</v>
      </c>
      <c r="F1437" s="5" t="n">
        <v>0.1</v>
      </c>
      <c r="G1437" s="1" t="s">
        <v>52</v>
      </c>
      <c r="H1437" s="1" t="s">
        <v>14</v>
      </c>
      <c r="I1437" s="1" t="s">
        <v>15</v>
      </c>
      <c r="J1437" s="1" t="n">
        <v>1</v>
      </c>
    </row>
    <row r="1438" customFormat="false" ht="15" hidden="false" customHeight="false" outlineLevel="0" collapsed="false">
      <c r="A1438" s="1" t="s">
        <v>1859</v>
      </c>
      <c r="B1438" s="4" t="n">
        <v>45956</v>
      </c>
      <c r="C1438" s="1" t="s">
        <v>283</v>
      </c>
      <c r="D1438" s="1" t="s">
        <v>48</v>
      </c>
      <c r="E1438" s="1" t="n">
        <v>3</v>
      </c>
      <c r="F1438" s="5" t="n">
        <v>0.15</v>
      </c>
      <c r="G1438" s="1" t="s">
        <v>19</v>
      </c>
      <c r="H1438" s="1" t="s">
        <v>92</v>
      </c>
      <c r="I1438" s="1" t="s">
        <v>38</v>
      </c>
    </row>
    <row r="1439" customFormat="false" ht="15" hidden="false" customHeight="false" outlineLevel="0" collapsed="false">
      <c r="A1439" s="1" t="s">
        <v>1860</v>
      </c>
      <c r="B1439" s="4" t="n">
        <v>45769</v>
      </c>
      <c r="C1439" s="1" t="s">
        <v>951</v>
      </c>
      <c r="D1439" s="1" t="s">
        <v>210</v>
      </c>
      <c r="E1439" s="1" t="n">
        <v>1</v>
      </c>
      <c r="F1439" s="5" t="n">
        <v>0</v>
      </c>
      <c r="G1439" s="1" t="s">
        <v>52</v>
      </c>
      <c r="H1439" s="1" t="s">
        <v>45</v>
      </c>
      <c r="I1439" s="1" t="s">
        <v>38</v>
      </c>
    </row>
    <row r="1440" customFormat="false" ht="15" hidden="false" customHeight="false" outlineLevel="0" collapsed="false">
      <c r="A1440" s="1" t="s">
        <v>1861</v>
      </c>
      <c r="B1440" s="4" t="n">
        <v>45798</v>
      </c>
      <c r="C1440" s="1" t="s">
        <v>185</v>
      </c>
      <c r="D1440" s="1" t="s">
        <v>64</v>
      </c>
      <c r="E1440" s="1" t="n">
        <v>1</v>
      </c>
      <c r="F1440" s="5" t="n">
        <v>0.25</v>
      </c>
      <c r="G1440" s="1" t="s">
        <v>24</v>
      </c>
      <c r="H1440" s="1" t="s">
        <v>14</v>
      </c>
      <c r="I1440" s="1" t="s">
        <v>20</v>
      </c>
      <c r="J1440" s="1" t="n">
        <v>6</v>
      </c>
    </row>
    <row r="1441" customFormat="false" ht="15" hidden="false" customHeight="false" outlineLevel="0" collapsed="false">
      <c r="A1441" s="1" t="s">
        <v>1862</v>
      </c>
      <c r="B1441" s="4" t="n">
        <v>45865</v>
      </c>
      <c r="C1441" s="1" t="s">
        <v>252</v>
      </c>
      <c r="D1441" s="1" t="s">
        <v>51</v>
      </c>
      <c r="E1441" s="1" t="n">
        <v>1</v>
      </c>
      <c r="F1441" s="5" t="n">
        <v>0</v>
      </c>
      <c r="G1441" s="1" t="s">
        <v>19</v>
      </c>
      <c r="H1441" s="1" t="s">
        <v>14</v>
      </c>
      <c r="I1441" s="1" t="s">
        <v>15</v>
      </c>
      <c r="J1441" s="1" t="n">
        <v>8</v>
      </c>
    </row>
    <row r="1442" customFormat="false" ht="15" hidden="false" customHeight="false" outlineLevel="0" collapsed="false">
      <c r="A1442" s="1" t="s">
        <v>1863</v>
      </c>
      <c r="B1442" s="4" t="n">
        <v>45726</v>
      </c>
      <c r="C1442" s="1" t="s">
        <v>173</v>
      </c>
      <c r="D1442" s="1" t="s">
        <v>315</v>
      </c>
      <c r="E1442" s="1" t="n">
        <v>3</v>
      </c>
      <c r="F1442" s="5" t="n">
        <v>0</v>
      </c>
      <c r="G1442" s="1" t="s">
        <v>34</v>
      </c>
      <c r="H1442" s="1" t="s">
        <v>53</v>
      </c>
      <c r="I1442" s="1" t="s">
        <v>20</v>
      </c>
      <c r="J1442" s="1" t="n">
        <v>3</v>
      </c>
    </row>
    <row r="1443" customFormat="false" ht="15" hidden="false" customHeight="false" outlineLevel="0" collapsed="false">
      <c r="A1443" s="1" t="s">
        <v>1864</v>
      </c>
      <c r="B1443" s="4" t="n">
        <v>45861</v>
      </c>
      <c r="C1443" s="1" t="s">
        <v>836</v>
      </c>
      <c r="D1443" s="1" t="s">
        <v>70</v>
      </c>
      <c r="E1443" s="1" t="n">
        <v>1</v>
      </c>
      <c r="F1443" s="5" t="n">
        <v>0</v>
      </c>
      <c r="G1443" s="1" t="s">
        <v>19</v>
      </c>
      <c r="H1443" s="1" t="s">
        <v>14</v>
      </c>
      <c r="I1443" s="1" t="s">
        <v>20</v>
      </c>
      <c r="J1443" s="1" t="n">
        <v>6</v>
      </c>
    </row>
    <row r="1444" customFormat="false" ht="15" hidden="false" customHeight="false" outlineLevel="0" collapsed="false">
      <c r="A1444" s="1" t="s">
        <v>1865</v>
      </c>
      <c r="B1444" s="4" t="n">
        <v>45838</v>
      </c>
      <c r="C1444" s="1" t="s">
        <v>477</v>
      </c>
      <c r="D1444" s="1" t="s">
        <v>97</v>
      </c>
      <c r="E1444" s="1" t="n">
        <v>1</v>
      </c>
      <c r="F1444" s="5" t="n">
        <v>0.1</v>
      </c>
      <c r="G1444" s="1" t="s">
        <v>52</v>
      </c>
      <c r="H1444" s="1" t="s">
        <v>14</v>
      </c>
      <c r="I1444" s="1" t="s">
        <v>38</v>
      </c>
      <c r="J1444" s="1" t="n">
        <v>7</v>
      </c>
    </row>
    <row r="1445" customFormat="false" ht="15" hidden="false" customHeight="false" outlineLevel="0" collapsed="false">
      <c r="A1445" s="1" t="s">
        <v>1866</v>
      </c>
      <c r="B1445" s="4" t="n">
        <v>45763</v>
      </c>
      <c r="C1445" s="1" t="s">
        <v>974</v>
      </c>
      <c r="D1445" s="1" t="s">
        <v>405</v>
      </c>
      <c r="E1445" s="1" t="n">
        <v>1</v>
      </c>
      <c r="F1445" s="5" t="n">
        <v>0.1</v>
      </c>
      <c r="G1445" s="1" t="s">
        <v>34</v>
      </c>
      <c r="H1445" s="1" t="s">
        <v>14</v>
      </c>
      <c r="I1445" s="1" t="s">
        <v>15</v>
      </c>
      <c r="J1445" s="1" t="n">
        <v>6</v>
      </c>
    </row>
    <row r="1446" customFormat="false" ht="15" hidden="false" customHeight="false" outlineLevel="0" collapsed="false">
      <c r="A1446" s="1" t="s">
        <v>1867</v>
      </c>
      <c r="B1446" s="4" t="n">
        <v>45958</v>
      </c>
      <c r="C1446" s="1" t="s">
        <v>150</v>
      </c>
      <c r="D1446" s="1" t="s">
        <v>137</v>
      </c>
      <c r="E1446" s="1" t="n">
        <v>2</v>
      </c>
      <c r="F1446" s="5" t="n">
        <v>0.05</v>
      </c>
      <c r="G1446" s="1" t="s">
        <v>52</v>
      </c>
      <c r="H1446" s="1" t="s">
        <v>14</v>
      </c>
      <c r="I1446" s="1" t="s">
        <v>15</v>
      </c>
      <c r="J1446" s="1" t="n">
        <v>3</v>
      </c>
    </row>
    <row r="1447" customFormat="false" ht="15" hidden="false" customHeight="false" outlineLevel="0" collapsed="false">
      <c r="A1447" s="1" t="s">
        <v>1868</v>
      </c>
      <c r="B1447" s="4" t="n">
        <v>45955</v>
      </c>
      <c r="C1447" s="1" t="s">
        <v>591</v>
      </c>
      <c r="D1447" s="1" t="s">
        <v>81</v>
      </c>
      <c r="E1447" s="1" t="n">
        <v>4</v>
      </c>
      <c r="F1447" s="5" t="n">
        <v>0.05</v>
      </c>
      <c r="G1447" s="1" t="s">
        <v>52</v>
      </c>
      <c r="H1447" s="1" t="s">
        <v>14</v>
      </c>
      <c r="I1447" s="1" t="s">
        <v>38</v>
      </c>
      <c r="J1447" s="1" t="n">
        <v>2</v>
      </c>
    </row>
    <row r="1448" customFormat="false" ht="15" hidden="false" customHeight="false" outlineLevel="0" collapsed="false">
      <c r="A1448" s="1" t="s">
        <v>1869</v>
      </c>
      <c r="B1448" s="4" t="n">
        <v>45740</v>
      </c>
      <c r="C1448" s="1" t="s">
        <v>263</v>
      </c>
      <c r="D1448" s="1" t="s">
        <v>371</v>
      </c>
      <c r="E1448" s="1" t="n">
        <v>1</v>
      </c>
      <c r="F1448" s="5" t="n">
        <v>0.15</v>
      </c>
      <c r="G1448" s="1" t="s">
        <v>34</v>
      </c>
      <c r="H1448" s="1" t="s">
        <v>14</v>
      </c>
      <c r="I1448" s="1" t="s">
        <v>15</v>
      </c>
      <c r="J1448" s="1" t="n">
        <v>7</v>
      </c>
    </row>
    <row r="1449" customFormat="false" ht="15" hidden="false" customHeight="false" outlineLevel="0" collapsed="false">
      <c r="A1449" s="1" t="s">
        <v>1870</v>
      </c>
      <c r="B1449" s="4" t="n">
        <v>45998</v>
      </c>
      <c r="C1449" s="1" t="s">
        <v>438</v>
      </c>
      <c r="D1449" s="1" t="s">
        <v>405</v>
      </c>
      <c r="E1449" s="1" t="n">
        <v>3</v>
      </c>
      <c r="F1449" s="5" t="n">
        <v>0.05</v>
      </c>
      <c r="G1449" s="1" t="s">
        <v>52</v>
      </c>
      <c r="H1449" s="1" t="s">
        <v>14</v>
      </c>
      <c r="I1449" s="1" t="s">
        <v>15</v>
      </c>
      <c r="J1449" s="1" t="n">
        <v>6</v>
      </c>
    </row>
    <row r="1450" customFormat="false" ht="15" hidden="false" customHeight="false" outlineLevel="0" collapsed="false">
      <c r="A1450" s="1" t="s">
        <v>1871</v>
      </c>
      <c r="B1450" s="4" t="n">
        <v>45787</v>
      </c>
      <c r="C1450" s="1" t="s">
        <v>387</v>
      </c>
      <c r="D1450" s="1" t="s">
        <v>353</v>
      </c>
      <c r="E1450" s="1" t="n">
        <v>1</v>
      </c>
      <c r="F1450" s="5" t="n">
        <v>0</v>
      </c>
      <c r="G1450" s="1" t="s">
        <v>52</v>
      </c>
      <c r="H1450" s="1" t="s">
        <v>45</v>
      </c>
      <c r="I1450" s="1" t="s">
        <v>15</v>
      </c>
    </row>
    <row r="1451" customFormat="false" ht="15" hidden="false" customHeight="false" outlineLevel="0" collapsed="false">
      <c r="A1451" s="1" t="s">
        <v>1872</v>
      </c>
      <c r="B1451" s="4" t="n">
        <v>45876</v>
      </c>
      <c r="C1451" s="1" t="s">
        <v>108</v>
      </c>
      <c r="D1451" s="1" t="s">
        <v>253</v>
      </c>
      <c r="E1451" s="1" t="n">
        <v>2</v>
      </c>
      <c r="F1451" s="5" t="n">
        <v>0.05</v>
      </c>
      <c r="G1451" s="1" t="s">
        <v>34</v>
      </c>
      <c r="H1451" s="1" t="s">
        <v>14</v>
      </c>
      <c r="I1451" s="1" t="s">
        <v>15</v>
      </c>
      <c r="J1451" s="1" t="n">
        <v>7</v>
      </c>
    </row>
    <row r="1452" customFormat="false" ht="15" hidden="false" customHeight="false" outlineLevel="0" collapsed="false">
      <c r="A1452" s="1" t="s">
        <v>1873</v>
      </c>
      <c r="B1452" s="4" t="n">
        <v>45809</v>
      </c>
      <c r="C1452" s="1" t="s">
        <v>702</v>
      </c>
      <c r="D1452" s="1" t="s">
        <v>23</v>
      </c>
      <c r="E1452" s="1" t="n">
        <v>4</v>
      </c>
      <c r="F1452" s="5" t="n">
        <v>0.05</v>
      </c>
      <c r="G1452" s="1" t="s">
        <v>52</v>
      </c>
      <c r="H1452" s="1" t="s">
        <v>92</v>
      </c>
      <c r="I1452" s="1" t="s">
        <v>15</v>
      </c>
    </row>
    <row r="1453" customFormat="false" ht="15" hidden="false" customHeight="false" outlineLevel="0" collapsed="false">
      <c r="A1453" s="1" t="s">
        <v>1874</v>
      </c>
      <c r="B1453" s="4" t="n">
        <v>45843</v>
      </c>
      <c r="C1453" s="1" t="s">
        <v>1107</v>
      </c>
      <c r="D1453" s="1" t="s">
        <v>106</v>
      </c>
      <c r="E1453" s="1" t="n">
        <v>1</v>
      </c>
      <c r="F1453" s="5" t="n">
        <v>0.05</v>
      </c>
      <c r="G1453" s="1" t="s">
        <v>52</v>
      </c>
      <c r="H1453" s="1" t="s">
        <v>14</v>
      </c>
      <c r="I1453" s="1" t="s">
        <v>20</v>
      </c>
      <c r="J1453" s="1" t="n">
        <v>4</v>
      </c>
    </row>
    <row r="1454" customFormat="false" ht="15" hidden="false" customHeight="false" outlineLevel="0" collapsed="false">
      <c r="A1454" s="1" t="s">
        <v>1875</v>
      </c>
      <c r="B1454" s="4" t="n">
        <v>45677</v>
      </c>
      <c r="C1454" s="1" t="s">
        <v>536</v>
      </c>
      <c r="D1454" s="1" t="s">
        <v>197</v>
      </c>
      <c r="E1454" s="1" t="n">
        <v>2</v>
      </c>
      <c r="F1454" s="5" t="n">
        <v>0.25</v>
      </c>
      <c r="G1454" s="1" t="s">
        <v>34</v>
      </c>
      <c r="H1454" s="1" t="s">
        <v>78</v>
      </c>
      <c r="I1454" s="1" t="s">
        <v>15</v>
      </c>
      <c r="J1454" s="1" t="n">
        <v>8</v>
      </c>
    </row>
    <row r="1455" customFormat="false" ht="15" hidden="false" customHeight="false" outlineLevel="0" collapsed="false">
      <c r="A1455" s="1" t="s">
        <v>1876</v>
      </c>
      <c r="B1455" s="4" t="n">
        <v>45799</v>
      </c>
      <c r="C1455" s="1" t="s">
        <v>657</v>
      </c>
      <c r="D1455" s="1" t="s">
        <v>257</v>
      </c>
      <c r="E1455" s="1" t="n">
        <v>1</v>
      </c>
      <c r="F1455" s="5" t="n">
        <v>0</v>
      </c>
      <c r="G1455" s="1" t="s">
        <v>19</v>
      </c>
      <c r="H1455" s="1" t="s">
        <v>14</v>
      </c>
      <c r="I1455" s="1" t="s">
        <v>38</v>
      </c>
      <c r="J1455" s="1" t="n">
        <v>7</v>
      </c>
    </row>
    <row r="1456" customFormat="false" ht="15" hidden="false" customHeight="false" outlineLevel="0" collapsed="false">
      <c r="A1456" s="1" t="s">
        <v>1877</v>
      </c>
      <c r="B1456" s="4" t="n">
        <v>45869</v>
      </c>
      <c r="C1456" s="1" t="s">
        <v>495</v>
      </c>
      <c r="D1456" s="1" t="s">
        <v>154</v>
      </c>
      <c r="E1456" s="1" t="n">
        <v>2</v>
      </c>
      <c r="F1456" s="5" t="n">
        <v>0</v>
      </c>
      <c r="G1456" s="1" t="s">
        <v>19</v>
      </c>
      <c r="H1456" s="1" t="s">
        <v>14</v>
      </c>
      <c r="I1456" s="1" t="s">
        <v>38</v>
      </c>
      <c r="J1456" s="1" t="n">
        <v>5</v>
      </c>
    </row>
    <row r="1457" customFormat="false" ht="15" hidden="false" customHeight="false" outlineLevel="0" collapsed="false">
      <c r="A1457" s="1" t="s">
        <v>1878</v>
      </c>
      <c r="B1457" s="4" t="n">
        <v>45959</v>
      </c>
      <c r="C1457" s="1" t="s">
        <v>836</v>
      </c>
      <c r="D1457" s="1" t="s">
        <v>37</v>
      </c>
      <c r="E1457" s="1" t="n">
        <v>2</v>
      </c>
      <c r="F1457" s="5" t="n">
        <v>0</v>
      </c>
      <c r="G1457" s="1" t="s">
        <v>52</v>
      </c>
      <c r="H1457" s="1" t="s">
        <v>14</v>
      </c>
      <c r="I1457" s="1" t="s">
        <v>15</v>
      </c>
      <c r="J1457" s="1" t="n">
        <v>3</v>
      </c>
    </row>
    <row r="1458" customFormat="false" ht="15" hidden="false" customHeight="false" outlineLevel="0" collapsed="false">
      <c r="A1458" s="1" t="s">
        <v>1879</v>
      </c>
      <c r="B1458" s="4" t="n">
        <v>45974</v>
      </c>
      <c r="C1458" s="1" t="s">
        <v>119</v>
      </c>
      <c r="D1458" s="1" t="s">
        <v>441</v>
      </c>
      <c r="E1458" s="1" t="n">
        <v>1</v>
      </c>
      <c r="F1458" s="5" t="n">
        <v>0.1</v>
      </c>
      <c r="G1458" s="1" t="s">
        <v>19</v>
      </c>
      <c r="H1458" s="1" t="s">
        <v>14</v>
      </c>
      <c r="I1458" s="1" t="s">
        <v>15</v>
      </c>
      <c r="J1458" s="1" t="n">
        <v>2</v>
      </c>
    </row>
    <row r="1459" customFormat="false" ht="15" hidden="false" customHeight="false" outlineLevel="0" collapsed="false">
      <c r="A1459" s="1" t="s">
        <v>1880</v>
      </c>
      <c r="B1459" s="4" t="n">
        <v>45843</v>
      </c>
      <c r="C1459" s="1" t="s">
        <v>76</v>
      </c>
      <c r="D1459" s="1" t="s">
        <v>12</v>
      </c>
      <c r="E1459" s="1" t="n">
        <v>1</v>
      </c>
      <c r="F1459" s="5" t="n">
        <v>0.25</v>
      </c>
      <c r="G1459" s="1" t="s">
        <v>71</v>
      </c>
      <c r="H1459" s="1" t="s">
        <v>14</v>
      </c>
      <c r="I1459" s="1" t="s">
        <v>15</v>
      </c>
      <c r="J1459" s="1" t="n">
        <v>7</v>
      </c>
    </row>
    <row r="1460" customFormat="false" ht="15" hidden="false" customHeight="false" outlineLevel="0" collapsed="false">
      <c r="A1460" s="1" t="s">
        <v>1881</v>
      </c>
      <c r="B1460" s="4" t="n">
        <v>45971</v>
      </c>
      <c r="C1460" s="1" t="s">
        <v>239</v>
      </c>
      <c r="D1460" s="1" t="s">
        <v>303</v>
      </c>
      <c r="E1460" s="1" t="n">
        <v>2</v>
      </c>
      <c r="F1460" s="5" t="n">
        <v>0.1</v>
      </c>
      <c r="G1460" s="1" t="s">
        <v>52</v>
      </c>
      <c r="H1460" s="1" t="s">
        <v>53</v>
      </c>
      <c r="I1460" s="1" t="s">
        <v>38</v>
      </c>
      <c r="J1460" s="1" t="n">
        <v>4</v>
      </c>
    </row>
    <row r="1461" customFormat="false" ht="15" hidden="false" customHeight="false" outlineLevel="0" collapsed="false">
      <c r="A1461" s="1" t="s">
        <v>1882</v>
      </c>
      <c r="B1461" s="4" t="n">
        <v>45718</v>
      </c>
      <c r="C1461" s="1" t="s">
        <v>666</v>
      </c>
      <c r="D1461" s="1" t="s">
        <v>399</v>
      </c>
      <c r="E1461" s="1" t="n">
        <v>4</v>
      </c>
      <c r="F1461" s="5" t="n">
        <v>0.2</v>
      </c>
      <c r="G1461" s="1" t="s">
        <v>24</v>
      </c>
      <c r="H1461" s="1" t="s">
        <v>14</v>
      </c>
      <c r="I1461" s="1" t="s">
        <v>20</v>
      </c>
      <c r="J1461" s="1" t="n">
        <v>2</v>
      </c>
    </row>
    <row r="1462" customFormat="false" ht="15" hidden="false" customHeight="false" outlineLevel="0" collapsed="false">
      <c r="A1462" s="1" t="s">
        <v>1883</v>
      </c>
      <c r="B1462" s="4" t="n">
        <v>45709</v>
      </c>
      <c r="C1462" s="1" t="s">
        <v>331</v>
      </c>
      <c r="D1462" s="1" t="s">
        <v>441</v>
      </c>
      <c r="E1462" s="1" t="n">
        <v>1</v>
      </c>
      <c r="F1462" s="5" t="n">
        <v>0.25</v>
      </c>
      <c r="G1462" s="1" t="s">
        <v>19</v>
      </c>
      <c r="H1462" s="1" t="s">
        <v>14</v>
      </c>
      <c r="I1462" s="1" t="s">
        <v>15</v>
      </c>
      <c r="J1462" s="1" t="n">
        <v>1</v>
      </c>
    </row>
    <row r="1463" customFormat="false" ht="15" hidden="false" customHeight="false" outlineLevel="0" collapsed="false">
      <c r="A1463" s="1" t="s">
        <v>1884</v>
      </c>
      <c r="B1463" s="4" t="n">
        <v>45811</v>
      </c>
      <c r="C1463" s="1" t="s">
        <v>633</v>
      </c>
      <c r="D1463" s="1" t="s">
        <v>446</v>
      </c>
      <c r="E1463" s="1" t="n">
        <v>1</v>
      </c>
      <c r="F1463" s="5" t="n">
        <v>0.2</v>
      </c>
      <c r="G1463" s="1" t="s">
        <v>52</v>
      </c>
      <c r="H1463" s="1" t="s">
        <v>14</v>
      </c>
      <c r="I1463" s="1" t="s">
        <v>15</v>
      </c>
      <c r="J1463" s="1" t="n">
        <v>5</v>
      </c>
    </row>
    <row r="1464" customFormat="false" ht="15" hidden="false" customHeight="false" outlineLevel="0" collapsed="false">
      <c r="A1464" s="1" t="s">
        <v>1885</v>
      </c>
      <c r="B1464" s="4" t="n">
        <v>45798</v>
      </c>
      <c r="C1464" s="1" t="s">
        <v>136</v>
      </c>
      <c r="D1464" s="1" t="s">
        <v>554</v>
      </c>
      <c r="E1464" s="1" t="n">
        <v>1</v>
      </c>
      <c r="F1464" s="5" t="n">
        <v>0</v>
      </c>
      <c r="G1464" s="1" t="s">
        <v>52</v>
      </c>
      <c r="H1464" s="1" t="s">
        <v>14</v>
      </c>
      <c r="I1464" s="1" t="s">
        <v>15</v>
      </c>
      <c r="J1464" s="1" t="n">
        <v>5</v>
      </c>
    </row>
    <row r="1465" customFormat="false" ht="15" hidden="false" customHeight="false" outlineLevel="0" collapsed="false">
      <c r="A1465" s="1" t="s">
        <v>1886</v>
      </c>
      <c r="B1465" s="4" t="n">
        <v>45865</v>
      </c>
      <c r="C1465" s="1" t="s">
        <v>1536</v>
      </c>
      <c r="D1465" s="1" t="s">
        <v>154</v>
      </c>
      <c r="E1465" s="1" t="n">
        <v>1</v>
      </c>
      <c r="F1465" s="5" t="n">
        <v>0.15</v>
      </c>
      <c r="G1465" s="1" t="s">
        <v>52</v>
      </c>
      <c r="H1465" s="1" t="s">
        <v>14</v>
      </c>
      <c r="I1465" s="1" t="s">
        <v>15</v>
      </c>
      <c r="J1465" s="1" t="n">
        <v>5</v>
      </c>
    </row>
    <row r="1466" customFormat="false" ht="15" hidden="false" customHeight="false" outlineLevel="0" collapsed="false">
      <c r="A1466" s="1" t="s">
        <v>1887</v>
      </c>
      <c r="B1466" s="4" t="n">
        <v>45733</v>
      </c>
      <c r="C1466" s="1" t="s">
        <v>229</v>
      </c>
      <c r="D1466" s="1" t="s">
        <v>963</v>
      </c>
      <c r="E1466" s="1" t="n">
        <v>1</v>
      </c>
      <c r="F1466" s="5" t="n">
        <v>0.15</v>
      </c>
      <c r="G1466" s="1" t="s">
        <v>13</v>
      </c>
      <c r="H1466" s="1" t="s">
        <v>45</v>
      </c>
      <c r="I1466" s="1" t="s">
        <v>15</v>
      </c>
    </row>
    <row r="1467" customFormat="false" ht="15" hidden="false" customHeight="false" outlineLevel="0" collapsed="false">
      <c r="A1467" s="1" t="s">
        <v>1888</v>
      </c>
      <c r="B1467" s="4" t="n">
        <v>45699</v>
      </c>
      <c r="C1467" s="1" t="s">
        <v>640</v>
      </c>
      <c r="D1467" s="1" t="s">
        <v>41</v>
      </c>
      <c r="E1467" s="1" t="n">
        <v>2</v>
      </c>
      <c r="F1467" s="5" t="n">
        <v>0.15</v>
      </c>
      <c r="G1467" s="1" t="s">
        <v>52</v>
      </c>
      <c r="H1467" s="1" t="s">
        <v>14</v>
      </c>
      <c r="I1467" s="1" t="s">
        <v>15</v>
      </c>
      <c r="J1467" s="1" t="n">
        <v>2</v>
      </c>
    </row>
    <row r="1468" customFormat="false" ht="15" hidden="false" customHeight="false" outlineLevel="0" collapsed="false">
      <c r="A1468" s="1" t="s">
        <v>1889</v>
      </c>
      <c r="B1468" s="4" t="n">
        <v>45691</v>
      </c>
      <c r="C1468" s="1" t="s">
        <v>22</v>
      </c>
      <c r="D1468" s="1" t="s">
        <v>48</v>
      </c>
      <c r="E1468" s="1" t="n">
        <v>1</v>
      </c>
      <c r="F1468" s="5" t="n">
        <v>0.1</v>
      </c>
      <c r="G1468" s="1" t="s">
        <v>52</v>
      </c>
      <c r="H1468" s="1" t="s">
        <v>78</v>
      </c>
      <c r="I1468" s="1" t="s">
        <v>38</v>
      </c>
      <c r="J1468" s="1" t="n">
        <v>2</v>
      </c>
    </row>
    <row r="1469" customFormat="false" ht="15" hidden="false" customHeight="false" outlineLevel="0" collapsed="false">
      <c r="A1469" s="1" t="s">
        <v>1890</v>
      </c>
      <c r="B1469" s="4" t="n">
        <v>45751</v>
      </c>
      <c r="C1469" s="1" t="s">
        <v>219</v>
      </c>
      <c r="D1469" s="1" t="s">
        <v>210</v>
      </c>
      <c r="E1469" s="1" t="n">
        <v>1</v>
      </c>
      <c r="F1469" s="5" t="n">
        <v>0.1</v>
      </c>
      <c r="G1469" s="1" t="s">
        <v>52</v>
      </c>
      <c r="H1469" s="1" t="s">
        <v>78</v>
      </c>
      <c r="I1469" s="1" t="s">
        <v>38</v>
      </c>
      <c r="J1469" s="1" t="n">
        <v>2</v>
      </c>
    </row>
    <row r="1470" customFormat="false" ht="15" hidden="false" customHeight="false" outlineLevel="0" collapsed="false">
      <c r="A1470" s="1" t="s">
        <v>1891</v>
      </c>
      <c r="B1470" s="4" t="n">
        <v>45877</v>
      </c>
      <c r="C1470" s="1" t="s">
        <v>167</v>
      </c>
      <c r="D1470" s="1" t="s">
        <v>210</v>
      </c>
      <c r="E1470" s="1" t="n">
        <v>2</v>
      </c>
      <c r="F1470" s="5" t="n">
        <v>0.25</v>
      </c>
      <c r="G1470" s="1" t="s">
        <v>52</v>
      </c>
      <c r="H1470" s="1" t="s">
        <v>14</v>
      </c>
      <c r="I1470" s="1" t="s">
        <v>38</v>
      </c>
      <c r="J1470" s="1" t="n">
        <v>1</v>
      </c>
    </row>
    <row r="1471" customFormat="false" ht="15" hidden="false" customHeight="false" outlineLevel="0" collapsed="false">
      <c r="A1471" s="1" t="s">
        <v>1892</v>
      </c>
      <c r="B1471" s="4" t="n">
        <v>45779</v>
      </c>
      <c r="C1471" s="1" t="s">
        <v>640</v>
      </c>
      <c r="D1471" s="1" t="s">
        <v>487</v>
      </c>
      <c r="E1471" s="1" t="n">
        <v>4</v>
      </c>
      <c r="F1471" s="5" t="n">
        <v>0.2</v>
      </c>
      <c r="G1471" s="1" t="s">
        <v>24</v>
      </c>
      <c r="H1471" s="1" t="s">
        <v>78</v>
      </c>
      <c r="I1471" s="1" t="s">
        <v>38</v>
      </c>
      <c r="J1471" s="1" t="n">
        <v>5</v>
      </c>
    </row>
    <row r="1472" customFormat="false" ht="15" hidden="false" customHeight="false" outlineLevel="0" collapsed="false">
      <c r="A1472" s="1" t="s">
        <v>1893</v>
      </c>
      <c r="B1472" s="4" t="n">
        <v>45740</v>
      </c>
      <c r="C1472" s="1" t="s">
        <v>479</v>
      </c>
      <c r="D1472" s="1" t="s">
        <v>286</v>
      </c>
      <c r="E1472" s="1" t="n">
        <v>1</v>
      </c>
      <c r="F1472" s="5" t="n">
        <v>0.15</v>
      </c>
      <c r="G1472" s="1" t="s">
        <v>13</v>
      </c>
      <c r="H1472" s="1" t="s">
        <v>53</v>
      </c>
      <c r="I1472" s="1" t="s">
        <v>15</v>
      </c>
      <c r="J1472" s="1" t="n">
        <v>3</v>
      </c>
    </row>
    <row r="1473" customFormat="false" ht="15" hidden="false" customHeight="false" outlineLevel="0" collapsed="false">
      <c r="A1473" s="1" t="s">
        <v>1894</v>
      </c>
      <c r="B1473" s="4" t="n">
        <v>45960</v>
      </c>
      <c r="C1473" s="1" t="s">
        <v>931</v>
      </c>
      <c r="D1473" s="1" t="s">
        <v>27</v>
      </c>
      <c r="E1473" s="1" t="n">
        <v>3</v>
      </c>
      <c r="F1473" s="5" t="n">
        <v>0.15</v>
      </c>
      <c r="G1473" s="1" t="s">
        <v>52</v>
      </c>
      <c r="H1473" s="1" t="s">
        <v>14</v>
      </c>
      <c r="I1473" s="1" t="s">
        <v>15</v>
      </c>
      <c r="J1473" s="1" t="n">
        <v>6</v>
      </c>
    </row>
    <row r="1474" customFormat="false" ht="15" hidden="false" customHeight="false" outlineLevel="0" collapsed="false">
      <c r="A1474" s="1" t="s">
        <v>1895</v>
      </c>
      <c r="B1474" s="4" t="n">
        <v>45774</v>
      </c>
      <c r="C1474" s="1" t="s">
        <v>219</v>
      </c>
      <c r="D1474" s="1" t="s">
        <v>216</v>
      </c>
      <c r="E1474" s="1" t="n">
        <v>2</v>
      </c>
      <c r="F1474" s="5" t="n">
        <v>0.15</v>
      </c>
      <c r="G1474" s="1" t="s">
        <v>19</v>
      </c>
      <c r="H1474" s="1" t="s">
        <v>14</v>
      </c>
      <c r="I1474" s="1" t="s">
        <v>38</v>
      </c>
      <c r="J1474" s="1" t="n">
        <v>2</v>
      </c>
    </row>
    <row r="1475" customFormat="false" ht="15" hidden="false" customHeight="false" outlineLevel="0" collapsed="false">
      <c r="A1475" s="1" t="s">
        <v>1896</v>
      </c>
      <c r="B1475" s="4" t="n">
        <v>45750</v>
      </c>
      <c r="C1475" s="1" t="s">
        <v>32</v>
      </c>
      <c r="D1475" s="1" t="s">
        <v>70</v>
      </c>
      <c r="E1475" s="1" t="n">
        <v>3</v>
      </c>
      <c r="F1475" s="5" t="n">
        <v>0</v>
      </c>
      <c r="G1475" s="1" t="s">
        <v>34</v>
      </c>
      <c r="H1475" s="1" t="s">
        <v>14</v>
      </c>
      <c r="I1475" s="1" t="s">
        <v>20</v>
      </c>
      <c r="J1475" s="1" t="n">
        <v>2</v>
      </c>
    </row>
    <row r="1476" customFormat="false" ht="15" hidden="false" customHeight="false" outlineLevel="0" collapsed="false">
      <c r="A1476" s="1" t="s">
        <v>1897</v>
      </c>
      <c r="B1476" s="4" t="n">
        <v>45773</v>
      </c>
      <c r="C1476" s="1" t="s">
        <v>66</v>
      </c>
      <c r="D1476" s="1" t="s">
        <v>48</v>
      </c>
      <c r="E1476" s="1" t="n">
        <v>3</v>
      </c>
      <c r="F1476" s="5" t="n">
        <v>0</v>
      </c>
      <c r="G1476" s="1" t="s">
        <v>19</v>
      </c>
      <c r="H1476" s="1" t="s">
        <v>14</v>
      </c>
      <c r="I1476" s="1" t="s">
        <v>15</v>
      </c>
      <c r="J1476" s="1" t="n">
        <v>4</v>
      </c>
    </row>
    <row r="1477" customFormat="false" ht="15" hidden="false" customHeight="false" outlineLevel="0" collapsed="false">
      <c r="A1477" s="1" t="s">
        <v>1898</v>
      </c>
      <c r="B1477" s="4" t="n">
        <v>45829</v>
      </c>
      <c r="C1477" s="1" t="s">
        <v>212</v>
      </c>
      <c r="D1477" s="1" t="s">
        <v>276</v>
      </c>
      <c r="E1477" s="1" t="n">
        <v>1</v>
      </c>
      <c r="F1477" s="5" t="n">
        <v>0.05</v>
      </c>
      <c r="G1477" s="1" t="s">
        <v>34</v>
      </c>
      <c r="H1477" s="1" t="s">
        <v>53</v>
      </c>
      <c r="I1477" s="1" t="s">
        <v>15</v>
      </c>
      <c r="J1477" s="1" t="n">
        <v>3</v>
      </c>
    </row>
    <row r="1478" customFormat="false" ht="15" hidden="false" customHeight="false" outlineLevel="0" collapsed="false">
      <c r="A1478" s="1" t="s">
        <v>1899</v>
      </c>
      <c r="B1478" s="4" t="n">
        <v>46001</v>
      </c>
      <c r="C1478" s="1" t="s">
        <v>431</v>
      </c>
      <c r="D1478" s="1" t="s">
        <v>240</v>
      </c>
      <c r="E1478" s="1" t="n">
        <v>1</v>
      </c>
      <c r="F1478" s="5" t="n">
        <v>0.05</v>
      </c>
      <c r="G1478" s="1" t="s">
        <v>52</v>
      </c>
      <c r="H1478" s="1" t="s">
        <v>14</v>
      </c>
      <c r="I1478" s="1" t="s">
        <v>38</v>
      </c>
      <c r="J1478" s="1" t="n">
        <v>2</v>
      </c>
    </row>
    <row r="1479" customFormat="false" ht="15" hidden="false" customHeight="false" outlineLevel="0" collapsed="false">
      <c r="A1479" s="1" t="s">
        <v>1900</v>
      </c>
      <c r="B1479" s="4" t="n">
        <v>45831</v>
      </c>
      <c r="C1479" s="1" t="s">
        <v>368</v>
      </c>
      <c r="D1479" s="1" t="s">
        <v>216</v>
      </c>
      <c r="E1479" s="1" t="n">
        <v>2</v>
      </c>
      <c r="F1479" s="5" t="n">
        <v>0.2</v>
      </c>
      <c r="G1479" s="1" t="s">
        <v>19</v>
      </c>
      <c r="H1479" s="1" t="s">
        <v>14</v>
      </c>
      <c r="I1479" s="1" t="s">
        <v>38</v>
      </c>
      <c r="J1479" s="1" t="n">
        <v>6</v>
      </c>
    </row>
    <row r="1480" customFormat="false" ht="15" hidden="false" customHeight="false" outlineLevel="0" collapsed="false">
      <c r="A1480" s="1" t="s">
        <v>1901</v>
      </c>
      <c r="B1480" s="4" t="n">
        <v>45849</v>
      </c>
      <c r="C1480" s="1" t="s">
        <v>121</v>
      </c>
      <c r="D1480" s="1" t="s">
        <v>114</v>
      </c>
      <c r="E1480" s="1" t="n">
        <v>1</v>
      </c>
      <c r="F1480" s="5" t="n">
        <v>0.2</v>
      </c>
      <c r="G1480" s="1" t="s">
        <v>52</v>
      </c>
      <c r="H1480" s="1" t="s">
        <v>45</v>
      </c>
      <c r="I1480" s="1" t="s">
        <v>20</v>
      </c>
    </row>
    <row r="1481" customFormat="false" ht="15" hidden="false" customHeight="false" outlineLevel="0" collapsed="false">
      <c r="A1481" s="1" t="s">
        <v>1902</v>
      </c>
      <c r="B1481" s="4" t="n">
        <v>45908</v>
      </c>
      <c r="C1481" s="1" t="s">
        <v>234</v>
      </c>
      <c r="D1481" s="1" t="s">
        <v>240</v>
      </c>
      <c r="E1481" s="1" t="n">
        <v>1</v>
      </c>
      <c r="F1481" s="5" t="n">
        <v>0.1</v>
      </c>
      <c r="G1481" s="1" t="s">
        <v>24</v>
      </c>
      <c r="H1481" s="1" t="s">
        <v>14</v>
      </c>
      <c r="I1481" s="1" t="s">
        <v>20</v>
      </c>
      <c r="J1481" s="1" t="n">
        <v>1</v>
      </c>
    </row>
    <row r="1482" customFormat="false" ht="15" hidden="false" customHeight="false" outlineLevel="0" collapsed="false">
      <c r="A1482" s="1" t="s">
        <v>1903</v>
      </c>
      <c r="B1482" s="4" t="n">
        <v>45799</v>
      </c>
      <c r="C1482" s="1" t="s">
        <v>1227</v>
      </c>
      <c r="D1482" s="1" t="s">
        <v>537</v>
      </c>
      <c r="E1482" s="1" t="n">
        <v>1</v>
      </c>
      <c r="F1482" s="5" t="n">
        <v>0</v>
      </c>
      <c r="G1482" s="1" t="s">
        <v>24</v>
      </c>
      <c r="H1482" s="1" t="s">
        <v>45</v>
      </c>
      <c r="I1482" s="1" t="s">
        <v>20</v>
      </c>
    </row>
    <row r="1483" customFormat="false" ht="15" hidden="false" customHeight="false" outlineLevel="0" collapsed="false">
      <c r="A1483" s="1" t="s">
        <v>1904</v>
      </c>
      <c r="B1483" s="4" t="n">
        <v>45980</v>
      </c>
      <c r="C1483" s="1" t="s">
        <v>219</v>
      </c>
      <c r="D1483" s="1" t="s">
        <v>455</v>
      </c>
      <c r="E1483" s="1" t="n">
        <v>1</v>
      </c>
      <c r="F1483" s="5" t="n">
        <v>0.05</v>
      </c>
      <c r="G1483" s="1" t="s">
        <v>52</v>
      </c>
      <c r="H1483" s="1" t="s">
        <v>14</v>
      </c>
      <c r="I1483" s="1" t="s">
        <v>20</v>
      </c>
      <c r="J1483" s="1" t="n">
        <v>2</v>
      </c>
    </row>
    <row r="1484" customFormat="false" ht="15" hidden="false" customHeight="false" outlineLevel="0" collapsed="false">
      <c r="A1484" s="1" t="s">
        <v>1905</v>
      </c>
      <c r="B1484" s="4" t="n">
        <v>45678</v>
      </c>
      <c r="C1484" s="1" t="s">
        <v>1393</v>
      </c>
      <c r="D1484" s="1" t="s">
        <v>276</v>
      </c>
      <c r="E1484" s="1" t="n">
        <v>2</v>
      </c>
      <c r="F1484" s="5" t="n">
        <v>0.05</v>
      </c>
      <c r="G1484" s="1" t="s">
        <v>19</v>
      </c>
      <c r="H1484" s="1" t="s">
        <v>14</v>
      </c>
      <c r="I1484" s="1" t="s">
        <v>15</v>
      </c>
      <c r="J1484" s="1" t="n">
        <v>6</v>
      </c>
    </row>
    <row r="1485" customFormat="false" ht="15" hidden="false" customHeight="false" outlineLevel="0" collapsed="false">
      <c r="A1485" s="1" t="s">
        <v>1906</v>
      </c>
      <c r="B1485" s="4" t="n">
        <v>45921</v>
      </c>
      <c r="C1485" s="1" t="s">
        <v>413</v>
      </c>
      <c r="D1485" s="1" t="s">
        <v>186</v>
      </c>
      <c r="E1485" s="1" t="n">
        <v>1</v>
      </c>
      <c r="F1485" s="5" t="n">
        <v>0.1</v>
      </c>
      <c r="G1485" s="1" t="s">
        <v>52</v>
      </c>
      <c r="H1485" s="1" t="s">
        <v>14</v>
      </c>
      <c r="I1485" s="1" t="s">
        <v>15</v>
      </c>
      <c r="J1485" s="1" t="n">
        <v>5</v>
      </c>
    </row>
    <row r="1486" customFormat="false" ht="15" hidden="false" customHeight="false" outlineLevel="0" collapsed="false">
      <c r="A1486" s="1" t="s">
        <v>1907</v>
      </c>
      <c r="B1486" s="4" t="n">
        <v>45991</v>
      </c>
      <c r="C1486" s="1" t="s">
        <v>1067</v>
      </c>
      <c r="D1486" s="1" t="s">
        <v>37</v>
      </c>
      <c r="E1486" s="1" t="n">
        <v>1</v>
      </c>
      <c r="F1486" s="5" t="n">
        <v>0.25</v>
      </c>
      <c r="G1486" s="1" t="s">
        <v>71</v>
      </c>
      <c r="H1486" s="1" t="s">
        <v>14</v>
      </c>
      <c r="I1486" s="1" t="s">
        <v>38</v>
      </c>
      <c r="J1486" s="1" t="n">
        <v>8</v>
      </c>
    </row>
    <row r="1487" customFormat="false" ht="15" hidden="false" customHeight="false" outlineLevel="0" collapsed="false">
      <c r="A1487" s="1" t="s">
        <v>1908</v>
      </c>
      <c r="B1487" s="4" t="n">
        <v>45914</v>
      </c>
      <c r="C1487" s="1" t="s">
        <v>124</v>
      </c>
      <c r="D1487" s="1" t="s">
        <v>255</v>
      </c>
      <c r="E1487" s="1" t="n">
        <v>1</v>
      </c>
      <c r="F1487" s="5" t="n">
        <v>0.1</v>
      </c>
      <c r="G1487" s="1" t="s">
        <v>24</v>
      </c>
      <c r="H1487" s="1" t="s">
        <v>14</v>
      </c>
      <c r="I1487" s="1" t="s">
        <v>38</v>
      </c>
      <c r="J1487" s="1" t="n">
        <v>3</v>
      </c>
    </row>
    <row r="1488" customFormat="false" ht="15" hidden="false" customHeight="false" outlineLevel="0" collapsed="false">
      <c r="A1488" s="1" t="s">
        <v>1909</v>
      </c>
      <c r="B1488" s="4" t="n">
        <v>45977</v>
      </c>
      <c r="C1488" s="1" t="s">
        <v>345</v>
      </c>
      <c r="D1488" s="1" t="s">
        <v>186</v>
      </c>
      <c r="E1488" s="1" t="n">
        <v>4</v>
      </c>
      <c r="F1488" s="5" t="n">
        <v>0.2</v>
      </c>
      <c r="G1488" s="1" t="s">
        <v>52</v>
      </c>
      <c r="H1488" s="1" t="s">
        <v>14</v>
      </c>
      <c r="I1488" s="1" t="s">
        <v>20</v>
      </c>
      <c r="J1488" s="1" t="n">
        <v>1</v>
      </c>
    </row>
    <row r="1489" customFormat="false" ht="15" hidden="false" customHeight="false" outlineLevel="0" collapsed="false">
      <c r="A1489" s="1" t="s">
        <v>1910</v>
      </c>
      <c r="B1489" s="4" t="n">
        <v>45876</v>
      </c>
      <c r="C1489" s="1" t="s">
        <v>440</v>
      </c>
      <c r="D1489" s="1" t="s">
        <v>270</v>
      </c>
      <c r="E1489" s="1" t="n">
        <v>1</v>
      </c>
      <c r="F1489" s="5" t="n">
        <v>0.15</v>
      </c>
      <c r="G1489" s="1" t="s">
        <v>52</v>
      </c>
      <c r="H1489" s="1" t="s">
        <v>78</v>
      </c>
      <c r="I1489" s="1" t="s">
        <v>15</v>
      </c>
      <c r="J1489" s="1" t="n">
        <v>2</v>
      </c>
    </row>
    <row r="1490" customFormat="false" ht="15" hidden="false" customHeight="false" outlineLevel="0" collapsed="false">
      <c r="A1490" s="1" t="s">
        <v>1911</v>
      </c>
      <c r="B1490" s="4" t="n">
        <v>45700</v>
      </c>
      <c r="C1490" s="1" t="s">
        <v>763</v>
      </c>
      <c r="D1490" s="1" t="s">
        <v>171</v>
      </c>
      <c r="E1490" s="1" t="n">
        <v>1</v>
      </c>
      <c r="F1490" s="5" t="n">
        <v>0.15</v>
      </c>
      <c r="G1490" s="1" t="s">
        <v>52</v>
      </c>
      <c r="H1490" s="1" t="s">
        <v>14</v>
      </c>
      <c r="I1490" s="1" t="s">
        <v>20</v>
      </c>
      <c r="J1490" s="1" t="n">
        <v>6</v>
      </c>
    </row>
    <row r="1491" customFormat="false" ht="15" hidden="false" customHeight="false" outlineLevel="0" collapsed="false">
      <c r="A1491" s="1" t="s">
        <v>1912</v>
      </c>
      <c r="B1491" s="4" t="n">
        <v>45688</v>
      </c>
      <c r="C1491" s="1" t="s">
        <v>142</v>
      </c>
      <c r="D1491" s="1" t="s">
        <v>165</v>
      </c>
      <c r="E1491" s="1" t="n">
        <v>5</v>
      </c>
      <c r="F1491" s="5" t="n">
        <v>0.05</v>
      </c>
      <c r="G1491" s="1" t="s">
        <v>34</v>
      </c>
      <c r="H1491" s="1" t="s">
        <v>53</v>
      </c>
      <c r="I1491" s="1" t="s">
        <v>15</v>
      </c>
      <c r="J1491" s="1" t="n">
        <v>5</v>
      </c>
    </row>
    <row r="1492" customFormat="false" ht="15" hidden="false" customHeight="false" outlineLevel="0" collapsed="false">
      <c r="A1492" s="1" t="s">
        <v>1913</v>
      </c>
      <c r="B1492" s="4" t="n">
        <v>45679</v>
      </c>
      <c r="C1492" s="1" t="s">
        <v>338</v>
      </c>
      <c r="D1492" s="1" t="s">
        <v>106</v>
      </c>
      <c r="E1492" s="1" t="n">
        <v>2</v>
      </c>
      <c r="F1492" s="5" t="n">
        <v>0.1</v>
      </c>
      <c r="G1492" s="1" t="s">
        <v>52</v>
      </c>
      <c r="H1492" s="1" t="s">
        <v>14</v>
      </c>
      <c r="I1492" s="1" t="s">
        <v>20</v>
      </c>
      <c r="J1492" s="1" t="n">
        <v>8</v>
      </c>
    </row>
    <row r="1493" customFormat="false" ht="15" hidden="false" customHeight="false" outlineLevel="0" collapsed="false">
      <c r="A1493" s="1" t="s">
        <v>1914</v>
      </c>
      <c r="B1493" s="4" t="n">
        <v>45960</v>
      </c>
      <c r="C1493" s="1" t="s">
        <v>1109</v>
      </c>
      <c r="D1493" s="1" t="s">
        <v>487</v>
      </c>
      <c r="E1493" s="1" t="n">
        <v>1</v>
      </c>
      <c r="F1493" s="5" t="n">
        <v>0.1</v>
      </c>
      <c r="G1493" s="1" t="s">
        <v>52</v>
      </c>
      <c r="H1493" s="1" t="s">
        <v>14</v>
      </c>
      <c r="I1493" s="1" t="s">
        <v>38</v>
      </c>
      <c r="J1493" s="1" t="n">
        <v>5</v>
      </c>
    </row>
    <row r="1494" customFormat="false" ht="15" hidden="false" customHeight="false" outlineLevel="0" collapsed="false">
      <c r="A1494" s="1" t="s">
        <v>1915</v>
      </c>
      <c r="B1494" s="4" t="n">
        <v>45949</v>
      </c>
      <c r="C1494" s="1" t="s">
        <v>32</v>
      </c>
      <c r="D1494" s="1" t="s">
        <v>44</v>
      </c>
      <c r="E1494" s="1" t="n">
        <v>3</v>
      </c>
      <c r="F1494" s="5" t="n">
        <v>0.05</v>
      </c>
      <c r="G1494" s="1" t="s">
        <v>19</v>
      </c>
      <c r="H1494" s="1" t="s">
        <v>14</v>
      </c>
      <c r="I1494" s="1" t="s">
        <v>20</v>
      </c>
      <c r="J1494" s="1" t="n">
        <v>6</v>
      </c>
    </row>
    <row r="1495" customFormat="false" ht="15" hidden="false" customHeight="false" outlineLevel="0" collapsed="false">
      <c r="A1495" s="1" t="s">
        <v>1916</v>
      </c>
      <c r="B1495" s="4" t="n">
        <v>45926</v>
      </c>
      <c r="C1495" s="1" t="s">
        <v>96</v>
      </c>
      <c r="D1495" s="1" t="s">
        <v>255</v>
      </c>
      <c r="E1495" s="1" t="n">
        <v>1</v>
      </c>
      <c r="F1495" s="5" t="n">
        <v>0.25</v>
      </c>
      <c r="G1495" s="1" t="s">
        <v>24</v>
      </c>
      <c r="H1495" s="1" t="s">
        <v>14</v>
      </c>
      <c r="I1495" s="1" t="s">
        <v>15</v>
      </c>
      <c r="J1495" s="1" t="n">
        <v>6</v>
      </c>
    </row>
    <row r="1496" customFormat="false" ht="15" hidden="false" customHeight="false" outlineLevel="0" collapsed="false">
      <c r="A1496" s="1" t="s">
        <v>1917</v>
      </c>
      <c r="B1496" s="4" t="n">
        <v>45909</v>
      </c>
      <c r="C1496" s="1" t="s">
        <v>22</v>
      </c>
      <c r="D1496" s="1" t="s">
        <v>641</v>
      </c>
      <c r="E1496" s="1" t="n">
        <v>1</v>
      </c>
      <c r="F1496" s="5" t="n">
        <v>0.1</v>
      </c>
      <c r="G1496" s="1" t="s">
        <v>19</v>
      </c>
      <c r="H1496" s="1" t="s">
        <v>53</v>
      </c>
      <c r="I1496" s="1" t="s">
        <v>20</v>
      </c>
      <c r="J1496" s="1" t="n">
        <v>3</v>
      </c>
    </row>
    <row r="1497" customFormat="false" ht="15" hidden="false" customHeight="false" outlineLevel="0" collapsed="false">
      <c r="A1497" s="1" t="s">
        <v>1918</v>
      </c>
      <c r="B1497" s="4" t="n">
        <v>45875</v>
      </c>
      <c r="C1497" s="1" t="s">
        <v>183</v>
      </c>
      <c r="D1497" s="1" t="s">
        <v>137</v>
      </c>
      <c r="E1497" s="1" t="n">
        <v>1</v>
      </c>
      <c r="F1497" s="5" t="n">
        <v>0.15</v>
      </c>
      <c r="G1497" s="1" t="s">
        <v>34</v>
      </c>
      <c r="H1497" s="1" t="s">
        <v>14</v>
      </c>
      <c r="I1497" s="1" t="s">
        <v>15</v>
      </c>
      <c r="J1497" s="1" t="n">
        <v>4</v>
      </c>
    </row>
    <row r="1498" customFormat="false" ht="15" hidden="false" customHeight="false" outlineLevel="0" collapsed="false">
      <c r="A1498" s="1" t="s">
        <v>1919</v>
      </c>
      <c r="B1498" s="4" t="n">
        <v>46015</v>
      </c>
      <c r="C1498" s="1" t="s">
        <v>370</v>
      </c>
      <c r="D1498" s="1" t="s">
        <v>84</v>
      </c>
      <c r="E1498" s="1" t="n">
        <v>2</v>
      </c>
      <c r="F1498" s="5" t="n">
        <v>0</v>
      </c>
      <c r="G1498" s="1" t="s">
        <v>52</v>
      </c>
      <c r="H1498" s="1" t="s">
        <v>14</v>
      </c>
      <c r="I1498" s="1" t="s">
        <v>15</v>
      </c>
      <c r="J1498" s="1" t="n">
        <v>1</v>
      </c>
    </row>
    <row r="1499" customFormat="false" ht="15" hidden="false" customHeight="false" outlineLevel="0" collapsed="false">
      <c r="A1499" s="1" t="s">
        <v>1920</v>
      </c>
      <c r="B1499" s="4" t="n">
        <v>45958</v>
      </c>
      <c r="C1499" s="1" t="s">
        <v>594</v>
      </c>
      <c r="D1499" s="1" t="s">
        <v>168</v>
      </c>
      <c r="E1499" s="1" t="n">
        <v>3</v>
      </c>
      <c r="F1499" s="5" t="n">
        <v>0.1</v>
      </c>
      <c r="G1499" s="1" t="s">
        <v>24</v>
      </c>
      <c r="H1499" s="1" t="s">
        <v>14</v>
      </c>
      <c r="I1499" s="1" t="s">
        <v>15</v>
      </c>
      <c r="J1499" s="1" t="n">
        <v>5</v>
      </c>
    </row>
    <row r="1500" customFormat="false" ht="15" hidden="false" customHeight="false" outlineLevel="0" collapsed="false">
      <c r="A1500" s="1" t="s">
        <v>1921</v>
      </c>
      <c r="B1500" s="4" t="n">
        <v>45862</v>
      </c>
      <c r="C1500" s="1" t="s">
        <v>438</v>
      </c>
      <c r="D1500" s="1" t="s">
        <v>112</v>
      </c>
      <c r="E1500" s="1" t="n">
        <v>3</v>
      </c>
      <c r="F1500" s="5" t="n">
        <v>0.05</v>
      </c>
      <c r="G1500" s="1" t="s">
        <v>52</v>
      </c>
      <c r="H1500" s="1" t="s">
        <v>53</v>
      </c>
      <c r="I1500" s="1" t="s">
        <v>15</v>
      </c>
      <c r="J1500" s="1" t="n">
        <v>6</v>
      </c>
    </row>
    <row r="1501" customFormat="false" ht="15" hidden="false" customHeight="false" outlineLevel="0" collapsed="false">
      <c r="A1501" s="1" t="s">
        <v>1922</v>
      </c>
      <c r="B1501" s="4" t="n">
        <v>45768</v>
      </c>
      <c r="C1501" s="1" t="s">
        <v>215</v>
      </c>
      <c r="D1501" s="1" t="s">
        <v>253</v>
      </c>
      <c r="E1501" s="1" t="n">
        <v>1</v>
      </c>
      <c r="F1501" s="5" t="n">
        <v>0.2</v>
      </c>
      <c r="G1501" s="1" t="s">
        <v>52</v>
      </c>
      <c r="H1501" s="1" t="s">
        <v>53</v>
      </c>
      <c r="I1501" s="1" t="s">
        <v>15</v>
      </c>
      <c r="J1501" s="1" t="n">
        <v>6</v>
      </c>
      <c r="K1501" s="6"/>
    </row>
  </sheetData>
  <autoFilter ref="A1:J1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6" activeCellId="0" sqref="G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5.06"/>
    <col collapsed="false" customWidth="true" hidden="false" outlineLevel="0" max="2" min="2" style="1" width="19.66"/>
    <col collapsed="false" customWidth="true" hidden="false" outlineLevel="0" max="3" min="3" style="1" width="17.57"/>
    <col collapsed="false" customWidth="true" hidden="false" outlineLevel="0" max="4" min="4" style="1" width="21.19"/>
    <col collapsed="false" customWidth="true" hidden="false" outlineLevel="0" max="5" min="5" style="1" width="17.71"/>
    <col collapsed="false" customWidth="true" hidden="false" outlineLevel="0" max="6" min="6" style="1" width="17.57"/>
  </cols>
  <sheetData>
    <row r="1" customFormat="false" ht="24.75" hidden="false" customHeight="true" outlineLevel="0" collapsed="false">
      <c r="A1" s="2" t="s">
        <v>3</v>
      </c>
      <c r="B1" s="2" t="s">
        <v>1923</v>
      </c>
      <c r="C1" s="2" t="s">
        <v>59</v>
      </c>
      <c r="D1" s="2" t="s">
        <v>1924</v>
      </c>
      <c r="E1" s="2" t="s">
        <v>1925</v>
      </c>
    </row>
    <row r="2" customFormat="false" ht="15" hidden="false" customHeight="false" outlineLevel="0" collapsed="false">
      <c r="A2" s="1" t="s">
        <v>455</v>
      </c>
      <c r="B2" s="1" t="s">
        <v>1926</v>
      </c>
      <c r="C2" s="1" t="s">
        <v>72</v>
      </c>
      <c r="D2" s="16" t="n">
        <v>899</v>
      </c>
      <c r="E2" s="16" t="n">
        <v>499</v>
      </c>
    </row>
    <row r="3" customFormat="false" ht="15" hidden="false" customHeight="false" outlineLevel="0" collapsed="false">
      <c r="A3" s="1" t="s">
        <v>197</v>
      </c>
      <c r="B3" s="1" t="s">
        <v>1927</v>
      </c>
      <c r="C3" s="1" t="s">
        <v>72</v>
      </c>
      <c r="D3" s="16" t="n">
        <v>1499</v>
      </c>
      <c r="E3" s="16" t="n">
        <v>850</v>
      </c>
    </row>
    <row r="4" customFormat="false" ht="15" hidden="false" customHeight="false" outlineLevel="0" collapsed="false">
      <c r="A4" s="1" t="s">
        <v>125</v>
      </c>
      <c r="B4" s="1" t="s">
        <v>1928</v>
      </c>
      <c r="C4" s="1" t="s">
        <v>72</v>
      </c>
      <c r="D4" s="16" t="n">
        <v>2499</v>
      </c>
      <c r="E4" s="16" t="n">
        <v>1450</v>
      </c>
    </row>
    <row r="5" customFormat="false" ht="15" hidden="false" customHeight="false" outlineLevel="0" collapsed="false">
      <c r="A5" s="1" t="s">
        <v>240</v>
      </c>
      <c r="B5" s="1" t="s">
        <v>1929</v>
      </c>
      <c r="C5" s="1" t="s">
        <v>72</v>
      </c>
      <c r="D5" s="16" t="n">
        <v>299</v>
      </c>
      <c r="E5" s="16" t="n">
        <v>120</v>
      </c>
    </row>
    <row r="6" customFormat="false" ht="15" hidden="false" customHeight="false" outlineLevel="0" collapsed="false">
      <c r="A6" s="1" t="s">
        <v>255</v>
      </c>
      <c r="B6" s="1" t="s">
        <v>1930</v>
      </c>
      <c r="C6" s="1" t="s">
        <v>72</v>
      </c>
      <c r="D6" s="16" t="n">
        <v>1199</v>
      </c>
      <c r="E6" s="16" t="n">
        <v>650</v>
      </c>
    </row>
    <row r="7" customFormat="false" ht="15" hidden="false" customHeight="false" outlineLevel="0" collapsed="false">
      <c r="A7" s="1" t="s">
        <v>114</v>
      </c>
      <c r="B7" s="1" t="s">
        <v>1931</v>
      </c>
      <c r="C7" s="1" t="s">
        <v>72</v>
      </c>
      <c r="D7" s="16" t="n">
        <v>699</v>
      </c>
      <c r="E7" s="16" t="n">
        <v>300</v>
      </c>
    </row>
    <row r="8" customFormat="false" ht="15" hidden="false" customHeight="false" outlineLevel="0" collapsed="false">
      <c r="A8" s="1" t="s">
        <v>154</v>
      </c>
      <c r="B8" s="1" t="s">
        <v>1932</v>
      </c>
      <c r="C8" s="1" t="s">
        <v>72</v>
      </c>
      <c r="D8" s="16" t="n">
        <v>999</v>
      </c>
      <c r="E8" s="16" t="n">
        <v>480</v>
      </c>
    </row>
    <row r="9" customFormat="false" ht="15" hidden="false" customHeight="false" outlineLevel="0" collapsed="false">
      <c r="A9" s="1" t="s">
        <v>257</v>
      </c>
      <c r="B9" s="1" t="s">
        <v>1933</v>
      </c>
      <c r="C9" s="1" t="s">
        <v>72</v>
      </c>
      <c r="D9" s="16" t="n">
        <v>399</v>
      </c>
      <c r="E9" s="16" t="n">
        <v>150</v>
      </c>
    </row>
    <row r="10" customFormat="false" ht="15" hidden="false" customHeight="false" outlineLevel="0" collapsed="false">
      <c r="A10" s="1" t="s">
        <v>444</v>
      </c>
      <c r="B10" s="1" t="s">
        <v>1934</v>
      </c>
      <c r="C10" s="1" t="s">
        <v>72</v>
      </c>
      <c r="D10" s="16" t="n">
        <v>799</v>
      </c>
      <c r="E10" s="16" t="n">
        <v>350</v>
      </c>
    </row>
    <row r="11" customFormat="false" ht="15" hidden="false" customHeight="false" outlineLevel="0" collapsed="false">
      <c r="A11" s="1" t="s">
        <v>70</v>
      </c>
      <c r="B11" s="1" t="s">
        <v>1935</v>
      </c>
      <c r="C11" s="1" t="s">
        <v>72</v>
      </c>
      <c r="D11" s="16" t="n">
        <v>1799</v>
      </c>
      <c r="E11" s="16" t="n">
        <v>1050</v>
      </c>
    </row>
    <row r="12" customFormat="false" ht="15" hidden="false" customHeight="false" outlineLevel="0" collapsed="false">
      <c r="A12" s="1" t="s">
        <v>192</v>
      </c>
      <c r="B12" s="1" t="s">
        <v>1936</v>
      </c>
      <c r="C12" s="1" t="s">
        <v>72</v>
      </c>
      <c r="D12" s="16" t="n">
        <v>1599</v>
      </c>
      <c r="E12" s="16" t="n">
        <v>900</v>
      </c>
    </row>
    <row r="13" customFormat="false" ht="15" hidden="false" customHeight="false" outlineLevel="0" collapsed="false">
      <c r="A13" s="1" t="s">
        <v>286</v>
      </c>
      <c r="B13" s="1" t="s">
        <v>1937</v>
      </c>
      <c r="C13" s="1" t="s">
        <v>72</v>
      </c>
      <c r="D13" s="16" t="n">
        <v>599</v>
      </c>
      <c r="E13" s="16" t="n">
        <v>260</v>
      </c>
    </row>
    <row r="14" customFormat="false" ht="15" hidden="false" customHeight="false" outlineLevel="0" collapsed="false">
      <c r="A14" s="1" t="s">
        <v>446</v>
      </c>
      <c r="B14" s="1" t="s">
        <v>1938</v>
      </c>
      <c r="C14" s="1" t="s">
        <v>72</v>
      </c>
      <c r="D14" s="16" t="n">
        <v>699</v>
      </c>
      <c r="E14" s="16" t="n">
        <v>400</v>
      </c>
    </row>
    <row r="15" customFormat="false" ht="15" hidden="false" customHeight="false" outlineLevel="0" collapsed="false">
      <c r="A15" s="1" t="s">
        <v>220</v>
      </c>
      <c r="B15" s="1" t="s">
        <v>1939</v>
      </c>
      <c r="C15" s="1" t="s">
        <v>72</v>
      </c>
      <c r="D15" s="16" t="n">
        <v>449</v>
      </c>
      <c r="E15" s="16" t="n">
        <v>180</v>
      </c>
    </row>
    <row r="16" customFormat="false" ht="15" hidden="false" customHeight="false" outlineLevel="0" collapsed="false">
      <c r="A16" s="1" t="s">
        <v>436</v>
      </c>
      <c r="B16" s="1" t="s">
        <v>1940</v>
      </c>
      <c r="C16" s="1" t="s">
        <v>72</v>
      </c>
      <c r="D16" s="16" t="n">
        <v>3999</v>
      </c>
      <c r="E16" s="16" t="n">
        <v>2800</v>
      </c>
    </row>
    <row r="17" customFormat="false" ht="15" hidden="false" customHeight="false" outlineLevel="0" collapsed="false">
      <c r="A17" s="1" t="s">
        <v>603</v>
      </c>
      <c r="B17" s="1" t="s">
        <v>1941</v>
      </c>
      <c r="C17" s="1" t="s">
        <v>75</v>
      </c>
      <c r="D17" s="16" t="n">
        <v>499</v>
      </c>
      <c r="E17" s="16" t="n">
        <v>220</v>
      </c>
    </row>
    <row r="18" customFormat="false" ht="15" hidden="false" customHeight="false" outlineLevel="0" collapsed="false">
      <c r="A18" s="1" t="s">
        <v>429</v>
      </c>
      <c r="B18" s="1" t="s">
        <v>1942</v>
      </c>
      <c r="C18" s="1" t="s">
        <v>75</v>
      </c>
      <c r="D18" s="16" t="n">
        <v>1299</v>
      </c>
      <c r="E18" s="16" t="n">
        <v>650</v>
      </c>
    </row>
    <row r="19" customFormat="false" ht="15" hidden="false" customHeight="false" outlineLevel="0" collapsed="false">
      <c r="A19" s="1" t="s">
        <v>30</v>
      </c>
      <c r="B19" s="1" t="s">
        <v>1943</v>
      </c>
      <c r="C19" s="1" t="s">
        <v>75</v>
      </c>
      <c r="D19" s="16" t="n">
        <v>899</v>
      </c>
      <c r="E19" s="16" t="n">
        <v>420</v>
      </c>
    </row>
    <row r="20" customFormat="false" ht="15" hidden="false" customHeight="false" outlineLevel="0" collapsed="false">
      <c r="A20" s="1" t="s">
        <v>84</v>
      </c>
      <c r="B20" s="1" t="s">
        <v>1944</v>
      </c>
      <c r="C20" s="1" t="s">
        <v>75</v>
      </c>
      <c r="D20" s="16" t="n">
        <v>1999</v>
      </c>
      <c r="E20" s="16" t="n">
        <v>1100</v>
      </c>
    </row>
    <row r="21" customFormat="false" ht="15" hidden="false" customHeight="false" outlineLevel="0" collapsed="false">
      <c r="A21" s="1" t="s">
        <v>122</v>
      </c>
      <c r="B21" s="1" t="s">
        <v>1945</v>
      </c>
      <c r="C21" s="1" t="s">
        <v>75</v>
      </c>
      <c r="D21" s="16" t="n">
        <v>1199</v>
      </c>
      <c r="E21" s="16" t="n">
        <v>600</v>
      </c>
    </row>
    <row r="22" customFormat="false" ht="15" hidden="false" customHeight="false" outlineLevel="0" collapsed="false">
      <c r="A22" s="1" t="s">
        <v>176</v>
      </c>
      <c r="B22" s="1" t="s">
        <v>1946</v>
      </c>
      <c r="C22" s="1" t="s">
        <v>75</v>
      </c>
      <c r="D22" s="16" t="n">
        <v>1499</v>
      </c>
      <c r="E22" s="16" t="n">
        <v>700</v>
      </c>
    </row>
    <row r="23" customFormat="false" ht="15" hidden="false" customHeight="false" outlineLevel="0" collapsed="false">
      <c r="A23" s="1" t="s">
        <v>103</v>
      </c>
      <c r="B23" s="1" t="s">
        <v>13</v>
      </c>
      <c r="C23" s="1" t="s">
        <v>75</v>
      </c>
      <c r="D23" s="16" t="n">
        <v>499</v>
      </c>
      <c r="E23" s="16" t="n">
        <v>200</v>
      </c>
    </row>
    <row r="24" customFormat="false" ht="15" hidden="false" customHeight="false" outlineLevel="0" collapsed="false">
      <c r="A24" s="1" t="s">
        <v>106</v>
      </c>
      <c r="B24" s="1" t="s">
        <v>1947</v>
      </c>
      <c r="C24" s="1" t="s">
        <v>75</v>
      </c>
      <c r="D24" s="16" t="n">
        <v>349</v>
      </c>
      <c r="E24" s="16" t="n">
        <v>120</v>
      </c>
    </row>
    <row r="25" customFormat="false" ht="15" hidden="false" customHeight="false" outlineLevel="0" collapsed="false">
      <c r="A25" s="1" t="s">
        <v>117</v>
      </c>
      <c r="B25" s="1" t="s">
        <v>1948</v>
      </c>
      <c r="C25" s="1" t="s">
        <v>75</v>
      </c>
      <c r="D25" s="16" t="n">
        <v>999</v>
      </c>
      <c r="E25" s="16" t="n">
        <v>450</v>
      </c>
    </row>
    <row r="26" customFormat="false" ht="15" hidden="false" customHeight="false" outlineLevel="0" collapsed="false">
      <c r="A26" s="1" t="s">
        <v>140</v>
      </c>
      <c r="B26" s="1" t="s">
        <v>1949</v>
      </c>
      <c r="C26" s="1" t="s">
        <v>75</v>
      </c>
      <c r="D26" s="16" t="n">
        <v>1399</v>
      </c>
      <c r="E26" s="16" t="n">
        <v>720</v>
      </c>
    </row>
    <row r="27" customFormat="false" ht="15" hidden="false" customHeight="false" outlineLevel="0" collapsed="false">
      <c r="A27" s="1" t="s">
        <v>44</v>
      </c>
      <c r="B27" s="1" t="s">
        <v>1950</v>
      </c>
      <c r="C27" s="1" t="s">
        <v>75</v>
      </c>
      <c r="D27" s="16" t="n">
        <v>799</v>
      </c>
      <c r="E27" s="16" t="n">
        <v>300</v>
      </c>
    </row>
    <row r="28" customFormat="false" ht="15" hidden="false" customHeight="false" outlineLevel="0" collapsed="false">
      <c r="A28" s="1" t="s">
        <v>41</v>
      </c>
      <c r="B28" s="1" t="s">
        <v>1951</v>
      </c>
      <c r="C28" s="1" t="s">
        <v>75</v>
      </c>
      <c r="D28" s="16" t="n">
        <v>399</v>
      </c>
      <c r="E28" s="16" t="n">
        <v>160</v>
      </c>
    </row>
    <row r="29" customFormat="false" ht="15" hidden="false" customHeight="false" outlineLevel="0" collapsed="false">
      <c r="A29" s="1" t="s">
        <v>77</v>
      </c>
      <c r="B29" s="1" t="s">
        <v>1952</v>
      </c>
      <c r="C29" s="1" t="s">
        <v>75</v>
      </c>
      <c r="D29" s="16" t="n">
        <v>1799</v>
      </c>
      <c r="E29" s="16" t="n">
        <v>950</v>
      </c>
    </row>
    <row r="30" customFormat="false" ht="15" hidden="false" customHeight="false" outlineLevel="0" collapsed="false">
      <c r="A30" s="1" t="s">
        <v>48</v>
      </c>
      <c r="B30" s="1" t="s">
        <v>1953</v>
      </c>
      <c r="C30" s="1" t="s">
        <v>75</v>
      </c>
      <c r="D30" s="16" t="n">
        <v>299</v>
      </c>
      <c r="E30" s="16" t="n">
        <v>100</v>
      </c>
    </row>
    <row r="31" customFormat="false" ht="15" hidden="false" customHeight="false" outlineLevel="0" collapsed="false">
      <c r="A31" s="1" t="s">
        <v>335</v>
      </c>
      <c r="B31" s="1" t="s">
        <v>1954</v>
      </c>
      <c r="C31" s="1" t="s">
        <v>75</v>
      </c>
      <c r="D31" s="16" t="n">
        <v>2299</v>
      </c>
      <c r="E31" s="16" t="n">
        <v>1300</v>
      </c>
    </row>
    <row r="32" customFormat="false" ht="15" hidden="false" customHeight="false" outlineLevel="0" collapsed="false">
      <c r="A32" s="1" t="s">
        <v>341</v>
      </c>
      <c r="B32" s="1" t="s">
        <v>1955</v>
      </c>
      <c r="C32" s="1" t="s">
        <v>79</v>
      </c>
      <c r="D32" s="16" t="n">
        <v>699</v>
      </c>
      <c r="E32" s="16" t="n">
        <v>300</v>
      </c>
    </row>
    <row r="33" customFormat="false" ht="15" hidden="false" customHeight="false" outlineLevel="0" collapsed="false">
      <c r="A33" s="1" t="s">
        <v>325</v>
      </c>
      <c r="B33" s="1" t="s">
        <v>1956</v>
      </c>
      <c r="C33" s="1" t="s">
        <v>79</v>
      </c>
      <c r="D33" s="16" t="n">
        <v>399</v>
      </c>
      <c r="E33" s="16" t="n">
        <v>150</v>
      </c>
    </row>
    <row r="34" customFormat="false" ht="15" hidden="false" customHeight="false" outlineLevel="0" collapsed="false">
      <c r="A34" s="1" t="s">
        <v>1169</v>
      </c>
      <c r="B34" s="1" t="s">
        <v>1957</v>
      </c>
      <c r="C34" s="1" t="s">
        <v>79</v>
      </c>
      <c r="D34" s="16" t="n">
        <v>1199</v>
      </c>
      <c r="E34" s="16" t="n">
        <v>600</v>
      </c>
    </row>
    <row r="35" customFormat="false" ht="15" hidden="false" customHeight="false" outlineLevel="0" collapsed="false">
      <c r="A35" s="1" t="s">
        <v>210</v>
      </c>
      <c r="B35" s="1" t="s">
        <v>1958</v>
      </c>
      <c r="C35" s="1" t="s">
        <v>79</v>
      </c>
      <c r="D35" s="16" t="n">
        <v>899</v>
      </c>
      <c r="E35" s="16" t="n">
        <v>420</v>
      </c>
    </row>
    <row r="36" customFormat="false" ht="15" hidden="false" customHeight="false" outlineLevel="0" collapsed="false">
      <c r="A36" s="1" t="s">
        <v>179</v>
      </c>
      <c r="B36" s="1" t="s">
        <v>1959</v>
      </c>
      <c r="C36" s="1" t="s">
        <v>79</v>
      </c>
      <c r="D36" s="16" t="n">
        <v>999</v>
      </c>
      <c r="E36" s="16" t="n">
        <v>520</v>
      </c>
    </row>
    <row r="37" customFormat="false" ht="15" hidden="false" customHeight="false" outlineLevel="0" collapsed="false">
      <c r="A37" s="1" t="s">
        <v>97</v>
      </c>
      <c r="B37" s="1" t="s">
        <v>1960</v>
      </c>
      <c r="C37" s="1" t="s">
        <v>79</v>
      </c>
      <c r="D37" s="16" t="n">
        <v>1499</v>
      </c>
      <c r="E37" s="16" t="n">
        <v>800</v>
      </c>
    </row>
    <row r="38" customFormat="false" ht="15" hidden="false" customHeight="false" outlineLevel="0" collapsed="false">
      <c r="A38" s="1" t="s">
        <v>213</v>
      </c>
      <c r="B38" s="1" t="s">
        <v>1961</v>
      </c>
      <c r="C38" s="1" t="s">
        <v>79</v>
      </c>
      <c r="D38" s="16" t="n">
        <v>799</v>
      </c>
      <c r="E38" s="16" t="n">
        <v>350</v>
      </c>
    </row>
    <row r="39" customFormat="false" ht="15" hidden="false" customHeight="false" outlineLevel="0" collapsed="false">
      <c r="A39" s="1" t="s">
        <v>130</v>
      </c>
      <c r="B39" s="1" t="s">
        <v>1962</v>
      </c>
      <c r="C39" s="1" t="s">
        <v>79</v>
      </c>
      <c r="D39" s="16" t="n">
        <v>599</v>
      </c>
      <c r="E39" s="16" t="n">
        <v>260</v>
      </c>
    </row>
    <row r="40" customFormat="false" ht="15" hidden="false" customHeight="false" outlineLevel="0" collapsed="false">
      <c r="A40" s="1" t="s">
        <v>484</v>
      </c>
      <c r="B40" s="1" t="s">
        <v>1963</v>
      </c>
      <c r="C40" s="1" t="s">
        <v>79</v>
      </c>
      <c r="D40" s="16" t="n">
        <v>699</v>
      </c>
      <c r="E40" s="16" t="n">
        <v>300</v>
      </c>
    </row>
    <row r="41" customFormat="false" ht="15" hidden="false" customHeight="false" outlineLevel="0" collapsed="false">
      <c r="A41" s="1" t="s">
        <v>81</v>
      </c>
      <c r="B41" s="1" t="s">
        <v>1964</v>
      </c>
      <c r="C41" s="1" t="s">
        <v>79</v>
      </c>
      <c r="D41" s="16" t="n">
        <v>1099</v>
      </c>
      <c r="E41" s="16" t="n">
        <v>550</v>
      </c>
    </row>
    <row r="42" customFormat="false" ht="15" hidden="false" customHeight="false" outlineLevel="0" collapsed="false">
      <c r="A42" s="1" t="s">
        <v>985</v>
      </c>
      <c r="B42" s="1" t="s">
        <v>1965</v>
      </c>
      <c r="C42" s="1" t="s">
        <v>79</v>
      </c>
      <c r="D42" s="16" t="n">
        <v>499</v>
      </c>
      <c r="E42" s="16" t="n">
        <v>220</v>
      </c>
    </row>
    <row r="43" customFormat="false" ht="15" hidden="false" customHeight="false" outlineLevel="0" collapsed="false">
      <c r="A43" s="1" t="s">
        <v>112</v>
      </c>
      <c r="B43" s="1" t="s">
        <v>1966</v>
      </c>
      <c r="C43" s="1" t="s">
        <v>79</v>
      </c>
      <c r="D43" s="16" t="n">
        <v>799</v>
      </c>
      <c r="E43" s="16" t="n">
        <v>360</v>
      </c>
    </row>
    <row r="44" customFormat="false" ht="15" hidden="false" customHeight="false" outlineLevel="0" collapsed="false">
      <c r="A44" s="1" t="s">
        <v>328</v>
      </c>
      <c r="B44" s="1" t="s">
        <v>1967</v>
      </c>
      <c r="C44" s="1" t="s">
        <v>79</v>
      </c>
      <c r="D44" s="16" t="n">
        <v>1299</v>
      </c>
      <c r="E44" s="16" t="n">
        <v>700</v>
      </c>
    </row>
    <row r="45" customFormat="false" ht="15" hidden="false" customHeight="false" outlineLevel="0" collapsed="false">
      <c r="A45" s="1" t="s">
        <v>100</v>
      </c>
      <c r="B45" s="1" t="s">
        <v>1968</v>
      </c>
      <c r="C45" s="1" t="s">
        <v>79</v>
      </c>
      <c r="D45" s="16" t="n">
        <v>299</v>
      </c>
      <c r="E45" s="16" t="n">
        <v>100</v>
      </c>
    </row>
    <row r="46" customFormat="false" ht="15" hidden="false" customHeight="false" outlineLevel="0" collapsed="false">
      <c r="A46" s="1" t="s">
        <v>165</v>
      </c>
      <c r="B46" s="1" t="s">
        <v>1969</v>
      </c>
      <c r="C46" s="1" t="s">
        <v>79</v>
      </c>
      <c r="D46" s="16" t="n">
        <v>449</v>
      </c>
      <c r="E46" s="16" t="n">
        <v>180</v>
      </c>
    </row>
    <row r="47" customFormat="false" ht="15" hidden="false" customHeight="false" outlineLevel="0" collapsed="false">
      <c r="A47" s="1" t="s">
        <v>137</v>
      </c>
      <c r="B47" s="1" t="s">
        <v>1970</v>
      </c>
      <c r="C47" s="1" t="s">
        <v>65</v>
      </c>
      <c r="D47" s="16" t="n">
        <v>499</v>
      </c>
      <c r="E47" s="16" t="n">
        <v>220</v>
      </c>
    </row>
    <row r="48" customFormat="false" ht="15" hidden="false" customHeight="false" outlineLevel="0" collapsed="false">
      <c r="A48" s="1" t="s">
        <v>27</v>
      </c>
      <c r="B48" s="1" t="s">
        <v>1971</v>
      </c>
      <c r="C48" s="1" t="s">
        <v>65</v>
      </c>
      <c r="D48" s="16" t="n">
        <v>399</v>
      </c>
      <c r="E48" s="16" t="n">
        <v>170</v>
      </c>
    </row>
    <row r="49" customFormat="false" ht="15" hidden="false" customHeight="false" outlineLevel="0" collapsed="false">
      <c r="A49" s="1" t="s">
        <v>237</v>
      </c>
      <c r="B49" s="1" t="s">
        <v>1972</v>
      </c>
      <c r="C49" s="1" t="s">
        <v>65</v>
      </c>
      <c r="D49" s="16" t="n">
        <v>349</v>
      </c>
      <c r="E49" s="16" t="n">
        <v>150</v>
      </c>
    </row>
    <row r="50" customFormat="false" ht="15" hidden="false" customHeight="false" outlineLevel="0" collapsed="false">
      <c r="A50" s="1" t="s">
        <v>641</v>
      </c>
      <c r="B50" s="1" t="s">
        <v>1973</v>
      </c>
      <c r="C50" s="1" t="s">
        <v>65</v>
      </c>
      <c r="D50" s="16" t="n">
        <v>299</v>
      </c>
      <c r="E50" s="16" t="n">
        <v>120</v>
      </c>
    </row>
    <row r="51" customFormat="false" ht="15" hidden="false" customHeight="false" outlineLevel="0" collapsed="false">
      <c r="A51" s="1" t="s">
        <v>74</v>
      </c>
      <c r="B51" s="1" t="s">
        <v>1974</v>
      </c>
      <c r="C51" s="1" t="s">
        <v>65</v>
      </c>
      <c r="D51" s="16" t="n">
        <v>449</v>
      </c>
      <c r="E51" s="16" t="n">
        <v>190</v>
      </c>
    </row>
    <row r="52" customFormat="false" ht="15" hidden="false" customHeight="false" outlineLevel="0" collapsed="false">
      <c r="A52" s="1" t="s">
        <v>276</v>
      </c>
      <c r="B52" s="1" t="s">
        <v>1975</v>
      </c>
      <c r="C52" s="1" t="s">
        <v>65</v>
      </c>
      <c r="D52" s="16" t="n">
        <v>399</v>
      </c>
      <c r="E52" s="16" t="n">
        <v>170</v>
      </c>
    </row>
    <row r="53" customFormat="false" ht="15" hidden="false" customHeight="false" outlineLevel="0" collapsed="false">
      <c r="A53" s="1" t="s">
        <v>51</v>
      </c>
      <c r="B53" s="1" t="s">
        <v>1976</v>
      </c>
      <c r="C53" s="1" t="s">
        <v>65</v>
      </c>
      <c r="D53" s="16" t="n">
        <v>249</v>
      </c>
      <c r="E53" s="16" t="n">
        <v>90</v>
      </c>
    </row>
    <row r="54" customFormat="false" ht="15" hidden="false" customHeight="false" outlineLevel="0" collapsed="false">
      <c r="A54" s="1" t="s">
        <v>64</v>
      </c>
      <c r="B54" s="1" t="s">
        <v>1977</v>
      </c>
      <c r="C54" s="1" t="s">
        <v>65</v>
      </c>
      <c r="D54" s="16" t="n">
        <v>599</v>
      </c>
      <c r="E54" s="16" t="n">
        <v>250</v>
      </c>
    </row>
    <row r="55" customFormat="false" ht="15" hidden="false" customHeight="false" outlineLevel="0" collapsed="false">
      <c r="A55" s="1" t="s">
        <v>487</v>
      </c>
      <c r="B55" s="1" t="s">
        <v>1978</v>
      </c>
      <c r="C55" s="1" t="s">
        <v>65</v>
      </c>
      <c r="D55" s="16" t="n">
        <v>299</v>
      </c>
      <c r="E55" s="16" t="n">
        <v>110</v>
      </c>
    </row>
    <row r="56" customFormat="false" ht="15" hidden="false" customHeight="false" outlineLevel="0" collapsed="false">
      <c r="A56" s="1" t="s">
        <v>168</v>
      </c>
      <c r="B56" s="1" t="s">
        <v>1979</v>
      </c>
      <c r="C56" s="1" t="s">
        <v>65</v>
      </c>
      <c r="D56" s="16" t="n">
        <v>999</v>
      </c>
      <c r="E56" s="16" t="n">
        <v>500</v>
      </c>
    </row>
    <row r="57" customFormat="false" ht="15" hidden="false" customHeight="false" outlineLevel="0" collapsed="false">
      <c r="A57" s="1" t="s">
        <v>537</v>
      </c>
      <c r="B57" s="1" t="s">
        <v>1980</v>
      </c>
      <c r="C57" s="1" t="s">
        <v>65</v>
      </c>
      <c r="D57" s="16" t="n">
        <v>1299</v>
      </c>
      <c r="E57" s="16" t="n">
        <v>750</v>
      </c>
    </row>
    <row r="58" customFormat="false" ht="15" hidden="false" customHeight="false" outlineLevel="0" collapsed="false">
      <c r="A58" s="1" t="s">
        <v>405</v>
      </c>
      <c r="B58" s="1" t="s">
        <v>1981</v>
      </c>
      <c r="C58" s="1" t="s">
        <v>65</v>
      </c>
      <c r="D58" s="16" t="n">
        <v>199</v>
      </c>
      <c r="E58" s="16" t="n">
        <v>65</v>
      </c>
    </row>
    <row r="59" customFormat="false" ht="15" hidden="false" customHeight="false" outlineLevel="0" collapsed="false">
      <c r="A59" s="1" t="s">
        <v>89</v>
      </c>
      <c r="B59" s="1" t="s">
        <v>1982</v>
      </c>
      <c r="C59" s="1" t="s">
        <v>65</v>
      </c>
      <c r="D59" s="16" t="n">
        <v>399</v>
      </c>
      <c r="E59" s="16" t="n">
        <v>170</v>
      </c>
    </row>
    <row r="60" customFormat="false" ht="15" hidden="false" customHeight="false" outlineLevel="0" collapsed="false">
      <c r="A60" s="1" t="s">
        <v>186</v>
      </c>
      <c r="B60" s="1" t="s">
        <v>1983</v>
      </c>
      <c r="C60" s="1" t="s">
        <v>65</v>
      </c>
      <c r="D60" s="16" t="n">
        <v>699</v>
      </c>
      <c r="E60" s="16" t="n">
        <v>350</v>
      </c>
    </row>
    <row r="61" customFormat="false" ht="15" hidden="false" customHeight="false" outlineLevel="0" collapsed="false">
      <c r="A61" s="1" t="s">
        <v>162</v>
      </c>
      <c r="B61" s="1" t="s">
        <v>1984</v>
      </c>
      <c r="C61" s="1" t="s">
        <v>82</v>
      </c>
      <c r="D61" s="16" t="n">
        <v>799</v>
      </c>
      <c r="E61" s="16" t="n">
        <v>350</v>
      </c>
    </row>
    <row r="62" customFormat="false" ht="15" hidden="false" customHeight="false" outlineLevel="0" collapsed="false">
      <c r="A62" s="1" t="s">
        <v>270</v>
      </c>
      <c r="B62" s="1" t="s">
        <v>1985</v>
      </c>
      <c r="C62" s="1" t="s">
        <v>82</v>
      </c>
      <c r="D62" s="16" t="n">
        <v>399</v>
      </c>
      <c r="E62" s="16" t="n">
        <v>150</v>
      </c>
    </row>
    <row r="63" customFormat="false" ht="15" hidden="false" customHeight="false" outlineLevel="0" collapsed="false">
      <c r="A63" s="1" t="s">
        <v>294</v>
      </c>
      <c r="B63" s="1" t="s">
        <v>1986</v>
      </c>
      <c r="C63" s="1" t="s">
        <v>82</v>
      </c>
      <c r="D63" s="16" t="n">
        <v>249</v>
      </c>
      <c r="E63" s="16" t="n">
        <v>80</v>
      </c>
    </row>
    <row r="64" customFormat="false" ht="15" hidden="false" customHeight="false" outlineLevel="0" collapsed="false">
      <c r="A64" s="1" t="s">
        <v>222</v>
      </c>
      <c r="B64" s="1" t="s">
        <v>1987</v>
      </c>
      <c r="C64" s="1" t="s">
        <v>82</v>
      </c>
      <c r="D64" s="16" t="n">
        <v>1499</v>
      </c>
      <c r="E64" s="16" t="n">
        <v>800</v>
      </c>
    </row>
    <row r="65" customFormat="false" ht="15" hidden="false" customHeight="false" outlineLevel="0" collapsed="false">
      <c r="A65" s="1" t="s">
        <v>323</v>
      </c>
      <c r="B65" s="1" t="s">
        <v>1988</v>
      </c>
      <c r="C65" s="1" t="s">
        <v>82</v>
      </c>
      <c r="D65" s="16" t="n">
        <v>699</v>
      </c>
      <c r="E65" s="16" t="n">
        <v>300</v>
      </c>
    </row>
    <row r="66" customFormat="false" ht="15" hidden="false" customHeight="false" outlineLevel="0" collapsed="false">
      <c r="A66" s="1" t="s">
        <v>303</v>
      </c>
      <c r="B66" s="1" t="s">
        <v>1989</v>
      </c>
      <c r="C66" s="1" t="s">
        <v>82</v>
      </c>
      <c r="D66" s="16" t="n">
        <v>999</v>
      </c>
      <c r="E66" s="16" t="n">
        <v>520</v>
      </c>
    </row>
    <row r="67" customFormat="false" ht="15" hidden="false" customHeight="false" outlineLevel="0" collapsed="false">
      <c r="A67" s="1" t="s">
        <v>67</v>
      </c>
      <c r="B67" s="1" t="s">
        <v>1990</v>
      </c>
      <c r="C67" s="1" t="s">
        <v>82</v>
      </c>
      <c r="D67" s="16" t="n">
        <v>499</v>
      </c>
      <c r="E67" s="16" t="n">
        <v>200</v>
      </c>
    </row>
    <row r="68" customFormat="false" ht="15" hidden="false" customHeight="false" outlineLevel="0" collapsed="false">
      <c r="A68" s="1" t="s">
        <v>371</v>
      </c>
      <c r="B68" s="1" t="s">
        <v>1991</v>
      </c>
      <c r="C68" s="1" t="s">
        <v>82</v>
      </c>
      <c r="D68" s="16" t="n">
        <v>599</v>
      </c>
      <c r="E68" s="16" t="n">
        <v>250</v>
      </c>
    </row>
    <row r="69" customFormat="false" ht="15" hidden="false" customHeight="false" outlineLevel="0" collapsed="false">
      <c r="A69" s="1" t="s">
        <v>554</v>
      </c>
      <c r="B69" s="1" t="s">
        <v>1992</v>
      </c>
      <c r="C69" s="1" t="s">
        <v>82</v>
      </c>
      <c r="D69" s="16" t="n">
        <v>349</v>
      </c>
      <c r="E69" s="16" t="n">
        <v>120</v>
      </c>
    </row>
    <row r="70" customFormat="false" ht="15" hidden="false" customHeight="false" outlineLevel="0" collapsed="false">
      <c r="A70" s="1" t="s">
        <v>253</v>
      </c>
      <c r="B70" s="1" t="s">
        <v>1993</v>
      </c>
      <c r="C70" s="1" t="s">
        <v>82</v>
      </c>
      <c r="D70" s="16" t="n">
        <v>999</v>
      </c>
      <c r="E70" s="16" t="n">
        <v>500</v>
      </c>
    </row>
    <row r="71" customFormat="false" ht="15" hidden="false" customHeight="false" outlineLevel="0" collapsed="false">
      <c r="A71" s="1" t="s">
        <v>216</v>
      </c>
      <c r="B71" s="1" t="s">
        <v>1994</v>
      </c>
      <c r="C71" s="1" t="s">
        <v>82</v>
      </c>
      <c r="D71" s="16" t="n">
        <v>449</v>
      </c>
      <c r="E71" s="16" t="n">
        <v>180</v>
      </c>
    </row>
    <row r="72" customFormat="false" ht="15" hidden="false" customHeight="false" outlineLevel="0" collapsed="false">
      <c r="A72" s="1" t="s">
        <v>963</v>
      </c>
      <c r="B72" s="1" t="s">
        <v>1995</v>
      </c>
      <c r="C72" s="1" t="s">
        <v>82</v>
      </c>
      <c r="D72" s="16" t="n">
        <v>699</v>
      </c>
      <c r="E72" s="16" t="n">
        <v>320</v>
      </c>
    </row>
    <row r="73" customFormat="false" ht="15" hidden="false" customHeight="false" outlineLevel="0" collapsed="false">
      <c r="A73" s="1" t="s">
        <v>109</v>
      </c>
      <c r="B73" s="1" t="s">
        <v>1996</v>
      </c>
      <c r="C73" s="1" t="s">
        <v>82</v>
      </c>
      <c r="D73" s="16" t="n">
        <v>399</v>
      </c>
      <c r="E73" s="16" t="n">
        <v>160</v>
      </c>
    </row>
    <row r="74" customFormat="false" ht="15" hidden="false" customHeight="false" outlineLevel="0" collapsed="false">
      <c r="A74" s="1" t="s">
        <v>353</v>
      </c>
      <c r="B74" s="1" t="s">
        <v>1997</v>
      </c>
      <c r="C74" s="1" t="s">
        <v>82</v>
      </c>
      <c r="D74" s="16" t="n">
        <v>1999</v>
      </c>
      <c r="E74" s="16" t="n">
        <v>1100</v>
      </c>
    </row>
    <row r="75" customFormat="false" ht="15" hidden="false" customHeight="false" outlineLevel="0" collapsed="false">
      <c r="A75" s="1" t="s">
        <v>493</v>
      </c>
      <c r="B75" s="1" t="s">
        <v>1998</v>
      </c>
      <c r="C75" s="1" t="s">
        <v>68</v>
      </c>
      <c r="D75" s="16" t="n">
        <v>299</v>
      </c>
      <c r="E75" s="16" t="n">
        <v>110</v>
      </c>
    </row>
    <row r="76" customFormat="false" ht="15" hidden="false" customHeight="false" outlineLevel="0" collapsed="false">
      <c r="A76" s="1" t="s">
        <v>375</v>
      </c>
      <c r="B76" s="1" t="s">
        <v>1999</v>
      </c>
      <c r="C76" s="1" t="s">
        <v>68</v>
      </c>
      <c r="D76" s="16" t="n">
        <v>199</v>
      </c>
      <c r="E76" s="16" t="n">
        <v>65</v>
      </c>
    </row>
    <row r="77" customFormat="false" ht="15" hidden="false" customHeight="false" outlineLevel="0" collapsed="false">
      <c r="A77" s="1" t="s">
        <v>245</v>
      </c>
      <c r="B77" s="1" t="s">
        <v>2000</v>
      </c>
      <c r="C77" s="1" t="s">
        <v>68</v>
      </c>
      <c r="D77" s="16" t="n">
        <v>399</v>
      </c>
      <c r="E77" s="16" t="n">
        <v>170</v>
      </c>
    </row>
    <row r="78" customFormat="false" ht="15" hidden="false" customHeight="false" outlineLevel="0" collapsed="false">
      <c r="A78" s="1" t="s">
        <v>230</v>
      </c>
      <c r="B78" s="1" t="s">
        <v>2001</v>
      </c>
      <c r="C78" s="1" t="s">
        <v>68</v>
      </c>
      <c r="D78" s="16" t="n">
        <v>349</v>
      </c>
      <c r="E78" s="16" t="n">
        <v>130</v>
      </c>
    </row>
    <row r="79" customFormat="false" ht="15" hidden="false" customHeight="false" outlineLevel="0" collapsed="false">
      <c r="A79" s="1" t="s">
        <v>18</v>
      </c>
      <c r="B79" s="1" t="s">
        <v>2002</v>
      </c>
      <c r="C79" s="1" t="s">
        <v>68</v>
      </c>
      <c r="D79" s="16" t="n">
        <v>249</v>
      </c>
      <c r="E79" s="16" t="n">
        <v>90</v>
      </c>
    </row>
    <row r="80" customFormat="false" ht="15" hidden="false" customHeight="false" outlineLevel="0" collapsed="false">
      <c r="A80" s="1" t="s">
        <v>315</v>
      </c>
      <c r="B80" s="1" t="s">
        <v>2003</v>
      </c>
      <c r="C80" s="1" t="s">
        <v>68</v>
      </c>
      <c r="D80" s="16" t="n">
        <v>699</v>
      </c>
      <c r="E80" s="16" t="n">
        <v>350</v>
      </c>
    </row>
    <row r="81" customFormat="false" ht="15" hidden="false" customHeight="false" outlineLevel="0" collapsed="false">
      <c r="A81" s="1" t="s">
        <v>399</v>
      </c>
      <c r="B81" s="1" t="s">
        <v>2004</v>
      </c>
      <c r="C81" s="1" t="s">
        <v>68</v>
      </c>
      <c r="D81" s="16" t="n">
        <v>599</v>
      </c>
      <c r="E81" s="16" t="n">
        <v>300</v>
      </c>
    </row>
    <row r="82" customFormat="false" ht="15" hidden="false" customHeight="false" outlineLevel="0" collapsed="false">
      <c r="A82" s="1" t="s">
        <v>264</v>
      </c>
      <c r="B82" s="1" t="s">
        <v>2005</v>
      </c>
      <c r="C82" s="1" t="s">
        <v>68</v>
      </c>
      <c r="D82" s="16" t="n">
        <v>149</v>
      </c>
      <c r="E82" s="16" t="n">
        <v>45</v>
      </c>
    </row>
    <row r="83" customFormat="false" ht="15" hidden="false" customHeight="false" outlineLevel="0" collapsed="false">
      <c r="A83" s="1" t="s">
        <v>171</v>
      </c>
      <c r="B83" s="1" t="s">
        <v>2006</v>
      </c>
      <c r="C83" s="1" t="s">
        <v>68</v>
      </c>
      <c r="D83" s="16" t="n">
        <v>249</v>
      </c>
      <c r="E83" s="16" t="n">
        <v>90</v>
      </c>
    </row>
    <row r="84" customFormat="false" ht="15" hidden="false" customHeight="false" outlineLevel="0" collapsed="false">
      <c r="A84" s="1" t="s">
        <v>23</v>
      </c>
      <c r="B84" s="1" t="s">
        <v>2007</v>
      </c>
      <c r="C84" s="1" t="s">
        <v>68</v>
      </c>
      <c r="D84" s="16" t="n">
        <v>399</v>
      </c>
      <c r="E84" s="16" t="n">
        <v>180</v>
      </c>
    </row>
    <row r="85" customFormat="false" ht="15" hidden="false" customHeight="false" outlineLevel="0" collapsed="false">
      <c r="A85" s="1" t="s">
        <v>58</v>
      </c>
      <c r="B85" s="1" t="s">
        <v>2008</v>
      </c>
      <c r="C85" s="1" t="s">
        <v>68</v>
      </c>
      <c r="D85" s="16" t="n">
        <v>799</v>
      </c>
      <c r="E85" s="16" t="n">
        <v>420</v>
      </c>
    </row>
    <row r="86" customFormat="false" ht="15" hidden="false" customHeight="false" outlineLevel="0" collapsed="false">
      <c r="A86" s="1" t="s">
        <v>362</v>
      </c>
      <c r="B86" s="1" t="s">
        <v>2009</v>
      </c>
      <c r="C86" s="1" t="s">
        <v>68</v>
      </c>
      <c r="D86" s="16" t="n">
        <v>299</v>
      </c>
      <c r="E86" s="16" t="n">
        <v>110</v>
      </c>
    </row>
    <row r="87" customFormat="false" ht="15" hidden="false" customHeight="false" outlineLevel="0" collapsed="false">
      <c r="A87" s="1" t="s">
        <v>33</v>
      </c>
      <c r="B87" s="1" t="s">
        <v>2010</v>
      </c>
      <c r="C87" s="1" t="s">
        <v>68</v>
      </c>
      <c r="D87" s="16" t="n">
        <v>199</v>
      </c>
      <c r="E87" s="16" t="n">
        <v>70</v>
      </c>
    </row>
    <row r="88" customFormat="false" ht="15" hidden="false" customHeight="false" outlineLevel="0" collapsed="false">
      <c r="A88" s="1" t="s">
        <v>462</v>
      </c>
      <c r="B88" s="1" t="s">
        <v>2011</v>
      </c>
      <c r="C88" s="1" t="s">
        <v>68</v>
      </c>
      <c r="D88" s="16" t="n">
        <v>449</v>
      </c>
      <c r="E88" s="16" t="n">
        <v>200</v>
      </c>
    </row>
    <row r="89" customFormat="false" ht="15" hidden="false" customHeight="false" outlineLevel="0" collapsed="false">
      <c r="A89" s="1" t="s">
        <v>624</v>
      </c>
      <c r="B89" s="1" t="s">
        <v>2012</v>
      </c>
      <c r="C89" s="1" t="s">
        <v>62</v>
      </c>
      <c r="D89" s="16" t="n">
        <v>1299</v>
      </c>
      <c r="E89" s="16" t="n">
        <v>750</v>
      </c>
    </row>
    <row r="90" customFormat="false" ht="15" hidden="false" customHeight="false" outlineLevel="0" collapsed="false">
      <c r="A90" s="1" t="s">
        <v>94</v>
      </c>
      <c r="B90" s="1" t="s">
        <v>2013</v>
      </c>
      <c r="C90" s="1" t="s">
        <v>62</v>
      </c>
      <c r="D90" s="16" t="n">
        <v>2499</v>
      </c>
      <c r="E90" s="16" t="n">
        <v>1550</v>
      </c>
    </row>
    <row r="91" customFormat="false" ht="15" hidden="false" customHeight="false" outlineLevel="0" collapsed="false">
      <c r="A91" s="1" t="s">
        <v>423</v>
      </c>
      <c r="B91" s="1" t="s">
        <v>2014</v>
      </c>
      <c r="C91" s="1" t="s">
        <v>62</v>
      </c>
      <c r="D91" s="16" t="n">
        <v>1499</v>
      </c>
      <c r="E91" s="16" t="n">
        <v>900</v>
      </c>
    </row>
    <row r="92" customFormat="false" ht="15" hidden="false" customHeight="false" outlineLevel="0" collapsed="false">
      <c r="A92" s="1" t="s">
        <v>441</v>
      </c>
      <c r="B92" s="1" t="s">
        <v>2015</v>
      </c>
      <c r="C92" s="1" t="s">
        <v>62</v>
      </c>
      <c r="D92" s="16" t="n">
        <v>1999</v>
      </c>
      <c r="E92" s="16" t="n">
        <v>1200</v>
      </c>
    </row>
    <row r="93" customFormat="false" ht="15" hidden="false" customHeight="false" outlineLevel="0" collapsed="false">
      <c r="A93" s="1" t="s">
        <v>578</v>
      </c>
      <c r="B93" s="1" t="s">
        <v>2016</v>
      </c>
      <c r="C93" s="1" t="s">
        <v>62</v>
      </c>
      <c r="D93" s="16" t="n">
        <v>999</v>
      </c>
      <c r="E93" s="16" t="n">
        <v>550</v>
      </c>
    </row>
    <row r="94" customFormat="false" ht="15" hidden="false" customHeight="false" outlineLevel="0" collapsed="false">
      <c r="A94" s="1" t="s">
        <v>418</v>
      </c>
      <c r="B94" s="1" t="s">
        <v>2017</v>
      </c>
      <c r="C94" s="1" t="s">
        <v>62</v>
      </c>
      <c r="D94" s="16" t="n">
        <v>2299</v>
      </c>
      <c r="E94" s="16" t="n">
        <v>1450</v>
      </c>
    </row>
    <row r="95" customFormat="false" ht="15" hidden="false" customHeight="false" outlineLevel="0" collapsed="false">
      <c r="A95" s="1" t="s">
        <v>143</v>
      </c>
      <c r="B95" s="1" t="s">
        <v>2018</v>
      </c>
      <c r="C95" s="1" t="s">
        <v>62</v>
      </c>
      <c r="D95" s="16" t="n">
        <v>1999</v>
      </c>
      <c r="E95" s="16" t="n">
        <v>1250</v>
      </c>
    </row>
    <row r="96" customFormat="false" ht="15" hidden="false" customHeight="false" outlineLevel="0" collapsed="false">
      <c r="A96" s="1" t="s">
        <v>160</v>
      </c>
      <c r="B96" s="1" t="s">
        <v>2019</v>
      </c>
      <c r="C96" s="1" t="s">
        <v>62</v>
      </c>
      <c r="D96" s="16" t="n">
        <v>1599</v>
      </c>
      <c r="E96" s="16" t="n">
        <v>950</v>
      </c>
    </row>
    <row r="97" customFormat="false" ht="15" hidden="false" customHeight="false" outlineLevel="0" collapsed="false">
      <c r="A97" s="1" t="s">
        <v>148</v>
      </c>
      <c r="B97" s="1" t="s">
        <v>2020</v>
      </c>
      <c r="C97" s="1" t="s">
        <v>62</v>
      </c>
      <c r="D97" s="16" t="n">
        <v>3999</v>
      </c>
      <c r="E97" s="16" t="n">
        <v>2700</v>
      </c>
    </row>
    <row r="98" customFormat="false" ht="15" hidden="false" customHeight="false" outlineLevel="0" collapsed="false">
      <c r="A98" s="1" t="s">
        <v>12</v>
      </c>
      <c r="B98" s="1" t="s">
        <v>2021</v>
      </c>
      <c r="C98" s="1" t="s">
        <v>62</v>
      </c>
      <c r="D98" s="16" t="n">
        <v>3499</v>
      </c>
      <c r="E98" s="16" t="n">
        <v>2400</v>
      </c>
    </row>
    <row r="99" customFormat="false" ht="15" hidden="false" customHeight="false" outlineLevel="0" collapsed="false">
      <c r="A99" s="1" t="s">
        <v>134</v>
      </c>
      <c r="B99" s="1" t="s">
        <v>2022</v>
      </c>
      <c r="C99" s="1" t="s">
        <v>62</v>
      </c>
      <c r="D99" s="16" t="n">
        <v>999</v>
      </c>
      <c r="E99" s="16" t="n">
        <v>550</v>
      </c>
    </row>
    <row r="100" customFormat="false" ht="15" hidden="false" customHeight="false" outlineLevel="0" collapsed="false">
      <c r="A100" s="1" t="s">
        <v>289</v>
      </c>
      <c r="B100" s="1" t="s">
        <v>2023</v>
      </c>
      <c r="C100" s="1" t="s">
        <v>62</v>
      </c>
      <c r="D100" s="16" t="n">
        <v>1299</v>
      </c>
      <c r="E100" s="16" t="n">
        <v>750</v>
      </c>
    </row>
    <row r="101" customFormat="false" ht="15" hidden="false" customHeight="false" outlineLevel="0" collapsed="false">
      <c r="A101" s="1" t="s">
        <v>37</v>
      </c>
      <c r="B101" s="1" t="s">
        <v>2024</v>
      </c>
      <c r="C101" s="1" t="s">
        <v>62</v>
      </c>
      <c r="D101" s="16" t="n">
        <v>2499</v>
      </c>
      <c r="E101" s="16" t="n">
        <v>1600</v>
      </c>
    </row>
  </sheetData>
  <autoFilter ref="A1:E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4" activeCellId="0" sqref="F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.74"/>
    <col collapsed="false" customWidth="true" hidden="false" outlineLevel="0" max="2" min="2" style="1" width="19.93"/>
    <col collapsed="false" customWidth="true" hidden="false" outlineLevel="0" max="3" min="3" style="1" width="14.65"/>
    <col collapsed="false" customWidth="true" hidden="false" outlineLevel="0" max="4" min="4" style="1" width="15.76"/>
    <col collapsed="false" customWidth="true" hidden="false" outlineLevel="0" max="5" min="5" style="1" width="22.72"/>
    <col collapsed="false" customWidth="true" hidden="false" outlineLevel="0" max="6" min="6" style="1" width="17.57"/>
  </cols>
  <sheetData>
    <row r="1" customFormat="false" ht="24.75" hidden="false" customHeight="true" outlineLevel="0" collapsed="false">
      <c r="A1" s="2" t="s">
        <v>2</v>
      </c>
      <c r="B1" s="2" t="s">
        <v>2025</v>
      </c>
      <c r="C1" s="2" t="s">
        <v>2026</v>
      </c>
      <c r="D1" s="2" t="s">
        <v>2027</v>
      </c>
      <c r="E1" s="2" t="s">
        <v>2028</v>
      </c>
    </row>
    <row r="2" customFormat="false" ht="15" hidden="false" customHeight="false" outlineLevel="0" collapsed="false">
      <c r="A2" s="1" t="s">
        <v>293</v>
      </c>
      <c r="B2" s="1" t="s">
        <v>2029</v>
      </c>
      <c r="C2" s="1" t="s">
        <v>2030</v>
      </c>
      <c r="D2" s="1" t="s">
        <v>2030</v>
      </c>
      <c r="E2" s="1" t="s">
        <v>2031</v>
      </c>
    </row>
    <row r="3" customFormat="false" ht="15" hidden="false" customHeight="false" outlineLevel="0" collapsed="false">
      <c r="A3" s="1" t="s">
        <v>285</v>
      </c>
      <c r="B3" s="1" t="s">
        <v>2032</v>
      </c>
      <c r="C3" s="1" t="s">
        <v>2033</v>
      </c>
      <c r="D3" s="1" t="s">
        <v>2034</v>
      </c>
      <c r="E3" s="1" t="s">
        <v>2035</v>
      </c>
    </row>
    <row r="4" customFormat="false" ht="15" hidden="false" customHeight="false" outlineLevel="0" collapsed="false">
      <c r="A4" s="1" t="s">
        <v>306</v>
      </c>
      <c r="B4" s="1" t="s">
        <v>2036</v>
      </c>
      <c r="C4" s="1" t="s">
        <v>2037</v>
      </c>
      <c r="D4" s="1" t="s">
        <v>2038</v>
      </c>
      <c r="E4" s="1" t="s">
        <v>2031</v>
      </c>
    </row>
    <row r="5" customFormat="false" ht="15" hidden="false" customHeight="false" outlineLevel="0" collapsed="false">
      <c r="A5" s="1" t="s">
        <v>273</v>
      </c>
      <c r="B5" s="1" t="s">
        <v>2039</v>
      </c>
      <c r="C5" s="1" t="s">
        <v>2040</v>
      </c>
      <c r="D5" s="1" t="s">
        <v>2041</v>
      </c>
      <c r="E5" s="1" t="s">
        <v>2031</v>
      </c>
    </row>
    <row r="6" customFormat="false" ht="15" hidden="false" customHeight="false" outlineLevel="0" collapsed="false">
      <c r="A6" s="1" t="s">
        <v>877</v>
      </c>
      <c r="B6" s="1" t="s">
        <v>2042</v>
      </c>
      <c r="C6" s="1" t="s">
        <v>2043</v>
      </c>
      <c r="D6" s="1" t="s">
        <v>2044</v>
      </c>
      <c r="E6" s="1" t="s">
        <v>2031</v>
      </c>
    </row>
    <row r="7" customFormat="false" ht="15" hidden="false" customHeight="false" outlineLevel="0" collapsed="false">
      <c r="A7" s="1" t="s">
        <v>1284</v>
      </c>
      <c r="B7" s="1" t="s">
        <v>2045</v>
      </c>
      <c r="C7" s="1" t="s">
        <v>2046</v>
      </c>
      <c r="D7" s="1" t="s">
        <v>2047</v>
      </c>
      <c r="E7" s="1" t="s">
        <v>2031</v>
      </c>
    </row>
    <row r="8" customFormat="false" ht="15" hidden="false" customHeight="false" outlineLevel="0" collapsed="false">
      <c r="A8" s="1" t="s">
        <v>229</v>
      </c>
      <c r="B8" s="1" t="s">
        <v>2048</v>
      </c>
      <c r="C8" s="1" t="s">
        <v>2049</v>
      </c>
      <c r="D8" s="1" t="s">
        <v>2034</v>
      </c>
      <c r="E8" s="1" t="s">
        <v>2031</v>
      </c>
    </row>
    <row r="9" customFormat="false" ht="15" hidden="false" customHeight="false" outlineLevel="0" collapsed="false">
      <c r="A9" s="1" t="s">
        <v>380</v>
      </c>
      <c r="B9" s="1" t="s">
        <v>2050</v>
      </c>
      <c r="C9" s="1" t="s">
        <v>2051</v>
      </c>
      <c r="D9" s="1" t="s">
        <v>2052</v>
      </c>
      <c r="E9" s="1" t="s">
        <v>2035</v>
      </c>
    </row>
    <row r="10" customFormat="false" ht="15" hidden="false" customHeight="false" outlineLevel="0" collapsed="false">
      <c r="A10" s="1" t="s">
        <v>212</v>
      </c>
      <c r="B10" s="1" t="s">
        <v>2053</v>
      </c>
      <c r="C10" s="1" t="s">
        <v>2054</v>
      </c>
      <c r="D10" s="1" t="s">
        <v>2055</v>
      </c>
      <c r="E10" s="1" t="s">
        <v>2035</v>
      </c>
    </row>
    <row r="11" customFormat="false" ht="15" hidden="false" customHeight="false" outlineLevel="0" collapsed="false">
      <c r="A11" s="1" t="s">
        <v>483</v>
      </c>
      <c r="B11" s="1" t="s">
        <v>2056</v>
      </c>
      <c r="C11" s="1" t="s">
        <v>2057</v>
      </c>
      <c r="D11" s="1" t="s">
        <v>2058</v>
      </c>
      <c r="E11" s="1" t="s">
        <v>2031</v>
      </c>
    </row>
    <row r="12" customFormat="false" ht="15" hidden="false" customHeight="false" outlineLevel="0" collapsed="false">
      <c r="A12" s="1" t="s">
        <v>536</v>
      </c>
      <c r="B12" s="1" t="s">
        <v>2059</v>
      </c>
      <c r="C12" s="1" t="s">
        <v>2060</v>
      </c>
      <c r="D12" s="1" t="s">
        <v>2061</v>
      </c>
      <c r="E12" s="1" t="s">
        <v>2035</v>
      </c>
    </row>
    <row r="13" customFormat="false" ht="15" hidden="false" customHeight="false" outlineLevel="0" collapsed="false">
      <c r="A13" s="1" t="s">
        <v>954</v>
      </c>
      <c r="B13" s="1" t="s">
        <v>2062</v>
      </c>
      <c r="C13" s="1" t="s">
        <v>2063</v>
      </c>
      <c r="D13" s="1" t="s">
        <v>2058</v>
      </c>
      <c r="E13" s="1" t="s">
        <v>2031</v>
      </c>
    </row>
    <row r="14" customFormat="false" ht="15" hidden="false" customHeight="false" outlineLevel="0" collapsed="false">
      <c r="A14" s="1" t="s">
        <v>452</v>
      </c>
      <c r="B14" s="1" t="s">
        <v>2064</v>
      </c>
      <c r="C14" s="1" t="s">
        <v>2065</v>
      </c>
      <c r="D14" s="1" t="s">
        <v>2066</v>
      </c>
      <c r="E14" s="1" t="s">
        <v>2031</v>
      </c>
    </row>
    <row r="15" customFormat="false" ht="15" hidden="false" customHeight="false" outlineLevel="0" collapsed="false">
      <c r="A15" s="1" t="s">
        <v>327</v>
      </c>
      <c r="B15" s="1" t="s">
        <v>2067</v>
      </c>
      <c r="C15" s="1" t="s">
        <v>2068</v>
      </c>
      <c r="D15" s="1" t="s">
        <v>2069</v>
      </c>
      <c r="E15" s="1" t="s">
        <v>2031</v>
      </c>
    </row>
    <row r="16" customFormat="false" ht="15" hidden="false" customHeight="false" outlineLevel="0" collapsed="false">
      <c r="A16" s="1" t="s">
        <v>721</v>
      </c>
      <c r="B16" s="1" t="s">
        <v>2070</v>
      </c>
      <c r="C16" s="1" t="s">
        <v>2071</v>
      </c>
      <c r="D16" s="1" t="s">
        <v>2069</v>
      </c>
      <c r="E16" s="1" t="s">
        <v>2031</v>
      </c>
    </row>
    <row r="17" customFormat="false" ht="15" hidden="false" customHeight="false" outlineLevel="0" collapsed="false">
      <c r="A17" s="1" t="s">
        <v>387</v>
      </c>
      <c r="B17" s="1" t="s">
        <v>2072</v>
      </c>
      <c r="C17" s="1" t="s">
        <v>2073</v>
      </c>
      <c r="D17" s="1" t="s">
        <v>2073</v>
      </c>
      <c r="E17" s="1" t="s">
        <v>2035</v>
      </c>
    </row>
    <row r="18" customFormat="false" ht="15" hidden="false" customHeight="false" outlineLevel="0" collapsed="false">
      <c r="A18" s="1" t="s">
        <v>532</v>
      </c>
      <c r="B18" s="1" t="s">
        <v>2074</v>
      </c>
      <c r="C18" s="1" t="s">
        <v>2075</v>
      </c>
      <c r="D18" s="1" t="s">
        <v>2055</v>
      </c>
      <c r="E18" s="1" t="s">
        <v>2031</v>
      </c>
    </row>
    <row r="19" customFormat="false" ht="15" hidden="false" customHeight="false" outlineLevel="0" collapsed="false">
      <c r="A19" s="1" t="s">
        <v>518</v>
      </c>
      <c r="B19" s="1" t="s">
        <v>2076</v>
      </c>
      <c r="C19" s="1" t="s">
        <v>2077</v>
      </c>
      <c r="D19" s="1" t="s">
        <v>2034</v>
      </c>
      <c r="E19" s="1" t="s">
        <v>2035</v>
      </c>
    </row>
    <row r="20" customFormat="false" ht="15" hidden="false" customHeight="false" outlineLevel="0" collapsed="false">
      <c r="A20" s="1" t="s">
        <v>288</v>
      </c>
      <c r="B20" s="1" t="s">
        <v>2078</v>
      </c>
      <c r="C20" s="1" t="s">
        <v>2079</v>
      </c>
      <c r="D20" s="1" t="s">
        <v>2044</v>
      </c>
      <c r="E20" s="1" t="s">
        <v>2035</v>
      </c>
    </row>
    <row r="21" customFormat="false" ht="15" hidden="false" customHeight="false" outlineLevel="0" collapsed="false">
      <c r="A21" s="1" t="s">
        <v>568</v>
      </c>
      <c r="B21" s="1" t="s">
        <v>2080</v>
      </c>
      <c r="C21" s="1" t="s">
        <v>2081</v>
      </c>
      <c r="D21" s="1" t="s">
        <v>2082</v>
      </c>
      <c r="E21" s="1" t="s">
        <v>2031</v>
      </c>
    </row>
    <row r="22" customFormat="false" ht="15" hidden="false" customHeight="false" outlineLevel="0" collapsed="false">
      <c r="A22" s="1" t="s">
        <v>159</v>
      </c>
      <c r="B22" s="1" t="s">
        <v>2083</v>
      </c>
      <c r="C22" s="1" t="s">
        <v>2030</v>
      </c>
      <c r="D22" s="1" t="s">
        <v>2030</v>
      </c>
      <c r="E22" s="1" t="s">
        <v>2031</v>
      </c>
    </row>
    <row r="23" customFormat="false" ht="15" hidden="false" customHeight="false" outlineLevel="0" collapsed="false">
      <c r="A23" s="1" t="s">
        <v>688</v>
      </c>
      <c r="B23" s="1" t="s">
        <v>2084</v>
      </c>
      <c r="C23" s="1" t="s">
        <v>2033</v>
      </c>
      <c r="D23" s="1" t="s">
        <v>2034</v>
      </c>
      <c r="E23" s="1" t="s">
        <v>2031</v>
      </c>
    </row>
    <row r="24" customFormat="false" ht="15" hidden="false" customHeight="false" outlineLevel="0" collapsed="false">
      <c r="A24" s="1" t="s">
        <v>854</v>
      </c>
      <c r="B24" s="1" t="s">
        <v>2085</v>
      </c>
      <c r="C24" s="1" t="s">
        <v>2037</v>
      </c>
      <c r="D24" s="1" t="s">
        <v>2038</v>
      </c>
      <c r="E24" s="1" t="s">
        <v>2031</v>
      </c>
    </row>
    <row r="25" customFormat="false" ht="15" hidden="false" customHeight="false" outlineLevel="0" collapsed="false">
      <c r="A25" s="1" t="s">
        <v>188</v>
      </c>
      <c r="B25" s="1" t="s">
        <v>2086</v>
      </c>
      <c r="C25" s="1" t="s">
        <v>2040</v>
      </c>
      <c r="D25" s="1" t="s">
        <v>2041</v>
      </c>
      <c r="E25" s="1" t="s">
        <v>2031</v>
      </c>
    </row>
    <row r="26" customFormat="false" ht="15" hidden="false" customHeight="false" outlineLevel="0" collapsed="false">
      <c r="A26" s="1" t="s">
        <v>55</v>
      </c>
      <c r="B26" s="1" t="s">
        <v>2087</v>
      </c>
      <c r="C26" s="1" t="s">
        <v>2043</v>
      </c>
      <c r="D26" s="1" t="s">
        <v>2044</v>
      </c>
      <c r="E26" s="1" t="s">
        <v>2031</v>
      </c>
    </row>
    <row r="27" customFormat="false" ht="15" hidden="false" customHeight="false" outlineLevel="0" collapsed="false">
      <c r="A27" s="1" t="s">
        <v>261</v>
      </c>
      <c r="B27" s="1" t="s">
        <v>2088</v>
      </c>
      <c r="C27" s="1" t="s">
        <v>2046</v>
      </c>
      <c r="D27" s="1" t="s">
        <v>2047</v>
      </c>
      <c r="E27" s="1" t="s">
        <v>2031</v>
      </c>
    </row>
    <row r="28" customFormat="false" ht="15" hidden="false" customHeight="false" outlineLevel="0" collapsed="false">
      <c r="A28" s="1" t="s">
        <v>91</v>
      </c>
      <c r="B28" s="1" t="s">
        <v>2089</v>
      </c>
      <c r="C28" s="1" t="s">
        <v>2049</v>
      </c>
      <c r="D28" s="1" t="s">
        <v>2034</v>
      </c>
      <c r="E28" s="1" t="s">
        <v>2031</v>
      </c>
    </row>
    <row r="29" customFormat="false" ht="15" hidden="false" customHeight="false" outlineLevel="0" collapsed="false">
      <c r="A29" s="1" t="s">
        <v>17</v>
      </c>
      <c r="B29" s="1" t="s">
        <v>2090</v>
      </c>
      <c r="C29" s="1" t="s">
        <v>2051</v>
      </c>
      <c r="D29" s="1" t="s">
        <v>2052</v>
      </c>
      <c r="E29" s="1" t="s">
        <v>2091</v>
      </c>
    </row>
    <row r="30" customFormat="false" ht="15" hidden="false" customHeight="false" outlineLevel="0" collapsed="false">
      <c r="A30" s="1" t="s">
        <v>459</v>
      </c>
      <c r="B30" s="1" t="s">
        <v>2092</v>
      </c>
      <c r="C30" s="1" t="s">
        <v>2054</v>
      </c>
      <c r="D30" s="1" t="s">
        <v>2055</v>
      </c>
      <c r="E30" s="1" t="s">
        <v>2031</v>
      </c>
    </row>
    <row r="31" customFormat="false" ht="15" hidden="false" customHeight="false" outlineLevel="0" collapsed="false">
      <c r="A31" s="1" t="s">
        <v>364</v>
      </c>
      <c r="B31" s="1" t="s">
        <v>2093</v>
      </c>
      <c r="C31" s="1" t="s">
        <v>2057</v>
      </c>
      <c r="D31" s="1" t="s">
        <v>2058</v>
      </c>
      <c r="E31" s="1" t="s">
        <v>2031</v>
      </c>
    </row>
    <row r="32" customFormat="false" ht="15" hidden="false" customHeight="false" outlineLevel="0" collapsed="false">
      <c r="A32" s="1" t="s">
        <v>530</v>
      </c>
      <c r="B32" s="1" t="s">
        <v>2094</v>
      </c>
      <c r="C32" s="1" t="s">
        <v>2060</v>
      </c>
      <c r="D32" s="1" t="s">
        <v>2061</v>
      </c>
      <c r="E32" s="1" t="s">
        <v>2031</v>
      </c>
    </row>
    <row r="33" customFormat="false" ht="15" hidden="false" customHeight="false" outlineLevel="0" collapsed="false">
      <c r="A33" s="1" t="s">
        <v>401</v>
      </c>
      <c r="B33" s="1" t="s">
        <v>2095</v>
      </c>
      <c r="C33" s="1" t="s">
        <v>2063</v>
      </c>
      <c r="D33" s="1" t="s">
        <v>2058</v>
      </c>
      <c r="E33" s="1" t="s">
        <v>2031</v>
      </c>
    </row>
    <row r="34" customFormat="false" ht="15" hidden="false" customHeight="false" outlineLevel="0" collapsed="false">
      <c r="A34" s="1" t="s">
        <v>111</v>
      </c>
      <c r="B34" s="1" t="s">
        <v>2096</v>
      </c>
      <c r="C34" s="1" t="s">
        <v>2065</v>
      </c>
      <c r="D34" s="1" t="s">
        <v>2066</v>
      </c>
      <c r="E34" s="1" t="s">
        <v>2091</v>
      </c>
    </row>
    <row r="35" customFormat="false" ht="15" hidden="false" customHeight="false" outlineLevel="0" collapsed="false">
      <c r="A35" s="1" t="s">
        <v>1218</v>
      </c>
      <c r="B35" s="1" t="s">
        <v>2097</v>
      </c>
      <c r="C35" s="1" t="s">
        <v>2068</v>
      </c>
      <c r="D35" s="1" t="s">
        <v>2069</v>
      </c>
      <c r="E35" s="1" t="s">
        <v>2035</v>
      </c>
    </row>
    <row r="36" customFormat="false" ht="15" hidden="false" customHeight="false" outlineLevel="0" collapsed="false">
      <c r="A36" s="1" t="s">
        <v>917</v>
      </c>
      <c r="B36" s="1" t="s">
        <v>2098</v>
      </c>
      <c r="C36" s="1" t="s">
        <v>2071</v>
      </c>
      <c r="D36" s="1" t="s">
        <v>2069</v>
      </c>
      <c r="E36" s="1" t="s">
        <v>2031</v>
      </c>
    </row>
    <row r="37" customFormat="false" ht="15" hidden="false" customHeight="false" outlineLevel="0" collapsed="false">
      <c r="A37" s="1" t="s">
        <v>499</v>
      </c>
      <c r="B37" s="1" t="s">
        <v>2099</v>
      </c>
      <c r="C37" s="1" t="s">
        <v>2073</v>
      </c>
      <c r="D37" s="1" t="s">
        <v>2073</v>
      </c>
      <c r="E37" s="1" t="s">
        <v>2035</v>
      </c>
    </row>
    <row r="38" customFormat="false" ht="15" hidden="false" customHeight="false" outlineLevel="0" collapsed="false">
      <c r="A38" s="1" t="s">
        <v>86</v>
      </c>
      <c r="B38" s="1" t="s">
        <v>2100</v>
      </c>
      <c r="C38" s="1" t="s">
        <v>2075</v>
      </c>
      <c r="D38" s="1" t="s">
        <v>2055</v>
      </c>
      <c r="E38" s="1" t="s">
        <v>2031</v>
      </c>
    </row>
    <row r="39" customFormat="false" ht="15" hidden="false" customHeight="false" outlineLevel="0" collapsed="false">
      <c r="A39" s="1" t="s">
        <v>173</v>
      </c>
      <c r="B39" s="1" t="s">
        <v>2101</v>
      </c>
      <c r="C39" s="1" t="s">
        <v>2077</v>
      </c>
      <c r="D39" s="1" t="s">
        <v>2034</v>
      </c>
      <c r="E39" s="1" t="s">
        <v>2031</v>
      </c>
    </row>
    <row r="40" customFormat="false" ht="15" hidden="false" customHeight="false" outlineLevel="0" collapsed="false">
      <c r="A40" s="1" t="s">
        <v>440</v>
      </c>
      <c r="B40" s="1" t="s">
        <v>2102</v>
      </c>
      <c r="C40" s="1" t="s">
        <v>2079</v>
      </c>
      <c r="D40" s="1" t="s">
        <v>2044</v>
      </c>
      <c r="E40" s="1" t="s">
        <v>2031</v>
      </c>
    </row>
    <row r="41" customFormat="false" ht="15" hidden="false" customHeight="false" outlineLevel="0" collapsed="false">
      <c r="A41" s="1" t="s">
        <v>495</v>
      </c>
      <c r="B41" s="1" t="s">
        <v>2103</v>
      </c>
      <c r="C41" s="1" t="s">
        <v>2081</v>
      </c>
      <c r="D41" s="1" t="s">
        <v>2082</v>
      </c>
      <c r="E41" s="1" t="s">
        <v>2031</v>
      </c>
    </row>
    <row r="42" customFormat="false" ht="15" hidden="false" customHeight="false" outlineLevel="0" collapsed="false">
      <c r="A42" s="1" t="s">
        <v>201</v>
      </c>
      <c r="B42" s="1" t="s">
        <v>2104</v>
      </c>
      <c r="C42" s="1" t="s">
        <v>2030</v>
      </c>
      <c r="D42" s="1" t="s">
        <v>2030</v>
      </c>
      <c r="E42" s="1" t="s">
        <v>2035</v>
      </c>
    </row>
    <row r="43" customFormat="false" ht="15" hidden="false" customHeight="false" outlineLevel="0" collapsed="false">
      <c r="A43" s="1" t="s">
        <v>693</v>
      </c>
      <c r="B43" s="1" t="s">
        <v>2105</v>
      </c>
      <c r="C43" s="1" t="s">
        <v>2033</v>
      </c>
      <c r="D43" s="1" t="s">
        <v>2034</v>
      </c>
      <c r="E43" s="1" t="s">
        <v>2031</v>
      </c>
    </row>
    <row r="44" customFormat="false" ht="15" hidden="false" customHeight="false" outlineLevel="0" collapsed="false">
      <c r="A44" s="1" t="s">
        <v>836</v>
      </c>
      <c r="B44" s="1" t="s">
        <v>2106</v>
      </c>
      <c r="C44" s="1" t="s">
        <v>2037</v>
      </c>
      <c r="D44" s="1" t="s">
        <v>2038</v>
      </c>
      <c r="E44" s="1" t="s">
        <v>2035</v>
      </c>
    </row>
    <row r="45" customFormat="false" ht="15" hidden="false" customHeight="false" outlineLevel="0" collapsed="false">
      <c r="A45" s="1" t="s">
        <v>867</v>
      </c>
      <c r="B45" s="1" t="s">
        <v>2107</v>
      </c>
      <c r="C45" s="1" t="s">
        <v>2040</v>
      </c>
      <c r="D45" s="1" t="s">
        <v>2041</v>
      </c>
      <c r="E45" s="1" t="s">
        <v>2031</v>
      </c>
    </row>
    <row r="46" customFormat="false" ht="15" hidden="false" customHeight="false" outlineLevel="0" collapsed="false">
      <c r="A46" s="1" t="s">
        <v>1107</v>
      </c>
      <c r="B46" s="1" t="s">
        <v>2108</v>
      </c>
      <c r="C46" s="1" t="s">
        <v>2043</v>
      </c>
      <c r="D46" s="1" t="s">
        <v>2044</v>
      </c>
      <c r="E46" s="1" t="s">
        <v>2031</v>
      </c>
    </row>
    <row r="47" customFormat="false" ht="15" hidden="false" customHeight="false" outlineLevel="0" collapsed="false">
      <c r="A47" s="1" t="s">
        <v>846</v>
      </c>
      <c r="B47" s="1" t="s">
        <v>2109</v>
      </c>
      <c r="C47" s="1" t="s">
        <v>2046</v>
      </c>
      <c r="D47" s="1" t="s">
        <v>2047</v>
      </c>
      <c r="E47" s="1" t="s">
        <v>2035</v>
      </c>
    </row>
    <row r="48" customFormat="false" ht="15" hidden="false" customHeight="false" outlineLevel="0" collapsed="false">
      <c r="A48" s="1" t="s">
        <v>461</v>
      </c>
      <c r="B48" s="1" t="s">
        <v>2110</v>
      </c>
      <c r="C48" s="1" t="s">
        <v>2049</v>
      </c>
      <c r="D48" s="1" t="s">
        <v>2034</v>
      </c>
      <c r="E48" s="1" t="s">
        <v>2091</v>
      </c>
    </row>
    <row r="49" customFormat="false" ht="15" hidden="false" customHeight="false" outlineLevel="0" collapsed="false">
      <c r="A49" s="1" t="s">
        <v>1060</v>
      </c>
      <c r="B49" s="1" t="s">
        <v>2111</v>
      </c>
      <c r="C49" s="1" t="s">
        <v>2051</v>
      </c>
      <c r="D49" s="1" t="s">
        <v>2052</v>
      </c>
      <c r="E49" s="1" t="s">
        <v>2035</v>
      </c>
    </row>
    <row r="50" customFormat="false" ht="15" hidden="false" customHeight="false" outlineLevel="0" collapsed="false">
      <c r="A50" s="1" t="s">
        <v>384</v>
      </c>
      <c r="B50" s="1" t="s">
        <v>2112</v>
      </c>
      <c r="C50" s="1" t="s">
        <v>2054</v>
      </c>
      <c r="D50" s="1" t="s">
        <v>2055</v>
      </c>
      <c r="E50" s="1" t="s">
        <v>2031</v>
      </c>
    </row>
    <row r="51" customFormat="false" ht="15" hidden="false" customHeight="false" outlineLevel="0" collapsed="false">
      <c r="A51" s="1" t="s">
        <v>391</v>
      </c>
      <c r="B51" s="1" t="s">
        <v>2113</v>
      </c>
      <c r="C51" s="1" t="s">
        <v>2057</v>
      </c>
      <c r="D51" s="1" t="s">
        <v>2058</v>
      </c>
      <c r="E51" s="1" t="s">
        <v>2035</v>
      </c>
    </row>
    <row r="52" customFormat="false" ht="15" hidden="false" customHeight="false" outlineLevel="0" collapsed="false">
      <c r="A52" s="1" t="s">
        <v>1536</v>
      </c>
      <c r="B52" s="1" t="s">
        <v>2114</v>
      </c>
      <c r="C52" s="1" t="s">
        <v>2060</v>
      </c>
      <c r="D52" s="1" t="s">
        <v>2061</v>
      </c>
      <c r="E52" s="1" t="s">
        <v>2091</v>
      </c>
    </row>
    <row r="53" customFormat="false" ht="15" hidden="false" customHeight="false" outlineLevel="0" collapsed="false">
      <c r="A53" s="1" t="s">
        <v>133</v>
      </c>
      <c r="B53" s="1" t="s">
        <v>2115</v>
      </c>
      <c r="C53" s="1" t="s">
        <v>2063</v>
      </c>
      <c r="D53" s="1" t="s">
        <v>2058</v>
      </c>
      <c r="E53" s="1" t="s">
        <v>2031</v>
      </c>
    </row>
    <row r="54" customFormat="false" ht="15" hidden="false" customHeight="false" outlineLevel="0" collapsed="false">
      <c r="A54" s="1" t="s">
        <v>167</v>
      </c>
      <c r="B54" s="1" t="s">
        <v>2116</v>
      </c>
      <c r="C54" s="1" t="s">
        <v>2065</v>
      </c>
      <c r="D54" s="1" t="s">
        <v>2066</v>
      </c>
      <c r="E54" s="1" t="s">
        <v>2031</v>
      </c>
    </row>
    <row r="55" customFormat="false" ht="15" hidden="false" customHeight="false" outlineLevel="0" collapsed="false">
      <c r="A55" s="1" t="s">
        <v>291</v>
      </c>
      <c r="B55" s="1" t="s">
        <v>2117</v>
      </c>
      <c r="C55" s="1" t="s">
        <v>2068</v>
      </c>
      <c r="D55" s="1" t="s">
        <v>2069</v>
      </c>
      <c r="E55" s="1" t="s">
        <v>2035</v>
      </c>
    </row>
    <row r="56" customFormat="false" ht="15" hidden="false" customHeight="false" outlineLevel="0" collapsed="false">
      <c r="A56" s="1" t="s">
        <v>153</v>
      </c>
      <c r="B56" s="1" t="s">
        <v>2118</v>
      </c>
      <c r="C56" s="1" t="s">
        <v>2071</v>
      </c>
      <c r="D56" s="1" t="s">
        <v>2069</v>
      </c>
      <c r="E56" s="1" t="s">
        <v>2031</v>
      </c>
    </row>
    <row r="57" customFormat="false" ht="15" hidden="false" customHeight="false" outlineLevel="0" collapsed="false">
      <c r="A57" s="1" t="s">
        <v>822</v>
      </c>
      <c r="B57" s="1" t="s">
        <v>2119</v>
      </c>
      <c r="C57" s="1" t="s">
        <v>2073</v>
      </c>
      <c r="D57" s="1" t="s">
        <v>2073</v>
      </c>
      <c r="E57" s="1" t="s">
        <v>2031</v>
      </c>
    </row>
    <row r="58" customFormat="false" ht="15" hidden="false" customHeight="false" outlineLevel="0" collapsed="false">
      <c r="A58" s="1" t="s">
        <v>116</v>
      </c>
      <c r="B58" s="1" t="s">
        <v>2120</v>
      </c>
      <c r="C58" s="1" t="s">
        <v>2075</v>
      </c>
      <c r="D58" s="1" t="s">
        <v>2055</v>
      </c>
      <c r="E58" s="1" t="s">
        <v>2031</v>
      </c>
    </row>
    <row r="59" customFormat="false" ht="15" hidden="false" customHeight="false" outlineLevel="0" collapsed="false">
      <c r="A59" s="1" t="s">
        <v>466</v>
      </c>
      <c r="B59" s="1" t="s">
        <v>2121</v>
      </c>
      <c r="C59" s="1" t="s">
        <v>2077</v>
      </c>
      <c r="D59" s="1" t="s">
        <v>2034</v>
      </c>
      <c r="E59" s="1" t="s">
        <v>2035</v>
      </c>
    </row>
    <row r="60" customFormat="false" ht="15" hidden="false" customHeight="false" outlineLevel="0" collapsed="false">
      <c r="A60" s="1" t="s">
        <v>651</v>
      </c>
      <c r="B60" s="1" t="s">
        <v>2122</v>
      </c>
      <c r="C60" s="1" t="s">
        <v>2079</v>
      </c>
      <c r="D60" s="1" t="s">
        <v>2044</v>
      </c>
      <c r="E60" s="1" t="s">
        <v>2031</v>
      </c>
    </row>
    <row r="61" customFormat="false" ht="15" hidden="false" customHeight="false" outlineLevel="0" collapsed="false">
      <c r="A61" s="1" t="s">
        <v>875</v>
      </c>
      <c r="B61" s="1" t="s">
        <v>2123</v>
      </c>
      <c r="C61" s="1" t="s">
        <v>2081</v>
      </c>
      <c r="D61" s="1" t="s">
        <v>2082</v>
      </c>
      <c r="E61" s="1" t="s">
        <v>2035</v>
      </c>
    </row>
    <row r="62" customFormat="false" ht="15" hidden="false" customHeight="false" outlineLevel="0" collapsed="false">
      <c r="A62" s="1" t="s">
        <v>121</v>
      </c>
      <c r="B62" s="1" t="s">
        <v>2124</v>
      </c>
      <c r="C62" s="1" t="s">
        <v>2030</v>
      </c>
      <c r="D62" s="1" t="s">
        <v>2030</v>
      </c>
      <c r="E62" s="1" t="s">
        <v>2035</v>
      </c>
    </row>
    <row r="63" customFormat="false" ht="15" hidden="false" customHeight="false" outlineLevel="0" collapsed="false">
      <c r="A63" s="1" t="s">
        <v>413</v>
      </c>
      <c r="B63" s="1" t="s">
        <v>2125</v>
      </c>
      <c r="C63" s="1" t="s">
        <v>2033</v>
      </c>
      <c r="D63" s="1" t="s">
        <v>2034</v>
      </c>
      <c r="E63" s="1" t="s">
        <v>2091</v>
      </c>
    </row>
    <row r="64" customFormat="false" ht="15" hidden="false" customHeight="false" outlineLevel="0" collapsed="false">
      <c r="A64" s="1" t="s">
        <v>739</v>
      </c>
      <c r="B64" s="1" t="s">
        <v>2126</v>
      </c>
      <c r="C64" s="1" t="s">
        <v>2037</v>
      </c>
      <c r="D64" s="1" t="s">
        <v>2038</v>
      </c>
      <c r="E64" s="1" t="s">
        <v>2035</v>
      </c>
    </row>
    <row r="65" customFormat="false" ht="15" hidden="false" customHeight="false" outlineLevel="0" collapsed="false">
      <c r="A65" s="1" t="s">
        <v>591</v>
      </c>
      <c r="B65" s="1" t="s">
        <v>2127</v>
      </c>
      <c r="C65" s="1" t="s">
        <v>2040</v>
      </c>
      <c r="D65" s="1" t="s">
        <v>2041</v>
      </c>
      <c r="E65" s="1" t="s">
        <v>2031</v>
      </c>
    </row>
    <row r="66" customFormat="false" ht="15" hidden="false" customHeight="false" outlineLevel="0" collapsed="false">
      <c r="A66" s="1" t="s">
        <v>268</v>
      </c>
      <c r="B66" s="1" t="s">
        <v>2128</v>
      </c>
      <c r="C66" s="1" t="s">
        <v>2043</v>
      </c>
      <c r="D66" s="1" t="s">
        <v>2044</v>
      </c>
      <c r="E66" s="1" t="s">
        <v>2031</v>
      </c>
    </row>
    <row r="67" customFormat="false" ht="15" hidden="false" customHeight="false" outlineLevel="0" collapsed="false">
      <c r="A67" s="1" t="s">
        <v>108</v>
      </c>
      <c r="B67" s="1" t="s">
        <v>2129</v>
      </c>
      <c r="C67" s="1" t="s">
        <v>2046</v>
      </c>
      <c r="D67" s="1" t="s">
        <v>2047</v>
      </c>
      <c r="E67" s="1" t="s">
        <v>2035</v>
      </c>
    </row>
    <row r="68" customFormat="false" ht="15" hidden="false" customHeight="false" outlineLevel="0" collapsed="false">
      <c r="A68" s="1" t="s">
        <v>408</v>
      </c>
      <c r="B68" s="1" t="s">
        <v>2130</v>
      </c>
      <c r="C68" s="1" t="s">
        <v>2049</v>
      </c>
      <c r="D68" s="1" t="s">
        <v>2034</v>
      </c>
      <c r="E68" s="1" t="s">
        <v>2091</v>
      </c>
    </row>
    <row r="69" customFormat="false" ht="15" hidden="false" customHeight="false" outlineLevel="0" collapsed="false">
      <c r="A69" s="1" t="s">
        <v>768</v>
      </c>
      <c r="B69" s="1" t="s">
        <v>2131</v>
      </c>
      <c r="C69" s="1" t="s">
        <v>2051</v>
      </c>
      <c r="D69" s="1" t="s">
        <v>2052</v>
      </c>
      <c r="E69" s="1" t="s">
        <v>2031</v>
      </c>
    </row>
    <row r="70" customFormat="false" ht="15" hidden="false" customHeight="false" outlineLevel="0" collapsed="false">
      <c r="A70" s="1" t="s">
        <v>908</v>
      </c>
      <c r="B70" s="1" t="s">
        <v>2132</v>
      </c>
      <c r="C70" s="1" t="s">
        <v>2054</v>
      </c>
      <c r="D70" s="1" t="s">
        <v>2055</v>
      </c>
      <c r="E70" s="1" t="s">
        <v>2035</v>
      </c>
    </row>
    <row r="71" customFormat="false" ht="15" hidden="false" customHeight="false" outlineLevel="0" collapsed="false">
      <c r="A71" s="1" t="s">
        <v>331</v>
      </c>
      <c r="B71" s="1" t="s">
        <v>2133</v>
      </c>
      <c r="C71" s="1" t="s">
        <v>2057</v>
      </c>
      <c r="D71" s="1" t="s">
        <v>2058</v>
      </c>
      <c r="E71" s="1" t="s">
        <v>2031</v>
      </c>
    </row>
    <row r="72" customFormat="false" ht="15" hidden="false" customHeight="false" outlineLevel="0" collapsed="false">
      <c r="A72" s="1" t="s">
        <v>1501</v>
      </c>
      <c r="B72" s="1" t="s">
        <v>2134</v>
      </c>
      <c r="C72" s="1" t="s">
        <v>2060</v>
      </c>
      <c r="D72" s="1" t="s">
        <v>2061</v>
      </c>
      <c r="E72" s="1" t="s">
        <v>2091</v>
      </c>
    </row>
    <row r="73" customFormat="false" ht="15" hidden="false" customHeight="false" outlineLevel="0" collapsed="false">
      <c r="A73" s="1" t="s">
        <v>280</v>
      </c>
      <c r="B73" s="1" t="s">
        <v>2135</v>
      </c>
      <c r="C73" s="1" t="s">
        <v>2063</v>
      </c>
      <c r="D73" s="1" t="s">
        <v>2058</v>
      </c>
      <c r="E73" s="1" t="s">
        <v>2031</v>
      </c>
    </row>
    <row r="74" customFormat="false" ht="15" hidden="false" customHeight="false" outlineLevel="0" collapsed="false">
      <c r="A74" s="1" t="s">
        <v>600</v>
      </c>
      <c r="B74" s="1" t="s">
        <v>2136</v>
      </c>
      <c r="C74" s="1" t="s">
        <v>2065</v>
      </c>
      <c r="D74" s="1" t="s">
        <v>2066</v>
      </c>
      <c r="E74" s="1" t="s">
        <v>2031</v>
      </c>
    </row>
    <row r="75" customFormat="false" ht="15" hidden="false" customHeight="false" outlineLevel="0" collapsed="false">
      <c r="A75" s="1" t="s">
        <v>203</v>
      </c>
      <c r="B75" s="1" t="s">
        <v>2137</v>
      </c>
      <c r="C75" s="1" t="s">
        <v>2068</v>
      </c>
      <c r="D75" s="1" t="s">
        <v>2069</v>
      </c>
      <c r="E75" s="1" t="s">
        <v>2035</v>
      </c>
    </row>
    <row r="76" customFormat="false" ht="15" hidden="false" customHeight="false" outlineLevel="0" collapsed="false">
      <c r="A76" s="1" t="s">
        <v>1072</v>
      </c>
      <c r="B76" s="1" t="s">
        <v>2138</v>
      </c>
      <c r="C76" s="1" t="s">
        <v>2071</v>
      </c>
      <c r="D76" s="1" t="s">
        <v>2069</v>
      </c>
      <c r="E76" s="1" t="s">
        <v>2035</v>
      </c>
    </row>
    <row r="77" customFormat="false" ht="15" hidden="false" customHeight="false" outlineLevel="0" collapsed="false">
      <c r="A77" s="1" t="s">
        <v>96</v>
      </c>
      <c r="B77" s="1" t="s">
        <v>2139</v>
      </c>
      <c r="C77" s="1" t="s">
        <v>2073</v>
      </c>
      <c r="D77" s="1" t="s">
        <v>2073</v>
      </c>
      <c r="E77" s="1" t="s">
        <v>2031</v>
      </c>
    </row>
    <row r="78" customFormat="false" ht="15" hidden="false" customHeight="false" outlineLevel="0" collapsed="false">
      <c r="A78" s="1" t="s">
        <v>2140</v>
      </c>
      <c r="B78" s="1" t="s">
        <v>2141</v>
      </c>
      <c r="C78" s="1" t="s">
        <v>2075</v>
      </c>
      <c r="D78" s="1" t="s">
        <v>2055</v>
      </c>
      <c r="E78" s="1" t="s">
        <v>2031</v>
      </c>
    </row>
    <row r="79" customFormat="false" ht="15" hidden="false" customHeight="false" outlineLevel="0" collapsed="false">
      <c r="A79" s="1" t="s">
        <v>359</v>
      </c>
      <c r="B79" s="1" t="s">
        <v>2142</v>
      </c>
      <c r="C79" s="1" t="s">
        <v>2077</v>
      </c>
      <c r="D79" s="1" t="s">
        <v>2034</v>
      </c>
      <c r="E79" s="1" t="s">
        <v>2035</v>
      </c>
    </row>
    <row r="80" customFormat="false" ht="15" hidden="false" customHeight="false" outlineLevel="0" collapsed="false">
      <c r="A80" s="1" t="s">
        <v>338</v>
      </c>
      <c r="B80" s="1" t="s">
        <v>2143</v>
      </c>
      <c r="C80" s="1" t="s">
        <v>2079</v>
      </c>
      <c r="D80" s="1" t="s">
        <v>2044</v>
      </c>
      <c r="E80" s="1" t="s">
        <v>2031</v>
      </c>
    </row>
    <row r="81" customFormat="false" ht="15" hidden="false" customHeight="false" outlineLevel="0" collapsed="false">
      <c r="A81" s="1" t="s">
        <v>512</v>
      </c>
      <c r="B81" s="1" t="s">
        <v>2144</v>
      </c>
      <c r="C81" s="1" t="s">
        <v>2081</v>
      </c>
      <c r="D81" s="1" t="s">
        <v>2082</v>
      </c>
      <c r="E81" s="1" t="s">
        <v>2035</v>
      </c>
    </row>
    <row r="82" customFormat="false" ht="15" hidden="false" customHeight="false" outlineLevel="0" collapsed="false">
      <c r="A82" s="1" t="s">
        <v>586</v>
      </c>
      <c r="B82" s="1" t="s">
        <v>2145</v>
      </c>
      <c r="C82" s="1" t="s">
        <v>2030</v>
      </c>
      <c r="D82" s="1" t="s">
        <v>2030</v>
      </c>
      <c r="E82" s="1" t="s">
        <v>2031</v>
      </c>
    </row>
    <row r="83" customFormat="false" ht="15" hidden="false" customHeight="false" outlineLevel="0" collapsed="false">
      <c r="A83" s="1" t="s">
        <v>794</v>
      </c>
      <c r="B83" s="1" t="s">
        <v>2146</v>
      </c>
      <c r="C83" s="1" t="s">
        <v>2033</v>
      </c>
      <c r="D83" s="1" t="s">
        <v>2034</v>
      </c>
      <c r="E83" s="1" t="s">
        <v>2031</v>
      </c>
    </row>
    <row r="84" customFormat="false" ht="15" hidden="false" customHeight="false" outlineLevel="0" collapsed="false">
      <c r="A84" s="1" t="s">
        <v>913</v>
      </c>
      <c r="B84" s="1" t="s">
        <v>2147</v>
      </c>
      <c r="C84" s="1" t="s">
        <v>2037</v>
      </c>
      <c r="D84" s="1" t="s">
        <v>2038</v>
      </c>
      <c r="E84" s="1" t="s">
        <v>2091</v>
      </c>
    </row>
    <row r="85" customFormat="false" ht="15" hidden="false" customHeight="false" outlineLevel="0" collapsed="false">
      <c r="A85" s="1" t="s">
        <v>827</v>
      </c>
      <c r="B85" s="1" t="s">
        <v>2148</v>
      </c>
      <c r="C85" s="1" t="s">
        <v>2040</v>
      </c>
      <c r="D85" s="1" t="s">
        <v>2041</v>
      </c>
      <c r="E85" s="1" t="s">
        <v>2031</v>
      </c>
    </row>
    <row r="86" customFormat="false" ht="15" hidden="false" customHeight="false" outlineLevel="0" collapsed="false">
      <c r="A86" s="1" t="s">
        <v>205</v>
      </c>
      <c r="B86" s="1" t="s">
        <v>2149</v>
      </c>
      <c r="C86" s="1" t="s">
        <v>2043</v>
      </c>
      <c r="D86" s="1" t="s">
        <v>2044</v>
      </c>
      <c r="E86" s="1" t="s">
        <v>2091</v>
      </c>
    </row>
    <row r="87" customFormat="false" ht="15" hidden="false" customHeight="false" outlineLevel="0" collapsed="false">
      <c r="A87" s="1" t="s">
        <v>969</v>
      </c>
      <c r="B87" s="1" t="s">
        <v>2150</v>
      </c>
      <c r="C87" s="1" t="s">
        <v>2046</v>
      </c>
      <c r="D87" s="1" t="s">
        <v>2047</v>
      </c>
      <c r="E87" s="1" t="s">
        <v>2031</v>
      </c>
    </row>
    <row r="88" customFormat="false" ht="15" hidden="false" customHeight="false" outlineLevel="0" collapsed="false">
      <c r="A88" s="1" t="s">
        <v>357</v>
      </c>
      <c r="B88" s="1" t="s">
        <v>2151</v>
      </c>
      <c r="C88" s="1" t="s">
        <v>2049</v>
      </c>
      <c r="D88" s="1" t="s">
        <v>2034</v>
      </c>
      <c r="E88" s="1" t="s">
        <v>2035</v>
      </c>
    </row>
    <row r="89" customFormat="false" ht="15" hidden="false" customHeight="false" outlineLevel="0" collapsed="false">
      <c r="A89" s="1" t="s">
        <v>225</v>
      </c>
      <c r="B89" s="1" t="s">
        <v>2152</v>
      </c>
      <c r="C89" s="1" t="s">
        <v>2051</v>
      </c>
      <c r="D89" s="1" t="s">
        <v>2052</v>
      </c>
      <c r="E89" s="1" t="s">
        <v>2031</v>
      </c>
    </row>
    <row r="90" customFormat="false" ht="15" hidden="false" customHeight="false" outlineLevel="0" collapsed="false">
      <c r="A90" s="1" t="s">
        <v>194</v>
      </c>
      <c r="B90" s="1" t="s">
        <v>2153</v>
      </c>
      <c r="C90" s="1" t="s">
        <v>2054</v>
      </c>
      <c r="D90" s="1" t="s">
        <v>2055</v>
      </c>
      <c r="E90" s="1" t="s">
        <v>2035</v>
      </c>
    </row>
    <row r="91" customFormat="false" ht="15" hidden="false" customHeight="false" outlineLevel="0" collapsed="false">
      <c r="A91" s="1" t="s">
        <v>219</v>
      </c>
      <c r="B91" s="1" t="s">
        <v>2154</v>
      </c>
      <c r="C91" s="1" t="s">
        <v>2057</v>
      </c>
      <c r="D91" s="1" t="s">
        <v>2058</v>
      </c>
      <c r="E91" s="1" t="s">
        <v>2035</v>
      </c>
    </row>
    <row r="92" customFormat="false" ht="15" hidden="false" customHeight="false" outlineLevel="0" collapsed="false">
      <c r="A92" s="1" t="s">
        <v>145</v>
      </c>
      <c r="B92" s="1" t="s">
        <v>2155</v>
      </c>
      <c r="C92" s="1" t="s">
        <v>2060</v>
      </c>
      <c r="D92" s="1" t="s">
        <v>2061</v>
      </c>
      <c r="E92" s="1" t="s">
        <v>2031</v>
      </c>
    </row>
    <row r="93" customFormat="false" ht="15" hidden="false" customHeight="false" outlineLevel="0" collapsed="false">
      <c r="A93" s="1" t="s">
        <v>931</v>
      </c>
      <c r="B93" s="1" t="s">
        <v>2156</v>
      </c>
      <c r="C93" s="1" t="s">
        <v>2063</v>
      </c>
      <c r="D93" s="1" t="s">
        <v>2058</v>
      </c>
      <c r="E93" s="1" t="s">
        <v>2035</v>
      </c>
    </row>
    <row r="94" customFormat="false" ht="15" hidden="false" customHeight="false" outlineLevel="0" collapsed="false">
      <c r="A94" s="1" t="s">
        <v>1559</v>
      </c>
      <c r="B94" s="1" t="s">
        <v>2157</v>
      </c>
      <c r="C94" s="1" t="s">
        <v>2065</v>
      </c>
      <c r="D94" s="1" t="s">
        <v>2066</v>
      </c>
      <c r="E94" s="1" t="s">
        <v>2031</v>
      </c>
    </row>
    <row r="95" customFormat="false" ht="15" hidden="false" customHeight="false" outlineLevel="0" collapsed="false">
      <c r="A95" s="1" t="s">
        <v>541</v>
      </c>
      <c r="B95" s="1" t="s">
        <v>2158</v>
      </c>
      <c r="C95" s="1" t="s">
        <v>2068</v>
      </c>
      <c r="D95" s="1" t="s">
        <v>2069</v>
      </c>
      <c r="E95" s="1" t="s">
        <v>2091</v>
      </c>
    </row>
    <row r="96" customFormat="false" ht="15" hidden="false" customHeight="false" outlineLevel="0" collapsed="false">
      <c r="A96" s="1" t="s">
        <v>1067</v>
      </c>
      <c r="B96" s="1" t="s">
        <v>2159</v>
      </c>
      <c r="C96" s="1" t="s">
        <v>2071</v>
      </c>
      <c r="D96" s="1" t="s">
        <v>2069</v>
      </c>
      <c r="E96" s="1" t="s">
        <v>2031</v>
      </c>
    </row>
    <row r="97" customFormat="false" ht="15" hidden="false" customHeight="false" outlineLevel="0" collapsed="false">
      <c r="A97" s="1" t="s">
        <v>548</v>
      </c>
      <c r="B97" s="1" t="s">
        <v>2160</v>
      </c>
      <c r="C97" s="1" t="s">
        <v>2073</v>
      </c>
      <c r="D97" s="1" t="s">
        <v>2073</v>
      </c>
      <c r="E97" s="1" t="s">
        <v>2091</v>
      </c>
    </row>
    <row r="98" customFormat="false" ht="15" hidden="false" customHeight="false" outlineLevel="0" collapsed="false">
      <c r="A98" s="1" t="s">
        <v>22</v>
      </c>
      <c r="B98" s="1" t="s">
        <v>2161</v>
      </c>
      <c r="C98" s="1" t="s">
        <v>2075</v>
      </c>
      <c r="D98" s="1" t="s">
        <v>2055</v>
      </c>
      <c r="E98" s="1" t="s">
        <v>2031</v>
      </c>
    </row>
    <row r="99" customFormat="false" ht="15" hidden="false" customHeight="false" outlineLevel="0" collapsed="false">
      <c r="A99" s="1" t="s">
        <v>777</v>
      </c>
      <c r="B99" s="1" t="s">
        <v>2162</v>
      </c>
      <c r="C99" s="1" t="s">
        <v>2077</v>
      </c>
      <c r="D99" s="1" t="s">
        <v>2034</v>
      </c>
      <c r="E99" s="1" t="s">
        <v>2031</v>
      </c>
    </row>
    <row r="100" customFormat="false" ht="15" hidden="false" customHeight="false" outlineLevel="0" collapsed="false">
      <c r="A100" s="1" t="s">
        <v>633</v>
      </c>
      <c r="B100" s="1" t="s">
        <v>2163</v>
      </c>
      <c r="C100" s="1" t="s">
        <v>2079</v>
      </c>
      <c r="D100" s="1" t="s">
        <v>2044</v>
      </c>
      <c r="E100" s="1" t="s">
        <v>2091</v>
      </c>
    </row>
    <row r="101" customFormat="false" ht="15" hidden="false" customHeight="false" outlineLevel="0" collapsed="false">
      <c r="A101" s="1" t="s">
        <v>1019</v>
      </c>
      <c r="B101" s="1" t="s">
        <v>2164</v>
      </c>
      <c r="C101" s="1" t="s">
        <v>2081</v>
      </c>
      <c r="D101" s="1" t="s">
        <v>2082</v>
      </c>
      <c r="E101" s="1" t="s">
        <v>2035</v>
      </c>
    </row>
    <row r="102" customFormat="false" ht="15" hidden="false" customHeight="false" outlineLevel="0" collapsed="false">
      <c r="A102" s="1" t="s">
        <v>733</v>
      </c>
      <c r="B102" s="1" t="s">
        <v>2165</v>
      </c>
      <c r="C102" s="1" t="s">
        <v>2030</v>
      </c>
      <c r="D102" s="1" t="s">
        <v>2030</v>
      </c>
      <c r="E102" s="1" t="s">
        <v>2031</v>
      </c>
    </row>
    <row r="103" customFormat="false" ht="15" hidden="false" customHeight="false" outlineLevel="0" collapsed="false">
      <c r="A103" s="1" t="s">
        <v>298</v>
      </c>
      <c r="B103" s="1" t="s">
        <v>2166</v>
      </c>
      <c r="C103" s="1" t="s">
        <v>2033</v>
      </c>
      <c r="D103" s="1" t="s">
        <v>2034</v>
      </c>
      <c r="E103" s="1" t="s">
        <v>2031</v>
      </c>
    </row>
    <row r="104" customFormat="false" ht="15" hidden="false" customHeight="false" outlineLevel="0" collapsed="false">
      <c r="A104" s="1" t="s">
        <v>744</v>
      </c>
      <c r="B104" s="1" t="s">
        <v>2167</v>
      </c>
      <c r="C104" s="1" t="s">
        <v>2037</v>
      </c>
      <c r="D104" s="1" t="s">
        <v>2038</v>
      </c>
      <c r="E104" s="1" t="s">
        <v>2031</v>
      </c>
    </row>
    <row r="105" customFormat="false" ht="15" hidden="false" customHeight="false" outlineLevel="0" collapsed="false">
      <c r="A105" s="1" t="s">
        <v>361</v>
      </c>
      <c r="B105" s="1" t="s">
        <v>2168</v>
      </c>
      <c r="C105" s="1" t="s">
        <v>2040</v>
      </c>
      <c r="D105" s="1" t="s">
        <v>2041</v>
      </c>
      <c r="E105" s="1" t="s">
        <v>2035</v>
      </c>
    </row>
    <row r="106" customFormat="false" ht="15" hidden="false" customHeight="false" outlineLevel="0" collapsed="false">
      <c r="A106" s="1" t="s">
        <v>726</v>
      </c>
      <c r="B106" s="1" t="s">
        <v>2169</v>
      </c>
      <c r="C106" s="1" t="s">
        <v>2043</v>
      </c>
      <c r="D106" s="1" t="s">
        <v>2044</v>
      </c>
      <c r="E106" s="1" t="s">
        <v>2031</v>
      </c>
    </row>
    <row r="107" customFormat="false" ht="15" hidden="false" customHeight="false" outlineLevel="0" collapsed="false">
      <c r="A107" s="1" t="s">
        <v>1118</v>
      </c>
      <c r="B107" s="1" t="s">
        <v>2170</v>
      </c>
      <c r="C107" s="1" t="s">
        <v>2046</v>
      </c>
      <c r="D107" s="1" t="s">
        <v>2047</v>
      </c>
      <c r="E107" s="1" t="s">
        <v>2035</v>
      </c>
    </row>
    <row r="108" customFormat="false" ht="15" hidden="false" customHeight="false" outlineLevel="0" collapsed="false">
      <c r="A108" s="1" t="s">
        <v>1166</v>
      </c>
      <c r="B108" s="1" t="s">
        <v>2171</v>
      </c>
      <c r="C108" s="1" t="s">
        <v>2049</v>
      </c>
      <c r="D108" s="1" t="s">
        <v>2034</v>
      </c>
      <c r="E108" s="1" t="s">
        <v>2031</v>
      </c>
    </row>
    <row r="109" customFormat="false" ht="15" hidden="false" customHeight="false" outlineLevel="0" collapsed="false">
      <c r="A109" s="1" t="s">
        <v>234</v>
      </c>
      <c r="B109" s="1" t="s">
        <v>2172</v>
      </c>
      <c r="C109" s="1" t="s">
        <v>2051</v>
      </c>
      <c r="D109" s="1" t="s">
        <v>2052</v>
      </c>
      <c r="E109" s="1" t="s">
        <v>2031</v>
      </c>
    </row>
    <row r="110" customFormat="false" ht="15" hidden="false" customHeight="false" outlineLevel="0" collapsed="false">
      <c r="A110" s="1" t="s">
        <v>998</v>
      </c>
      <c r="B110" s="1" t="s">
        <v>2173</v>
      </c>
      <c r="C110" s="1" t="s">
        <v>2054</v>
      </c>
      <c r="D110" s="1" t="s">
        <v>2055</v>
      </c>
      <c r="E110" s="1" t="s">
        <v>2035</v>
      </c>
    </row>
    <row r="111" customFormat="false" ht="15" hidden="false" customHeight="false" outlineLevel="0" collapsed="false">
      <c r="A111" s="1" t="s">
        <v>696</v>
      </c>
      <c r="B111" s="1" t="s">
        <v>2174</v>
      </c>
      <c r="C111" s="1" t="s">
        <v>2057</v>
      </c>
      <c r="D111" s="1" t="s">
        <v>2058</v>
      </c>
      <c r="E111" s="1" t="s">
        <v>2035</v>
      </c>
    </row>
    <row r="112" customFormat="false" ht="15" hidden="false" customHeight="false" outlineLevel="0" collapsed="false">
      <c r="A112" s="1" t="s">
        <v>490</v>
      </c>
      <c r="B112" s="1" t="s">
        <v>2175</v>
      </c>
      <c r="C112" s="1" t="s">
        <v>2060</v>
      </c>
      <c r="D112" s="1" t="s">
        <v>2061</v>
      </c>
      <c r="E112" s="1" t="s">
        <v>2031</v>
      </c>
    </row>
    <row r="113" customFormat="false" ht="15" hidden="false" customHeight="false" outlineLevel="0" collapsed="false">
      <c r="A113" s="1" t="s">
        <v>528</v>
      </c>
      <c r="B113" s="1" t="s">
        <v>2176</v>
      </c>
      <c r="C113" s="1" t="s">
        <v>2063</v>
      </c>
      <c r="D113" s="1" t="s">
        <v>2058</v>
      </c>
      <c r="E113" s="1" t="s">
        <v>2035</v>
      </c>
    </row>
    <row r="114" customFormat="false" ht="15" hidden="false" customHeight="false" outlineLevel="0" collapsed="false">
      <c r="A114" s="1" t="s">
        <v>974</v>
      </c>
      <c r="B114" s="1" t="s">
        <v>2177</v>
      </c>
      <c r="C114" s="1" t="s">
        <v>2065</v>
      </c>
      <c r="D114" s="1" t="s">
        <v>2066</v>
      </c>
      <c r="E114" s="1" t="s">
        <v>2035</v>
      </c>
    </row>
    <row r="115" customFormat="false" ht="15" hidden="false" customHeight="false" outlineLevel="0" collapsed="false">
      <c r="A115" s="1" t="s">
        <v>139</v>
      </c>
      <c r="B115" s="1" t="s">
        <v>2178</v>
      </c>
      <c r="C115" s="1" t="s">
        <v>2068</v>
      </c>
      <c r="D115" s="1" t="s">
        <v>2069</v>
      </c>
      <c r="E115" s="1" t="s">
        <v>2091</v>
      </c>
    </row>
    <row r="116" customFormat="false" ht="15" hidden="false" customHeight="false" outlineLevel="0" collapsed="false">
      <c r="A116" s="1" t="s">
        <v>266</v>
      </c>
      <c r="B116" s="1" t="s">
        <v>2179</v>
      </c>
      <c r="C116" s="1" t="s">
        <v>2071</v>
      </c>
      <c r="D116" s="1" t="s">
        <v>2069</v>
      </c>
      <c r="E116" s="1" t="s">
        <v>2031</v>
      </c>
    </row>
    <row r="117" customFormat="false" ht="15" hidden="false" customHeight="false" outlineLevel="0" collapsed="false">
      <c r="A117" s="1" t="s">
        <v>820</v>
      </c>
      <c r="B117" s="1" t="s">
        <v>2180</v>
      </c>
      <c r="C117" s="1" t="s">
        <v>2073</v>
      </c>
      <c r="D117" s="1" t="s">
        <v>2073</v>
      </c>
      <c r="E117" s="1" t="s">
        <v>2035</v>
      </c>
    </row>
    <row r="118" customFormat="false" ht="15" hidden="false" customHeight="false" outlineLevel="0" collapsed="false">
      <c r="A118" s="1" t="s">
        <v>88</v>
      </c>
      <c r="B118" s="1" t="s">
        <v>2181</v>
      </c>
      <c r="C118" s="1" t="s">
        <v>2075</v>
      </c>
      <c r="D118" s="1" t="s">
        <v>2055</v>
      </c>
      <c r="E118" s="1" t="s">
        <v>2031</v>
      </c>
    </row>
    <row r="119" customFormat="false" ht="15" hidden="false" customHeight="false" outlineLevel="0" collapsed="false">
      <c r="A119" s="1" t="s">
        <v>164</v>
      </c>
      <c r="B119" s="1" t="s">
        <v>2182</v>
      </c>
      <c r="C119" s="1" t="s">
        <v>2077</v>
      </c>
      <c r="D119" s="1" t="s">
        <v>2034</v>
      </c>
      <c r="E119" s="1" t="s">
        <v>2031</v>
      </c>
    </row>
    <row r="120" customFormat="false" ht="15" hidden="false" customHeight="false" outlineLevel="0" collapsed="false">
      <c r="A120" s="1" t="s">
        <v>29</v>
      </c>
      <c r="B120" s="1" t="s">
        <v>2183</v>
      </c>
      <c r="C120" s="1" t="s">
        <v>2079</v>
      </c>
      <c r="D120" s="1" t="s">
        <v>2044</v>
      </c>
      <c r="E120" s="1" t="s">
        <v>2091</v>
      </c>
    </row>
    <row r="121" customFormat="false" ht="15" hidden="false" customHeight="false" outlineLevel="0" collapsed="false">
      <c r="A121" s="1" t="s">
        <v>236</v>
      </c>
      <c r="B121" s="1" t="s">
        <v>2184</v>
      </c>
      <c r="C121" s="1" t="s">
        <v>2081</v>
      </c>
      <c r="D121" s="1" t="s">
        <v>2082</v>
      </c>
      <c r="E121" s="1" t="s">
        <v>2031</v>
      </c>
    </row>
    <row r="122" customFormat="false" ht="15" hidden="false" customHeight="false" outlineLevel="0" collapsed="false">
      <c r="A122" s="1" t="s">
        <v>841</v>
      </c>
      <c r="B122" s="1" t="s">
        <v>2029</v>
      </c>
      <c r="C122" s="1" t="s">
        <v>2030</v>
      </c>
      <c r="D122" s="1" t="s">
        <v>2030</v>
      </c>
      <c r="E122" s="1" t="s">
        <v>2031</v>
      </c>
    </row>
    <row r="123" customFormat="false" ht="15" hidden="false" customHeight="false" outlineLevel="0" collapsed="false">
      <c r="A123" s="1" t="s">
        <v>802</v>
      </c>
      <c r="B123" s="1" t="s">
        <v>2032</v>
      </c>
      <c r="C123" s="1" t="s">
        <v>2033</v>
      </c>
      <c r="D123" s="1" t="s">
        <v>2034</v>
      </c>
      <c r="E123" s="1" t="s">
        <v>2035</v>
      </c>
    </row>
    <row r="124" customFormat="false" ht="15" hidden="false" customHeight="false" outlineLevel="0" collapsed="false">
      <c r="A124" s="1" t="s">
        <v>382</v>
      </c>
      <c r="B124" s="1" t="s">
        <v>2036</v>
      </c>
      <c r="C124" s="1" t="s">
        <v>2037</v>
      </c>
      <c r="D124" s="1" t="s">
        <v>2038</v>
      </c>
      <c r="E124" s="1" t="s">
        <v>2031</v>
      </c>
    </row>
    <row r="125" customFormat="false" ht="15" hidden="false" customHeight="false" outlineLevel="0" collapsed="false">
      <c r="A125" s="1" t="s">
        <v>102</v>
      </c>
      <c r="B125" s="1" t="s">
        <v>2039</v>
      </c>
      <c r="C125" s="1" t="s">
        <v>2040</v>
      </c>
      <c r="D125" s="1" t="s">
        <v>2041</v>
      </c>
      <c r="E125" s="1" t="s">
        <v>2031</v>
      </c>
    </row>
    <row r="126" customFormat="false" ht="15" hidden="false" customHeight="false" outlineLevel="0" collapsed="false">
      <c r="A126" s="1" t="s">
        <v>576</v>
      </c>
      <c r="B126" s="1" t="s">
        <v>2042</v>
      </c>
      <c r="C126" s="1" t="s">
        <v>2043</v>
      </c>
      <c r="D126" s="1" t="s">
        <v>2044</v>
      </c>
      <c r="E126" s="1" t="s">
        <v>2031</v>
      </c>
    </row>
    <row r="127" customFormat="false" ht="15" hidden="false" customHeight="false" outlineLevel="0" collapsed="false">
      <c r="A127" s="1" t="s">
        <v>209</v>
      </c>
      <c r="B127" s="1" t="s">
        <v>2045</v>
      </c>
      <c r="C127" s="1" t="s">
        <v>2046</v>
      </c>
      <c r="D127" s="1" t="s">
        <v>2047</v>
      </c>
      <c r="E127" s="1" t="s">
        <v>2035</v>
      </c>
    </row>
    <row r="128" customFormat="false" ht="15" hidden="false" customHeight="false" outlineLevel="0" collapsed="false">
      <c r="A128" s="1" t="s">
        <v>976</v>
      </c>
      <c r="B128" s="1" t="s">
        <v>2048</v>
      </c>
      <c r="C128" s="1" t="s">
        <v>2049</v>
      </c>
      <c r="D128" s="1" t="s">
        <v>2034</v>
      </c>
      <c r="E128" s="1" t="s">
        <v>2035</v>
      </c>
    </row>
    <row r="129" customFormat="false" ht="15" hidden="false" customHeight="false" outlineLevel="0" collapsed="false">
      <c r="A129" s="1" t="s">
        <v>178</v>
      </c>
      <c r="B129" s="1" t="s">
        <v>2050</v>
      </c>
      <c r="C129" s="1" t="s">
        <v>2051</v>
      </c>
      <c r="D129" s="1" t="s">
        <v>2052</v>
      </c>
      <c r="E129" s="1" t="s">
        <v>2031</v>
      </c>
    </row>
    <row r="130" customFormat="false" ht="15" hidden="false" customHeight="false" outlineLevel="0" collapsed="false">
      <c r="A130" s="1" t="s">
        <v>1105</v>
      </c>
      <c r="B130" s="1" t="s">
        <v>2053</v>
      </c>
      <c r="C130" s="1" t="s">
        <v>2054</v>
      </c>
      <c r="D130" s="1" t="s">
        <v>2055</v>
      </c>
      <c r="E130" s="1" t="s">
        <v>2035</v>
      </c>
    </row>
    <row r="131" customFormat="false" ht="15" hidden="false" customHeight="false" outlineLevel="0" collapsed="false">
      <c r="A131" s="1" t="s">
        <v>1146</v>
      </c>
      <c r="B131" s="1" t="s">
        <v>2056</v>
      </c>
      <c r="C131" s="1" t="s">
        <v>2057</v>
      </c>
      <c r="D131" s="1" t="s">
        <v>2058</v>
      </c>
      <c r="E131" s="1" t="s">
        <v>2031</v>
      </c>
    </row>
    <row r="132" customFormat="false" ht="15" hidden="false" customHeight="false" outlineLevel="0" collapsed="false">
      <c r="A132" s="1" t="s">
        <v>2185</v>
      </c>
      <c r="B132" s="1" t="s">
        <v>2059</v>
      </c>
      <c r="C132" s="1" t="s">
        <v>2060</v>
      </c>
      <c r="D132" s="1" t="s">
        <v>2061</v>
      </c>
      <c r="E132" s="1" t="s">
        <v>2035</v>
      </c>
    </row>
    <row r="133" customFormat="false" ht="15" hidden="false" customHeight="false" outlineLevel="0" collapsed="false">
      <c r="A133" s="1" t="s">
        <v>396</v>
      </c>
      <c r="B133" s="1" t="s">
        <v>2062</v>
      </c>
      <c r="C133" s="1" t="s">
        <v>2063</v>
      </c>
      <c r="D133" s="1" t="s">
        <v>2058</v>
      </c>
      <c r="E133" s="1" t="s">
        <v>2031</v>
      </c>
    </row>
    <row r="134" customFormat="false" ht="15" hidden="false" customHeight="false" outlineLevel="0" collapsed="false">
      <c r="A134" s="1" t="s">
        <v>244</v>
      </c>
      <c r="B134" s="1" t="s">
        <v>2064</v>
      </c>
      <c r="C134" s="1" t="s">
        <v>2065</v>
      </c>
      <c r="D134" s="1" t="s">
        <v>2066</v>
      </c>
      <c r="E134" s="1" t="s">
        <v>2031</v>
      </c>
    </row>
    <row r="135" customFormat="false" ht="15" hidden="false" customHeight="false" outlineLevel="0" collapsed="false">
      <c r="A135" s="1" t="s">
        <v>196</v>
      </c>
      <c r="B135" s="1" t="s">
        <v>2067</v>
      </c>
      <c r="C135" s="1" t="s">
        <v>2068</v>
      </c>
      <c r="D135" s="1" t="s">
        <v>2069</v>
      </c>
      <c r="E135" s="1" t="s">
        <v>2035</v>
      </c>
    </row>
    <row r="136" customFormat="false" ht="15" hidden="false" customHeight="false" outlineLevel="0" collapsed="false">
      <c r="A136" s="1" t="s">
        <v>157</v>
      </c>
      <c r="B136" s="1" t="s">
        <v>2070</v>
      </c>
      <c r="C136" s="1" t="s">
        <v>2071</v>
      </c>
      <c r="D136" s="1" t="s">
        <v>2069</v>
      </c>
      <c r="E136" s="1" t="s">
        <v>2035</v>
      </c>
    </row>
    <row r="137" customFormat="false" ht="15" hidden="false" customHeight="false" outlineLevel="0" collapsed="false">
      <c r="A137" s="1" t="s">
        <v>278</v>
      </c>
      <c r="B137" s="1" t="s">
        <v>2072</v>
      </c>
      <c r="C137" s="1" t="s">
        <v>2073</v>
      </c>
      <c r="D137" s="1" t="s">
        <v>2073</v>
      </c>
      <c r="E137" s="1" t="s">
        <v>2035</v>
      </c>
    </row>
    <row r="138" customFormat="false" ht="15" hidden="false" customHeight="false" outlineLevel="0" collapsed="false">
      <c r="A138" s="1" t="s">
        <v>370</v>
      </c>
      <c r="B138" s="1" t="s">
        <v>2074</v>
      </c>
      <c r="C138" s="1" t="s">
        <v>2075</v>
      </c>
      <c r="D138" s="1" t="s">
        <v>2055</v>
      </c>
      <c r="E138" s="1" t="s">
        <v>2035</v>
      </c>
    </row>
    <row r="139" customFormat="false" ht="15" hidden="false" customHeight="false" outlineLevel="0" collapsed="false">
      <c r="A139" s="1" t="s">
        <v>312</v>
      </c>
      <c r="B139" s="1" t="s">
        <v>2076</v>
      </c>
      <c r="C139" s="1" t="s">
        <v>2077</v>
      </c>
      <c r="D139" s="1" t="s">
        <v>2034</v>
      </c>
      <c r="E139" s="1" t="s">
        <v>2031</v>
      </c>
    </row>
    <row r="140" customFormat="false" ht="15" hidden="false" customHeight="false" outlineLevel="0" collapsed="false">
      <c r="A140" s="1" t="s">
        <v>450</v>
      </c>
      <c r="B140" s="1" t="s">
        <v>2078</v>
      </c>
      <c r="C140" s="1" t="s">
        <v>2079</v>
      </c>
      <c r="D140" s="1" t="s">
        <v>2044</v>
      </c>
      <c r="E140" s="1" t="s">
        <v>2031</v>
      </c>
    </row>
    <row r="141" customFormat="false" ht="15" hidden="false" customHeight="false" outlineLevel="0" collapsed="false">
      <c r="A141" s="1" t="s">
        <v>747</v>
      </c>
      <c r="B141" s="1" t="s">
        <v>2080</v>
      </c>
      <c r="C141" s="1" t="s">
        <v>2081</v>
      </c>
      <c r="D141" s="1" t="s">
        <v>2082</v>
      </c>
      <c r="E141" s="1" t="s">
        <v>2035</v>
      </c>
    </row>
    <row r="142" customFormat="false" ht="15" hidden="false" customHeight="false" outlineLevel="0" collapsed="false">
      <c r="A142" s="1" t="s">
        <v>40</v>
      </c>
      <c r="B142" s="1" t="s">
        <v>2083</v>
      </c>
      <c r="C142" s="1" t="s">
        <v>2030</v>
      </c>
      <c r="D142" s="1" t="s">
        <v>2030</v>
      </c>
      <c r="E142" s="1" t="s">
        <v>2031</v>
      </c>
    </row>
    <row r="143" customFormat="false" ht="15" hidden="false" customHeight="false" outlineLevel="0" collapsed="false">
      <c r="A143" s="1" t="s">
        <v>640</v>
      </c>
      <c r="B143" s="1" t="s">
        <v>2084</v>
      </c>
      <c r="C143" s="1" t="s">
        <v>2033</v>
      </c>
      <c r="D143" s="1" t="s">
        <v>2034</v>
      </c>
      <c r="E143" s="1" t="s">
        <v>2091</v>
      </c>
    </row>
    <row r="144" customFormat="false" ht="15" hidden="false" customHeight="false" outlineLevel="0" collapsed="false">
      <c r="A144" s="1" t="s">
        <v>520</v>
      </c>
      <c r="B144" s="1" t="s">
        <v>2085</v>
      </c>
      <c r="C144" s="1" t="s">
        <v>2037</v>
      </c>
      <c r="D144" s="1" t="s">
        <v>2038</v>
      </c>
      <c r="E144" s="1" t="s">
        <v>2031</v>
      </c>
    </row>
    <row r="145" customFormat="false" ht="15" hidden="false" customHeight="false" outlineLevel="0" collapsed="false">
      <c r="A145" s="1" t="s">
        <v>594</v>
      </c>
      <c r="B145" s="1" t="s">
        <v>2086</v>
      </c>
      <c r="C145" s="1" t="s">
        <v>2040</v>
      </c>
      <c r="D145" s="1" t="s">
        <v>2041</v>
      </c>
      <c r="E145" s="1" t="s">
        <v>2031</v>
      </c>
    </row>
    <row r="146" customFormat="false" ht="15" hidden="false" customHeight="false" outlineLevel="0" collapsed="false">
      <c r="A146" s="1" t="s">
        <v>129</v>
      </c>
      <c r="B146" s="1" t="s">
        <v>2087</v>
      </c>
      <c r="C146" s="1" t="s">
        <v>2043</v>
      </c>
      <c r="D146" s="1" t="s">
        <v>2044</v>
      </c>
      <c r="E146" s="1" t="s">
        <v>2035</v>
      </c>
    </row>
    <row r="147" customFormat="false" ht="15" hidden="false" customHeight="false" outlineLevel="0" collapsed="false">
      <c r="A147" s="1" t="s">
        <v>76</v>
      </c>
      <c r="B147" s="1" t="s">
        <v>2088</v>
      </c>
      <c r="C147" s="1" t="s">
        <v>2046</v>
      </c>
      <c r="D147" s="1" t="s">
        <v>2047</v>
      </c>
      <c r="E147" s="1" t="s">
        <v>2035</v>
      </c>
    </row>
    <row r="148" customFormat="false" ht="15" hidden="false" customHeight="false" outlineLevel="0" collapsed="false">
      <c r="A148" s="1" t="s">
        <v>951</v>
      </c>
      <c r="B148" s="1" t="s">
        <v>2089</v>
      </c>
      <c r="C148" s="1" t="s">
        <v>2049</v>
      </c>
      <c r="D148" s="1" t="s">
        <v>2034</v>
      </c>
      <c r="E148" s="1" t="s">
        <v>2031</v>
      </c>
    </row>
    <row r="149" customFormat="false" ht="15" hidden="false" customHeight="false" outlineLevel="0" collapsed="false">
      <c r="A149" s="1" t="s">
        <v>1438</v>
      </c>
      <c r="B149" s="1" t="s">
        <v>2090</v>
      </c>
      <c r="C149" s="1" t="s">
        <v>2051</v>
      </c>
      <c r="D149" s="1" t="s">
        <v>2052</v>
      </c>
      <c r="E149" s="1" t="s">
        <v>2031</v>
      </c>
    </row>
    <row r="150" customFormat="false" ht="15" hidden="false" customHeight="false" outlineLevel="0" collapsed="false">
      <c r="A150" s="1" t="s">
        <v>1540</v>
      </c>
      <c r="B150" s="1" t="s">
        <v>2092</v>
      </c>
      <c r="C150" s="1" t="s">
        <v>2054</v>
      </c>
      <c r="D150" s="1" t="s">
        <v>2055</v>
      </c>
      <c r="E150" s="1" t="s">
        <v>2091</v>
      </c>
    </row>
    <row r="151" customFormat="false" ht="15" hidden="false" customHeight="false" outlineLevel="0" collapsed="false">
      <c r="A151" s="1" t="s">
        <v>626</v>
      </c>
      <c r="B151" s="1" t="s">
        <v>2093</v>
      </c>
      <c r="C151" s="1" t="s">
        <v>2057</v>
      </c>
      <c r="D151" s="1" t="s">
        <v>2058</v>
      </c>
      <c r="E151" s="1" t="s">
        <v>2031</v>
      </c>
    </row>
    <row r="152" customFormat="false" ht="15" hidden="false" customHeight="false" outlineLevel="0" collapsed="false">
      <c r="A152" s="1" t="s">
        <v>507</v>
      </c>
      <c r="B152" s="1" t="s">
        <v>2094</v>
      </c>
      <c r="C152" s="1" t="s">
        <v>2060</v>
      </c>
      <c r="D152" s="1" t="s">
        <v>2061</v>
      </c>
      <c r="E152" s="1" t="s">
        <v>2035</v>
      </c>
    </row>
    <row r="153" customFormat="false" ht="15" hidden="false" customHeight="false" outlineLevel="0" collapsed="false">
      <c r="A153" s="1" t="s">
        <v>893</v>
      </c>
      <c r="B153" s="1" t="s">
        <v>2095</v>
      </c>
      <c r="C153" s="1" t="s">
        <v>2063</v>
      </c>
      <c r="D153" s="1" t="s">
        <v>2058</v>
      </c>
      <c r="E153" s="1" t="s">
        <v>2031</v>
      </c>
    </row>
    <row r="154" customFormat="false" ht="15" hidden="false" customHeight="false" outlineLevel="0" collapsed="false">
      <c r="A154" s="1" t="s">
        <v>247</v>
      </c>
      <c r="B154" s="1" t="s">
        <v>2096</v>
      </c>
      <c r="C154" s="1" t="s">
        <v>2065</v>
      </c>
      <c r="D154" s="1" t="s">
        <v>2066</v>
      </c>
      <c r="E154" s="1" t="s">
        <v>2031</v>
      </c>
    </row>
    <row r="155" customFormat="false" ht="15" hidden="false" customHeight="false" outlineLevel="0" collapsed="false">
      <c r="A155" s="1" t="s">
        <v>608</v>
      </c>
      <c r="B155" s="1" t="s">
        <v>2097</v>
      </c>
      <c r="C155" s="1" t="s">
        <v>2068</v>
      </c>
      <c r="D155" s="1" t="s">
        <v>2069</v>
      </c>
      <c r="E155" s="1" t="s">
        <v>2031</v>
      </c>
    </row>
    <row r="156" customFormat="false" ht="15" hidden="false" customHeight="false" outlineLevel="0" collapsed="false">
      <c r="A156" s="1" t="s">
        <v>1227</v>
      </c>
      <c r="B156" s="1" t="s">
        <v>2098</v>
      </c>
      <c r="C156" s="1" t="s">
        <v>2071</v>
      </c>
      <c r="D156" s="1" t="s">
        <v>2069</v>
      </c>
      <c r="E156" s="1" t="s">
        <v>2031</v>
      </c>
    </row>
    <row r="157" customFormat="false" ht="15" hidden="false" customHeight="false" outlineLevel="0" collapsed="false">
      <c r="A157" s="1" t="s">
        <v>1583</v>
      </c>
      <c r="B157" s="1" t="s">
        <v>2099</v>
      </c>
      <c r="C157" s="1" t="s">
        <v>2073</v>
      </c>
      <c r="D157" s="1" t="s">
        <v>2073</v>
      </c>
      <c r="E157" s="1" t="s">
        <v>2031</v>
      </c>
    </row>
    <row r="158" customFormat="false" ht="15" hidden="false" customHeight="false" outlineLevel="0" collapsed="false">
      <c r="A158" s="1" t="s">
        <v>119</v>
      </c>
      <c r="B158" s="1" t="s">
        <v>2100</v>
      </c>
      <c r="C158" s="1" t="s">
        <v>2075</v>
      </c>
      <c r="D158" s="1" t="s">
        <v>2055</v>
      </c>
      <c r="E158" s="1" t="s">
        <v>2091</v>
      </c>
    </row>
    <row r="159" customFormat="false" ht="15" hidden="false" customHeight="false" outlineLevel="0" collapsed="false">
      <c r="A159" s="1" t="s">
        <v>666</v>
      </c>
      <c r="B159" s="1" t="s">
        <v>2101</v>
      </c>
      <c r="C159" s="1" t="s">
        <v>2077</v>
      </c>
      <c r="D159" s="1" t="s">
        <v>2034</v>
      </c>
      <c r="E159" s="1" t="s">
        <v>2031</v>
      </c>
    </row>
    <row r="160" customFormat="false" ht="15" hidden="false" customHeight="false" outlineLevel="0" collapsed="false">
      <c r="A160" s="1" t="s">
        <v>175</v>
      </c>
      <c r="B160" s="1" t="s">
        <v>2102</v>
      </c>
      <c r="C160" s="1" t="s">
        <v>2079</v>
      </c>
      <c r="D160" s="1" t="s">
        <v>2044</v>
      </c>
      <c r="E160" s="1" t="s">
        <v>2035</v>
      </c>
    </row>
    <row r="161" customFormat="false" ht="15" hidden="false" customHeight="false" outlineLevel="0" collapsed="false">
      <c r="A161" s="1" t="s">
        <v>1233</v>
      </c>
      <c r="B161" s="1" t="s">
        <v>2103</v>
      </c>
      <c r="C161" s="1" t="s">
        <v>2081</v>
      </c>
      <c r="D161" s="1" t="s">
        <v>2082</v>
      </c>
      <c r="E161" s="1" t="s">
        <v>2035</v>
      </c>
    </row>
    <row r="162" customFormat="false" ht="15" hidden="false" customHeight="false" outlineLevel="0" collapsed="false">
      <c r="A162" s="1" t="s">
        <v>815</v>
      </c>
      <c r="B162" s="1" t="s">
        <v>2104</v>
      </c>
      <c r="C162" s="1" t="s">
        <v>2030</v>
      </c>
      <c r="D162" s="1" t="s">
        <v>2030</v>
      </c>
      <c r="E162" s="1" t="s">
        <v>2035</v>
      </c>
    </row>
    <row r="163" customFormat="false" ht="15" hidden="false" customHeight="false" outlineLevel="0" collapsed="false">
      <c r="A163" s="1" t="s">
        <v>565</v>
      </c>
      <c r="B163" s="1" t="s">
        <v>2105</v>
      </c>
      <c r="C163" s="1" t="s">
        <v>2033</v>
      </c>
      <c r="D163" s="1" t="s">
        <v>2034</v>
      </c>
      <c r="E163" s="1" t="s">
        <v>2035</v>
      </c>
    </row>
    <row r="164" customFormat="false" ht="15" hidden="false" customHeight="false" outlineLevel="0" collapsed="false">
      <c r="A164" s="1" t="s">
        <v>765</v>
      </c>
      <c r="B164" s="1" t="s">
        <v>2106</v>
      </c>
      <c r="C164" s="1" t="s">
        <v>2037</v>
      </c>
      <c r="D164" s="1" t="s">
        <v>2038</v>
      </c>
      <c r="E164" s="1" t="s">
        <v>2031</v>
      </c>
    </row>
    <row r="165" customFormat="false" ht="15" hidden="false" customHeight="false" outlineLevel="0" collapsed="false">
      <c r="A165" s="1" t="s">
        <v>32</v>
      </c>
      <c r="B165" s="1" t="s">
        <v>2107</v>
      </c>
      <c r="C165" s="1" t="s">
        <v>2040</v>
      </c>
      <c r="D165" s="1" t="s">
        <v>2041</v>
      </c>
      <c r="E165" s="1" t="s">
        <v>2031</v>
      </c>
    </row>
    <row r="166" customFormat="false" ht="15" hidden="false" customHeight="false" outlineLevel="0" collapsed="false">
      <c r="A166" s="1" t="s">
        <v>422</v>
      </c>
      <c r="B166" s="1" t="s">
        <v>2108</v>
      </c>
      <c r="C166" s="1" t="s">
        <v>2043</v>
      </c>
      <c r="D166" s="1" t="s">
        <v>2044</v>
      </c>
      <c r="E166" s="1" t="s">
        <v>2031</v>
      </c>
    </row>
    <row r="167" customFormat="false" ht="15" hidden="false" customHeight="false" outlineLevel="0" collapsed="false">
      <c r="A167" s="1" t="s">
        <v>501</v>
      </c>
      <c r="B167" s="1" t="s">
        <v>2109</v>
      </c>
      <c r="C167" s="1" t="s">
        <v>2046</v>
      </c>
      <c r="D167" s="1" t="s">
        <v>2047</v>
      </c>
      <c r="E167" s="1" t="s">
        <v>2035</v>
      </c>
    </row>
    <row r="168" customFormat="false" ht="15" hidden="false" customHeight="false" outlineLevel="0" collapsed="false">
      <c r="A168" s="1" t="s">
        <v>150</v>
      </c>
      <c r="B168" s="1" t="s">
        <v>2110</v>
      </c>
      <c r="C168" s="1" t="s">
        <v>2049</v>
      </c>
      <c r="D168" s="1" t="s">
        <v>2034</v>
      </c>
      <c r="E168" s="1" t="s">
        <v>2031</v>
      </c>
    </row>
    <row r="169" customFormat="false" ht="15" hidden="false" customHeight="false" outlineLevel="0" collapsed="false">
      <c r="A169" s="1" t="s">
        <v>80</v>
      </c>
      <c r="B169" s="1" t="s">
        <v>2111</v>
      </c>
      <c r="C169" s="1" t="s">
        <v>2051</v>
      </c>
      <c r="D169" s="1" t="s">
        <v>2052</v>
      </c>
      <c r="E169" s="1" t="s">
        <v>2031</v>
      </c>
    </row>
    <row r="170" customFormat="false" ht="15" hidden="false" customHeight="false" outlineLevel="0" collapsed="false">
      <c r="A170" s="1" t="s">
        <v>664</v>
      </c>
      <c r="B170" s="1" t="s">
        <v>2112</v>
      </c>
      <c r="C170" s="1" t="s">
        <v>2054</v>
      </c>
      <c r="D170" s="1" t="s">
        <v>2055</v>
      </c>
      <c r="E170" s="1" t="s">
        <v>2031</v>
      </c>
    </row>
    <row r="171" customFormat="false" ht="15" hidden="false" customHeight="false" outlineLevel="0" collapsed="false">
      <c r="A171" s="1" t="s">
        <v>410</v>
      </c>
      <c r="B171" s="1" t="s">
        <v>2113</v>
      </c>
      <c r="C171" s="1" t="s">
        <v>2057</v>
      </c>
      <c r="D171" s="1" t="s">
        <v>2058</v>
      </c>
      <c r="E171" s="1" t="s">
        <v>2031</v>
      </c>
    </row>
    <row r="172" customFormat="false" ht="15" hidden="false" customHeight="false" outlineLevel="0" collapsed="false">
      <c r="A172" s="1" t="s">
        <v>1393</v>
      </c>
      <c r="B172" s="1" t="s">
        <v>2114</v>
      </c>
      <c r="C172" s="1" t="s">
        <v>2060</v>
      </c>
      <c r="D172" s="1" t="s">
        <v>2061</v>
      </c>
      <c r="E172" s="1" t="s">
        <v>2035</v>
      </c>
    </row>
    <row r="173" customFormat="false" ht="15" hidden="false" customHeight="false" outlineLevel="0" collapsed="false">
      <c r="A173" s="1" t="s">
        <v>730</v>
      </c>
      <c r="B173" s="1" t="s">
        <v>2115</v>
      </c>
      <c r="C173" s="1" t="s">
        <v>2063</v>
      </c>
      <c r="D173" s="1" t="s">
        <v>2058</v>
      </c>
      <c r="E173" s="1" t="s">
        <v>2031</v>
      </c>
    </row>
    <row r="174" customFormat="false" ht="15" hidden="false" customHeight="false" outlineLevel="0" collapsed="false">
      <c r="A174" s="1" t="s">
        <v>805</v>
      </c>
      <c r="B174" s="1" t="s">
        <v>2116</v>
      </c>
      <c r="C174" s="1" t="s">
        <v>2065</v>
      </c>
      <c r="D174" s="1" t="s">
        <v>2066</v>
      </c>
      <c r="E174" s="1" t="s">
        <v>2035</v>
      </c>
    </row>
    <row r="175" customFormat="false" ht="15" hidden="false" customHeight="false" outlineLevel="0" collapsed="false">
      <c r="A175" s="1" t="s">
        <v>170</v>
      </c>
      <c r="B175" s="1" t="s">
        <v>2117</v>
      </c>
      <c r="C175" s="1" t="s">
        <v>2068</v>
      </c>
      <c r="D175" s="1" t="s">
        <v>2069</v>
      </c>
      <c r="E175" s="1" t="s">
        <v>2091</v>
      </c>
    </row>
    <row r="176" customFormat="false" ht="15" hidden="false" customHeight="false" outlineLevel="0" collapsed="false">
      <c r="A176" s="1" t="s">
        <v>302</v>
      </c>
      <c r="B176" s="1" t="s">
        <v>2118</v>
      </c>
      <c r="C176" s="1" t="s">
        <v>2071</v>
      </c>
      <c r="D176" s="1" t="s">
        <v>2069</v>
      </c>
      <c r="E176" s="1" t="s">
        <v>2031</v>
      </c>
    </row>
    <row r="177" customFormat="false" ht="15" hidden="false" customHeight="false" outlineLevel="0" collapsed="false">
      <c r="A177" s="1" t="s">
        <v>66</v>
      </c>
      <c r="B177" s="1" t="s">
        <v>2119</v>
      </c>
      <c r="C177" s="1" t="s">
        <v>2073</v>
      </c>
      <c r="D177" s="1" t="s">
        <v>2073</v>
      </c>
      <c r="E177" s="1" t="s">
        <v>2035</v>
      </c>
    </row>
    <row r="178" customFormat="false" ht="15" hidden="false" customHeight="false" outlineLevel="0" collapsed="false">
      <c r="A178" s="1" t="s">
        <v>321</v>
      </c>
      <c r="B178" s="1" t="s">
        <v>2120</v>
      </c>
      <c r="C178" s="1" t="s">
        <v>2075</v>
      </c>
      <c r="D178" s="1" t="s">
        <v>2055</v>
      </c>
      <c r="E178" s="1" t="s">
        <v>2035</v>
      </c>
    </row>
    <row r="179" customFormat="false" ht="15" hidden="false" customHeight="false" outlineLevel="0" collapsed="false">
      <c r="A179" s="1" t="s">
        <v>43</v>
      </c>
      <c r="B179" s="1" t="s">
        <v>2121</v>
      </c>
      <c r="C179" s="1" t="s">
        <v>2077</v>
      </c>
      <c r="D179" s="1" t="s">
        <v>2034</v>
      </c>
      <c r="E179" s="1" t="s">
        <v>2091</v>
      </c>
    </row>
    <row r="180" customFormat="false" ht="15" hidden="false" customHeight="false" outlineLevel="0" collapsed="false">
      <c r="A180" s="1" t="s">
        <v>232</v>
      </c>
      <c r="B180" s="1" t="s">
        <v>2122</v>
      </c>
      <c r="C180" s="1" t="s">
        <v>2079</v>
      </c>
      <c r="D180" s="1" t="s">
        <v>2044</v>
      </c>
      <c r="E180" s="1" t="s">
        <v>2035</v>
      </c>
    </row>
    <row r="181" customFormat="false" ht="15" hidden="false" customHeight="false" outlineLevel="0" collapsed="false">
      <c r="A181" s="1" t="s">
        <v>570</v>
      </c>
      <c r="B181" s="1" t="s">
        <v>2123</v>
      </c>
      <c r="C181" s="1" t="s">
        <v>2081</v>
      </c>
      <c r="D181" s="1" t="s">
        <v>2082</v>
      </c>
      <c r="E181" s="1" t="s">
        <v>2035</v>
      </c>
    </row>
    <row r="182" customFormat="false" ht="15" hidden="false" customHeight="false" outlineLevel="0" collapsed="false">
      <c r="A182" s="1" t="s">
        <v>183</v>
      </c>
      <c r="B182" s="1" t="s">
        <v>2124</v>
      </c>
      <c r="C182" s="1" t="s">
        <v>2030</v>
      </c>
      <c r="D182" s="1" t="s">
        <v>2030</v>
      </c>
      <c r="E182" s="1" t="s">
        <v>2035</v>
      </c>
    </row>
    <row r="183" customFormat="false" ht="15" hidden="false" customHeight="false" outlineLevel="0" collapsed="false">
      <c r="A183" s="1" t="s">
        <v>659</v>
      </c>
      <c r="B183" s="1" t="s">
        <v>2125</v>
      </c>
      <c r="C183" s="1" t="s">
        <v>2033</v>
      </c>
      <c r="D183" s="1" t="s">
        <v>2034</v>
      </c>
      <c r="E183" s="1" t="s">
        <v>2035</v>
      </c>
    </row>
    <row r="184" customFormat="false" ht="15" hidden="false" customHeight="false" outlineLevel="0" collapsed="false">
      <c r="A184" s="1" t="s">
        <v>457</v>
      </c>
      <c r="B184" s="1" t="s">
        <v>2126</v>
      </c>
      <c r="C184" s="1" t="s">
        <v>2037</v>
      </c>
      <c r="D184" s="1" t="s">
        <v>2038</v>
      </c>
      <c r="E184" s="1" t="s">
        <v>2035</v>
      </c>
    </row>
    <row r="185" customFormat="false" ht="15" hidden="false" customHeight="false" outlineLevel="0" collapsed="false">
      <c r="A185" s="1" t="s">
        <v>249</v>
      </c>
      <c r="B185" s="1" t="s">
        <v>2127</v>
      </c>
      <c r="C185" s="1" t="s">
        <v>2040</v>
      </c>
      <c r="D185" s="1" t="s">
        <v>2041</v>
      </c>
      <c r="E185" s="1" t="s">
        <v>2031</v>
      </c>
    </row>
    <row r="186" customFormat="false" ht="15" hidden="false" customHeight="false" outlineLevel="0" collapsed="false">
      <c r="A186" s="1" t="s">
        <v>728</v>
      </c>
      <c r="B186" s="1" t="s">
        <v>2128</v>
      </c>
      <c r="C186" s="1" t="s">
        <v>2043</v>
      </c>
      <c r="D186" s="1" t="s">
        <v>2044</v>
      </c>
      <c r="E186" s="1" t="s">
        <v>2035</v>
      </c>
    </row>
    <row r="187" customFormat="false" ht="15" hidden="false" customHeight="false" outlineLevel="0" collapsed="false">
      <c r="A187" s="1" t="s">
        <v>615</v>
      </c>
      <c r="B187" s="1" t="s">
        <v>2129</v>
      </c>
      <c r="C187" s="1" t="s">
        <v>2046</v>
      </c>
      <c r="D187" s="1" t="s">
        <v>2047</v>
      </c>
      <c r="E187" s="1" t="s">
        <v>2035</v>
      </c>
    </row>
    <row r="188" customFormat="false" ht="15" hidden="false" customHeight="false" outlineLevel="0" collapsed="false">
      <c r="A188" s="1" t="s">
        <v>61</v>
      </c>
      <c r="B188" s="1" t="s">
        <v>2130</v>
      </c>
      <c r="C188" s="1" t="s">
        <v>2049</v>
      </c>
      <c r="D188" s="1" t="s">
        <v>2034</v>
      </c>
      <c r="E188" s="1" t="s">
        <v>2031</v>
      </c>
    </row>
    <row r="189" customFormat="false" ht="15" hidden="false" customHeight="false" outlineLevel="0" collapsed="false">
      <c r="A189" s="1" t="s">
        <v>691</v>
      </c>
      <c r="B189" s="1" t="s">
        <v>2131</v>
      </c>
      <c r="C189" s="1" t="s">
        <v>2051</v>
      </c>
      <c r="D189" s="1" t="s">
        <v>2052</v>
      </c>
      <c r="E189" s="1" t="s">
        <v>2031</v>
      </c>
    </row>
    <row r="190" customFormat="false" ht="15" hidden="false" customHeight="false" outlineLevel="0" collapsed="false">
      <c r="A190" s="1" t="s">
        <v>551</v>
      </c>
      <c r="B190" s="1" t="s">
        <v>2132</v>
      </c>
      <c r="C190" s="1" t="s">
        <v>2054</v>
      </c>
      <c r="D190" s="1" t="s">
        <v>2055</v>
      </c>
      <c r="E190" s="1" t="s">
        <v>2035</v>
      </c>
    </row>
    <row r="191" customFormat="false" ht="15" hidden="false" customHeight="false" outlineLevel="0" collapsed="false">
      <c r="A191" s="1" t="s">
        <v>431</v>
      </c>
      <c r="B191" s="1" t="s">
        <v>2133</v>
      </c>
      <c r="C191" s="1" t="s">
        <v>2057</v>
      </c>
      <c r="D191" s="1" t="s">
        <v>2058</v>
      </c>
      <c r="E191" s="1" t="s">
        <v>2031</v>
      </c>
    </row>
    <row r="192" customFormat="false" ht="15" hidden="false" customHeight="false" outlineLevel="0" collapsed="false">
      <c r="A192" s="1" t="s">
        <v>833</v>
      </c>
      <c r="B192" s="1" t="s">
        <v>2134</v>
      </c>
      <c r="C192" s="1" t="s">
        <v>2060</v>
      </c>
      <c r="D192" s="1" t="s">
        <v>2061</v>
      </c>
      <c r="E192" s="1" t="s">
        <v>2031</v>
      </c>
    </row>
    <row r="193" customFormat="false" ht="15" hidden="false" customHeight="false" outlineLevel="0" collapsed="false">
      <c r="A193" s="1" t="s">
        <v>560</v>
      </c>
      <c r="B193" s="1" t="s">
        <v>2135</v>
      </c>
      <c r="C193" s="1" t="s">
        <v>2063</v>
      </c>
      <c r="D193" s="1" t="s">
        <v>2058</v>
      </c>
      <c r="E193" s="1" t="s">
        <v>2031</v>
      </c>
    </row>
    <row r="194" customFormat="false" ht="15" hidden="false" customHeight="false" outlineLevel="0" collapsed="false">
      <c r="A194" s="1" t="s">
        <v>637</v>
      </c>
      <c r="B194" s="1" t="s">
        <v>2136</v>
      </c>
      <c r="C194" s="1" t="s">
        <v>2065</v>
      </c>
      <c r="D194" s="1" t="s">
        <v>2066</v>
      </c>
      <c r="E194" s="1" t="s">
        <v>2035</v>
      </c>
    </row>
    <row r="195" customFormat="false" ht="15" hidden="false" customHeight="false" outlineLevel="0" collapsed="false">
      <c r="A195" s="1" t="s">
        <v>127</v>
      </c>
      <c r="B195" s="1" t="s">
        <v>2137</v>
      </c>
      <c r="C195" s="1" t="s">
        <v>2068</v>
      </c>
      <c r="D195" s="1" t="s">
        <v>2069</v>
      </c>
      <c r="E195" s="1" t="s">
        <v>2031</v>
      </c>
    </row>
    <row r="196" customFormat="false" ht="15" hidden="false" customHeight="false" outlineLevel="0" collapsed="false">
      <c r="A196" s="1" t="s">
        <v>1243</v>
      </c>
      <c r="B196" s="1" t="s">
        <v>2138</v>
      </c>
      <c r="C196" s="1" t="s">
        <v>2071</v>
      </c>
      <c r="D196" s="1" t="s">
        <v>2069</v>
      </c>
      <c r="E196" s="1" t="s">
        <v>2031</v>
      </c>
    </row>
    <row r="197" customFormat="false" ht="15" hidden="false" customHeight="false" outlineLevel="0" collapsed="false">
      <c r="A197" s="1" t="s">
        <v>435</v>
      </c>
      <c r="B197" s="1" t="s">
        <v>2139</v>
      </c>
      <c r="C197" s="1" t="s">
        <v>2073</v>
      </c>
      <c r="D197" s="1" t="s">
        <v>2073</v>
      </c>
      <c r="E197" s="1" t="s">
        <v>2031</v>
      </c>
    </row>
    <row r="198" customFormat="false" ht="15" hidden="false" customHeight="false" outlineLevel="0" collapsed="false">
      <c r="A198" s="1" t="s">
        <v>443</v>
      </c>
      <c r="B198" s="1" t="s">
        <v>2141</v>
      </c>
      <c r="C198" s="1" t="s">
        <v>2075</v>
      </c>
      <c r="D198" s="1" t="s">
        <v>2055</v>
      </c>
      <c r="E198" s="1" t="s">
        <v>2031</v>
      </c>
    </row>
    <row r="199" customFormat="false" ht="15" hidden="false" customHeight="false" outlineLevel="0" collapsed="false">
      <c r="A199" s="1" t="s">
        <v>355</v>
      </c>
      <c r="B199" s="1" t="s">
        <v>2142</v>
      </c>
      <c r="C199" s="1" t="s">
        <v>2077</v>
      </c>
      <c r="D199" s="1" t="s">
        <v>2034</v>
      </c>
      <c r="E199" s="1" t="s">
        <v>2031</v>
      </c>
    </row>
    <row r="200" customFormat="false" ht="15" hidden="false" customHeight="false" outlineLevel="0" collapsed="false">
      <c r="A200" s="1" t="s">
        <v>947</v>
      </c>
      <c r="B200" s="1" t="s">
        <v>2143</v>
      </c>
      <c r="C200" s="1" t="s">
        <v>2079</v>
      </c>
      <c r="D200" s="1" t="s">
        <v>2044</v>
      </c>
      <c r="E200" s="1" t="s">
        <v>2031</v>
      </c>
    </row>
    <row r="201" customFormat="false" ht="15" hidden="false" customHeight="false" outlineLevel="0" collapsed="false">
      <c r="A201" s="1" t="s">
        <v>314</v>
      </c>
      <c r="B201" s="1" t="s">
        <v>2144</v>
      </c>
      <c r="C201" s="1" t="s">
        <v>2081</v>
      </c>
      <c r="D201" s="1" t="s">
        <v>2082</v>
      </c>
      <c r="E201" s="1" t="s">
        <v>2035</v>
      </c>
    </row>
    <row r="202" customFormat="false" ht="15" hidden="false" customHeight="false" outlineLevel="0" collapsed="false">
      <c r="A202" s="1" t="s">
        <v>181</v>
      </c>
      <c r="B202" s="1" t="s">
        <v>2145</v>
      </c>
      <c r="C202" s="1" t="s">
        <v>2030</v>
      </c>
      <c r="D202" s="1" t="s">
        <v>2030</v>
      </c>
      <c r="E202" s="1" t="s">
        <v>2091</v>
      </c>
    </row>
    <row r="203" customFormat="false" ht="15" hidden="false" customHeight="false" outlineLevel="0" collapsed="false">
      <c r="A203" s="1" t="s">
        <v>50</v>
      </c>
      <c r="B203" s="1" t="s">
        <v>2146</v>
      </c>
      <c r="C203" s="1" t="s">
        <v>2033</v>
      </c>
      <c r="D203" s="1" t="s">
        <v>2034</v>
      </c>
      <c r="E203" s="1" t="s">
        <v>2035</v>
      </c>
    </row>
    <row r="204" customFormat="false" ht="15" hidden="false" customHeight="false" outlineLevel="0" collapsed="false">
      <c r="A204" s="1" t="s">
        <v>1625</v>
      </c>
      <c r="B204" s="1" t="s">
        <v>2147</v>
      </c>
      <c r="C204" s="1" t="s">
        <v>2037</v>
      </c>
      <c r="D204" s="1" t="s">
        <v>2038</v>
      </c>
      <c r="E204" s="1" t="s">
        <v>2035</v>
      </c>
    </row>
    <row r="205" customFormat="false" ht="15" hidden="false" customHeight="false" outlineLevel="0" collapsed="false">
      <c r="A205" s="1" t="s">
        <v>1109</v>
      </c>
      <c r="B205" s="1" t="s">
        <v>2148</v>
      </c>
      <c r="C205" s="1" t="s">
        <v>2040</v>
      </c>
      <c r="D205" s="1" t="s">
        <v>2041</v>
      </c>
      <c r="E205" s="1" t="s">
        <v>2031</v>
      </c>
    </row>
    <row r="206" customFormat="false" ht="15" hidden="false" customHeight="false" outlineLevel="0" collapsed="false">
      <c r="A206" s="1" t="s">
        <v>783</v>
      </c>
      <c r="B206" s="1" t="s">
        <v>2149</v>
      </c>
      <c r="C206" s="1" t="s">
        <v>2043</v>
      </c>
      <c r="D206" s="1" t="s">
        <v>2044</v>
      </c>
      <c r="E206" s="1" t="s">
        <v>2031</v>
      </c>
    </row>
    <row r="207" customFormat="false" ht="15" hidden="false" customHeight="false" outlineLevel="0" collapsed="false">
      <c r="A207" s="1" t="s">
        <v>1128</v>
      </c>
      <c r="B207" s="1" t="s">
        <v>2150</v>
      </c>
      <c r="C207" s="1" t="s">
        <v>2046</v>
      </c>
      <c r="D207" s="1" t="s">
        <v>2047</v>
      </c>
      <c r="E207" s="1" t="s">
        <v>2031</v>
      </c>
    </row>
    <row r="208" customFormat="false" ht="15" hidden="false" customHeight="false" outlineLevel="0" collapsed="false">
      <c r="A208" s="1" t="s">
        <v>147</v>
      </c>
      <c r="B208" s="1" t="s">
        <v>2151</v>
      </c>
      <c r="C208" s="1" t="s">
        <v>2049</v>
      </c>
      <c r="D208" s="1" t="s">
        <v>2034</v>
      </c>
      <c r="E208" s="1" t="s">
        <v>2031</v>
      </c>
    </row>
    <row r="209" customFormat="false" ht="15" hidden="false" customHeight="false" outlineLevel="0" collapsed="false">
      <c r="A209" s="1" t="s">
        <v>830</v>
      </c>
      <c r="B209" s="1" t="s">
        <v>2152</v>
      </c>
      <c r="C209" s="1" t="s">
        <v>2051</v>
      </c>
      <c r="D209" s="1" t="s">
        <v>2052</v>
      </c>
      <c r="E209" s="1" t="s">
        <v>2031</v>
      </c>
    </row>
    <row r="210" customFormat="false" ht="15" hidden="false" customHeight="false" outlineLevel="0" collapsed="false">
      <c r="A210" s="1" t="s">
        <v>73</v>
      </c>
      <c r="B210" s="1" t="s">
        <v>2153</v>
      </c>
      <c r="C210" s="1" t="s">
        <v>2054</v>
      </c>
      <c r="D210" s="1" t="s">
        <v>2055</v>
      </c>
      <c r="E210" s="1" t="s">
        <v>2031</v>
      </c>
    </row>
    <row r="211" customFormat="false" ht="15" hidden="false" customHeight="false" outlineLevel="0" collapsed="false">
      <c r="A211" s="1" t="s">
        <v>11</v>
      </c>
      <c r="B211" s="1" t="s">
        <v>2154</v>
      </c>
      <c r="C211" s="1" t="s">
        <v>2057</v>
      </c>
      <c r="D211" s="1" t="s">
        <v>2058</v>
      </c>
      <c r="E211" s="1" t="s">
        <v>2031</v>
      </c>
    </row>
    <row r="212" customFormat="false" ht="15" hidden="false" customHeight="false" outlineLevel="0" collapsed="false">
      <c r="A212" s="1" t="s">
        <v>334</v>
      </c>
      <c r="B212" s="1" t="s">
        <v>2155</v>
      </c>
      <c r="C212" s="1" t="s">
        <v>2060</v>
      </c>
      <c r="D212" s="1" t="s">
        <v>2061</v>
      </c>
      <c r="E212" s="1" t="s">
        <v>2031</v>
      </c>
    </row>
    <row r="213" customFormat="false" ht="15" hidden="false" customHeight="false" outlineLevel="0" collapsed="false">
      <c r="A213" s="1" t="s">
        <v>562</v>
      </c>
      <c r="B213" s="1" t="s">
        <v>2156</v>
      </c>
      <c r="C213" s="1" t="s">
        <v>2063</v>
      </c>
      <c r="D213" s="1" t="s">
        <v>2058</v>
      </c>
      <c r="E213" s="1" t="s">
        <v>2031</v>
      </c>
    </row>
    <row r="214" customFormat="false" ht="15" hidden="false" customHeight="false" outlineLevel="0" collapsed="false">
      <c r="A214" s="1" t="s">
        <v>1430</v>
      </c>
      <c r="B214" s="1" t="s">
        <v>2157</v>
      </c>
      <c r="C214" s="1" t="s">
        <v>2065</v>
      </c>
      <c r="D214" s="1" t="s">
        <v>2066</v>
      </c>
      <c r="E214" s="1" t="s">
        <v>2035</v>
      </c>
    </row>
    <row r="215" customFormat="false" ht="15" hidden="false" customHeight="false" outlineLevel="0" collapsed="false">
      <c r="A215" s="1" t="s">
        <v>185</v>
      </c>
      <c r="B215" s="1" t="s">
        <v>2158</v>
      </c>
      <c r="C215" s="1" t="s">
        <v>2068</v>
      </c>
      <c r="D215" s="1" t="s">
        <v>2069</v>
      </c>
      <c r="E215" s="1" t="s">
        <v>2031</v>
      </c>
    </row>
    <row r="216" customFormat="false" ht="15" hidden="false" customHeight="false" outlineLevel="0" collapsed="false">
      <c r="A216" s="1" t="s">
        <v>503</v>
      </c>
      <c r="B216" s="1" t="s">
        <v>2159</v>
      </c>
      <c r="C216" s="1" t="s">
        <v>2071</v>
      </c>
      <c r="D216" s="1" t="s">
        <v>2069</v>
      </c>
      <c r="E216" s="1" t="s">
        <v>2031</v>
      </c>
    </row>
    <row r="217" customFormat="false" ht="15" hidden="false" customHeight="false" outlineLevel="0" collapsed="false">
      <c r="A217" s="1" t="s">
        <v>956</v>
      </c>
      <c r="B217" s="1" t="s">
        <v>2160</v>
      </c>
      <c r="C217" s="1" t="s">
        <v>2073</v>
      </c>
      <c r="D217" s="1" t="s">
        <v>2073</v>
      </c>
      <c r="E217" s="1" t="s">
        <v>2031</v>
      </c>
    </row>
    <row r="218" customFormat="false" ht="15" hidden="false" customHeight="false" outlineLevel="0" collapsed="false">
      <c r="A218" s="1" t="s">
        <v>1009</v>
      </c>
      <c r="B218" s="1" t="s">
        <v>2161</v>
      </c>
      <c r="C218" s="1" t="s">
        <v>2075</v>
      </c>
      <c r="D218" s="1" t="s">
        <v>2055</v>
      </c>
      <c r="E218" s="1" t="s">
        <v>2031</v>
      </c>
    </row>
    <row r="219" customFormat="false" ht="15" hidden="false" customHeight="false" outlineLevel="0" collapsed="false">
      <c r="A219" s="1" t="s">
        <v>534</v>
      </c>
      <c r="B219" s="1" t="s">
        <v>2162</v>
      </c>
      <c r="C219" s="1" t="s">
        <v>2077</v>
      </c>
      <c r="D219" s="1" t="s">
        <v>2034</v>
      </c>
      <c r="E219" s="1" t="s">
        <v>2091</v>
      </c>
    </row>
    <row r="220" customFormat="false" ht="15" hidden="false" customHeight="false" outlineLevel="0" collapsed="false">
      <c r="A220" s="1" t="s">
        <v>505</v>
      </c>
      <c r="B220" s="1" t="s">
        <v>2163</v>
      </c>
      <c r="C220" s="1" t="s">
        <v>2079</v>
      </c>
      <c r="D220" s="1" t="s">
        <v>2044</v>
      </c>
      <c r="E220" s="1" t="s">
        <v>2035</v>
      </c>
    </row>
    <row r="221" customFormat="false" ht="15" hidden="false" customHeight="false" outlineLevel="0" collapsed="false">
      <c r="A221" s="1" t="s">
        <v>69</v>
      </c>
      <c r="B221" s="1" t="s">
        <v>2164</v>
      </c>
      <c r="C221" s="1" t="s">
        <v>2081</v>
      </c>
      <c r="D221" s="1" t="s">
        <v>2082</v>
      </c>
      <c r="E221" s="1" t="s">
        <v>2035</v>
      </c>
    </row>
    <row r="222" customFormat="false" ht="15" hidden="false" customHeight="false" outlineLevel="0" collapsed="false">
      <c r="A222" s="1" t="s">
        <v>259</v>
      </c>
      <c r="B222" s="1" t="s">
        <v>2165</v>
      </c>
      <c r="C222" s="1" t="s">
        <v>2030</v>
      </c>
      <c r="D222" s="1" t="s">
        <v>2030</v>
      </c>
      <c r="E222" s="1" t="s">
        <v>2035</v>
      </c>
    </row>
    <row r="223" customFormat="false" ht="15" hidden="false" customHeight="false" outlineLevel="0" collapsed="false">
      <c r="A223" s="1" t="s">
        <v>207</v>
      </c>
      <c r="B223" s="1" t="s">
        <v>2166</v>
      </c>
      <c r="C223" s="1" t="s">
        <v>2033</v>
      </c>
      <c r="D223" s="1" t="s">
        <v>2034</v>
      </c>
      <c r="E223" s="1" t="s">
        <v>2031</v>
      </c>
    </row>
    <row r="224" customFormat="false" ht="15" hidden="false" customHeight="false" outlineLevel="0" collapsed="false">
      <c r="A224" s="1" t="s">
        <v>404</v>
      </c>
      <c r="B224" s="1" t="s">
        <v>2167</v>
      </c>
      <c r="C224" s="1" t="s">
        <v>2037</v>
      </c>
      <c r="D224" s="1" t="s">
        <v>2038</v>
      </c>
      <c r="E224" s="1" t="s">
        <v>2091</v>
      </c>
    </row>
    <row r="225" customFormat="false" ht="15" hidden="false" customHeight="false" outlineLevel="0" collapsed="false">
      <c r="A225" s="1" t="s">
        <v>643</v>
      </c>
      <c r="B225" s="1" t="s">
        <v>2168</v>
      </c>
      <c r="C225" s="1" t="s">
        <v>2040</v>
      </c>
      <c r="D225" s="1" t="s">
        <v>2041</v>
      </c>
      <c r="E225" s="1" t="s">
        <v>2031</v>
      </c>
    </row>
    <row r="226" customFormat="false" ht="15" hidden="false" customHeight="false" outlineLevel="0" collapsed="false">
      <c r="A226" s="1" t="s">
        <v>350</v>
      </c>
      <c r="B226" s="1" t="s">
        <v>2169</v>
      </c>
      <c r="C226" s="1" t="s">
        <v>2043</v>
      </c>
      <c r="D226" s="1" t="s">
        <v>2044</v>
      </c>
      <c r="E226" s="1" t="s">
        <v>2031</v>
      </c>
    </row>
    <row r="227" customFormat="false" ht="15" hidden="false" customHeight="false" outlineLevel="0" collapsed="false">
      <c r="A227" s="1" t="s">
        <v>438</v>
      </c>
      <c r="B227" s="1" t="s">
        <v>2170</v>
      </c>
      <c r="C227" s="1" t="s">
        <v>2046</v>
      </c>
      <c r="D227" s="1" t="s">
        <v>2047</v>
      </c>
      <c r="E227" s="1" t="s">
        <v>2031</v>
      </c>
    </row>
    <row r="228" customFormat="false" ht="15" hidden="false" customHeight="false" outlineLevel="0" collapsed="false">
      <c r="A228" s="1" t="s">
        <v>347</v>
      </c>
      <c r="B228" s="1" t="s">
        <v>2171</v>
      </c>
      <c r="C228" s="1" t="s">
        <v>2049</v>
      </c>
      <c r="D228" s="1" t="s">
        <v>2034</v>
      </c>
      <c r="E228" s="1" t="s">
        <v>2031</v>
      </c>
    </row>
    <row r="229" customFormat="false" ht="15" hidden="false" customHeight="false" outlineLevel="0" collapsed="false">
      <c r="A229" s="1" t="s">
        <v>1229</v>
      </c>
      <c r="B229" s="1" t="s">
        <v>2172</v>
      </c>
      <c r="C229" s="1" t="s">
        <v>2051</v>
      </c>
      <c r="D229" s="1" t="s">
        <v>2052</v>
      </c>
      <c r="E229" s="1" t="s">
        <v>2031</v>
      </c>
    </row>
    <row r="230" customFormat="false" ht="15" hidden="false" customHeight="false" outlineLevel="0" collapsed="false">
      <c r="A230" s="1" t="s">
        <v>477</v>
      </c>
      <c r="B230" s="1" t="s">
        <v>2173</v>
      </c>
      <c r="C230" s="1" t="s">
        <v>2054</v>
      </c>
      <c r="D230" s="1" t="s">
        <v>2055</v>
      </c>
      <c r="E230" s="1" t="s">
        <v>2031</v>
      </c>
    </row>
    <row r="231" customFormat="false" ht="15" hidden="false" customHeight="false" outlineLevel="0" collapsed="false">
      <c r="A231" s="1" t="s">
        <v>352</v>
      </c>
      <c r="B231" s="1" t="s">
        <v>2174</v>
      </c>
      <c r="C231" s="1" t="s">
        <v>2057</v>
      </c>
      <c r="D231" s="1" t="s">
        <v>2058</v>
      </c>
      <c r="E231" s="1" t="s">
        <v>2035</v>
      </c>
    </row>
    <row r="232" customFormat="false" ht="15" hidden="false" customHeight="false" outlineLevel="0" collapsed="false">
      <c r="A232" s="1" t="s">
        <v>83</v>
      </c>
      <c r="B232" s="1" t="s">
        <v>2175</v>
      </c>
      <c r="C232" s="1" t="s">
        <v>2060</v>
      </c>
      <c r="D232" s="1" t="s">
        <v>2061</v>
      </c>
      <c r="E232" s="1" t="s">
        <v>2035</v>
      </c>
    </row>
    <row r="233" customFormat="false" ht="15" hidden="false" customHeight="false" outlineLevel="0" collapsed="false">
      <c r="A233" s="1" t="s">
        <v>1210</v>
      </c>
      <c r="B233" s="1" t="s">
        <v>2176</v>
      </c>
      <c r="C233" s="1" t="s">
        <v>2063</v>
      </c>
      <c r="D233" s="1" t="s">
        <v>2058</v>
      </c>
      <c r="E233" s="1" t="s">
        <v>2031</v>
      </c>
    </row>
    <row r="234" customFormat="false" ht="15" hidden="false" customHeight="false" outlineLevel="0" collapsed="false">
      <c r="A234" s="1" t="s">
        <v>742</v>
      </c>
      <c r="B234" s="1" t="s">
        <v>2177</v>
      </c>
      <c r="C234" s="1" t="s">
        <v>2065</v>
      </c>
      <c r="D234" s="1" t="s">
        <v>2066</v>
      </c>
      <c r="E234" s="1" t="s">
        <v>2035</v>
      </c>
    </row>
    <row r="235" customFormat="false" ht="15" hidden="false" customHeight="false" outlineLevel="0" collapsed="false">
      <c r="A235" s="1" t="s">
        <v>706</v>
      </c>
      <c r="B235" s="1" t="s">
        <v>2178</v>
      </c>
      <c r="C235" s="1" t="s">
        <v>2068</v>
      </c>
      <c r="D235" s="1" t="s">
        <v>2069</v>
      </c>
      <c r="E235" s="1" t="s">
        <v>2035</v>
      </c>
    </row>
    <row r="236" customFormat="false" ht="15" hidden="false" customHeight="false" outlineLevel="0" collapsed="false">
      <c r="A236" s="1" t="s">
        <v>252</v>
      </c>
      <c r="B236" s="1" t="s">
        <v>2179</v>
      </c>
      <c r="C236" s="1" t="s">
        <v>2071</v>
      </c>
      <c r="D236" s="1" t="s">
        <v>2069</v>
      </c>
      <c r="E236" s="1" t="s">
        <v>2035</v>
      </c>
    </row>
    <row r="237" customFormat="false" ht="15" hidden="false" customHeight="false" outlineLevel="0" collapsed="false">
      <c r="A237" s="1" t="s">
        <v>1011</v>
      </c>
      <c r="B237" s="1" t="s">
        <v>2180</v>
      </c>
      <c r="C237" s="1" t="s">
        <v>2073</v>
      </c>
      <c r="D237" s="1" t="s">
        <v>2073</v>
      </c>
      <c r="E237" s="1" t="s">
        <v>2031</v>
      </c>
    </row>
    <row r="238" customFormat="false" ht="15" hidden="false" customHeight="false" outlineLevel="0" collapsed="false">
      <c r="A238" s="1" t="s">
        <v>1056</v>
      </c>
      <c r="B238" s="1" t="s">
        <v>2181</v>
      </c>
      <c r="C238" s="1" t="s">
        <v>2075</v>
      </c>
      <c r="D238" s="1" t="s">
        <v>2055</v>
      </c>
      <c r="E238" s="1" t="s">
        <v>2031</v>
      </c>
    </row>
    <row r="239" customFormat="false" ht="15" hidden="false" customHeight="false" outlineLevel="0" collapsed="false">
      <c r="A239" s="1" t="s">
        <v>105</v>
      </c>
      <c r="B239" s="1" t="s">
        <v>2182</v>
      </c>
      <c r="C239" s="1" t="s">
        <v>2077</v>
      </c>
      <c r="D239" s="1" t="s">
        <v>2034</v>
      </c>
      <c r="E239" s="1" t="s">
        <v>2031</v>
      </c>
    </row>
    <row r="240" customFormat="false" ht="15" hidden="false" customHeight="false" outlineLevel="0" collapsed="false">
      <c r="A240" s="1" t="s">
        <v>47</v>
      </c>
      <c r="B240" s="1" t="s">
        <v>2183</v>
      </c>
      <c r="C240" s="1" t="s">
        <v>2079</v>
      </c>
      <c r="D240" s="1" t="s">
        <v>2044</v>
      </c>
      <c r="E240" s="1" t="s">
        <v>2035</v>
      </c>
    </row>
    <row r="241" customFormat="false" ht="15" hidden="false" customHeight="false" outlineLevel="0" collapsed="false">
      <c r="A241" s="1" t="s">
        <v>63</v>
      </c>
      <c r="B241" s="1" t="s">
        <v>2184</v>
      </c>
      <c r="C241" s="1" t="s">
        <v>2081</v>
      </c>
      <c r="D241" s="1" t="s">
        <v>2082</v>
      </c>
      <c r="E241" s="1" t="s">
        <v>2031</v>
      </c>
    </row>
    <row r="242" customFormat="false" ht="15" hidden="false" customHeight="false" outlineLevel="0" collapsed="false">
      <c r="A242" s="1" t="s">
        <v>283</v>
      </c>
      <c r="B242" s="1" t="s">
        <v>2029</v>
      </c>
      <c r="C242" s="1" t="s">
        <v>2030</v>
      </c>
      <c r="D242" s="1" t="s">
        <v>2030</v>
      </c>
      <c r="E242" s="1" t="s">
        <v>2031</v>
      </c>
    </row>
    <row r="243" customFormat="false" ht="15" hidden="false" customHeight="false" outlineLevel="0" collapsed="false">
      <c r="A243" s="1" t="s">
        <v>735</v>
      </c>
      <c r="B243" s="1" t="s">
        <v>2032</v>
      </c>
      <c r="C243" s="1" t="s">
        <v>2033</v>
      </c>
      <c r="D243" s="1" t="s">
        <v>2034</v>
      </c>
      <c r="E243" s="1" t="s">
        <v>2035</v>
      </c>
    </row>
    <row r="244" customFormat="false" ht="15" hidden="false" customHeight="false" outlineLevel="0" collapsed="false">
      <c r="A244" s="1" t="s">
        <v>142</v>
      </c>
      <c r="B244" s="1" t="s">
        <v>2036</v>
      </c>
      <c r="C244" s="1" t="s">
        <v>2037</v>
      </c>
      <c r="D244" s="1" t="s">
        <v>2038</v>
      </c>
      <c r="E244" s="1" t="s">
        <v>2035</v>
      </c>
    </row>
    <row r="245" customFormat="false" ht="15" hidden="false" customHeight="false" outlineLevel="0" collapsed="false">
      <c r="A245" s="1" t="s">
        <v>654</v>
      </c>
      <c r="B245" s="1" t="s">
        <v>2039</v>
      </c>
      <c r="C245" s="1" t="s">
        <v>2040</v>
      </c>
      <c r="D245" s="1" t="s">
        <v>2041</v>
      </c>
      <c r="E245" s="1" t="s">
        <v>2035</v>
      </c>
    </row>
    <row r="246" customFormat="false" ht="15" hidden="false" customHeight="false" outlineLevel="0" collapsed="false">
      <c r="A246" s="1" t="s">
        <v>368</v>
      </c>
      <c r="B246" s="1" t="s">
        <v>2042</v>
      </c>
      <c r="C246" s="1" t="s">
        <v>2043</v>
      </c>
      <c r="D246" s="1" t="s">
        <v>2044</v>
      </c>
      <c r="E246" s="1" t="s">
        <v>2035</v>
      </c>
    </row>
    <row r="247" customFormat="false" ht="15" hidden="false" customHeight="false" outlineLevel="0" collapsed="false">
      <c r="A247" s="1" t="s">
        <v>558</v>
      </c>
      <c r="B247" s="1" t="s">
        <v>2045</v>
      </c>
      <c r="C247" s="1" t="s">
        <v>2046</v>
      </c>
      <c r="D247" s="1" t="s">
        <v>2047</v>
      </c>
      <c r="E247" s="1" t="s">
        <v>2035</v>
      </c>
    </row>
    <row r="248" customFormat="false" ht="15" hidden="false" customHeight="false" outlineLevel="0" collapsed="false">
      <c r="A248" s="1" t="s">
        <v>543</v>
      </c>
      <c r="B248" s="1" t="s">
        <v>2048</v>
      </c>
      <c r="C248" s="1" t="s">
        <v>2049</v>
      </c>
      <c r="D248" s="1" t="s">
        <v>2034</v>
      </c>
      <c r="E248" s="1" t="s">
        <v>2031</v>
      </c>
    </row>
    <row r="249" customFormat="false" ht="15" hidden="false" customHeight="false" outlineLevel="0" collapsed="false">
      <c r="A249" s="1" t="s">
        <v>839</v>
      </c>
      <c r="B249" s="1" t="s">
        <v>2050</v>
      </c>
      <c r="C249" s="1" t="s">
        <v>2051</v>
      </c>
      <c r="D249" s="1" t="s">
        <v>2052</v>
      </c>
      <c r="E249" s="1" t="s">
        <v>2031</v>
      </c>
    </row>
    <row r="250" customFormat="false" ht="15" hidden="false" customHeight="false" outlineLevel="0" collapsed="false">
      <c r="A250" s="1" t="s">
        <v>309</v>
      </c>
      <c r="B250" s="1" t="s">
        <v>2053</v>
      </c>
      <c r="C250" s="1" t="s">
        <v>2054</v>
      </c>
      <c r="D250" s="1" t="s">
        <v>2055</v>
      </c>
      <c r="E250" s="1" t="s">
        <v>2035</v>
      </c>
    </row>
    <row r="251" customFormat="false" ht="15" hidden="false" customHeight="false" outlineLevel="0" collapsed="false">
      <c r="A251" s="1" t="s">
        <v>702</v>
      </c>
      <c r="B251" s="1" t="s">
        <v>2056</v>
      </c>
      <c r="C251" s="1" t="s">
        <v>2057</v>
      </c>
      <c r="D251" s="1" t="s">
        <v>2058</v>
      </c>
      <c r="E251" s="1" t="s">
        <v>2031</v>
      </c>
    </row>
    <row r="252" customFormat="false" ht="15" hidden="false" customHeight="false" outlineLevel="0" collapsed="false">
      <c r="A252" s="1" t="s">
        <v>99</v>
      </c>
      <c r="B252" s="1" t="s">
        <v>2059</v>
      </c>
      <c r="C252" s="1" t="s">
        <v>2060</v>
      </c>
      <c r="D252" s="1" t="s">
        <v>2061</v>
      </c>
      <c r="E252" s="1" t="s">
        <v>2031</v>
      </c>
    </row>
    <row r="253" customFormat="false" ht="15" hidden="false" customHeight="false" outlineLevel="0" collapsed="false">
      <c r="A253" s="1" t="s">
        <v>713</v>
      </c>
      <c r="B253" s="1" t="s">
        <v>2062</v>
      </c>
      <c r="C253" s="1" t="s">
        <v>2063</v>
      </c>
      <c r="D253" s="1" t="s">
        <v>2058</v>
      </c>
      <c r="E253" s="1" t="s">
        <v>2031</v>
      </c>
    </row>
    <row r="254" customFormat="false" ht="15" hidden="false" customHeight="false" outlineLevel="0" collapsed="false">
      <c r="A254" s="1" t="s">
        <v>428</v>
      </c>
      <c r="B254" s="1" t="s">
        <v>2064</v>
      </c>
      <c r="C254" s="1" t="s">
        <v>2065</v>
      </c>
      <c r="D254" s="1" t="s">
        <v>2066</v>
      </c>
      <c r="E254" s="1" t="s">
        <v>2035</v>
      </c>
    </row>
    <row r="255" customFormat="false" ht="15" hidden="false" customHeight="false" outlineLevel="0" collapsed="false">
      <c r="A255" s="1" t="s">
        <v>684</v>
      </c>
      <c r="B255" s="1" t="s">
        <v>2067</v>
      </c>
      <c r="C255" s="1" t="s">
        <v>2068</v>
      </c>
      <c r="D255" s="1" t="s">
        <v>2069</v>
      </c>
      <c r="E255" s="1" t="s">
        <v>2031</v>
      </c>
    </row>
    <row r="256" customFormat="false" ht="15" hidden="false" customHeight="false" outlineLevel="0" collapsed="false">
      <c r="A256" s="1" t="s">
        <v>922</v>
      </c>
      <c r="B256" s="1" t="s">
        <v>2070</v>
      </c>
      <c r="C256" s="1" t="s">
        <v>2071</v>
      </c>
      <c r="D256" s="1" t="s">
        <v>2069</v>
      </c>
      <c r="E256" s="1" t="s">
        <v>2031</v>
      </c>
    </row>
    <row r="257" customFormat="false" ht="15" hidden="false" customHeight="false" outlineLevel="0" collapsed="false">
      <c r="A257" s="1" t="s">
        <v>275</v>
      </c>
      <c r="B257" s="1" t="s">
        <v>2072</v>
      </c>
      <c r="C257" s="1" t="s">
        <v>2073</v>
      </c>
      <c r="D257" s="1" t="s">
        <v>2073</v>
      </c>
      <c r="E257" s="1" t="s">
        <v>2091</v>
      </c>
    </row>
    <row r="258" customFormat="false" ht="15" hidden="false" customHeight="false" outlineLevel="0" collapsed="false">
      <c r="A258" s="1" t="s">
        <v>227</v>
      </c>
      <c r="B258" s="1" t="s">
        <v>2074</v>
      </c>
      <c r="C258" s="1" t="s">
        <v>2075</v>
      </c>
      <c r="D258" s="1" t="s">
        <v>2055</v>
      </c>
      <c r="E258" s="1" t="s">
        <v>2035</v>
      </c>
    </row>
    <row r="259" customFormat="false" ht="15" hidden="false" customHeight="false" outlineLevel="0" collapsed="false">
      <c r="A259" s="1" t="s">
        <v>26</v>
      </c>
      <c r="B259" s="1" t="s">
        <v>2076</v>
      </c>
      <c r="C259" s="1" t="s">
        <v>2077</v>
      </c>
      <c r="D259" s="1" t="s">
        <v>2034</v>
      </c>
      <c r="E259" s="1" t="s">
        <v>2035</v>
      </c>
    </row>
    <row r="260" customFormat="false" ht="15" hidden="false" customHeight="false" outlineLevel="0" collapsed="false">
      <c r="A260" s="1" t="s">
        <v>472</v>
      </c>
      <c r="B260" s="1" t="s">
        <v>2078</v>
      </c>
      <c r="C260" s="1" t="s">
        <v>2079</v>
      </c>
      <c r="D260" s="1" t="s">
        <v>2044</v>
      </c>
      <c r="E260" s="1" t="s">
        <v>2035</v>
      </c>
    </row>
    <row r="261" customFormat="false" ht="15" hidden="false" customHeight="false" outlineLevel="0" collapsed="false">
      <c r="A261" s="1" t="s">
        <v>317</v>
      </c>
      <c r="B261" s="1" t="s">
        <v>2080</v>
      </c>
      <c r="C261" s="1" t="s">
        <v>2081</v>
      </c>
      <c r="D261" s="1" t="s">
        <v>2082</v>
      </c>
      <c r="E261" s="1" t="s">
        <v>2031</v>
      </c>
    </row>
    <row r="262" customFormat="false" ht="15" hidden="false" customHeight="false" outlineLevel="0" collapsed="false">
      <c r="A262" s="1" t="s">
        <v>479</v>
      </c>
      <c r="B262" s="1" t="s">
        <v>2083</v>
      </c>
      <c r="C262" s="1" t="s">
        <v>2030</v>
      </c>
      <c r="D262" s="1" t="s">
        <v>2030</v>
      </c>
      <c r="E262" s="1" t="s">
        <v>2031</v>
      </c>
    </row>
    <row r="263" customFormat="false" ht="15" hidden="false" customHeight="false" outlineLevel="0" collapsed="false">
      <c r="A263" s="1" t="s">
        <v>239</v>
      </c>
      <c r="B263" s="1" t="s">
        <v>2084</v>
      </c>
      <c r="C263" s="1" t="s">
        <v>2033</v>
      </c>
      <c r="D263" s="1" t="s">
        <v>2034</v>
      </c>
      <c r="E263" s="1" t="s">
        <v>2031</v>
      </c>
    </row>
    <row r="264" customFormat="false" ht="15" hidden="false" customHeight="false" outlineLevel="0" collapsed="false">
      <c r="A264" s="1" t="s">
        <v>474</v>
      </c>
      <c r="B264" s="1" t="s">
        <v>2085</v>
      </c>
      <c r="C264" s="1" t="s">
        <v>2037</v>
      </c>
      <c r="D264" s="1" t="s">
        <v>2038</v>
      </c>
      <c r="E264" s="1" t="s">
        <v>2091</v>
      </c>
    </row>
    <row r="265" customFormat="false" ht="15" hidden="false" customHeight="false" outlineLevel="0" collapsed="false">
      <c r="A265" s="1" t="s">
        <v>263</v>
      </c>
      <c r="B265" s="1" t="s">
        <v>2086</v>
      </c>
      <c r="C265" s="1" t="s">
        <v>2040</v>
      </c>
      <c r="D265" s="1" t="s">
        <v>2041</v>
      </c>
      <c r="E265" s="1" t="s">
        <v>2091</v>
      </c>
    </row>
    <row r="266" customFormat="false" ht="15" hidden="false" customHeight="false" outlineLevel="0" collapsed="false">
      <c r="A266" s="1" t="s">
        <v>378</v>
      </c>
      <c r="B266" s="1" t="s">
        <v>2087</v>
      </c>
      <c r="C266" s="1" t="s">
        <v>2043</v>
      </c>
      <c r="D266" s="1" t="s">
        <v>2044</v>
      </c>
      <c r="E266" s="1" t="s">
        <v>2091</v>
      </c>
    </row>
    <row r="267" customFormat="false" ht="15" hidden="false" customHeight="false" outlineLevel="0" collapsed="false">
      <c r="A267" s="1" t="s">
        <v>215</v>
      </c>
      <c r="B267" s="1" t="s">
        <v>2088</v>
      </c>
      <c r="C267" s="1" t="s">
        <v>2046</v>
      </c>
      <c r="D267" s="1" t="s">
        <v>2047</v>
      </c>
      <c r="E267" s="1" t="s">
        <v>2031</v>
      </c>
    </row>
    <row r="268" customFormat="false" ht="15" hidden="false" customHeight="false" outlineLevel="0" collapsed="false">
      <c r="A268" s="1" t="s">
        <v>661</v>
      </c>
      <c r="B268" s="1" t="s">
        <v>2089</v>
      </c>
      <c r="C268" s="1" t="s">
        <v>2049</v>
      </c>
      <c r="D268" s="1" t="s">
        <v>2034</v>
      </c>
      <c r="E268" s="1" t="s">
        <v>2031</v>
      </c>
    </row>
    <row r="269" customFormat="false" ht="15" hidden="false" customHeight="false" outlineLevel="0" collapsed="false">
      <c r="A269" s="1" t="s">
        <v>763</v>
      </c>
      <c r="B269" s="1" t="s">
        <v>2090</v>
      </c>
      <c r="C269" s="1" t="s">
        <v>2051</v>
      </c>
      <c r="D269" s="1" t="s">
        <v>2052</v>
      </c>
      <c r="E269" s="1" t="s">
        <v>2035</v>
      </c>
    </row>
    <row r="270" customFormat="false" ht="15" hidden="false" customHeight="false" outlineLevel="0" collapsed="false">
      <c r="A270" s="1" t="s">
        <v>848</v>
      </c>
      <c r="B270" s="1" t="s">
        <v>2092</v>
      </c>
      <c r="C270" s="1" t="s">
        <v>2054</v>
      </c>
      <c r="D270" s="1" t="s">
        <v>2055</v>
      </c>
      <c r="E270" s="1" t="s">
        <v>2035</v>
      </c>
    </row>
    <row r="271" customFormat="false" ht="15" hidden="false" customHeight="false" outlineLevel="0" collapsed="false">
      <c r="A271" s="1" t="s">
        <v>929</v>
      </c>
      <c r="B271" s="1" t="s">
        <v>2093</v>
      </c>
      <c r="C271" s="1" t="s">
        <v>2057</v>
      </c>
      <c r="D271" s="1" t="s">
        <v>2058</v>
      </c>
      <c r="E271" s="1" t="s">
        <v>2031</v>
      </c>
    </row>
    <row r="272" customFormat="false" ht="15" hidden="false" customHeight="false" outlineLevel="0" collapsed="false">
      <c r="A272" s="1" t="s">
        <v>124</v>
      </c>
      <c r="B272" s="1" t="s">
        <v>2094</v>
      </c>
      <c r="C272" s="1" t="s">
        <v>2060</v>
      </c>
      <c r="D272" s="1" t="s">
        <v>2061</v>
      </c>
      <c r="E272" s="1" t="s">
        <v>2035</v>
      </c>
    </row>
    <row r="273" customFormat="false" ht="15" hidden="false" customHeight="false" outlineLevel="0" collapsed="false">
      <c r="A273" s="1" t="s">
        <v>1144</v>
      </c>
      <c r="B273" s="1" t="s">
        <v>2095</v>
      </c>
      <c r="C273" s="1" t="s">
        <v>2063</v>
      </c>
      <c r="D273" s="1" t="s">
        <v>2058</v>
      </c>
      <c r="E273" s="1" t="s">
        <v>2035</v>
      </c>
    </row>
    <row r="274" customFormat="false" ht="15" hidden="false" customHeight="false" outlineLevel="0" collapsed="false">
      <c r="A274" s="1" t="s">
        <v>1291</v>
      </c>
      <c r="B274" s="1" t="s">
        <v>2096</v>
      </c>
      <c r="C274" s="1" t="s">
        <v>2065</v>
      </c>
      <c r="D274" s="1" t="s">
        <v>2066</v>
      </c>
      <c r="E274" s="1" t="s">
        <v>2031</v>
      </c>
    </row>
    <row r="275" customFormat="false" ht="15" hidden="false" customHeight="false" outlineLevel="0" collapsed="false">
      <c r="A275" s="1" t="s">
        <v>621</v>
      </c>
      <c r="B275" s="1" t="s">
        <v>2097</v>
      </c>
      <c r="C275" s="1" t="s">
        <v>2068</v>
      </c>
      <c r="D275" s="1" t="s">
        <v>2069</v>
      </c>
      <c r="E275" s="1" t="s">
        <v>2035</v>
      </c>
    </row>
    <row r="276" customFormat="false" ht="15" hidden="false" customHeight="false" outlineLevel="0" collapsed="false">
      <c r="A276" s="1" t="s">
        <v>966</v>
      </c>
      <c r="B276" s="1" t="s">
        <v>2098</v>
      </c>
      <c r="C276" s="1" t="s">
        <v>2071</v>
      </c>
      <c r="D276" s="1" t="s">
        <v>2069</v>
      </c>
      <c r="E276" s="1" t="s">
        <v>2091</v>
      </c>
    </row>
    <row r="277" customFormat="false" ht="15" hidden="false" customHeight="false" outlineLevel="0" collapsed="false">
      <c r="A277" s="1" t="s">
        <v>343</v>
      </c>
      <c r="B277" s="1" t="s">
        <v>2099</v>
      </c>
      <c r="C277" s="1" t="s">
        <v>2073</v>
      </c>
      <c r="D277" s="1" t="s">
        <v>2073</v>
      </c>
      <c r="E277" s="1" t="s">
        <v>2035</v>
      </c>
    </row>
    <row r="278" customFormat="false" ht="15" hidden="false" customHeight="false" outlineLevel="0" collapsed="false">
      <c r="A278" s="1" t="s">
        <v>1136</v>
      </c>
      <c r="B278" s="1" t="s">
        <v>2100</v>
      </c>
      <c r="C278" s="1" t="s">
        <v>2075</v>
      </c>
      <c r="D278" s="1" t="s">
        <v>2055</v>
      </c>
      <c r="E278" s="1" t="s">
        <v>2091</v>
      </c>
    </row>
    <row r="279" customFormat="false" ht="15" hidden="false" customHeight="false" outlineLevel="0" collapsed="false">
      <c r="A279" s="1" t="s">
        <v>300</v>
      </c>
      <c r="B279" s="1" t="s">
        <v>2101</v>
      </c>
      <c r="C279" s="1" t="s">
        <v>2077</v>
      </c>
      <c r="D279" s="1" t="s">
        <v>2034</v>
      </c>
      <c r="E279" s="1" t="s">
        <v>2031</v>
      </c>
    </row>
    <row r="280" customFormat="false" ht="15" hidden="false" customHeight="false" outlineLevel="0" collapsed="false">
      <c r="A280" s="1" t="s">
        <v>36</v>
      </c>
      <c r="B280" s="1" t="s">
        <v>2102</v>
      </c>
      <c r="C280" s="1" t="s">
        <v>2079</v>
      </c>
      <c r="D280" s="1" t="s">
        <v>2044</v>
      </c>
      <c r="E280" s="1" t="s">
        <v>2031</v>
      </c>
    </row>
    <row r="281" customFormat="false" ht="15" hidden="false" customHeight="false" outlineLevel="0" collapsed="false">
      <c r="A281" s="1" t="s">
        <v>136</v>
      </c>
      <c r="B281" s="1" t="s">
        <v>2103</v>
      </c>
      <c r="C281" s="1" t="s">
        <v>2081</v>
      </c>
      <c r="D281" s="1" t="s">
        <v>2082</v>
      </c>
      <c r="E281" s="1" t="s">
        <v>2035</v>
      </c>
    </row>
    <row r="282" customFormat="false" ht="15" hidden="false" customHeight="false" outlineLevel="0" collapsed="false">
      <c r="A282" s="1" t="s">
        <v>657</v>
      </c>
      <c r="B282" s="1" t="s">
        <v>2104</v>
      </c>
      <c r="C282" s="1" t="s">
        <v>2030</v>
      </c>
      <c r="D282" s="1" t="s">
        <v>2030</v>
      </c>
      <c r="E282" s="1" t="s">
        <v>2091</v>
      </c>
    </row>
    <row r="283" customFormat="false" ht="15" hidden="false" customHeight="false" outlineLevel="0" collapsed="false">
      <c r="A283" s="1" t="s">
        <v>546</v>
      </c>
      <c r="B283" s="1" t="s">
        <v>2105</v>
      </c>
      <c r="C283" s="1" t="s">
        <v>2033</v>
      </c>
      <c r="D283" s="1" t="s">
        <v>2034</v>
      </c>
      <c r="E283" s="1" t="s">
        <v>2031</v>
      </c>
    </row>
    <row r="284" customFormat="false" ht="15" hidden="false" customHeight="false" outlineLevel="0" collapsed="false">
      <c r="A284" s="1" t="s">
        <v>1321</v>
      </c>
      <c r="B284" s="1" t="s">
        <v>2106</v>
      </c>
      <c r="C284" s="1" t="s">
        <v>2037</v>
      </c>
      <c r="D284" s="1" t="s">
        <v>2038</v>
      </c>
      <c r="E284" s="1" t="s">
        <v>2031</v>
      </c>
    </row>
    <row r="285" customFormat="false" ht="15" hidden="false" customHeight="false" outlineLevel="0" collapsed="false">
      <c r="A285" s="1" t="s">
        <v>753</v>
      </c>
      <c r="B285" s="1" t="s">
        <v>2107</v>
      </c>
      <c r="C285" s="1" t="s">
        <v>2040</v>
      </c>
      <c r="D285" s="1" t="s">
        <v>2041</v>
      </c>
      <c r="E285" s="1" t="s">
        <v>2031</v>
      </c>
    </row>
    <row r="286" customFormat="false" ht="15" hidden="false" customHeight="false" outlineLevel="0" collapsed="false">
      <c r="A286" s="1" t="s">
        <v>345</v>
      </c>
      <c r="B286" s="1" t="s">
        <v>2108</v>
      </c>
      <c r="C286" s="1" t="s">
        <v>2043</v>
      </c>
      <c r="D286" s="1" t="s">
        <v>2044</v>
      </c>
      <c r="E286" s="1" t="s">
        <v>2035</v>
      </c>
    </row>
    <row r="287" customFormat="false" ht="15" hidden="false" customHeight="false" outlineLevel="0" collapsed="false">
      <c r="A287" s="1" t="s">
        <v>870</v>
      </c>
      <c r="B287" s="1" t="s">
        <v>2109</v>
      </c>
      <c r="C287" s="1" t="s">
        <v>2046</v>
      </c>
      <c r="D287" s="1" t="s">
        <v>2047</v>
      </c>
      <c r="E287" s="1" t="s">
        <v>2035</v>
      </c>
    </row>
    <row r="288" customFormat="false" ht="15" hidden="false" customHeight="false" outlineLevel="0" collapsed="false">
      <c r="A288" s="1" t="s">
        <v>1198</v>
      </c>
      <c r="B288" s="1" t="s">
        <v>2110</v>
      </c>
      <c r="C288" s="1" t="s">
        <v>2049</v>
      </c>
      <c r="D288" s="1" t="s">
        <v>2034</v>
      </c>
      <c r="E288" s="1" t="s">
        <v>2035</v>
      </c>
    </row>
    <row r="289" customFormat="false" ht="15" hidden="false" customHeight="false" outlineLevel="0" collapsed="false">
      <c r="A289" s="1" t="s">
        <v>572</v>
      </c>
      <c r="B289" s="1" t="s">
        <v>2111</v>
      </c>
      <c r="C289" s="1" t="s">
        <v>2051</v>
      </c>
      <c r="D289" s="1" t="s">
        <v>2052</v>
      </c>
      <c r="E289" s="1" t="s">
        <v>2035</v>
      </c>
    </row>
    <row r="290" customFormat="false" ht="15" hidden="false" customHeight="false" outlineLevel="0" collapsed="false">
      <c r="A290" s="1" t="s">
        <v>191</v>
      </c>
      <c r="B290" s="1" t="s">
        <v>2112</v>
      </c>
      <c r="C290" s="1" t="s">
        <v>2054</v>
      </c>
      <c r="D290" s="1" t="s">
        <v>2055</v>
      </c>
      <c r="E290" s="1" t="s">
        <v>2031</v>
      </c>
    </row>
    <row r="291" customFormat="false" ht="15" hidden="false" customHeight="false" outlineLevel="0" collapsed="false">
      <c r="A291" s="1" t="s">
        <v>647</v>
      </c>
      <c r="B291" s="1" t="s">
        <v>2113</v>
      </c>
      <c r="C291" s="1" t="s">
        <v>2057</v>
      </c>
      <c r="D291" s="1" t="s">
        <v>2058</v>
      </c>
      <c r="E291" s="1" t="s">
        <v>2031</v>
      </c>
    </row>
    <row r="292" customFormat="false" ht="15" hidden="false" customHeight="false" outlineLevel="0" collapsed="false">
      <c r="A292" s="1" t="s">
        <v>319</v>
      </c>
      <c r="B292" s="1" t="s">
        <v>2114</v>
      </c>
      <c r="C292" s="1" t="s">
        <v>2060</v>
      </c>
      <c r="D292" s="1" t="s">
        <v>2061</v>
      </c>
      <c r="E292" s="1" t="s">
        <v>2031</v>
      </c>
    </row>
    <row r="293" customFormat="false" ht="15" hidden="false" customHeight="false" outlineLevel="0" collapsed="false">
      <c r="A293" s="1" t="s">
        <v>1339</v>
      </c>
      <c r="B293" s="1" t="s">
        <v>2115</v>
      </c>
      <c r="C293" s="1" t="s">
        <v>2063</v>
      </c>
      <c r="D293" s="1" t="s">
        <v>2058</v>
      </c>
      <c r="E293" s="1" t="s">
        <v>2035</v>
      </c>
    </row>
    <row r="294" customFormat="false" ht="15" hidden="false" customHeight="false" outlineLevel="0" collapsed="false">
      <c r="A294" s="1" t="s">
        <v>415</v>
      </c>
      <c r="B294" s="1" t="s">
        <v>2116</v>
      </c>
      <c r="C294" s="1" t="s">
        <v>2065</v>
      </c>
      <c r="D294" s="1" t="s">
        <v>2066</v>
      </c>
      <c r="E294" s="1" t="s">
        <v>2091</v>
      </c>
    </row>
    <row r="295" customFormat="false" ht="15" hidden="false" customHeight="false" outlineLevel="0" collapsed="false">
      <c r="A295" s="1" t="s">
        <v>57</v>
      </c>
      <c r="B295" s="1" t="s">
        <v>2117</v>
      </c>
      <c r="C295" s="1" t="s">
        <v>2068</v>
      </c>
      <c r="D295" s="1" t="s">
        <v>2069</v>
      </c>
      <c r="E295" s="1" t="s">
        <v>2031</v>
      </c>
    </row>
    <row r="296" customFormat="false" ht="15" hidden="false" customHeight="false" outlineLevel="0" collapsed="false">
      <c r="A296" s="1" t="s">
        <v>340</v>
      </c>
      <c r="B296" s="1" t="s">
        <v>2118</v>
      </c>
      <c r="C296" s="1" t="s">
        <v>2071</v>
      </c>
      <c r="D296" s="1" t="s">
        <v>2069</v>
      </c>
      <c r="E296" s="1" t="s">
        <v>2031</v>
      </c>
    </row>
    <row r="297" customFormat="false" ht="15" hidden="false" customHeight="false" outlineLevel="0" collapsed="false">
      <c r="A297" s="1" t="s">
        <v>417</v>
      </c>
      <c r="B297" s="1" t="s">
        <v>2119</v>
      </c>
      <c r="C297" s="1" t="s">
        <v>2073</v>
      </c>
      <c r="D297" s="1" t="s">
        <v>2073</v>
      </c>
      <c r="E297" s="1" t="s">
        <v>2035</v>
      </c>
    </row>
    <row r="298" customFormat="false" ht="15" hidden="false" customHeight="false" outlineLevel="0" collapsed="false">
      <c r="A298" s="1" t="s">
        <v>882</v>
      </c>
      <c r="B298" s="1" t="s">
        <v>2120</v>
      </c>
      <c r="C298" s="1" t="s">
        <v>2075</v>
      </c>
      <c r="D298" s="1" t="s">
        <v>2055</v>
      </c>
      <c r="E298" s="1" t="s">
        <v>2035</v>
      </c>
    </row>
    <row r="299" customFormat="false" ht="15" hidden="false" customHeight="false" outlineLevel="0" collapsed="false">
      <c r="A299" s="1" t="s">
        <v>425</v>
      </c>
      <c r="B299" s="1" t="s">
        <v>2121</v>
      </c>
      <c r="C299" s="1" t="s">
        <v>2077</v>
      </c>
      <c r="D299" s="1" t="s">
        <v>2034</v>
      </c>
      <c r="E299" s="1" t="s">
        <v>2031</v>
      </c>
    </row>
    <row r="300" customFormat="false" ht="15" hidden="false" customHeight="false" outlineLevel="0" collapsed="false">
      <c r="A300" s="1" t="s">
        <v>199</v>
      </c>
      <c r="B300" s="1" t="s">
        <v>2122</v>
      </c>
      <c r="C300" s="1" t="s">
        <v>2079</v>
      </c>
      <c r="D300" s="1" t="s">
        <v>2044</v>
      </c>
      <c r="E300" s="1" t="s">
        <v>2031</v>
      </c>
    </row>
    <row r="301" customFormat="false" ht="15" hidden="false" customHeight="false" outlineLevel="0" collapsed="false">
      <c r="A301" s="1" t="s">
        <v>788</v>
      </c>
      <c r="B301" s="1" t="s">
        <v>2123</v>
      </c>
      <c r="C301" s="1" t="s">
        <v>2081</v>
      </c>
      <c r="D301" s="1" t="s">
        <v>2082</v>
      </c>
      <c r="E301" s="1" t="s">
        <v>2031</v>
      </c>
    </row>
  </sheetData>
  <autoFilter ref="A1:E3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1.36"/>
    <col collapsed="false" customWidth="true" hidden="false" outlineLevel="0" max="2" min="2" style="1" width="14.65"/>
    <col collapsed="false" customWidth="true" hidden="false" outlineLevel="0" max="3" min="3" style="1" width="26.33"/>
    <col collapsed="false" customWidth="true" hidden="false" outlineLevel="0" max="4" min="4" style="1" width="6.85"/>
  </cols>
  <sheetData>
    <row r="1" customFormat="false" ht="19.7" hidden="false" customHeight="false" outlineLevel="0" collapsed="false">
      <c r="A1" s="17" t="s">
        <v>2186</v>
      </c>
    </row>
    <row r="3" customFormat="false" ht="15" hidden="false" customHeight="false" outlineLevel="0" collapsed="false">
      <c r="A3" s="18" t="s">
        <v>2187</v>
      </c>
      <c r="B3" s="18" t="s">
        <v>2188</v>
      </c>
      <c r="C3" s="18" t="s">
        <v>2189</v>
      </c>
      <c r="D3" s="18" t="s">
        <v>2190</v>
      </c>
    </row>
    <row r="4" customFormat="false" ht="15" hidden="false" customHeight="false" outlineLevel="0" collapsed="false">
      <c r="A4" s="1" t="s">
        <v>2191</v>
      </c>
      <c r="B4" s="1" t="n">
        <v>1500</v>
      </c>
      <c r="C4" s="6" t="n">
        <f aca="false">COUNTA(Orders!A2:A1501)</f>
        <v>1500</v>
      </c>
      <c r="D4" s="6" t="str">
        <f aca="false">IF(C4=B4,"PASS","FAIL")</f>
        <v>PASS</v>
      </c>
    </row>
    <row r="5" customFormat="false" ht="15" hidden="false" customHeight="false" outlineLevel="0" collapsed="false">
      <c r="A5" s="1" t="s">
        <v>2192</v>
      </c>
      <c r="B5" s="1" t="n">
        <v>100</v>
      </c>
      <c r="C5" s="6" t="n">
        <f aca="false">COUNTA(Products!A2:A101)</f>
        <v>100</v>
      </c>
      <c r="D5" s="6" t="str">
        <f aca="false">IF(C5=B5,"PASS","FAIL")</f>
        <v>PASS</v>
      </c>
    </row>
    <row r="6" customFormat="false" ht="15" hidden="false" customHeight="false" outlineLevel="0" collapsed="false">
      <c r="A6" s="1" t="s">
        <v>2193</v>
      </c>
      <c r="B6" s="1" t="n">
        <v>300</v>
      </c>
      <c r="C6" s="6" t="n">
        <f aca="false">COUNTA(Customers!A2:A301)</f>
        <v>300</v>
      </c>
      <c r="D6" s="6" t="str">
        <f aca="false">IF(C6=B6,"PASS","FAIL")</f>
        <v>PASS</v>
      </c>
    </row>
    <row r="7" customFormat="false" ht="15" hidden="false" customHeight="false" outlineLevel="0" collapsed="false">
      <c r="A7" s="1" t="s">
        <v>2194</v>
      </c>
      <c r="B7" s="1" t="n">
        <v>10</v>
      </c>
      <c r="C7" s="6" t="n">
        <f aca="false">COUNTA(Orders!A1:J1)</f>
        <v>10</v>
      </c>
      <c r="D7" s="6" t="str">
        <f aca="false">IF(C7=B7,"PASS","FAIL")</f>
        <v>PASS</v>
      </c>
    </row>
    <row r="8" customFormat="false" ht="15" hidden="false" customHeight="false" outlineLevel="0" collapsed="false">
      <c r="A8" s="1" t="s">
        <v>2195</v>
      </c>
      <c r="B8" s="1" t="n">
        <v>5</v>
      </c>
      <c r="C8" s="6" t="n">
        <f aca="false">COUNTA(Products!A1:E1)</f>
        <v>5</v>
      </c>
      <c r="D8" s="6" t="str">
        <f aca="false">IF(C8=B8,"PASS","FAIL")</f>
        <v>PASS</v>
      </c>
    </row>
    <row r="9" customFormat="false" ht="15" hidden="false" customHeight="false" outlineLevel="0" collapsed="false">
      <c r="A9" s="1" t="s">
        <v>2196</v>
      </c>
      <c r="B9" s="1" t="n">
        <v>5</v>
      </c>
      <c r="C9" s="6" t="n">
        <f aca="false">COUNTA(Customers!A1:E1)</f>
        <v>5</v>
      </c>
      <c r="D9" s="6" t="str">
        <f aca="false">IF(C9=B9,"PASS","FAIL")</f>
        <v>PASS</v>
      </c>
    </row>
    <row r="10" customFormat="false" ht="15" hidden="false" customHeight="false" outlineLevel="0" collapsed="false">
      <c r="A10" s="1" t="s">
        <v>2197</v>
      </c>
      <c r="B10" s="1" t="n">
        <v>0</v>
      </c>
      <c r="C10" s="6" t="n">
        <f aca="false">COUNTIF(Orders!K2:K1501,"Duplicate")</f>
        <v>0</v>
      </c>
      <c r="D10" s="6" t="str">
        <f aca="false">IF(C10=B10,"PASS","FAIL")</f>
        <v>PASS</v>
      </c>
    </row>
    <row r="11" customFormat="false" ht="15" hidden="false" customHeight="false" outlineLevel="0" collapsed="false">
      <c r="A11" s="1" t="s">
        <v>2198</v>
      </c>
      <c r="B11" s="1" t="n">
        <v>0</v>
      </c>
      <c r="C11" s="6" t="n">
        <f aca="false">COUNTIF(Products!F2:F101,"Duplicate")</f>
        <v>0</v>
      </c>
      <c r="D11" s="6" t="str">
        <f aca="false">IF(C11=B11,"PASS","FAIL")</f>
        <v>PASS</v>
      </c>
    </row>
    <row r="12" customFormat="false" ht="15" hidden="false" customHeight="false" outlineLevel="0" collapsed="false">
      <c r="A12" s="1" t="s">
        <v>2199</v>
      </c>
      <c r="B12" s="1" t="n">
        <v>0</v>
      </c>
      <c r="C12" s="6" t="n">
        <f aca="false">COUNTIF(Customers!F2:F301,"Duplicate")</f>
        <v>0</v>
      </c>
      <c r="D12" s="6" t="str">
        <f aca="false">IF(C12=B12,"PASS","FAIL")</f>
        <v>PASS</v>
      </c>
    </row>
    <row r="13" customFormat="false" ht="15" hidden="false" customHeight="false" outlineLevel="0" collapsed="false">
      <c r="A13" s="1" t="s">
        <v>2200</v>
      </c>
      <c r="B13" s="1" t="n">
        <v>0</v>
      </c>
      <c r="C13" s="6" t="n">
        <f aca="false">COUNTBLANK(Orders!A2:A1501)</f>
        <v>0</v>
      </c>
      <c r="D13" s="6" t="str">
        <f aca="false">IF(C13=B13,"PASS","FAIL")</f>
        <v>PASS</v>
      </c>
    </row>
    <row r="14" customFormat="false" ht="15" hidden="false" customHeight="false" outlineLevel="0" collapsed="false">
      <c r="A14" s="1" t="s">
        <v>2201</v>
      </c>
      <c r="B14" s="1" t="n">
        <v>0</v>
      </c>
      <c r="C14" s="6" t="n">
        <f aca="false">COUNTBLANK(Products!A2:A101)</f>
        <v>0</v>
      </c>
      <c r="D14" s="6" t="str">
        <f aca="false">IF(C14=B14,"PASS","FAIL")</f>
        <v>PASS</v>
      </c>
    </row>
    <row r="15" customFormat="false" ht="15" hidden="false" customHeight="false" outlineLevel="0" collapsed="false">
      <c r="A15" s="1" t="s">
        <v>2202</v>
      </c>
      <c r="B15" s="1" t="n">
        <v>0</v>
      </c>
      <c r="C15" s="6" t="n">
        <f aca="false">COUNTBLANK(Customers!A2:A301)</f>
        <v>0</v>
      </c>
      <c r="D15" s="6" t="str">
        <f aca="false">IF(C15=B15,"PASS","FAIL")</f>
        <v>PASS</v>
      </c>
    </row>
    <row r="16" customFormat="false" ht="15" hidden="false" customHeight="false" outlineLevel="0" collapsed="false">
      <c r="A16" s="6" t="s">
        <v>2203</v>
      </c>
      <c r="B16" s="1" t="n">
        <v>0</v>
      </c>
      <c r="C16" s="6" t="n">
        <f aca="false">SUMPRODUCT(COUNTIF(Customers!A2:A301,Orders!C2:C1501)=0)</f>
        <v>0</v>
      </c>
      <c r="D16" s="6" t="str">
        <f aca="false">IF(C16=B16,"PASS","FAIL")</f>
        <v>PASS</v>
      </c>
    </row>
    <row r="17" customFormat="false" ht="15" hidden="false" customHeight="false" outlineLevel="0" collapsed="false">
      <c r="A17" s="6" t="s">
        <v>2204</v>
      </c>
      <c r="B17" s="1" t="n">
        <v>0</v>
      </c>
      <c r="C17" s="6" t="n">
        <f aca="false">SUMPRODUCT(COUNTIF(Products!A2:A101,Orders!D2:D1501)=0)</f>
        <v>0</v>
      </c>
      <c r="D17" s="1" t="str">
        <f aca="false">IF(C17=B17,"PASS","FAIL")</f>
        <v>PASS</v>
      </c>
    </row>
    <row r="18" customFormat="false" ht="15" hidden="false" customHeight="false" outlineLevel="0" collapsed="false">
      <c r="A18" s="6" t="s">
        <v>2205</v>
      </c>
      <c r="B18" s="1" t="n">
        <v>0</v>
      </c>
      <c r="C18" s="6" t="n">
        <f aca="false">COUNTIF(Orders!B2:B1501,"&lt;"&amp;DATE(2025,1,1))+COUNTIF(Orders!B2:B1501,"&gt;"&amp;DATE(2025,12,31))+COUNTBLANK(Orders!B2:B1501)</f>
        <v>0</v>
      </c>
      <c r="D18" s="6" t="str">
        <f aca="false">IF(C18=B18,"PASS","FAIL")</f>
        <v>PASS</v>
      </c>
    </row>
    <row r="19" customFormat="false" ht="15" hidden="false" customHeight="false" outlineLevel="0" collapsed="false">
      <c r="A19" s="6" t="s">
        <v>2206</v>
      </c>
      <c r="B19" s="1" t="n">
        <v>0</v>
      </c>
      <c r="C19" s="6" t="n">
        <f aca="false">COUNTIF(Orders!E2:E1501,"&lt;1")+COUNTIF(Orders!E2:E1501,"&gt;5")+COUNTBLANK(Orders!E2:E1501)</f>
        <v>0</v>
      </c>
      <c r="D19" s="6" t="str">
        <f aca="false">IF(C19=B19,"PASS","FAIL")</f>
        <v>PASS</v>
      </c>
    </row>
    <row r="20" customFormat="false" ht="15" hidden="false" customHeight="false" outlineLevel="0" collapsed="false">
      <c r="A20" s="6" t="s">
        <v>2207</v>
      </c>
      <c r="B20" s="1" t="n">
        <v>0</v>
      </c>
      <c r="C20" s="6" t="n">
        <f aca="false">COUNTIF(Orders!F2:F1501,"&lt;0")+COUNTIF(Orders!F2:F1501,"&gt;0.25")+COUNTBLANK(Orders!F2:F1501)</f>
        <v>0</v>
      </c>
      <c r="D20" s="6" t="str">
        <f aca="false">IF(C20=B20,"PASS","FAIL")</f>
        <v>PASS</v>
      </c>
    </row>
    <row r="21" customFormat="false" ht="15" hidden="false" customHeight="false" outlineLevel="0" collapsed="false">
      <c r="A21" s="6" t="s">
        <v>2208</v>
      </c>
      <c r="B21" s="1" t="n">
        <v>0</v>
      </c>
      <c r="C21" s="6" t="n">
        <f aca="false">COUNTIF(Products!D2:D101,"&lt;=0")+COUNTBLANK(Products!D2:D101)</f>
        <v>0</v>
      </c>
      <c r="D21" s="6" t="str">
        <f aca="false">IF(C21=B21,"PASS","FAIL")</f>
        <v>PASS</v>
      </c>
    </row>
    <row r="22" customFormat="false" ht="15" hidden="false" customHeight="false" outlineLevel="0" collapsed="false">
      <c r="A22" s="6" t="s">
        <v>2209</v>
      </c>
      <c r="B22" s="1" t="n">
        <v>0</v>
      </c>
      <c r="C22" s="6" t="n">
        <f aca="false">COUNTIF(Products!E2:E101,"&lt;=0")+COUNTBLANK(Products!E2:E101)</f>
        <v>0</v>
      </c>
      <c r="D22" s="6" t="str">
        <f aca="false">IF(C22=B22,"PASS","FAIL")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.36"/>
    <col collapsed="false" customWidth="true" hidden="false" outlineLevel="0" max="2" min="2" style="1" width="12.94"/>
    <col collapsed="false" customWidth="true" hidden="false" outlineLevel="0" max="3" min="3" style="1" width="12.7"/>
    <col collapsed="false" customWidth="true" hidden="false" outlineLevel="0" max="4" min="4" style="1" width="11.03"/>
    <col collapsed="false" customWidth="true" hidden="false" outlineLevel="0" max="5" min="5" style="1" width="14.37"/>
    <col collapsed="false" customWidth="true" hidden="false" outlineLevel="0" max="6" min="6" style="1" width="17.57"/>
    <col collapsed="false" customWidth="true" hidden="false" outlineLevel="0" max="7" min="7" style="1" width="9.08"/>
    <col collapsed="false" customWidth="true" hidden="false" outlineLevel="0" max="8" min="8" style="1" width="12.7"/>
    <col collapsed="false" customWidth="true" hidden="false" outlineLevel="0" max="9" min="9" style="1" width="10.06"/>
    <col collapsed="false" customWidth="true" hidden="false" outlineLevel="0" max="10" min="10" style="1" width="13.95"/>
    <col collapsed="false" customWidth="true" hidden="false" outlineLevel="0" max="11" min="11" style="1" width="11.85"/>
    <col collapsed="false" customWidth="true" hidden="false" outlineLevel="0" max="12" min="12" style="1" width="17.01"/>
    <col collapsed="false" customWidth="true" hidden="false" outlineLevel="0" max="13" min="13" style="1" width="13.4"/>
    <col collapsed="false" customWidth="true" hidden="false" outlineLevel="0" max="14" min="14" style="1" width="10.61"/>
    <col collapsed="false" customWidth="true" hidden="false" outlineLevel="0" max="15" min="15" style="1" width="8.8"/>
    <col collapsed="false" customWidth="true" hidden="false" outlineLevel="0" max="16" min="16" style="1" width="13.4"/>
    <col collapsed="false" customWidth="true" hidden="false" outlineLevel="0" max="17" min="17" style="1" width="12.84"/>
    <col collapsed="false" customWidth="true" hidden="false" outlineLevel="0" max="18" min="18" style="1" width="14.65"/>
    <col collapsed="false" customWidth="true" hidden="false" outlineLevel="0" max="19" min="19" style="1" width="18.54"/>
    <col collapsed="false" customWidth="true" hidden="false" outlineLevel="0" max="20" min="20" style="1" width="14.09"/>
    <col collapsed="false" customWidth="true" hidden="false" outlineLevel="0" max="21" min="21" style="1" width="11.17"/>
    <col collapsed="false" customWidth="true" hidden="false" outlineLevel="0" max="22" min="22" style="1" width="14.37"/>
    <col collapsed="false" customWidth="true" hidden="false" outlineLevel="0" max="23" min="23" style="1" width="12.01"/>
    <col collapsed="false" customWidth="true" hidden="false" outlineLevel="0" max="24" min="24" style="1" width="16.89"/>
    <col collapsed="false" customWidth="true" hidden="false" outlineLevel="0" max="25" min="25" style="1" width="9.92"/>
    <col collapsed="false" customWidth="true" hidden="false" outlineLevel="0" max="27" min="27" style="1" width="29.53"/>
  </cols>
  <sheetData>
    <row r="1" customFormat="false" ht="15" hidden="false" customHeight="false" outlineLevel="0" collapsed="false">
      <c r="A1" s="18" t="s">
        <v>2210</v>
      </c>
      <c r="B1" s="18" t="s">
        <v>2211</v>
      </c>
      <c r="C1" s="18" t="s">
        <v>2</v>
      </c>
      <c r="D1" s="18" t="s">
        <v>3</v>
      </c>
      <c r="E1" s="18" t="s">
        <v>1923</v>
      </c>
      <c r="F1" s="18" t="s">
        <v>59</v>
      </c>
      <c r="G1" s="18" t="s">
        <v>4</v>
      </c>
      <c r="H1" s="18" t="s">
        <v>2212</v>
      </c>
      <c r="I1" s="18" t="s">
        <v>2213</v>
      </c>
      <c r="J1" s="18" t="s">
        <v>5</v>
      </c>
      <c r="K1" s="18" t="s">
        <v>2214</v>
      </c>
      <c r="L1" s="18" t="s">
        <v>2215</v>
      </c>
      <c r="M1" s="18" t="s">
        <v>2216</v>
      </c>
      <c r="N1" s="18" t="s">
        <v>2217</v>
      </c>
      <c r="O1" s="18" t="s">
        <v>2218</v>
      </c>
      <c r="P1" s="18" t="s">
        <v>2219</v>
      </c>
      <c r="Q1" s="18" t="s">
        <v>7</v>
      </c>
      <c r="R1" s="18" t="s">
        <v>2220</v>
      </c>
      <c r="S1" s="18" t="s">
        <v>2028</v>
      </c>
      <c r="T1" s="18" t="s">
        <v>8</v>
      </c>
      <c r="U1" s="18" t="s">
        <v>2221</v>
      </c>
      <c r="V1" s="18" t="s">
        <v>2222</v>
      </c>
      <c r="W1" s="18" t="s">
        <v>2223</v>
      </c>
      <c r="X1" s="18" t="s">
        <v>2224</v>
      </c>
      <c r="Y1" s="18" t="s">
        <v>2225</v>
      </c>
      <c r="AA1" s="18" t="s">
        <v>2226</v>
      </c>
      <c r="AB1" s="18" t="s">
        <v>2227</v>
      </c>
    </row>
    <row r="2" customFormat="false" ht="15" hidden="false" customHeight="false" outlineLevel="0" collapsed="false">
      <c r="A2" s="6" t="str">
        <f aca="false">Orders!A2</f>
        <v>O000001</v>
      </c>
      <c r="B2" s="19" t="n">
        <f aca="false">Orders!B2</f>
        <v>45949</v>
      </c>
      <c r="C2" s="6" t="str">
        <f aca="false">Orders!C2</f>
        <v>C0210</v>
      </c>
      <c r="D2" s="6" t="str">
        <f aca="false">Orders!D2</f>
        <v>P1097</v>
      </c>
      <c r="E2" s="6" t="str">
        <f aca="false">INDEX(Products!$B$2:$B$101,MATCH(D2,Products!$A$2:$A$101,0))</f>
        <v>Vacuum Cleaner</v>
      </c>
      <c r="F2" s="1" t="str">
        <f aca="false">INDEX(Products!$C$2:$C$101,MATCH(D2,Products!$A$2:$A$101,0))</f>
        <v>Appliances</v>
      </c>
      <c r="G2" s="6" t="n">
        <f aca="false">Orders!E2</f>
        <v>1</v>
      </c>
      <c r="H2" s="16" t="n">
        <f aca="false">INDEX(Products!$D$2:$D$101,MATCH(D2,Products!$A$2:$A$101,0))</f>
        <v>3499</v>
      </c>
      <c r="I2" s="16" t="n">
        <f aca="false">INDEX(Products!$E$2:$E$101,MATCH(D2,Products!$A$2:$A$101,0))</f>
        <v>2400</v>
      </c>
      <c r="J2" s="20" t="n">
        <f aca="false">Orders!F2</f>
        <v>0.15</v>
      </c>
      <c r="K2" s="6" t="n">
        <f aca="false">G2*H2</f>
        <v>3499</v>
      </c>
      <c r="L2" s="6" t="n">
        <f aca="false">K2*J2</f>
        <v>524.85</v>
      </c>
      <c r="M2" s="6" t="n">
        <f aca="false">K2-L2</f>
        <v>2974.15</v>
      </c>
      <c r="N2" s="6" t="n">
        <f aca="false">G2*I2</f>
        <v>2400</v>
      </c>
      <c r="O2" s="6" t="n">
        <f aca="false">M2-N2</f>
        <v>574.15</v>
      </c>
      <c r="P2" s="21" t="n">
        <f aca="false">IFERROR(O2/M2,0)</f>
        <v>0.193046752853757</v>
      </c>
      <c r="Q2" s="6" t="str">
        <f aca="false">Orders!H2</f>
        <v>Delivered</v>
      </c>
      <c r="R2" s="1" t="str">
        <f aca="false">INDEX(Customers!$C$2:$C$301,MATCH(C2,Customers!$A$2:$A$301,0))</f>
        <v>Lucknow</v>
      </c>
      <c r="S2" s="1" t="str">
        <f aca="false">INDEX(Customers!$E$2:$E$301,MATCH(C2,Customers!$A$2:$A$301,0))</f>
        <v>Returning</v>
      </c>
      <c r="T2" s="6" t="str">
        <f aca="false">Orders!I2</f>
        <v>Mobile App</v>
      </c>
      <c r="U2" s="1" t="str">
        <f aca="false">IF(Q2="Delivered","Completed",IF(Q2="Cancelled","Cancelled",IF(Q2="Returned","Returned","In Progress")))</f>
        <v>Completed</v>
      </c>
      <c r="V2" s="1" t="str">
        <f aca="false">IF(M2&gt;=10000,"High Value",IF(M2&gt;=5000,"Medium Value","Low Value"))</f>
        <v>Low Value</v>
      </c>
      <c r="W2" s="1" t="str">
        <f aca="false">IF(O2&gt;0,"Profitable",IF(O2=0,"Break-even","Loss"))</f>
        <v>Profitable</v>
      </c>
      <c r="X2" s="1" t="str">
        <f aca="false">IF(Q2="Cancelled","Not Applicable",IF(Q2="Processing","Pending",IF(B2="","Unknown",IF(Orders!J2="","Unknown",IF(Orders!J2&lt;=3,"Fast",IF(Orders!J2&lt;=6,"Standard","Slow"))))))</f>
        <v>Standard</v>
      </c>
      <c r="Y2" s="1" t="n">
        <f aca="false">IF(OR(Q2="Cancelled",Q2="Returned"),0,O2)</f>
        <v>574.15</v>
      </c>
      <c r="AA2" s="1" t="s">
        <v>2228</v>
      </c>
      <c r="AB2" s="6" t="n">
        <f aca="false">COUNTA(A2:A1501)</f>
        <v>1500</v>
      </c>
    </row>
    <row r="3" customFormat="false" ht="15" hidden="false" customHeight="false" outlineLevel="0" collapsed="false">
      <c r="A3" s="6" t="str">
        <f aca="false">Orders!A3</f>
        <v>O000002</v>
      </c>
      <c r="B3" s="19" t="n">
        <f aca="false">Orders!B3</f>
        <v>45990</v>
      </c>
      <c r="C3" s="6" t="str">
        <f aca="false">Orders!C3</f>
        <v>C0028</v>
      </c>
      <c r="D3" s="6" t="str">
        <f aca="false">Orders!D3</f>
        <v>P1078</v>
      </c>
      <c r="E3" s="6" t="str">
        <f aca="false">INDEX(Products!$B$2:$B$101,MATCH(D3,Products!$A$2:$A$101,0))</f>
        <v>Sketchbook</v>
      </c>
      <c r="F3" s="1" t="str">
        <f aca="false">INDEX(Products!$C$2:$C$101,MATCH(D3,Products!$A$2:$A$101,0))</f>
        <v>Books &amp; Stationery</v>
      </c>
      <c r="G3" s="6" t="n">
        <f aca="false">Orders!E3</f>
        <v>4</v>
      </c>
      <c r="H3" s="16" t="n">
        <f aca="false">INDEX(Products!$D$2:$D$101,MATCH(D3,Products!$A$2:$A$101,0))</f>
        <v>249</v>
      </c>
      <c r="I3" s="16" t="n">
        <f aca="false">INDEX(Products!$E$2:$E$101,MATCH(D3,Products!$A$2:$A$101,0))</f>
        <v>90</v>
      </c>
      <c r="J3" s="20" t="n">
        <f aca="false">Orders!F3</f>
        <v>0.2</v>
      </c>
      <c r="K3" s="6" t="n">
        <f aca="false">G3*H3</f>
        <v>996</v>
      </c>
      <c r="L3" s="6" t="n">
        <f aca="false">K3*J3</f>
        <v>199.2</v>
      </c>
      <c r="M3" s="6" t="n">
        <f aca="false">K3-L3</f>
        <v>796.8</v>
      </c>
      <c r="N3" s="6" t="n">
        <f aca="false">G3*I3</f>
        <v>360</v>
      </c>
      <c r="O3" s="6" t="n">
        <f aca="false">M3-N3</f>
        <v>436.8</v>
      </c>
      <c r="P3" s="21" t="n">
        <f aca="false">IFERROR(O3/M3,0)</f>
        <v>0.548192771084337</v>
      </c>
      <c r="Q3" s="6" t="str">
        <f aca="false">Orders!H3</f>
        <v>Delivered</v>
      </c>
      <c r="R3" s="1" t="str">
        <f aca="false">INDEX(Customers!$C$2:$C$301,MATCH(C3,Customers!$A$2:$A$301,0))</f>
        <v>Jaipur</v>
      </c>
      <c r="S3" s="1" t="str">
        <f aca="false">INDEX(Customers!$E$2:$E$301,MATCH(C3,Customers!$A$2:$A$301,0))</f>
        <v>VIP</v>
      </c>
      <c r="T3" s="6" t="str">
        <f aca="false">Orders!I3</f>
        <v>Marketplace</v>
      </c>
      <c r="U3" s="1" t="str">
        <f aca="false">IF(Q3="Delivered","Completed",IF(Q3="Cancelled","Cancelled",IF(Q3="Returned","Returned","In Progress")))</f>
        <v>Completed</v>
      </c>
      <c r="V3" s="1" t="str">
        <f aca="false">IF(M3&gt;=10000,"High Value",IF(M3&gt;=5000,"Medium Value","Low Value"))</f>
        <v>Low Value</v>
      </c>
      <c r="W3" s="1" t="str">
        <f aca="false">IF(O3&gt;0,"Profitable",IF(O3=0,"Break-even","Loss"))</f>
        <v>Profitable</v>
      </c>
      <c r="X3" s="1" t="str">
        <f aca="false">IF(Q3="Cancelled","Not Applicable",IF(Q3="Processing","Pending",IF(B3="","Unknown",IF(Orders!J3="","Unknown",IF(Orders!J3&lt;=3,"Fast",IF(Orders!J3&lt;=6,"Standard","Slow"))))))</f>
        <v>Fast</v>
      </c>
      <c r="Y3" s="1" t="n">
        <f aca="false">IF(OR(Q3="Cancelled",Q3="Returned"),0,O3)</f>
        <v>436.8</v>
      </c>
      <c r="AA3" s="1" t="s">
        <v>2229</v>
      </c>
      <c r="AB3" s="6" t="n">
        <f aca="false">COUNTIFS(Q2:Q1501,"Delivered")</f>
        <v>1078</v>
      </c>
    </row>
    <row r="4" customFormat="false" ht="15" hidden="false" customHeight="false" outlineLevel="0" collapsed="false">
      <c r="A4" s="6" t="str">
        <f aca="false">Orders!A4</f>
        <v>O000003</v>
      </c>
      <c r="B4" s="19" t="n">
        <f aca="false">Orders!B4</f>
        <v>45811</v>
      </c>
      <c r="C4" s="6" t="str">
        <f aca="false">Orders!C4</f>
        <v>C0097</v>
      </c>
      <c r="D4" s="6" t="str">
        <f aca="false">Orders!D4</f>
        <v>P1083</v>
      </c>
      <c r="E4" s="6" t="str">
        <f aca="false">INDEX(Products!$B$2:$B$101,MATCH(D4,Products!$A$2:$A$101,0))</f>
        <v>Reading Light</v>
      </c>
      <c r="F4" s="1" t="str">
        <f aca="false">INDEX(Products!$C$2:$C$101,MATCH(D4,Products!$A$2:$A$101,0))</f>
        <v>Books &amp; Stationery</v>
      </c>
      <c r="G4" s="6" t="n">
        <f aca="false">Orders!E4</f>
        <v>2</v>
      </c>
      <c r="H4" s="16" t="n">
        <f aca="false">INDEX(Products!$D$2:$D$101,MATCH(D4,Products!$A$2:$A$101,0))</f>
        <v>399</v>
      </c>
      <c r="I4" s="16" t="n">
        <f aca="false">INDEX(Products!$E$2:$E$101,MATCH(D4,Products!$A$2:$A$101,0))</f>
        <v>180</v>
      </c>
      <c r="J4" s="20" t="n">
        <f aca="false">Orders!F4</f>
        <v>0.15</v>
      </c>
      <c r="K4" s="6" t="n">
        <f aca="false">G4*H4</f>
        <v>798</v>
      </c>
      <c r="L4" s="6" t="n">
        <f aca="false">K4*J4</f>
        <v>119.7</v>
      </c>
      <c r="M4" s="6" t="n">
        <f aca="false">K4-L4</f>
        <v>678.3</v>
      </c>
      <c r="N4" s="6" t="n">
        <f aca="false">G4*I4</f>
        <v>360</v>
      </c>
      <c r="O4" s="6" t="n">
        <f aca="false">M4-N4</f>
        <v>318.3</v>
      </c>
      <c r="P4" s="21" t="n">
        <f aca="false">IFERROR(O4/M4,0)</f>
        <v>0.469261388766033</v>
      </c>
      <c r="Q4" s="6" t="str">
        <f aca="false">Orders!H4</f>
        <v>Delivered</v>
      </c>
      <c r="R4" s="1" t="str">
        <f aca="false">INDEX(Customers!$C$2:$C$301,MATCH(C4,Customers!$A$2:$A$301,0))</f>
        <v>Surat</v>
      </c>
      <c r="S4" s="1" t="str">
        <f aca="false">INDEX(Customers!$E$2:$E$301,MATCH(C4,Customers!$A$2:$A$301,0))</f>
        <v>Returning</v>
      </c>
      <c r="T4" s="6" t="str">
        <f aca="false">Orders!I4</f>
        <v>Mobile App</v>
      </c>
      <c r="U4" s="1" t="str">
        <f aca="false">IF(Q4="Delivered","Completed",IF(Q4="Cancelled","Cancelled",IF(Q4="Returned","Returned","In Progress")))</f>
        <v>Completed</v>
      </c>
      <c r="V4" s="1" t="str">
        <f aca="false">IF(M4&gt;=10000,"High Value",IF(M4&gt;=5000,"Medium Value","Low Value"))</f>
        <v>Low Value</v>
      </c>
      <c r="W4" s="1" t="str">
        <f aca="false">IF(O4&gt;0,"Profitable",IF(O4=0,"Break-even","Loss"))</f>
        <v>Profitable</v>
      </c>
      <c r="X4" s="1" t="str">
        <f aca="false">IF(Q4="Cancelled","Not Applicable",IF(Q4="Processing","Pending",IF(B4="","Unknown",IF(Orders!J4="","Unknown",IF(Orders!J4&lt;=3,"Fast",IF(Orders!J4&lt;=6,"Standard","Slow"))))))</f>
        <v>Slow</v>
      </c>
      <c r="Y4" s="1" t="n">
        <f aca="false">IF(OR(Q4="Cancelled",Q4="Returned"),0,O4)</f>
        <v>318.3</v>
      </c>
      <c r="AA4" s="1" t="s">
        <v>2230</v>
      </c>
      <c r="AB4" s="6" t="n">
        <f aca="false">COUNTIFS(Q2:Q1501,"Cancelled")</f>
        <v>89</v>
      </c>
    </row>
    <row r="5" customFormat="false" ht="23.85" hidden="false" customHeight="false" outlineLevel="0" collapsed="false">
      <c r="A5" s="6" t="str">
        <f aca="false">Orders!A5</f>
        <v>O000004</v>
      </c>
      <c r="B5" s="19" t="n">
        <f aca="false">Orders!B5</f>
        <v>45897</v>
      </c>
      <c r="C5" s="6" t="str">
        <f aca="false">Orders!C5</f>
        <v>C0258</v>
      </c>
      <c r="D5" s="6" t="str">
        <f aca="false">Orders!D5</f>
        <v>P1047</v>
      </c>
      <c r="E5" s="6" t="str">
        <f aca="false">INDEX(Products!$B$2:$B$101,MATCH(D5,Products!$A$2:$A$101,0))</f>
        <v>Sunscreen Lotion</v>
      </c>
      <c r="F5" s="1" t="str">
        <f aca="false">INDEX(Products!$C$2:$C$101,MATCH(D5,Products!$A$2:$A$101,0))</f>
        <v>Beauty</v>
      </c>
      <c r="G5" s="6" t="n">
        <f aca="false">Orders!E5</f>
        <v>3</v>
      </c>
      <c r="H5" s="16" t="n">
        <f aca="false">INDEX(Products!$D$2:$D$101,MATCH(D5,Products!$A$2:$A$101,0))</f>
        <v>399</v>
      </c>
      <c r="I5" s="16" t="n">
        <f aca="false">INDEX(Products!$E$2:$E$101,MATCH(D5,Products!$A$2:$A$101,0))</f>
        <v>170</v>
      </c>
      <c r="J5" s="20" t="n">
        <f aca="false">Orders!F5</f>
        <v>0.2</v>
      </c>
      <c r="K5" s="6" t="n">
        <f aca="false">G5*H5</f>
        <v>1197</v>
      </c>
      <c r="L5" s="6" t="n">
        <f aca="false">K5*J5</f>
        <v>239.4</v>
      </c>
      <c r="M5" s="6" t="n">
        <f aca="false">K5-L5</f>
        <v>957.6</v>
      </c>
      <c r="N5" s="6" t="n">
        <f aca="false">G5*I5</f>
        <v>510</v>
      </c>
      <c r="O5" s="6" t="n">
        <f aca="false">M5-N5</f>
        <v>447.6</v>
      </c>
      <c r="P5" s="21" t="n">
        <f aca="false">IFERROR(O5/M5,0)</f>
        <v>0.467418546365915</v>
      </c>
      <c r="Q5" s="6" t="str">
        <f aca="false">Orders!H5</f>
        <v>Delivered</v>
      </c>
      <c r="R5" s="1" t="str">
        <f aca="false">INDEX(Customers!$C$2:$C$301,MATCH(C5,Customers!$A$2:$A$301,0))</f>
        <v>Nagpur</v>
      </c>
      <c r="S5" s="1" t="str">
        <f aca="false">INDEX(Customers!$E$2:$E$301,MATCH(C5,Customers!$A$2:$A$301,0))</f>
        <v>New</v>
      </c>
      <c r="T5" s="6" t="str">
        <f aca="false">Orders!I5</f>
        <v>Mobile App</v>
      </c>
      <c r="U5" s="1" t="str">
        <f aca="false">IF(Q5="Delivered","Completed",IF(Q5="Cancelled","Cancelled",IF(Q5="Returned","Returned","In Progress")))</f>
        <v>Completed</v>
      </c>
      <c r="V5" s="1" t="str">
        <f aca="false">IF(M5&gt;=10000,"High Value",IF(M5&gt;=5000,"Medium Value","Low Value"))</f>
        <v>Low Value</v>
      </c>
      <c r="W5" s="1" t="str">
        <f aca="false">IF(O5&gt;0,"Profitable",IF(O5=0,"Break-even","Loss"))</f>
        <v>Profitable</v>
      </c>
      <c r="X5" s="1" t="str">
        <f aca="false">IF(Q5="Cancelled","Not Applicable",IF(Q5="Processing","Pending",IF(B5="","Unknown",IF(Orders!J5="","Unknown",IF(Orders!J5&lt;=3,"Fast",IF(Orders!J5&lt;=6,"Standard","Slow"))))))</f>
        <v>Fast</v>
      </c>
      <c r="Y5" s="1" t="n">
        <f aca="false">IF(OR(Q5="Cancelled",Q5="Returned"),0,O5)</f>
        <v>447.6</v>
      </c>
      <c r="AA5" s="1" t="s">
        <v>2231</v>
      </c>
      <c r="AB5" s="6" t="n">
        <f aca="false">COUNTIFS(Q2:Q1501,"Returned")</f>
        <v>73</v>
      </c>
    </row>
    <row r="6" customFormat="false" ht="15" hidden="false" customHeight="false" outlineLevel="0" collapsed="false">
      <c r="A6" s="6" t="str">
        <f aca="false">Orders!A6</f>
        <v>O000005</v>
      </c>
      <c r="B6" s="19" t="n">
        <f aca="false">Orders!B6</f>
        <v>45924</v>
      </c>
      <c r="C6" s="6" t="str">
        <f aca="false">Orders!C6</f>
        <v>C0119</v>
      </c>
      <c r="D6" s="6" t="str">
        <f aca="false">Orders!D6</f>
        <v>P1018</v>
      </c>
      <c r="E6" s="6" t="str">
        <f aca="false">INDEX(Products!$B$2:$B$101,MATCH(D6,Products!$A$2:$A$101,0))</f>
        <v>Cotton Shirt</v>
      </c>
      <c r="F6" s="1" t="str">
        <f aca="false">INDEX(Products!$C$2:$C$101,MATCH(D6,Products!$A$2:$A$101,0))</f>
        <v>Fashion</v>
      </c>
      <c r="G6" s="6" t="n">
        <f aca="false">Orders!E6</f>
        <v>1</v>
      </c>
      <c r="H6" s="16" t="n">
        <f aca="false">INDEX(Products!$D$2:$D$101,MATCH(D6,Products!$A$2:$A$101,0))</f>
        <v>899</v>
      </c>
      <c r="I6" s="16" t="n">
        <f aca="false">INDEX(Products!$E$2:$E$101,MATCH(D6,Products!$A$2:$A$101,0))</f>
        <v>420</v>
      </c>
      <c r="J6" s="20" t="n">
        <f aca="false">Orders!F6</f>
        <v>0</v>
      </c>
      <c r="K6" s="6" t="n">
        <f aca="false">G6*H6</f>
        <v>899</v>
      </c>
      <c r="L6" s="6" t="n">
        <f aca="false">K6*J6</f>
        <v>0</v>
      </c>
      <c r="M6" s="6" t="n">
        <f aca="false">K6-L6</f>
        <v>899</v>
      </c>
      <c r="N6" s="6" t="n">
        <f aca="false">G6*I6</f>
        <v>420</v>
      </c>
      <c r="O6" s="6" t="n">
        <f aca="false">M6-N6</f>
        <v>479</v>
      </c>
      <c r="P6" s="21" t="n">
        <f aca="false">IFERROR(O6/M6,0)</f>
        <v>0.532814238042269</v>
      </c>
      <c r="Q6" s="6" t="str">
        <f aca="false">Orders!H6</f>
        <v>Delivered</v>
      </c>
      <c r="R6" s="1" t="str">
        <f aca="false">INDEX(Customers!$C$2:$C$301,MATCH(C6,Customers!$A$2:$A$301,0))</f>
        <v>Coimbatore</v>
      </c>
      <c r="S6" s="1" t="str">
        <f aca="false">INDEX(Customers!$E$2:$E$301,MATCH(C6,Customers!$A$2:$A$301,0))</f>
        <v>VIP</v>
      </c>
      <c r="T6" s="6" t="str">
        <f aca="false">Orders!I6</f>
        <v>Marketplace</v>
      </c>
      <c r="U6" s="1" t="str">
        <f aca="false">IF(Q6="Delivered","Completed",IF(Q6="Cancelled","Cancelled",IF(Q6="Returned","Returned","In Progress")))</f>
        <v>Completed</v>
      </c>
      <c r="V6" s="1" t="str">
        <f aca="false">IF(M6&gt;=10000,"High Value",IF(M6&gt;=5000,"Medium Value","Low Value"))</f>
        <v>Low Value</v>
      </c>
      <c r="W6" s="1" t="str">
        <f aca="false">IF(O6&gt;0,"Profitable",IF(O6=0,"Break-even","Loss"))</f>
        <v>Profitable</v>
      </c>
      <c r="X6" s="1" t="str">
        <f aca="false">IF(Q6="Cancelled","Not Applicable",IF(Q6="Processing","Pending",IF(B6="","Unknown",IF(Orders!J6="","Unknown",IF(Orders!J6&lt;=3,"Fast",IF(Orders!J6&lt;=6,"Standard","Slow"))))))</f>
        <v>Fast</v>
      </c>
      <c r="Y6" s="1" t="n">
        <f aca="false">IF(OR(Q6="Cancelled",Q6="Returned"),0,O6)</f>
        <v>479</v>
      </c>
      <c r="AA6" s="1" t="s">
        <v>2232</v>
      </c>
      <c r="AB6" s="6" t="n">
        <f aca="false">SUMIFS(M2:M1501,Q2:Q1501,"Delivered")</f>
        <v>1682287.25</v>
      </c>
    </row>
    <row r="7" customFormat="false" ht="15" hidden="false" customHeight="false" outlineLevel="0" collapsed="false">
      <c r="A7" s="6" t="str">
        <f aca="false">Orders!A7</f>
        <v>O000006</v>
      </c>
      <c r="B7" s="19" t="n">
        <f aca="false">Orders!B7</f>
        <v>45712</v>
      </c>
      <c r="C7" s="6" t="str">
        <f aca="false">Orders!C7</f>
        <v>C0164</v>
      </c>
      <c r="D7" s="6" t="str">
        <f aca="false">Orders!D7</f>
        <v>P1086</v>
      </c>
      <c r="E7" s="6" t="str">
        <f aca="false">INDEX(Products!$B$2:$B$101,MATCH(D7,Products!$A$2:$A$101,0))</f>
        <v>Geometry Box</v>
      </c>
      <c r="F7" s="1" t="str">
        <f aca="false">INDEX(Products!$C$2:$C$101,MATCH(D7,Products!$A$2:$A$101,0))</f>
        <v>Books &amp; Stationery</v>
      </c>
      <c r="G7" s="6" t="n">
        <f aca="false">Orders!E7</f>
        <v>4</v>
      </c>
      <c r="H7" s="16" t="n">
        <f aca="false">INDEX(Products!$D$2:$D$101,MATCH(D7,Products!$A$2:$A$101,0))</f>
        <v>199</v>
      </c>
      <c r="I7" s="16" t="n">
        <f aca="false">INDEX(Products!$E$2:$E$101,MATCH(D7,Products!$A$2:$A$101,0))</f>
        <v>70</v>
      </c>
      <c r="J7" s="20" t="n">
        <f aca="false">Orders!F7</f>
        <v>0.1</v>
      </c>
      <c r="K7" s="6" t="n">
        <f aca="false">G7*H7</f>
        <v>796</v>
      </c>
      <c r="L7" s="6" t="n">
        <f aca="false">K7*J7</f>
        <v>79.6</v>
      </c>
      <c r="M7" s="6" t="n">
        <f aca="false">K7-L7</f>
        <v>716.4</v>
      </c>
      <c r="N7" s="6" t="n">
        <f aca="false">G7*I7</f>
        <v>280</v>
      </c>
      <c r="O7" s="6" t="n">
        <f aca="false">M7-N7</f>
        <v>436.4</v>
      </c>
      <c r="P7" s="21" t="n">
        <f aca="false">IFERROR(O7/M7,0)</f>
        <v>0.609156895589056</v>
      </c>
      <c r="Q7" s="6" t="str">
        <f aca="false">Orders!H7</f>
        <v>Delivered</v>
      </c>
      <c r="R7" s="1" t="str">
        <f aca="false">INDEX(Customers!$C$2:$C$301,MATCH(C7,Customers!$A$2:$A$301,0))</f>
        <v>Hyderabad</v>
      </c>
      <c r="S7" s="1" t="str">
        <f aca="false">INDEX(Customers!$E$2:$E$301,MATCH(C7,Customers!$A$2:$A$301,0))</f>
        <v>Returning</v>
      </c>
      <c r="T7" s="6" t="str">
        <f aca="false">Orders!I7</f>
        <v>Marketplace</v>
      </c>
      <c r="U7" s="1" t="str">
        <f aca="false">IF(Q7="Delivered","Completed",IF(Q7="Cancelled","Cancelled",IF(Q7="Returned","Returned","In Progress")))</f>
        <v>Completed</v>
      </c>
      <c r="V7" s="1" t="str">
        <f aca="false">IF(M7&gt;=10000,"High Value",IF(M7&gt;=5000,"Medium Value","Low Value"))</f>
        <v>Low Value</v>
      </c>
      <c r="W7" s="1" t="str">
        <f aca="false">IF(O7&gt;0,"Profitable",IF(O7=0,"Break-even","Loss"))</f>
        <v>Profitable</v>
      </c>
      <c r="X7" s="1" t="str">
        <f aca="false">IF(Q7="Cancelled","Not Applicable",IF(Q7="Processing","Pending",IF(B7="","Unknown",IF(Orders!J7="","Unknown",IF(Orders!J7&lt;=3,"Fast",IF(Orders!J7&lt;=6,"Standard","Slow"))))))</f>
        <v>Fast</v>
      </c>
      <c r="Y7" s="1" t="n">
        <f aca="false">IF(OR(Q7="Cancelled",Q7="Returned"),0,O7)</f>
        <v>436.4</v>
      </c>
      <c r="AA7" s="1" t="s">
        <v>2233</v>
      </c>
      <c r="AB7" s="6" t="n">
        <f aca="false">SUMIFS(O2:O1501,Q2:Q1501,"Delivered")</f>
        <v>683645.25</v>
      </c>
    </row>
    <row r="8" customFormat="false" ht="15" hidden="false" customHeight="false" outlineLevel="0" collapsed="false">
      <c r="A8" s="6" t="str">
        <f aca="false">Orders!A8</f>
        <v>O000007</v>
      </c>
      <c r="B8" s="19" t="n">
        <f aca="false">Orders!B8</f>
        <v>45667</v>
      </c>
      <c r="C8" s="6" t="str">
        <f aca="false">Orders!C8</f>
        <v>C0279</v>
      </c>
      <c r="D8" s="6" t="str">
        <f aca="false">Orders!D8</f>
        <v>P1100</v>
      </c>
      <c r="E8" s="6" t="str">
        <f aca="false">INDEX(Products!$B$2:$B$101,MATCH(D8,Products!$A$2:$A$101,0))</f>
        <v>Coffee Maker</v>
      </c>
      <c r="F8" s="1" t="str">
        <f aca="false">INDEX(Products!$C$2:$C$101,MATCH(D8,Products!$A$2:$A$101,0))</f>
        <v>Appliances</v>
      </c>
      <c r="G8" s="6" t="n">
        <f aca="false">Orders!E8</f>
        <v>3</v>
      </c>
      <c r="H8" s="16" t="n">
        <f aca="false">INDEX(Products!$D$2:$D$101,MATCH(D8,Products!$A$2:$A$101,0))</f>
        <v>2499</v>
      </c>
      <c r="I8" s="16" t="n">
        <f aca="false">INDEX(Products!$E$2:$E$101,MATCH(D8,Products!$A$2:$A$101,0))</f>
        <v>1600</v>
      </c>
      <c r="J8" s="20" t="n">
        <f aca="false">Orders!F8</f>
        <v>0</v>
      </c>
      <c r="K8" s="6" t="n">
        <f aca="false">G8*H8</f>
        <v>7497</v>
      </c>
      <c r="L8" s="6" t="n">
        <f aca="false">K8*J8</f>
        <v>0</v>
      </c>
      <c r="M8" s="6" t="n">
        <f aca="false">K8-L8</f>
        <v>7497</v>
      </c>
      <c r="N8" s="6" t="n">
        <f aca="false">G8*I8</f>
        <v>4800</v>
      </c>
      <c r="O8" s="6" t="n">
        <f aca="false">M8-N8</f>
        <v>2697</v>
      </c>
      <c r="P8" s="21" t="n">
        <f aca="false">IFERROR(O8/M8,0)</f>
        <v>0.359743897559024</v>
      </c>
      <c r="Q8" s="6" t="str">
        <f aca="false">Orders!H8</f>
        <v>Delivered</v>
      </c>
      <c r="R8" s="1" t="str">
        <f aca="false">INDEX(Customers!$C$2:$C$301,MATCH(C8,Customers!$A$2:$A$301,0))</f>
        <v>Coimbatore</v>
      </c>
      <c r="S8" s="1" t="str">
        <f aca="false">INDEX(Customers!$E$2:$E$301,MATCH(C8,Customers!$A$2:$A$301,0))</f>
        <v>Returning</v>
      </c>
      <c r="T8" s="6" t="str">
        <f aca="false">Orders!I8</f>
        <v>Website</v>
      </c>
      <c r="U8" s="1" t="str">
        <f aca="false">IF(Q8="Delivered","Completed",IF(Q8="Cancelled","Cancelled",IF(Q8="Returned","Returned","In Progress")))</f>
        <v>Completed</v>
      </c>
      <c r="V8" s="1" t="str">
        <f aca="false">IF(M8&gt;=10000,"High Value",IF(M8&gt;=5000,"Medium Value","Low Value"))</f>
        <v>Medium Value</v>
      </c>
      <c r="W8" s="1" t="str">
        <f aca="false">IF(O8&gt;0,"Profitable",IF(O8=0,"Break-even","Loss"))</f>
        <v>Profitable</v>
      </c>
      <c r="X8" s="1" t="str">
        <f aca="false">IF(Q8="Cancelled","Not Applicable",IF(Q8="Processing","Pending",IF(B8="","Unknown",IF(Orders!J8="","Unknown",IF(Orders!J8&lt;=3,"Fast",IF(Orders!J8&lt;=6,"Standard","Slow"))))))</f>
        <v>Fast</v>
      </c>
      <c r="Y8" s="1" t="n">
        <f aca="false">IF(OR(Q8="Cancelled",Q8="Returned"),0,O8)</f>
        <v>2697</v>
      </c>
      <c r="AA8" s="1" t="s">
        <v>2234</v>
      </c>
      <c r="AB8" s="6" t="n">
        <f aca="false">AVERAGEIFS(M2:M1501,Q2:Q1501,"Delivered")</f>
        <v>1560.56331168831</v>
      </c>
    </row>
    <row r="9" customFormat="false" ht="15" hidden="false" customHeight="false" outlineLevel="0" collapsed="false">
      <c r="A9" s="6" t="str">
        <f aca="false">Orders!A9</f>
        <v>O000008</v>
      </c>
      <c r="B9" s="19" t="n">
        <f aca="false">Orders!B9</f>
        <v>45701</v>
      </c>
      <c r="C9" s="6" t="str">
        <f aca="false">Orders!C9</f>
        <v>C0141</v>
      </c>
      <c r="D9" s="6" t="str">
        <f aca="false">Orders!D9</f>
        <v>P1027</v>
      </c>
      <c r="E9" s="6" t="str">
        <f aca="false">INDEX(Products!$B$2:$B$101,MATCH(D9,Products!$A$2:$A$101,0))</f>
        <v>Belt</v>
      </c>
      <c r="F9" s="1" t="str">
        <f aca="false">INDEX(Products!$C$2:$C$101,MATCH(D9,Products!$A$2:$A$101,0))</f>
        <v>Fashion</v>
      </c>
      <c r="G9" s="6" t="n">
        <f aca="false">Orders!E9</f>
        <v>1</v>
      </c>
      <c r="H9" s="16" t="n">
        <f aca="false">INDEX(Products!$D$2:$D$101,MATCH(D9,Products!$A$2:$A$101,0))</f>
        <v>399</v>
      </c>
      <c r="I9" s="16" t="n">
        <f aca="false">INDEX(Products!$E$2:$E$101,MATCH(D9,Products!$A$2:$A$101,0))</f>
        <v>160</v>
      </c>
      <c r="J9" s="20" t="n">
        <f aca="false">Orders!F9</f>
        <v>0.05</v>
      </c>
      <c r="K9" s="6" t="n">
        <f aca="false">G9*H9</f>
        <v>399</v>
      </c>
      <c r="L9" s="6" t="n">
        <f aca="false">K9*J9</f>
        <v>19.95</v>
      </c>
      <c r="M9" s="6" t="n">
        <f aca="false">K9-L9</f>
        <v>379.05</v>
      </c>
      <c r="N9" s="6" t="n">
        <f aca="false">G9*I9</f>
        <v>160</v>
      </c>
      <c r="O9" s="6" t="n">
        <f aca="false">M9-N9</f>
        <v>219.05</v>
      </c>
      <c r="P9" s="21" t="n">
        <f aca="false">IFERROR(O9/M9,0)</f>
        <v>0.577892098667722</v>
      </c>
      <c r="Q9" s="6" t="str">
        <f aca="false">Orders!H9</f>
        <v>Delivered</v>
      </c>
      <c r="R9" s="1" t="str">
        <f aca="false">INDEX(Customers!$C$2:$C$301,MATCH(C9,Customers!$A$2:$A$301,0))</f>
        <v>Delhi</v>
      </c>
      <c r="S9" s="1" t="str">
        <f aca="false">INDEX(Customers!$E$2:$E$301,MATCH(C9,Customers!$A$2:$A$301,0))</f>
        <v>Returning</v>
      </c>
      <c r="T9" s="6" t="str">
        <f aca="false">Orders!I9</f>
        <v>Marketplace</v>
      </c>
      <c r="U9" s="1" t="str">
        <f aca="false">IF(Q9="Delivered","Completed",IF(Q9="Cancelled","Cancelled",IF(Q9="Returned","Returned","In Progress")))</f>
        <v>Completed</v>
      </c>
      <c r="V9" s="1" t="str">
        <f aca="false">IF(M9&gt;=10000,"High Value",IF(M9&gt;=5000,"Medium Value","Low Value"))</f>
        <v>Low Value</v>
      </c>
      <c r="W9" s="1" t="str">
        <f aca="false">IF(O9&gt;0,"Profitable",IF(O9=0,"Break-even","Loss"))</f>
        <v>Profitable</v>
      </c>
      <c r="X9" s="1" t="str">
        <f aca="false">IF(Q9="Cancelled","Not Applicable",IF(Q9="Processing","Pending",IF(B9="","Unknown",IF(Orders!J9="","Unknown",IF(Orders!J9&lt;=3,"Fast",IF(Orders!J9&lt;=6,"Standard","Slow"))))))</f>
        <v>Standard</v>
      </c>
      <c r="Y9" s="1" t="n">
        <f aca="false">IF(OR(Q9="Cancelled",Q9="Returned"),0,O9)</f>
        <v>219.05</v>
      </c>
      <c r="AA9" s="1" t="s">
        <v>2235</v>
      </c>
      <c r="AB9" s="6" t="n">
        <f aca="false">COUNTIFS(V2:V1501,"High Value")</f>
        <v>8</v>
      </c>
    </row>
    <row r="10" customFormat="false" ht="15" hidden="false" customHeight="false" outlineLevel="0" collapsed="false">
      <c r="A10" s="6" t="str">
        <f aca="false">Orders!A10</f>
        <v>O000009</v>
      </c>
      <c r="B10" s="19" t="n">
        <f aca="false">Orders!B10</f>
        <v>45776</v>
      </c>
      <c r="C10" s="6" t="str">
        <f aca="false">Orders!C10</f>
        <v>C0178</v>
      </c>
      <c r="D10" s="6" t="str">
        <f aca="false">Orders!D10</f>
        <v>P1026</v>
      </c>
      <c r="E10" s="6" t="str">
        <f aca="false">INDEX(Products!$B$2:$B$101,MATCH(D10,Products!$A$2:$A$101,0))</f>
        <v>Sunglasses</v>
      </c>
      <c r="F10" s="1" t="str">
        <f aca="false">INDEX(Products!$C$2:$C$101,MATCH(D10,Products!$A$2:$A$101,0))</f>
        <v>Fashion</v>
      </c>
      <c r="G10" s="6" t="n">
        <f aca="false">Orders!E10</f>
        <v>1</v>
      </c>
      <c r="H10" s="16" t="n">
        <f aca="false">INDEX(Products!$D$2:$D$101,MATCH(D10,Products!$A$2:$A$101,0))</f>
        <v>799</v>
      </c>
      <c r="I10" s="16" t="n">
        <f aca="false">INDEX(Products!$E$2:$E$101,MATCH(D10,Products!$A$2:$A$101,0))</f>
        <v>300</v>
      </c>
      <c r="J10" s="20" t="n">
        <f aca="false">Orders!F10</f>
        <v>0.05</v>
      </c>
      <c r="K10" s="6" t="n">
        <f aca="false">G10*H10</f>
        <v>799</v>
      </c>
      <c r="L10" s="6" t="n">
        <f aca="false">K10*J10</f>
        <v>39.95</v>
      </c>
      <c r="M10" s="6" t="n">
        <f aca="false">K10-L10</f>
        <v>759.05</v>
      </c>
      <c r="N10" s="6" t="n">
        <f aca="false">G10*I10</f>
        <v>300</v>
      </c>
      <c r="O10" s="6" t="n">
        <f aca="false">M10-N10</f>
        <v>459.05</v>
      </c>
      <c r="P10" s="21" t="n">
        <f aca="false">IFERROR(O10/M10,0)</f>
        <v>0.604769119293854</v>
      </c>
      <c r="Q10" s="6" t="str">
        <f aca="false">Orders!H10</f>
        <v>Cancelled</v>
      </c>
      <c r="R10" s="1" t="str">
        <f aca="false">INDEX(Customers!$C$2:$C$301,MATCH(C10,Customers!$A$2:$A$301,0))</f>
        <v>Nagpur</v>
      </c>
      <c r="S10" s="1" t="str">
        <f aca="false">INDEX(Customers!$E$2:$E$301,MATCH(C10,Customers!$A$2:$A$301,0))</f>
        <v>VIP</v>
      </c>
      <c r="T10" s="6" t="str">
        <f aca="false">Orders!I10</f>
        <v>Marketplace</v>
      </c>
      <c r="U10" s="1" t="str">
        <f aca="false">IF(Q10="Delivered","Completed",IF(Q10="Cancelled","Cancelled",IF(Q10="Returned","Returned","In Progress")))</f>
        <v>Cancelled</v>
      </c>
      <c r="V10" s="1" t="str">
        <f aca="false">IF(M10&gt;=10000,"High Value",IF(M10&gt;=5000,"Medium Value","Low Value"))</f>
        <v>Low Value</v>
      </c>
      <c r="W10" s="1" t="str">
        <f aca="false">IF(O10&gt;0,"Profitable",IF(O10=0,"Break-even","Loss"))</f>
        <v>Profitable</v>
      </c>
      <c r="X10" s="1" t="str">
        <f aca="false">IF(Q10="Cancelled","Not Applicable",IF(Q10="Processing","Pending",IF(B10="","Unknown",IF(Orders!J10="","Unknown",IF(Orders!J10&lt;=3,"Fast",IF(Orders!J10&lt;=6,"Standard","Slow"))))))</f>
        <v>Not Applicable</v>
      </c>
      <c r="Y10" s="1" t="n">
        <f aca="false">IF(OR(Q10="Cancelled",Q10="Returned"),0,O10)</f>
        <v>0</v>
      </c>
      <c r="AA10" s="1" t="s">
        <v>2236</v>
      </c>
      <c r="AB10" s="6" t="n">
        <f aca="false">COUNTIFS(W2:W1501,"Profitable")</f>
        <v>1500</v>
      </c>
    </row>
    <row r="11" customFormat="false" ht="15" hidden="false" customHeight="false" outlineLevel="0" collapsed="false">
      <c r="A11" s="6" t="str">
        <f aca="false">Orders!A11</f>
        <v>O000010</v>
      </c>
      <c r="B11" s="19" t="n">
        <f aca="false">Orders!B11</f>
        <v>45820</v>
      </c>
      <c r="C11" s="6" t="str">
        <f aca="false">Orders!C11</f>
        <v>C0239</v>
      </c>
      <c r="D11" s="6" t="str">
        <f aca="false">Orders!D11</f>
        <v>P1029</v>
      </c>
      <c r="E11" s="6" t="str">
        <f aca="false">INDEX(Products!$B$2:$B$101,MATCH(D11,Products!$A$2:$A$101,0))</f>
        <v>Scarf</v>
      </c>
      <c r="F11" s="1" t="str">
        <f aca="false">INDEX(Products!$C$2:$C$101,MATCH(D11,Products!$A$2:$A$101,0))</f>
        <v>Fashion</v>
      </c>
      <c r="G11" s="6" t="n">
        <f aca="false">Orders!E11</f>
        <v>4</v>
      </c>
      <c r="H11" s="16" t="n">
        <f aca="false">INDEX(Products!$D$2:$D$101,MATCH(D11,Products!$A$2:$A$101,0))</f>
        <v>299</v>
      </c>
      <c r="I11" s="16" t="n">
        <f aca="false">INDEX(Products!$E$2:$E$101,MATCH(D11,Products!$A$2:$A$101,0))</f>
        <v>100</v>
      </c>
      <c r="J11" s="20" t="n">
        <f aca="false">Orders!F11</f>
        <v>0</v>
      </c>
      <c r="K11" s="6" t="n">
        <f aca="false">G11*H11</f>
        <v>1196</v>
      </c>
      <c r="L11" s="6" t="n">
        <f aca="false">K11*J11</f>
        <v>0</v>
      </c>
      <c r="M11" s="6" t="n">
        <f aca="false">K11-L11</f>
        <v>1196</v>
      </c>
      <c r="N11" s="6" t="n">
        <f aca="false">G11*I11</f>
        <v>400</v>
      </c>
      <c r="O11" s="6" t="n">
        <f aca="false">M11-N11</f>
        <v>796</v>
      </c>
      <c r="P11" s="21" t="n">
        <f aca="false">IFERROR(O11/M11,0)</f>
        <v>0.665551839464883</v>
      </c>
      <c r="Q11" s="6" t="str">
        <f aca="false">Orders!H11</f>
        <v>Delivered</v>
      </c>
      <c r="R11" s="1" t="str">
        <f aca="false">INDEX(Customers!$C$2:$C$301,MATCH(C11,Customers!$A$2:$A$301,0))</f>
        <v>Coimbatore</v>
      </c>
      <c r="S11" s="1" t="str">
        <f aca="false">INDEX(Customers!$E$2:$E$301,MATCH(C11,Customers!$A$2:$A$301,0))</f>
        <v>New</v>
      </c>
      <c r="T11" s="6" t="str">
        <f aca="false">Orders!I11</f>
        <v>Marketplace</v>
      </c>
      <c r="U11" s="1" t="str">
        <f aca="false">IF(Q11="Delivered","Completed",IF(Q11="Cancelled","Cancelled",IF(Q11="Returned","Returned","In Progress")))</f>
        <v>Completed</v>
      </c>
      <c r="V11" s="1" t="str">
        <f aca="false">IF(M11&gt;=10000,"High Value",IF(M11&gt;=5000,"Medium Value","Low Value"))</f>
        <v>Low Value</v>
      </c>
      <c r="W11" s="1" t="str">
        <f aca="false">IF(O11&gt;0,"Profitable",IF(O11=0,"Break-even","Loss"))</f>
        <v>Profitable</v>
      </c>
      <c r="X11" s="1" t="str">
        <f aca="false">IF(Q11="Cancelled","Not Applicable",IF(Q11="Processing","Pending",IF(B11="","Unknown",IF(Orders!J11="","Unknown",IF(Orders!J11&lt;=3,"Fast",IF(Orders!J11&lt;=6,"Standard","Slow"))))))</f>
        <v>Standard</v>
      </c>
      <c r="Y11" s="1" t="n">
        <f aca="false">IF(OR(Q11="Cancelled",Q11="Returned"),0,O11)</f>
        <v>796</v>
      </c>
      <c r="AA11" s="1" t="s">
        <v>2237</v>
      </c>
      <c r="AB11" s="6" t="n">
        <f aca="false">AVERAGEIFS(Orders!J2:J1501,Orders!H2:H1501,"Delivered")</f>
        <v>4.56864564007421</v>
      </c>
    </row>
    <row r="12" customFormat="false" ht="15" hidden="false" customHeight="false" outlineLevel="0" collapsed="false">
      <c r="A12" s="6" t="str">
        <f aca="false">Orders!A12</f>
        <v>O000011</v>
      </c>
      <c r="B12" s="19" t="n">
        <f aca="false">Orders!B12</f>
        <v>45870</v>
      </c>
      <c r="C12" s="6" t="str">
        <f aca="false">Orders!C12</f>
        <v>C0202</v>
      </c>
      <c r="D12" s="6" t="str">
        <f aca="false">Orders!D12</f>
        <v>P1052</v>
      </c>
      <c r="E12" s="6" t="str">
        <f aca="false">INDEX(Products!$B$2:$B$101,MATCH(D12,Products!$A$2:$A$101,0))</f>
        <v>Lip Balm Set</v>
      </c>
      <c r="F12" s="1" t="str">
        <f aca="false">INDEX(Products!$C$2:$C$101,MATCH(D12,Products!$A$2:$A$101,0))</f>
        <v>Beauty</v>
      </c>
      <c r="G12" s="6" t="n">
        <f aca="false">Orders!E12</f>
        <v>3</v>
      </c>
      <c r="H12" s="16" t="n">
        <f aca="false">INDEX(Products!$D$2:$D$101,MATCH(D12,Products!$A$2:$A$101,0))</f>
        <v>249</v>
      </c>
      <c r="I12" s="16" t="n">
        <f aca="false">INDEX(Products!$E$2:$E$101,MATCH(D12,Products!$A$2:$A$101,0))</f>
        <v>90</v>
      </c>
      <c r="J12" s="20" t="n">
        <f aca="false">Orders!F12</f>
        <v>0</v>
      </c>
      <c r="K12" s="6" t="n">
        <f aca="false">G12*H12</f>
        <v>747</v>
      </c>
      <c r="L12" s="6" t="n">
        <f aca="false">K12*J12</f>
        <v>0</v>
      </c>
      <c r="M12" s="6" t="n">
        <f aca="false">K12-L12</f>
        <v>747</v>
      </c>
      <c r="N12" s="6" t="n">
        <f aca="false">G12*I12</f>
        <v>270</v>
      </c>
      <c r="O12" s="6" t="n">
        <f aca="false">M12-N12</f>
        <v>477</v>
      </c>
      <c r="P12" s="21" t="n">
        <f aca="false">IFERROR(O12/M12,0)</f>
        <v>0.63855421686747</v>
      </c>
      <c r="Q12" s="6" t="str">
        <f aca="false">Orders!H12</f>
        <v>Shipped</v>
      </c>
      <c r="R12" s="1" t="str">
        <f aca="false">INDEX(Customers!$C$2:$C$301,MATCH(C12,Customers!$A$2:$A$301,0))</f>
        <v>Mumbai</v>
      </c>
      <c r="S12" s="1" t="str">
        <f aca="false">INDEX(Customers!$E$2:$E$301,MATCH(C12,Customers!$A$2:$A$301,0))</f>
        <v>New</v>
      </c>
      <c r="T12" s="6" t="str">
        <f aca="false">Orders!I12</f>
        <v>Marketplace</v>
      </c>
      <c r="U12" s="1" t="str">
        <f aca="false">IF(Q12="Delivered","Completed",IF(Q12="Cancelled","Cancelled",IF(Q12="Returned","Returned","In Progress")))</f>
        <v>In Progress</v>
      </c>
      <c r="V12" s="1" t="str">
        <f aca="false">IF(M12&gt;=10000,"High Value",IF(M12&gt;=5000,"Medium Value","Low Value"))</f>
        <v>Low Value</v>
      </c>
      <c r="W12" s="1" t="str">
        <f aca="false">IF(O12&gt;0,"Profitable",IF(O12=0,"Break-even","Loss"))</f>
        <v>Profitable</v>
      </c>
      <c r="X12" s="1" t="str">
        <f aca="false">IF(Q12="Cancelled","Not Applicable",IF(Q12="Processing","Pending",IF(B12="","Unknown",IF(Orders!J12="","Unknown",IF(Orders!J12&lt;=3,"Fast",IF(Orders!J12&lt;=6,"Standard","Slow"))))))</f>
        <v>Slow</v>
      </c>
      <c r="Y12" s="1" t="n">
        <f aca="false">IF(OR(Q12="Cancelled",Q12="Returned"),0,O12)</f>
        <v>477</v>
      </c>
      <c r="AA12" s="1" t="s">
        <v>2238</v>
      </c>
      <c r="AB12" s="6" t="n">
        <f aca="false">COUNTIFS(X2:X1501,"Fast")</f>
        <v>485</v>
      </c>
    </row>
    <row r="13" customFormat="false" ht="15" hidden="false" customHeight="false" outlineLevel="0" collapsed="false">
      <c r="A13" s="6" t="str">
        <f aca="false">Orders!A13</f>
        <v>O000012</v>
      </c>
      <c r="B13" s="19" t="n">
        <f aca="false">Orders!B13</f>
        <v>45740</v>
      </c>
      <c r="C13" s="6" t="str">
        <f aca="false">Orders!C13</f>
        <v>C0025</v>
      </c>
      <c r="D13" s="6" t="str">
        <f aca="false">Orders!D13</f>
        <v>P1078</v>
      </c>
      <c r="E13" s="6" t="str">
        <f aca="false">INDEX(Products!$B$2:$B$101,MATCH(D13,Products!$A$2:$A$101,0))</f>
        <v>Sketchbook</v>
      </c>
      <c r="F13" s="1" t="str">
        <f aca="false">INDEX(Products!$C$2:$C$101,MATCH(D13,Products!$A$2:$A$101,0))</f>
        <v>Books &amp; Stationery</v>
      </c>
      <c r="G13" s="6" t="n">
        <f aca="false">Orders!E13</f>
        <v>1</v>
      </c>
      <c r="H13" s="16" t="n">
        <f aca="false">INDEX(Products!$D$2:$D$101,MATCH(D13,Products!$A$2:$A$101,0))</f>
        <v>249</v>
      </c>
      <c r="I13" s="16" t="n">
        <f aca="false">INDEX(Products!$E$2:$E$101,MATCH(D13,Products!$A$2:$A$101,0))</f>
        <v>90</v>
      </c>
      <c r="J13" s="20" t="n">
        <f aca="false">Orders!F13</f>
        <v>0.2</v>
      </c>
      <c r="K13" s="6" t="n">
        <f aca="false">G13*H13</f>
        <v>249</v>
      </c>
      <c r="L13" s="6" t="n">
        <f aca="false">K13*J13</f>
        <v>49.8</v>
      </c>
      <c r="M13" s="6" t="n">
        <f aca="false">K13-L13</f>
        <v>199.2</v>
      </c>
      <c r="N13" s="6" t="n">
        <f aca="false">G13*I13</f>
        <v>90</v>
      </c>
      <c r="O13" s="6" t="n">
        <f aca="false">M13-N13</f>
        <v>109.2</v>
      </c>
      <c r="P13" s="21" t="n">
        <f aca="false">IFERROR(O13/M13,0)</f>
        <v>0.548192771084337</v>
      </c>
      <c r="Q13" s="6" t="str">
        <f aca="false">Orders!H13</f>
        <v>Delivered</v>
      </c>
      <c r="R13" s="1" t="str">
        <f aca="false">INDEX(Customers!$C$2:$C$301,MATCH(C13,Customers!$A$2:$A$301,0))</f>
        <v>Chennai</v>
      </c>
      <c r="S13" s="1" t="str">
        <f aca="false">INDEX(Customers!$E$2:$E$301,MATCH(C13,Customers!$A$2:$A$301,0))</f>
        <v>Returning</v>
      </c>
      <c r="T13" s="6" t="str">
        <f aca="false">Orders!I13</f>
        <v>Website</v>
      </c>
      <c r="U13" s="1" t="str">
        <f aca="false">IF(Q13="Delivered","Completed",IF(Q13="Cancelled","Cancelled",IF(Q13="Returned","Returned","In Progress")))</f>
        <v>Completed</v>
      </c>
      <c r="V13" s="1" t="str">
        <f aca="false">IF(M13&gt;=10000,"High Value",IF(M13&gt;=5000,"Medium Value","Low Value"))</f>
        <v>Low Value</v>
      </c>
      <c r="W13" s="1" t="str">
        <f aca="false">IF(O13&gt;0,"Profitable",IF(O13=0,"Break-even","Loss"))</f>
        <v>Profitable</v>
      </c>
      <c r="X13" s="1" t="str">
        <f aca="false">IF(Q13="Cancelled","Not Applicable",IF(Q13="Processing","Pending",IF(B13="","Unknown",IF(Orders!J13="","Unknown",IF(Orders!J13&lt;=3,"Fast",IF(Orders!J13&lt;=6,"Standard","Slow"))))))</f>
        <v>Slow</v>
      </c>
      <c r="Y13" s="1" t="n">
        <f aca="false">IF(OR(Q13="Cancelled",Q13="Returned"),0,O13)</f>
        <v>109.2</v>
      </c>
    </row>
    <row r="14" customFormat="false" ht="15" hidden="false" customHeight="false" outlineLevel="0" collapsed="false">
      <c r="A14" s="6" t="str">
        <f aca="false">Orders!A14</f>
        <v>O000013</v>
      </c>
      <c r="B14" s="19" t="n">
        <f aca="false">Orders!B14</f>
        <v>45837</v>
      </c>
      <c r="C14" s="6" t="str">
        <f aca="false">Orders!C14</f>
        <v>C0294</v>
      </c>
      <c r="D14" s="6" t="str">
        <f aca="false">Orders!D14</f>
        <v>P1084</v>
      </c>
      <c r="E14" s="6" t="str">
        <f aca="false">INDEX(Products!$B$2:$B$101,MATCH(D14,Products!$A$2:$A$101,0))</f>
        <v>Whiteboard</v>
      </c>
      <c r="F14" s="1" t="str">
        <f aca="false">INDEX(Products!$C$2:$C$101,MATCH(D14,Products!$A$2:$A$101,0))</f>
        <v>Books &amp; Stationery</v>
      </c>
      <c r="G14" s="6" t="n">
        <f aca="false">Orders!E14</f>
        <v>1</v>
      </c>
      <c r="H14" s="16" t="n">
        <f aca="false">INDEX(Products!$D$2:$D$101,MATCH(D14,Products!$A$2:$A$101,0))</f>
        <v>799</v>
      </c>
      <c r="I14" s="16" t="n">
        <f aca="false">INDEX(Products!$E$2:$E$101,MATCH(D14,Products!$A$2:$A$101,0))</f>
        <v>420</v>
      </c>
      <c r="J14" s="20" t="n">
        <f aca="false">Orders!F14</f>
        <v>0</v>
      </c>
      <c r="K14" s="6" t="n">
        <f aca="false">G14*H14</f>
        <v>799</v>
      </c>
      <c r="L14" s="6" t="n">
        <f aca="false">K14*J14</f>
        <v>0</v>
      </c>
      <c r="M14" s="6" t="n">
        <f aca="false">K14-L14</f>
        <v>799</v>
      </c>
      <c r="N14" s="6" t="n">
        <f aca="false">G14*I14</f>
        <v>420</v>
      </c>
      <c r="O14" s="6" t="n">
        <f aca="false">M14-N14</f>
        <v>379</v>
      </c>
      <c r="P14" s="21" t="n">
        <f aca="false">IFERROR(O14/M14,0)</f>
        <v>0.474342928660826</v>
      </c>
      <c r="Q14" s="6" t="str">
        <f aca="false">Orders!H14</f>
        <v>Delivered</v>
      </c>
      <c r="R14" s="1" t="str">
        <f aca="false">INDEX(Customers!$C$2:$C$301,MATCH(C14,Customers!$A$2:$A$301,0))</f>
        <v>Indore</v>
      </c>
      <c r="S14" s="1" t="str">
        <f aca="false">INDEX(Customers!$E$2:$E$301,MATCH(C14,Customers!$A$2:$A$301,0))</f>
        <v>Returning</v>
      </c>
      <c r="T14" s="6" t="str">
        <f aca="false">Orders!I14</f>
        <v>Website</v>
      </c>
      <c r="U14" s="1" t="str">
        <f aca="false">IF(Q14="Delivered","Completed",IF(Q14="Cancelled","Cancelled",IF(Q14="Returned","Returned","In Progress")))</f>
        <v>Completed</v>
      </c>
      <c r="V14" s="1" t="str">
        <f aca="false">IF(M14&gt;=10000,"High Value",IF(M14&gt;=5000,"Medium Value","Low Value"))</f>
        <v>Low Value</v>
      </c>
      <c r="W14" s="1" t="str">
        <f aca="false">IF(O14&gt;0,"Profitable",IF(O14=0,"Break-even","Loss"))</f>
        <v>Profitable</v>
      </c>
      <c r="X14" s="1" t="str">
        <f aca="false">IF(Q14="Cancelled","Not Applicable",IF(Q14="Processing","Pending",IF(B14="","Unknown",IF(Orders!J14="","Unknown",IF(Orders!J14&lt;=3,"Fast",IF(Orders!J14&lt;=6,"Standard","Slow"))))))</f>
        <v>Fast</v>
      </c>
      <c r="Y14" s="1" t="n">
        <f aca="false">IF(OR(Q14="Cancelled",Q14="Returned"),0,O14)</f>
        <v>379</v>
      </c>
    </row>
    <row r="15" customFormat="false" ht="15" hidden="false" customHeight="false" outlineLevel="0" collapsed="false">
      <c r="A15" s="6" t="str">
        <f aca="false">Orders!A15</f>
        <v>O000014</v>
      </c>
      <c r="B15" s="19" t="n">
        <f aca="false">Orders!B15</f>
        <v>45712</v>
      </c>
      <c r="C15" s="6" t="str">
        <f aca="false">Orders!C15</f>
        <v>C0187</v>
      </c>
      <c r="D15" s="6" t="str">
        <f aca="false">Orders!D15</f>
        <v>P1083</v>
      </c>
      <c r="E15" s="6" t="str">
        <f aca="false">INDEX(Products!$B$2:$B$101,MATCH(D15,Products!$A$2:$A$101,0))</f>
        <v>Reading Light</v>
      </c>
      <c r="F15" s="1" t="str">
        <f aca="false">INDEX(Products!$C$2:$C$101,MATCH(D15,Products!$A$2:$A$101,0))</f>
        <v>Books &amp; Stationery</v>
      </c>
      <c r="G15" s="6" t="n">
        <f aca="false">Orders!E15</f>
        <v>1</v>
      </c>
      <c r="H15" s="16" t="n">
        <f aca="false">INDEX(Products!$D$2:$D$101,MATCH(D15,Products!$A$2:$A$101,0))</f>
        <v>399</v>
      </c>
      <c r="I15" s="16" t="n">
        <f aca="false">INDEX(Products!$E$2:$E$101,MATCH(D15,Products!$A$2:$A$101,0))</f>
        <v>180</v>
      </c>
      <c r="J15" s="20" t="n">
        <f aca="false">Orders!F15</f>
        <v>0.1</v>
      </c>
      <c r="K15" s="6" t="n">
        <f aca="false">G15*H15</f>
        <v>399</v>
      </c>
      <c r="L15" s="6" t="n">
        <f aca="false">K15*J15</f>
        <v>39.9</v>
      </c>
      <c r="M15" s="6" t="n">
        <f aca="false">K15-L15</f>
        <v>359.1</v>
      </c>
      <c r="N15" s="6" t="n">
        <f aca="false">G15*I15</f>
        <v>180</v>
      </c>
      <c r="O15" s="6" t="n">
        <f aca="false">M15-N15</f>
        <v>179.1</v>
      </c>
      <c r="P15" s="21" t="n">
        <f aca="false">IFERROR(O15/M15,0)</f>
        <v>0.49874686716792</v>
      </c>
      <c r="Q15" s="6" t="str">
        <f aca="false">Orders!H15</f>
        <v>Shipped</v>
      </c>
      <c r="R15" s="1" t="str">
        <f aca="false">INDEX(Customers!$C$2:$C$301,MATCH(C15,Customers!$A$2:$A$301,0))</f>
        <v>Pune</v>
      </c>
      <c r="S15" s="1" t="str">
        <f aca="false">INDEX(Customers!$E$2:$E$301,MATCH(C15,Customers!$A$2:$A$301,0))</f>
        <v>Returning</v>
      </c>
      <c r="T15" s="6" t="str">
        <f aca="false">Orders!I15</f>
        <v>Mobile App</v>
      </c>
      <c r="U15" s="1" t="str">
        <f aca="false">IF(Q15="Delivered","Completed",IF(Q15="Cancelled","Cancelled",IF(Q15="Returned","Returned","In Progress")))</f>
        <v>In Progress</v>
      </c>
      <c r="V15" s="1" t="str">
        <f aca="false">IF(M15&gt;=10000,"High Value",IF(M15&gt;=5000,"Medium Value","Low Value"))</f>
        <v>Low Value</v>
      </c>
      <c r="W15" s="1" t="str">
        <f aca="false">IF(O15&gt;0,"Profitable",IF(O15=0,"Break-even","Loss"))</f>
        <v>Profitable</v>
      </c>
      <c r="X15" s="1" t="str">
        <f aca="false">IF(Q15="Cancelled","Not Applicable",IF(Q15="Processing","Pending",IF(B15="","Unknown",IF(Orders!J15="","Unknown",IF(Orders!J15&lt;=3,"Fast",IF(Orders!J15&lt;=6,"Standard","Slow"))))))</f>
        <v>Slow</v>
      </c>
      <c r="Y15" s="1" t="n">
        <f aca="false">IF(OR(Q15="Cancelled",Q15="Returned"),0,O15)</f>
        <v>179.1</v>
      </c>
    </row>
    <row r="16" customFormat="false" ht="23.85" hidden="false" customHeight="false" outlineLevel="0" collapsed="false">
      <c r="A16" s="6" t="str">
        <f aca="false">Orders!A16</f>
        <v>O000015</v>
      </c>
      <c r="B16" s="19" t="n">
        <f aca="false">Orders!B16</f>
        <v>45974</v>
      </c>
      <c r="C16" s="6" t="str">
        <f aca="false">Orders!C16</f>
        <v>C0240</v>
      </c>
      <c r="D16" s="6" t="str">
        <f aca="false">Orders!D16</f>
        <v>P1053</v>
      </c>
      <c r="E16" s="6" t="str">
        <f aca="false">INDEX(Products!$B$2:$B$101,MATCH(D16,Products!$A$2:$A$101,0))</f>
        <v>Makeup Brush Set</v>
      </c>
      <c r="F16" s="1" t="str">
        <f aca="false">INDEX(Products!$C$2:$C$101,MATCH(D16,Products!$A$2:$A$101,0))</f>
        <v>Beauty</v>
      </c>
      <c r="G16" s="6" t="n">
        <f aca="false">Orders!E16</f>
        <v>1</v>
      </c>
      <c r="H16" s="16" t="n">
        <f aca="false">INDEX(Products!$D$2:$D$101,MATCH(D16,Products!$A$2:$A$101,0))</f>
        <v>599</v>
      </c>
      <c r="I16" s="16" t="n">
        <f aca="false">INDEX(Products!$E$2:$E$101,MATCH(D16,Products!$A$2:$A$101,0))</f>
        <v>250</v>
      </c>
      <c r="J16" s="20" t="n">
        <f aca="false">Orders!F16</f>
        <v>0</v>
      </c>
      <c r="K16" s="6" t="n">
        <f aca="false">G16*H16</f>
        <v>599</v>
      </c>
      <c r="L16" s="6" t="n">
        <f aca="false">K16*J16</f>
        <v>0</v>
      </c>
      <c r="M16" s="6" t="n">
        <f aca="false">K16-L16</f>
        <v>599</v>
      </c>
      <c r="N16" s="6" t="n">
        <f aca="false">G16*I16</f>
        <v>250</v>
      </c>
      <c r="O16" s="6" t="n">
        <f aca="false">M16-N16</f>
        <v>349</v>
      </c>
      <c r="P16" s="21" t="n">
        <f aca="false">IFERROR(O16/M16,0)</f>
        <v>0.582637729549249</v>
      </c>
      <c r="Q16" s="6" t="str">
        <f aca="false">Orders!H16</f>
        <v>Delivered</v>
      </c>
      <c r="R16" s="1" t="str">
        <f aca="false">INDEX(Customers!$C$2:$C$301,MATCH(C16,Customers!$A$2:$A$301,0))</f>
        <v>Visakhapatnam</v>
      </c>
      <c r="S16" s="1" t="str">
        <f aca="false">INDEX(Customers!$E$2:$E$301,MATCH(C16,Customers!$A$2:$A$301,0))</f>
        <v>Returning</v>
      </c>
      <c r="T16" s="6" t="str">
        <f aca="false">Orders!I16</f>
        <v>Mobile App</v>
      </c>
      <c r="U16" s="1" t="str">
        <f aca="false">IF(Q16="Delivered","Completed",IF(Q16="Cancelled","Cancelled",IF(Q16="Returned","Returned","In Progress")))</f>
        <v>Completed</v>
      </c>
      <c r="V16" s="1" t="str">
        <f aca="false">IF(M16&gt;=10000,"High Value",IF(M16&gt;=5000,"Medium Value","Low Value"))</f>
        <v>Low Value</v>
      </c>
      <c r="W16" s="1" t="str">
        <f aca="false">IF(O16&gt;0,"Profitable",IF(O16=0,"Break-even","Loss"))</f>
        <v>Profitable</v>
      </c>
      <c r="X16" s="1" t="str">
        <f aca="false">IF(Q16="Cancelled","Not Applicable",IF(Q16="Processing","Pending",IF(B16="","Unknown",IF(Orders!J16="","Unknown",IF(Orders!J16&lt;=3,"Fast",IF(Orders!J16&lt;=6,"Standard","Slow"))))))</f>
        <v>Fast</v>
      </c>
      <c r="Y16" s="1" t="n">
        <f aca="false">IF(OR(Q16="Cancelled",Q16="Returned"),0,O16)</f>
        <v>349</v>
      </c>
    </row>
    <row r="17" customFormat="false" ht="15" hidden="false" customHeight="false" outlineLevel="0" collapsed="false">
      <c r="A17" s="6" t="str">
        <f aca="false">Orders!A17</f>
        <v>O000016</v>
      </c>
      <c r="B17" s="19" t="n">
        <f aca="false">Orders!B17</f>
        <v>45729</v>
      </c>
      <c r="C17" s="6" t="str">
        <f aca="false">Orders!C17</f>
        <v>C0176</v>
      </c>
      <c r="D17" s="6" t="str">
        <f aca="false">Orders!D17</f>
        <v>P1066</v>
      </c>
      <c r="E17" s="6" t="str">
        <f aca="false">INDEX(Products!$B$2:$B$101,MATCH(D17,Products!$A$2:$A$101,0))</f>
        <v>Gym Gloves</v>
      </c>
      <c r="F17" s="1" t="str">
        <f aca="false">INDEX(Products!$C$2:$C$101,MATCH(D17,Products!$A$2:$A$101,0))</f>
        <v>Sports &amp; Outdoors</v>
      </c>
      <c r="G17" s="6" t="n">
        <f aca="false">Orders!E17</f>
        <v>1</v>
      </c>
      <c r="H17" s="16" t="n">
        <f aca="false">INDEX(Products!$D$2:$D$101,MATCH(D17,Products!$A$2:$A$101,0))</f>
        <v>499</v>
      </c>
      <c r="I17" s="16" t="n">
        <f aca="false">INDEX(Products!$E$2:$E$101,MATCH(D17,Products!$A$2:$A$101,0))</f>
        <v>200</v>
      </c>
      <c r="J17" s="20" t="n">
        <f aca="false">Orders!F17</f>
        <v>0.05</v>
      </c>
      <c r="K17" s="6" t="n">
        <f aca="false">G17*H17</f>
        <v>499</v>
      </c>
      <c r="L17" s="6" t="n">
        <f aca="false">K17*J17</f>
        <v>24.95</v>
      </c>
      <c r="M17" s="6" t="n">
        <f aca="false">K17-L17</f>
        <v>474.05</v>
      </c>
      <c r="N17" s="6" t="n">
        <f aca="false">G17*I17</f>
        <v>200</v>
      </c>
      <c r="O17" s="6" t="n">
        <f aca="false">M17-N17</f>
        <v>274.05</v>
      </c>
      <c r="P17" s="21" t="n">
        <f aca="false">IFERROR(O17/M17,0)</f>
        <v>0.578103575572197</v>
      </c>
      <c r="Q17" s="6" t="str">
        <f aca="false">Orders!H17</f>
        <v>Cancelled</v>
      </c>
      <c r="R17" s="1" t="str">
        <f aca="false">INDEX(Customers!$C$2:$C$301,MATCH(C17,Customers!$A$2:$A$301,0))</f>
        <v>Chandigarh</v>
      </c>
      <c r="S17" s="1" t="str">
        <f aca="false">INDEX(Customers!$E$2:$E$301,MATCH(C17,Customers!$A$2:$A$301,0))</f>
        <v>New</v>
      </c>
      <c r="T17" s="6" t="str">
        <f aca="false">Orders!I17</f>
        <v>Marketplace</v>
      </c>
      <c r="U17" s="1" t="str">
        <f aca="false">IF(Q17="Delivered","Completed",IF(Q17="Cancelled","Cancelled",IF(Q17="Returned","Returned","In Progress")))</f>
        <v>Cancelled</v>
      </c>
      <c r="V17" s="1" t="str">
        <f aca="false">IF(M17&gt;=10000,"High Value",IF(M17&gt;=5000,"Medium Value","Low Value"))</f>
        <v>Low Value</v>
      </c>
      <c r="W17" s="1" t="str">
        <f aca="false">IF(O17&gt;0,"Profitable",IF(O17=0,"Break-even","Loss"))</f>
        <v>Profitable</v>
      </c>
      <c r="X17" s="1" t="str">
        <f aca="false">IF(Q17="Cancelled","Not Applicable",IF(Q17="Processing","Pending",IF(B17="","Unknown",IF(Orders!J17="","Unknown",IF(Orders!J17&lt;=3,"Fast",IF(Orders!J17&lt;=6,"Standard","Slow"))))))</f>
        <v>Not Applicable</v>
      </c>
      <c r="Y17" s="1" t="n">
        <f aca="false">IF(OR(Q17="Cancelled",Q17="Returned"),0,O17)</f>
        <v>0</v>
      </c>
    </row>
    <row r="18" customFormat="false" ht="15" hidden="false" customHeight="false" outlineLevel="0" collapsed="false">
      <c r="A18" s="6" t="str">
        <f aca="false">Orders!A18</f>
        <v>O000017</v>
      </c>
      <c r="B18" s="19" t="n">
        <f aca="false">Orders!B18</f>
        <v>45849</v>
      </c>
      <c r="C18" s="6" t="str">
        <f aca="false">Orders!C18</f>
        <v>C0220</v>
      </c>
      <c r="D18" s="6" t="str">
        <f aca="false">Orders!D18</f>
        <v>P1010</v>
      </c>
      <c r="E18" s="6" t="str">
        <f aca="false">INDEX(Products!$B$2:$B$101,MATCH(D18,Products!$A$2:$A$101,0))</f>
        <v>Webcam</v>
      </c>
      <c r="F18" s="1" t="str">
        <f aca="false">INDEX(Products!$C$2:$C$101,MATCH(D18,Products!$A$2:$A$101,0))</f>
        <v>Electronics</v>
      </c>
      <c r="G18" s="6" t="n">
        <f aca="false">Orders!E18</f>
        <v>3</v>
      </c>
      <c r="H18" s="16" t="n">
        <f aca="false">INDEX(Products!$D$2:$D$101,MATCH(D18,Products!$A$2:$A$101,0))</f>
        <v>1799</v>
      </c>
      <c r="I18" s="16" t="n">
        <f aca="false">INDEX(Products!$E$2:$E$101,MATCH(D18,Products!$A$2:$A$101,0))</f>
        <v>1050</v>
      </c>
      <c r="J18" s="20" t="n">
        <f aca="false">Orders!F18</f>
        <v>0.15</v>
      </c>
      <c r="K18" s="6" t="n">
        <f aca="false">G18*H18</f>
        <v>5397</v>
      </c>
      <c r="L18" s="6" t="n">
        <f aca="false">K18*J18</f>
        <v>809.55</v>
      </c>
      <c r="M18" s="6" t="n">
        <f aca="false">K18-L18</f>
        <v>4587.45</v>
      </c>
      <c r="N18" s="6" t="n">
        <f aca="false">G18*I18</f>
        <v>3150</v>
      </c>
      <c r="O18" s="6" t="n">
        <f aca="false">M18-N18</f>
        <v>1437.45</v>
      </c>
      <c r="P18" s="21" t="n">
        <f aca="false">IFERROR(O18/M18,0)</f>
        <v>0.313344014648661</v>
      </c>
      <c r="Q18" s="6" t="str">
        <f aca="false">Orders!H18</f>
        <v>Delivered</v>
      </c>
      <c r="R18" s="1" t="str">
        <f aca="false">INDEX(Customers!$C$2:$C$301,MATCH(C18,Customers!$A$2:$A$301,0))</f>
        <v>Visakhapatnam</v>
      </c>
      <c r="S18" s="1" t="str">
        <f aca="false">INDEX(Customers!$E$2:$E$301,MATCH(C18,Customers!$A$2:$A$301,0))</f>
        <v>New</v>
      </c>
      <c r="T18" s="6" t="str">
        <f aca="false">Orders!I18</f>
        <v>Website</v>
      </c>
      <c r="U18" s="1" t="str">
        <f aca="false">IF(Q18="Delivered","Completed",IF(Q18="Cancelled","Cancelled",IF(Q18="Returned","Returned","In Progress")))</f>
        <v>Completed</v>
      </c>
      <c r="V18" s="1" t="str">
        <f aca="false">IF(M18&gt;=10000,"High Value",IF(M18&gt;=5000,"Medium Value","Low Value"))</f>
        <v>Low Value</v>
      </c>
      <c r="W18" s="1" t="str">
        <f aca="false">IF(O18&gt;0,"Profitable",IF(O18=0,"Break-even","Loss"))</f>
        <v>Profitable</v>
      </c>
      <c r="X18" s="1" t="str">
        <f aca="false">IF(Q18="Cancelled","Not Applicable",IF(Q18="Processing","Pending",IF(B18="","Unknown",IF(Orders!J18="","Unknown",IF(Orders!J18&lt;=3,"Fast",IF(Orders!J18&lt;=6,"Standard","Slow"))))))</f>
        <v>Standard</v>
      </c>
      <c r="Y18" s="1" t="n">
        <f aca="false">IF(OR(Q18="Cancelled",Q18="Returned"),0,O18)</f>
        <v>1437.45</v>
      </c>
    </row>
    <row r="19" customFormat="false" ht="15" hidden="false" customHeight="false" outlineLevel="0" collapsed="false">
      <c r="A19" s="6" t="str">
        <f aca="false">Orders!A19</f>
        <v>O000018</v>
      </c>
      <c r="B19" s="19" t="n">
        <f aca="false">Orders!B19</f>
        <v>45673</v>
      </c>
      <c r="C19" s="6" t="str">
        <f aca="false">Orders!C19</f>
        <v>C0209</v>
      </c>
      <c r="D19" s="6" t="str">
        <f aca="false">Orders!D19</f>
        <v>P1050</v>
      </c>
      <c r="E19" s="6" t="str">
        <f aca="false">INDEX(Products!$B$2:$B$101,MATCH(D19,Products!$A$2:$A$101,0))</f>
        <v>Hair Serum</v>
      </c>
      <c r="F19" s="1" t="str">
        <f aca="false">INDEX(Products!$C$2:$C$101,MATCH(D19,Products!$A$2:$A$101,0))</f>
        <v>Beauty</v>
      </c>
      <c r="G19" s="6" t="n">
        <f aca="false">Orders!E19</f>
        <v>1</v>
      </c>
      <c r="H19" s="16" t="n">
        <f aca="false">INDEX(Products!$D$2:$D$101,MATCH(D19,Products!$A$2:$A$101,0))</f>
        <v>449</v>
      </c>
      <c r="I19" s="16" t="n">
        <f aca="false">INDEX(Products!$E$2:$E$101,MATCH(D19,Products!$A$2:$A$101,0))</f>
        <v>190</v>
      </c>
      <c r="J19" s="20" t="n">
        <f aca="false">Orders!F19</f>
        <v>0.1</v>
      </c>
      <c r="K19" s="6" t="n">
        <f aca="false">G19*H19</f>
        <v>449</v>
      </c>
      <c r="L19" s="6" t="n">
        <f aca="false">K19*J19</f>
        <v>44.9</v>
      </c>
      <c r="M19" s="6" t="n">
        <f aca="false">K19-L19</f>
        <v>404.1</v>
      </c>
      <c r="N19" s="6" t="n">
        <f aca="false">G19*I19</f>
        <v>190</v>
      </c>
      <c r="O19" s="6" t="n">
        <f aca="false">M19-N19</f>
        <v>214.1</v>
      </c>
      <c r="P19" s="21" t="n">
        <f aca="false">IFERROR(O19/M19,0)</f>
        <v>0.529819351645632</v>
      </c>
      <c r="Q19" s="6" t="str">
        <f aca="false">Orders!H19</f>
        <v>Delivered</v>
      </c>
      <c r="R19" s="1" t="str">
        <f aca="false">INDEX(Customers!$C$2:$C$301,MATCH(C19,Customers!$A$2:$A$301,0))</f>
        <v>Ahmedabad</v>
      </c>
      <c r="S19" s="1" t="str">
        <f aca="false">INDEX(Customers!$E$2:$E$301,MATCH(C19,Customers!$A$2:$A$301,0))</f>
        <v>Returning</v>
      </c>
      <c r="T19" s="6" t="str">
        <f aca="false">Orders!I19</f>
        <v>Website</v>
      </c>
      <c r="U19" s="1" t="str">
        <f aca="false">IF(Q19="Delivered","Completed",IF(Q19="Cancelled","Cancelled",IF(Q19="Returned","Returned","In Progress")))</f>
        <v>Completed</v>
      </c>
      <c r="V19" s="1" t="str">
        <f aca="false">IF(M19&gt;=10000,"High Value",IF(M19&gt;=5000,"Medium Value","Low Value"))</f>
        <v>Low Value</v>
      </c>
      <c r="W19" s="1" t="str">
        <f aca="false">IF(O19&gt;0,"Profitable",IF(O19=0,"Break-even","Loss"))</f>
        <v>Profitable</v>
      </c>
      <c r="X19" s="1" t="str">
        <f aca="false">IF(Q19="Cancelled","Not Applicable",IF(Q19="Processing","Pending",IF(B19="","Unknown",IF(Orders!J19="","Unknown",IF(Orders!J19&lt;=3,"Fast",IF(Orders!J19&lt;=6,"Standard","Slow"))))))</f>
        <v>Slow</v>
      </c>
      <c r="Y19" s="1" t="n">
        <f aca="false">IF(OR(Q19="Cancelled",Q19="Returned"),0,O19)</f>
        <v>214.1</v>
      </c>
    </row>
    <row r="20" customFormat="false" ht="15" hidden="false" customHeight="false" outlineLevel="0" collapsed="false">
      <c r="A20" s="6" t="str">
        <f aca="false">Orders!A20</f>
        <v>O000019</v>
      </c>
      <c r="B20" s="19" t="n">
        <f aca="false">Orders!B20</f>
        <v>45791</v>
      </c>
      <c r="C20" s="6" t="str">
        <f aca="false">Orders!C20</f>
        <v>C0146</v>
      </c>
      <c r="D20" s="6" t="str">
        <f aca="false">Orders!D20</f>
        <v>P1028</v>
      </c>
      <c r="E20" s="6" t="str">
        <f aca="false">INDEX(Products!$B$2:$B$101,MATCH(D20,Products!$A$2:$A$101,0))</f>
        <v>Sneakers</v>
      </c>
      <c r="F20" s="1" t="str">
        <f aca="false">INDEX(Products!$C$2:$C$101,MATCH(D20,Products!$A$2:$A$101,0))</f>
        <v>Fashion</v>
      </c>
      <c r="G20" s="6" t="n">
        <f aca="false">Orders!E20</f>
        <v>2</v>
      </c>
      <c r="H20" s="16" t="n">
        <f aca="false">INDEX(Products!$D$2:$D$101,MATCH(D20,Products!$A$2:$A$101,0))</f>
        <v>1799</v>
      </c>
      <c r="I20" s="16" t="n">
        <f aca="false">INDEX(Products!$E$2:$E$101,MATCH(D20,Products!$A$2:$A$101,0))</f>
        <v>950</v>
      </c>
      <c r="J20" s="20" t="n">
        <f aca="false">Orders!F20</f>
        <v>0.2</v>
      </c>
      <c r="K20" s="6" t="n">
        <f aca="false">G20*H20</f>
        <v>3598</v>
      </c>
      <c r="L20" s="6" t="n">
        <f aca="false">K20*J20</f>
        <v>719.6</v>
      </c>
      <c r="M20" s="6" t="n">
        <f aca="false">K20-L20</f>
        <v>2878.4</v>
      </c>
      <c r="N20" s="6" t="n">
        <f aca="false">G20*I20</f>
        <v>1900</v>
      </c>
      <c r="O20" s="6" t="n">
        <f aca="false">M20-N20</f>
        <v>978.4</v>
      </c>
      <c r="P20" s="21" t="n">
        <f aca="false">IFERROR(O20/M20,0)</f>
        <v>0.339911061700945</v>
      </c>
      <c r="Q20" s="6" t="str">
        <f aca="false">Orders!H20</f>
        <v>Returned</v>
      </c>
      <c r="R20" s="1" t="str">
        <f aca="false">INDEX(Customers!$C$2:$C$301,MATCH(C20,Customers!$A$2:$A$301,0))</f>
        <v>Kolkata</v>
      </c>
      <c r="S20" s="1" t="str">
        <f aca="false">INDEX(Customers!$E$2:$E$301,MATCH(C20,Customers!$A$2:$A$301,0))</f>
        <v>New</v>
      </c>
      <c r="T20" s="6" t="str">
        <f aca="false">Orders!I20</f>
        <v>Mobile App</v>
      </c>
      <c r="U20" s="1" t="str">
        <f aca="false">IF(Q20="Delivered","Completed",IF(Q20="Cancelled","Cancelled",IF(Q20="Returned","Returned","In Progress")))</f>
        <v>Returned</v>
      </c>
      <c r="V20" s="1" t="str">
        <f aca="false">IF(M20&gt;=10000,"High Value",IF(M20&gt;=5000,"Medium Value","Low Value"))</f>
        <v>Low Value</v>
      </c>
      <c r="W20" s="1" t="str">
        <f aca="false">IF(O20&gt;0,"Profitable",IF(O20=0,"Break-even","Loss"))</f>
        <v>Profitable</v>
      </c>
      <c r="X20" s="1" t="str">
        <f aca="false">IF(Q20="Cancelled","Not Applicable",IF(Q20="Processing","Pending",IF(B20="","Unknown",IF(Orders!J20="","Unknown",IF(Orders!J20&lt;=3,"Fast",IF(Orders!J20&lt;=6,"Standard","Slow"))))))</f>
        <v>Standard</v>
      </c>
      <c r="Y20" s="1" t="n">
        <f aca="false">IF(OR(Q20="Cancelled",Q20="Returned"),0,O20)</f>
        <v>0</v>
      </c>
    </row>
    <row r="21" customFormat="false" ht="15" hidden="false" customHeight="false" outlineLevel="0" collapsed="false">
      <c r="A21" s="6" t="str">
        <f aca="false">Orders!A21</f>
        <v>O000020</v>
      </c>
      <c r="B21" s="19" t="n">
        <f aca="false">Orders!B21</f>
        <v>45891</v>
      </c>
      <c r="C21" s="6" t="str">
        <f aca="false">Orders!C21</f>
        <v>C0168</v>
      </c>
      <c r="D21" s="6" t="str">
        <f aca="false">Orders!D21</f>
        <v>P1040</v>
      </c>
      <c r="E21" s="6" t="str">
        <f aca="false">INDEX(Products!$B$2:$B$101,MATCH(D21,Products!$A$2:$A$101,0))</f>
        <v>Curtain Set</v>
      </c>
      <c r="F21" s="1" t="str">
        <f aca="false">INDEX(Products!$C$2:$C$101,MATCH(D21,Products!$A$2:$A$101,0))</f>
        <v>Home &amp; Kitchen</v>
      </c>
      <c r="G21" s="6" t="n">
        <f aca="false">Orders!E21</f>
        <v>1</v>
      </c>
      <c r="H21" s="16" t="n">
        <f aca="false">INDEX(Products!$D$2:$D$101,MATCH(D21,Products!$A$2:$A$101,0))</f>
        <v>1099</v>
      </c>
      <c r="I21" s="16" t="n">
        <f aca="false">INDEX(Products!$E$2:$E$101,MATCH(D21,Products!$A$2:$A$101,0))</f>
        <v>550</v>
      </c>
      <c r="J21" s="20" t="n">
        <f aca="false">Orders!F21</f>
        <v>0.2</v>
      </c>
      <c r="K21" s="6" t="n">
        <f aca="false">G21*H21</f>
        <v>1099</v>
      </c>
      <c r="L21" s="6" t="n">
        <f aca="false">K21*J21</f>
        <v>219.8</v>
      </c>
      <c r="M21" s="6" t="n">
        <f aca="false">K21-L21</f>
        <v>879.2</v>
      </c>
      <c r="N21" s="6" t="n">
        <f aca="false">G21*I21</f>
        <v>550</v>
      </c>
      <c r="O21" s="6" t="n">
        <f aca="false">M21-N21</f>
        <v>329.2</v>
      </c>
      <c r="P21" s="21" t="n">
        <f aca="false">IFERROR(O21/M21,0)</f>
        <v>0.374431301182894</v>
      </c>
      <c r="Q21" s="6" t="str">
        <f aca="false">Orders!H21</f>
        <v>Delivered</v>
      </c>
      <c r="R21" s="1" t="str">
        <f aca="false">INDEX(Customers!$C$2:$C$301,MATCH(C21,Customers!$A$2:$A$301,0))</f>
        <v>Jaipur</v>
      </c>
      <c r="S21" s="1" t="str">
        <f aca="false">INDEX(Customers!$E$2:$E$301,MATCH(C21,Customers!$A$2:$A$301,0))</f>
        <v>Returning</v>
      </c>
      <c r="T21" s="6" t="str">
        <f aca="false">Orders!I21</f>
        <v>Mobile App</v>
      </c>
      <c r="U21" s="1" t="str">
        <f aca="false">IF(Q21="Delivered","Completed",IF(Q21="Cancelled","Cancelled",IF(Q21="Returned","Returned","In Progress")))</f>
        <v>Completed</v>
      </c>
      <c r="V21" s="1" t="str">
        <f aca="false">IF(M21&gt;=10000,"High Value",IF(M21&gt;=5000,"Medium Value","Low Value"))</f>
        <v>Low Value</v>
      </c>
      <c r="W21" s="1" t="str">
        <f aca="false">IF(O21&gt;0,"Profitable",IF(O21=0,"Break-even","Loss"))</f>
        <v>Profitable</v>
      </c>
      <c r="X21" s="1" t="str">
        <f aca="false">IF(Q21="Cancelled","Not Applicable",IF(Q21="Processing","Pending",IF(B21="","Unknown",IF(Orders!J21="","Unknown",IF(Orders!J21&lt;=3,"Fast",IF(Orders!J21&lt;=6,"Standard","Slow"))))))</f>
        <v>Fast</v>
      </c>
      <c r="Y21" s="1" t="n">
        <f aca="false">IF(OR(Q21="Cancelled",Q21="Returned"),0,O21)</f>
        <v>329.2</v>
      </c>
    </row>
    <row r="22" customFormat="false" ht="15" hidden="false" customHeight="false" outlineLevel="0" collapsed="false">
      <c r="A22" s="6" t="str">
        <f aca="false">Orders!A22</f>
        <v>O000021</v>
      </c>
      <c r="B22" s="19" t="n">
        <f aca="false">Orders!B22</f>
        <v>45813</v>
      </c>
      <c r="C22" s="6" t="str">
        <f aca="false">Orders!C22</f>
        <v>C0231</v>
      </c>
      <c r="D22" s="6" t="str">
        <f aca="false">Orders!D22</f>
        <v>P1019</v>
      </c>
      <c r="E22" s="6" t="str">
        <f aca="false">INDEX(Products!$B$2:$B$101,MATCH(D22,Products!$A$2:$A$101,0))</f>
        <v>Running Shoes</v>
      </c>
      <c r="F22" s="1" t="str">
        <f aca="false">INDEX(Products!$C$2:$C$101,MATCH(D22,Products!$A$2:$A$101,0))</f>
        <v>Fashion</v>
      </c>
      <c r="G22" s="6" t="n">
        <f aca="false">Orders!E22</f>
        <v>5</v>
      </c>
      <c r="H22" s="16" t="n">
        <f aca="false">INDEX(Products!$D$2:$D$101,MATCH(D22,Products!$A$2:$A$101,0))</f>
        <v>1999</v>
      </c>
      <c r="I22" s="16" t="n">
        <f aca="false">INDEX(Products!$E$2:$E$101,MATCH(D22,Products!$A$2:$A$101,0))</f>
        <v>1100</v>
      </c>
      <c r="J22" s="20" t="n">
        <f aca="false">Orders!F22</f>
        <v>0.1</v>
      </c>
      <c r="K22" s="6" t="n">
        <f aca="false">G22*H22</f>
        <v>9995</v>
      </c>
      <c r="L22" s="6" t="n">
        <f aca="false">K22*J22</f>
        <v>999.5</v>
      </c>
      <c r="M22" s="6" t="n">
        <f aca="false">K22-L22</f>
        <v>8995.5</v>
      </c>
      <c r="N22" s="6" t="n">
        <f aca="false">G22*I22</f>
        <v>5500</v>
      </c>
      <c r="O22" s="6" t="n">
        <f aca="false">M22-N22</f>
        <v>3495.5</v>
      </c>
      <c r="P22" s="21" t="n">
        <f aca="false">IFERROR(O22/M22,0)</f>
        <v>0.388583180479128</v>
      </c>
      <c r="Q22" s="6" t="str">
        <f aca="false">Orders!H22</f>
        <v>Returned</v>
      </c>
      <c r="R22" s="1" t="str">
        <f aca="false">INDEX(Customers!$C$2:$C$301,MATCH(C22,Customers!$A$2:$A$301,0))</f>
        <v>Gurugram</v>
      </c>
      <c r="S22" s="1" t="str">
        <f aca="false">INDEX(Customers!$E$2:$E$301,MATCH(C22,Customers!$A$2:$A$301,0))</f>
        <v>New</v>
      </c>
      <c r="T22" s="6" t="str">
        <f aca="false">Orders!I22</f>
        <v>Mobile App</v>
      </c>
      <c r="U22" s="1" t="str">
        <f aca="false">IF(Q22="Delivered","Completed",IF(Q22="Cancelled","Cancelled",IF(Q22="Returned","Returned","In Progress")))</f>
        <v>Returned</v>
      </c>
      <c r="V22" s="1" t="str">
        <f aca="false">IF(M22&gt;=10000,"High Value",IF(M22&gt;=5000,"Medium Value","Low Value"))</f>
        <v>Medium Value</v>
      </c>
      <c r="W22" s="1" t="str">
        <f aca="false">IF(O22&gt;0,"Profitable",IF(O22=0,"Break-even","Loss"))</f>
        <v>Profitable</v>
      </c>
      <c r="X22" s="1" t="str">
        <f aca="false">IF(Q22="Cancelled","Not Applicable",IF(Q22="Processing","Pending",IF(B22="","Unknown",IF(Orders!J22="","Unknown",IF(Orders!J22&lt;=3,"Fast",IF(Orders!J22&lt;=6,"Standard","Slow"))))))</f>
        <v>Fast</v>
      </c>
      <c r="Y22" s="1" t="n">
        <f aca="false">IF(OR(Q22="Cancelled",Q22="Returned"),0,O22)</f>
        <v>0</v>
      </c>
    </row>
    <row r="23" customFormat="false" ht="15" hidden="false" customHeight="false" outlineLevel="0" collapsed="false">
      <c r="A23" s="6" t="str">
        <f aca="false">Orders!A23</f>
        <v>O000022</v>
      </c>
      <c r="B23" s="19" t="n">
        <f aca="false">Orders!B23</f>
        <v>45707</v>
      </c>
      <c r="C23" s="6" t="str">
        <f aca="false">Orders!C23</f>
        <v>C0037</v>
      </c>
      <c r="D23" s="6" t="str">
        <f aca="false">Orders!D23</f>
        <v>P1050</v>
      </c>
      <c r="E23" s="6" t="str">
        <f aca="false">INDEX(Products!$B$2:$B$101,MATCH(D23,Products!$A$2:$A$101,0))</f>
        <v>Hair Serum</v>
      </c>
      <c r="F23" s="1" t="str">
        <f aca="false">INDEX(Products!$C$2:$C$101,MATCH(D23,Products!$A$2:$A$101,0))</f>
        <v>Beauty</v>
      </c>
      <c r="G23" s="6" t="n">
        <f aca="false">Orders!E23</f>
        <v>2</v>
      </c>
      <c r="H23" s="16" t="n">
        <f aca="false">INDEX(Products!$D$2:$D$101,MATCH(D23,Products!$A$2:$A$101,0))</f>
        <v>449</v>
      </c>
      <c r="I23" s="16" t="n">
        <f aca="false">INDEX(Products!$E$2:$E$101,MATCH(D23,Products!$A$2:$A$101,0))</f>
        <v>190</v>
      </c>
      <c r="J23" s="20" t="n">
        <f aca="false">Orders!F23</f>
        <v>0</v>
      </c>
      <c r="K23" s="6" t="n">
        <f aca="false">G23*H23</f>
        <v>898</v>
      </c>
      <c r="L23" s="6" t="n">
        <f aca="false">K23*J23</f>
        <v>0</v>
      </c>
      <c r="M23" s="6" t="n">
        <f aca="false">K23-L23</f>
        <v>898</v>
      </c>
      <c r="N23" s="6" t="n">
        <f aca="false">G23*I23</f>
        <v>380</v>
      </c>
      <c r="O23" s="6" t="n">
        <f aca="false">M23-N23</f>
        <v>518</v>
      </c>
      <c r="P23" s="21" t="n">
        <f aca="false">IFERROR(O23/M23,0)</f>
        <v>0.576837416481069</v>
      </c>
      <c r="Q23" s="6" t="str">
        <f aca="false">Orders!H23</f>
        <v>Delivered</v>
      </c>
      <c r="R23" s="1" t="str">
        <f aca="false">INDEX(Customers!$C$2:$C$301,MATCH(C23,Customers!$A$2:$A$301,0))</f>
        <v>Surat</v>
      </c>
      <c r="S23" s="1" t="str">
        <f aca="false">INDEX(Customers!$E$2:$E$301,MATCH(C23,Customers!$A$2:$A$301,0))</f>
        <v>Returning</v>
      </c>
      <c r="T23" s="6" t="str">
        <f aca="false">Orders!I23</f>
        <v>Mobile App</v>
      </c>
      <c r="U23" s="1" t="str">
        <f aca="false">IF(Q23="Delivered","Completed",IF(Q23="Cancelled","Cancelled",IF(Q23="Returned","Returned","In Progress")))</f>
        <v>Completed</v>
      </c>
      <c r="V23" s="1" t="str">
        <f aca="false">IF(M23&gt;=10000,"High Value",IF(M23&gt;=5000,"Medium Value","Low Value"))</f>
        <v>Low Value</v>
      </c>
      <c r="W23" s="1" t="str">
        <f aca="false">IF(O23&gt;0,"Profitable",IF(O23=0,"Break-even","Loss"))</f>
        <v>Profitable</v>
      </c>
      <c r="X23" s="1" t="str">
        <f aca="false">IF(Q23="Cancelled","Not Applicable",IF(Q23="Processing","Pending",IF(B23="","Unknown",IF(Orders!J23="","Unknown",IF(Orders!J23&lt;=3,"Fast",IF(Orders!J23&lt;=6,"Standard","Slow"))))))</f>
        <v>Slow</v>
      </c>
      <c r="Y23" s="1" t="n">
        <f aca="false">IF(OR(Q23="Cancelled",Q23="Returned"),0,O23)</f>
        <v>518</v>
      </c>
    </row>
    <row r="24" customFormat="false" ht="15" hidden="false" customHeight="false" outlineLevel="0" collapsed="false">
      <c r="A24" s="6" t="str">
        <f aca="false">Orders!A24</f>
        <v>O000023</v>
      </c>
      <c r="B24" s="19" t="n">
        <f aca="false">Orders!B24</f>
        <v>45661</v>
      </c>
      <c r="C24" s="6" t="str">
        <f aca="false">Orders!C24</f>
        <v>C0117</v>
      </c>
      <c r="D24" s="6" t="str">
        <f aca="false">Orders!D24</f>
        <v>P1058</v>
      </c>
      <c r="E24" s="6" t="str">
        <f aca="false">INDEX(Products!$B$2:$B$101,MATCH(D24,Products!$A$2:$A$101,0))</f>
        <v>Nail Care Kit</v>
      </c>
      <c r="F24" s="1" t="str">
        <f aca="false">INDEX(Products!$C$2:$C$101,MATCH(D24,Products!$A$2:$A$101,0))</f>
        <v>Beauty</v>
      </c>
      <c r="G24" s="6" t="n">
        <f aca="false">Orders!E24</f>
        <v>2</v>
      </c>
      <c r="H24" s="16" t="n">
        <f aca="false">INDEX(Products!$D$2:$D$101,MATCH(D24,Products!$A$2:$A$101,0))</f>
        <v>399</v>
      </c>
      <c r="I24" s="16" t="n">
        <f aca="false">INDEX(Products!$E$2:$E$101,MATCH(D24,Products!$A$2:$A$101,0))</f>
        <v>170</v>
      </c>
      <c r="J24" s="20" t="n">
        <f aca="false">Orders!F24</f>
        <v>0.2</v>
      </c>
      <c r="K24" s="6" t="n">
        <f aca="false">G24*H24</f>
        <v>798</v>
      </c>
      <c r="L24" s="6" t="n">
        <f aca="false">K24*J24</f>
        <v>159.6</v>
      </c>
      <c r="M24" s="6" t="n">
        <f aca="false">K24-L24</f>
        <v>638.4</v>
      </c>
      <c r="N24" s="6" t="n">
        <f aca="false">G24*I24</f>
        <v>340</v>
      </c>
      <c r="O24" s="6" t="n">
        <f aca="false">M24-N24</f>
        <v>298.4</v>
      </c>
      <c r="P24" s="21" t="n">
        <f aca="false">IFERROR(O24/M24,0)</f>
        <v>0.467418546365915</v>
      </c>
      <c r="Q24" s="6" t="str">
        <f aca="false">Orders!H24</f>
        <v>Delivered</v>
      </c>
      <c r="R24" s="1" t="str">
        <f aca="false">INDEX(Customers!$C$2:$C$301,MATCH(C24,Customers!$A$2:$A$301,0))</f>
        <v>Surat</v>
      </c>
      <c r="S24" s="1" t="str">
        <f aca="false">INDEX(Customers!$E$2:$E$301,MATCH(C24,Customers!$A$2:$A$301,0))</f>
        <v>Returning</v>
      </c>
      <c r="T24" s="6" t="str">
        <f aca="false">Orders!I24</f>
        <v>Website</v>
      </c>
      <c r="U24" s="1" t="str">
        <f aca="false">IF(Q24="Delivered","Completed",IF(Q24="Cancelled","Cancelled",IF(Q24="Returned","Returned","In Progress")))</f>
        <v>Completed</v>
      </c>
      <c r="V24" s="1" t="str">
        <f aca="false">IF(M24&gt;=10000,"High Value",IF(M24&gt;=5000,"Medium Value","Low Value"))</f>
        <v>Low Value</v>
      </c>
      <c r="W24" s="1" t="str">
        <f aca="false">IF(O24&gt;0,"Profitable",IF(O24=0,"Break-even","Loss"))</f>
        <v>Profitable</v>
      </c>
      <c r="X24" s="1" t="str">
        <f aca="false">IF(Q24="Cancelled","Not Applicable",IF(Q24="Processing","Pending",IF(B24="","Unknown",IF(Orders!J24="","Unknown",IF(Orders!J24&lt;=3,"Fast",IF(Orders!J24&lt;=6,"Standard","Slow"))))))</f>
        <v>Standard</v>
      </c>
      <c r="Y24" s="1" t="n">
        <f aca="false">IF(OR(Q24="Cancelled",Q24="Returned"),0,O24)</f>
        <v>298.4</v>
      </c>
    </row>
    <row r="25" customFormat="false" ht="15" hidden="false" customHeight="false" outlineLevel="0" collapsed="false">
      <c r="A25" s="6" t="str">
        <f aca="false">Orders!A25</f>
        <v>O000024</v>
      </c>
      <c r="B25" s="19" t="n">
        <f aca="false">Orders!B25</f>
        <v>45928</v>
      </c>
      <c r="C25" s="6" t="str">
        <f aca="false">Orders!C25</f>
        <v>C0027</v>
      </c>
      <c r="D25" s="6" t="str">
        <f aca="false">Orders!D25</f>
        <v>P1026</v>
      </c>
      <c r="E25" s="6" t="str">
        <f aca="false">INDEX(Products!$B$2:$B$101,MATCH(D25,Products!$A$2:$A$101,0))</f>
        <v>Sunglasses</v>
      </c>
      <c r="F25" s="1" t="str">
        <f aca="false">INDEX(Products!$C$2:$C$101,MATCH(D25,Products!$A$2:$A$101,0))</f>
        <v>Fashion</v>
      </c>
      <c r="G25" s="6" t="n">
        <f aca="false">Orders!E25</f>
        <v>1</v>
      </c>
      <c r="H25" s="16" t="n">
        <f aca="false">INDEX(Products!$D$2:$D$101,MATCH(D25,Products!$A$2:$A$101,0))</f>
        <v>799</v>
      </c>
      <c r="I25" s="16" t="n">
        <f aca="false">INDEX(Products!$E$2:$E$101,MATCH(D25,Products!$A$2:$A$101,0))</f>
        <v>300</v>
      </c>
      <c r="J25" s="20" t="n">
        <f aca="false">Orders!F25</f>
        <v>0.15</v>
      </c>
      <c r="K25" s="6" t="n">
        <f aca="false">G25*H25</f>
        <v>799</v>
      </c>
      <c r="L25" s="6" t="n">
        <f aca="false">K25*J25</f>
        <v>119.85</v>
      </c>
      <c r="M25" s="6" t="n">
        <f aca="false">K25-L25</f>
        <v>679.15</v>
      </c>
      <c r="N25" s="6" t="n">
        <f aca="false">G25*I25</f>
        <v>300</v>
      </c>
      <c r="O25" s="6" t="n">
        <f aca="false">M25-N25</f>
        <v>379.15</v>
      </c>
      <c r="P25" s="21" t="n">
        <f aca="false">IFERROR(O25/M25,0)</f>
        <v>0.558271368622543</v>
      </c>
      <c r="Q25" s="6" t="str">
        <f aca="false">Orders!H25</f>
        <v>Processing</v>
      </c>
      <c r="R25" s="1" t="str">
        <f aca="false">INDEX(Customers!$C$2:$C$301,MATCH(C25,Customers!$A$2:$A$301,0))</f>
        <v>Pune</v>
      </c>
      <c r="S25" s="1" t="str">
        <f aca="false">INDEX(Customers!$E$2:$E$301,MATCH(C25,Customers!$A$2:$A$301,0))</f>
        <v>Returning</v>
      </c>
      <c r="T25" s="6" t="str">
        <f aca="false">Orders!I25</f>
        <v>Mobile App</v>
      </c>
      <c r="U25" s="1" t="str">
        <f aca="false">IF(Q25="Delivered","Completed",IF(Q25="Cancelled","Cancelled",IF(Q25="Returned","Returned","In Progress")))</f>
        <v>In Progress</v>
      </c>
      <c r="V25" s="1" t="str">
        <f aca="false">IF(M25&gt;=10000,"High Value",IF(M25&gt;=5000,"Medium Value","Low Value"))</f>
        <v>Low Value</v>
      </c>
      <c r="W25" s="1" t="str">
        <f aca="false">IF(O25&gt;0,"Profitable",IF(O25=0,"Break-even","Loss"))</f>
        <v>Profitable</v>
      </c>
      <c r="X25" s="1" t="str">
        <f aca="false">IF(Q25="Cancelled","Not Applicable",IF(Q25="Processing","Pending",IF(B25="","Unknown",IF(Orders!J25="","Unknown",IF(Orders!J25&lt;=3,"Fast",IF(Orders!J25&lt;=6,"Standard","Slow"))))))</f>
        <v>Pending</v>
      </c>
      <c r="Y25" s="1" t="n">
        <f aca="false">IF(OR(Q25="Cancelled",Q25="Returned"),0,O25)</f>
        <v>379.15</v>
      </c>
    </row>
    <row r="26" customFormat="false" ht="15" hidden="false" customHeight="false" outlineLevel="0" collapsed="false">
      <c r="A26" s="6" t="str">
        <f aca="false">Orders!A26</f>
        <v>O000025</v>
      </c>
      <c r="B26" s="19" t="n">
        <f aca="false">Orders!B26</f>
        <v>45986</v>
      </c>
      <c r="C26" s="6" t="str">
        <f aca="false">Orders!C26</f>
        <v>C0027</v>
      </c>
      <c r="D26" s="6" t="str">
        <f aca="false">Orders!D26</f>
        <v>P1089</v>
      </c>
      <c r="E26" s="6" t="str">
        <f aca="false">INDEX(Products!$B$2:$B$101,MATCH(D26,Products!$A$2:$A$101,0))</f>
        <v>Mixer Grinder</v>
      </c>
      <c r="F26" s="1" t="str">
        <f aca="false">INDEX(Products!$C$2:$C$101,MATCH(D26,Products!$A$2:$A$101,0))</f>
        <v>Appliances</v>
      </c>
      <c r="G26" s="6" t="n">
        <f aca="false">Orders!E26</f>
        <v>1</v>
      </c>
      <c r="H26" s="16" t="n">
        <f aca="false">INDEX(Products!$D$2:$D$101,MATCH(D26,Products!$A$2:$A$101,0))</f>
        <v>2499</v>
      </c>
      <c r="I26" s="16" t="n">
        <f aca="false">INDEX(Products!$E$2:$E$101,MATCH(D26,Products!$A$2:$A$101,0))</f>
        <v>1550</v>
      </c>
      <c r="J26" s="20" t="n">
        <f aca="false">Orders!F26</f>
        <v>0</v>
      </c>
      <c r="K26" s="6" t="n">
        <f aca="false">G26*H26</f>
        <v>2499</v>
      </c>
      <c r="L26" s="6" t="n">
        <f aca="false">K26*J26</f>
        <v>0</v>
      </c>
      <c r="M26" s="6" t="n">
        <f aca="false">K26-L26</f>
        <v>2499</v>
      </c>
      <c r="N26" s="6" t="n">
        <f aca="false">G26*I26</f>
        <v>1550</v>
      </c>
      <c r="O26" s="6" t="n">
        <f aca="false">M26-N26</f>
        <v>949</v>
      </c>
      <c r="P26" s="21" t="n">
        <f aca="false">IFERROR(O26/M26,0)</f>
        <v>0.379751900760304</v>
      </c>
      <c r="Q26" s="6" t="str">
        <f aca="false">Orders!H26</f>
        <v>Delivered</v>
      </c>
      <c r="R26" s="1" t="str">
        <f aca="false">INDEX(Customers!$C$2:$C$301,MATCH(C26,Customers!$A$2:$A$301,0))</f>
        <v>Pune</v>
      </c>
      <c r="S26" s="1" t="str">
        <f aca="false">INDEX(Customers!$E$2:$E$301,MATCH(C26,Customers!$A$2:$A$301,0))</f>
        <v>Returning</v>
      </c>
      <c r="T26" s="6" t="str">
        <f aca="false">Orders!I26</f>
        <v>Website</v>
      </c>
      <c r="U26" s="1" t="str">
        <f aca="false">IF(Q26="Delivered","Completed",IF(Q26="Cancelled","Cancelled",IF(Q26="Returned","Returned","In Progress")))</f>
        <v>Completed</v>
      </c>
      <c r="V26" s="1" t="str">
        <f aca="false">IF(M26&gt;=10000,"High Value",IF(M26&gt;=5000,"Medium Value","Low Value"))</f>
        <v>Low Value</v>
      </c>
      <c r="W26" s="1" t="str">
        <f aca="false">IF(O26&gt;0,"Profitable",IF(O26=0,"Break-even","Loss"))</f>
        <v>Profitable</v>
      </c>
      <c r="X26" s="1" t="str">
        <f aca="false">IF(Q26="Cancelled","Not Applicable",IF(Q26="Processing","Pending",IF(B26="","Unknown",IF(Orders!J26="","Unknown",IF(Orders!J26&lt;=3,"Fast",IF(Orders!J26&lt;=6,"Standard","Slow"))))))</f>
        <v>Slow</v>
      </c>
      <c r="Y26" s="1" t="n">
        <f aca="false">IF(OR(Q26="Cancelled",Q26="Returned"),0,O26)</f>
        <v>949</v>
      </c>
    </row>
    <row r="27" customFormat="false" ht="15" hidden="false" customHeight="false" outlineLevel="0" collapsed="false">
      <c r="A27" s="6" t="str">
        <f aca="false">Orders!A27</f>
        <v>O000026</v>
      </c>
      <c r="B27" s="19" t="n">
        <f aca="false">Orders!B27</f>
        <v>45894</v>
      </c>
      <c r="C27" s="6" t="str">
        <f aca="false">Orders!C27</f>
        <v>C0076</v>
      </c>
      <c r="D27" s="6" t="str">
        <f aca="false">Orders!D27</f>
        <v>P1036</v>
      </c>
      <c r="E27" s="6" t="str">
        <f aca="false">INDEX(Products!$B$2:$B$101,MATCH(D27,Products!$A$2:$A$101,0))</f>
        <v>Dinner Set</v>
      </c>
      <c r="F27" s="1" t="str">
        <f aca="false">INDEX(Products!$C$2:$C$101,MATCH(D27,Products!$A$2:$A$101,0))</f>
        <v>Home &amp; Kitchen</v>
      </c>
      <c r="G27" s="6" t="n">
        <f aca="false">Orders!E27</f>
        <v>1</v>
      </c>
      <c r="H27" s="16" t="n">
        <f aca="false">INDEX(Products!$D$2:$D$101,MATCH(D27,Products!$A$2:$A$101,0))</f>
        <v>1499</v>
      </c>
      <c r="I27" s="16" t="n">
        <f aca="false">INDEX(Products!$E$2:$E$101,MATCH(D27,Products!$A$2:$A$101,0))</f>
        <v>800</v>
      </c>
      <c r="J27" s="20" t="n">
        <f aca="false">Orders!F27</f>
        <v>0.2</v>
      </c>
      <c r="K27" s="6" t="n">
        <f aca="false">G27*H27</f>
        <v>1499</v>
      </c>
      <c r="L27" s="6" t="n">
        <f aca="false">K27*J27</f>
        <v>299.8</v>
      </c>
      <c r="M27" s="6" t="n">
        <f aca="false">K27-L27</f>
        <v>1199.2</v>
      </c>
      <c r="N27" s="6" t="n">
        <f aca="false">G27*I27</f>
        <v>800</v>
      </c>
      <c r="O27" s="6" t="n">
        <f aca="false">M27-N27</f>
        <v>399.2</v>
      </c>
      <c r="P27" s="21" t="n">
        <f aca="false">IFERROR(O27/M27,0)</f>
        <v>0.33288859239493</v>
      </c>
      <c r="Q27" s="6" t="str">
        <f aca="false">Orders!H27</f>
        <v>Delivered</v>
      </c>
      <c r="R27" s="1" t="str">
        <f aca="false">INDEX(Customers!$C$2:$C$301,MATCH(C27,Customers!$A$2:$A$301,0))</f>
        <v>Chandigarh</v>
      </c>
      <c r="S27" s="1" t="str">
        <f aca="false">INDEX(Customers!$E$2:$E$301,MATCH(C27,Customers!$A$2:$A$301,0))</f>
        <v>Returning</v>
      </c>
      <c r="T27" s="6" t="str">
        <f aca="false">Orders!I27</f>
        <v>Website</v>
      </c>
      <c r="U27" s="1" t="str">
        <f aca="false">IF(Q27="Delivered","Completed",IF(Q27="Cancelled","Cancelled",IF(Q27="Returned","Returned","In Progress")))</f>
        <v>Completed</v>
      </c>
      <c r="V27" s="1" t="str">
        <f aca="false">IF(M27&gt;=10000,"High Value",IF(M27&gt;=5000,"Medium Value","Low Value"))</f>
        <v>Low Value</v>
      </c>
      <c r="W27" s="1" t="str">
        <f aca="false">IF(O27&gt;0,"Profitable",IF(O27=0,"Break-even","Loss"))</f>
        <v>Profitable</v>
      </c>
      <c r="X27" s="1" t="str">
        <f aca="false">IF(Q27="Cancelled","Not Applicable",IF(Q27="Processing","Pending",IF(B27="","Unknown",IF(Orders!J27="","Unknown",IF(Orders!J27&lt;=3,"Fast",IF(Orders!J27&lt;=6,"Standard","Slow"))))))</f>
        <v>Standard</v>
      </c>
      <c r="Y27" s="1" t="n">
        <f aca="false">IF(OR(Q27="Cancelled",Q27="Returned"),0,O27)</f>
        <v>399.2</v>
      </c>
    </row>
    <row r="28" customFormat="false" ht="15" hidden="false" customHeight="false" outlineLevel="0" collapsed="false">
      <c r="A28" s="6" t="str">
        <f aca="false">Orders!A28</f>
        <v>O000027</v>
      </c>
      <c r="B28" s="19" t="n">
        <f aca="false">Orders!B28</f>
        <v>45752</v>
      </c>
      <c r="C28" s="6" t="str">
        <f aca="false">Orders!C28</f>
        <v>C0251</v>
      </c>
      <c r="D28" s="6" t="str">
        <f aca="false">Orders!D28</f>
        <v>P1044</v>
      </c>
      <c r="E28" s="6" t="str">
        <f aca="false">INDEX(Products!$B$2:$B$101,MATCH(D28,Products!$A$2:$A$101,0))</f>
        <v>Doormat</v>
      </c>
      <c r="F28" s="1" t="str">
        <f aca="false">INDEX(Products!$C$2:$C$101,MATCH(D28,Products!$A$2:$A$101,0))</f>
        <v>Home &amp; Kitchen</v>
      </c>
      <c r="G28" s="6" t="n">
        <f aca="false">Orders!E28</f>
        <v>3</v>
      </c>
      <c r="H28" s="16" t="n">
        <f aca="false">INDEX(Products!$D$2:$D$101,MATCH(D28,Products!$A$2:$A$101,0))</f>
        <v>299</v>
      </c>
      <c r="I28" s="16" t="n">
        <f aca="false">INDEX(Products!$E$2:$E$101,MATCH(D28,Products!$A$2:$A$101,0))</f>
        <v>100</v>
      </c>
      <c r="J28" s="20" t="n">
        <f aca="false">Orders!F28</f>
        <v>0.1</v>
      </c>
      <c r="K28" s="6" t="n">
        <f aca="false">G28*H28</f>
        <v>897</v>
      </c>
      <c r="L28" s="6" t="n">
        <f aca="false">K28*J28</f>
        <v>89.7</v>
      </c>
      <c r="M28" s="6" t="n">
        <f aca="false">K28-L28</f>
        <v>807.3</v>
      </c>
      <c r="N28" s="6" t="n">
        <f aca="false">G28*I28</f>
        <v>300</v>
      </c>
      <c r="O28" s="6" t="n">
        <f aca="false">M28-N28</f>
        <v>507.3</v>
      </c>
      <c r="P28" s="21" t="n">
        <f aca="false">IFERROR(O28/M28,0)</f>
        <v>0.628390932738759</v>
      </c>
      <c r="Q28" s="6" t="str">
        <f aca="false">Orders!H28</f>
        <v>Cancelled</v>
      </c>
      <c r="R28" s="1" t="str">
        <f aca="false">INDEX(Customers!$C$2:$C$301,MATCH(C28,Customers!$A$2:$A$301,0))</f>
        <v>Gurugram</v>
      </c>
      <c r="S28" s="1" t="str">
        <f aca="false">INDEX(Customers!$E$2:$E$301,MATCH(C28,Customers!$A$2:$A$301,0))</f>
        <v>Returning</v>
      </c>
      <c r="T28" s="6" t="str">
        <f aca="false">Orders!I28</f>
        <v>Website</v>
      </c>
      <c r="U28" s="1" t="str">
        <f aca="false">IF(Q28="Delivered","Completed",IF(Q28="Cancelled","Cancelled",IF(Q28="Returned","Returned","In Progress")))</f>
        <v>Cancelled</v>
      </c>
      <c r="V28" s="1" t="str">
        <f aca="false">IF(M28&gt;=10000,"High Value",IF(M28&gt;=5000,"Medium Value","Low Value"))</f>
        <v>Low Value</v>
      </c>
      <c r="W28" s="1" t="str">
        <f aca="false">IF(O28&gt;0,"Profitable",IF(O28=0,"Break-even","Loss"))</f>
        <v>Profitable</v>
      </c>
      <c r="X28" s="1" t="str">
        <f aca="false">IF(Q28="Cancelled","Not Applicable",IF(Q28="Processing","Pending",IF(B28="","Unknown",IF(Orders!J28="","Unknown",IF(Orders!J28&lt;=3,"Fast",IF(Orders!J28&lt;=6,"Standard","Slow"))))))</f>
        <v>Not Applicable</v>
      </c>
      <c r="Y28" s="1" t="n">
        <f aca="false">IF(OR(Q28="Cancelled",Q28="Returned"),0,O28)</f>
        <v>0</v>
      </c>
    </row>
    <row r="29" customFormat="false" ht="15" hidden="false" customHeight="false" outlineLevel="0" collapsed="false">
      <c r="A29" s="6" t="str">
        <f aca="false">Orders!A29</f>
        <v>O000028</v>
      </c>
      <c r="B29" s="19" t="n">
        <f aca="false">Orders!B29</f>
        <v>45887</v>
      </c>
      <c r="C29" s="6" t="str">
        <f aca="false">Orders!C29</f>
        <v>C0124</v>
      </c>
      <c r="D29" s="6" t="str">
        <f aca="false">Orders!D29</f>
        <v>P1022</v>
      </c>
      <c r="E29" s="6" t="str">
        <f aca="false">INDEX(Products!$B$2:$B$101,MATCH(D29,Products!$A$2:$A$101,0))</f>
        <v>Wallet</v>
      </c>
      <c r="F29" s="1" t="str">
        <f aca="false">INDEX(Products!$C$2:$C$101,MATCH(D29,Products!$A$2:$A$101,0))</f>
        <v>Fashion</v>
      </c>
      <c r="G29" s="6" t="n">
        <f aca="false">Orders!E29</f>
        <v>2</v>
      </c>
      <c r="H29" s="16" t="n">
        <f aca="false">INDEX(Products!$D$2:$D$101,MATCH(D29,Products!$A$2:$A$101,0))</f>
        <v>499</v>
      </c>
      <c r="I29" s="16" t="n">
        <f aca="false">INDEX(Products!$E$2:$E$101,MATCH(D29,Products!$A$2:$A$101,0))</f>
        <v>200</v>
      </c>
      <c r="J29" s="20" t="n">
        <f aca="false">Orders!F29</f>
        <v>0.25</v>
      </c>
      <c r="K29" s="6" t="n">
        <f aca="false">G29*H29</f>
        <v>998</v>
      </c>
      <c r="L29" s="6" t="n">
        <f aca="false">K29*J29</f>
        <v>249.5</v>
      </c>
      <c r="M29" s="6" t="n">
        <f aca="false">K29-L29</f>
        <v>748.5</v>
      </c>
      <c r="N29" s="6" t="n">
        <f aca="false">G29*I29</f>
        <v>400</v>
      </c>
      <c r="O29" s="6" t="n">
        <f aca="false">M29-N29</f>
        <v>348.5</v>
      </c>
      <c r="P29" s="21" t="n">
        <f aca="false">IFERROR(O29/M29,0)</f>
        <v>0.46559786239145</v>
      </c>
      <c r="Q29" s="6" t="str">
        <f aca="false">Orders!H29</f>
        <v>Shipped</v>
      </c>
      <c r="R29" s="1" t="str">
        <f aca="false">INDEX(Customers!$C$2:$C$301,MATCH(C29,Customers!$A$2:$A$301,0))</f>
        <v>Hyderabad</v>
      </c>
      <c r="S29" s="1" t="str">
        <f aca="false">INDEX(Customers!$E$2:$E$301,MATCH(C29,Customers!$A$2:$A$301,0))</f>
        <v>Returning</v>
      </c>
      <c r="T29" s="6" t="str">
        <f aca="false">Orders!I29</f>
        <v>Mobile App</v>
      </c>
      <c r="U29" s="1" t="str">
        <f aca="false">IF(Q29="Delivered","Completed",IF(Q29="Cancelled","Cancelled",IF(Q29="Returned","Returned","In Progress")))</f>
        <v>In Progress</v>
      </c>
      <c r="V29" s="1" t="str">
        <f aca="false">IF(M29&gt;=10000,"High Value",IF(M29&gt;=5000,"Medium Value","Low Value"))</f>
        <v>Low Value</v>
      </c>
      <c r="W29" s="1" t="str">
        <f aca="false">IF(O29&gt;0,"Profitable",IF(O29=0,"Break-even","Loss"))</f>
        <v>Profitable</v>
      </c>
      <c r="X29" s="1" t="str">
        <f aca="false">IF(Q29="Cancelled","Not Applicable",IF(Q29="Processing","Pending",IF(B29="","Unknown",IF(Orders!J29="","Unknown",IF(Orders!J29&lt;=3,"Fast",IF(Orders!J29&lt;=6,"Standard","Slow"))))))</f>
        <v>Fast</v>
      </c>
      <c r="Y29" s="1" t="n">
        <f aca="false">IF(OR(Q29="Cancelled",Q29="Returned"),0,O29)</f>
        <v>348.5</v>
      </c>
    </row>
    <row r="30" customFormat="false" ht="15" hidden="false" customHeight="false" outlineLevel="0" collapsed="false">
      <c r="A30" s="6" t="str">
        <f aca="false">Orders!A30</f>
        <v>O000029</v>
      </c>
      <c r="B30" s="19" t="n">
        <f aca="false">Orders!B30</f>
        <v>45693</v>
      </c>
      <c r="C30" s="6" t="str">
        <f aca="false">Orders!C30</f>
        <v>C0238</v>
      </c>
      <c r="D30" s="6" t="str">
        <f aca="false">Orders!D30</f>
        <v>P1023</v>
      </c>
      <c r="E30" s="6" t="str">
        <f aca="false">INDEX(Products!$B$2:$B$101,MATCH(D30,Products!$A$2:$A$101,0))</f>
        <v>Sports Cap</v>
      </c>
      <c r="F30" s="1" t="str">
        <f aca="false">INDEX(Products!$C$2:$C$101,MATCH(D30,Products!$A$2:$A$101,0))</f>
        <v>Fashion</v>
      </c>
      <c r="G30" s="6" t="n">
        <f aca="false">Orders!E30</f>
        <v>2</v>
      </c>
      <c r="H30" s="16" t="n">
        <f aca="false">INDEX(Products!$D$2:$D$101,MATCH(D30,Products!$A$2:$A$101,0))</f>
        <v>349</v>
      </c>
      <c r="I30" s="16" t="n">
        <f aca="false">INDEX(Products!$E$2:$E$101,MATCH(D30,Products!$A$2:$A$101,0))</f>
        <v>120</v>
      </c>
      <c r="J30" s="20" t="n">
        <f aca="false">Orders!F30</f>
        <v>0</v>
      </c>
      <c r="K30" s="6" t="n">
        <f aca="false">G30*H30</f>
        <v>698</v>
      </c>
      <c r="L30" s="6" t="n">
        <f aca="false">K30*J30</f>
        <v>0</v>
      </c>
      <c r="M30" s="6" t="n">
        <f aca="false">K30-L30</f>
        <v>698</v>
      </c>
      <c r="N30" s="6" t="n">
        <f aca="false">G30*I30</f>
        <v>240</v>
      </c>
      <c r="O30" s="6" t="n">
        <f aca="false">M30-N30</f>
        <v>458</v>
      </c>
      <c r="P30" s="21" t="n">
        <f aca="false">IFERROR(O30/M30,0)</f>
        <v>0.656160458452722</v>
      </c>
      <c r="Q30" s="6" t="str">
        <f aca="false">Orders!H30</f>
        <v>Delivered</v>
      </c>
      <c r="R30" s="1" t="str">
        <f aca="false">INDEX(Customers!$C$2:$C$301,MATCH(C30,Customers!$A$2:$A$301,0))</f>
        <v>Nagpur</v>
      </c>
      <c r="S30" s="1" t="str">
        <f aca="false">INDEX(Customers!$E$2:$E$301,MATCH(C30,Customers!$A$2:$A$301,0))</f>
        <v>Returning</v>
      </c>
      <c r="T30" s="6" t="str">
        <f aca="false">Orders!I30</f>
        <v>Mobile App</v>
      </c>
      <c r="U30" s="1" t="str">
        <f aca="false">IF(Q30="Delivered","Completed",IF(Q30="Cancelled","Cancelled",IF(Q30="Returned","Returned","In Progress")))</f>
        <v>Completed</v>
      </c>
      <c r="V30" s="1" t="str">
        <f aca="false">IF(M30&gt;=10000,"High Value",IF(M30&gt;=5000,"Medium Value","Low Value"))</f>
        <v>Low Value</v>
      </c>
      <c r="W30" s="1" t="str">
        <f aca="false">IF(O30&gt;0,"Profitable",IF(O30=0,"Break-even","Loss"))</f>
        <v>Profitable</v>
      </c>
      <c r="X30" s="1" t="str">
        <f aca="false">IF(Q30="Cancelled","Not Applicable",IF(Q30="Processing","Pending",IF(B30="","Unknown",IF(Orders!J30="","Unknown",IF(Orders!J30&lt;=3,"Fast",IF(Orders!J30&lt;=6,"Standard","Slow"))))))</f>
        <v>Slow</v>
      </c>
      <c r="Y30" s="1" t="n">
        <f aca="false">IF(OR(Q30="Cancelled",Q30="Returned"),0,O30)</f>
        <v>458</v>
      </c>
    </row>
    <row r="31" customFormat="false" ht="23.85" hidden="false" customHeight="false" outlineLevel="0" collapsed="false">
      <c r="A31" s="6" t="str">
        <f aca="false">Orders!A31</f>
        <v>O000030</v>
      </c>
      <c r="B31" s="19" t="n">
        <f aca="false">Orders!B31</f>
        <v>45892</v>
      </c>
      <c r="C31" s="6" t="str">
        <f aca="false">Orders!C31</f>
        <v>C0066</v>
      </c>
      <c r="D31" s="6" t="str">
        <f aca="false">Orders!D31</f>
        <v>P1072</v>
      </c>
      <c r="E31" s="6" t="str">
        <f aca="false">INDEX(Products!$B$2:$B$101,MATCH(D31,Products!$A$2:$A$101,0))</f>
        <v>Tennis Balls Pack</v>
      </c>
      <c r="F31" s="1" t="str">
        <f aca="false">INDEX(Products!$C$2:$C$101,MATCH(D31,Products!$A$2:$A$101,0))</f>
        <v>Sports &amp; Outdoors</v>
      </c>
      <c r="G31" s="6" t="n">
        <f aca="false">Orders!E31</f>
        <v>1</v>
      </c>
      <c r="H31" s="16" t="n">
        <f aca="false">INDEX(Products!$D$2:$D$101,MATCH(D31,Products!$A$2:$A$101,0))</f>
        <v>399</v>
      </c>
      <c r="I31" s="16" t="n">
        <f aca="false">INDEX(Products!$E$2:$E$101,MATCH(D31,Products!$A$2:$A$101,0))</f>
        <v>160</v>
      </c>
      <c r="J31" s="20" t="n">
        <f aca="false">Orders!F31</f>
        <v>0.05</v>
      </c>
      <c r="K31" s="6" t="n">
        <f aca="false">G31*H31</f>
        <v>399</v>
      </c>
      <c r="L31" s="6" t="n">
        <f aca="false">K31*J31</f>
        <v>19.95</v>
      </c>
      <c r="M31" s="6" t="n">
        <f aca="false">K31-L31</f>
        <v>379.05</v>
      </c>
      <c r="N31" s="6" t="n">
        <f aca="false">G31*I31</f>
        <v>160</v>
      </c>
      <c r="O31" s="6" t="n">
        <f aca="false">M31-N31</f>
        <v>219.05</v>
      </c>
      <c r="P31" s="21" t="n">
        <f aca="false">IFERROR(O31/M31,0)</f>
        <v>0.577892098667722</v>
      </c>
      <c r="Q31" s="6" t="str">
        <f aca="false">Orders!H31</f>
        <v>Cancelled</v>
      </c>
      <c r="R31" s="1" t="str">
        <f aca="false">INDEX(Customers!$C$2:$C$301,MATCH(C31,Customers!$A$2:$A$301,0))</f>
        <v>Kolkata</v>
      </c>
      <c r="S31" s="1" t="str">
        <f aca="false">INDEX(Customers!$E$2:$E$301,MATCH(C31,Customers!$A$2:$A$301,0))</f>
        <v>New</v>
      </c>
      <c r="T31" s="6" t="str">
        <f aca="false">Orders!I31</f>
        <v>Website</v>
      </c>
      <c r="U31" s="1" t="str">
        <f aca="false">IF(Q31="Delivered","Completed",IF(Q31="Cancelled","Cancelled",IF(Q31="Returned","Returned","In Progress")))</f>
        <v>Cancelled</v>
      </c>
      <c r="V31" s="1" t="str">
        <f aca="false">IF(M31&gt;=10000,"High Value",IF(M31&gt;=5000,"Medium Value","Low Value"))</f>
        <v>Low Value</v>
      </c>
      <c r="W31" s="1" t="str">
        <f aca="false">IF(O31&gt;0,"Profitable",IF(O31=0,"Break-even","Loss"))</f>
        <v>Profitable</v>
      </c>
      <c r="X31" s="1" t="str">
        <f aca="false">IF(Q31="Cancelled","Not Applicable",IF(Q31="Processing","Pending",IF(B31="","Unknown",IF(Orders!J31="","Unknown",IF(Orders!J31&lt;=3,"Fast",IF(Orders!J31&lt;=6,"Standard","Slow"))))))</f>
        <v>Not Applicable</v>
      </c>
      <c r="Y31" s="1" t="n">
        <f aca="false">IF(OR(Q31="Cancelled",Q31="Returned"),0,O31)</f>
        <v>0</v>
      </c>
    </row>
    <row r="32" customFormat="false" ht="15" hidden="false" customHeight="false" outlineLevel="0" collapsed="false">
      <c r="A32" s="6" t="str">
        <f aca="false">Orders!A32</f>
        <v>O000031</v>
      </c>
      <c r="B32" s="19" t="n">
        <f aca="false">Orders!B32</f>
        <v>45846</v>
      </c>
      <c r="C32" s="6" t="str">
        <f aca="false">Orders!C32</f>
        <v>C0033</v>
      </c>
      <c r="D32" s="6" t="str">
        <f aca="false">Orders!D32</f>
        <v>P1042</v>
      </c>
      <c r="E32" s="6" t="str">
        <f aca="false">INDEX(Products!$B$2:$B$101,MATCH(D32,Products!$A$2:$A$101,0))</f>
        <v>Bath Towel Set</v>
      </c>
      <c r="F32" s="1" t="str">
        <f aca="false">INDEX(Products!$C$2:$C$101,MATCH(D32,Products!$A$2:$A$101,0))</f>
        <v>Home &amp; Kitchen</v>
      </c>
      <c r="G32" s="6" t="n">
        <f aca="false">Orders!E32</f>
        <v>1</v>
      </c>
      <c r="H32" s="16" t="n">
        <f aca="false">INDEX(Products!$D$2:$D$101,MATCH(D32,Products!$A$2:$A$101,0))</f>
        <v>799</v>
      </c>
      <c r="I32" s="16" t="n">
        <f aca="false">INDEX(Products!$E$2:$E$101,MATCH(D32,Products!$A$2:$A$101,0))</f>
        <v>360</v>
      </c>
      <c r="J32" s="20" t="n">
        <f aca="false">Orders!F32</f>
        <v>0</v>
      </c>
      <c r="K32" s="6" t="n">
        <f aca="false">G32*H32</f>
        <v>799</v>
      </c>
      <c r="L32" s="6" t="n">
        <f aca="false">K32*J32</f>
        <v>0</v>
      </c>
      <c r="M32" s="6" t="n">
        <f aca="false">K32-L32</f>
        <v>799</v>
      </c>
      <c r="N32" s="6" t="n">
        <f aca="false">G32*I32</f>
        <v>360</v>
      </c>
      <c r="O32" s="6" t="n">
        <f aca="false">M32-N32</f>
        <v>439</v>
      </c>
      <c r="P32" s="21" t="n">
        <f aca="false">IFERROR(O32/M32,0)</f>
        <v>0.549436795994994</v>
      </c>
      <c r="Q32" s="6" t="str">
        <f aca="false">Orders!H32</f>
        <v>Delivered</v>
      </c>
      <c r="R32" s="1" t="str">
        <f aca="false">INDEX(Customers!$C$2:$C$301,MATCH(C32,Customers!$A$2:$A$301,0))</f>
        <v>Kochi</v>
      </c>
      <c r="S32" s="1" t="str">
        <f aca="false">INDEX(Customers!$E$2:$E$301,MATCH(C32,Customers!$A$2:$A$301,0))</f>
        <v>VIP</v>
      </c>
      <c r="T32" s="6" t="str">
        <f aca="false">Orders!I32</f>
        <v>Mobile App</v>
      </c>
      <c r="U32" s="1" t="str">
        <f aca="false">IF(Q32="Delivered","Completed",IF(Q32="Cancelled","Cancelled",IF(Q32="Returned","Returned","In Progress")))</f>
        <v>Completed</v>
      </c>
      <c r="V32" s="1" t="str">
        <f aca="false">IF(M32&gt;=10000,"High Value",IF(M32&gt;=5000,"Medium Value","Low Value"))</f>
        <v>Low Value</v>
      </c>
      <c r="W32" s="1" t="str">
        <f aca="false">IF(O32&gt;0,"Profitable",IF(O32=0,"Break-even","Loss"))</f>
        <v>Profitable</v>
      </c>
      <c r="X32" s="1" t="str">
        <f aca="false">IF(Q32="Cancelled","Not Applicable",IF(Q32="Processing","Pending",IF(B32="","Unknown",IF(Orders!J32="","Unknown",IF(Orders!J32&lt;=3,"Fast",IF(Orders!J32&lt;=6,"Standard","Slow"))))))</f>
        <v>Fast</v>
      </c>
      <c r="Y32" s="1" t="n">
        <f aca="false">IF(OR(Q32="Cancelled",Q32="Returned"),0,O32)</f>
        <v>439</v>
      </c>
    </row>
    <row r="33" customFormat="false" ht="15" hidden="false" customHeight="false" outlineLevel="0" collapsed="false">
      <c r="A33" s="6" t="str">
        <f aca="false">Orders!A33</f>
        <v>O000032</v>
      </c>
      <c r="B33" s="19" t="n">
        <f aca="false">Orders!B33</f>
        <v>45704</v>
      </c>
      <c r="C33" s="6" t="str">
        <f aca="false">Orders!C33</f>
        <v>C0124</v>
      </c>
      <c r="D33" s="6" t="str">
        <f aca="false">Orders!D33</f>
        <v>P1006</v>
      </c>
      <c r="E33" s="6" t="str">
        <f aca="false">INDEX(Products!$B$2:$B$101,MATCH(D33,Products!$A$2:$A$101,0))</f>
        <v>Wireless Mouse</v>
      </c>
      <c r="F33" s="1" t="str">
        <f aca="false">INDEX(Products!$C$2:$C$101,MATCH(D33,Products!$A$2:$A$101,0))</f>
        <v>Electronics</v>
      </c>
      <c r="G33" s="6" t="n">
        <f aca="false">Orders!E33</f>
        <v>2</v>
      </c>
      <c r="H33" s="16" t="n">
        <f aca="false">INDEX(Products!$D$2:$D$101,MATCH(D33,Products!$A$2:$A$101,0))</f>
        <v>699</v>
      </c>
      <c r="I33" s="16" t="n">
        <f aca="false">INDEX(Products!$E$2:$E$101,MATCH(D33,Products!$A$2:$A$101,0))</f>
        <v>300</v>
      </c>
      <c r="J33" s="20" t="n">
        <f aca="false">Orders!F33</f>
        <v>0.2</v>
      </c>
      <c r="K33" s="6" t="n">
        <f aca="false">G33*H33</f>
        <v>1398</v>
      </c>
      <c r="L33" s="6" t="n">
        <f aca="false">K33*J33</f>
        <v>279.6</v>
      </c>
      <c r="M33" s="6" t="n">
        <f aca="false">K33-L33</f>
        <v>1118.4</v>
      </c>
      <c r="N33" s="6" t="n">
        <f aca="false">G33*I33</f>
        <v>600</v>
      </c>
      <c r="O33" s="6" t="n">
        <f aca="false">M33-N33</f>
        <v>518.4</v>
      </c>
      <c r="P33" s="21" t="n">
        <f aca="false">IFERROR(O33/M33,0)</f>
        <v>0.463519313304721</v>
      </c>
      <c r="Q33" s="6" t="str">
        <f aca="false">Orders!H33</f>
        <v>Cancelled</v>
      </c>
      <c r="R33" s="1" t="str">
        <f aca="false">INDEX(Customers!$C$2:$C$301,MATCH(C33,Customers!$A$2:$A$301,0))</f>
        <v>Hyderabad</v>
      </c>
      <c r="S33" s="1" t="str">
        <f aca="false">INDEX(Customers!$E$2:$E$301,MATCH(C33,Customers!$A$2:$A$301,0))</f>
        <v>Returning</v>
      </c>
      <c r="T33" s="6" t="str">
        <f aca="false">Orders!I33</f>
        <v>Mobile App</v>
      </c>
      <c r="U33" s="1" t="str">
        <f aca="false">IF(Q33="Delivered","Completed",IF(Q33="Cancelled","Cancelled",IF(Q33="Returned","Returned","In Progress")))</f>
        <v>Cancelled</v>
      </c>
      <c r="V33" s="1" t="str">
        <f aca="false">IF(M33&gt;=10000,"High Value",IF(M33&gt;=5000,"Medium Value","Low Value"))</f>
        <v>Low Value</v>
      </c>
      <c r="W33" s="1" t="str">
        <f aca="false">IF(O33&gt;0,"Profitable",IF(O33=0,"Break-even","Loss"))</f>
        <v>Profitable</v>
      </c>
      <c r="X33" s="1" t="str">
        <f aca="false">IF(Q33="Cancelled","Not Applicable",IF(Q33="Processing","Pending",IF(B33="","Unknown",IF(Orders!J33="","Unknown",IF(Orders!J33&lt;=3,"Fast",IF(Orders!J33&lt;=6,"Standard","Slow"))))))</f>
        <v>Not Applicable</v>
      </c>
      <c r="Y33" s="1" t="n">
        <f aca="false">IF(OR(Q33="Cancelled",Q33="Returned"),0,O33)</f>
        <v>0</v>
      </c>
    </row>
    <row r="34" customFormat="false" ht="15" hidden="false" customHeight="false" outlineLevel="0" collapsed="false">
      <c r="A34" s="6" t="str">
        <f aca="false">Orders!A34</f>
        <v>O000033</v>
      </c>
      <c r="B34" s="19" t="n">
        <f aca="false">Orders!B34</f>
        <v>45828</v>
      </c>
      <c r="C34" s="6" t="str">
        <f aca="false">Orders!C34</f>
        <v>C0057</v>
      </c>
      <c r="D34" s="6" t="str">
        <f aca="false">Orders!D34</f>
        <v>P1024</v>
      </c>
      <c r="E34" s="6" t="str">
        <f aca="false">INDEX(Products!$B$2:$B$101,MATCH(D34,Products!$A$2:$A$101,0))</f>
        <v>Kurta</v>
      </c>
      <c r="F34" s="1" t="str">
        <f aca="false">INDEX(Products!$C$2:$C$101,MATCH(D34,Products!$A$2:$A$101,0))</f>
        <v>Fashion</v>
      </c>
      <c r="G34" s="6" t="n">
        <f aca="false">Orders!E34</f>
        <v>1</v>
      </c>
      <c r="H34" s="16" t="n">
        <f aca="false">INDEX(Products!$D$2:$D$101,MATCH(D34,Products!$A$2:$A$101,0))</f>
        <v>999</v>
      </c>
      <c r="I34" s="16" t="n">
        <f aca="false">INDEX(Products!$E$2:$E$101,MATCH(D34,Products!$A$2:$A$101,0))</f>
        <v>450</v>
      </c>
      <c r="J34" s="20" t="n">
        <f aca="false">Orders!F34</f>
        <v>0.05</v>
      </c>
      <c r="K34" s="6" t="n">
        <f aca="false">G34*H34</f>
        <v>999</v>
      </c>
      <c r="L34" s="6" t="n">
        <f aca="false">K34*J34</f>
        <v>49.95</v>
      </c>
      <c r="M34" s="6" t="n">
        <f aca="false">K34-L34</f>
        <v>949.05</v>
      </c>
      <c r="N34" s="6" t="n">
        <f aca="false">G34*I34</f>
        <v>450</v>
      </c>
      <c r="O34" s="6" t="n">
        <f aca="false">M34-N34</f>
        <v>499.05</v>
      </c>
      <c r="P34" s="21" t="n">
        <f aca="false">IFERROR(O34/M34,0)</f>
        <v>0.525841631104789</v>
      </c>
      <c r="Q34" s="6" t="str">
        <f aca="false">Orders!H34</f>
        <v>Delivered</v>
      </c>
      <c r="R34" s="1" t="str">
        <f aca="false">INDEX(Customers!$C$2:$C$301,MATCH(C34,Customers!$A$2:$A$301,0))</f>
        <v>Surat</v>
      </c>
      <c r="S34" s="1" t="str">
        <f aca="false">INDEX(Customers!$E$2:$E$301,MATCH(C34,Customers!$A$2:$A$301,0))</f>
        <v>Returning</v>
      </c>
      <c r="T34" s="6" t="str">
        <f aca="false">Orders!I34</f>
        <v>Website</v>
      </c>
      <c r="U34" s="1" t="str">
        <f aca="false">IF(Q34="Delivered","Completed",IF(Q34="Cancelled","Cancelled",IF(Q34="Returned","Returned","In Progress")))</f>
        <v>Completed</v>
      </c>
      <c r="V34" s="1" t="str">
        <f aca="false">IF(M34&gt;=10000,"High Value",IF(M34&gt;=5000,"Medium Value","Low Value"))</f>
        <v>Low Value</v>
      </c>
      <c r="W34" s="1" t="str">
        <f aca="false">IF(O34&gt;0,"Profitable",IF(O34=0,"Break-even","Loss"))</f>
        <v>Profitable</v>
      </c>
      <c r="X34" s="1" t="str">
        <f aca="false">IF(Q34="Cancelled","Not Applicable",IF(Q34="Processing","Pending",IF(B34="","Unknown",IF(Orders!J34="","Unknown",IF(Orders!J34&lt;=3,"Fast",IF(Orders!J34&lt;=6,"Standard","Slow"))))))</f>
        <v>Slow</v>
      </c>
      <c r="Y34" s="1" t="n">
        <f aca="false">IF(OR(Q34="Cancelled",Q34="Returned"),0,O34)</f>
        <v>499.05</v>
      </c>
    </row>
    <row r="35" customFormat="false" ht="15" hidden="false" customHeight="false" outlineLevel="0" collapsed="false">
      <c r="A35" s="6" t="str">
        <f aca="false">Orders!A35</f>
        <v>O000034</v>
      </c>
      <c r="B35" s="19" t="n">
        <f aca="false">Orders!B35</f>
        <v>45709</v>
      </c>
      <c r="C35" s="6" t="str">
        <f aca="false">Orders!C35</f>
        <v>C0157</v>
      </c>
      <c r="D35" s="6" t="str">
        <f aca="false">Orders!D35</f>
        <v>P1027</v>
      </c>
      <c r="E35" s="6" t="str">
        <f aca="false">INDEX(Products!$B$2:$B$101,MATCH(D35,Products!$A$2:$A$101,0))</f>
        <v>Belt</v>
      </c>
      <c r="F35" s="1" t="str">
        <f aca="false">INDEX(Products!$C$2:$C$101,MATCH(D35,Products!$A$2:$A$101,0))</f>
        <v>Fashion</v>
      </c>
      <c r="G35" s="6" t="n">
        <f aca="false">Orders!E35</f>
        <v>4</v>
      </c>
      <c r="H35" s="16" t="n">
        <f aca="false">INDEX(Products!$D$2:$D$101,MATCH(D35,Products!$A$2:$A$101,0))</f>
        <v>399</v>
      </c>
      <c r="I35" s="16" t="n">
        <f aca="false">INDEX(Products!$E$2:$E$101,MATCH(D35,Products!$A$2:$A$101,0))</f>
        <v>160</v>
      </c>
      <c r="J35" s="20" t="n">
        <f aca="false">Orders!F35</f>
        <v>0.1</v>
      </c>
      <c r="K35" s="6" t="n">
        <f aca="false">G35*H35</f>
        <v>1596</v>
      </c>
      <c r="L35" s="6" t="n">
        <f aca="false">K35*J35</f>
        <v>159.6</v>
      </c>
      <c r="M35" s="6" t="n">
        <f aca="false">K35-L35</f>
        <v>1436.4</v>
      </c>
      <c r="N35" s="6" t="n">
        <f aca="false">G35*I35</f>
        <v>640</v>
      </c>
      <c r="O35" s="6" t="n">
        <f aca="false">M35-N35</f>
        <v>796.4</v>
      </c>
      <c r="P35" s="21" t="n">
        <f aca="false">IFERROR(O35/M35,0)</f>
        <v>0.554441659704818</v>
      </c>
      <c r="Q35" s="6" t="str">
        <f aca="false">Orders!H35</f>
        <v>Delivered</v>
      </c>
      <c r="R35" s="1" t="str">
        <f aca="false">INDEX(Customers!$C$2:$C$301,MATCH(C35,Customers!$A$2:$A$301,0))</f>
        <v>Surat</v>
      </c>
      <c r="S35" s="1" t="str">
        <f aca="false">INDEX(Customers!$E$2:$E$301,MATCH(C35,Customers!$A$2:$A$301,0))</f>
        <v>VIP</v>
      </c>
      <c r="T35" s="6" t="str">
        <f aca="false">Orders!I35</f>
        <v>Website</v>
      </c>
      <c r="U35" s="1" t="str">
        <f aca="false">IF(Q35="Delivered","Completed",IF(Q35="Cancelled","Cancelled",IF(Q35="Returned","Returned","In Progress")))</f>
        <v>Completed</v>
      </c>
      <c r="V35" s="1" t="str">
        <f aca="false">IF(M35&gt;=10000,"High Value",IF(M35&gt;=5000,"Medium Value","Low Value"))</f>
        <v>Low Value</v>
      </c>
      <c r="W35" s="1" t="str">
        <f aca="false">IF(O35&gt;0,"Profitable",IF(O35=0,"Break-even","Loss"))</f>
        <v>Profitable</v>
      </c>
      <c r="X35" s="1" t="str">
        <f aca="false">IF(Q35="Cancelled","Not Applicable",IF(Q35="Processing","Pending",IF(B35="","Unknown",IF(Orders!J35="","Unknown",IF(Orders!J35&lt;=3,"Fast",IF(Orders!J35&lt;=6,"Standard","Slow"))))))</f>
        <v>Slow</v>
      </c>
      <c r="Y35" s="1" t="n">
        <f aca="false">IF(OR(Q35="Cancelled",Q35="Returned"),0,O35)</f>
        <v>796.4</v>
      </c>
    </row>
    <row r="36" customFormat="false" ht="15" hidden="false" customHeight="false" outlineLevel="0" collapsed="false">
      <c r="A36" s="6" t="str">
        <f aca="false">Orders!A36</f>
        <v>O000035</v>
      </c>
      <c r="B36" s="19" t="n">
        <f aca="false">Orders!B36</f>
        <v>45866</v>
      </c>
      <c r="C36" s="6" t="str">
        <f aca="false">Orders!C36</f>
        <v>C0061</v>
      </c>
      <c r="D36" s="6" t="str">
        <f aca="false">Orders!D36</f>
        <v>P1020</v>
      </c>
      <c r="E36" s="6" t="str">
        <f aca="false">INDEX(Products!$B$2:$B$101,MATCH(D36,Products!$A$2:$A$101,0))</f>
        <v>Backpack</v>
      </c>
      <c r="F36" s="1" t="str">
        <f aca="false">INDEX(Products!$C$2:$C$101,MATCH(D36,Products!$A$2:$A$101,0))</f>
        <v>Fashion</v>
      </c>
      <c r="G36" s="6" t="n">
        <f aca="false">Orders!E36</f>
        <v>1</v>
      </c>
      <c r="H36" s="16" t="n">
        <f aca="false">INDEX(Products!$D$2:$D$101,MATCH(D36,Products!$A$2:$A$101,0))</f>
        <v>1199</v>
      </c>
      <c r="I36" s="16" t="n">
        <f aca="false">INDEX(Products!$E$2:$E$101,MATCH(D36,Products!$A$2:$A$101,0))</f>
        <v>600</v>
      </c>
      <c r="J36" s="20" t="n">
        <f aca="false">Orders!F36</f>
        <v>0.15</v>
      </c>
      <c r="K36" s="6" t="n">
        <f aca="false">G36*H36</f>
        <v>1199</v>
      </c>
      <c r="L36" s="6" t="n">
        <f aca="false">K36*J36</f>
        <v>179.85</v>
      </c>
      <c r="M36" s="6" t="n">
        <f aca="false">K36-L36</f>
        <v>1019.15</v>
      </c>
      <c r="N36" s="6" t="n">
        <f aca="false">G36*I36</f>
        <v>600</v>
      </c>
      <c r="O36" s="6" t="n">
        <f aca="false">M36-N36</f>
        <v>419.15</v>
      </c>
      <c r="P36" s="21" t="n">
        <f aca="false">IFERROR(O36/M36,0)</f>
        <v>0.411274100966492</v>
      </c>
      <c r="Q36" s="6" t="str">
        <f aca="false">Orders!H36</f>
        <v>Delivered</v>
      </c>
      <c r="R36" s="1" t="str">
        <f aca="false">INDEX(Customers!$C$2:$C$301,MATCH(C36,Customers!$A$2:$A$301,0))</f>
        <v>Delhi</v>
      </c>
      <c r="S36" s="1" t="str">
        <f aca="false">INDEX(Customers!$E$2:$E$301,MATCH(C36,Customers!$A$2:$A$301,0))</f>
        <v>New</v>
      </c>
      <c r="T36" s="6" t="str">
        <f aca="false">Orders!I36</f>
        <v>Mobile App</v>
      </c>
      <c r="U36" s="1" t="str">
        <f aca="false">IF(Q36="Delivered","Completed",IF(Q36="Cancelled","Cancelled",IF(Q36="Returned","Returned","In Progress")))</f>
        <v>Completed</v>
      </c>
      <c r="V36" s="1" t="str">
        <f aca="false">IF(M36&gt;=10000,"High Value",IF(M36&gt;=5000,"Medium Value","Low Value"))</f>
        <v>Low Value</v>
      </c>
      <c r="W36" s="1" t="str">
        <f aca="false">IF(O36&gt;0,"Profitable",IF(O36=0,"Break-even","Loss"))</f>
        <v>Profitable</v>
      </c>
      <c r="X36" s="1" t="str">
        <f aca="false">IF(Q36="Cancelled","Not Applicable",IF(Q36="Processing","Pending",IF(B36="","Unknown",IF(Orders!J36="","Unknown",IF(Orders!J36&lt;=3,"Fast",IF(Orders!J36&lt;=6,"Standard","Slow"))))))</f>
        <v>Standard</v>
      </c>
      <c r="Y36" s="1" t="n">
        <f aca="false">IF(OR(Q36="Cancelled",Q36="Returned"),0,O36)</f>
        <v>419.15</v>
      </c>
    </row>
    <row r="37" customFormat="false" ht="15" hidden="false" customHeight="false" outlineLevel="0" collapsed="false">
      <c r="A37" s="6" t="str">
        <f aca="false">Orders!A37</f>
        <v>O000036</v>
      </c>
      <c r="B37" s="19" t="n">
        <f aca="false">Orders!B37</f>
        <v>45663</v>
      </c>
      <c r="C37" s="6" t="str">
        <f aca="false">Orders!C37</f>
        <v>C0271</v>
      </c>
      <c r="D37" s="6" t="str">
        <f aca="false">Orders!D37</f>
        <v>P1003</v>
      </c>
      <c r="E37" s="6" t="str">
        <f aca="false">INDEX(Products!$B$2:$B$101,MATCH(D37,Products!$A$2:$A$101,0))</f>
        <v>Smart Watch</v>
      </c>
      <c r="F37" s="1" t="str">
        <f aca="false">INDEX(Products!$C$2:$C$101,MATCH(D37,Products!$A$2:$A$101,0))</f>
        <v>Electronics</v>
      </c>
      <c r="G37" s="6" t="n">
        <f aca="false">Orders!E37</f>
        <v>3</v>
      </c>
      <c r="H37" s="16" t="n">
        <f aca="false">INDEX(Products!$D$2:$D$101,MATCH(D37,Products!$A$2:$A$101,0))</f>
        <v>2499</v>
      </c>
      <c r="I37" s="16" t="n">
        <f aca="false">INDEX(Products!$E$2:$E$101,MATCH(D37,Products!$A$2:$A$101,0))</f>
        <v>1450</v>
      </c>
      <c r="J37" s="20" t="n">
        <f aca="false">Orders!F37</f>
        <v>0.2</v>
      </c>
      <c r="K37" s="6" t="n">
        <f aca="false">G37*H37</f>
        <v>7497</v>
      </c>
      <c r="L37" s="6" t="n">
        <f aca="false">K37*J37</f>
        <v>1499.4</v>
      </c>
      <c r="M37" s="6" t="n">
        <f aca="false">K37-L37</f>
        <v>5997.6</v>
      </c>
      <c r="N37" s="6" t="n">
        <f aca="false">G37*I37</f>
        <v>4350</v>
      </c>
      <c r="O37" s="6" t="n">
        <f aca="false">M37-N37</f>
        <v>1647.6</v>
      </c>
      <c r="P37" s="21" t="n">
        <f aca="false">IFERROR(O37/M37,0)</f>
        <v>0.274709883953582</v>
      </c>
      <c r="Q37" s="6" t="str">
        <f aca="false">Orders!H37</f>
        <v>Delivered</v>
      </c>
      <c r="R37" s="1" t="str">
        <f aca="false">INDEX(Customers!$C$2:$C$301,MATCH(C37,Customers!$A$2:$A$301,0))</f>
        <v>Gurugram</v>
      </c>
      <c r="S37" s="1" t="str">
        <f aca="false">INDEX(Customers!$E$2:$E$301,MATCH(C37,Customers!$A$2:$A$301,0))</f>
        <v>New</v>
      </c>
      <c r="T37" s="6" t="str">
        <f aca="false">Orders!I37</f>
        <v>Mobile App</v>
      </c>
      <c r="U37" s="1" t="str">
        <f aca="false">IF(Q37="Delivered","Completed",IF(Q37="Cancelled","Cancelled",IF(Q37="Returned","Returned","In Progress")))</f>
        <v>Completed</v>
      </c>
      <c r="V37" s="1" t="str">
        <f aca="false">IF(M37&gt;=10000,"High Value",IF(M37&gt;=5000,"Medium Value","Low Value"))</f>
        <v>Medium Value</v>
      </c>
      <c r="W37" s="1" t="str">
        <f aca="false">IF(O37&gt;0,"Profitable",IF(O37=0,"Break-even","Loss"))</f>
        <v>Profitable</v>
      </c>
      <c r="X37" s="1" t="str">
        <f aca="false">IF(Q37="Cancelled","Not Applicable",IF(Q37="Processing","Pending",IF(B37="","Unknown",IF(Orders!J37="","Unknown",IF(Orders!J37&lt;=3,"Fast",IF(Orders!J37&lt;=6,"Standard","Slow"))))))</f>
        <v>Fast</v>
      </c>
      <c r="Y37" s="1" t="n">
        <f aca="false">IF(OR(Q37="Cancelled",Q37="Returned"),0,O37)</f>
        <v>1647.6</v>
      </c>
    </row>
    <row r="38" customFormat="false" ht="23.85" hidden="false" customHeight="false" outlineLevel="0" collapsed="false">
      <c r="A38" s="6" t="str">
        <f aca="false">Orders!A38</f>
        <v>O000037</v>
      </c>
      <c r="B38" s="19" t="n">
        <f aca="false">Orders!B38</f>
        <v>45723</v>
      </c>
      <c r="C38" s="6" t="str">
        <f aca="false">Orders!C38</f>
        <v>C0194</v>
      </c>
      <c r="D38" s="6" t="str">
        <f aca="false">Orders!D38</f>
        <v>P1047</v>
      </c>
      <c r="E38" s="6" t="str">
        <f aca="false">INDEX(Products!$B$2:$B$101,MATCH(D38,Products!$A$2:$A$101,0))</f>
        <v>Sunscreen Lotion</v>
      </c>
      <c r="F38" s="1" t="str">
        <f aca="false">INDEX(Products!$C$2:$C$101,MATCH(D38,Products!$A$2:$A$101,0))</f>
        <v>Beauty</v>
      </c>
      <c r="G38" s="6" t="n">
        <f aca="false">Orders!E38</f>
        <v>5</v>
      </c>
      <c r="H38" s="16" t="n">
        <f aca="false">INDEX(Products!$D$2:$D$101,MATCH(D38,Products!$A$2:$A$101,0))</f>
        <v>399</v>
      </c>
      <c r="I38" s="16" t="n">
        <f aca="false">INDEX(Products!$E$2:$E$101,MATCH(D38,Products!$A$2:$A$101,0))</f>
        <v>170</v>
      </c>
      <c r="J38" s="20" t="n">
        <f aca="false">Orders!F38</f>
        <v>0.25</v>
      </c>
      <c r="K38" s="6" t="n">
        <f aca="false">G38*H38</f>
        <v>1995</v>
      </c>
      <c r="L38" s="6" t="n">
        <f aca="false">K38*J38</f>
        <v>498.75</v>
      </c>
      <c r="M38" s="6" t="n">
        <f aca="false">K38-L38</f>
        <v>1496.25</v>
      </c>
      <c r="N38" s="6" t="n">
        <f aca="false">G38*I38</f>
        <v>850</v>
      </c>
      <c r="O38" s="6" t="n">
        <f aca="false">M38-N38</f>
        <v>646.25</v>
      </c>
      <c r="P38" s="21" t="n">
        <f aca="false">IFERROR(O38/M38,0)</f>
        <v>0.431913116123642</v>
      </c>
      <c r="Q38" s="6" t="str">
        <f aca="false">Orders!H38</f>
        <v>Shipped</v>
      </c>
      <c r="R38" s="1" t="str">
        <f aca="false">INDEX(Customers!$C$2:$C$301,MATCH(C38,Customers!$A$2:$A$301,0))</f>
        <v>Indore</v>
      </c>
      <c r="S38" s="1" t="str">
        <f aca="false">INDEX(Customers!$E$2:$E$301,MATCH(C38,Customers!$A$2:$A$301,0))</f>
        <v>Returning</v>
      </c>
      <c r="T38" s="6" t="str">
        <f aca="false">Orders!I38</f>
        <v>Mobile App</v>
      </c>
      <c r="U38" s="1" t="str">
        <f aca="false">IF(Q38="Delivered","Completed",IF(Q38="Cancelled","Cancelled",IF(Q38="Returned","Returned","In Progress")))</f>
        <v>In Progress</v>
      </c>
      <c r="V38" s="1" t="str">
        <f aca="false">IF(M38&gt;=10000,"High Value",IF(M38&gt;=5000,"Medium Value","Low Value"))</f>
        <v>Low Value</v>
      </c>
      <c r="W38" s="1" t="str">
        <f aca="false">IF(O38&gt;0,"Profitable",IF(O38=0,"Break-even","Loss"))</f>
        <v>Profitable</v>
      </c>
      <c r="X38" s="1" t="str">
        <f aca="false">IF(Q38="Cancelled","Not Applicable",IF(Q38="Processing","Pending",IF(B38="","Unknown",IF(Orders!J38="","Unknown",IF(Orders!J38&lt;=3,"Fast",IF(Orders!J38&lt;=6,"Standard","Slow"))))))</f>
        <v>Slow</v>
      </c>
      <c r="Y38" s="1" t="n">
        <f aca="false">IF(OR(Q38="Cancelled",Q38="Returned"),0,O38)</f>
        <v>646.25</v>
      </c>
    </row>
    <row r="39" customFormat="false" ht="15" hidden="false" customHeight="false" outlineLevel="0" collapsed="false">
      <c r="A39" s="6" t="str">
        <f aca="false">Orders!A39</f>
        <v>O000038</v>
      </c>
      <c r="B39" s="19" t="n">
        <f aca="false">Orders!B39</f>
        <v>45947</v>
      </c>
      <c r="C39" s="6" t="str">
        <f aca="false">Orders!C39</f>
        <v>C0145</v>
      </c>
      <c r="D39" s="6" t="str">
        <f aca="false">Orders!D39</f>
        <v>P1038</v>
      </c>
      <c r="E39" s="6" t="str">
        <f aca="false">INDEX(Products!$B$2:$B$101,MATCH(D39,Products!$A$2:$A$101,0))</f>
        <v>Laundry Basket</v>
      </c>
      <c r="F39" s="1" t="str">
        <f aca="false">INDEX(Products!$C$2:$C$101,MATCH(D39,Products!$A$2:$A$101,0))</f>
        <v>Home &amp; Kitchen</v>
      </c>
      <c r="G39" s="6" t="n">
        <f aca="false">Orders!E39</f>
        <v>1</v>
      </c>
      <c r="H39" s="16" t="n">
        <f aca="false">INDEX(Products!$D$2:$D$101,MATCH(D39,Products!$A$2:$A$101,0))</f>
        <v>599</v>
      </c>
      <c r="I39" s="16" t="n">
        <f aca="false">INDEX(Products!$E$2:$E$101,MATCH(D39,Products!$A$2:$A$101,0))</f>
        <v>260</v>
      </c>
      <c r="J39" s="20" t="n">
        <f aca="false">Orders!F39</f>
        <v>0.1</v>
      </c>
      <c r="K39" s="6" t="n">
        <f aca="false">G39*H39</f>
        <v>599</v>
      </c>
      <c r="L39" s="6" t="n">
        <f aca="false">K39*J39</f>
        <v>59.9</v>
      </c>
      <c r="M39" s="6" t="n">
        <f aca="false">K39-L39</f>
        <v>539.1</v>
      </c>
      <c r="N39" s="6" t="n">
        <f aca="false">G39*I39</f>
        <v>260</v>
      </c>
      <c r="O39" s="6" t="n">
        <f aca="false">M39-N39</f>
        <v>279.1</v>
      </c>
      <c r="P39" s="21" t="n">
        <f aca="false">IFERROR(O39/M39,0)</f>
        <v>0.517714709701354</v>
      </c>
      <c r="Q39" s="6" t="str">
        <f aca="false">Orders!H39</f>
        <v>Delivered</v>
      </c>
      <c r="R39" s="1" t="str">
        <f aca="false">INDEX(Customers!$C$2:$C$301,MATCH(C39,Customers!$A$2:$A$301,0))</f>
        <v>Chennai</v>
      </c>
      <c r="S39" s="1" t="str">
        <f aca="false">INDEX(Customers!$E$2:$E$301,MATCH(C39,Customers!$A$2:$A$301,0))</f>
        <v>New</v>
      </c>
      <c r="T39" s="6" t="str">
        <f aca="false">Orders!I39</f>
        <v>Marketplace</v>
      </c>
      <c r="U39" s="1" t="str">
        <f aca="false">IF(Q39="Delivered","Completed",IF(Q39="Cancelled","Cancelled",IF(Q39="Returned","Returned","In Progress")))</f>
        <v>Completed</v>
      </c>
      <c r="V39" s="1" t="str">
        <f aca="false">IF(M39&gt;=10000,"High Value",IF(M39&gt;=5000,"Medium Value","Low Value"))</f>
        <v>Low Value</v>
      </c>
      <c r="W39" s="1" t="str">
        <f aca="false">IF(O39&gt;0,"Profitable",IF(O39=0,"Break-even","Loss"))</f>
        <v>Profitable</v>
      </c>
      <c r="X39" s="1" t="str">
        <f aca="false">IF(Q39="Cancelled","Not Applicable",IF(Q39="Processing","Pending",IF(B39="","Unknown",IF(Orders!J39="","Unknown",IF(Orders!J39&lt;=3,"Fast",IF(Orders!J39&lt;=6,"Standard","Slow"))))))</f>
        <v>Fast</v>
      </c>
      <c r="Y39" s="1" t="n">
        <f aca="false">IF(OR(Q39="Cancelled",Q39="Returned"),0,O39)</f>
        <v>279.1</v>
      </c>
    </row>
    <row r="40" customFormat="false" ht="23.85" hidden="false" customHeight="false" outlineLevel="0" collapsed="false">
      <c r="A40" s="6" t="str">
        <f aca="false">Orders!A40</f>
        <v>O000039</v>
      </c>
      <c r="B40" s="19" t="n">
        <f aca="false">Orders!B40</f>
        <v>45846</v>
      </c>
      <c r="C40" s="6" t="str">
        <f aca="false">Orders!C40</f>
        <v>C0187</v>
      </c>
      <c r="D40" s="6" t="str">
        <f aca="false">Orders!D40</f>
        <v>P1072</v>
      </c>
      <c r="E40" s="6" t="str">
        <f aca="false">INDEX(Products!$B$2:$B$101,MATCH(D40,Products!$A$2:$A$101,0))</f>
        <v>Tennis Balls Pack</v>
      </c>
      <c r="F40" s="1" t="str">
        <f aca="false">INDEX(Products!$C$2:$C$101,MATCH(D40,Products!$A$2:$A$101,0))</f>
        <v>Sports &amp; Outdoors</v>
      </c>
      <c r="G40" s="6" t="n">
        <f aca="false">Orders!E40</f>
        <v>1</v>
      </c>
      <c r="H40" s="16" t="n">
        <f aca="false">INDEX(Products!$D$2:$D$101,MATCH(D40,Products!$A$2:$A$101,0))</f>
        <v>399</v>
      </c>
      <c r="I40" s="16" t="n">
        <f aca="false">INDEX(Products!$E$2:$E$101,MATCH(D40,Products!$A$2:$A$101,0))</f>
        <v>160</v>
      </c>
      <c r="J40" s="20" t="n">
        <f aca="false">Orders!F40</f>
        <v>0.05</v>
      </c>
      <c r="K40" s="6" t="n">
        <f aca="false">G40*H40</f>
        <v>399</v>
      </c>
      <c r="L40" s="6" t="n">
        <f aca="false">K40*J40</f>
        <v>19.95</v>
      </c>
      <c r="M40" s="6" t="n">
        <f aca="false">K40-L40</f>
        <v>379.05</v>
      </c>
      <c r="N40" s="6" t="n">
        <f aca="false">G40*I40</f>
        <v>160</v>
      </c>
      <c r="O40" s="6" t="n">
        <f aca="false">M40-N40</f>
        <v>219.05</v>
      </c>
      <c r="P40" s="21" t="n">
        <f aca="false">IFERROR(O40/M40,0)</f>
        <v>0.577892098667722</v>
      </c>
      <c r="Q40" s="6" t="str">
        <f aca="false">Orders!H40</f>
        <v>Delivered</v>
      </c>
      <c r="R40" s="1" t="str">
        <f aca="false">INDEX(Customers!$C$2:$C$301,MATCH(C40,Customers!$A$2:$A$301,0))</f>
        <v>Pune</v>
      </c>
      <c r="S40" s="1" t="str">
        <f aca="false">INDEX(Customers!$E$2:$E$301,MATCH(C40,Customers!$A$2:$A$301,0))</f>
        <v>Returning</v>
      </c>
      <c r="T40" s="6" t="str">
        <f aca="false">Orders!I40</f>
        <v>Marketplace</v>
      </c>
      <c r="U40" s="1" t="str">
        <f aca="false">IF(Q40="Delivered","Completed",IF(Q40="Cancelled","Cancelled",IF(Q40="Returned","Returned","In Progress")))</f>
        <v>Completed</v>
      </c>
      <c r="V40" s="1" t="str">
        <f aca="false">IF(M40&gt;=10000,"High Value",IF(M40&gt;=5000,"Medium Value","Low Value"))</f>
        <v>Low Value</v>
      </c>
      <c r="W40" s="1" t="str">
        <f aca="false">IF(O40&gt;0,"Profitable",IF(O40=0,"Break-even","Loss"))</f>
        <v>Profitable</v>
      </c>
      <c r="X40" s="1" t="str">
        <f aca="false">IF(Q40="Cancelled","Not Applicable",IF(Q40="Processing","Pending",IF(B40="","Unknown",IF(Orders!J40="","Unknown",IF(Orders!J40&lt;=3,"Fast",IF(Orders!J40&lt;=6,"Standard","Slow"))))))</f>
        <v>Standard</v>
      </c>
      <c r="Y40" s="1" t="n">
        <f aca="false">IF(OR(Q40="Cancelled",Q40="Returned"),0,O40)</f>
        <v>219.05</v>
      </c>
    </row>
    <row r="41" customFormat="false" ht="15" hidden="false" customHeight="false" outlineLevel="0" collapsed="false">
      <c r="A41" s="6" t="str">
        <f aca="false">Orders!A41</f>
        <v>O000040</v>
      </c>
      <c r="B41" s="19" t="n">
        <f aca="false">Orders!B41</f>
        <v>45987</v>
      </c>
      <c r="C41" s="6" t="str">
        <f aca="false">Orders!C41</f>
        <v>C0052</v>
      </c>
      <c r="D41" s="6" t="str">
        <f aca="false">Orders!D41</f>
        <v>P1098</v>
      </c>
      <c r="E41" s="6" t="str">
        <f aca="false">INDEX(Products!$B$2:$B$101,MATCH(D41,Products!$A$2:$A$101,0))</f>
        <v>Steam Iron</v>
      </c>
      <c r="F41" s="1" t="str">
        <f aca="false">INDEX(Products!$C$2:$C$101,MATCH(D41,Products!$A$2:$A$101,0))</f>
        <v>Appliances</v>
      </c>
      <c r="G41" s="6" t="n">
        <f aca="false">Orders!E41</f>
        <v>1</v>
      </c>
      <c r="H41" s="16" t="n">
        <f aca="false">INDEX(Products!$D$2:$D$101,MATCH(D41,Products!$A$2:$A$101,0))</f>
        <v>999</v>
      </c>
      <c r="I41" s="16" t="n">
        <f aca="false">INDEX(Products!$E$2:$E$101,MATCH(D41,Products!$A$2:$A$101,0))</f>
        <v>550</v>
      </c>
      <c r="J41" s="20" t="n">
        <f aca="false">Orders!F41</f>
        <v>0.15</v>
      </c>
      <c r="K41" s="6" t="n">
        <f aca="false">G41*H41</f>
        <v>999</v>
      </c>
      <c r="L41" s="6" t="n">
        <f aca="false">K41*J41</f>
        <v>149.85</v>
      </c>
      <c r="M41" s="6" t="n">
        <f aca="false">K41-L41</f>
        <v>849.15</v>
      </c>
      <c r="N41" s="6" t="n">
        <f aca="false">G41*I41</f>
        <v>550</v>
      </c>
      <c r="O41" s="6" t="n">
        <f aca="false">M41-N41</f>
        <v>299.15</v>
      </c>
      <c r="P41" s="21" t="n">
        <f aca="false">IFERROR(O41/M41,0)</f>
        <v>0.352293469940529</v>
      </c>
      <c r="Q41" s="6" t="str">
        <f aca="false">Orders!H41</f>
        <v>Delivered</v>
      </c>
      <c r="R41" s="1" t="str">
        <f aca="false">INDEX(Customers!$C$2:$C$301,MATCH(C41,Customers!$A$2:$A$301,0))</f>
        <v>Noida</v>
      </c>
      <c r="S41" s="1" t="str">
        <f aca="false">INDEX(Customers!$E$2:$E$301,MATCH(C41,Customers!$A$2:$A$301,0))</f>
        <v>Returning</v>
      </c>
      <c r="T41" s="6" t="str">
        <f aca="false">Orders!I41</f>
        <v>Marketplace</v>
      </c>
      <c r="U41" s="1" t="str">
        <f aca="false">IF(Q41="Delivered","Completed",IF(Q41="Cancelled","Cancelled",IF(Q41="Returned","Returned","In Progress")))</f>
        <v>Completed</v>
      </c>
      <c r="V41" s="1" t="str">
        <f aca="false">IF(M41&gt;=10000,"High Value",IF(M41&gt;=5000,"Medium Value","Low Value"))</f>
        <v>Low Value</v>
      </c>
      <c r="W41" s="1" t="str">
        <f aca="false">IF(O41&gt;0,"Profitable",IF(O41=0,"Break-even","Loss"))</f>
        <v>Profitable</v>
      </c>
      <c r="X41" s="1" t="str">
        <f aca="false">IF(Q41="Cancelled","Not Applicable",IF(Q41="Processing","Pending",IF(B41="","Unknown",IF(Orders!J41="","Unknown",IF(Orders!J41&lt;=3,"Fast",IF(Orders!J41&lt;=6,"Standard","Slow"))))))</f>
        <v>Standard</v>
      </c>
      <c r="Y41" s="1" t="n">
        <f aca="false">IF(OR(Q41="Cancelled",Q41="Returned"),0,O41)</f>
        <v>299.15</v>
      </c>
    </row>
    <row r="42" customFormat="false" ht="23.85" hidden="false" customHeight="false" outlineLevel="0" collapsed="false">
      <c r="A42" s="6" t="str">
        <f aca="false">Orders!A42</f>
        <v>O000041</v>
      </c>
      <c r="B42" s="19" t="n">
        <f aca="false">Orders!B42</f>
        <v>45874</v>
      </c>
      <c r="C42" s="6" t="str">
        <f aca="false">Orders!C42</f>
        <v>C0280</v>
      </c>
      <c r="D42" s="6" t="str">
        <f aca="false">Orders!D42</f>
        <v>P1046</v>
      </c>
      <c r="E42" s="6" t="str">
        <f aca="false">INDEX(Products!$B$2:$B$101,MATCH(D42,Products!$A$2:$A$101,0))</f>
        <v>Face Moisturizer</v>
      </c>
      <c r="F42" s="1" t="str">
        <f aca="false">INDEX(Products!$C$2:$C$101,MATCH(D42,Products!$A$2:$A$101,0))</f>
        <v>Beauty</v>
      </c>
      <c r="G42" s="6" t="n">
        <f aca="false">Orders!E42</f>
        <v>1</v>
      </c>
      <c r="H42" s="16" t="n">
        <f aca="false">INDEX(Products!$D$2:$D$101,MATCH(D42,Products!$A$2:$A$101,0))</f>
        <v>499</v>
      </c>
      <c r="I42" s="16" t="n">
        <f aca="false">INDEX(Products!$E$2:$E$101,MATCH(D42,Products!$A$2:$A$101,0))</f>
        <v>220</v>
      </c>
      <c r="J42" s="20" t="n">
        <f aca="false">Orders!F42</f>
        <v>0.05</v>
      </c>
      <c r="K42" s="6" t="n">
        <f aca="false">G42*H42</f>
        <v>499</v>
      </c>
      <c r="L42" s="6" t="n">
        <f aca="false">K42*J42</f>
        <v>24.95</v>
      </c>
      <c r="M42" s="6" t="n">
        <f aca="false">K42-L42</f>
        <v>474.05</v>
      </c>
      <c r="N42" s="6" t="n">
        <f aca="false">G42*I42</f>
        <v>220</v>
      </c>
      <c r="O42" s="6" t="n">
        <f aca="false">M42-N42</f>
        <v>254.05</v>
      </c>
      <c r="P42" s="21" t="n">
        <f aca="false">IFERROR(O42/M42,0)</f>
        <v>0.535913933129417</v>
      </c>
      <c r="Q42" s="6" t="str">
        <f aca="false">Orders!H42</f>
        <v>Returned</v>
      </c>
      <c r="R42" s="1" t="str">
        <f aca="false">INDEX(Customers!$C$2:$C$301,MATCH(C42,Customers!$A$2:$A$301,0))</f>
        <v>Visakhapatnam</v>
      </c>
      <c r="S42" s="1" t="str">
        <f aca="false">INDEX(Customers!$E$2:$E$301,MATCH(C42,Customers!$A$2:$A$301,0))</f>
        <v>New</v>
      </c>
      <c r="T42" s="6" t="str">
        <f aca="false">Orders!I42</f>
        <v>Marketplace</v>
      </c>
      <c r="U42" s="1" t="str">
        <f aca="false">IF(Q42="Delivered","Completed",IF(Q42="Cancelled","Cancelled",IF(Q42="Returned","Returned","In Progress")))</f>
        <v>Returned</v>
      </c>
      <c r="V42" s="1" t="str">
        <f aca="false">IF(M42&gt;=10000,"High Value",IF(M42&gt;=5000,"Medium Value","Low Value"))</f>
        <v>Low Value</v>
      </c>
      <c r="W42" s="1" t="str">
        <f aca="false">IF(O42&gt;0,"Profitable",IF(O42=0,"Break-even","Loss"))</f>
        <v>Profitable</v>
      </c>
      <c r="X42" s="1" t="str">
        <f aca="false">IF(Q42="Cancelled","Not Applicable",IF(Q42="Processing","Pending",IF(B42="","Unknown",IF(Orders!J42="","Unknown",IF(Orders!J42&lt;=3,"Fast",IF(Orders!J42&lt;=6,"Standard","Slow"))))))</f>
        <v>Fast</v>
      </c>
      <c r="Y42" s="1" t="n">
        <f aca="false">IF(OR(Q42="Cancelled",Q42="Returned"),0,O42)</f>
        <v>0</v>
      </c>
    </row>
    <row r="43" customFormat="false" ht="15" hidden="false" customHeight="false" outlineLevel="0" collapsed="false">
      <c r="A43" s="6" t="str">
        <f aca="false">Orders!A43</f>
        <v>O000042</v>
      </c>
      <c r="B43" s="19" t="n">
        <f aca="false">Orders!B43</f>
        <v>45745</v>
      </c>
      <c r="C43" s="6" t="str">
        <f aca="false">Orders!C43</f>
        <v>C0114</v>
      </c>
      <c r="D43" s="6" t="str">
        <f aca="false">Orders!D43</f>
        <v>P1025</v>
      </c>
      <c r="E43" s="6" t="str">
        <f aca="false">INDEX(Products!$B$2:$B$101,MATCH(D43,Products!$A$2:$A$101,0))</f>
        <v>Hoodie</v>
      </c>
      <c r="F43" s="1" t="str">
        <f aca="false">INDEX(Products!$C$2:$C$101,MATCH(D43,Products!$A$2:$A$101,0))</f>
        <v>Fashion</v>
      </c>
      <c r="G43" s="6" t="n">
        <f aca="false">Orders!E43</f>
        <v>1</v>
      </c>
      <c r="H43" s="16" t="n">
        <f aca="false">INDEX(Products!$D$2:$D$101,MATCH(D43,Products!$A$2:$A$101,0))</f>
        <v>1399</v>
      </c>
      <c r="I43" s="16" t="n">
        <f aca="false">INDEX(Products!$E$2:$E$101,MATCH(D43,Products!$A$2:$A$101,0))</f>
        <v>720</v>
      </c>
      <c r="J43" s="20" t="n">
        <f aca="false">Orders!F43</f>
        <v>0.25</v>
      </c>
      <c r="K43" s="6" t="n">
        <f aca="false">G43*H43</f>
        <v>1399</v>
      </c>
      <c r="L43" s="6" t="n">
        <f aca="false">K43*J43</f>
        <v>349.75</v>
      </c>
      <c r="M43" s="6" t="n">
        <f aca="false">K43-L43</f>
        <v>1049.25</v>
      </c>
      <c r="N43" s="6" t="n">
        <f aca="false">G43*I43</f>
        <v>720</v>
      </c>
      <c r="O43" s="6" t="n">
        <f aca="false">M43-N43</f>
        <v>329.25</v>
      </c>
      <c r="P43" s="21" t="n">
        <f aca="false">IFERROR(O43/M43,0)</f>
        <v>0.313795568263045</v>
      </c>
      <c r="Q43" s="6" t="str">
        <f aca="false">Orders!H43</f>
        <v>Delivered</v>
      </c>
      <c r="R43" s="1" t="str">
        <f aca="false">INDEX(Customers!$C$2:$C$301,MATCH(C43,Customers!$A$2:$A$301,0))</f>
        <v>Indore</v>
      </c>
      <c r="S43" s="1" t="str">
        <f aca="false">INDEX(Customers!$E$2:$E$301,MATCH(C43,Customers!$A$2:$A$301,0))</f>
        <v>VIP</v>
      </c>
      <c r="T43" s="6" t="str">
        <f aca="false">Orders!I43</f>
        <v>Mobile App</v>
      </c>
      <c r="U43" s="1" t="str">
        <f aca="false">IF(Q43="Delivered","Completed",IF(Q43="Cancelled","Cancelled",IF(Q43="Returned","Returned","In Progress")))</f>
        <v>Completed</v>
      </c>
      <c r="V43" s="1" t="str">
        <f aca="false">IF(M43&gt;=10000,"High Value",IF(M43&gt;=5000,"Medium Value","Low Value"))</f>
        <v>Low Value</v>
      </c>
      <c r="W43" s="1" t="str">
        <f aca="false">IF(O43&gt;0,"Profitable",IF(O43=0,"Break-even","Loss"))</f>
        <v>Profitable</v>
      </c>
      <c r="X43" s="1" t="str">
        <f aca="false">IF(Q43="Cancelled","Not Applicable",IF(Q43="Processing","Pending",IF(B43="","Unknown",IF(Orders!J43="","Unknown",IF(Orders!J43&lt;=3,"Fast",IF(Orders!J43&lt;=6,"Standard","Slow"))))))</f>
        <v>Fast</v>
      </c>
      <c r="Y43" s="1" t="n">
        <f aca="false">IF(OR(Q43="Cancelled",Q43="Returned"),0,O43)</f>
        <v>329.25</v>
      </c>
    </row>
    <row r="44" customFormat="false" ht="15" hidden="false" customHeight="false" outlineLevel="0" collapsed="false">
      <c r="A44" s="6" t="str">
        <f aca="false">Orders!A44</f>
        <v>O000043</v>
      </c>
      <c r="B44" s="19" t="n">
        <f aca="false">Orders!B44</f>
        <v>45992</v>
      </c>
      <c r="C44" s="6" t="str">
        <f aca="false">Orders!C44</f>
        <v>C0243</v>
      </c>
      <c r="D44" s="6" t="str">
        <f aca="false">Orders!D44</f>
        <v>P1094</v>
      </c>
      <c r="E44" s="6" t="str">
        <f aca="false">INDEX(Products!$B$2:$B$101,MATCH(D44,Products!$A$2:$A$101,0))</f>
        <v>Room Heater</v>
      </c>
      <c r="F44" s="1" t="str">
        <f aca="false">INDEX(Products!$C$2:$C$101,MATCH(D44,Products!$A$2:$A$101,0))</f>
        <v>Appliances</v>
      </c>
      <c r="G44" s="6" t="n">
        <f aca="false">Orders!E44</f>
        <v>3</v>
      </c>
      <c r="H44" s="16" t="n">
        <f aca="false">INDEX(Products!$D$2:$D$101,MATCH(D44,Products!$A$2:$A$101,0))</f>
        <v>1999</v>
      </c>
      <c r="I44" s="16" t="n">
        <f aca="false">INDEX(Products!$E$2:$E$101,MATCH(D44,Products!$A$2:$A$101,0))</f>
        <v>1250</v>
      </c>
      <c r="J44" s="20" t="n">
        <f aca="false">Orders!F44</f>
        <v>0.1</v>
      </c>
      <c r="K44" s="6" t="n">
        <f aca="false">G44*H44</f>
        <v>5997</v>
      </c>
      <c r="L44" s="6" t="n">
        <f aca="false">K44*J44</f>
        <v>599.7</v>
      </c>
      <c r="M44" s="6" t="n">
        <f aca="false">K44-L44</f>
        <v>5397.3</v>
      </c>
      <c r="N44" s="6" t="n">
        <f aca="false">G44*I44</f>
        <v>3750</v>
      </c>
      <c r="O44" s="6" t="n">
        <f aca="false">M44-N44</f>
        <v>1647.3</v>
      </c>
      <c r="P44" s="21" t="n">
        <f aca="false">IFERROR(O44/M44,0)</f>
        <v>0.305208159635373</v>
      </c>
      <c r="Q44" s="6" t="str">
        <f aca="false">Orders!H44</f>
        <v>Delivered</v>
      </c>
      <c r="R44" s="1" t="str">
        <f aca="false">INDEX(Customers!$C$2:$C$301,MATCH(C44,Customers!$A$2:$A$301,0))</f>
        <v>Bengaluru</v>
      </c>
      <c r="S44" s="1" t="str">
        <f aca="false">INDEX(Customers!$E$2:$E$301,MATCH(C44,Customers!$A$2:$A$301,0))</f>
        <v>New</v>
      </c>
      <c r="T44" s="6" t="str">
        <f aca="false">Orders!I44</f>
        <v>Marketplace</v>
      </c>
      <c r="U44" s="1" t="str">
        <f aca="false">IF(Q44="Delivered","Completed",IF(Q44="Cancelled","Cancelled",IF(Q44="Returned","Returned","In Progress")))</f>
        <v>Completed</v>
      </c>
      <c r="V44" s="1" t="str">
        <f aca="false">IF(M44&gt;=10000,"High Value",IF(M44&gt;=5000,"Medium Value","Low Value"))</f>
        <v>Medium Value</v>
      </c>
      <c r="W44" s="1" t="str">
        <f aca="false">IF(O44&gt;0,"Profitable",IF(O44=0,"Break-even","Loss"))</f>
        <v>Profitable</v>
      </c>
      <c r="X44" s="1" t="str">
        <f aca="false">IF(Q44="Cancelled","Not Applicable",IF(Q44="Processing","Pending",IF(B44="","Unknown",IF(Orders!J44="","Unknown",IF(Orders!J44&lt;=3,"Fast",IF(Orders!J44&lt;=6,"Standard","Slow"))))))</f>
        <v>Fast</v>
      </c>
      <c r="Y44" s="1" t="n">
        <f aca="false">IF(OR(Q44="Cancelled",Q44="Returned"),0,O44)</f>
        <v>1647.3</v>
      </c>
    </row>
    <row r="45" customFormat="false" ht="15" hidden="false" customHeight="false" outlineLevel="0" collapsed="false">
      <c r="A45" s="6" t="str">
        <f aca="false">Orders!A45</f>
        <v>O000044</v>
      </c>
      <c r="B45" s="19" t="n">
        <f aca="false">Orders!B45</f>
        <v>45796</v>
      </c>
      <c r="C45" s="6" t="str">
        <f aca="false">Orders!C45</f>
        <v>C0091</v>
      </c>
      <c r="D45" s="6" t="str">
        <f aca="false">Orders!D45</f>
        <v>P1098</v>
      </c>
      <c r="E45" s="6" t="str">
        <f aca="false">INDEX(Products!$B$2:$B$101,MATCH(D45,Products!$A$2:$A$101,0))</f>
        <v>Steam Iron</v>
      </c>
      <c r="F45" s="1" t="str">
        <f aca="false">INDEX(Products!$C$2:$C$101,MATCH(D45,Products!$A$2:$A$101,0))</f>
        <v>Appliances</v>
      </c>
      <c r="G45" s="6" t="n">
        <f aca="false">Orders!E45</f>
        <v>2</v>
      </c>
      <c r="H45" s="16" t="n">
        <f aca="false">INDEX(Products!$D$2:$D$101,MATCH(D45,Products!$A$2:$A$101,0))</f>
        <v>999</v>
      </c>
      <c r="I45" s="16" t="n">
        <f aca="false">INDEX(Products!$E$2:$E$101,MATCH(D45,Products!$A$2:$A$101,0))</f>
        <v>550</v>
      </c>
      <c r="J45" s="20" t="n">
        <f aca="false">Orders!F45</f>
        <v>0.2</v>
      </c>
      <c r="K45" s="6" t="n">
        <f aca="false">G45*H45</f>
        <v>1998</v>
      </c>
      <c r="L45" s="6" t="n">
        <f aca="false">K45*J45</f>
        <v>399.6</v>
      </c>
      <c r="M45" s="6" t="n">
        <f aca="false">K45-L45</f>
        <v>1598.4</v>
      </c>
      <c r="N45" s="6" t="n">
        <f aca="false">G45*I45</f>
        <v>1100</v>
      </c>
      <c r="O45" s="6" t="n">
        <f aca="false">M45-N45</f>
        <v>498.4</v>
      </c>
      <c r="P45" s="21" t="n">
        <f aca="false">IFERROR(O45/M45,0)</f>
        <v>0.311811811811812</v>
      </c>
      <c r="Q45" s="6" t="str">
        <f aca="false">Orders!H45</f>
        <v>Delivered</v>
      </c>
      <c r="R45" s="1" t="str">
        <f aca="false">INDEX(Customers!$C$2:$C$301,MATCH(C45,Customers!$A$2:$A$301,0))</f>
        <v>Gurugram</v>
      </c>
      <c r="S45" s="1" t="str">
        <f aca="false">INDEX(Customers!$E$2:$E$301,MATCH(C45,Customers!$A$2:$A$301,0))</f>
        <v>Returning</v>
      </c>
      <c r="T45" s="6" t="str">
        <f aca="false">Orders!I45</f>
        <v>Mobile App</v>
      </c>
      <c r="U45" s="1" t="str">
        <f aca="false">IF(Q45="Delivered","Completed",IF(Q45="Cancelled","Cancelled",IF(Q45="Returned","Returned","In Progress")))</f>
        <v>Completed</v>
      </c>
      <c r="V45" s="1" t="str">
        <f aca="false">IF(M45&gt;=10000,"High Value",IF(M45&gt;=5000,"Medium Value","Low Value"))</f>
        <v>Low Value</v>
      </c>
      <c r="W45" s="1" t="str">
        <f aca="false">IF(O45&gt;0,"Profitable",IF(O45=0,"Break-even","Loss"))</f>
        <v>Profitable</v>
      </c>
      <c r="X45" s="1" t="str">
        <f aca="false">IF(Q45="Cancelled","Not Applicable",IF(Q45="Processing","Pending",IF(B45="","Unknown",IF(Orders!J45="","Unknown",IF(Orders!J45&lt;=3,"Fast",IF(Orders!J45&lt;=6,"Standard","Slow"))))))</f>
        <v>Fast</v>
      </c>
      <c r="Y45" s="1" t="n">
        <f aca="false">IF(OR(Q45="Cancelled",Q45="Returned"),0,O45)</f>
        <v>498.4</v>
      </c>
    </row>
    <row r="46" customFormat="false" ht="15" hidden="false" customHeight="false" outlineLevel="0" collapsed="false">
      <c r="A46" s="6" t="str">
        <f aca="false">Orders!A46</f>
        <v>O000045</v>
      </c>
      <c r="B46" s="19" t="n">
        <f aca="false">Orders!B46</f>
        <v>45661</v>
      </c>
      <c r="C46" s="6" t="str">
        <f aca="false">Orders!C46</f>
        <v>C0207</v>
      </c>
      <c r="D46" s="6" t="str">
        <f aca="false">Orders!D46</f>
        <v>P1096</v>
      </c>
      <c r="E46" s="6" t="str">
        <f aca="false">INDEX(Products!$B$2:$B$101,MATCH(D46,Products!$A$2:$A$101,0))</f>
        <v>Air Fryer</v>
      </c>
      <c r="F46" s="1" t="str">
        <f aca="false">INDEX(Products!$C$2:$C$101,MATCH(D46,Products!$A$2:$A$101,0))</f>
        <v>Appliances</v>
      </c>
      <c r="G46" s="6" t="n">
        <f aca="false">Orders!E46</f>
        <v>3</v>
      </c>
      <c r="H46" s="16" t="n">
        <f aca="false">INDEX(Products!$D$2:$D$101,MATCH(D46,Products!$A$2:$A$101,0))</f>
        <v>3999</v>
      </c>
      <c r="I46" s="16" t="n">
        <f aca="false">INDEX(Products!$E$2:$E$101,MATCH(D46,Products!$A$2:$A$101,0))</f>
        <v>2700</v>
      </c>
      <c r="J46" s="20" t="n">
        <f aca="false">Orders!F46</f>
        <v>0.1</v>
      </c>
      <c r="K46" s="6" t="n">
        <f aca="false">G46*H46</f>
        <v>11997</v>
      </c>
      <c r="L46" s="6" t="n">
        <f aca="false">K46*J46</f>
        <v>1199.7</v>
      </c>
      <c r="M46" s="6" t="n">
        <f aca="false">K46-L46</f>
        <v>10797.3</v>
      </c>
      <c r="N46" s="6" t="n">
        <f aca="false">G46*I46</f>
        <v>8100</v>
      </c>
      <c r="O46" s="6" t="n">
        <f aca="false">M46-N46</f>
        <v>2697.3</v>
      </c>
      <c r="P46" s="21" t="n">
        <f aca="false">IFERROR(O46/M46,0)</f>
        <v>0.249812453113278</v>
      </c>
      <c r="Q46" s="6" t="str">
        <f aca="false">Orders!H46</f>
        <v>Delivered</v>
      </c>
      <c r="R46" s="1" t="str">
        <f aca="false">INDEX(Customers!$C$2:$C$301,MATCH(C46,Customers!$A$2:$A$301,0))</f>
        <v>Pune</v>
      </c>
      <c r="S46" s="1" t="str">
        <f aca="false">INDEX(Customers!$E$2:$E$301,MATCH(C46,Customers!$A$2:$A$301,0))</f>
        <v>Returning</v>
      </c>
      <c r="T46" s="6" t="str">
        <f aca="false">Orders!I46</f>
        <v>Mobile App</v>
      </c>
      <c r="U46" s="1" t="str">
        <f aca="false">IF(Q46="Delivered","Completed",IF(Q46="Cancelled","Cancelled",IF(Q46="Returned","Returned","In Progress")))</f>
        <v>Completed</v>
      </c>
      <c r="V46" s="1" t="str">
        <f aca="false">IF(M46&gt;=10000,"High Value",IF(M46&gt;=5000,"Medium Value","Low Value"))</f>
        <v>High Value</v>
      </c>
      <c r="W46" s="1" t="str">
        <f aca="false">IF(O46&gt;0,"Profitable",IF(O46=0,"Break-even","Loss"))</f>
        <v>Profitable</v>
      </c>
      <c r="X46" s="1" t="str">
        <f aca="false">IF(Q46="Cancelled","Not Applicable",IF(Q46="Processing","Pending",IF(B46="","Unknown",IF(Orders!J46="","Unknown",IF(Orders!J46&lt;=3,"Fast",IF(Orders!J46&lt;=6,"Standard","Slow"))))))</f>
        <v>Standard</v>
      </c>
      <c r="Y46" s="1" t="n">
        <f aca="false">IF(OR(Q46="Cancelled",Q46="Returned"),0,O46)</f>
        <v>2697.3</v>
      </c>
    </row>
    <row r="47" customFormat="false" ht="15" hidden="false" customHeight="false" outlineLevel="0" collapsed="false">
      <c r="A47" s="6" t="str">
        <f aca="false">Orders!A47</f>
        <v>O000046</v>
      </c>
      <c r="B47" s="19" t="n">
        <f aca="false">Orders!B47</f>
        <v>45824</v>
      </c>
      <c r="C47" s="6" t="str">
        <f aca="false">Orders!C47</f>
        <v>C0167</v>
      </c>
      <c r="D47" s="6" t="str">
        <f aca="false">Orders!D47</f>
        <v>P1029</v>
      </c>
      <c r="E47" s="6" t="str">
        <f aca="false">INDEX(Products!$B$2:$B$101,MATCH(D47,Products!$A$2:$A$101,0))</f>
        <v>Scarf</v>
      </c>
      <c r="F47" s="1" t="str">
        <f aca="false">INDEX(Products!$C$2:$C$101,MATCH(D47,Products!$A$2:$A$101,0))</f>
        <v>Fashion</v>
      </c>
      <c r="G47" s="6" t="n">
        <f aca="false">Orders!E47</f>
        <v>2</v>
      </c>
      <c r="H47" s="16" t="n">
        <f aca="false">INDEX(Products!$D$2:$D$101,MATCH(D47,Products!$A$2:$A$101,0))</f>
        <v>299</v>
      </c>
      <c r="I47" s="16" t="n">
        <f aca="false">INDEX(Products!$E$2:$E$101,MATCH(D47,Products!$A$2:$A$101,0))</f>
        <v>100</v>
      </c>
      <c r="J47" s="20" t="n">
        <f aca="false">Orders!F47</f>
        <v>0.05</v>
      </c>
      <c r="K47" s="6" t="n">
        <f aca="false">G47*H47</f>
        <v>598</v>
      </c>
      <c r="L47" s="6" t="n">
        <f aca="false">K47*J47</f>
        <v>29.9</v>
      </c>
      <c r="M47" s="6" t="n">
        <f aca="false">K47-L47</f>
        <v>568.1</v>
      </c>
      <c r="N47" s="6" t="n">
        <f aca="false">G47*I47</f>
        <v>200</v>
      </c>
      <c r="O47" s="6" t="n">
        <f aca="false">M47-N47</f>
        <v>368.1</v>
      </c>
      <c r="P47" s="21" t="n">
        <f aca="false">IFERROR(O47/M47,0)</f>
        <v>0.647949304699877</v>
      </c>
      <c r="Q47" s="6" t="str">
        <f aca="false">Orders!H47</f>
        <v>Delivered</v>
      </c>
      <c r="R47" s="1" t="str">
        <f aca="false">INDEX(Customers!$C$2:$C$301,MATCH(C47,Customers!$A$2:$A$301,0))</f>
        <v>Pune</v>
      </c>
      <c r="S47" s="1" t="str">
        <f aca="false">INDEX(Customers!$E$2:$E$301,MATCH(C47,Customers!$A$2:$A$301,0))</f>
        <v>Returning</v>
      </c>
      <c r="T47" s="6" t="str">
        <f aca="false">Orders!I47</f>
        <v>Mobile App</v>
      </c>
      <c r="U47" s="1" t="str">
        <f aca="false">IF(Q47="Delivered","Completed",IF(Q47="Cancelled","Cancelled",IF(Q47="Returned","Returned","In Progress")))</f>
        <v>Completed</v>
      </c>
      <c r="V47" s="1" t="str">
        <f aca="false">IF(M47&gt;=10000,"High Value",IF(M47&gt;=5000,"Medium Value","Low Value"))</f>
        <v>Low Value</v>
      </c>
      <c r="W47" s="1" t="str">
        <f aca="false">IF(O47&gt;0,"Profitable",IF(O47=0,"Break-even","Loss"))</f>
        <v>Profitable</v>
      </c>
      <c r="X47" s="1" t="str">
        <f aca="false">IF(Q47="Cancelled","Not Applicable",IF(Q47="Processing","Pending",IF(B47="","Unknown",IF(Orders!J47="","Unknown",IF(Orders!J47&lt;=3,"Fast",IF(Orders!J47&lt;=6,"Standard","Slow"))))))</f>
        <v>Fast</v>
      </c>
      <c r="Y47" s="1" t="n">
        <f aca="false">IF(OR(Q47="Cancelled",Q47="Returned"),0,O47)</f>
        <v>368.1</v>
      </c>
    </row>
    <row r="48" customFormat="false" ht="15" hidden="false" customHeight="false" outlineLevel="0" collapsed="false">
      <c r="A48" s="6" t="str">
        <f aca="false">Orders!A48</f>
        <v>O000047</v>
      </c>
      <c r="B48" s="19" t="n">
        <f aca="false">Orders!B48</f>
        <v>45804</v>
      </c>
      <c r="C48" s="6" t="str">
        <f aca="false">Orders!C48</f>
        <v>C0176</v>
      </c>
      <c r="D48" s="6" t="str">
        <f aca="false">Orders!D48</f>
        <v>P1038</v>
      </c>
      <c r="E48" s="6" t="str">
        <f aca="false">INDEX(Products!$B$2:$B$101,MATCH(D48,Products!$A$2:$A$101,0))</f>
        <v>Laundry Basket</v>
      </c>
      <c r="F48" s="1" t="str">
        <f aca="false">INDEX(Products!$C$2:$C$101,MATCH(D48,Products!$A$2:$A$101,0))</f>
        <v>Home &amp; Kitchen</v>
      </c>
      <c r="G48" s="6" t="n">
        <f aca="false">Orders!E48</f>
        <v>2</v>
      </c>
      <c r="H48" s="16" t="n">
        <f aca="false">INDEX(Products!$D$2:$D$101,MATCH(D48,Products!$A$2:$A$101,0))</f>
        <v>599</v>
      </c>
      <c r="I48" s="16" t="n">
        <f aca="false">INDEX(Products!$E$2:$E$101,MATCH(D48,Products!$A$2:$A$101,0))</f>
        <v>260</v>
      </c>
      <c r="J48" s="20" t="n">
        <f aca="false">Orders!F48</f>
        <v>0.1</v>
      </c>
      <c r="K48" s="6" t="n">
        <f aca="false">G48*H48</f>
        <v>1198</v>
      </c>
      <c r="L48" s="6" t="n">
        <f aca="false">K48*J48</f>
        <v>119.8</v>
      </c>
      <c r="M48" s="6" t="n">
        <f aca="false">K48-L48</f>
        <v>1078.2</v>
      </c>
      <c r="N48" s="6" t="n">
        <f aca="false">G48*I48</f>
        <v>520</v>
      </c>
      <c r="O48" s="6" t="n">
        <f aca="false">M48-N48</f>
        <v>558.2</v>
      </c>
      <c r="P48" s="21" t="n">
        <f aca="false">IFERROR(O48/M48,0)</f>
        <v>0.517714709701354</v>
      </c>
      <c r="Q48" s="6" t="str">
        <f aca="false">Orders!H48</f>
        <v>Delivered</v>
      </c>
      <c r="R48" s="1" t="str">
        <f aca="false">INDEX(Customers!$C$2:$C$301,MATCH(C48,Customers!$A$2:$A$301,0))</f>
        <v>Chandigarh</v>
      </c>
      <c r="S48" s="1" t="str">
        <f aca="false">INDEX(Customers!$E$2:$E$301,MATCH(C48,Customers!$A$2:$A$301,0))</f>
        <v>New</v>
      </c>
      <c r="T48" s="6" t="str">
        <f aca="false">Orders!I48</f>
        <v>Mobile App</v>
      </c>
      <c r="U48" s="1" t="str">
        <f aca="false">IF(Q48="Delivered","Completed",IF(Q48="Cancelled","Cancelled",IF(Q48="Returned","Returned","In Progress")))</f>
        <v>Completed</v>
      </c>
      <c r="V48" s="1" t="str">
        <f aca="false">IF(M48&gt;=10000,"High Value",IF(M48&gt;=5000,"Medium Value","Low Value"))</f>
        <v>Low Value</v>
      </c>
      <c r="W48" s="1" t="str">
        <f aca="false">IF(O48&gt;0,"Profitable",IF(O48=0,"Break-even","Loss"))</f>
        <v>Profitable</v>
      </c>
      <c r="X48" s="1" t="str">
        <f aca="false">IF(Q48="Cancelled","Not Applicable",IF(Q48="Processing","Pending",IF(B48="","Unknown",IF(Orders!J48="","Unknown",IF(Orders!J48&lt;=3,"Fast",IF(Orders!J48&lt;=6,"Standard","Slow"))))))</f>
        <v>Standard</v>
      </c>
      <c r="Y48" s="1" t="n">
        <f aca="false">IF(OR(Q48="Cancelled",Q48="Returned"),0,O48)</f>
        <v>558.2</v>
      </c>
    </row>
    <row r="49" customFormat="false" ht="15" hidden="false" customHeight="false" outlineLevel="0" collapsed="false">
      <c r="A49" s="6" t="str">
        <f aca="false">Orders!A49</f>
        <v>O000048</v>
      </c>
      <c r="B49" s="19" t="n">
        <f aca="false">Orders!B49</f>
        <v>45842</v>
      </c>
      <c r="C49" s="6" t="str">
        <f aca="false">Orders!C49</f>
        <v>C0055</v>
      </c>
      <c r="D49" s="6" t="str">
        <f aca="false">Orders!D49</f>
        <v>P1007</v>
      </c>
      <c r="E49" s="6" t="str">
        <f aca="false">INDEX(Products!$B$2:$B$101,MATCH(D49,Products!$A$2:$A$101,0))</f>
        <v>Keyboard</v>
      </c>
      <c r="F49" s="1" t="str">
        <f aca="false">INDEX(Products!$C$2:$C$101,MATCH(D49,Products!$A$2:$A$101,0))</f>
        <v>Electronics</v>
      </c>
      <c r="G49" s="6" t="n">
        <f aca="false">Orders!E49</f>
        <v>2</v>
      </c>
      <c r="H49" s="16" t="n">
        <f aca="false">INDEX(Products!$D$2:$D$101,MATCH(D49,Products!$A$2:$A$101,0))</f>
        <v>999</v>
      </c>
      <c r="I49" s="16" t="n">
        <f aca="false">INDEX(Products!$E$2:$E$101,MATCH(D49,Products!$A$2:$A$101,0))</f>
        <v>480</v>
      </c>
      <c r="J49" s="20" t="n">
        <f aca="false">Orders!F49</f>
        <v>0.1</v>
      </c>
      <c r="K49" s="6" t="n">
        <f aca="false">G49*H49</f>
        <v>1998</v>
      </c>
      <c r="L49" s="6" t="n">
        <f aca="false">K49*J49</f>
        <v>199.8</v>
      </c>
      <c r="M49" s="6" t="n">
        <f aca="false">K49-L49</f>
        <v>1798.2</v>
      </c>
      <c r="N49" s="6" t="n">
        <f aca="false">G49*I49</f>
        <v>960</v>
      </c>
      <c r="O49" s="6" t="n">
        <f aca="false">M49-N49</f>
        <v>838.2</v>
      </c>
      <c r="P49" s="21" t="n">
        <f aca="false">IFERROR(O49/M49,0)</f>
        <v>0.466132799466133</v>
      </c>
      <c r="Q49" s="6" t="str">
        <f aca="false">Orders!H49</f>
        <v>Delivered</v>
      </c>
      <c r="R49" s="1" t="str">
        <f aca="false">INDEX(Customers!$C$2:$C$301,MATCH(C49,Customers!$A$2:$A$301,0))</f>
        <v>Bhopal</v>
      </c>
      <c r="S49" s="1" t="str">
        <f aca="false">INDEX(Customers!$E$2:$E$301,MATCH(C49,Customers!$A$2:$A$301,0))</f>
        <v>Returning</v>
      </c>
      <c r="T49" s="6" t="str">
        <f aca="false">Orders!I49</f>
        <v>Website</v>
      </c>
      <c r="U49" s="1" t="str">
        <f aca="false">IF(Q49="Delivered","Completed",IF(Q49="Cancelled","Cancelled",IF(Q49="Returned","Returned","In Progress")))</f>
        <v>Completed</v>
      </c>
      <c r="V49" s="1" t="str">
        <f aca="false">IF(M49&gt;=10000,"High Value",IF(M49&gt;=5000,"Medium Value","Low Value"))</f>
        <v>Low Value</v>
      </c>
      <c r="W49" s="1" t="str">
        <f aca="false">IF(O49&gt;0,"Profitable",IF(O49=0,"Break-even","Loss"))</f>
        <v>Profitable</v>
      </c>
      <c r="X49" s="1" t="str">
        <f aca="false">IF(Q49="Cancelled","Not Applicable",IF(Q49="Processing","Pending",IF(B49="","Unknown",IF(Orders!J49="","Unknown",IF(Orders!J49&lt;=3,"Fast",IF(Orders!J49&lt;=6,"Standard","Slow"))))))</f>
        <v>Fast</v>
      </c>
      <c r="Y49" s="1" t="n">
        <f aca="false">IF(OR(Q49="Cancelled",Q49="Returned"),0,O49)</f>
        <v>838.2</v>
      </c>
    </row>
    <row r="50" customFormat="false" ht="15" hidden="false" customHeight="false" outlineLevel="0" collapsed="false">
      <c r="A50" s="6" t="str">
        <f aca="false">Orders!A50</f>
        <v>O000049</v>
      </c>
      <c r="B50" s="19" t="n">
        <f aca="false">Orders!B50</f>
        <v>45698</v>
      </c>
      <c r="C50" s="6" t="str">
        <f aca="false">Orders!C50</f>
        <v>C0157</v>
      </c>
      <c r="D50" s="6" t="str">
        <f aca="false">Orders!D50</f>
        <v>P1023</v>
      </c>
      <c r="E50" s="6" t="str">
        <f aca="false">INDEX(Products!$B$2:$B$101,MATCH(D50,Products!$A$2:$A$101,0))</f>
        <v>Sports Cap</v>
      </c>
      <c r="F50" s="1" t="str">
        <f aca="false">INDEX(Products!$C$2:$C$101,MATCH(D50,Products!$A$2:$A$101,0))</f>
        <v>Fashion</v>
      </c>
      <c r="G50" s="6" t="n">
        <f aca="false">Orders!E50</f>
        <v>2</v>
      </c>
      <c r="H50" s="16" t="n">
        <f aca="false">INDEX(Products!$D$2:$D$101,MATCH(D50,Products!$A$2:$A$101,0))</f>
        <v>349</v>
      </c>
      <c r="I50" s="16" t="n">
        <f aca="false">INDEX(Products!$E$2:$E$101,MATCH(D50,Products!$A$2:$A$101,0))</f>
        <v>120</v>
      </c>
      <c r="J50" s="20" t="n">
        <f aca="false">Orders!F50</f>
        <v>0.2</v>
      </c>
      <c r="K50" s="6" t="n">
        <f aca="false">G50*H50</f>
        <v>698</v>
      </c>
      <c r="L50" s="6" t="n">
        <f aca="false">K50*J50</f>
        <v>139.6</v>
      </c>
      <c r="M50" s="6" t="n">
        <f aca="false">K50-L50</f>
        <v>558.4</v>
      </c>
      <c r="N50" s="6" t="n">
        <f aca="false">G50*I50</f>
        <v>240</v>
      </c>
      <c r="O50" s="6" t="n">
        <f aca="false">M50-N50</f>
        <v>318.4</v>
      </c>
      <c r="P50" s="21" t="n">
        <f aca="false">IFERROR(O50/M50,0)</f>
        <v>0.570200573065903</v>
      </c>
      <c r="Q50" s="6" t="str">
        <f aca="false">Orders!H50</f>
        <v>Shipped</v>
      </c>
      <c r="R50" s="1" t="str">
        <f aca="false">INDEX(Customers!$C$2:$C$301,MATCH(C50,Customers!$A$2:$A$301,0))</f>
        <v>Surat</v>
      </c>
      <c r="S50" s="1" t="str">
        <f aca="false">INDEX(Customers!$E$2:$E$301,MATCH(C50,Customers!$A$2:$A$301,0))</f>
        <v>VIP</v>
      </c>
      <c r="T50" s="6" t="str">
        <f aca="false">Orders!I50</f>
        <v>Marketplace</v>
      </c>
      <c r="U50" s="1" t="str">
        <f aca="false">IF(Q50="Delivered","Completed",IF(Q50="Cancelled","Cancelled",IF(Q50="Returned","Returned","In Progress")))</f>
        <v>In Progress</v>
      </c>
      <c r="V50" s="1" t="str">
        <f aca="false">IF(M50&gt;=10000,"High Value",IF(M50&gt;=5000,"Medium Value","Low Value"))</f>
        <v>Low Value</v>
      </c>
      <c r="W50" s="1" t="str">
        <f aca="false">IF(O50&gt;0,"Profitable",IF(O50=0,"Break-even","Loss"))</f>
        <v>Profitable</v>
      </c>
      <c r="X50" s="1" t="str">
        <f aca="false">IF(Q50="Cancelled","Not Applicable",IF(Q50="Processing","Pending",IF(B50="","Unknown",IF(Orders!J50="","Unknown",IF(Orders!J50&lt;=3,"Fast",IF(Orders!J50&lt;=6,"Standard","Slow"))))))</f>
        <v>Standard</v>
      </c>
      <c r="Y50" s="1" t="n">
        <f aca="false">IF(OR(Q50="Cancelled",Q50="Returned"),0,O50)</f>
        <v>318.4</v>
      </c>
    </row>
    <row r="51" customFormat="false" ht="15" hidden="false" customHeight="false" outlineLevel="0" collapsed="false">
      <c r="A51" s="6" t="str">
        <f aca="false">Orders!A51</f>
        <v>O000050</v>
      </c>
      <c r="B51" s="19" t="n">
        <f aca="false">Orders!B51</f>
        <v>45753</v>
      </c>
      <c r="C51" s="6" t="str">
        <f aca="false">Orders!C51</f>
        <v>C0135</v>
      </c>
      <c r="D51" s="6" t="str">
        <f aca="false">Orders!D51</f>
        <v>P1100</v>
      </c>
      <c r="E51" s="6" t="str">
        <f aca="false">INDEX(Products!$B$2:$B$101,MATCH(D51,Products!$A$2:$A$101,0))</f>
        <v>Coffee Maker</v>
      </c>
      <c r="F51" s="1" t="str">
        <f aca="false">INDEX(Products!$C$2:$C$101,MATCH(D51,Products!$A$2:$A$101,0))</f>
        <v>Appliances</v>
      </c>
      <c r="G51" s="6" t="n">
        <f aca="false">Orders!E51</f>
        <v>1</v>
      </c>
      <c r="H51" s="16" t="n">
        <f aca="false">INDEX(Products!$D$2:$D$101,MATCH(D51,Products!$A$2:$A$101,0))</f>
        <v>2499</v>
      </c>
      <c r="I51" s="16" t="n">
        <f aca="false">INDEX(Products!$E$2:$E$101,MATCH(D51,Products!$A$2:$A$101,0))</f>
        <v>1600</v>
      </c>
      <c r="J51" s="20" t="n">
        <f aca="false">Orders!F51</f>
        <v>0</v>
      </c>
      <c r="K51" s="6" t="n">
        <f aca="false">G51*H51</f>
        <v>2499</v>
      </c>
      <c r="L51" s="6" t="n">
        <f aca="false">K51*J51</f>
        <v>0</v>
      </c>
      <c r="M51" s="6" t="n">
        <f aca="false">K51-L51</f>
        <v>2499</v>
      </c>
      <c r="N51" s="6" t="n">
        <f aca="false">G51*I51</f>
        <v>1600</v>
      </c>
      <c r="O51" s="6" t="n">
        <f aca="false">M51-N51</f>
        <v>899</v>
      </c>
      <c r="P51" s="21" t="n">
        <f aca="false">IFERROR(O51/M51,0)</f>
        <v>0.359743897559024</v>
      </c>
      <c r="Q51" s="6" t="str">
        <f aca="false">Orders!H51</f>
        <v>Delivered</v>
      </c>
      <c r="R51" s="1" t="str">
        <f aca="false">INDEX(Customers!$C$2:$C$301,MATCH(C51,Customers!$A$2:$A$301,0))</f>
        <v>Bhopal</v>
      </c>
      <c r="S51" s="1" t="str">
        <f aca="false">INDEX(Customers!$E$2:$E$301,MATCH(C51,Customers!$A$2:$A$301,0))</f>
        <v>New</v>
      </c>
      <c r="T51" s="6" t="str">
        <f aca="false">Orders!I51</f>
        <v>Marketplace</v>
      </c>
      <c r="U51" s="1" t="str">
        <f aca="false">IF(Q51="Delivered","Completed",IF(Q51="Cancelled","Cancelled",IF(Q51="Returned","Returned","In Progress")))</f>
        <v>Completed</v>
      </c>
      <c r="V51" s="1" t="str">
        <f aca="false">IF(M51&gt;=10000,"High Value",IF(M51&gt;=5000,"Medium Value","Low Value"))</f>
        <v>Low Value</v>
      </c>
      <c r="W51" s="1" t="str">
        <f aca="false">IF(O51&gt;0,"Profitable",IF(O51=0,"Break-even","Loss"))</f>
        <v>Profitable</v>
      </c>
      <c r="X51" s="1" t="str">
        <f aca="false">IF(Q51="Cancelled","Not Applicable",IF(Q51="Processing","Pending",IF(B51="","Unknown",IF(Orders!J51="","Unknown",IF(Orders!J51&lt;=3,"Fast",IF(Orders!J51&lt;=6,"Standard","Slow"))))))</f>
        <v>Standard</v>
      </c>
      <c r="Y51" s="1" t="n">
        <f aca="false">IF(OR(Q51="Cancelled",Q51="Returned"),0,O51)</f>
        <v>899</v>
      </c>
    </row>
    <row r="52" customFormat="false" ht="15" hidden="false" customHeight="false" outlineLevel="0" collapsed="false">
      <c r="A52" s="6" t="str">
        <f aca="false">Orders!A52</f>
        <v>O000051</v>
      </c>
      <c r="B52" s="19" t="n">
        <f aca="false">Orders!B52</f>
        <v>45708</v>
      </c>
      <c r="C52" s="6" t="str">
        <f aca="false">Orders!C52</f>
        <v>C0021</v>
      </c>
      <c r="D52" s="6" t="str">
        <f aca="false">Orders!D52</f>
        <v>P1095</v>
      </c>
      <c r="E52" s="6" t="str">
        <f aca="false">INDEX(Products!$B$2:$B$101,MATCH(D52,Products!$A$2:$A$101,0))</f>
        <v>Table Fan</v>
      </c>
      <c r="F52" s="1" t="str">
        <f aca="false">INDEX(Products!$C$2:$C$101,MATCH(D52,Products!$A$2:$A$101,0))</f>
        <v>Appliances</v>
      </c>
      <c r="G52" s="6" t="n">
        <f aca="false">Orders!E52</f>
        <v>1</v>
      </c>
      <c r="H52" s="16" t="n">
        <f aca="false">INDEX(Products!$D$2:$D$101,MATCH(D52,Products!$A$2:$A$101,0))</f>
        <v>1599</v>
      </c>
      <c r="I52" s="16" t="n">
        <f aca="false">INDEX(Products!$E$2:$E$101,MATCH(D52,Products!$A$2:$A$101,0))</f>
        <v>950</v>
      </c>
      <c r="J52" s="20" t="n">
        <f aca="false">Orders!F52</f>
        <v>0.1</v>
      </c>
      <c r="K52" s="6" t="n">
        <f aca="false">G52*H52</f>
        <v>1599</v>
      </c>
      <c r="L52" s="6" t="n">
        <f aca="false">K52*J52</f>
        <v>159.9</v>
      </c>
      <c r="M52" s="6" t="n">
        <f aca="false">K52-L52</f>
        <v>1439.1</v>
      </c>
      <c r="N52" s="6" t="n">
        <f aca="false">G52*I52</f>
        <v>950</v>
      </c>
      <c r="O52" s="6" t="n">
        <f aca="false">M52-N52</f>
        <v>489.1</v>
      </c>
      <c r="P52" s="21" t="n">
        <f aca="false">IFERROR(O52/M52,0)</f>
        <v>0.33986519352373</v>
      </c>
      <c r="Q52" s="6" t="str">
        <f aca="false">Orders!H52</f>
        <v>Cancelled</v>
      </c>
      <c r="R52" s="1" t="str">
        <f aca="false">INDEX(Customers!$C$2:$C$301,MATCH(C52,Customers!$A$2:$A$301,0))</f>
        <v>Delhi</v>
      </c>
      <c r="S52" s="1" t="str">
        <f aca="false">INDEX(Customers!$E$2:$E$301,MATCH(C52,Customers!$A$2:$A$301,0))</f>
        <v>Returning</v>
      </c>
      <c r="T52" s="6" t="str">
        <f aca="false">Orders!I52</f>
        <v>Mobile App</v>
      </c>
      <c r="U52" s="1" t="str">
        <f aca="false">IF(Q52="Delivered","Completed",IF(Q52="Cancelled","Cancelled",IF(Q52="Returned","Returned","In Progress")))</f>
        <v>Cancelled</v>
      </c>
      <c r="V52" s="1" t="str">
        <f aca="false">IF(M52&gt;=10000,"High Value",IF(M52&gt;=5000,"Medium Value","Low Value"))</f>
        <v>Low Value</v>
      </c>
      <c r="W52" s="1" t="str">
        <f aca="false">IF(O52&gt;0,"Profitable",IF(O52=0,"Break-even","Loss"))</f>
        <v>Profitable</v>
      </c>
      <c r="X52" s="1" t="str">
        <f aca="false">IF(Q52="Cancelled","Not Applicable",IF(Q52="Processing","Pending",IF(B52="","Unknown",IF(Orders!J52="","Unknown",IF(Orders!J52&lt;=3,"Fast",IF(Orders!J52&lt;=6,"Standard","Slow"))))))</f>
        <v>Not Applicable</v>
      </c>
      <c r="Y52" s="1" t="n">
        <f aca="false">IF(OR(Q52="Cancelled",Q52="Returned"),0,O52)</f>
        <v>0</v>
      </c>
    </row>
    <row r="53" customFormat="false" ht="15" hidden="false" customHeight="false" outlineLevel="0" collapsed="false">
      <c r="A53" s="6" t="str">
        <f aca="false">Orders!A53</f>
        <v>O000052</v>
      </c>
      <c r="B53" s="19" t="n">
        <f aca="false">Orders!B53</f>
        <v>45847</v>
      </c>
      <c r="C53" s="6" t="str">
        <f aca="false">Orders!C53</f>
        <v>C0168</v>
      </c>
      <c r="D53" s="6" t="str">
        <f aca="false">Orders!D53</f>
        <v>P1060</v>
      </c>
      <c r="E53" s="6" t="str">
        <f aca="false">INDEX(Products!$B$2:$B$101,MATCH(D53,Products!$A$2:$A$101,0))</f>
        <v>Yoga Mat</v>
      </c>
      <c r="F53" s="1" t="str">
        <f aca="false">INDEX(Products!$C$2:$C$101,MATCH(D53,Products!$A$2:$A$101,0))</f>
        <v>Sports &amp; Outdoors</v>
      </c>
      <c r="G53" s="6" t="n">
        <f aca="false">Orders!E53</f>
        <v>1</v>
      </c>
      <c r="H53" s="16" t="n">
        <f aca="false">INDEX(Products!$D$2:$D$101,MATCH(D53,Products!$A$2:$A$101,0))</f>
        <v>799</v>
      </c>
      <c r="I53" s="16" t="n">
        <f aca="false">INDEX(Products!$E$2:$E$101,MATCH(D53,Products!$A$2:$A$101,0))</f>
        <v>350</v>
      </c>
      <c r="J53" s="20" t="n">
        <f aca="false">Orders!F53</f>
        <v>0.15</v>
      </c>
      <c r="K53" s="6" t="n">
        <f aca="false">G53*H53</f>
        <v>799</v>
      </c>
      <c r="L53" s="6" t="n">
        <f aca="false">K53*J53</f>
        <v>119.85</v>
      </c>
      <c r="M53" s="6" t="n">
        <f aca="false">K53-L53</f>
        <v>679.15</v>
      </c>
      <c r="N53" s="6" t="n">
        <f aca="false">G53*I53</f>
        <v>350</v>
      </c>
      <c r="O53" s="6" t="n">
        <f aca="false">M53-N53</f>
        <v>329.15</v>
      </c>
      <c r="P53" s="21" t="n">
        <f aca="false">IFERROR(O53/M53,0)</f>
        <v>0.484649930059633</v>
      </c>
      <c r="Q53" s="6" t="str">
        <f aca="false">Orders!H53</f>
        <v>Processing</v>
      </c>
      <c r="R53" s="1" t="str">
        <f aca="false">INDEX(Customers!$C$2:$C$301,MATCH(C53,Customers!$A$2:$A$301,0))</f>
        <v>Jaipur</v>
      </c>
      <c r="S53" s="1" t="str">
        <f aca="false">INDEX(Customers!$E$2:$E$301,MATCH(C53,Customers!$A$2:$A$301,0))</f>
        <v>Returning</v>
      </c>
      <c r="T53" s="6" t="str">
        <f aca="false">Orders!I53</f>
        <v>Marketplace</v>
      </c>
      <c r="U53" s="1" t="str">
        <f aca="false">IF(Q53="Delivered","Completed",IF(Q53="Cancelled","Cancelled",IF(Q53="Returned","Returned","In Progress")))</f>
        <v>In Progress</v>
      </c>
      <c r="V53" s="1" t="str">
        <f aca="false">IF(M53&gt;=10000,"High Value",IF(M53&gt;=5000,"Medium Value","Low Value"))</f>
        <v>Low Value</v>
      </c>
      <c r="W53" s="1" t="str">
        <f aca="false">IF(O53&gt;0,"Profitable",IF(O53=0,"Break-even","Loss"))</f>
        <v>Profitable</v>
      </c>
      <c r="X53" s="1" t="str">
        <f aca="false">IF(Q53="Cancelled","Not Applicable",IF(Q53="Processing","Pending",IF(B53="","Unknown",IF(Orders!J53="","Unknown",IF(Orders!J53&lt;=3,"Fast",IF(Orders!J53&lt;=6,"Standard","Slow"))))))</f>
        <v>Pending</v>
      </c>
      <c r="Y53" s="1" t="n">
        <f aca="false">IF(OR(Q53="Cancelled",Q53="Returned"),0,O53)</f>
        <v>329.15</v>
      </c>
    </row>
    <row r="54" customFormat="false" ht="15" hidden="false" customHeight="false" outlineLevel="0" collapsed="false">
      <c r="A54" s="6" t="str">
        <f aca="false">Orders!A54</f>
        <v>O000053</v>
      </c>
      <c r="B54" s="19" t="n">
        <f aca="false">Orders!B54</f>
        <v>45874</v>
      </c>
      <c r="C54" s="6" t="str">
        <f aca="false">Orders!C54</f>
        <v>C0118</v>
      </c>
      <c r="D54" s="6" t="str">
        <f aca="false">Orders!D54</f>
        <v>P1045</v>
      </c>
      <c r="E54" s="6" t="str">
        <f aca="false">INDEX(Products!$B$2:$B$101,MATCH(D54,Products!$A$2:$A$101,0))</f>
        <v>Lunch Box</v>
      </c>
      <c r="F54" s="1" t="str">
        <f aca="false">INDEX(Products!$C$2:$C$101,MATCH(D54,Products!$A$2:$A$101,0))</f>
        <v>Home &amp; Kitchen</v>
      </c>
      <c r="G54" s="6" t="n">
        <f aca="false">Orders!E54</f>
        <v>1</v>
      </c>
      <c r="H54" s="16" t="n">
        <f aca="false">INDEX(Products!$D$2:$D$101,MATCH(D54,Products!$A$2:$A$101,0))</f>
        <v>449</v>
      </c>
      <c r="I54" s="16" t="n">
        <f aca="false">INDEX(Products!$E$2:$E$101,MATCH(D54,Products!$A$2:$A$101,0))</f>
        <v>180</v>
      </c>
      <c r="J54" s="20" t="n">
        <f aca="false">Orders!F54</f>
        <v>0</v>
      </c>
      <c r="K54" s="6" t="n">
        <f aca="false">G54*H54</f>
        <v>449</v>
      </c>
      <c r="L54" s="6" t="n">
        <f aca="false">K54*J54</f>
        <v>0</v>
      </c>
      <c r="M54" s="6" t="n">
        <f aca="false">K54-L54</f>
        <v>449</v>
      </c>
      <c r="N54" s="6" t="n">
        <f aca="false">G54*I54</f>
        <v>180</v>
      </c>
      <c r="O54" s="6" t="n">
        <f aca="false">M54-N54</f>
        <v>269</v>
      </c>
      <c r="P54" s="21" t="n">
        <f aca="false">IFERROR(O54/M54,0)</f>
        <v>0.599109131403118</v>
      </c>
      <c r="Q54" s="6" t="str">
        <f aca="false">Orders!H54</f>
        <v>Delivered</v>
      </c>
      <c r="R54" s="1" t="str">
        <f aca="false">INDEX(Customers!$C$2:$C$301,MATCH(C54,Customers!$A$2:$A$301,0))</f>
        <v>Nagpur</v>
      </c>
      <c r="S54" s="1" t="str">
        <f aca="false">INDEX(Customers!$E$2:$E$301,MATCH(C54,Customers!$A$2:$A$301,0))</f>
        <v>Returning</v>
      </c>
      <c r="T54" s="6" t="str">
        <f aca="false">Orders!I54</f>
        <v>Mobile App</v>
      </c>
      <c r="U54" s="1" t="str">
        <f aca="false">IF(Q54="Delivered","Completed",IF(Q54="Cancelled","Cancelled",IF(Q54="Returned","Returned","In Progress")))</f>
        <v>Completed</v>
      </c>
      <c r="V54" s="1" t="str">
        <f aca="false">IF(M54&gt;=10000,"High Value",IF(M54&gt;=5000,"Medium Value","Low Value"))</f>
        <v>Low Value</v>
      </c>
      <c r="W54" s="1" t="str">
        <f aca="false">IF(O54&gt;0,"Profitable",IF(O54=0,"Break-even","Loss"))</f>
        <v>Profitable</v>
      </c>
      <c r="X54" s="1" t="str">
        <f aca="false">IF(Q54="Cancelled","Not Applicable",IF(Q54="Processing","Pending",IF(B54="","Unknown",IF(Orders!J54="","Unknown",IF(Orders!J54&lt;=3,"Fast",IF(Orders!J54&lt;=6,"Standard","Slow"))))))</f>
        <v>Fast</v>
      </c>
      <c r="Y54" s="1" t="n">
        <f aca="false">IF(OR(Q54="Cancelled",Q54="Returned"),0,O54)</f>
        <v>269</v>
      </c>
    </row>
    <row r="55" customFormat="false" ht="15" hidden="false" customHeight="false" outlineLevel="0" collapsed="false">
      <c r="A55" s="6" t="str">
        <f aca="false">Orders!A55</f>
        <v>O000054</v>
      </c>
      <c r="B55" s="19" t="n">
        <f aca="false">Orders!B55</f>
        <v>45893</v>
      </c>
      <c r="C55" s="6" t="str">
        <f aca="false">Orders!C55</f>
        <v>C0053</v>
      </c>
      <c r="D55" s="6" t="str">
        <f aca="false">Orders!D55</f>
        <v>P1055</v>
      </c>
      <c r="E55" s="6" t="str">
        <f aca="false">INDEX(Products!$B$2:$B$101,MATCH(D55,Products!$A$2:$A$101,0))</f>
        <v>Perfume</v>
      </c>
      <c r="F55" s="1" t="str">
        <f aca="false">INDEX(Products!$C$2:$C$101,MATCH(D55,Products!$A$2:$A$101,0))</f>
        <v>Beauty</v>
      </c>
      <c r="G55" s="6" t="n">
        <f aca="false">Orders!E55</f>
        <v>4</v>
      </c>
      <c r="H55" s="16" t="n">
        <f aca="false">INDEX(Products!$D$2:$D$101,MATCH(D55,Products!$A$2:$A$101,0))</f>
        <v>999</v>
      </c>
      <c r="I55" s="16" t="n">
        <f aca="false">INDEX(Products!$E$2:$E$101,MATCH(D55,Products!$A$2:$A$101,0))</f>
        <v>500</v>
      </c>
      <c r="J55" s="20" t="n">
        <f aca="false">Orders!F55</f>
        <v>0.1</v>
      </c>
      <c r="K55" s="6" t="n">
        <f aca="false">G55*H55</f>
        <v>3996</v>
      </c>
      <c r="L55" s="6" t="n">
        <f aca="false">K55*J55</f>
        <v>399.6</v>
      </c>
      <c r="M55" s="6" t="n">
        <f aca="false">K55-L55</f>
        <v>3596.4</v>
      </c>
      <c r="N55" s="6" t="n">
        <f aca="false">G55*I55</f>
        <v>2000</v>
      </c>
      <c r="O55" s="6" t="n">
        <f aca="false">M55-N55</f>
        <v>1596.4</v>
      </c>
      <c r="P55" s="21" t="n">
        <f aca="false">IFERROR(O55/M55,0)</f>
        <v>0.443888332777222</v>
      </c>
      <c r="Q55" s="6" t="str">
        <f aca="false">Orders!H55</f>
        <v>Cancelled</v>
      </c>
      <c r="R55" s="1" t="str">
        <f aca="false">INDEX(Customers!$C$2:$C$301,MATCH(C55,Customers!$A$2:$A$301,0))</f>
        <v>Kochi</v>
      </c>
      <c r="S55" s="1" t="str">
        <f aca="false">INDEX(Customers!$E$2:$E$301,MATCH(C55,Customers!$A$2:$A$301,0))</f>
        <v>Returning</v>
      </c>
      <c r="T55" s="6" t="str">
        <f aca="false">Orders!I55</f>
        <v>Mobile App</v>
      </c>
      <c r="U55" s="1" t="str">
        <f aca="false">IF(Q55="Delivered","Completed",IF(Q55="Cancelled","Cancelled",IF(Q55="Returned","Returned","In Progress")))</f>
        <v>Cancelled</v>
      </c>
      <c r="V55" s="1" t="str">
        <f aca="false">IF(M55&gt;=10000,"High Value",IF(M55&gt;=5000,"Medium Value","Low Value"))</f>
        <v>Low Value</v>
      </c>
      <c r="W55" s="1" t="str">
        <f aca="false">IF(O55&gt;0,"Profitable",IF(O55=0,"Break-even","Loss"))</f>
        <v>Profitable</v>
      </c>
      <c r="X55" s="1" t="str">
        <f aca="false">IF(Q55="Cancelled","Not Applicable",IF(Q55="Processing","Pending",IF(B55="","Unknown",IF(Orders!J55="","Unknown",IF(Orders!J55&lt;=3,"Fast",IF(Orders!J55&lt;=6,"Standard","Slow"))))))</f>
        <v>Not Applicable</v>
      </c>
      <c r="Y55" s="1" t="n">
        <f aca="false">IF(OR(Q55="Cancelled",Q55="Returned"),0,O55)</f>
        <v>0</v>
      </c>
    </row>
    <row r="56" customFormat="false" ht="15" hidden="false" customHeight="false" outlineLevel="0" collapsed="false">
      <c r="A56" s="6" t="str">
        <f aca="false">Orders!A56</f>
        <v>O000055</v>
      </c>
      <c r="B56" s="19" t="n">
        <f aca="false">Orders!B56</f>
        <v>45962</v>
      </c>
      <c r="C56" s="6" t="str">
        <f aca="false">Orders!C56</f>
        <v>C0174</v>
      </c>
      <c r="D56" s="6" t="str">
        <f aca="false">Orders!D56</f>
        <v>P1082</v>
      </c>
      <c r="E56" s="6" t="str">
        <f aca="false">INDEX(Products!$B$2:$B$101,MATCH(D56,Products!$A$2:$A$101,0))</f>
        <v>File Folder Set</v>
      </c>
      <c r="F56" s="1" t="str">
        <f aca="false">INDEX(Products!$C$2:$C$101,MATCH(D56,Products!$A$2:$A$101,0))</f>
        <v>Books &amp; Stationery</v>
      </c>
      <c r="G56" s="6" t="n">
        <f aca="false">Orders!E56</f>
        <v>3</v>
      </c>
      <c r="H56" s="16" t="n">
        <f aca="false">INDEX(Products!$D$2:$D$101,MATCH(D56,Products!$A$2:$A$101,0))</f>
        <v>249</v>
      </c>
      <c r="I56" s="16" t="n">
        <f aca="false">INDEX(Products!$E$2:$E$101,MATCH(D56,Products!$A$2:$A$101,0))</f>
        <v>90</v>
      </c>
      <c r="J56" s="20" t="n">
        <f aca="false">Orders!F56</f>
        <v>0.15</v>
      </c>
      <c r="K56" s="6" t="n">
        <f aca="false">G56*H56</f>
        <v>747</v>
      </c>
      <c r="L56" s="6" t="n">
        <f aca="false">K56*J56</f>
        <v>112.05</v>
      </c>
      <c r="M56" s="6" t="n">
        <f aca="false">K56-L56</f>
        <v>634.95</v>
      </c>
      <c r="N56" s="6" t="n">
        <f aca="false">G56*I56</f>
        <v>270</v>
      </c>
      <c r="O56" s="6" t="n">
        <f aca="false">M56-N56</f>
        <v>364.95</v>
      </c>
      <c r="P56" s="21" t="n">
        <f aca="false">IFERROR(O56/M56,0)</f>
        <v>0.574769666902906</v>
      </c>
      <c r="Q56" s="6" t="str">
        <f aca="false">Orders!H56</f>
        <v>Shipped</v>
      </c>
      <c r="R56" s="1" t="str">
        <f aca="false">INDEX(Customers!$C$2:$C$301,MATCH(C56,Customers!$A$2:$A$301,0))</f>
        <v>Indore</v>
      </c>
      <c r="S56" s="1" t="str">
        <f aca="false">INDEX(Customers!$E$2:$E$301,MATCH(C56,Customers!$A$2:$A$301,0))</f>
        <v>VIP</v>
      </c>
      <c r="T56" s="6" t="str">
        <f aca="false">Orders!I56</f>
        <v>Marketplace</v>
      </c>
      <c r="U56" s="1" t="str">
        <f aca="false">IF(Q56="Delivered","Completed",IF(Q56="Cancelled","Cancelled",IF(Q56="Returned","Returned","In Progress")))</f>
        <v>In Progress</v>
      </c>
      <c r="V56" s="1" t="str">
        <f aca="false">IF(M56&gt;=10000,"High Value",IF(M56&gt;=5000,"Medium Value","Low Value"))</f>
        <v>Low Value</v>
      </c>
      <c r="W56" s="1" t="str">
        <f aca="false">IF(O56&gt;0,"Profitable",IF(O56=0,"Break-even","Loss"))</f>
        <v>Profitable</v>
      </c>
      <c r="X56" s="1" t="str">
        <f aca="false">IF(Q56="Cancelled","Not Applicable",IF(Q56="Processing","Pending",IF(B56="","Unknown",IF(Orders!J56="","Unknown",IF(Orders!J56&lt;=3,"Fast",IF(Orders!J56&lt;=6,"Standard","Slow"))))))</f>
        <v>Standard</v>
      </c>
      <c r="Y56" s="1" t="n">
        <f aca="false">IF(OR(Q56="Cancelled",Q56="Returned"),0,O56)</f>
        <v>364.95</v>
      </c>
    </row>
    <row r="57" customFormat="false" ht="23.85" hidden="false" customHeight="false" outlineLevel="0" collapsed="false">
      <c r="A57" s="6" t="str">
        <f aca="false">Orders!A57</f>
        <v>O000056</v>
      </c>
      <c r="B57" s="19" t="n">
        <f aca="false">Orders!B57</f>
        <v>45921</v>
      </c>
      <c r="C57" s="6" t="str">
        <f aca="false">Orders!C57</f>
        <v>C0038</v>
      </c>
      <c r="D57" s="6" t="str">
        <f aca="false">Orders!D57</f>
        <v>P1053</v>
      </c>
      <c r="E57" s="6" t="str">
        <f aca="false">INDEX(Products!$B$2:$B$101,MATCH(D57,Products!$A$2:$A$101,0))</f>
        <v>Makeup Brush Set</v>
      </c>
      <c r="F57" s="1" t="str">
        <f aca="false">INDEX(Products!$C$2:$C$101,MATCH(D57,Products!$A$2:$A$101,0))</f>
        <v>Beauty</v>
      </c>
      <c r="G57" s="6" t="n">
        <f aca="false">Orders!E57</f>
        <v>1</v>
      </c>
      <c r="H57" s="16" t="n">
        <f aca="false">INDEX(Products!$D$2:$D$101,MATCH(D57,Products!$A$2:$A$101,0))</f>
        <v>599</v>
      </c>
      <c r="I57" s="16" t="n">
        <f aca="false">INDEX(Products!$E$2:$E$101,MATCH(D57,Products!$A$2:$A$101,0))</f>
        <v>250</v>
      </c>
      <c r="J57" s="20" t="n">
        <f aca="false">Orders!F57</f>
        <v>0.15</v>
      </c>
      <c r="K57" s="6" t="n">
        <f aca="false">G57*H57</f>
        <v>599</v>
      </c>
      <c r="L57" s="6" t="n">
        <f aca="false">K57*J57</f>
        <v>89.85</v>
      </c>
      <c r="M57" s="6" t="n">
        <f aca="false">K57-L57</f>
        <v>509.15</v>
      </c>
      <c r="N57" s="6" t="n">
        <f aca="false">G57*I57</f>
        <v>250</v>
      </c>
      <c r="O57" s="6" t="n">
        <f aca="false">M57-N57</f>
        <v>259.15</v>
      </c>
      <c r="P57" s="21" t="n">
        <f aca="false">IFERROR(O57/M57,0)</f>
        <v>0.508985564175587</v>
      </c>
      <c r="Q57" s="6" t="str">
        <f aca="false">Orders!H57</f>
        <v>Delivered</v>
      </c>
      <c r="R57" s="1" t="str">
        <f aca="false">INDEX(Customers!$C$2:$C$301,MATCH(C57,Customers!$A$2:$A$301,0))</f>
        <v>Nagpur</v>
      </c>
      <c r="S57" s="1" t="str">
        <f aca="false">INDEX(Customers!$E$2:$E$301,MATCH(C57,Customers!$A$2:$A$301,0))</f>
        <v>Returning</v>
      </c>
      <c r="T57" s="6" t="str">
        <f aca="false">Orders!I57</f>
        <v>Marketplace</v>
      </c>
      <c r="U57" s="1" t="str">
        <f aca="false">IF(Q57="Delivered","Completed",IF(Q57="Cancelled","Cancelled",IF(Q57="Returned","Returned","In Progress")))</f>
        <v>Completed</v>
      </c>
      <c r="V57" s="1" t="str">
        <f aca="false">IF(M57&gt;=10000,"High Value",IF(M57&gt;=5000,"Medium Value","Low Value"))</f>
        <v>Low Value</v>
      </c>
      <c r="W57" s="1" t="str">
        <f aca="false">IF(O57&gt;0,"Profitable",IF(O57=0,"Break-even","Loss"))</f>
        <v>Profitable</v>
      </c>
      <c r="X57" s="1" t="str">
        <f aca="false">IF(Q57="Cancelled","Not Applicable",IF(Q57="Processing","Pending",IF(B57="","Unknown",IF(Orders!J57="","Unknown",IF(Orders!J57&lt;=3,"Fast",IF(Orders!J57&lt;=6,"Standard","Slow"))))))</f>
        <v>Fast</v>
      </c>
      <c r="Y57" s="1" t="n">
        <f aca="false">IF(OR(Q57="Cancelled",Q57="Returned"),0,O57)</f>
        <v>259.15</v>
      </c>
    </row>
    <row r="58" customFormat="false" ht="15" hidden="false" customHeight="false" outlineLevel="0" collapsed="false">
      <c r="A58" s="6" t="str">
        <f aca="false">Orders!A58</f>
        <v>O000057</v>
      </c>
      <c r="B58" s="19" t="n">
        <f aca="false">Orders!B58</f>
        <v>45956</v>
      </c>
      <c r="C58" s="6" t="str">
        <f aca="false">Orders!C58</f>
        <v>C0159</v>
      </c>
      <c r="D58" s="6" t="str">
        <f aca="false">Orders!D58</f>
        <v>P1021</v>
      </c>
      <c r="E58" s="6" t="str">
        <f aca="false">INDEX(Products!$B$2:$B$101,MATCH(D58,Products!$A$2:$A$101,0))</f>
        <v>Handbag</v>
      </c>
      <c r="F58" s="1" t="str">
        <f aca="false">INDEX(Products!$C$2:$C$101,MATCH(D58,Products!$A$2:$A$101,0))</f>
        <v>Fashion</v>
      </c>
      <c r="G58" s="6" t="n">
        <f aca="false">Orders!E58</f>
        <v>1</v>
      </c>
      <c r="H58" s="16" t="n">
        <f aca="false">INDEX(Products!$D$2:$D$101,MATCH(D58,Products!$A$2:$A$101,0))</f>
        <v>1499</v>
      </c>
      <c r="I58" s="16" t="n">
        <f aca="false">INDEX(Products!$E$2:$E$101,MATCH(D58,Products!$A$2:$A$101,0))</f>
        <v>700</v>
      </c>
      <c r="J58" s="20" t="n">
        <f aca="false">Orders!F58</f>
        <v>0.1</v>
      </c>
      <c r="K58" s="6" t="n">
        <f aca="false">G58*H58</f>
        <v>1499</v>
      </c>
      <c r="L58" s="6" t="n">
        <f aca="false">K58*J58</f>
        <v>149.9</v>
      </c>
      <c r="M58" s="6" t="n">
        <f aca="false">K58-L58</f>
        <v>1349.1</v>
      </c>
      <c r="N58" s="6" t="n">
        <f aca="false">G58*I58</f>
        <v>700</v>
      </c>
      <c r="O58" s="6" t="n">
        <f aca="false">M58-N58</f>
        <v>649.1</v>
      </c>
      <c r="P58" s="21" t="n">
        <f aca="false">IFERROR(O58/M58,0)</f>
        <v>0.481135571862723</v>
      </c>
      <c r="Q58" s="6" t="str">
        <f aca="false">Orders!H58</f>
        <v>Delivered</v>
      </c>
      <c r="R58" s="1" t="str">
        <f aca="false">INDEX(Customers!$C$2:$C$301,MATCH(C58,Customers!$A$2:$A$301,0))</f>
        <v>Coimbatore</v>
      </c>
      <c r="S58" s="1" t="str">
        <f aca="false">INDEX(Customers!$E$2:$E$301,MATCH(C58,Customers!$A$2:$A$301,0))</f>
        <v>New</v>
      </c>
      <c r="T58" s="6" t="str">
        <f aca="false">Orders!I58</f>
        <v>Marketplace</v>
      </c>
      <c r="U58" s="1" t="str">
        <f aca="false">IF(Q58="Delivered","Completed",IF(Q58="Cancelled","Cancelled",IF(Q58="Returned","Returned","In Progress")))</f>
        <v>Completed</v>
      </c>
      <c r="V58" s="1" t="str">
        <f aca="false">IF(M58&gt;=10000,"High Value",IF(M58&gt;=5000,"Medium Value","Low Value"))</f>
        <v>Low Value</v>
      </c>
      <c r="W58" s="1" t="str">
        <f aca="false">IF(O58&gt;0,"Profitable",IF(O58=0,"Break-even","Loss"))</f>
        <v>Profitable</v>
      </c>
      <c r="X58" s="1" t="str">
        <f aca="false">IF(Q58="Cancelled","Not Applicable",IF(Q58="Processing","Pending",IF(B58="","Unknown",IF(Orders!J58="","Unknown",IF(Orders!J58&lt;=3,"Fast",IF(Orders!J58&lt;=6,"Standard","Slow"))))))</f>
        <v>Standard</v>
      </c>
      <c r="Y58" s="1" t="n">
        <f aca="false">IF(OR(Q58="Cancelled",Q58="Returned"),0,O58)</f>
        <v>649.1</v>
      </c>
    </row>
    <row r="59" customFormat="false" ht="15" hidden="false" customHeight="false" outlineLevel="0" collapsed="false">
      <c r="A59" s="6" t="str">
        <f aca="false">Orders!A59</f>
        <v>O000058</v>
      </c>
      <c r="B59" s="19" t="n">
        <f aca="false">Orders!B59</f>
        <v>46006</v>
      </c>
      <c r="C59" s="6" t="str">
        <f aca="false">Orders!C59</f>
        <v>C0128</v>
      </c>
      <c r="D59" s="6" t="str">
        <f aca="false">Orders!D59</f>
        <v>P1035</v>
      </c>
      <c r="E59" s="6" t="str">
        <f aca="false">INDEX(Products!$B$2:$B$101,MATCH(D59,Products!$A$2:$A$101,0))</f>
        <v>Nonstick Pan</v>
      </c>
      <c r="F59" s="1" t="str">
        <f aca="false">INDEX(Products!$C$2:$C$101,MATCH(D59,Products!$A$2:$A$101,0))</f>
        <v>Home &amp; Kitchen</v>
      </c>
      <c r="G59" s="6" t="n">
        <f aca="false">Orders!E59</f>
        <v>2</v>
      </c>
      <c r="H59" s="16" t="n">
        <f aca="false">INDEX(Products!$D$2:$D$101,MATCH(D59,Products!$A$2:$A$101,0))</f>
        <v>999</v>
      </c>
      <c r="I59" s="16" t="n">
        <f aca="false">INDEX(Products!$E$2:$E$101,MATCH(D59,Products!$A$2:$A$101,0))</f>
        <v>520</v>
      </c>
      <c r="J59" s="20" t="n">
        <f aca="false">Orders!F59</f>
        <v>0.15</v>
      </c>
      <c r="K59" s="6" t="n">
        <f aca="false">G59*H59</f>
        <v>1998</v>
      </c>
      <c r="L59" s="6" t="n">
        <f aca="false">K59*J59</f>
        <v>299.7</v>
      </c>
      <c r="M59" s="6" t="n">
        <f aca="false">K59-L59</f>
        <v>1698.3</v>
      </c>
      <c r="N59" s="6" t="n">
        <f aca="false">G59*I59</f>
        <v>1040</v>
      </c>
      <c r="O59" s="6" t="n">
        <f aca="false">M59-N59</f>
        <v>658.3</v>
      </c>
      <c r="P59" s="21" t="n">
        <f aca="false">IFERROR(O59/M59,0)</f>
        <v>0.387622917034682</v>
      </c>
      <c r="Q59" s="6" t="str">
        <f aca="false">Orders!H59</f>
        <v>Delivered</v>
      </c>
      <c r="R59" s="1" t="str">
        <f aca="false">INDEX(Customers!$C$2:$C$301,MATCH(C59,Customers!$A$2:$A$301,0))</f>
        <v>Jaipur</v>
      </c>
      <c r="S59" s="1" t="str">
        <f aca="false">INDEX(Customers!$E$2:$E$301,MATCH(C59,Customers!$A$2:$A$301,0))</f>
        <v>Returning</v>
      </c>
      <c r="T59" s="6" t="str">
        <f aca="false">Orders!I59</f>
        <v>Mobile App</v>
      </c>
      <c r="U59" s="1" t="str">
        <f aca="false">IF(Q59="Delivered","Completed",IF(Q59="Cancelled","Cancelled",IF(Q59="Returned","Returned","In Progress")))</f>
        <v>Completed</v>
      </c>
      <c r="V59" s="1" t="str">
        <f aca="false">IF(M59&gt;=10000,"High Value",IF(M59&gt;=5000,"Medium Value","Low Value"))</f>
        <v>Low Value</v>
      </c>
      <c r="W59" s="1" t="str">
        <f aca="false">IF(O59&gt;0,"Profitable",IF(O59=0,"Break-even","Loss"))</f>
        <v>Profitable</v>
      </c>
      <c r="X59" s="1" t="str">
        <f aca="false">IF(Q59="Cancelled","Not Applicable",IF(Q59="Processing","Pending",IF(B59="","Unknown",IF(Orders!J59="","Unknown",IF(Orders!J59&lt;=3,"Fast",IF(Orders!J59&lt;=6,"Standard","Slow"))))))</f>
        <v>Fast</v>
      </c>
      <c r="Y59" s="1" t="n">
        <f aca="false">IF(OR(Q59="Cancelled",Q59="Returned"),0,O59)</f>
        <v>658.3</v>
      </c>
    </row>
    <row r="60" customFormat="false" ht="15" hidden="false" customHeight="false" outlineLevel="0" collapsed="false">
      <c r="A60" s="6" t="str">
        <f aca="false">Orders!A60</f>
        <v>O000059</v>
      </c>
      <c r="B60" s="19" t="n">
        <f aca="false">Orders!B60</f>
        <v>45694</v>
      </c>
      <c r="C60" s="6" t="str">
        <f aca="false">Orders!C60</f>
        <v>C0201</v>
      </c>
      <c r="D60" s="6" t="str">
        <f aca="false">Orders!D60</f>
        <v>P1027</v>
      </c>
      <c r="E60" s="6" t="str">
        <f aca="false">INDEX(Products!$B$2:$B$101,MATCH(D60,Products!$A$2:$A$101,0))</f>
        <v>Belt</v>
      </c>
      <c r="F60" s="1" t="str">
        <f aca="false">INDEX(Products!$C$2:$C$101,MATCH(D60,Products!$A$2:$A$101,0))</f>
        <v>Fashion</v>
      </c>
      <c r="G60" s="6" t="n">
        <f aca="false">Orders!E60</f>
        <v>1</v>
      </c>
      <c r="H60" s="16" t="n">
        <f aca="false">INDEX(Products!$D$2:$D$101,MATCH(D60,Products!$A$2:$A$101,0))</f>
        <v>399</v>
      </c>
      <c r="I60" s="16" t="n">
        <f aca="false">INDEX(Products!$E$2:$E$101,MATCH(D60,Products!$A$2:$A$101,0))</f>
        <v>160</v>
      </c>
      <c r="J60" s="20" t="n">
        <f aca="false">Orders!F60</f>
        <v>0.1</v>
      </c>
      <c r="K60" s="6" t="n">
        <f aca="false">G60*H60</f>
        <v>399</v>
      </c>
      <c r="L60" s="6" t="n">
        <f aca="false">K60*J60</f>
        <v>39.9</v>
      </c>
      <c r="M60" s="6" t="n">
        <f aca="false">K60-L60</f>
        <v>359.1</v>
      </c>
      <c r="N60" s="6" t="n">
        <f aca="false">G60*I60</f>
        <v>160</v>
      </c>
      <c r="O60" s="6" t="n">
        <f aca="false">M60-N60</f>
        <v>199.1</v>
      </c>
      <c r="P60" s="21" t="n">
        <f aca="false">IFERROR(O60/M60,0)</f>
        <v>0.554441659704818</v>
      </c>
      <c r="Q60" s="6" t="str">
        <f aca="false">Orders!H60</f>
        <v>Delivered</v>
      </c>
      <c r="R60" s="1" t="str">
        <f aca="false">INDEX(Customers!$C$2:$C$301,MATCH(C60,Customers!$A$2:$A$301,0))</f>
        <v>Delhi</v>
      </c>
      <c r="S60" s="1" t="str">
        <f aca="false">INDEX(Customers!$E$2:$E$301,MATCH(C60,Customers!$A$2:$A$301,0))</f>
        <v>VIP</v>
      </c>
      <c r="T60" s="6" t="str">
        <f aca="false">Orders!I60</f>
        <v>Mobile App</v>
      </c>
      <c r="U60" s="1" t="str">
        <f aca="false">IF(Q60="Delivered","Completed",IF(Q60="Cancelled","Cancelled",IF(Q60="Returned","Returned","In Progress")))</f>
        <v>Completed</v>
      </c>
      <c r="V60" s="1" t="str">
        <f aca="false">IF(M60&gt;=10000,"High Value",IF(M60&gt;=5000,"Medium Value","Low Value"))</f>
        <v>Low Value</v>
      </c>
      <c r="W60" s="1" t="str">
        <f aca="false">IF(O60&gt;0,"Profitable",IF(O60=0,"Break-even","Loss"))</f>
        <v>Profitable</v>
      </c>
      <c r="X60" s="1" t="str">
        <f aca="false">IF(Q60="Cancelled","Not Applicable",IF(Q60="Processing","Pending",IF(B60="","Unknown",IF(Orders!J60="","Unknown",IF(Orders!J60&lt;=3,"Fast",IF(Orders!J60&lt;=6,"Standard","Slow"))))))</f>
        <v>Standard</v>
      </c>
      <c r="Y60" s="1" t="n">
        <f aca="false">IF(OR(Q60="Cancelled",Q60="Returned"),0,O60)</f>
        <v>199.1</v>
      </c>
    </row>
    <row r="61" customFormat="false" ht="15" hidden="false" customHeight="false" outlineLevel="0" collapsed="false">
      <c r="A61" s="6" t="str">
        <f aca="false">Orders!A61</f>
        <v>O000060</v>
      </c>
      <c r="B61" s="19" t="n">
        <f aca="false">Orders!B61</f>
        <v>45872</v>
      </c>
      <c r="C61" s="6" t="str">
        <f aca="false">Orders!C61</f>
        <v>C0181</v>
      </c>
      <c r="D61" s="6" t="str">
        <f aca="false">Orders!D61</f>
        <v>P1003</v>
      </c>
      <c r="E61" s="6" t="str">
        <f aca="false">INDEX(Products!$B$2:$B$101,MATCH(D61,Products!$A$2:$A$101,0))</f>
        <v>Smart Watch</v>
      </c>
      <c r="F61" s="1" t="str">
        <f aca="false">INDEX(Products!$C$2:$C$101,MATCH(D61,Products!$A$2:$A$101,0))</f>
        <v>Electronics</v>
      </c>
      <c r="G61" s="6" t="n">
        <f aca="false">Orders!E61</f>
        <v>1</v>
      </c>
      <c r="H61" s="16" t="n">
        <f aca="false">INDEX(Products!$D$2:$D$101,MATCH(D61,Products!$A$2:$A$101,0))</f>
        <v>2499</v>
      </c>
      <c r="I61" s="16" t="n">
        <f aca="false">INDEX(Products!$E$2:$E$101,MATCH(D61,Products!$A$2:$A$101,0))</f>
        <v>1450</v>
      </c>
      <c r="J61" s="20" t="n">
        <f aca="false">Orders!F61</f>
        <v>0.05</v>
      </c>
      <c r="K61" s="6" t="n">
        <f aca="false">G61*H61</f>
        <v>2499</v>
      </c>
      <c r="L61" s="6" t="n">
        <f aca="false">K61*J61</f>
        <v>124.95</v>
      </c>
      <c r="M61" s="6" t="n">
        <f aca="false">K61-L61</f>
        <v>2374.05</v>
      </c>
      <c r="N61" s="6" t="n">
        <f aca="false">G61*I61</f>
        <v>1450</v>
      </c>
      <c r="O61" s="6" t="n">
        <f aca="false">M61-N61</f>
        <v>924.05</v>
      </c>
      <c r="P61" s="21" t="n">
        <f aca="false">IFERROR(O61/M61,0)</f>
        <v>0.389229375960911</v>
      </c>
      <c r="Q61" s="6" t="str">
        <f aca="false">Orders!H61</f>
        <v>Delivered</v>
      </c>
      <c r="R61" s="1" t="str">
        <f aca="false">INDEX(Customers!$C$2:$C$301,MATCH(C61,Customers!$A$2:$A$301,0))</f>
        <v>Delhi</v>
      </c>
      <c r="S61" s="1" t="str">
        <f aca="false">INDEX(Customers!$E$2:$E$301,MATCH(C61,Customers!$A$2:$A$301,0))</f>
        <v>New</v>
      </c>
      <c r="T61" s="6" t="str">
        <f aca="false">Orders!I61</f>
        <v>Mobile App</v>
      </c>
      <c r="U61" s="1" t="str">
        <f aca="false">IF(Q61="Delivered","Completed",IF(Q61="Cancelled","Cancelled",IF(Q61="Returned","Returned","In Progress")))</f>
        <v>Completed</v>
      </c>
      <c r="V61" s="1" t="str">
        <f aca="false">IF(M61&gt;=10000,"High Value",IF(M61&gt;=5000,"Medium Value","Low Value"))</f>
        <v>Low Value</v>
      </c>
      <c r="W61" s="1" t="str">
        <f aca="false">IF(O61&gt;0,"Profitable",IF(O61=0,"Break-even","Loss"))</f>
        <v>Profitable</v>
      </c>
      <c r="X61" s="1" t="str">
        <f aca="false">IF(Q61="Cancelled","Not Applicable",IF(Q61="Processing","Pending",IF(B61="","Unknown",IF(Orders!J61="","Unknown",IF(Orders!J61&lt;=3,"Fast",IF(Orders!J61&lt;=6,"Standard","Slow"))))))</f>
        <v>Standard</v>
      </c>
      <c r="Y61" s="1" t="n">
        <f aca="false">IF(OR(Q61="Cancelled",Q61="Returned"),0,O61)</f>
        <v>924.05</v>
      </c>
    </row>
    <row r="62" customFormat="false" ht="15" hidden="false" customHeight="false" outlineLevel="0" collapsed="false">
      <c r="A62" s="6" t="str">
        <f aca="false">Orders!A62</f>
        <v>O000061</v>
      </c>
      <c r="B62" s="19" t="n">
        <f aca="false">Orders!B62</f>
        <v>45796</v>
      </c>
      <c r="C62" s="6" t="str">
        <f aca="false">Orders!C62</f>
        <v>C0214</v>
      </c>
      <c r="D62" s="6" t="str">
        <f aca="false">Orders!D62</f>
        <v>P1059</v>
      </c>
      <c r="E62" s="6" t="str">
        <f aca="false">INDEX(Products!$B$2:$B$101,MATCH(D62,Products!$A$2:$A$101,0))</f>
        <v>Bath Gift Set</v>
      </c>
      <c r="F62" s="1" t="str">
        <f aca="false">INDEX(Products!$C$2:$C$101,MATCH(D62,Products!$A$2:$A$101,0))</f>
        <v>Beauty</v>
      </c>
      <c r="G62" s="6" t="n">
        <f aca="false">Orders!E62</f>
        <v>5</v>
      </c>
      <c r="H62" s="16" t="n">
        <f aca="false">INDEX(Products!$D$2:$D$101,MATCH(D62,Products!$A$2:$A$101,0))</f>
        <v>699</v>
      </c>
      <c r="I62" s="16" t="n">
        <f aca="false">INDEX(Products!$E$2:$E$101,MATCH(D62,Products!$A$2:$A$101,0))</f>
        <v>350</v>
      </c>
      <c r="J62" s="20" t="n">
        <f aca="false">Orders!F62</f>
        <v>0.1</v>
      </c>
      <c r="K62" s="6" t="n">
        <f aca="false">G62*H62</f>
        <v>3495</v>
      </c>
      <c r="L62" s="6" t="n">
        <f aca="false">K62*J62</f>
        <v>349.5</v>
      </c>
      <c r="M62" s="6" t="n">
        <f aca="false">K62-L62</f>
        <v>3145.5</v>
      </c>
      <c r="N62" s="6" t="n">
        <f aca="false">G62*I62</f>
        <v>1750</v>
      </c>
      <c r="O62" s="6" t="n">
        <f aca="false">M62-N62</f>
        <v>1395.5</v>
      </c>
      <c r="P62" s="21" t="n">
        <f aca="false">IFERROR(O62/M62,0)</f>
        <v>0.443649658241933</v>
      </c>
      <c r="Q62" s="6" t="str">
        <f aca="false">Orders!H62</f>
        <v>Delivered</v>
      </c>
      <c r="R62" s="1" t="str">
        <f aca="false">INDEX(Customers!$C$2:$C$301,MATCH(C62,Customers!$A$2:$A$301,0))</f>
        <v>Indore</v>
      </c>
      <c r="S62" s="1" t="str">
        <f aca="false">INDEX(Customers!$E$2:$E$301,MATCH(C62,Customers!$A$2:$A$301,0))</f>
        <v>Returning</v>
      </c>
      <c r="T62" s="6" t="str">
        <f aca="false">Orders!I62</f>
        <v>Website</v>
      </c>
      <c r="U62" s="1" t="str">
        <f aca="false">IF(Q62="Delivered","Completed",IF(Q62="Cancelled","Cancelled",IF(Q62="Returned","Returned","In Progress")))</f>
        <v>Completed</v>
      </c>
      <c r="V62" s="1" t="str">
        <f aca="false">IF(M62&gt;=10000,"High Value",IF(M62&gt;=5000,"Medium Value","Low Value"))</f>
        <v>Low Value</v>
      </c>
      <c r="W62" s="1" t="str">
        <f aca="false">IF(O62&gt;0,"Profitable",IF(O62=0,"Break-even","Loss"))</f>
        <v>Profitable</v>
      </c>
      <c r="X62" s="1" t="str">
        <f aca="false">IF(Q62="Cancelled","Not Applicable",IF(Q62="Processing","Pending",IF(B62="","Unknown",IF(Orders!J62="","Unknown",IF(Orders!J62&lt;=3,"Fast",IF(Orders!J62&lt;=6,"Standard","Slow"))))))</f>
        <v>Slow</v>
      </c>
      <c r="Y62" s="1" t="n">
        <f aca="false">IF(OR(Q62="Cancelled",Q62="Returned"),0,O62)</f>
        <v>1395.5</v>
      </c>
    </row>
    <row r="63" customFormat="false" ht="15" hidden="false" customHeight="false" outlineLevel="0" collapsed="false">
      <c r="A63" s="6" t="str">
        <f aca="false">Orders!A63</f>
        <v>O000062</v>
      </c>
      <c r="B63" s="19" t="n">
        <f aca="false">Orders!B63</f>
        <v>45825</v>
      </c>
      <c r="C63" s="6" t="str">
        <f aca="false">Orders!C63</f>
        <v>C0024</v>
      </c>
      <c r="D63" s="6" t="str">
        <f aca="false">Orders!D63</f>
        <v>P1023</v>
      </c>
      <c r="E63" s="6" t="str">
        <f aca="false">INDEX(Products!$B$2:$B$101,MATCH(D63,Products!$A$2:$A$101,0))</f>
        <v>Sports Cap</v>
      </c>
      <c r="F63" s="1" t="str">
        <f aca="false">INDEX(Products!$C$2:$C$101,MATCH(D63,Products!$A$2:$A$101,0))</f>
        <v>Fashion</v>
      </c>
      <c r="G63" s="6" t="n">
        <f aca="false">Orders!E63</f>
        <v>1</v>
      </c>
      <c r="H63" s="16" t="n">
        <f aca="false">INDEX(Products!$D$2:$D$101,MATCH(D63,Products!$A$2:$A$101,0))</f>
        <v>349</v>
      </c>
      <c r="I63" s="16" t="n">
        <f aca="false">INDEX(Products!$E$2:$E$101,MATCH(D63,Products!$A$2:$A$101,0))</f>
        <v>120</v>
      </c>
      <c r="J63" s="20" t="n">
        <f aca="false">Orders!F63</f>
        <v>0.15</v>
      </c>
      <c r="K63" s="6" t="n">
        <f aca="false">G63*H63</f>
        <v>349</v>
      </c>
      <c r="L63" s="6" t="n">
        <f aca="false">K63*J63</f>
        <v>52.35</v>
      </c>
      <c r="M63" s="6" t="n">
        <f aca="false">K63-L63</f>
        <v>296.65</v>
      </c>
      <c r="N63" s="6" t="n">
        <f aca="false">G63*I63</f>
        <v>120</v>
      </c>
      <c r="O63" s="6" t="n">
        <f aca="false">M63-N63</f>
        <v>176.65</v>
      </c>
      <c r="P63" s="21" t="n">
        <f aca="false">IFERROR(O63/M63,0)</f>
        <v>0.59548289229732</v>
      </c>
      <c r="Q63" s="6" t="str">
        <f aca="false">Orders!H63</f>
        <v>Delivered</v>
      </c>
      <c r="R63" s="1" t="str">
        <f aca="false">INDEX(Customers!$C$2:$C$301,MATCH(C63,Customers!$A$2:$A$301,0))</f>
        <v>Hyderabad</v>
      </c>
      <c r="S63" s="1" t="str">
        <f aca="false">INDEX(Customers!$E$2:$E$301,MATCH(C63,Customers!$A$2:$A$301,0))</f>
        <v>Returning</v>
      </c>
      <c r="T63" s="6" t="str">
        <f aca="false">Orders!I63</f>
        <v>Mobile App</v>
      </c>
      <c r="U63" s="1" t="str">
        <f aca="false">IF(Q63="Delivered","Completed",IF(Q63="Cancelled","Cancelled",IF(Q63="Returned","Returned","In Progress")))</f>
        <v>Completed</v>
      </c>
      <c r="V63" s="1" t="str">
        <f aca="false">IF(M63&gt;=10000,"High Value",IF(M63&gt;=5000,"Medium Value","Low Value"))</f>
        <v>Low Value</v>
      </c>
      <c r="W63" s="1" t="str">
        <f aca="false">IF(O63&gt;0,"Profitable",IF(O63=0,"Break-even","Loss"))</f>
        <v>Profitable</v>
      </c>
      <c r="X63" s="1" t="str">
        <f aca="false">IF(Q63="Cancelled","Not Applicable",IF(Q63="Processing","Pending",IF(B63="","Unknown",IF(Orders!J63="","Unknown",IF(Orders!J63&lt;=3,"Fast",IF(Orders!J63&lt;=6,"Standard","Slow"))))))</f>
        <v>Standard</v>
      </c>
      <c r="Y63" s="1" t="n">
        <f aca="false">IF(OR(Q63="Cancelled",Q63="Returned"),0,O63)</f>
        <v>176.65</v>
      </c>
    </row>
    <row r="64" customFormat="false" ht="15" hidden="false" customHeight="false" outlineLevel="0" collapsed="false">
      <c r="A64" s="6" t="str">
        <f aca="false">Orders!A64</f>
        <v>O000063</v>
      </c>
      <c r="B64" s="19" t="n">
        <f aca="false">Orders!B64</f>
        <v>45810</v>
      </c>
      <c r="C64" s="6" t="str">
        <f aca="false">Orders!C64</f>
        <v>C0118</v>
      </c>
      <c r="D64" s="6" t="str">
        <f aca="false">Orders!D64</f>
        <v>P1024</v>
      </c>
      <c r="E64" s="6" t="str">
        <f aca="false">INDEX(Products!$B$2:$B$101,MATCH(D64,Products!$A$2:$A$101,0))</f>
        <v>Kurta</v>
      </c>
      <c r="F64" s="1" t="str">
        <f aca="false">INDEX(Products!$C$2:$C$101,MATCH(D64,Products!$A$2:$A$101,0))</f>
        <v>Fashion</v>
      </c>
      <c r="G64" s="6" t="n">
        <f aca="false">Orders!E64</f>
        <v>4</v>
      </c>
      <c r="H64" s="16" t="n">
        <f aca="false">INDEX(Products!$D$2:$D$101,MATCH(D64,Products!$A$2:$A$101,0))</f>
        <v>999</v>
      </c>
      <c r="I64" s="16" t="n">
        <f aca="false">INDEX(Products!$E$2:$E$101,MATCH(D64,Products!$A$2:$A$101,0))</f>
        <v>450</v>
      </c>
      <c r="J64" s="20" t="n">
        <f aca="false">Orders!F64</f>
        <v>0.1</v>
      </c>
      <c r="K64" s="6" t="n">
        <f aca="false">G64*H64</f>
        <v>3996</v>
      </c>
      <c r="L64" s="6" t="n">
        <f aca="false">K64*J64</f>
        <v>399.6</v>
      </c>
      <c r="M64" s="6" t="n">
        <f aca="false">K64-L64</f>
        <v>3596.4</v>
      </c>
      <c r="N64" s="6" t="n">
        <f aca="false">G64*I64</f>
        <v>1800</v>
      </c>
      <c r="O64" s="6" t="n">
        <f aca="false">M64-N64</f>
        <v>1796.4</v>
      </c>
      <c r="P64" s="21" t="n">
        <f aca="false">IFERROR(O64/M64,0)</f>
        <v>0.4994994994995</v>
      </c>
      <c r="Q64" s="6" t="str">
        <f aca="false">Orders!H64</f>
        <v>Delivered</v>
      </c>
      <c r="R64" s="1" t="str">
        <f aca="false">INDEX(Customers!$C$2:$C$301,MATCH(C64,Customers!$A$2:$A$301,0))</f>
        <v>Nagpur</v>
      </c>
      <c r="S64" s="1" t="str">
        <f aca="false">INDEX(Customers!$E$2:$E$301,MATCH(C64,Customers!$A$2:$A$301,0))</f>
        <v>Returning</v>
      </c>
      <c r="T64" s="6" t="str">
        <f aca="false">Orders!I64</f>
        <v>Mobile App</v>
      </c>
      <c r="U64" s="1" t="str">
        <f aca="false">IF(Q64="Delivered","Completed",IF(Q64="Cancelled","Cancelled",IF(Q64="Returned","Returned","In Progress")))</f>
        <v>Completed</v>
      </c>
      <c r="V64" s="1" t="str">
        <f aca="false">IF(M64&gt;=10000,"High Value",IF(M64&gt;=5000,"Medium Value","Low Value"))</f>
        <v>Low Value</v>
      </c>
      <c r="W64" s="1" t="str">
        <f aca="false">IF(O64&gt;0,"Profitable",IF(O64=0,"Break-even","Loss"))</f>
        <v>Profitable</v>
      </c>
      <c r="X64" s="1" t="str">
        <f aca="false">IF(Q64="Cancelled","Not Applicable",IF(Q64="Processing","Pending",IF(B64="","Unknown",IF(Orders!J64="","Unknown",IF(Orders!J64&lt;=3,"Fast",IF(Orders!J64&lt;=6,"Standard","Slow"))))))</f>
        <v>Fast</v>
      </c>
      <c r="Y64" s="1" t="n">
        <f aca="false">IF(OR(Q64="Cancelled",Q64="Returned"),0,O64)</f>
        <v>1796.4</v>
      </c>
    </row>
    <row r="65" customFormat="false" ht="15" hidden="false" customHeight="false" outlineLevel="0" collapsed="false">
      <c r="A65" s="6" t="str">
        <f aca="false">Orders!A65</f>
        <v>O000064</v>
      </c>
      <c r="B65" s="19" t="n">
        <f aca="false">Orders!B65</f>
        <v>45943</v>
      </c>
      <c r="C65" s="6" t="str">
        <f aca="false">Orders!C65</f>
        <v>C0289</v>
      </c>
      <c r="D65" s="6" t="str">
        <f aca="false">Orders!D65</f>
        <v>P1011</v>
      </c>
      <c r="E65" s="6" t="str">
        <f aca="false">INDEX(Products!$B$2:$B$101,MATCH(D65,Products!$A$2:$A$101,0))</f>
        <v>Headphones</v>
      </c>
      <c r="F65" s="1" t="str">
        <f aca="false">INDEX(Products!$C$2:$C$101,MATCH(D65,Products!$A$2:$A$101,0))</f>
        <v>Electronics</v>
      </c>
      <c r="G65" s="6" t="n">
        <f aca="false">Orders!E65</f>
        <v>3</v>
      </c>
      <c r="H65" s="16" t="n">
        <f aca="false">INDEX(Products!$D$2:$D$101,MATCH(D65,Products!$A$2:$A$101,0))</f>
        <v>1599</v>
      </c>
      <c r="I65" s="16" t="n">
        <f aca="false">INDEX(Products!$E$2:$E$101,MATCH(D65,Products!$A$2:$A$101,0))</f>
        <v>900</v>
      </c>
      <c r="J65" s="20" t="n">
        <f aca="false">Orders!F65</f>
        <v>0.25</v>
      </c>
      <c r="K65" s="6" t="n">
        <f aca="false">G65*H65</f>
        <v>4797</v>
      </c>
      <c r="L65" s="6" t="n">
        <f aca="false">K65*J65</f>
        <v>1199.25</v>
      </c>
      <c r="M65" s="6" t="n">
        <f aca="false">K65-L65</f>
        <v>3597.75</v>
      </c>
      <c r="N65" s="6" t="n">
        <f aca="false">G65*I65</f>
        <v>2700</v>
      </c>
      <c r="O65" s="6" t="n">
        <f aca="false">M65-N65</f>
        <v>897.75</v>
      </c>
      <c r="P65" s="21" t="n">
        <f aca="false">IFERROR(O65/M65,0)</f>
        <v>0.24953095684803</v>
      </c>
      <c r="Q65" s="6" t="str">
        <f aca="false">Orders!H65</f>
        <v>Returned</v>
      </c>
      <c r="R65" s="1" t="str">
        <f aca="false">INDEX(Customers!$C$2:$C$301,MATCH(C65,Customers!$A$2:$A$301,0))</f>
        <v>Ahmedabad</v>
      </c>
      <c r="S65" s="1" t="str">
        <f aca="false">INDEX(Customers!$E$2:$E$301,MATCH(C65,Customers!$A$2:$A$301,0))</f>
        <v>Returning</v>
      </c>
      <c r="T65" s="6" t="str">
        <f aca="false">Orders!I65</f>
        <v>Marketplace</v>
      </c>
      <c r="U65" s="1" t="str">
        <f aca="false">IF(Q65="Delivered","Completed",IF(Q65="Cancelled","Cancelled",IF(Q65="Returned","Returned","In Progress")))</f>
        <v>Returned</v>
      </c>
      <c r="V65" s="1" t="str">
        <f aca="false">IF(M65&gt;=10000,"High Value",IF(M65&gt;=5000,"Medium Value","Low Value"))</f>
        <v>Low Value</v>
      </c>
      <c r="W65" s="1" t="str">
        <f aca="false">IF(O65&gt;0,"Profitable",IF(O65=0,"Break-even","Loss"))</f>
        <v>Profitable</v>
      </c>
      <c r="X65" s="1" t="str">
        <f aca="false">IF(Q65="Cancelled","Not Applicable",IF(Q65="Processing","Pending",IF(B65="","Unknown",IF(Orders!J65="","Unknown",IF(Orders!J65&lt;=3,"Fast",IF(Orders!J65&lt;=6,"Standard","Slow"))))))</f>
        <v>Fast</v>
      </c>
      <c r="Y65" s="1" t="n">
        <f aca="false">IF(OR(Q65="Cancelled",Q65="Returned"),0,O65)</f>
        <v>0</v>
      </c>
    </row>
    <row r="66" customFormat="false" ht="15" hidden="false" customHeight="false" outlineLevel="0" collapsed="false">
      <c r="A66" s="6" t="str">
        <f aca="false">Orders!A66</f>
        <v>O000065</v>
      </c>
      <c r="B66" s="19" t="n">
        <f aca="false">Orders!B66</f>
        <v>45780</v>
      </c>
      <c r="C66" s="6" t="str">
        <f aca="false">Orders!C66</f>
        <v>C0089</v>
      </c>
      <c r="D66" s="6" t="str">
        <f aca="false">Orders!D66</f>
        <v>P1018</v>
      </c>
      <c r="E66" s="6" t="str">
        <f aca="false">INDEX(Products!$B$2:$B$101,MATCH(D66,Products!$A$2:$A$101,0))</f>
        <v>Cotton Shirt</v>
      </c>
      <c r="F66" s="1" t="str">
        <f aca="false">INDEX(Products!$C$2:$C$101,MATCH(D66,Products!$A$2:$A$101,0))</f>
        <v>Fashion</v>
      </c>
      <c r="G66" s="6" t="n">
        <f aca="false">Orders!E66</f>
        <v>1</v>
      </c>
      <c r="H66" s="16" t="n">
        <f aca="false">INDEX(Products!$D$2:$D$101,MATCH(D66,Products!$A$2:$A$101,0))</f>
        <v>899</v>
      </c>
      <c r="I66" s="16" t="n">
        <f aca="false">INDEX(Products!$E$2:$E$101,MATCH(D66,Products!$A$2:$A$101,0))</f>
        <v>420</v>
      </c>
      <c r="J66" s="20" t="n">
        <f aca="false">Orders!F66</f>
        <v>0.15</v>
      </c>
      <c r="K66" s="6" t="n">
        <f aca="false">G66*H66</f>
        <v>899</v>
      </c>
      <c r="L66" s="6" t="n">
        <f aca="false">K66*J66</f>
        <v>134.85</v>
      </c>
      <c r="M66" s="6" t="n">
        <f aca="false">K66-L66</f>
        <v>764.15</v>
      </c>
      <c r="N66" s="6" t="n">
        <f aca="false">G66*I66</f>
        <v>420</v>
      </c>
      <c r="O66" s="6" t="n">
        <f aca="false">M66-N66</f>
        <v>344.15</v>
      </c>
      <c r="P66" s="21" t="n">
        <f aca="false">IFERROR(O66/M66,0)</f>
        <v>0.450369691814434</v>
      </c>
      <c r="Q66" s="6" t="str">
        <f aca="false">Orders!H66</f>
        <v>Delivered</v>
      </c>
      <c r="R66" s="1" t="str">
        <f aca="false">INDEX(Customers!$C$2:$C$301,MATCH(C66,Customers!$A$2:$A$301,0))</f>
        <v>Ahmedabad</v>
      </c>
      <c r="S66" s="1" t="str">
        <f aca="false">INDEX(Customers!$E$2:$E$301,MATCH(C66,Customers!$A$2:$A$301,0))</f>
        <v>New</v>
      </c>
      <c r="T66" s="6" t="str">
        <f aca="false">Orders!I66</f>
        <v>Mobile App</v>
      </c>
      <c r="U66" s="1" t="str">
        <f aca="false">IF(Q66="Delivered","Completed",IF(Q66="Cancelled","Cancelled",IF(Q66="Returned","Returned","In Progress")))</f>
        <v>Completed</v>
      </c>
      <c r="V66" s="1" t="str">
        <f aca="false">IF(M66&gt;=10000,"High Value",IF(M66&gt;=5000,"Medium Value","Low Value"))</f>
        <v>Low Value</v>
      </c>
      <c r="W66" s="1" t="str">
        <f aca="false">IF(O66&gt;0,"Profitable",IF(O66=0,"Break-even","Loss"))</f>
        <v>Profitable</v>
      </c>
      <c r="X66" s="1" t="str">
        <f aca="false">IF(Q66="Cancelled","Not Applicable",IF(Q66="Processing","Pending",IF(B66="","Unknown",IF(Orders!J66="","Unknown",IF(Orders!J66&lt;=3,"Fast",IF(Orders!J66&lt;=6,"Standard","Slow"))))))</f>
        <v>Standard</v>
      </c>
      <c r="Y66" s="1" t="n">
        <f aca="false">IF(OR(Q66="Cancelled",Q66="Returned"),0,O66)</f>
        <v>344.15</v>
      </c>
    </row>
    <row r="67" customFormat="false" ht="23.85" hidden="false" customHeight="false" outlineLevel="0" collapsed="false">
      <c r="A67" s="6" t="str">
        <f aca="false">Orders!A67</f>
        <v>O000066</v>
      </c>
      <c r="B67" s="19" t="n">
        <f aca="false">Orders!B67</f>
        <v>45916</v>
      </c>
      <c r="C67" s="6" t="str">
        <f aca="false">Orders!C67</f>
        <v>C0134</v>
      </c>
      <c r="D67" s="6" t="str">
        <f aca="false">Orders!D67</f>
        <v>P1002</v>
      </c>
      <c r="E67" s="6" t="str">
        <f aca="false">INDEX(Products!$B$2:$B$101,MATCH(D67,Products!$A$2:$A$101,0))</f>
        <v>Bluetooth Speaker</v>
      </c>
      <c r="F67" s="1" t="str">
        <f aca="false">INDEX(Products!$C$2:$C$101,MATCH(D67,Products!$A$2:$A$101,0))</f>
        <v>Electronics</v>
      </c>
      <c r="G67" s="6" t="n">
        <f aca="false">Orders!E67</f>
        <v>1</v>
      </c>
      <c r="H67" s="16" t="n">
        <f aca="false">INDEX(Products!$D$2:$D$101,MATCH(D67,Products!$A$2:$A$101,0))</f>
        <v>1499</v>
      </c>
      <c r="I67" s="16" t="n">
        <f aca="false">INDEX(Products!$E$2:$E$101,MATCH(D67,Products!$A$2:$A$101,0))</f>
        <v>850</v>
      </c>
      <c r="J67" s="20" t="n">
        <f aca="false">Orders!F67</f>
        <v>0.1</v>
      </c>
      <c r="K67" s="6" t="n">
        <f aca="false">G67*H67</f>
        <v>1499</v>
      </c>
      <c r="L67" s="6" t="n">
        <f aca="false">K67*J67</f>
        <v>149.9</v>
      </c>
      <c r="M67" s="6" t="n">
        <f aca="false">K67-L67</f>
        <v>1349.1</v>
      </c>
      <c r="N67" s="6" t="n">
        <f aca="false">G67*I67</f>
        <v>850</v>
      </c>
      <c r="O67" s="6" t="n">
        <f aca="false">M67-N67</f>
        <v>499.1</v>
      </c>
      <c r="P67" s="21" t="n">
        <f aca="false">IFERROR(O67/M67,0)</f>
        <v>0.369950337261878</v>
      </c>
      <c r="Q67" s="6" t="str">
        <f aca="false">Orders!H67</f>
        <v>Cancelled</v>
      </c>
      <c r="R67" s="1" t="str">
        <f aca="false">INDEX(Customers!$C$2:$C$301,MATCH(C67,Customers!$A$2:$A$301,0))</f>
        <v>Indore</v>
      </c>
      <c r="S67" s="1" t="str">
        <f aca="false">INDEX(Customers!$E$2:$E$301,MATCH(C67,Customers!$A$2:$A$301,0))</f>
        <v>New</v>
      </c>
      <c r="T67" s="6" t="str">
        <f aca="false">Orders!I67</f>
        <v>Mobile App</v>
      </c>
      <c r="U67" s="1" t="str">
        <f aca="false">IF(Q67="Delivered","Completed",IF(Q67="Cancelled","Cancelled",IF(Q67="Returned","Returned","In Progress")))</f>
        <v>Cancelled</v>
      </c>
      <c r="V67" s="1" t="str">
        <f aca="false">IF(M67&gt;=10000,"High Value",IF(M67&gt;=5000,"Medium Value","Low Value"))</f>
        <v>Low Value</v>
      </c>
      <c r="W67" s="1" t="str">
        <f aca="false">IF(O67&gt;0,"Profitable",IF(O67=0,"Break-even","Loss"))</f>
        <v>Profitable</v>
      </c>
      <c r="X67" s="1" t="str">
        <f aca="false">IF(Q67="Cancelled","Not Applicable",IF(Q67="Processing","Pending",IF(B67="","Unknown",IF(Orders!J67="","Unknown",IF(Orders!J67&lt;=3,"Fast",IF(Orders!J67&lt;=6,"Standard","Slow"))))))</f>
        <v>Not Applicable</v>
      </c>
      <c r="Y67" s="1" t="n">
        <f aca="false">IF(OR(Q67="Cancelled",Q67="Returned"),0,O67)</f>
        <v>0</v>
      </c>
    </row>
    <row r="68" customFormat="false" ht="15" hidden="false" customHeight="false" outlineLevel="0" collapsed="false">
      <c r="A68" s="6" t="str">
        <f aca="false">Orders!A68</f>
        <v>O000067</v>
      </c>
      <c r="B68" s="19" t="n">
        <f aca="false">Orders!B68</f>
        <v>45761</v>
      </c>
      <c r="C68" s="6" t="str">
        <f aca="false">Orders!C68</f>
        <v>C0299</v>
      </c>
      <c r="D68" s="6" t="str">
        <f aca="false">Orders!D68</f>
        <v>P1029</v>
      </c>
      <c r="E68" s="6" t="str">
        <f aca="false">INDEX(Products!$B$2:$B$101,MATCH(D68,Products!$A$2:$A$101,0))</f>
        <v>Scarf</v>
      </c>
      <c r="F68" s="1" t="str">
        <f aca="false">INDEX(Products!$C$2:$C$101,MATCH(D68,Products!$A$2:$A$101,0))</f>
        <v>Fashion</v>
      </c>
      <c r="G68" s="6" t="n">
        <f aca="false">Orders!E68</f>
        <v>2</v>
      </c>
      <c r="H68" s="16" t="n">
        <f aca="false">INDEX(Products!$D$2:$D$101,MATCH(D68,Products!$A$2:$A$101,0))</f>
        <v>299</v>
      </c>
      <c r="I68" s="16" t="n">
        <f aca="false">INDEX(Products!$E$2:$E$101,MATCH(D68,Products!$A$2:$A$101,0))</f>
        <v>100</v>
      </c>
      <c r="J68" s="20" t="n">
        <f aca="false">Orders!F68</f>
        <v>0.2</v>
      </c>
      <c r="K68" s="6" t="n">
        <f aca="false">G68*H68</f>
        <v>598</v>
      </c>
      <c r="L68" s="6" t="n">
        <f aca="false">K68*J68</f>
        <v>119.6</v>
      </c>
      <c r="M68" s="6" t="n">
        <f aca="false">K68-L68</f>
        <v>478.4</v>
      </c>
      <c r="N68" s="6" t="n">
        <f aca="false">G68*I68</f>
        <v>200</v>
      </c>
      <c r="O68" s="6" t="n">
        <f aca="false">M68-N68</f>
        <v>278.4</v>
      </c>
      <c r="P68" s="21" t="n">
        <f aca="false">IFERROR(O68/M68,0)</f>
        <v>0.581939799331104</v>
      </c>
      <c r="Q68" s="6" t="str">
        <f aca="false">Orders!H68</f>
        <v>Delivered</v>
      </c>
      <c r="R68" s="1" t="str">
        <f aca="false">INDEX(Customers!$C$2:$C$301,MATCH(C68,Customers!$A$2:$A$301,0))</f>
        <v>Coimbatore</v>
      </c>
      <c r="S68" s="1" t="str">
        <f aca="false">INDEX(Customers!$E$2:$E$301,MATCH(C68,Customers!$A$2:$A$301,0))</f>
        <v>Returning</v>
      </c>
      <c r="T68" s="6" t="str">
        <f aca="false">Orders!I68</f>
        <v>Marketplace</v>
      </c>
      <c r="U68" s="1" t="str">
        <f aca="false">IF(Q68="Delivered","Completed",IF(Q68="Cancelled","Cancelled",IF(Q68="Returned","Returned","In Progress")))</f>
        <v>Completed</v>
      </c>
      <c r="V68" s="1" t="str">
        <f aca="false">IF(M68&gt;=10000,"High Value",IF(M68&gt;=5000,"Medium Value","Low Value"))</f>
        <v>Low Value</v>
      </c>
      <c r="W68" s="1" t="str">
        <f aca="false">IF(O68&gt;0,"Profitable",IF(O68=0,"Break-even","Loss"))</f>
        <v>Profitable</v>
      </c>
      <c r="X68" s="1" t="str">
        <f aca="false">IF(Q68="Cancelled","Not Applicable",IF(Q68="Processing","Pending",IF(B68="","Unknown",IF(Orders!J68="","Unknown",IF(Orders!J68&lt;=3,"Fast",IF(Orders!J68&lt;=6,"Standard","Slow"))))))</f>
        <v>Fast</v>
      </c>
      <c r="Y68" s="1" t="n">
        <f aca="false">IF(OR(Q68="Cancelled",Q68="Returned"),0,O68)</f>
        <v>278.4</v>
      </c>
    </row>
    <row r="69" customFormat="false" ht="15" hidden="false" customHeight="false" outlineLevel="0" collapsed="false">
      <c r="A69" s="6" t="str">
        <f aca="false">Orders!A69</f>
        <v>O000068</v>
      </c>
      <c r="B69" s="19" t="n">
        <f aca="false">Orders!B69</f>
        <v>45960</v>
      </c>
      <c r="C69" s="6" t="str">
        <f aca="false">Orders!C69</f>
        <v>C0041</v>
      </c>
      <c r="D69" s="6" t="str">
        <f aca="false">Orders!D69</f>
        <v>P1084</v>
      </c>
      <c r="E69" s="6" t="str">
        <f aca="false">INDEX(Products!$B$2:$B$101,MATCH(D69,Products!$A$2:$A$101,0))</f>
        <v>Whiteboard</v>
      </c>
      <c r="F69" s="1" t="str">
        <f aca="false">INDEX(Products!$C$2:$C$101,MATCH(D69,Products!$A$2:$A$101,0))</f>
        <v>Books &amp; Stationery</v>
      </c>
      <c r="G69" s="6" t="n">
        <f aca="false">Orders!E69</f>
        <v>1</v>
      </c>
      <c r="H69" s="16" t="n">
        <f aca="false">INDEX(Products!$D$2:$D$101,MATCH(D69,Products!$A$2:$A$101,0))</f>
        <v>799</v>
      </c>
      <c r="I69" s="16" t="n">
        <f aca="false">INDEX(Products!$E$2:$E$101,MATCH(D69,Products!$A$2:$A$101,0))</f>
        <v>420</v>
      </c>
      <c r="J69" s="20" t="n">
        <f aca="false">Orders!F69</f>
        <v>0.25</v>
      </c>
      <c r="K69" s="6" t="n">
        <f aca="false">G69*H69</f>
        <v>799</v>
      </c>
      <c r="L69" s="6" t="n">
        <f aca="false">K69*J69</f>
        <v>199.75</v>
      </c>
      <c r="M69" s="6" t="n">
        <f aca="false">K69-L69</f>
        <v>599.25</v>
      </c>
      <c r="N69" s="6" t="n">
        <f aca="false">G69*I69</f>
        <v>420</v>
      </c>
      <c r="O69" s="6" t="n">
        <f aca="false">M69-N69</f>
        <v>179.25</v>
      </c>
      <c r="P69" s="21" t="n">
        <f aca="false">IFERROR(O69/M69,0)</f>
        <v>0.299123904881101</v>
      </c>
      <c r="Q69" s="6" t="str">
        <f aca="false">Orders!H69</f>
        <v>Delivered</v>
      </c>
      <c r="R69" s="1" t="str">
        <f aca="false">INDEX(Customers!$C$2:$C$301,MATCH(C69,Customers!$A$2:$A$301,0))</f>
        <v>Delhi</v>
      </c>
      <c r="S69" s="1" t="str">
        <f aca="false">INDEX(Customers!$E$2:$E$301,MATCH(C69,Customers!$A$2:$A$301,0))</f>
        <v>New</v>
      </c>
      <c r="T69" s="6" t="str">
        <f aca="false">Orders!I69</f>
        <v>Mobile App</v>
      </c>
      <c r="U69" s="1" t="str">
        <f aca="false">IF(Q69="Delivered","Completed",IF(Q69="Cancelled","Cancelled",IF(Q69="Returned","Returned","In Progress")))</f>
        <v>Completed</v>
      </c>
      <c r="V69" s="1" t="str">
        <f aca="false">IF(M69&gt;=10000,"High Value",IF(M69&gt;=5000,"Medium Value","Low Value"))</f>
        <v>Low Value</v>
      </c>
      <c r="W69" s="1" t="str">
        <f aca="false">IF(O69&gt;0,"Profitable",IF(O69=0,"Break-even","Loss"))</f>
        <v>Profitable</v>
      </c>
      <c r="X69" s="1" t="str">
        <f aca="false">IF(Q69="Cancelled","Not Applicable",IF(Q69="Processing","Pending",IF(B69="","Unknown",IF(Orders!J69="","Unknown",IF(Orders!J69&lt;=3,"Fast",IF(Orders!J69&lt;=6,"Standard","Slow"))))))</f>
        <v>Standard</v>
      </c>
      <c r="Y69" s="1" t="n">
        <f aca="false">IF(OR(Q69="Cancelled",Q69="Returned"),0,O69)</f>
        <v>179.25</v>
      </c>
    </row>
    <row r="70" customFormat="false" ht="15" hidden="false" customHeight="false" outlineLevel="0" collapsed="false">
      <c r="A70" s="6" t="str">
        <f aca="false">Orders!A70</f>
        <v>O000069</v>
      </c>
      <c r="B70" s="19" t="n">
        <f aca="false">Orders!B70</f>
        <v>46014</v>
      </c>
      <c r="C70" s="6" t="str">
        <f aca="false">Orders!C70</f>
        <v>C0074</v>
      </c>
      <c r="D70" s="6" t="str">
        <f aca="false">Orders!D70</f>
        <v>P1096</v>
      </c>
      <c r="E70" s="6" t="str">
        <f aca="false">INDEX(Products!$B$2:$B$101,MATCH(D70,Products!$A$2:$A$101,0))</f>
        <v>Air Fryer</v>
      </c>
      <c r="F70" s="1" t="str">
        <f aca="false">INDEX(Products!$C$2:$C$101,MATCH(D70,Products!$A$2:$A$101,0))</f>
        <v>Appliances</v>
      </c>
      <c r="G70" s="6" t="n">
        <f aca="false">Orders!E70</f>
        <v>3</v>
      </c>
      <c r="H70" s="16" t="n">
        <f aca="false">INDEX(Products!$D$2:$D$101,MATCH(D70,Products!$A$2:$A$101,0))</f>
        <v>3999</v>
      </c>
      <c r="I70" s="16" t="n">
        <f aca="false">INDEX(Products!$E$2:$E$101,MATCH(D70,Products!$A$2:$A$101,0))</f>
        <v>2700</v>
      </c>
      <c r="J70" s="20" t="n">
        <f aca="false">Orders!F70</f>
        <v>0.15</v>
      </c>
      <c r="K70" s="6" t="n">
        <f aca="false">G70*H70</f>
        <v>11997</v>
      </c>
      <c r="L70" s="6" t="n">
        <f aca="false">K70*J70</f>
        <v>1799.55</v>
      </c>
      <c r="M70" s="6" t="n">
        <f aca="false">K70-L70</f>
        <v>10197.45</v>
      </c>
      <c r="N70" s="6" t="n">
        <f aca="false">G70*I70</f>
        <v>8100</v>
      </c>
      <c r="O70" s="6" t="n">
        <f aca="false">M70-N70</f>
        <v>2097.45</v>
      </c>
      <c r="P70" s="21" t="n">
        <f aca="false">IFERROR(O70/M70,0)</f>
        <v>0.205683773884648</v>
      </c>
      <c r="Q70" s="6" t="str">
        <f aca="false">Orders!H70</f>
        <v>Delivered</v>
      </c>
      <c r="R70" s="1" t="str">
        <f aca="false">INDEX(Customers!$C$2:$C$301,MATCH(C70,Customers!$A$2:$A$301,0))</f>
        <v>Indore</v>
      </c>
      <c r="S70" s="1" t="str">
        <f aca="false">INDEX(Customers!$E$2:$E$301,MATCH(C70,Customers!$A$2:$A$301,0))</f>
        <v>New</v>
      </c>
      <c r="T70" s="6" t="str">
        <f aca="false">Orders!I70</f>
        <v>Website</v>
      </c>
      <c r="U70" s="1" t="str">
        <f aca="false">IF(Q70="Delivered","Completed",IF(Q70="Cancelled","Cancelled",IF(Q70="Returned","Returned","In Progress")))</f>
        <v>Completed</v>
      </c>
      <c r="V70" s="1" t="str">
        <f aca="false">IF(M70&gt;=10000,"High Value",IF(M70&gt;=5000,"Medium Value","Low Value"))</f>
        <v>High Value</v>
      </c>
      <c r="W70" s="1" t="str">
        <f aca="false">IF(O70&gt;0,"Profitable",IF(O70=0,"Break-even","Loss"))</f>
        <v>Profitable</v>
      </c>
      <c r="X70" s="1" t="str">
        <f aca="false">IF(Q70="Cancelled","Not Applicable",IF(Q70="Processing","Pending",IF(B70="","Unknown",IF(Orders!J70="","Unknown",IF(Orders!J70&lt;=3,"Fast",IF(Orders!J70&lt;=6,"Standard","Slow"))))))</f>
        <v>Fast</v>
      </c>
      <c r="Y70" s="1" t="n">
        <f aca="false">IF(OR(Q70="Cancelled",Q70="Returned"),0,O70)</f>
        <v>2097.45</v>
      </c>
    </row>
    <row r="71" customFormat="false" ht="15" hidden="false" customHeight="false" outlineLevel="0" collapsed="false">
      <c r="A71" s="6" t="str">
        <f aca="false">Orders!A71</f>
        <v>O000070</v>
      </c>
      <c r="B71" s="19" t="n">
        <f aca="false">Orders!B71</f>
        <v>45914</v>
      </c>
      <c r="C71" s="6" t="str">
        <f aca="false">Orders!C71</f>
        <v>C0085</v>
      </c>
      <c r="D71" s="6" t="str">
        <f aca="false">Orders!D71</f>
        <v>P1021</v>
      </c>
      <c r="E71" s="6" t="str">
        <f aca="false">INDEX(Products!$B$2:$B$101,MATCH(D71,Products!$A$2:$A$101,0))</f>
        <v>Handbag</v>
      </c>
      <c r="F71" s="1" t="str">
        <f aca="false">INDEX(Products!$C$2:$C$101,MATCH(D71,Products!$A$2:$A$101,0))</f>
        <v>Fashion</v>
      </c>
      <c r="G71" s="6" t="n">
        <f aca="false">Orders!E71</f>
        <v>3</v>
      </c>
      <c r="H71" s="16" t="n">
        <f aca="false">INDEX(Products!$D$2:$D$101,MATCH(D71,Products!$A$2:$A$101,0))</f>
        <v>1499</v>
      </c>
      <c r="I71" s="16" t="n">
        <f aca="false">INDEX(Products!$E$2:$E$101,MATCH(D71,Products!$A$2:$A$101,0))</f>
        <v>700</v>
      </c>
      <c r="J71" s="20" t="n">
        <f aca="false">Orders!F71</f>
        <v>0.25</v>
      </c>
      <c r="K71" s="6" t="n">
        <f aca="false">G71*H71</f>
        <v>4497</v>
      </c>
      <c r="L71" s="6" t="n">
        <f aca="false">K71*J71</f>
        <v>1124.25</v>
      </c>
      <c r="M71" s="6" t="n">
        <f aca="false">K71-L71</f>
        <v>3372.75</v>
      </c>
      <c r="N71" s="6" t="n">
        <f aca="false">G71*I71</f>
        <v>2100</v>
      </c>
      <c r="O71" s="6" t="n">
        <f aca="false">M71-N71</f>
        <v>1272.75</v>
      </c>
      <c r="P71" s="21" t="n">
        <f aca="false">IFERROR(O71/M71,0)</f>
        <v>0.377362686235268</v>
      </c>
      <c r="Q71" s="6" t="str">
        <f aca="false">Orders!H71</f>
        <v>Delivered</v>
      </c>
      <c r="R71" s="1" t="str">
        <f aca="false">INDEX(Customers!$C$2:$C$301,MATCH(C71,Customers!$A$2:$A$301,0))</f>
        <v>Chennai</v>
      </c>
      <c r="S71" s="1" t="str">
        <f aca="false">INDEX(Customers!$E$2:$E$301,MATCH(C71,Customers!$A$2:$A$301,0))</f>
        <v>VIP</v>
      </c>
      <c r="T71" s="6" t="str">
        <f aca="false">Orders!I71</f>
        <v>Marketplace</v>
      </c>
      <c r="U71" s="1" t="str">
        <f aca="false">IF(Q71="Delivered","Completed",IF(Q71="Cancelled","Cancelled",IF(Q71="Returned","Returned","In Progress")))</f>
        <v>Completed</v>
      </c>
      <c r="V71" s="1" t="str">
        <f aca="false">IF(M71&gt;=10000,"High Value",IF(M71&gt;=5000,"Medium Value","Low Value"))</f>
        <v>Low Value</v>
      </c>
      <c r="W71" s="1" t="str">
        <f aca="false">IF(O71&gt;0,"Profitable",IF(O71=0,"Break-even","Loss"))</f>
        <v>Profitable</v>
      </c>
      <c r="X71" s="1" t="str">
        <f aca="false">IF(Q71="Cancelled","Not Applicable",IF(Q71="Processing","Pending",IF(B71="","Unknown",IF(Orders!J71="","Unknown",IF(Orders!J71&lt;=3,"Fast",IF(Orders!J71&lt;=6,"Standard","Slow"))))))</f>
        <v>Standard</v>
      </c>
      <c r="Y71" s="1" t="n">
        <f aca="false">IF(OR(Q71="Cancelled",Q71="Returned"),0,O71)</f>
        <v>1272.75</v>
      </c>
    </row>
    <row r="72" customFormat="false" ht="15" hidden="false" customHeight="false" outlineLevel="0" collapsed="false">
      <c r="A72" s="6" t="str">
        <f aca="false">Orders!A72</f>
        <v>O000071</v>
      </c>
      <c r="B72" s="19" t="n">
        <f aca="false">Orders!B72</f>
        <v>45916</v>
      </c>
      <c r="C72" s="6" t="str">
        <f aca="false">Orders!C72</f>
        <v>C0222</v>
      </c>
      <c r="D72" s="6" t="str">
        <f aca="false">Orders!D72</f>
        <v>P1095</v>
      </c>
      <c r="E72" s="6" t="str">
        <f aca="false">INDEX(Products!$B$2:$B$101,MATCH(D72,Products!$A$2:$A$101,0))</f>
        <v>Table Fan</v>
      </c>
      <c r="F72" s="1" t="str">
        <f aca="false">INDEX(Products!$C$2:$C$101,MATCH(D72,Products!$A$2:$A$101,0))</f>
        <v>Appliances</v>
      </c>
      <c r="G72" s="6" t="n">
        <f aca="false">Orders!E72</f>
        <v>1</v>
      </c>
      <c r="H72" s="16" t="n">
        <f aca="false">INDEX(Products!$D$2:$D$101,MATCH(D72,Products!$A$2:$A$101,0))</f>
        <v>1599</v>
      </c>
      <c r="I72" s="16" t="n">
        <f aca="false">INDEX(Products!$E$2:$E$101,MATCH(D72,Products!$A$2:$A$101,0))</f>
        <v>950</v>
      </c>
      <c r="J72" s="20" t="n">
        <f aca="false">Orders!F72</f>
        <v>0.05</v>
      </c>
      <c r="K72" s="6" t="n">
        <f aca="false">G72*H72</f>
        <v>1599</v>
      </c>
      <c r="L72" s="6" t="n">
        <f aca="false">K72*J72</f>
        <v>79.95</v>
      </c>
      <c r="M72" s="6" t="n">
        <f aca="false">K72-L72</f>
        <v>1519.05</v>
      </c>
      <c r="N72" s="6" t="n">
        <f aca="false">G72*I72</f>
        <v>950</v>
      </c>
      <c r="O72" s="6" t="n">
        <f aca="false">M72-N72</f>
        <v>569.05</v>
      </c>
      <c r="P72" s="21" t="n">
        <f aca="false">IFERROR(O72/M72,0)</f>
        <v>0.374609130706692</v>
      </c>
      <c r="Q72" s="6" t="str">
        <f aca="false">Orders!H72</f>
        <v>Delivered</v>
      </c>
      <c r="R72" s="1" t="str">
        <f aca="false">INDEX(Customers!$C$2:$C$301,MATCH(C72,Customers!$A$2:$A$301,0))</f>
        <v>Mumbai</v>
      </c>
      <c r="S72" s="1" t="str">
        <f aca="false">INDEX(Customers!$E$2:$E$301,MATCH(C72,Customers!$A$2:$A$301,0))</f>
        <v>Returning</v>
      </c>
      <c r="T72" s="6" t="str">
        <f aca="false">Orders!I72</f>
        <v>Mobile App</v>
      </c>
      <c r="U72" s="1" t="str">
        <f aca="false">IF(Q72="Delivered","Completed",IF(Q72="Cancelled","Cancelled",IF(Q72="Returned","Returned","In Progress")))</f>
        <v>Completed</v>
      </c>
      <c r="V72" s="1" t="str">
        <f aca="false">IF(M72&gt;=10000,"High Value",IF(M72&gt;=5000,"Medium Value","Low Value"))</f>
        <v>Low Value</v>
      </c>
      <c r="W72" s="1" t="str">
        <f aca="false">IF(O72&gt;0,"Profitable",IF(O72=0,"Break-even","Loss"))</f>
        <v>Profitable</v>
      </c>
      <c r="X72" s="1" t="str">
        <f aca="false">IF(Q72="Cancelled","Not Applicable",IF(Q72="Processing","Pending",IF(B72="","Unknown",IF(Orders!J72="","Unknown",IF(Orders!J72&lt;=3,"Fast",IF(Orders!J72&lt;=6,"Standard","Slow"))))))</f>
        <v>Fast</v>
      </c>
      <c r="Y72" s="1" t="n">
        <f aca="false">IF(OR(Q72="Cancelled",Q72="Returned"),0,O72)</f>
        <v>569.05</v>
      </c>
    </row>
    <row r="73" customFormat="false" ht="15" hidden="false" customHeight="false" outlineLevel="0" collapsed="false">
      <c r="A73" s="6" t="str">
        <f aca="false">Orders!A73</f>
        <v>O000072</v>
      </c>
      <c r="B73" s="19" t="n">
        <f aca="false">Orders!B73</f>
        <v>45843</v>
      </c>
      <c r="C73" s="6" t="str">
        <f aca="false">Orders!C73</f>
        <v>C0126</v>
      </c>
      <c r="D73" s="6" t="str">
        <f aca="false">Orders!D73</f>
        <v>P1034</v>
      </c>
      <c r="E73" s="6" t="str">
        <f aca="false">INDEX(Products!$B$2:$B$101,MATCH(D73,Products!$A$2:$A$101,0))</f>
        <v>Table Lamp</v>
      </c>
      <c r="F73" s="1" t="str">
        <f aca="false">INDEX(Products!$C$2:$C$101,MATCH(D73,Products!$A$2:$A$101,0))</f>
        <v>Home &amp; Kitchen</v>
      </c>
      <c r="G73" s="6" t="n">
        <f aca="false">Orders!E73</f>
        <v>1</v>
      </c>
      <c r="H73" s="16" t="n">
        <f aca="false">INDEX(Products!$D$2:$D$101,MATCH(D73,Products!$A$2:$A$101,0))</f>
        <v>899</v>
      </c>
      <c r="I73" s="16" t="n">
        <f aca="false">INDEX(Products!$E$2:$E$101,MATCH(D73,Products!$A$2:$A$101,0))</f>
        <v>420</v>
      </c>
      <c r="J73" s="20" t="n">
        <f aca="false">Orders!F73</f>
        <v>0</v>
      </c>
      <c r="K73" s="6" t="n">
        <f aca="false">G73*H73</f>
        <v>899</v>
      </c>
      <c r="L73" s="6" t="n">
        <f aca="false">K73*J73</f>
        <v>0</v>
      </c>
      <c r="M73" s="6" t="n">
        <f aca="false">K73-L73</f>
        <v>899</v>
      </c>
      <c r="N73" s="6" t="n">
        <f aca="false">G73*I73</f>
        <v>420</v>
      </c>
      <c r="O73" s="6" t="n">
        <f aca="false">M73-N73</f>
        <v>479</v>
      </c>
      <c r="P73" s="21" t="n">
        <f aca="false">IFERROR(O73/M73,0)</f>
        <v>0.532814238042269</v>
      </c>
      <c r="Q73" s="6" t="str">
        <f aca="false">Orders!H73</f>
        <v>Delivered</v>
      </c>
      <c r="R73" s="1" t="str">
        <f aca="false">INDEX(Customers!$C$2:$C$301,MATCH(C73,Customers!$A$2:$A$301,0))</f>
        <v>Kolkata</v>
      </c>
      <c r="S73" s="1" t="str">
        <f aca="false">INDEX(Customers!$E$2:$E$301,MATCH(C73,Customers!$A$2:$A$301,0))</f>
        <v>New</v>
      </c>
      <c r="T73" s="6" t="str">
        <f aca="false">Orders!I73</f>
        <v>Mobile App</v>
      </c>
      <c r="U73" s="1" t="str">
        <f aca="false">IF(Q73="Delivered","Completed",IF(Q73="Cancelled","Cancelled",IF(Q73="Returned","Returned","In Progress")))</f>
        <v>Completed</v>
      </c>
      <c r="V73" s="1" t="str">
        <f aca="false">IF(M73&gt;=10000,"High Value",IF(M73&gt;=5000,"Medium Value","Low Value"))</f>
        <v>Low Value</v>
      </c>
      <c r="W73" s="1" t="str">
        <f aca="false">IF(O73&gt;0,"Profitable",IF(O73=0,"Break-even","Loss"))</f>
        <v>Profitable</v>
      </c>
      <c r="X73" s="1" t="str">
        <f aca="false">IF(Q73="Cancelled","Not Applicable",IF(Q73="Processing","Pending",IF(B73="","Unknown",IF(Orders!J73="","Unknown",IF(Orders!J73&lt;=3,"Fast",IF(Orders!J73&lt;=6,"Standard","Slow"))))))</f>
        <v>Fast</v>
      </c>
      <c r="Y73" s="1" t="n">
        <f aca="false">IF(OR(Q73="Cancelled",Q73="Returned"),0,O73)</f>
        <v>479</v>
      </c>
    </row>
    <row r="74" customFormat="false" ht="15" hidden="false" customHeight="false" outlineLevel="0" collapsed="false">
      <c r="A74" s="6" t="str">
        <f aca="false">Orders!A74</f>
        <v>O000073</v>
      </c>
      <c r="B74" s="19" t="n">
        <f aca="false">Orders!B74</f>
        <v>45780</v>
      </c>
      <c r="C74" s="6" t="str">
        <f aca="false">Orders!C74</f>
        <v>C0009</v>
      </c>
      <c r="D74" s="6" t="str">
        <f aca="false">Orders!D74</f>
        <v>P1037</v>
      </c>
      <c r="E74" s="6" t="str">
        <f aca="false">INDEX(Products!$B$2:$B$101,MATCH(D74,Products!$A$2:$A$101,0))</f>
        <v>Pillow Pair</v>
      </c>
      <c r="F74" s="1" t="str">
        <f aca="false">INDEX(Products!$C$2:$C$101,MATCH(D74,Products!$A$2:$A$101,0))</f>
        <v>Home &amp; Kitchen</v>
      </c>
      <c r="G74" s="6" t="n">
        <f aca="false">Orders!E74</f>
        <v>1</v>
      </c>
      <c r="H74" s="16" t="n">
        <f aca="false">INDEX(Products!$D$2:$D$101,MATCH(D74,Products!$A$2:$A$101,0))</f>
        <v>799</v>
      </c>
      <c r="I74" s="16" t="n">
        <f aca="false">INDEX(Products!$E$2:$E$101,MATCH(D74,Products!$A$2:$A$101,0))</f>
        <v>350</v>
      </c>
      <c r="J74" s="20" t="n">
        <f aca="false">Orders!F74</f>
        <v>0</v>
      </c>
      <c r="K74" s="6" t="n">
        <f aca="false">G74*H74</f>
        <v>799</v>
      </c>
      <c r="L74" s="6" t="n">
        <f aca="false">K74*J74</f>
        <v>0</v>
      </c>
      <c r="M74" s="6" t="n">
        <f aca="false">K74-L74</f>
        <v>799</v>
      </c>
      <c r="N74" s="6" t="n">
        <f aca="false">G74*I74</f>
        <v>350</v>
      </c>
      <c r="O74" s="6" t="n">
        <f aca="false">M74-N74</f>
        <v>449</v>
      </c>
      <c r="P74" s="21" t="n">
        <f aca="false">IFERROR(O74/M74,0)</f>
        <v>0.561952440550688</v>
      </c>
      <c r="Q74" s="6" t="str">
        <f aca="false">Orders!H74</f>
        <v>Cancelled</v>
      </c>
      <c r="R74" s="1" t="str">
        <f aca="false">INDEX(Customers!$C$2:$C$301,MATCH(C74,Customers!$A$2:$A$301,0))</f>
        <v>Ahmedabad</v>
      </c>
      <c r="S74" s="1" t="str">
        <f aca="false">INDEX(Customers!$E$2:$E$301,MATCH(C74,Customers!$A$2:$A$301,0))</f>
        <v>New</v>
      </c>
      <c r="T74" s="6" t="str">
        <f aca="false">Orders!I74</f>
        <v>Website</v>
      </c>
      <c r="U74" s="1" t="str">
        <f aca="false">IF(Q74="Delivered","Completed",IF(Q74="Cancelled","Cancelled",IF(Q74="Returned","Returned","In Progress")))</f>
        <v>Cancelled</v>
      </c>
      <c r="V74" s="1" t="str">
        <f aca="false">IF(M74&gt;=10000,"High Value",IF(M74&gt;=5000,"Medium Value","Low Value"))</f>
        <v>Low Value</v>
      </c>
      <c r="W74" s="1" t="str">
        <f aca="false">IF(O74&gt;0,"Profitable",IF(O74=0,"Break-even","Loss"))</f>
        <v>Profitable</v>
      </c>
      <c r="X74" s="1" t="str">
        <f aca="false">IF(Q74="Cancelled","Not Applicable",IF(Q74="Processing","Pending",IF(B74="","Unknown",IF(Orders!J74="","Unknown",IF(Orders!J74&lt;=3,"Fast",IF(Orders!J74&lt;=6,"Standard","Slow"))))))</f>
        <v>Not Applicable</v>
      </c>
      <c r="Y74" s="1" t="n">
        <f aca="false">IF(OR(Q74="Cancelled",Q74="Returned"),0,O74)</f>
        <v>0</v>
      </c>
    </row>
    <row r="75" customFormat="false" ht="23.85" hidden="false" customHeight="false" outlineLevel="0" collapsed="false">
      <c r="A75" s="6" t="str">
        <f aca="false">Orders!A75</f>
        <v>O000074</v>
      </c>
      <c r="B75" s="19" t="n">
        <f aca="false">Orders!B75</f>
        <v>45933</v>
      </c>
      <c r="C75" s="6" t="str">
        <f aca="false">Orders!C75</f>
        <v>C0266</v>
      </c>
      <c r="D75" s="6" t="str">
        <f aca="false">Orders!D75</f>
        <v>P1070</v>
      </c>
      <c r="E75" s="6" t="str">
        <f aca="false">INDEX(Products!$B$2:$B$101,MATCH(D75,Products!$A$2:$A$101,0))</f>
        <v>Knee Support Pair</v>
      </c>
      <c r="F75" s="1" t="str">
        <f aca="false">INDEX(Products!$C$2:$C$101,MATCH(D75,Products!$A$2:$A$101,0))</f>
        <v>Sports &amp; Outdoors</v>
      </c>
      <c r="G75" s="6" t="n">
        <f aca="false">Orders!E75</f>
        <v>1</v>
      </c>
      <c r="H75" s="16" t="n">
        <f aca="false">INDEX(Products!$D$2:$D$101,MATCH(D75,Products!$A$2:$A$101,0))</f>
        <v>449</v>
      </c>
      <c r="I75" s="16" t="n">
        <f aca="false">INDEX(Products!$E$2:$E$101,MATCH(D75,Products!$A$2:$A$101,0))</f>
        <v>180</v>
      </c>
      <c r="J75" s="20" t="n">
        <f aca="false">Orders!F75</f>
        <v>0</v>
      </c>
      <c r="K75" s="6" t="n">
        <f aca="false">G75*H75</f>
        <v>449</v>
      </c>
      <c r="L75" s="6" t="n">
        <f aca="false">K75*J75</f>
        <v>0</v>
      </c>
      <c r="M75" s="6" t="n">
        <f aca="false">K75-L75</f>
        <v>449</v>
      </c>
      <c r="N75" s="6" t="n">
        <f aca="false">G75*I75</f>
        <v>180</v>
      </c>
      <c r="O75" s="6" t="n">
        <f aca="false">M75-N75</f>
        <v>269</v>
      </c>
      <c r="P75" s="21" t="n">
        <f aca="false">IFERROR(O75/M75,0)</f>
        <v>0.599109131403118</v>
      </c>
      <c r="Q75" s="6" t="str">
        <f aca="false">Orders!H75</f>
        <v>Returned</v>
      </c>
      <c r="R75" s="1" t="str">
        <f aca="false">INDEX(Customers!$C$2:$C$301,MATCH(C75,Customers!$A$2:$A$301,0))</f>
        <v>Kolkata</v>
      </c>
      <c r="S75" s="1" t="str">
        <f aca="false">INDEX(Customers!$E$2:$E$301,MATCH(C75,Customers!$A$2:$A$301,0))</f>
        <v>Returning</v>
      </c>
      <c r="T75" s="6" t="str">
        <f aca="false">Orders!I75</f>
        <v>Marketplace</v>
      </c>
      <c r="U75" s="1" t="str">
        <f aca="false">IF(Q75="Delivered","Completed",IF(Q75="Cancelled","Cancelled",IF(Q75="Returned","Returned","In Progress")))</f>
        <v>Returned</v>
      </c>
      <c r="V75" s="1" t="str">
        <f aca="false">IF(M75&gt;=10000,"High Value",IF(M75&gt;=5000,"Medium Value","Low Value"))</f>
        <v>Low Value</v>
      </c>
      <c r="W75" s="1" t="str">
        <f aca="false">IF(O75&gt;0,"Profitable",IF(O75=0,"Break-even","Loss"))</f>
        <v>Profitable</v>
      </c>
      <c r="X75" s="1" t="str">
        <f aca="false">IF(Q75="Cancelled","Not Applicable",IF(Q75="Processing","Pending",IF(B75="","Unknown",IF(Orders!J75="","Unknown",IF(Orders!J75&lt;=3,"Fast",IF(Orders!J75&lt;=6,"Standard","Slow"))))))</f>
        <v>Slow</v>
      </c>
      <c r="Y75" s="1" t="n">
        <f aca="false">IF(OR(Q75="Cancelled",Q75="Returned"),0,O75)</f>
        <v>0</v>
      </c>
    </row>
    <row r="76" customFormat="false" ht="15" hidden="false" customHeight="false" outlineLevel="0" collapsed="false">
      <c r="A76" s="6" t="str">
        <f aca="false">Orders!A76</f>
        <v>O000075</v>
      </c>
      <c r="B76" s="19" t="n">
        <f aca="false">Orders!B76</f>
        <v>45914</v>
      </c>
      <c r="C76" s="6" t="str">
        <f aca="false">Orders!C76</f>
        <v>C0258</v>
      </c>
      <c r="D76" s="6" t="str">
        <f aca="false">Orders!D76</f>
        <v>P1095</v>
      </c>
      <c r="E76" s="6" t="str">
        <f aca="false">INDEX(Products!$B$2:$B$101,MATCH(D76,Products!$A$2:$A$101,0))</f>
        <v>Table Fan</v>
      </c>
      <c r="F76" s="1" t="str">
        <f aca="false">INDEX(Products!$C$2:$C$101,MATCH(D76,Products!$A$2:$A$101,0))</f>
        <v>Appliances</v>
      </c>
      <c r="G76" s="6" t="n">
        <f aca="false">Orders!E76</f>
        <v>2</v>
      </c>
      <c r="H76" s="16" t="n">
        <f aca="false">INDEX(Products!$D$2:$D$101,MATCH(D76,Products!$A$2:$A$101,0))</f>
        <v>1599</v>
      </c>
      <c r="I76" s="16" t="n">
        <f aca="false">INDEX(Products!$E$2:$E$101,MATCH(D76,Products!$A$2:$A$101,0))</f>
        <v>950</v>
      </c>
      <c r="J76" s="20" t="n">
        <f aca="false">Orders!F76</f>
        <v>0.1</v>
      </c>
      <c r="K76" s="6" t="n">
        <f aca="false">G76*H76</f>
        <v>3198</v>
      </c>
      <c r="L76" s="6" t="n">
        <f aca="false">K76*J76</f>
        <v>319.8</v>
      </c>
      <c r="M76" s="6" t="n">
        <f aca="false">K76-L76</f>
        <v>2878.2</v>
      </c>
      <c r="N76" s="6" t="n">
        <f aca="false">G76*I76</f>
        <v>1900</v>
      </c>
      <c r="O76" s="6" t="n">
        <f aca="false">M76-N76</f>
        <v>978.2</v>
      </c>
      <c r="P76" s="21" t="n">
        <f aca="false">IFERROR(O76/M76,0)</f>
        <v>0.33986519352373</v>
      </c>
      <c r="Q76" s="6" t="str">
        <f aca="false">Orders!H76</f>
        <v>Delivered</v>
      </c>
      <c r="R76" s="1" t="str">
        <f aca="false">INDEX(Customers!$C$2:$C$301,MATCH(C76,Customers!$A$2:$A$301,0))</f>
        <v>Nagpur</v>
      </c>
      <c r="S76" s="1" t="str">
        <f aca="false">INDEX(Customers!$E$2:$E$301,MATCH(C76,Customers!$A$2:$A$301,0))</f>
        <v>New</v>
      </c>
      <c r="T76" s="6" t="str">
        <f aca="false">Orders!I76</f>
        <v>Mobile App</v>
      </c>
      <c r="U76" s="1" t="str">
        <f aca="false">IF(Q76="Delivered","Completed",IF(Q76="Cancelled","Cancelled",IF(Q76="Returned","Returned","In Progress")))</f>
        <v>Completed</v>
      </c>
      <c r="V76" s="1" t="str">
        <f aca="false">IF(M76&gt;=10000,"High Value",IF(M76&gt;=5000,"Medium Value","Low Value"))</f>
        <v>Low Value</v>
      </c>
      <c r="W76" s="1" t="str">
        <f aca="false">IF(O76&gt;0,"Profitable",IF(O76=0,"Break-even","Loss"))</f>
        <v>Profitable</v>
      </c>
      <c r="X76" s="1" t="str">
        <f aca="false">IF(Q76="Cancelled","Not Applicable",IF(Q76="Processing","Pending",IF(B76="","Unknown",IF(Orders!J76="","Unknown",IF(Orders!J76&lt;=3,"Fast",IF(Orders!J76&lt;=6,"Standard","Slow"))))))</f>
        <v>Fast</v>
      </c>
      <c r="Y76" s="1" t="n">
        <f aca="false">IF(OR(Q76="Cancelled",Q76="Returned"),0,O76)</f>
        <v>978.2</v>
      </c>
    </row>
    <row r="77" customFormat="false" ht="15" hidden="false" customHeight="false" outlineLevel="0" collapsed="false">
      <c r="A77" s="6" t="str">
        <f aca="false">Orders!A77</f>
        <v>O000076</v>
      </c>
      <c r="B77" s="19" t="n">
        <f aca="false">Orders!B77</f>
        <v>45961</v>
      </c>
      <c r="C77" s="6" t="str">
        <f aca="false">Orders!C77</f>
        <v>C0090</v>
      </c>
      <c r="D77" s="6" t="str">
        <f aca="false">Orders!D77</f>
        <v>P1014</v>
      </c>
      <c r="E77" s="6" t="str">
        <f aca="false">INDEX(Products!$B$2:$B$101,MATCH(D77,Products!$A$2:$A$101,0))</f>
        <v>HDMI Cable</v>
      </c>
      <c r="F77" s="1" t="str">
        <f aca="false">INDEX(Products!$C$2:$C$101,MATCH(D77,Products!$A$2:$A$101,0))</f>
        <v>Electronics</v>
      </c>
      <c r="G77" s="6" t="n">
        <f aca="false">Orders!E77</f>
        <v>1</v>
      </c>
      <c r="H77" s="16" t="n">
        <f aca="false">INDEX(Products!$D$2:$D$101,MATCH(D77,Products!$A$2:$A$101,0))</f>
        <v>449</v>
      </c>
      <c r="I77" s="16" t="n">
        <f aca="false">INDEX(Products!$E$2:$E$101,MATCH(D77,Products!$A$2:$A$101,0))</f>
        <v>180</v>
      </c>
      <c r="J77" s="20" t="n">
        <f aca="false">Orders!F77</f>
        <v>0.25</v>
      </c>
      <c r="K77" s="6" t="n">
        <f aca="false">G77*H77</f>
        <v>449</v>
      </c>
      <c r="L77" s="6" t="n">
        <f aca="false">K77*J77</f>
        <v>112.25</v>
      </c>
      <c r="M77" s="6" t="n">
        <f aca="false">K77-L77</f>
        <v>336.75</v>
      </c>
      <c r="N77" s="6" t="n">
        <f aca="false">G77*I77</f>
        <v>180</v>
      </c>
      <c r="O77" s="6" t="n">
        <f aca="false">M77-N77</f>
        <v>156.75</v>
      </c>
      <c r="P77" s="21" t="n">
        <f aca="false">IFERROR(O77/M77,0)</f>
        <v>0.465478841870824</v>
      </c>
      <c r="Q77" s="6" t="str">
        <f aca="false">Orders!H77</f>
        <v>Delivered</v>
      </c>
      <c r="R77" s="1" t="str">
        <f aca="false">INDEX(Customers!$C$2:$C$301,MATCH(C77,Customers!$A$2:$A$301,0))</f>
        <v>Lucknow</v>
      </c>
      <c r="S77" s="1" t="str">
        <f aca="false">INDEX(Customers!$E$2:$E$301,MATCH(C77,Customers!$A$2:$A$301,0))</f>
        <v>New</v>
      </c>
      <c r="T77" s="6" t="str">
        <f aca="false">Orders!I77</f>
        <v>Mobile App</v>
      </c>
      <c r="U77" s="1" t="str">
        <f aca="false">IF(Q77="Delivered","Completed",IF(Q77="Cancelled","Cancelled",IF(Q77="Returned","Returned","In Progress")))</f>
        <v>Completed</v>
      </c>
      <c r="V77" s="1" t="str">
        <f aca="false">IF(M77&gt;=10000,"High Value",IF(M77&gt;=5000,"Medium Value","Low Value"))</f>
        <v>Low Value</v>
      </c>
      <c r="W77" s="1" t="str">
        <f aca="false">IF(O77&gt;0,"Profitable",IF(O77=0,"Break-even","Loss"))</f>
        <v>Profitable</v>
      </c>
      <c r="X77" s="1" t="str">
        <f aca="false">IF(Q77="Cancelled","Not Applicable",IF(Q77="Processing","Pending",IF(B77="","Unknown",IF(Orders!J77="","Unknown",IF(Orders!J77&lt;=3,"Fast",IF(Orders!J77&lt;=6,"Standard","Slow"))))))</f>
        <v>Slow</v>
      </c>
      <c r="Y77" s="1" t="n">
        <f aca="false">IF(OR(Q77="Cancelled",Q77="Returned"),0,O77)</f>
        <v>156.75</v>
      </c>
    </row>
    <row r="78" customFormat="false" ht="15" hidden="false" customHeight="false" outlineLevel="0" collapsed="false">
      <c r="A78" s="6" t="str">
        <f aca="false">Orders!A78</f>
        <v>O000077</v>
      </c>
      <c r="B78" s="19" t="n">
        <f aca="false">Orders!B78</f>
        <v>45848</v>
      </c>
      <c r="C78" s="6" t="str">
        <f aca="false">Orders!C78</f>
        <v>C0220</v>
      </c>
      <c r="D78" s="6" t="str">
        <f aca="false">Orders!D78</f>
        <v>P1063</v>
      </c>
      <c r="E78" s="6" t="str">
        <f aca="false">INDEX(Products!$B$2:$B$101,MATCH(D78,Products!$A$2:$A$101,0))</f>
        <v>Cricket Bat</v>
      </c>
      <c r="F78" s="1" t="str">
        <f aca="false">INDEX(Products!$C$2:$C$101,MATCH(D78,Products!$A$2:$A$101,0))</f>
        <v>Sports &amp; Outdoors</v>
      </c>
      <c r="G78" s="6" t="n">
        <f aca="false">Orders!E78</f>
        <v>3</v>
      </c>
      <c r="H78" s="16" t="n">
        <f aca="false">INDEX(Products!$D$2:$D$101,MATCH(D78,Products!$A$2:$A$101,0))</f>
        <v>1499</v>
      </c>
      <c r="I78" s="16" t="n">
        <f aca="false">INDEX(Products!$E$2:$E$101,MATCH(D78,Products!$A$2:$A$101,0))</f>
        <v>800</v>
      </c>
      <c r="J78" s="20" t="n">
        <f aca="false">Orders!F78</f>
        <v>0.2</v>
      </c>
      <c r="K78" s="6" t="n">
        <f aca="false">G78*H78</f>
        <v>4497</v>
      </c>
      <c r="L78" s="6" t="n">
        <f aca="false">K78*J78</f>
        <v>899.4</v>
      </c>
      <c r="M78" s="6" t="n">
        <f aca="false">K78-L78</f>
        <v>3597.6</v>
      </c>
      <c r="N78" s="6" t="n">
        <f aca="false">G78*I78</f>
        <v>2400</v>
      </c>
      <c r="O78" s="6" t="n">
        <f aca="false">M78-N78</f>
        <v>1197.6</v>
      </c>
      <c r="P78" s="21" t="n">
        <f aca="false">IFERROR(O78/M78,0)</f>
        <v>0.33288859239493</v>
      </c>
      <c r="Q78" s="6" t="str">
        <f aca="false">Orders!H78</f>
        <v>Processing</v>
      </c>
      <c r="R78" s="1" t="str">
        <f aca="false">INDEX(Customers!$C$2:$C$301,MATCH(C78,Customers!$A$2:$A$301,0))</f>
        <v>Visakhapatnam</v>
      </c>
      <c r="S78" s="1" t="str">
        <f aca="false">INDEX(Customers!$E$2:$E$301,MATCH(C78,Customers!$A$2:$A$301,0))</f>
        <v>New</v>
      </c>
      <c r="T78" s="6" t="str">
        <f aca="false">Orders!I78</f>
        <v>Mobile App</v>
      </c>
      <c r="U78" s="1" t="str">
        <f aca="false">IF(Q78="Delivered","Completed",IF(Q78="Cancelled","Cancelled",IF(Q78="Returned","Returned","In Progress")))</f>
        <v>In Progress</v>
      </c>
      <c r="V78" s="1" t="str">
        <f aca="false">IF(M78&gt;=10000,"High Value",IF(M78&gt;=5000,"Medium Value","Low Value"))</f>
        <v>Low Value</v>
      </c>
      <c r="W78" s="1" t="str">
        <f aca="false">IF(O78&gt;0,"Profitable",IF(O78=0,"Break-even","Loss"))</f>
        <v>Profitable</v>
      </c>
      <c r="X78" s="1" t="str">
        <f aca="false">IF(Q78="Cancelled","Not Applicable",IF(Q78="Processing","Pending",IF(B78="","Unknown",IF(Orders!J78="","Unknown",IF(Orders!J78&lt;=3,"Fast",IF(Orders!J78&lt;=6,"Standard","Slow"))))))</f>
        <v>Pending</v>
      </c>
      <c r="Y78" s="1" t="n">
        <f aca="false">IF(OR(Q78="Cancelled",Q78="Returned"),0,O78)</f>
        <v>1197.6</v>
      </c>
    </row>
    <row r="79" customFormat="false" ht="15" hidden="false" customHeight="false" outlineLevel="0" collapsed="false">
      <c r="A79" s="6" t="str">
        <f aca="false">Orders!A79</f>
        <v>O000078</v>
      </c>
      <c r="B79" s="19" t="n">
        <f aca="false">Orders!B79</f>
        <v>45855</v>
      </c>
      <c r="C79" s="6" t="str">
        <f aca="false">Orders!C79</f>
        <v>C0167</v>
      </c>
      <c r="D79" s="6" t="str">
        <f aca="false">Orders!D79</f>
        <v>P1058</v>
      </c>
      <c r="E79" s="6" t="str">
        <f aca="false">INDEX(Products!$B$2:$B$101,MATCH(D79,Products!$A$2:$A$101,0))</f>
        <v>Nail Care Kit</v>
      </c>
      <c r="F79" s="1" t="str">
        <f aca="false">INDEX(Products!$C$2:$C$101,MATCH(D79,Products!$A$2:$A$101,0))</f>
        <v>Beauty</v>
      </c>
      <c r="G79" s="6" t="n">
        <f aca="false">Orders!E79</f>
        <v>2</v>
      </c>
      <c r="H79" s="16" t="n">
        <f aca="false">INDEX(Products!$D$2:$D$101,MATCH(D79,Products!$A$2:$A$101,0))</f>
        <v>399</v>
      </c>
      <c r="I79" s="16" t="n">
        <f aca="false">INDEX(Products!$E$2:$E$101,MATCH(D79,Products!$A$2:$A$101,0))</f>
        <v>170</v>
      </c>
      <c r="J79" s="20" t="n">
        <f aca="false">Orders!F79</f>
        <v>0</v>
      </c>
      <c r="K79" s="6" t="n">
        <f aca="false">G79*H79</f>
        <v>798</v>
      </c>
      <c r="L79" s="6" t="n">
        <f aca="false">K79*J79</f>
        <v>0</v>
      </c>
      <c r="M79" s="6" t="n">
        <f aca="false">K79-L79</f>
        <v>798</v>
      </c>
      <c r="N79" s="6" t="n">
        <f aca="false">G79*I79</f>
        <v>340</v>
      </c>
      <c r="O79" s="6" t="n">
        <f aca="false">M79-N79</f>
        <v>458</v>
      </c>
      <c r="P79" s="21" t="n">
        <f aca="false">IFERROR(O79/M79,0)</f>
        <v>0.573934837092732</v>
      </c>
      <c r="Q79" s="6" t="str">
        <f aca="false">Orders!H79</f>
        <v>Delivered</v>
      </c>
      <c r="R79" s="1" t="str">
        <f aca="false">INDEX(Customers!$C$2:$C$301,MATCH(C79,Customers!$A$2:$A$301,0))</f>
        <v>Pune</v>
      </c>
      <c r="S79" s="1" t="str">
        <f aca="false">INDEX(Customers!$E$2:$E$301,MATCH(C79,Customers!$A$2:$A$301,0))</f>
        <v>Returning</v>
      </c>
      <c r="T79" s="6" t="str">
        <f aca="false">Orders!I79</f>
        <v>Marketplace</v>
      </c>
      <c r="U79" s="1" t="str">
        <f aca="false">IF(Q79="Delivered","Completed",IF(Q79="Cancelled","Cancelled",IF(Q79="Returned","Returned","In Progress")))</f>
        <v>Completed</v>
      </c>
      <c r="V79" s="1" t="str">
        <f aca="false">IF(M79&gt;=10000,"High Value",IF(M79&gt;=5000,"Medium Value","Low Value"))</f>
        <v>Low Value</v>
      </c>
      <c r="W79" s="1" t="str">
        <f aca="false">IF(O79&gt;0,"Profitable",IF(O79=0,"Break-even","Loss"))</f>
        <v>Profitable</v>
      </c>
      <c r="X79" s="1" t="str">
        <f aca="false">IF(Q79="Cancelled","Not Applicable",IF(Q79="Processing","Pending",IF(B79="","Unknown",IF(Orders!J79="","Unknown",IF(Orders!J79&lt;=3,"Fast",IF(Orders!J79&lt;=6,"Standard","Slow"))))))</f>
        <v>Slow</v>
      </c>
      <c r="Y79" s="1" t="n">
        <f aca="false">IF(OR(Q79="Cancelled",Q79="Returned"),0,O79)</f>
        <v>458</v>
      </c>
    </row>
    <row r="80" customFormat="false" ht="15" hidden="false" customHeight="false" outlineLevel="0" collapsed="false">
      <c r="A80" s="6" t="str">
        <f aca="false">Orders!A80</f>
        <v>O000079</v>
      </c>
      <c r="B80" s="19" t="n">
        <f aca="false">Orders!B80</f>
        <v>45783</v>
      </c>
      <c r="C80" s="6" t="str">
        <f aca="false">Orders!C80</f>
        <v>C0088</v>
      </c>
      <c r="D80" s="6" t="str">
        <f aca="false">Orders!D80</f>
        <v>P1097</v>
      </c>
      <c r="E80" s="6" t="str">
        <f aca="false">INDEX(Products!$B$2:$B$101,MATCH(D80,Products!$A$2:$A$101,0))</f>
        <v>Vacuum Cleaner</v>
      </c>
      <c r="F80" s="1" t="str">
        <f aca="false">INDEX(Products!$C$2:$C$101,MATCH(D80,Products!$A$2:$A$101,0))</f>
        <v>Appliances</v>
      </c>
      <c r="G80" s="6" t="n">
        <f aca="false">Orders!E80</f>
        <v>1</v>
      </c>
      <c r="H80" s="16" t="n">
        <f aca="false">INDEX(Products!$D$2:$D$101,MATCH(D80,Products!$A$2:$A$101,0))</f>
        <v>3499</v>
      </c>
      <c r="I80" s="16" t="n">
        <f aca="false">INDEX(Products!$E$2:$E$101,MATCH(D80,Products!$A$2:$A$101,0))</f>
        <v>2400</v>
      </c>
      <c r="J80" s="20" t="n">
        <f aca="false">Orders!F80</f>
        <v>0.1</v>
      </c>
      <c r="K80" s="6" t="n">
        <f aca="false">G80*H80</f>
        <v>3499</v>
      </c>
      <c r="L80" s="6" t="n">
        <f aca="false">K80*J80</f>
        <v>349.9</v>
      </c>
      <c r="M80" s="6" t="n">
        <f aca="false">K80-L80</f>
        <v>3149.1</v>
      </c>
      <c r="N80" s="6" t="n">
        <f aca="false">G80*I80</f>
        <v>2400</v>
      </c>
      <c r="O80" s="6" t="n">
        <f aca="false">M80-N80</f>
        <v>749.1</v>
      </c>
      <c r="P80" s="21" t="n">
        <f aca="false">IFERROR(O80/M80,0)</f>
        <v>0.237877488806326</v>
      </c>
      <c r="Q80" s="6" t="str">
        <f aca="false">Orders!H80</f>
        <v>Delivered</v>
      </c>
      <c r="R80" s="1" t="str">
        <f aca="false">INDEX(Customers!$C$2:$C$301,MATCH(C80,Customers!$A$2:$A$301,0))</f>
        <v>Jaipur</v>
      </c>
      <c r="S80" s="1" t="str">
        <f aca="false">INDEX(Customers!$E$2:$E$301,MATCH(C80,Customers!$A$2:$A$301,0))</f>
        <v>Returning</v>
      </c>
      <c r="T80" s="6" t="str">
        <f aca="false">Orders!I80</f>
        <v>Mobile App</v>
      </c>
      <c r="U80" s="1" t="str">
        <f aca="false">IF(Q80="Delivered","Completed",IF(Q80="Cancelled","Cancelled",IF(Q80="Returned","Returned","In Progress")))</f>
        <v>Completed</v>
      </c>
      <c r="V80" s="1" t="str">
        <f aca="false">IF(M80&gt;=10000,"High Value",IF(M80&gt;=5000,"Medium Value","Low Value"))</f>
        <v>Low Value</v>
      </c>
      <c r="W80" s="1" t="str">
        <f aca="false">IF(O80&gt;0,"Profitable",IF(O80=0,"Break-even","Loss"))</f>
        <v>Profitable</v>
      </c>
      <c r="X80" s="1" t="str">
        <f aca="false">IF(Q80="Cancelled","Not Applicable",IF(Q80="Processing","Pending",IF(B80="","Unknown",IF(Orders!J80="","Unknown",IF(Orders!J80&lt;=3,"Fast",IF(Orders!J80&lt;=6,"Standard","Slow"))))))</f>
        <v>Standard</v>
      </c>
      <c r="Y80" s="1" t="n">
        <f aca="false">IF(OR(Q80="Cancelled",Q80="Returned"),0,O80)</f>
        <v>749.1</v>
      </c>
    </row>
    <row r="81" customFormat="false" ht="15" hidden="false" customHeight="false" outlineLevel="0" collapsed="false">
      <c r="A81" s="6" t="str">
        <f aca="false">Orders!A81</f>
        <v>O000080</v>
      </c>
      <c r="B81" s="19" t="n">
        <f aca="false">Orders!B81</f>
        <v>45925</v>
      </c>
      <c r="C81" s="6" t="str">
        <f aca="false">Orders!C81</f>
        <v>C0257</v>
      </c>
      <c r="D81" s="6" t="str">
        <f aca="false">Orders!D81</f>
        <v>P1006</v>
      </c>
      <c r="E81" s="6" t="str">
        <f aca="false">INDEX(Products!$B$2:$B$101,MATCH(D81,Products!$A$2:$A$101,0))</f>
        <v>Wireless Mouse</v>
      </c>
      <c r="F81" s="1" t="str">
        <f aca="false">INDEX(Products!$C$2:$C$101,MATCH(D81,Products!$A$2:$A$101,0))</f>
        <v>Electronics</v>
      </c>
      <c r="G81" s="6" t="n">
        <f aca="false">Orders!E81</f>
        <v>1</v>
      </c>
      <c r="H81" s="16" t="n">
        <f aca="false">INDEX(Products!$D$2:$D$101,MATCH(D81,Products!$A$2:$A$101,0))</f>
        <v>699</v>
      </c>
      <c r="I81" s="16" t="n">
        <f aca="false">INDEX(Products!$E$2:$E$101,MATCH(D81,Products!$A$2:$A$101,0))</f>
        <v>300</v>
      </c>
      <c r="J81" s="20" t="n">
        <f aca="false">Orders!F81</f>
        <v>0.1</v>
      </c>
      <c r="K81" s="6" t="n">
        <f aca="false">G81*H81</f>
        <v>699</v>
      </c>
      <c r="L81" s="6" t="n">
        <f aca="false">K81*J81</f>
        <v>69.9</v>
      </c>
      <c r="M81" s="6" t="n">
        <f aca="false">K81-L81</f>
        <v>629.1</v>
      </c>
      <c r="N81" s="6" t="n">
        <f aca="false">G81*I81</f>
        <v>300</v>
      </c>
      <c r="O81" s="6" t="n">
        <f aca="false">M81-N81</f>
        <v>329.1</v>
      </c>
      <c r="P81" s="21" t="n">
        <f aca="false">IFERROR(O81/M81,0)</f>
        <v>0.523128278493085</v>
      </c>
      <c r="Q81" s="6" t="str">
        <f aca="false">Orders!H81</f>
        <v>Delivered</v>
      </c>
      <c r="R81" s="1" t="str">
        <f aca="false">INDEX(Customers!$C$2:$C$301,MATCH(C81,Customers!$A$2:$A$301,0))</f>
        <v>Surat</v>
      </c>
      <c r="S81" s="1" t="str">
        <f aca="false">INDEX(Customers!$E$2:$E$301,MATCH(C81,Customers!$A$2:$A$301,0))</f>
        <v>New</v>
      </c>
      <c r="T81" s="6" t="str">
        <f aca="false">Orders!I81</f>
        <v>Mobile App</v>
      </c>
      <c r="U81" s="1" t="str">
        <f aca="false">IF(Q81="Delivered","Completed",IF(Q81="Cancelled","Cancelled",IF(Q81="Returned","Returned","In Progress")))</f>
        <v>Completed</v>
      </c>
      <c r="V81" s="1" t="str">
        <f aca="false">IF(M81&gt;=10000,"High Value",IF(M81&gt;=5000,"Medium Value","Low Value"))</f>
        <v>Low Value</v>
      </c>
      <c r="W81" s="1" t="str">
        <f aca="false">IF(O81&gt;0,"Profitable",IF(O81=0,"Break-even","Loss"))</f>
        <v>Profitable</v>
      </c>
      <c r="X81" s="1" t="str">
        <f aca="false">IF(Q81="Cancelled","Not Applicable",IF(Q81="Processing","Pending",IF(B81="","Unknown",IF(Orders!J81="","Unknown",IF(Orders!J81&lt;=3,"Fast",IF(Orders!J81&lt;=6,"Standard","Slow"))))))</f>
        <v>Standard</v>
      </c>
      <c r="Y81" s="1" t="n">
        <f aca="false">IF(OR(Q81="Cancelled",Q81="Returned"),0,O81)</f>
        <v>329.1</v>
      </c>
    </row>
    <row r="82" customFormat="false" ht="15" hidden="false" customHeight="false" outlineLevel="0" collapsed="false">
      <c r="A82" s="6" t="str">
        <f aca="false">Orders!A82</f>
        <v>O000081</v>
      </c>
      <c r="B82" s="19" t="n">
        <f aca="false">Orders!B82</f>
        <v>45828</v>
      </c>
      <c r="C82" s="6" t="str">
        <f aca="false">Orders!C82</f>
        <v>C0007</v>
      </c>
      <c r="D82" s="6" t="str">
        <f aca="false">Orders!D82</f>
        <v>P1077</v>
      </c>
      <c r="E82" s="6" t="str">
        <f aca="false">INDEX(Products!$B$2:$B$101,MATCH(D82,Products!$A$2:$A$101,0))</f>
        <v>Planner</v>
      </c>
      <c r="F82" s="1" t="str">
        <f aca="false">INDEX(Products!$C$2:$C$101,MATCH(D82,Products!$A$2:$A$101,0))</f>
        <v>Books &amp; Stationery</v>
      </c>
      <c r="G82" s="6" t="n">
        <f aca="false">Orders!E82</f>
        <v>2</v>
      </c>
      <c r="H82" s="16" t="n">
        <f aca="false">INDEX(Products!$D$2:$D$101,MATCH(D82,Products!$A$2:$A$101,0))</f>
        <v>349</v>
      </c>
      <c r="I82" s="16" t="n">
        <f aca="false">INDEX(Products!$E$2:$E$101,MATCH(D82,Products!$A$2:$A$101,0))</f>
        <v>130</v>
      </c>
      <c r="J82" s="20" t="n">
        <f aca="false">Orders!F82</f>
        <v>0.2</v>
      </c>
      <c r="K82" s="6" t="n">
        <f aca="false">G82*H82</f>
        <v>698</v>
      </c>
      <c r="L82" s="6" t="n">
        <f aca="false">K82*J82</f>
        <v>139.6</v>
      </c>
      <c r="M82" s="6" t="n">
        <f aca="false">K82-L82</f>
        <v>558.4</v>
      </c>
      <c r="N82" s="6" t="n">
        <f aca="false">G82*I82</f>
        <v>260</v>
      </c>
      <c r="O82" s="6" t="n">
        <f aca="false">M82-N82</f>
        <v>298.4</v>
      </c>
      <c r="P82" s="21" t="n">
        <f aca="false">IFERROR(O82/M82,0)</f>
        <v>0.534383954154728</v>
      </c>
      <c r="Q82" s="6" t="str">
        <f aca="false">Orders!H82</f>
        <v>Delivered</v>
      </c>
      <c r="R82" s="1" t="str">
        <f aca="false">INDEX(Customers!$C$2:$C$301,MATCH(C82,Customers!$A$2:$A$301,0))</f>
        <v>Pune</v>
      </c>
      <c r="S82" s="1" t="str">
        <f aca="false">INDEX(Customers!$E$2:$E$301,MATCH(C82,Customers!$A$2:$A$301,0))</f>
        <v>Returning</v>
      </c>
      <c r="T82" s="6" t="str">
        <f aca="false">Orders!I82</f>
        <v>Marketplace</v>
      </c>
      <c r="U82" s="1" t="str">
        <f aca="false">IF(Q82="Delivered","Completed",IF(Q82="Cancelled","Cancelled",IF(Q82="Returned","Returned","In Progress")))</f>
        <v>Completed</v>
      </c>
      <c r="V82" s="1" t="str">
        <f aca="false">IF(M82&gt;=10000,"High Value",IF(M82&gt;=5000,"Medium Value","Low Value"))</f>
        <v>Low Value</v>
      </c>
      <c r="W82" s="1" t="str">
        <f aca="false">IF(O82&gt;0,"Profitable",IF(O82=0,"Break-even","Loss"))</f>
        <v>Profitable</v>
      </c>
      <c r="X82" s="1" t="str">
        <f aca="false">IF(Q82="Cancelled","Not Applicable",IF(Q82="Processing","Pending",IF(B82="","Unknown",IF(Orders!J82="","Unknown",IF(Orders!J82&lt;=3,"Fast",IF(Orders!J82&lt;=6,"Standard","Slow"))))))</f>
        <v>Fast</v>
      </c>
      <c r="Y82" s="1" t="n">
        <f aca="false">IF(OR(Q82="Cancelled",Q82="Returned"),0,O82)</f>
        <v>298.4</v>
      </c>
    </row>
    <row r="83" customFormat="false" ht="15" hidden="false" customHeight="false" outlineLevel="0" collapsed="false">
      <c r="A83" s="6" t="str">
        <f aca="false">Orders!A83</f>
        <v>O000082</v>
      </c>
      <c r="B83" s="19" t="n">
        <f aca="false">Orders!B83</f>
        <v>45885</v>
      </c>
      <c r="C83" s="6" t="str">
        <f aca="false">Orders!C83</f>
        <v>C0179</v>
      </c>
      <c r="D83" s="6" t="str">
        <f aca="false">Orders!D83</f>
        <v>P1036</v>
      </c>
      <c r="E83" s="6" t="str">
        <f aca="false">INDEX(Products!$B$2:$B$101,MATCH(D83,Products!$A$2:$A$101,0))</f>
        <v>Dinner Set</v>
      </c>
      <c r="F83" s="1" t="str">
        <f aca="false">INDEX(Products!$C$2:$C$101,MATCH(D83,Products!$A$2:$A$101,0))</f>
        <v>Home &amp; Kitchen</v>
      </c>
      <c r="G83" s="6" t="n">
        <f aca="false">Orders!E83</f>
        <v>3</v>
      </c>
      <c r="H83" s="16" t="n">
        <f aca="false">INDEX(Products!$D$2:$D$101,MATCH(D83,Products!$A$2:$A$101,0))</f>
        <v>1499</v>
      </c>
      <c r="I83" s="16" t="n">
        <f aca="false">INDEX(Products!$E$2:$E$101,MATCH(D83,Products!$A$2:$A$101,0))</f>
        <v>800</v>
      </c>
      <c r="J83" s="20" t="n">
        <f aca="false">Orders!F83</f>
        <v>0.05</v>
      </c>
      <c r="K83" s="6" t="n">
        <f aca="false">G83*H83</f>
        <v>4497</v>
      </c>
      <c r="L83" s="6" t="n">
        <f aca="false">K83*J83</f>
        <v>224.85</v>
      </c>
      <c r="M83" s="6" t="n">
        <f aca="false">K83-L83</f>
        <v>4272.15</v>
      </c>
      <c r="N83" s="6" t="n">
        <f aca="false">G83*I83</f>
        <v>2400</v>
      </c>
      <c r="O83" s="6" t="n">
        <f aca="false">M83-N83</f>
        <v>1872.15</v>
      </c>
      <c r="P83" s="21" t="n">
        <f aca="false">IFERROR(O83/M83,0)</f>
        <v>0.438221972543099</v>
      </c>
      <c r="Q83" s="6" t="str">
        <f aca="false">Orders!H83</f>
        <v>Delivered</v>
      </c>
      <c r="R83" s="1" t="str">
        <f aca="false">INDEX(Customers!$C$2:$C$301,MATCH(C83,Customers!$A$2:$A$301,0))</f>
        <v>Coimbatore</v>
      </c>
      <c r="S83" s="1" t="str">
        <f aca="false">INDEX(Customers!$E$2:$E$301,MATCH(C83,Customers!$A$2:$A$301,0))</f>
        <v>New</v>
      </c>
      <c r="T83" s="6" t="str">
        <f aca="false">Orders!I83</f>
        <v>Mobile App</v>
      </c>
      <c r="U83" s="1" t="str">
        <f aca="false">IF(Q83="Delivered","Completed",IF(Q83="Cancelled","Cancelled",IF(Q83="Returned","Returned","In Progress")))</f>
        <v>Completed</v>
      </c>
      <c r="V83" s="1" t="str">
        <f aca="false">IF(M83&gt;=10000,"High Value",IF(M83&gt;=5000,"Medium Value","Low Value"))</f>
        <v>Low Value</v>
      </c>
      <c r="W83" s="1" t="str">
        <f aca="false">IF(O83&gt;0,"Profitable",IF(O83=0,"Break-even","Loss"))</f>
        <v>Profitable</v>
      </c>
      <c r="X83" s="1" t="str">
        <f aca="false">IF(Q83="Cancelled","Not Applicable",IF(Q83="Processing","Pending",IF(B83="","Unknown",IF(Orders!J83="","Unknown",IF(Orders!J83&lt;=3,"Fast",IF(Orders!J83&lt;=6,"Standard","Slow"))))))</f>
        <v>Standard</v>
      </c>
      <c r="Y83" s="1" t="n">
        <f aca="false">IF(OR(Q83="Cancelled",Q83="Returned"),0,O83)</f>
        <v>1872.15</v>
      </c>
    </row>
    <row r="84" customFormat="false" ht="23.85" hidden="false" customHeight="false" outlineLevel="0" collapsed="false">
      <c r="A84" s="6" t="str">
        <f aca="false">Orders!A84</f>
        <v>O000083</v>
      </c>
      <c r="B84" s="19" t="n">
        <f aca="false">Orders!B84</f>
        <v>45983</v>
      </c>
      <c r="C84" s="6" t="str">
        <f aca="false">Orders!C84</f>
        <v>C0108</v>
      </c>
      <c r="D84" s="6" t="str">
        <f aca="false">Orders!D84</f>
        <v>P1072</v>
      </c>
      <c r="E84" s="6" t="str">
        <f aca="false">INDEX(Products!$B$2:$B$101,MATCH(D84,Products!$A$2:$A$101,0))</f>
        <v>Tennis Balls Pack</v>
      </c>
      <c r="F84" s="1" t="str">
        <f aca="false">INDEX(Products!$C$2:$C$101,MATCH(D84,Products!$A$2:$A$101,0))</f>
        <v>Sports &amp; Outdoors</v>
      </c>
      <c r="G84" s="6" t="n">
        <f aca="false">Orders!E84</f>
        <v>2</v>
      </c>
      <c r="H84" s="16" t="n">
        <f aca="false">INDEX(Products!$D$2:$D$101,MATCH(D84,Products!$A$2:$A$101,0))</f>
        <v>399</v>
      </c>
      <c r="I84" s="16" t="n">
        <f aca="false">INDEX(Products!$E$2:$E$101,MATCH(D84,Products!$A$2:$A$101,0))</f>
        <v>160</v>
      </c>
      <c r="J84" s="20" t="n">
        <f aca="false">Orders!F84</f>
        <v>0.15</v>
      </c>
      <c r="K84" s="6" t="n">
        <f aca="false">G84*H84</f>
        <v>798</v>
      </c>
      <c r="L84" s="6" t="n">
        <f aca="false">K84*J84</f>
        <v>119.7</v>
      </c>
      <c r="M84" s="6" t="n">
        <f aca="false">K84-L84</f>
        <v>678.3</v>
      </c>
      <c r="N84" s="6" t="n">
        <f aca="false">G84*I84</f>
        <v>320</v>
      </c>
      <c r="O84" s="6" t="n">
        <f aca="false">M84-N84</f>
        <v>358.3</v>
      </c>
      <c r="P84" s="21" t="n">
        <f aca="false">IFERROR(O84/M84,0)</f>
        <v>0.528232345569807</v>
      </c>
      <c r="Q84" s="6" t="str">
        <f aca="false">Orders!H84</f>
        <v>Shipped</v>
      </c>
      <c r="R84" s="1" t="str">
        <f aca="false">INDEX(Customers!$C$2:$C$301,MATCH(C84,Customers!$A$2:$A$301,0))</f>
        <v>Jaipur</v>
      </c>
      <c r="S84" s="1" t="str">
        <f aca="false">INDEX(Customers!$E$2:$E$301,MATCH(C84,Customers!$A$2:$A$301,0))</f>
        <v>Returning</v>
      </c>
      <c r="T84" s="6" t="str">
        <f aca="false">Orders!I84</f>
        <v>Mobile App</v>
      </c>
      <c r="U84" s="1" t="str">
        <f aca="false">IF(Q84="Delivered","Completed",IF(Q84="Cancelled","Cancelled",IF(Q84="Returned","Returned","In Progress")))</f>
        <v>In Progress</v>
      </c>
      <c r="V84" s="1" t="str">
        <f aca="false">IF(M84&gt;=10000,"High Value",IF(M84&gt;=5000,"Medium Value","Low Value"))</f>
        <v>Low Value</v>
      </c>
      <c r="W84" s="1" t="str">
        <f aca="false">IF(O84&gt;0,"Profitable",IF(O84=0,"Break-even","Loss"))</f>
        <v>Profitable</v>
      </c>
      <c r="X84" s="1" t="str">
        <f aca="false">IF(Q84="Cancelled","Not Applicable",IF(Q84="Processing","Pending",IF(B84="","Unknown",IF(Orders!J84="","Unknown",IF(Orders!J84&lt;=3,"Fast",IF(Orders!J84&lt;=6,"Standard","Slow"))))))</f>
        <v>Fast</v>
      </c>
      <c r="Y84" s="1" t="n">
        <f aca="false">IF(OR(Q84="Cancelled",Q84="Returned"),0,O84)</f>
        <v>358.3</v>
      </c>
    </row>
    <row r="85" customFormat="false" ht="15" hidden="false" customHeight="false" outlineLevel="0" collapsed="false">
      <c r="A85" s="6" t="str">
        <f aca="false">Orders!A85</f>
        <v>O000084</v>
      </c>
      <c r="B85" s="19" t="n">
        <f aca="false">Orders!B85</f>
        <v>45736</v>
      </c>
      <c r="C85" s="6" t="str">
        <f aca="false">Orders!C85</f>
        <v>C0120</v>
      </c>
      <c r="D85" s="6" t="str">
        <f aca="false">Orders!D85</f>
        <v>P1048</v>
      </c>
      <c r="E85" s="6" t="str">
        <f aca="false">INDEX(Products!$B$2:$B$101,MATCH(D85,Products!$A$2:$A$101,0))</f>
        <v>Shampoo</v>
      </c>
      <c r="F85" s="1" t="str">
        <f aca="false">INDEX(Products!$C$2:$C$101,MATCH(D85,Products!$A$2:$A$101,0))</f>
        <v>Beauty</v>
      </c>
      <c r="G85" s="6" t="n">
        <f aca="false">Orders!E85</f>
        <v>3</v>
      </c>
      <c r="H85" s="16" t="n">
        <f aca="false">INDEX(Products!$D$2:$D$101,MATCH(D85,Products!$A$2:$A$101,0))</f>
        <v>349</v>
      </c>
      <c r="I85" s="16" t="n">
        <f aca="false">INDEX(Products!$E$2:$E$101,MATCH(D85,Products!$A$2:$A$101,0))</f>
        <v>150</v>
      </c>
      <c r="J85" s="20" t="n">
        <f aca="false">Orders!F85</f>
        <v>0.15</v>
      </c>
      <c r="K85" s="6" t="n">
        <f aca="false">G85*H85</f>
        <v>1047</v>
      </c>
      <c r="L85" s="6" t="n">
        <f aca="false">K85*J85</f>
        <v>157.05</v>
      </c>
      <c r="M85" s="6" t="n">
        <f aca="false">K85-L85</f>
        <v>889.95</v>
      </c>
      <c r="N85" s="6" t="n">
        <f aca="false">G85*I85</f>
        <v>450</v>
      </c>
      <c r="O85" s="6" t="n">
        <f aca="false">M85-N85</f>
        <v>439.95</v>
      </c>
      <c r="P85" s="21" t="n">
        <f aca="false">IFERROR(O85/M85,0)</f>
        <v>0.49435361537165</v>
      </c>
      <c r="Q85" s="6" t="str">
        <f aca="false">Orders!H85</f>
        <v>Shipped</v>
      </c>
      <c r="R85" s="1" t="str">
        <f aca="false">INDEX(Customers!$C$2:$C$301,MATCH(C85,Customers!$A$2:$A$301,0))</f>
        <v>Visakhapatnam</v>
      </c>
      <c r="S85" s="1" t="str">
        <f aca="false">INDEX(Customers!$E$2:$E$301,MATCH(C85,Customers!$A$2:$A$301,0))</f>
        <v>Returning</v>
      </c>
      <c r="T85" s="6" t="str">
        <f aca="false">Orders!I85</f>
        <v>Website</v>
      </c>
      <c r="U85" s="1" t="str">
        <f aca="false">IF(Q85="Delivered","Completed",IF(Q85="Cancelled","Cancelled",IF(Q85="Returned","Returned","In Progress")))</f>
        <v>In Progress</v>
      </c>
      <c r="V85" s="1" t="str">
        <f aca="false">IF(M85&gt;=10000,"High Value",IF(M85&gt;=5000,"Medium Value","Low Value"))</f>
        <v>Low Value</v>
      </c>
      <c r="W85" s="1" t="str">
        <f aca="false">IF(O85&gt;0,"Profitable",IF(O85=0,"Break-even","Loss"))</f>
        <v>Profitable</v>
      </c>
      <c r="X85" s="1" t="str">
        <f aca="false">IF(Q85="Cancelled","Not Applicable",IF(Q85="Processing","Pending",IF(B85="","Unknown",IF(Orders!J85="","Unknown",IF(Orders!J85&lt;=3,"Fast",IF(Orders!J85&lt;=6,"Standard","Slow"))))))</f>
        <v>Slow</v>
      </c>
      <c r="Y85" s="1" t="n">
        <f aca="false">IF(OR(Q85="Cancelled",Q85="Returned"),0,O85)</f>
        <v>439.95</v>
      </c>
    </row>
    <row r="86" customFormat="false" ht="15" hidden="false" customHeight="false" outlineLevel="0" collapsed="false">
      <c r="A86" s="6" t="str">
        <f aca="false">Orders!A86</f>
        <v>O000085</v>
      </c>
      <c r="B86" s="19" t="n">
        <f aca="false">Orders!B86</f>
        <v>45848</v>
      </c>
      <c r="C86" s="6" t="str">
        <f aca="false">Orders!C86</f>
        <v>C0262</v>
      </c>
      <c r="D86" s="6" t="str">
        <f aca="false">Orders!D86</f>
        <v>P1004</v>
      </c>
      <c r="E86" s="6" t="str">
        <f aca="false">INDEX(Products!$B$2:$B$101,MATCH(D86,Products!$A$2:$A$101,0))</f>
        <v>USB-C Cable</v>
      </c>
      <c r="F86" s="1" t="str">
        <f aca="false">INDEX(Products!$C$2:$C$101,MATCH(D86,Products!$A$2:$A$101,0))</f>
        <v>Electronics</v>
      </c>
      <c r="G86" s="6" t="n">
        <f aca="false">Orders!E86</f>
        <v>4</v>
      </c>
      <c r="H86" s="16" t="n">
        <f aca="false">INDEX(Products!$D$2:$D$101,MATCH(D86,Products!$A$2:$A$101,0))</f>
        <v>299</v>
      </c>
      <c r="I86" s="16" t="n">
        <f aca="false">INDEX(Products!$E$2:$E$101,MATCH(D86,Products!$A$2:$A$101,0))</f>
        <v>120</v>
      </c>
      <c r="J86" s="20" t="n">
        <f aca="false">Orders!F86</f>
        <v>0</v>
      </c>
      <c r="K86" s="6" t="n">
        <f aca="false">G86*H86</f>
        <v>1196</v>
      </c>
      <c r="L86" s="6" t="n">
        <f aca="false">K86*J86</f>
        <v>0</v>
      </c>
      <c r="M86" s="6" t="n">
        <f aca="false">K86-L86</f>
        <v>1196</v>
      </c>
      <c r="N86" s="6" t="n">
        <f aca="false">G86*I86</f>
        <v>480</v>
      </c>
      <c r="O86" s="6" t="n">
        <f aca="false">M86-N86</f>
        <v>716</v>
      </c>
      <c r="P86" s="21" t="n">
        <f aca="false">IFERROR(O86/M86,0)</f>
        <v>0.59866220735786</v>
      </c>
      <c r="Q86" s="6" t="str">
        <f aca="false">Orders!H86</f>
        <v>Delivered</v>
      </c>
      <c r="R86" s="1" t="str">
        <f aca="false">INDEX(Customers!$C$2:$C$301,MATCH(C86,Customers!$A$2:$A$301,0))</f>
        <v>Mumbai</v>
      </c>
      <c r="S86" s="1" t="str">
        <f aca="false">INDEX(Customers!$E$2:$E$301,MATCH(C86,Customers!$A$2:$A$301,0))</f>
        <v>Returning</v>
      </c>
      <c r="T86" s="6" t="str">
        <f aca="false">Orders!I86</f>
        <v>Website</v>
      </c>
      <c r="U86" s="1" t="str">
        <f aca="false">IF(Q86="Delivered","Completed",IF(Q86="Cancelled","Cancelled",IF(Q86="Returned","Returned","In Progress")))</f>
        <v>Completed</v>
      </c>
      <c r="V86" s="1" t="str">
        <f aca="false">IF(M86&gt;=10000,"High Value",IF(M86&gt;=5000,"Medium Value","Low Value"))</f>
        <v>Low Value</v>
      </c>
      <c r="W86" s="1" t="str">
        <f aca="false">IF(O86&gt;0,"Profitable",IF(O86=0,"Break-even","Loss"))</f>
        <v>Profitable</v>
      </c>
      <c r="X86" s="1" t="str">
        <f aca="false">IF(Q86="Cancelled","Not Applicable",IF(Q86="Processing","Pending",IF(B86="","Unknown",IF(Orders!J86="","Unknown",IF(Orders!J86&lt;=3,"Fast",IF(Orders!J86&lt;=6,"Standard","Slow"))))))</f>
        <v>Fast</v>
      </c>
      <c r="Y86" s="1" t="n">
        <f aca="false">IF(OR(Q86="Cancelled",Q86="Returned"),0,O86)</f>
        <v>716</v>
      </c>
    </row>
    <row r="87" customFormat="false" ht="15" hidden="false" customHeight="false" outlineLevel="0" collapsed="false">
      <c r="A87" s="6" t="str">
        <f aca="false">Orders!A87</f>
        <v>O000086</v>
      </c>
      <c r="B87" s="19" t="n">
        <f aca="false">Orders!B87</f>
        <v>45777</v>
      </c>
      <c r="C87" s="6" t="str">
        <f aca="false">Orders!C87</f>
        <v>C0174</v>
      </c>
      <c r="D87" s="6" t="str">
        <f aca="false">Orders!D87</f>
        <v>P1055</v>
      </c>
      <c r="E87" s="6" t="str">
        <f aca="false">INDEX(Products!$B$2:$B$101,MATCH(D87,Products!$A$2:$A$101,0))</f>
        <v>Perfume</v>
      </c>
      <c r="F87" s="1" t="str">
        <f aca="false">INDEX(Products!$C$2:$C$101,MATCH(D87,Products!$A$2:$A$101,0))</f>
        <v>Beauty</v>
      </c>
      <c r="G87" s="6" t="n">
        <f aca="false">Orders!E87</f>
        <v>1</v>
      </c>
      <c r="H87" s="16" t="n">
        <f aca="false">INDEX(Products!$D$2:$D$101,MATCH(D87,Products!$A$2:$A$101,0))</f>
        <v>999</v>
      </c>
      <c r="I87" s="16" t="n">
        <f aca="false">INDEX(Products!$E$2:$E$101,MATCH(D87,Products!$A$2:$A$101,0))</f>
        <v>500</v>
      </c>
      <c r="J87" s="20" t="n">
        <f aca="false">Orders!F87</f>
        <v>0.05</v>
      </c>
      <c r="K87" s="6" t="n">
        <f aca="false">G87*H87</f>
        <v>999</v>
      </c>
      <c r="L87" s="6" t="n">
        <f aca="false">K87*J87</f>
        <v>49.95</v>
      </c>
      <c r="M87" s="6" t="n">
        <f aca="false">K87-L87</f>
        <v>949.05</v>
      </c>
      <c r="N87" s="6" t="n">
        <f aca="false">G87*I87</f>
        <v>500</v>
      </c>
      <c r="O87" s="6" t="n">
        <f aca="false">M87-N87</f>
        <v>449.05</v>
      </c>
      <c r="P87" s="21" t="n">
        <f aca="false">IFERROR(O87/M87,0)</f>
        <v>0.47315736789421</v>
      </c>
      <c r="Q87" s="6" t="str">
        <f aca="false">Orders!H87</f>
        <v>Returned</v>
      </c>
      <c r="R87" s="1" t="str">
        <f aca="false">INDEX(Customers!$C$2:$C$301,MATCH(C87,Customers!$A$2:$A$301,0))</f>
        <v>Indore</v>
      </c>
      <c r="S87" s="1" t="str">
        <f aca="false">INDEX(Customers!$E$2:$E$301,MATCH(C87,Customers!$A$2:$A$301,0))</f>
        <v>VIP</v>
      </c>
      <c r="T87" s="6" t="str">
        <f aca="false">Orders!I87</f>
        <v>Website</v>
      </c>
      <c r="U87" s="1" t="str">
        <f aca="false">IF(Q87="Delivered","Completed",IF(Q87="Cancelled","Cancelled",IF(Q87="Returned","Returned","In Progress")))</f>
        <v>Returned</v>
      </c>
      <c r="V87" s="1" t="str">
        <f aca="false">IF(M87&gt;=10000,"High Value",IF(M87&gt;=5000,"Medium Value","Low Value"))</f>
        <v>Low Value</v>
      </c>
      <c r="W87" s="1" t="str">
        <f aca="false">IF(O87&gt;0,"Profitable",IF(O87=0,"Break-even","Loss"))</f>
        <v>Profitable</v>
      </c>
      <c r="X87" s="1" t="str">
        <f aca="false">IF(Q87="Cancelled","Not Applicable",IF(Q87="Processing","Pending",IF(B87="","Unknown",IF(Orders!J87="","Unknown",IF(Orders!J87&lt;=3,"Fast",IF(Orders!J87&lt;=6,"Standard","Slow"))))))</f>
        <v>Standard</v>
      </c>
      <c r="Y87" s="1" t="n">
        <f aca="false">IF(OR(Q87="Cancelled",Q87="Returned"),0,O87)</f>
        <v>0</v>
      </c>
    </row>
    <row r="88" customFormat="false" ht="15" hidden="false" customHeight="false" outlineLevel="0" collapsed="false">
      <c r="A88" s="6" t="str">
        <f aca="false">Orders!A88</f>
        <v>O000087</v>
      </c>
      <c r="B88" s="19" t="n">
        <f aca="false">Orders!B88</f>
        <v>45987</v>
      </c>
      <c r="C88" s="6" t="str">
        <f aca="false">Orders!C88</f>
        <v>C0052</v>
      </c>
      <c r="D88" s="6" t="str">
        <f aca="false">Orders!D88</f>
        <v>P1063</v>
      </c>
      <c r="E88" s="6" t="str">
        <f aca="false">INDEX(Products!$B$2:$B$101,MATCH(D88,Products!$A$2:$A$101,0))</f>
        <v>Cricket Bat</v>
      </c>
      <c r="F88" s="1" t="str">
        <f aca="false">INDEX(Products!$C$2:$C$101,MATCH(D88,Products!$A$2:$A$101,0))</f>
        <v>Sports &amp; Outdoors</v>
      </c>
      <c r="G88" s="6" t="n">
        <f aca="false">Orders!E88</f>
        <v>2</v>
      </c>
      <c r="H88" s="16" t="n">
        <f aca="false">INDEX(Products!$D$2:$D$101,MATCH(D88,Products!$A$2:$A$101,0))</f>
        <v>1499</v>
      </c>
      <c r="I88" s="16" t="n">
        <f aca="false">INDEX(Products!$E$2:$E$101,MATCH(D88,Products!$A$2:$A$101,0))</f>
        <v>800</v>
      </c>
      <c r="J88" s="20" t="n">
        <f aca="false">Orders!F88</f>
        <v>0.05</v>
      </c>
      <c r="K88" s="6" t="n">
        <f aca="false">G88*H88</f>
        <v>2998</v>
      </c>
      <c r="L88" s="6" t="n">
        <f aca="false">K88*J88</f>
        <v>149.9</v>
      </c>
      <c r="M88" s="6" t="n">
        <f aca="false">K88-L88</f>
        <v>2848.1</v>
      </c>
      <c r="N88" s="6" t="n">
        <f aca="false">G88*I88</f>
        <v>1600</v>
      </c>
      <c r="O88" s="6" t="n">
        <f aca="false">M88-N88</f>
        <v>1248.1</v>
      </c>
      <c r="P88" s="21" t="n">
        <f aca="false">IFERROR(O88/M88,0)</f>
        <v>0.438221972543099</v>
      </c>
      <c r="Q88" s="6" t="str">
        <f aca="false">Orders!H88</f>
        <v>Delivered</v>
      </c>
      <c r="R88" s="1" t="str">
        <f aca="false">INDEX(Customers!$C$2:$C$301,MATCH(C88,Customers!$A$2:$A$301,0))</f>
        <v>Noida</v>
      </c>
      <c r="S88" s="1" t="str">
        <f aca="false">INDEX(Customers!$E$2:$E$301,MATCH(C88,Customers!$A$2:$A$301,0))</f>
        <v>Returning</v>
      </c>
      <c r="T88" s="6" t="str">
        <f aca="false">Orders!I88</f>
        <v>Website</v>
      </c>
      <c r="U88" s="1" t="str">
        <f aca="false">IF(Q88="Delivered","Completed",IF(Q88="Cancelled","Cancelled",IF(Q88="Returned","Returned","In Progress")))</f>
        <v>Completed</v>
      </c>
      <c r="V88" s="1" t="str">
        <f aca="false">IF(M88&gt;=10000,"High Value",IF(M88&gt;=5000,"Medium Value","Low Value"))</f>
        <v>Low Value</v>
      </c>
      <c r="W88" s="1" t="str">
        <f aca="false">IF(O88&gt;0,"Profitable",IF(O88=0,"Break-even","Loss"))</f>
        <v>Profitable</v>
      </c>
      <c r="X88" s="1" t="str">
        <f aca="false">IF(Q88="Cancelled","Not Applicable",IF(Q88="Processing","Pending",IF(B88="","Unknown",IF(Orders!J88="","Unknown",IF(Orders!J88&lt;=3,"Fast",IF(Orders!J88&lt;=6,"Standard","Slow"))))))</f>
        <v>Standard</v>
      </c>
      <c r="Y88" s="1" t="n">
        <f aca="false">IF(OR(Q88="Cancelled",Q88="Returned"),0,O88)</f>
        <v>1248.1</v>
      </c>
    </row>
    <row r="89" customFormat="false" ht="15" hidden="false" customHeight="false" outlineLevel="0" collapsed="false">
      <c r="A89" s="6" t="str">
        <f aca="false">Orders!A89</f>
        <v>O000088</v>
      </c>
      <c r="B89" s="19" t="n">
        <f aca="false">Orders!B89</f>
        <v>45741</v>
      </c>
      <c r="C89" s="6" t="str">
        <f aca="false">Orders!C89</f>
        <v>C0133</v>
      </c>
      <c r="D89" s="6" t="str">
        <f aca="false">Orders!D89</f>
        <v>P1076</v>
      </c>
      <c r="E89" s="6" t="str">
        <f aca="false">INDEX(Products!$B$2:$B$101,MATCH(D89,Products!$A$2:$A$101,0))</f>
        <v>Desk Organizer</v>
      </c>
      <c r="F89" s="1" t="str">
        <f aca="false">INDEX(Products!$C$2:$C$101,MATCH(D89,Products!$A$2:$A$101,0))</f>
        <v>Books &amp; Stationery</v>
      </c>
      <c r="G89" s="6" t="n">
        <f aca="false">Orders!E89</f>
        <v>1</v>
      </c>
      <c r="H89" s="16" t="n">
        <f aca="false">INDEX(Products!$D$2:$D$101,MATCH(D89,Products!$A$2:$A$101,0))</f>
        <v>399</v>
      </c>
      <c r="I89" s="16" t="n">
        <f aca="false">INDEX(Products!$E$2:$E$101,MATCH(D89,Products!$A$2:$A$101,0))</f>
        <v>170</v>
      </c>
      <c r="J89" s="20" t="n">
        <f aca="false">Orders!F89</f>
        <v>0.15</v>
      </c>
      <c r="K89" s="6" t="n">
        <f aca="false">G89*H89</f>
        <v>399</v>
      </c>
      <c r="L89" s="6" t="n">
        <f aca="false">K89*J89</f>
        <v>59.85</v>
      </c>
      <c r="M89" s="6" t="n">
        <f aca="false">K89-L89</f>
        <v>339.15</v>
      </c>
      <c r="N89" s="6" t="n">
        <f aca="false">G89*I89</f>
        <v>170</v>
      </c>
      <c r="O89" s="6" t="n">
        <f aca="false">M89-N89</f>
        <v>169.15</v>
      </c>
      <c r="P89" s="21" t="n">
        <f aca="false">IFERROR(O89/M89,0)</f>
        <v>0.49874686716792</v>
      </c>
      <c r="Q89" s="6" t="str">
        <f aca="false">Orders!H89</f>
        <v>Processing</v>
      </c>
      <c r="R89" s="1" t="str">
        <f aca="false">INDEX(Customers!$C$2:$C$301,MATCH(C89,Customers!$A$2:$A$301,0))</f>
        <v>Kochi</v>
      </c>
      <c r="S89" s="1" t="str">
        <f aca="false">INDEX(Customers!$E$2:$E$301,MATCH(C89,Customers!$A$2:$A$301,0))</f>
        <v>Returning</v>
      </c>
      <c r="T89" s="6" t="str">
        <f aca="false">Orders!I89</f>
        <v>Website</v>
      </c>
      <c r="U89" s="1" t="str">
        <f aca="false">IF(Q89="Delivered","Completed",IF(Q89="Cancelled","Cancelled",IF(Q89="Returned","Returned","In Progress")))</f>
        <v>In Progress</v>
      </c>
      <c r="V89" s="1" t="str">
        <f aca="false">IF(M89&gt;=10000,"High Value",IF(M89&gt;=5000,"Medium Value","Low Value"))</f>
        <v>Low Value</v>
      </c>
      <c r="W89" s="1" t="str">
        <f aca="false">IF(O89&gt;0,"Profitable",IF(O89=0,"Break-even","Loss"))</f>
        <v>Profitable</v>
      </c>
      <c r="X89" s="1" t="str">
        <f aca="false">IF(Q89="Cancelled","Not Applicable",IF(Q89="Processing","Pending",IF(B89="","Unknown",IF(Orders!J89="","Unknown",IF(Orders!J89&lt;=3,"Fast",IF(Orders!J89&lt;=6,"Standard","Slow"))))))</f>
        <v>Pending</v>
      </c>
      <c r="Y89" s="1" t="n">
        <f aca="false">IF(OR(Q89="Cancelled",Q89="Returned"),0,O89)</f>
        <v>169.15</v>
      </c>
    </row>
    <row r="90" customFormat="false" ht="15" hidden="false" customHeight="false" outlineLevel="0" collapsed="false">
      <c r="A90" s="6" t="str">
        <f aca="false">Orders!A90</f>
        <v>O000089</v>
      </c>
      <c r="B90" s="19" t="n">
        <f aca="false">Orders!B90</f>
        <v>45799</v>
      </c>
      <c r="C90" s="6" t="str">
        <f aca="false">Orders!C90</f>
        <v>C0153</v>
      </c>
      <c r="D90" s="6" t="str">
        <f aca="false">Orders!D90</f>
        <v>P1038</v>
      </c>
      <c r="E90" s="6" t="str">
        <f aca="false">INDEX(Products!$B$2:$B$101,MATCH(D90,Products!$A$2:$A$101,0))</f>
        <v>Laundry Basket</v>
      </c>
      <c r="F90" s="1" t="str">
        <f aca="false">INDEX(Products!$C$2:$C$101,MATCH(D90,Products!$A$2:$A$101,0))</f>
        <v>Home &amp; Kitchen</v>
      </c>
      <c r="G90" s="6" t="n">
        <f aca="false">Orders!E90</f>
        <v>3</v>
      </c>
      <c r="H90" s="16" t="n">
        <f aca="false">INDEX(Products!$D$2:$D$101,MATCH(D90,Products!$A$2:$A$101,0))</f>
        <v>599</v>
      </c>
      <c r="I90" s="16" t="n">
        <f aca="false">INDEX(Products!$E$2:$E$101,MATCH(D90,Products!$A$2:$A$101,0))</f>
        <v>260</v>
      </c>
      <c r="J90" s="20" t="n">
        <f aca="false">Orders!F90</f>
        <v>0.2</v>
      </c>
      <c r="K90" s="6" t="n">
        <f aca="false">G90*H90</f>
        <v>1797</v>
      </c>
      <c r="L90" s="6" t="n">
        <f aca="false">K90*J90</f>
        <v>359.4</v>
      </c>
      <c r="M90" s="6" t="n">
        <f aca="false">K90-L90</f>
        <v>1437.6</v>
      </c>
      <c r="N90" s="6" t="n">
        <f aca="false">G90*I90</f>
        <v>780</v>
      </c>
      <c r="O90" s="6" t="n">
        <f aca="false">M90-N90</f>
        <v>657.6</v>
      </c>
      <c r="P90" s="21" t="n">
        <f aca="false">IFERROR(O90/M90,0)</f>
        <v>0.457429048414023</v>
      </c>
      <c r="Q90" s="6" t="str">
        <f aca="false">Orders!H90</f>
        <v>Delivered</v>
      </c>
      <c r="R90" s="1" t="str">
        <f aca="false">INDEX(Customers!$C$2:$C$301,MATCH(C90,Customers!$A$2:$A$301,0))</f>
        <v>Kochi</v>
      </c>
      <c r="S90" s="1" t="str">
        <f aca="false">INDEX(Customers!$E$2:$E$301,MATCH(C90,Customers!$A$2:$A$301,0))</f>
        <v>Returning</v>
      </c>
      <c r="T90" s="6" t="str">
        <f aca="false">Orders!I90</f>
        <v>Mobile App</v>
      </c>
      <c r="U90" s="1" t="str">
        <f aca="false">IF(Q90="Delivered","Completed",IF(Q90="Cancelled","Cancelled",IF(Q90="Returned","Returned","In Progress")))</f>
        <v>Completed</v>
      </c>
      <c r="V90" s="1" t="str">
        <f aca="false">IF(M90&gt;=10000,"High Value",IF(M90&gt;=5000,"Medium Value","Low Value"))</f>
        <v>Low Value</v>
      </c>
      <c r="W90" s="1" t="str">
        <f aca="false">IF(O90&gt;0,"Profitable",IF(O90=0,"Break-even","Loss"))</f>
        <v>Profitable</v>
      </c>
      <c r="X90" s="1" t="str">
        <f aca="false">IF(Q90="Cancelled","Not Applicable",IF(Q90="Processing","Pending",IF(B90="","Unknown",IF(Orders!J90="","Unknown",IF(Orders!J90&lt;=3,"Fast",IF(Orders!J90&lt;=6,"Standard","Slow"))))))</f>
        <v>Fast</v>
      </c>
      <c r="Y90" s="1" t="n">
        <f aca="false">IF(OR(Q90="Cancelled",Q90="Returned"),0,O90)</f>
        <v>657.6</v>
      </c>
    </row>
    <row r="91" customFormat="false" ht="15" hidden="false" customHeight="false" outlineLevel="0" collapsed="false">
      <c r="A91" s="6" t="str">
        <f aca="false">Orders!A91</f>
        <v>O000090</v>
      </c>
      <c r="B91" s="19" t="n">
        <f aca="false">Orders!B91</f>
        <v>45940</v>
      </c>
      <c r="C91" s="6" t="str">
        <f aca="false">Orders!C91</f>
        <v>C0184</v>
      </c>
      <c r="D91" s="6" t="str">
        <f aca="false">Orders!D91</f>
        <v>P1083</v>
      </c>
      <c r="E91" s="6" t="str">
        <f aca="false">INDEX(Products!$B$2:$B$101,MATCH(D91,Products!$A$2:$A$101,0))</f>
        <v>Reading Light</v>
      </c>
      <c r="F91" s="1" t="str">
        <f aca="false">INDEX(Products!$C$2:$C$101,MATCH(D91,Products!$A$2:$A$101,0))</f>
        <v>Books &amp; Stationery</v>
      </c>
      <c r="G91" s="6" t="n">
        <f aca="false">Orders!E91</f>
        <v>1</v>
      </c>
      <c r="H91" s="16" t="n">
        <f aca="false">INDEX(Products!$D$2:$D$101,MATCH(D91,Products!$A$2:$A$101,0))</f>
        <v>399</v>
      </c>
      <c r="I91" s="16" t="n">
        <f aca="false">INDEX(Products!$E$2:$E$101,MATCH(D91,Products!$A$2:$A$101,0))</f>
        <v>180</v>
      </c>
      <c r="J91" s="20" t="n">
        <f aca="false">Orders!F91</f>
        <v>0.1</v>
      </c>
      <c r="K91" s="6" t="n">
        <f aca="false">G91*H91</f>
        <v>399</v>
      </c>
      <c r="L91" s="6" t="n">
        <f aca="false">K91*J91</f>
        <v>39.9</v>
      </c>
      <c r="M91" s="6" t="n">
        <f aca="false">K91-L91</f>
        <v>359.1</v>
      </c>
      <c r="N91" s="6" t="n">
        <f aca="false">G91*I91</f>
        <v>180</v>
      </c>
      <c r="O91" s="6" t="n">
        <f aca="false">M91-N91</f>
        <v>179.1</v>
      </c>
      <c r="P91" s="21" t="n">
        <f aca="false">IFERROR(O91/M91,0)</f>
        <v>0.49874686716792</v>
      </c>
      <c r="Q91" s="6" t="str">
        <f aca="false">Orders!H91</f>
        <v>Shipped</v>
      </c>
      <c r="R91" s="1" t="str">
        <f aca="false">INDEX(Customers!$C$2:$C$301,MATCH(C91,Customers!$A$2:$A$301,0))</f>
        <v>Hyderabad</v>
      </c>
      <c r="S91" s="1" t="str">
        <f aca="false">INDEX(Customers!$E$2:$E$301,MATCH(C91,Customers!$A$2:$A$301,0))</f>
        <v>Returning</v>
      </c>
      <c r="T91" s="6" t="str">
        <f aca="false">Orders!I91</f>
        <v>Marketplace</v>
      </c>
      <c r="U91" s="1" t="str">
        <f aca="false">IF(Q91="Delivered","Completed",IF(Q91="Cancelled","Cancelled",IF(Q91="Returned","Returned","In Progress")))</f>
        <v>In Progress</v>
      </c>
      <c r="V91" s="1" t="str">
        <f aca="false">IF(M91&gt;=10000,"High Value",IF(M91&gt;=5000,"Medium Value","Low Value"))</f>
        <v>Low Value</v>
      </c>
      <c r="W91" s="1" t="str">
        <f aca="false">IF(O91&gt;0,"Profitable",IF(O91=0,"Break-even","Loss"))</f>
        <v>Profitable</v>
      </c>
      <c r="X91" s="1" t="str">
        <f aca="false">IF(Q91="Cancelled","Not Applicable",IF(Q91="Processing","Pending",IF(B91="","Unknown",IF(Orders!J91="","Unknown",IF(Orders!J91&lt;=3,"Fast",IF(Orders!J91&lt;=6,"Standard","Slow"))))))</f>
        <v>Fast</v>
      </c>
      <c r="Y91" s="1" t="n">
        <f aca="false">IF(OR(Q91="Cancelled",Q91="Returned"),0,O91)</f>
        <v>179.1</v>
      </c>
    </row>
    <row r="92" customFormat="false" ht="15" hidden="false" customHeight="false" outlineLevel="0" collapsed="false">
      <c r="A92" s="6" t="str">
        <f aca="false">Orders!A92</f>
        <v>O000091</v>
      </c>
      <c r="B92" s="19" t="n">
        <f aca="false">Orders!B92</f>
        <v>45667</v>
      </c>
      <c r="C92" s="6" t="str">
        <f aca="false">Orders!C92</f>
        <v>C0194</v>
      </c>
      <c r="D92" s="6" t="str">
        <f aca="false">Orders!D92</f>
        <v>P1097</v>
      </c>
      <c r="E92" s="6" t="str">
        <f aca="false">INDEX(Products!$B$2:$B$101,MATCH(D92,Products!$A$2:$A$101,0))</f>
        <v>Vacuum Cleaner</v>
      </c>
      <c r="F92" s="1" t="str">
        <f aca="false">INDEX(Products!$C$2:$C$101,MATCH(D92,Products!$A$2:$A$101,0))</f>
        <v>Appliances</v>
      </c>
      <c r="G92" s="6" t="n">
        <f aca="false">Orders!E92</f>
        <v>3</v>
      </c>
      <c r="H92" s="16" t="n">
        <f aca="false">INDEX(Products!$D$2:$D$101,MATCH(D92,Products!$A$2:$A$101,0))</f>
        <v>3499</v>
      </c>
      <c r="I92" s="16" t="n">
        <f aca="false">INDEX(Products!$E$2:$E$101,MATCH(D92,Products!$A$2:$A$101,0))</f>
        <v>2400</v>
      </c>
      <c r="J92" s="20" t="n">
        <f aca="false">Orders!F92</f>
        <v>0.2</v>
      </c>
      <c r="K92" s="6" t="n">
        <f aca="false">G92*H92</f>
        <v>10497</v>
      </c>
      <c r="L92" s="6" t="n">
        <f aca="false">K92*J92</f>
        <v>2099.4</v>
      </c>
      <c r="M92" s="6" t="n">
        <f aca="false">K92-L92</f>
        <v>8397.6</v>
      </c>
      <c r="N92" s="6" t="n">
        <f aca="false">G92*I92</f>
        <v>7200</v>
      </c>
      <c r="O92" s="6" t="n">
        <f aca="false">M92-N92</f>
        <v>1197.6</v>
      </c>
      <c r="P92" s="21" t="n">
        <f aca="false">IFERROR(O92/M92,0)</f>
        <v>0.142612174907116</v>
      </c>
      <c r="Q92" s="6" t="str">
        <f aca="false">Orders!H92</f>
        <v>Delivered</v>
      </c>
      <c r="R92" s="1" t="str">
        <f aca="false">INDEX(Customers!$C$2:$C$301,MATCH(C92,Customers!$A$2:$A$301,0))</f>
        <v>Indore</v>
      </c>
      <c r="S92" s="1" t="str">
        <f aca="false">INDEX(Customers!$E$2:$E$301,MATCH(C92,Customers!$A$2:$A$301,0))</f>
        <v>Returning</v>
      </c>
      <c r="T92" s="6" t="str">
        <f aca="false">Orders!I92</f>
        <v>Mobile App</v>
      </c>
      <c r="U92" s="1" t="str">
        <f aca="false">IF(Q92="Delivered","Completed",IF(Q92="Cancelled","Cancelled",IF(Q92="Returned","Returned","In Progress")))</f>
        <v>Completed</v>
      </c>
      <c r="V92" s="1" t="str">
        <f aca="false">IF(M92&gt;=10000,"High Value",IF(M92&gt;=5000,"Medium Value","Low Value"))</f>
        <v>Medium Value</v>
      </c>
      <c r="W92" s="1" t="str">
        <f aca="false">IF(O92&gt;0,"Profitable",IF(O92=0,"Break-even","Loss"))</f>
        <v>Profitable</v>
      </c>
      <c r="X92" s="1" t="str">
        <f aca="false">IF(Q92="Cancelled","Not Applicable",IF(Q92="Processing","Pending",IF(B92="","Unknown",IF(Orders!J92="","Unknown",IF(Orders!J92&lt;=3,"Fast",IF(Orders!J92&lt;=6,"Standard","Slow"))))))</f>
        <v>Fast</v>
      </c>
      <c r="Y92" s="1" t="n">
        <f aca="false">IF(OR(Q92="Cancelled",Q92="Returned"),0,O92)</f>
        <v>1197.6</v>
      </c>
    </row>
    <row r="93" customFormat="false" ht="23.85" hidden="false" customHeight="false" outlineLevel="0" collapsed="false">
      <c r="A93" s="6" t="str">
        <f aca="false">Orders!A93</f>
        <v>O000092</v>
      </c>
      <c r="B93" s="19" t="n">
        <f aca="false">Orders!B93</f>
        <v>45906</v>
      </c>
      <c r="C93" s="6" t="str">
        <f aca="false">Orders!C93</f>
        <v>C0235</v>
      </c>
      <c r="D93" s="6" t="str">
        <f aca="false">Orders!D93</f>
        <v>P1069</v>
      </c>
      <c r="E93" s="6" t="str">
        <f aca="false">INDEX(Products!$B$2:$B$101,MATCH(D93,Products!$A$2:$A$101,0))</f>
        <v>Sports Duffel Bag</v>
      </c>
      <c r="F93" s="1" t="str">
        <f aca="false">INDEX(Products!$C$2:$C$101,MATCH(D93,Products!$A$2:$A$101,0))</f>
        <v>Sports &amp; Outdoors</v>
      </c>
      <c r="G93" s="6" t="n">
        <f aca="false">Orders!E93</f>
        <v>2</v>
      </c>
      <c r="H93" s="16" t="n">
        <f aca="false">INDEX(Products!$D$2:$D$101,MATCH(D93,Products!$A$2:$A$101,0))</f>
        <v>999</v>
      </c>
      <c r="I93" s="16" t="n">
        <f aca="false">INDEX(Products!$E$2:$E$101,MATCH(D93,Products!$A$2:$A$101,0))</f>
        <v>500</v>
      </c>
      <c r="J93" s="20" t="n">
        <f aca="false">Orders!F93</f>
        <v>0.05</v>
      </c>
      <c r="K93" s="6" t="n">
        <f aca="false">G93*H93</f>
        <v>1998</v>
      </c>
      <c r="L93" s="6" t="n">
        <f aca="false">K93*J93</f>
        <v>99.9</v>
      </c>
      <c r="M93" s="6" t="n">
        <f aca="false">K93-L93</f>
        <v>1898.1</v>
      </c>
      <c r="N93" s="6" t="n">
        <f aca="false">G93*I93</f>
        <v>1000</v>
      </c>
      <c r="O93" s="6" t="n">
        <f aca="false">M93-N93</f>
        <v>898.1</v>
      </c>
      <c r="P93" s="21" t="n">
        <f aca="false">IFERROR(O93/M93,0)</f>
        <v>0.47315736789421</v>
      </c>
      <c r="Q93" s="6" t="str">
        <f aca="false">Orders!H93</f>
        <v>Delivered</v>
      </c>
      <c r="R93" s="1" t="str">
        <f aca="false">INDEX(Customers!$C$2:$C$301,MATCH(C93,Customers!$A$2:$A$301,0))</f>
        <v>Bhopal</v>
      </c>
      <c r="S93" s="1" t="str">
        <f aca="false">INDEX(Customers!$E$2:$E$301,MATCH(C93,Customers!$A$2:$A$301,0))</f>
        <v>New</v>
      </c>
      <c r="T93" s="6" t="str">
        <f aca="false">Orders!I93</f>
        <v>Marketplace</v>
      </c>
      <c r="U93" s="1" t="str">
        <f aca="false">IF(Q93="Delivered","Completed",IF(Q93="Cancelled","Cancelled",IF(Q93="Returned","Returned","In Progress")))</f>
        <v>Completed</v>
      </c>
      <c r="V93" s="1" t="str">
        <f aca="false">IF(M93&gt;=10000,"High Value",IF(M93&gt;=5000,"Medium Value","Low Value"))</f>
        <v>Low Value</v>
      </c>
      <c r="W93" s="1" t="str">
        <f aca="false">IF(O93&gt;0,"Profitable",IF(O93=0,"Break-even","Loss"))</f>
        <v>Profitable</v>
      </c>
      <c r="X93" s="1" t="str">
        <f aca="false">IF(Q93="Cancelled","Not Applicable",IF(Q93="Processing","Pending",IF(B93="","Unknown",IF(Orders!J93="","Unknown",IF(Orders!J93&lt;=3,"Fast",IF(Orders!J93&lt;=6,"Standard","Slow"))))))</f>
        <v>Standard</v>
      </c>
      <c r="Y93" s="1" t="n">
        <f aca="false">IF(OR(Q93="Cancelled",Q93="Returned"),0,O93)</f>
        <v>898.1</v>
      </c>
    </row>
    <row r="94" customFormat="false" ht="15" hidden="false" customHeight="false" outlineLevel="0" collapsed="false">
      <c r="A94" s="6" t="str">
        <f aca="false">Orders!A94</f>
        <v>O000093</v>
      </c>
      <c r="B94" s="19" t="n">
        <f aca="false">Orders!B94</f>
        <v>45741</v>
      </c>
      <c r="C94" s="6" t="str">
        <f aca="false">Orders!C94</f>
        <v>C0299</v>
      </c>
      <c r="D94" s="6" t="str">
        <f aca="false">Orders!D94</f>
        <v>P1005</v>
      </c>
      <c r="E94" s="6" t="str">
        <f aca="false">INDEX(Products!$B$2:$B$101,MATCH(D94,Products!$A$2:$A$101,0))</f>
        <v>Power Bank</v>
      </c>
      <c r="F94" s="1" t="str">
        <f aca="false">INDEX(Products!$C$2:$C$101,MATCH(D94,Products!$A$2:$A$101,0))</f>
        <v>Electronics</v>
      </c>
      <c r="G94" s="6" t="n">
        <f aca="false">Orders!E94</f>
        <v>3</v>
      </c>
      <c r="H94" s="16" t="n">
        <f aca="false">INDEX(Products!$D$2:$D$101,MATCH(D94,Products!$A$2:$A$101,0))</f>
        <v>1199</v>
      </c>
      <c r="I94" s="16" t="n">
        <f aca="false">INDEX(Products!$E$2:$E$101,MATCH(D94,Products!$A$2:$A$101,0))</f>
        <v>650</v>
      </c>
      <c r="J94" s="20" t="n">
        <f aca="false">Orders!F94</f>
        <v>0.05</v>
      </c>
      <c r="K94" s="6" t="n">
        <f aca="false">G94*H94</f>
        <v>3597</v>
      </c>
      <c r="L94" s="6" t="n">
        <f aca="false">K94*J94</f>
        <v>179.85</v>
      </c>
      <c r="M94" s="6" t="n">
        <f aca="false">K94-L94</f>
        <v>3417.15</v>
      </c>
      <c r="N94" s="6" t="n">
        <f aca="false">G94*I94</f>
        <v>1950</v>
      </c>
      <c r="O94" s="6" t="n">
        <f aca="false">M94-N94</f>
        <v>1467.15</v>
      </c>
      <c r="P94" s="21" t="n">
        <f aca="false">IFERROR(O94/M94,0)</f>
        <v>0.429349018919275</v>
      </c>
      <c r="Q94" s="6" t="str">
        <f aca="false">Orders!H94</f>
        <v>Shipped</v>
      </c>
      <c r="R94" s="1" t="str">
        <f aca="false">INDEX(Customers!$C$2:$C$301,MATCH(C94,Customers!$A$2:$A$301,0))</f>
        <v>Coimbatore</v>
      </c>
      <c r="S94" s="1" t="str">
        <f aca="false">INDEX(Customers!$E$2:$E$301,MATCH(C94,Customers!$A$2:$A$301,0))</f>
        <v>Returning</v>
      </c>
      <c r="T94" s="6" t="str">
        <f aca="false">Orders!I94</f>
        <v>Marketplace</v>
      </c>
      <c r="U94" s="1" t="str">
        <f aca="false">IF(Q94="Delivered","Completed",IF(Q94="Cancelled","Cancelled",IF(Q94="Returned","Returned","In Progress")))</f>
        <v>In Progress</v>
      </c>
      <c r="V94" s="1" t="str">
        <f aca="false">IF(M94&gt;=10000,"High Value",IF(M94&gt;=5000,"Medium Value","Low Value"))</f>
        <v>Low Value</v>
      </c>
      <c r="W94" s="1" t="str">
        <f aca="false">IF(O94&gt;0,"Profitable",IF(O94=0,"Break-even","Loss"))</f>
        <v>Profitable</v>
      </c>
      <c r="X94" s="1" t="str">
        <f aca="false">IF(Q94="Cancelled","Not Applicable",IF(Q94="Processing","Pending",IF(B94="","Unknown",IF(Orders!J94="","Unknown",IF(Orders!J94&lt;=3,"Fast",IF(Orders!J94&lt;=6,"Standard","Slow"))))))</f>
        <v>Fast</v>
      </c>
      <c r="Y94" s="1" t="n">
        <f aca="false">IF(OR(Q94="Cancelled",Q94="Returned"),0,O94)</f>
        <v>1467.15</v>
      </c>
    </row>
    <row r="95" customFormat="false" ht="15" hidden="false" customHeight="false" outlineLevel="0" collapsed="false">
      <c r="A95" s="6" t="str">
        <f aca="false">Orders!A95</f>
        <v>O000094</v>
      </c>
      <c r="B95" s="19" t="n">
        <f aca="false">Orders!B95</f>
        <v>45811</v>
      </c>
      <c r="C95" s="6" t="str">
        <f aca="false">Orders!C95</f>
        <v>C0088</v>
      </c>
      <c r="D95" s="6" t="str">
        <f aca="false">Orders!D95</f>
        <v>P1008</v>
      </c>
      <c r="E95" s="6" t="str">
        <f aca="false">INDEX(Products!$B$2:$B$101,MATCH(D95,Products!$A$2:$A$101,0))</f>
        <v>Phone Stand</v>
      </c>
      <c r="F95" s="1" t="str">
        <f aca="false">INDEX(Products!$C$2:$C$101,MATCH(D95,Products!$A$2:$A$101,0))</f>
        <v>Electronics</v>
      </c>
      <c r="G95" s="6" t="n">
        <f aca="false">Orders!E95</f>
        <v>1</v>
      </c>
      <c r="H95" s="16" t="n">
        <f aca="false">INDEX(Products!$D$2:$D$101,MATCH(D95,Products!$A$2:$A$101,0))</f>
        <v>399</v>
      </c>
      <c r="I95" s="16" t="n">
        <f aca="false">INDEX(Products!$E$2:$E$101,MATCH(D95,Products!$A$2:$A$101,0))</f>
        <v>150</v>
      </c>
      <c r="J95" s="20" t="n">
        <f aca="false">Orders!F95</f>
        <v>0.1</v>
      </c>
      <c r="K95" s="6" t="n">
        <f aca="false">G95*H95</f>
        <v>399</v>
      </c>
      <c r="L95" s="6" t="n">
        <f aca="false">K95*J95</f>
        <v>39.9</v>
      </c>
      <c r="M95" s="6" t="n">
        <f aca="false">K95-L95</f>
        <v>359.1</v>
      </c>
      <c r="N95" s="6" t="n">
        <f aca="false">G95*I95</f>
        <v>150</v>
      </c>
      <c r="O95" s="6" t="n">
        <f aca="false">M95-N95</f>
        <v>209.1</v>
      </c>
      <c r="P95" s="21" t="n">
        <f aca="false">IFERROR(O95/M95,0)</f>
        <v>0.582289055973267</v>
      </c>
      <c r="Q95" s="6" t="str">
        <f aca="false">Orders!H95</f>
        <v>Delivered</v>
      </c>
      <c r="R95" s="1" t="str">
        <f aca="false">INDEX(Customers!$C$2:$C$301,MATCH(C95,Customers!$A$2:$A$301,0))</f>
        <v>Jaipur</v>
      </c>
      <c r="S95" s="1" t="str">
        <f aca="false">INDEX(Customers!$E$2:$E$301,MATCH(C95,Customers!$A$2:$A$301,0))</f>
        <v>Returning</v>
      </c>
      <c r="T95" s="6" t="str">
        <f aca="false">Orders!I95</f>
        <v>Marketplace</v>
      </c>
      <c r="U95" s="1" t="str">
        <f aca="false">IF(Q95="Delivered","Completed",IF(Q95="Cancelled","Cancelled",IF(Q95="Returned","Returned","In Progress")))</f>
        <v>Completed</v>
      </c>
      <c r="V95" s="1" t="str">
        <f aca="false">IF(M95&gt;=10000,"High Value",IF(M95&gt;=5000,"Medium Value","Low Value"))</f>
        <v>Low Value</v>
      </c>
      <c r="W95" s="1" t="str">
        <f aca="false">IF(O95&gt;0,"Profitable",IF(O95=0,"Break-even","Loss"))</f>
        <v>Profitable</v>
      </c>
      <c r="X95" s="1" t="str">
        <f aca="false">IF(Q95="Cancelled","Not Applicable",IF(Q95="Processing","Pending",IF(B95="","Unknown",IF(Orders!J95="","Unknown",IF(Orders!J95&lt;=3,"Fast",IF(Orders!J95&lt;=6,"Standard","Slow"))))))</f>
        <v>Standard</v>
      </c>
      <c r="Y95" s="1" t="n">
        <f aca="false">IF(OR(Q95="Cancelled",Q95="Returned"),0,O95)</f>
        <v>209.1</v>
      </c>
    </row>
    <row r="96" customFormat="false" ht="15" hidden="false" customHeight="false" outlineLevel="0" collapsed="false">
      <c r="A96" s="6" t="str">
        <f aca="false">Orders!A96</f>
        <v>O000095</v>
      </c>
      <c r="B96" s="19" t="n">
        <f aca="false">Orders!B96</f>
        <v>45681</v>
      </c>
      <c r="C96" s="6" t="str">
        <f aca="false">Orders!C96</f>
        <v>C0221</v>
      </c>
      <c r="D96" s="6" t="str">
        <f aca="false">Orders!D96</f>
        <v>P1021</v>
      </c>
      <c r="E96" s="6" t="str">
        <f aca="false">INDEX(Products!$B$2:$B$101,MATCH(D96,Products!$A$2:$A$101,0))</f>
        <v>Handbag</v>
      </c>
      <c r="F96" s="1" t="str">
        <f aca="false">INDEX(Products!$C$2:$C$101,MATCH(D96,Products!$A$2:$A$101,0))</f>
        <v>Fashion</v>
      </c>
      <c r="G96" s="6" t="n">
        <f aca="false">Orders!E96</f>
        <v>3</v>
      </c>
      <c r="H96" s="16" t="n">
        <f aca="false">INDEX(Products!$D$2:$D$101,MATCH(D96,Products!$A$2:$A$101,0))</f>
        <v>1499</v>
      </c>
      <c r="I96" s="16" t="n">
        <f aca="false">INDEX(Products!$E$2:$E$101,MATCH(D96,Products!$A$2:$A$101,0))</f>
        <v>700</v>
      </c>
      <c r="J96" s="20" t="n">
        <f aca="false">Orders!F96</f>
        <v>0.05</v>
      </c>
      <c r="K96" s="6" t="n">
        <f aca="false">G96*H96</f>
        <v>4497</v>
      </c>
      <c r="L96" s="6" t="n">
        <f aca="false">K96*J96</f>
        <v>224.85</v>
      </c>
      <c r="M96" s="6" t="n">
        <f aca="false">K96-L96</f>
        <v>4272.15</v>
      </c>
      <c r="N96" s="6" t="n">
        <f aca="false">G96*I96</f>
        <v>2100</v>
      </c>
      <c r="O96" s="6" t="n">
        <f aca="false">M96-N96</f>
        <v>2172.15</v>
      </c>
      <c r="P96" s="21" t="n">
        <f aca="false">IFERROR(O96/M96,0)</f>
        <v>0.508444225975212</v>
      </c>
      <c r="Q96" s="6" t="str">
        <f aca="false">Orders!H96</f>
        <v>Delivered</v>
      </c>
      <c r="R96" s="1" t="str">
        <f aca="false">INDEX(Customers!$C$2:$C$301,MATCH(C96,Customers!$A$2:$A$301,0))</f>
        <v>Delhi</v>
      </c>
      <c r="S96" s="1" t="str">
        <f aca="false">INDEX(Customers!$E$2:$E$301,MATCH(C96,Customers!$A$2:$A$301,0))</f>
        <v>New</v>
      </c>
      <c r="T96" s="6" t="str">
        <f aca="false">Orders!I96</f>
        <v>Mobile App</v>
      </c>
      <c r="U96" s="1" t="str">
        <f aca="false">IF(Q96="Delivered","Completed",IF(Q96="Cancelled","Cancelled",IF(Q96="Returned","Returned","In Progress")))</f>
        <v>Completed</v>
      </c>
      <c r="V96" s="1" t="str">
        <f aca="false">IF(M96&gt;=10000,"High Value",IF(M96&gt;=5000,"Medium Value","Low Value"))</f>
        <v>Low Value</v>
      </c>
      <c r="W96" s="1" t="str">
        <f aca="false">IF(O96&gt;0,"Profitable",IF(O96=0,"Break-even","Loss"))</f>
        <v>Profitable</v>
      </c>
      <c r="X96" s="1" t="str">
        <f aca="false">IF(Q96="Cancelled","Not Applicable",IF(Q96="Processing","Pending",IF(B96="","Unknown",IF(Orders!J96="","Unknown",IF(Orders!J96&lt;=3,"Fast",IF(Orders!J96&lt;=6,"Standard","Slow"))))))</f>
        <v>Fast</v>
      </c>
      <c r="Y96" s="1" t="n">
        <f aca="false">IF(OR(Q96="Cancelled",Q96="Returned"),0,O96)</f>
        <v>2172.15</v>
      </c>
    </row>
    <row r="97" customFormat="false" ht="15" hidden="false" customHeight="false" outlineLevel="0" collapsed="false">
      <c r="A97" s="6" t="str">
        <f aca="false">Orders!A97</f>
        <v>O000096</v>
      </c>
      <c r="B97" s="19" t="n">
        <f aca="false">Orders!B97</f>
        <v>45892</v>
      </c>
      <c r="C97" s="6" t="str">
        <f aca="false">Orders!C97</f>
        <v>C0026</v>
      </c>
      <c r="D97" s="6" t="str">
        <f aca="false">Orders!D97</f>
        <v>P1084</v>
      </c>
      <c r="E97" s="6" t="str">
        <f aca="false">INDEX(Products!$B$2:$B$101,MATCH(D97,Products!$A$2:$A$101,0))</f>
        <v>Whiteboard</v>
      </c>
      <c r="F97" s="1" t="str">
        <f aca="false">INDEX(Products!$C$2:$C$101,MATCH(D97,Products!$A$2:$A$101,0))</f>
        <v>Books &amp; Stationery</v>
      </c>
      <c r="G97" s="6" t="n">
        <f aca="false">Orders!E97</f>
        <v>5</v>
      </c>
      <c r="H97" s="16" t="n">
        <f aca="false">INDEX(Products!$D$2:$D$101,MATCH(D97,Products!$A$2:$A$101,0))</f>
        <v>799</v>
      </c>
      <c r="I97" s="16" t="n">
        <f aca="false">INDEX(Products!$E$2:$E$101,MATCH(D97,Products!$A$2:$A$101,0))</f>
        <v>420</v>
      </c>
      <c r="J97" s="20" t="n">
        <f aca="false">Orders!F97</f>
        <v>0.05</v>
      </c>
      <c r="K97" s="6" t="n">
        <f aca="false">G97*H97</f>
        <v>3995</v>
      </c>
      <c r="L97" s="6" t="n">
        <f aca="false">K97*J97</f>
        <v>199.75</v>
      </c>
      <c r="M97" s="6" t="n">
        <f aca="false">K97-L97</f>
        <v>3795.25</v>
      </c>
      <c r="N97" s="6" t="n">
        <f aca="false">G97*I97</f>
        <v>2100</v>
      </c>
      <c r="O97" s="6" t="n">
        <f aca="false">M97-N97</f>
        <v>1695.25</v>
      </c>
      <c r="P97" s="21" t="n">
        <f aca="false">IFERROR(O97/M97,0)</f>
        <v>0.446676767011396</v>
      </c>
      <c r="Q97" s="6" t="str">
        <f aca="false">Orders!H97</f>
        <v>Delivered</v>
      </c>
      <c r="R97" s="1" t="str">
        <f aca="false">INDEX(Customers!$C$2:$C$301,MATCH(C97,Customers!$A$2:$A$301,0))</f>
        <v>Kolkata</v>
      </c>
      <c r="S97" s="1" t="str">
        <f aca="false">INDEX(Customers!$E$2:$E$301,MATCH(C97,Customers!$A$2:$A$301,0))</f>
        <v>Returning</v>
      </c>
      <c r="T97" s="6" t="str">
        <f aca="false">Orders!I97</f>
        <v>Marketplace</v>
      </c>
      <c r="U97" s="1" t="str">
        <f aca="false">IF(Q97="Delivered","Completed",IF(Q97="Cancelled","Cancelled",IF(Q97="Returned","Returned","In Progress")))</f>
        <v>Completed</v>
      </c>
      <c r="V97" s="1" t="str">
        <f aca="false">IF(M97&gt;=10000,"High Value",IF(M97&gt;=5000,"Medium Value","Low Value"))</f>
        <v>Low Value</v>
      </c>
      <c r="W97" s="1" t="str">
        <f aca="false">IF(O97&gt;0,"Profitable",IF(O97=0,"Break-even","Loss"))</f>
        <v>Profitable</v>
      </c>
      <c r="X97" s="1" t="str">
        <f aca="false">IF(Q97="Cancelled","Not Applicable",IF(Q97="Processing","Pending",IF(B97="","Unknown",IF(Orders!J97="","Unknown",IF(Orders!J97&lt;=3,"Fast",IF(Orders!J97&lt;=6,"Standard","Slow"))))))</f>
        <v>Fast</v>
      </c>
      <c r="Y97" s="1" t="n">
        <f aca="false">IF(OR(Q97="Cancelled",Q97="Returned"),0,O97)</f>
        <v>1695.25</v>
      </c>
    </row>
    <row r="98" customFormat="false" ht="23.85" hidden="false" customHeight="false" outlineLevel="0" collapsed="false">
      <c r="A98" s="6" t="str">
        <f aca="false">Orders!A98</f>
        <v>O000097</v>
      </c>
      <c r="B98" s="19" t="n">
        <f aca="false">Orders!B98</f>
        <v>45820</v>
      </c>
      <c r="C98" s="6" t="str">
        <f aca="false">Orders!C98</f>
        <v>C0264</v>
      </c>
      <c r="D98" s="6" t="str">
        <f aca="false">Orders!D98</f>
        <v>P1081</v>
      </c>
      <c r="E98" s="6" t="str">
        <f aca="false">INDEX(Products!$B$2:$B$101,MATCH(D98,Products!$A$2:$A$101,0))</f>
        <v>Sticky Notes Pack</v>
      </c>
      <c r="F98" s="1" t="str">
        <f aca="false">INDEX(Products!$C$2:$C$101,MATCH(D98,Products!$A$2:$A$101,0))</f>
        <v>Books &amp; Stationery</v>
      </c>
      <c r="G98" s="6" t="n">
        <f aca="false">Orders!E98</f>
        <v>1</v>
      </c>
      <c r="H98" s="16" t="n">
        <f aca="false">INDEX(Products!$D$2:$D$101,MATCH(D98,Products!$A$2:$A$101,0))</f>
        <v>149</v>
      </c>
      <c r="I98" s="16" t="n">
        <f aca="false">INDEX(Products!$E$2:$E$101,MATCH(D98,Products!$A$2:$A$101,0))</f>
        <v>45</v>
      </c>
      <c r="J98" s="20" t="n">
        <f aca="false">Orders!F98</f>
        <v>0.2</v>
      </c>
      <c r="K98" s="6" t="n">
        <f aca="false">G98*H98</f>
        <v>149</v>
      </c>
      <c r="L98" s="6" t="n">
        <f aca="false">K98*J98</f>
        <v>29.8</v>
      </c>
      <c r="M98" s="6" t="n">
        <f aca="false">K98-L98</f>
        <v>119.2</v>
      </c>
      <c r="N98" s="6" t="n">
        <f aca="false">G98*I98</f>
        <v>45</v>
      </c>
      <c r="O98" s="6" t="n">
        <f aca="false">M98-N98</f>
        <v>74.2</v>
      </c>
      <c r="P98" s="21" t="n">
        <f aca="false">IFERROR(O98/M98,0)</f>
        <v>0.62248322147651</v>
      </c>
      <c r="Q98" s="6" t="str">
        <f aca="false">Orders!H98</f>
        <v>Processing</v>
      </c>
      <c r="R98" s="1" t="str">
        <f aca="false">INDEX(Customers!$C$2:$C$301,MATCH(C98,Customers!$A$2:$A$301,0))</f>
        <v>Hyderabad</v>
      </c>
      <c r="S98" s="1" t="str">
        <f aca="false">INDEX(Customers!$E$2:$E$301,MATCH(C98,Customers!$A$2:$A$301,0))</f>
        <v>VIP</v>
      </c>
      <c r="T98" s="6" t="str">
        <f aca="false">Orders!I98</f>
        <v>Website</v>
      </c>
      <c r="U98" s="1" t="str">
        <f aca="false">IF(Q98="Delivered","Completed",IF(Q98="Cancelled","Cancelled",IF(Q98="Returned","Returned","In Progress")))</f>
        <v>In Progress</v>
      </c>
      <c r="V98" s="1" t="str">
        <f aca="false">IF(M98&gt;=10000,"High Value",IF(M98&gt;=5000,"Medium Value","Low Value"))</f>
        <v>Low Value</v>
      </c>
      <c r="W98" s="1" t="str">
        <f aca="false">IF(O98&gt;0,"Profitable",IF(O98=0,"Break-even","Loss"))</f>
        <v>Profitable</v>
      </c>
      <c r="X98" s="1" t="str">
        <f aca="false">IF(Q98="Cancelled","Not Applicable",IF(Q98="Processing","Pending",IF(B98="","Unknown",IF(Orders!J98="","Unknown",IF(Orders!J98&lt;=3,"Fast",IF(Orders!J98&lt;=6,"Standard","Slow"))))))</f>
        <v>Pending</v>
      </c>
      <c r="Y98" s="1" t="n">
        <f aca="false">IF(OR(Q98="Cancelled",Q98="Returned"),0,O98)</f>
        <v>74.2</v>
      </c>
    </row>
    <row r="99" customFormat="false" ht="15" hidden="false" customHeight="false" outlineLevel="0" collapsed="false">
      <c r="A99" s="6" t="str">
        <f aca="false">Orders!A99</f>
        <v>O000098</v>
      </c>
      <c r="B99" s="19" t="n">
        <f aca="false">Orders!B99</f>
        <v>45852</v>
      </c>
      <c r="C99" s="6" t="str">
        <f aca="false">Orders!C99</f>
        <v>C0115</v>
      </c>
      <c r="D99" s="6" t="str">
        <f aca="false">Orders!D99</f>
        <v>P1004</v>
      </c>
      <c r="E99" s="6" t="str">
        <f aca="false">INDEX(Products!$B$2:$B$101,MATCH(D99,Products!$A$2:$A$101,0))</f>
        <v>USB-C Cable</v>
      </c>
      <c r="F99" s="1" t="str">
        <f aca="false">INDEX(Products!$C$2:$C$101,MATCH(D99,Products!$A$2:$A$101,0))</f>
        <v>Electronics</v>
      </c>
      <c r="G99" s="6" t="n">
        <f aca="false">Orders!E99</f>
        <v>1</v>
      </c>
      <c r="H99" s="16" t="n">
        <f aca="false">INDEX(Products!$D$2:$D$101,MATCH(D99,Products!$A$2:$A$101,0))</f>
        <v>299</v>
      </c>
      <c r="I99" s="16" t="n">
        <f aca="false">INDEX(Products!$E$2:$E$101,MATCH(D99,Products!$A$2:$A$101,0))</f>
        <v>120</v>
      </c>
      <c r="J99" s="20" t="n">
        <f aca="false">Orders!F99</f>
        <v>0.05</v>
      </c>
      <c r="K99" s="6" t="n">
        <f aca="false">G99*H99</f>
        <v>299</v>
      </c>
      <c r="L99" s="6" t="n">
        <f aca="false">K99*J99</f>
        <v>14.95</v>
      </c>
      <c r="M99" s="6" t="n">
        <f aca="false">K99-L99</f>
        <v>284.05</v>
      </c>
      <c r="N99" s="6" t="n">
        <f aca="false">G99*I99</f>
        <v>120</v>
      </c>
      <c r="O99" s="6" t="n">
        <f aca="false">M99-N99</f>
        <v>164.05</v>
      </c>
      <c r="P99" s="21" t="n">
        <f aca="false">IFERROR(O99/M99,0)</f>
        <v>0.577539165639852</v>
      </c>
      <c r="Q99" s="6" t="str">
        <f aca="false">Orders!H99</f>
        <v>Delivered</v>
      </c>
      <c r="R99" s="1" t="str">
        <f aca="false">INDEX(Customers!$C$2:$C$301,MATCH(C99,Customers!$A$2:$A$301,0))</f>
        <v>Bhopal</v>
      </c>
      <c r="S99" s="1" t="str">
        <f aca="false">INDEX(Customers!$E$2:$E$301,MATCH(C99,Customers!$A$2:$A$301,0))</f>
        <v>Returning</v>
      </c>
      <c r="T99" s="6" t="str">
        <f aca="false">Orders!I99</f>
        <v>Mobile App</v>
      </c>
      <c r="U99" s="1" t="str">
        <f aca="false">IF(Q99="Delivered","Completed",IF(Q99="Cancelled","Cancelled",IF(Q99="Returned","Returned","In Progress")))</f>
        <v>Completed</v>
      </c>
      <c r="V99" s="1" t="str">
        <f aca="false">IF(M99&gt;=10000,"High Value",IF(M99&gt;=5000,"Medium Value","Low Value"))</f>
        <v>Low Value</v>
      </c>
      <c r="W99" s="1" t="str">
        <f aca="false">IF(O99&gt;0,"Profitable",IF(O99=0,"Break-even","Loss"))</f>
        <v>Profitable</v>
      </c>
      <c r="X99" s="1" t="str">
        <f aca="false">IF(Q99="Cancelled","Not Applicable",IF(Q99="Processing","Pending",IF(B99="","Unknown",IF(Orders!J99="","Unknown",IF(Orders!J99&lt;=3,"Fast",IF(Orders!J99&lt;=6,"Standard","Slow"))))))</f>
        <v>Standard</v>
      </c>
      <c r="Y99" s="1" t="n">
        <f aca="false">IF(OR(Q99="Cancelled",Q99="Returned"),0,O99)</f>
        <v>164.05</v>
      </c>
    </row>
    <row r="100" customFormat="false" ht="23.85" hidden="false" customHeight="false" outlineLevel="0" collapsed="false">
      <c r="A100" s="6" t="str">
        <f aca="false">Orders!A100</f>
        <v>O000099</v>
      </c>
      <c r="B100" s="19" t="n">
        <f aca="false">Orders!B100</f>
        <v>45688</v>
      </c>
      <c r="C100" s="6" t="str">
        <f aca="false">Orders!C100</f>
        <v>C0065</v>
      </c>
      <c r="D100" s="6" t="str">
        <f aca="false">Orders!D100</f>
        <v>P1069</v>
      </c>
      <c r="E100" s="6" t="str">
        <f aca="false">INDEX(Products!$B$2:$B$101,MATCH(D100,Products!$A$2:$A$101,0))</f>
        <v>Sports Duffel Bag</v>
      </c>
      <c r="F100" s="1" t="str">
        <f aca="false">INDEX(Products!$C$2:$C$101,MATCH(D100,Products!$A$2:$A$101,0))</f>
        <v>Sports &amp; Outdoors</v>
      </c>
      <c r="G100" s="6" t="n">
        <f aca="false">Orders!E100</f>
        <v>2</v>
      </c>
      <c r="H100" s="16" t="n">
        <f aca="false">INDEX(Products!$D$2:$D$101,MATCH(D100,Products!$A$2:$A$101,0))</f>
        <v>999</v>
      </c>
      <c r="I100" s="16" t="n">
        <f aca="false">INDEX(Products!$E$2:$E$101,MATCH(D100,Products!$A$2:$A$101,0))</f>
        <v>500</v>
      </c>
      <c r="J100" s="20" t="n">
        <f aca="false">Orders!F100</f>
        <v>0.15</v>
      </c>
      <c r="K100" s="6" t="n">
        <f aca="false">G100*H100</f>
        <v>1998</v>
      </c>
      <c r="L100" s="6" t="n">
        <f aca="false">K100*J100</f>
        <v>299.7</v>
      </c>
      <c r="M100" s="6" t="n">
        <f aca="false">K100-L100</f>
        <v>1698.3</v>
      </c>
      <c r="N100" s="6" t="n">
        <f aca="false">G100*I100</f>
        <v>1000</v>
      </c>
      <c r="O100" s="6" t="n">
        <f aca="false">M100-N100</f>
        <v>698.3</v>
      </c>
      <c r="P100" s="21" t="n">
        <f aca="false">IFERROR(O100/M100,0)</f>
        <v>0.411175881764117</v>
      </c>
      <c r="Q100" s="6" t="str">
        <f aca="false">Orders!H100</f>
        <v>Returned</v>
      </c>
      <c r="R100" s="1" t="str">
        <f aca="false">INDEX(Customers!$C$2:$C$301,MATCH(C100,Customers!$A$2:$A$301,0))</f>
        <v>Chennai</v>
      </c>
      <c r="S100" s="1" t="str">
        <f aca="false">INDEX(Customers!$E$2:$E$301,MATCH(C100,Customers!$A$2:$A$301,0))</f>
        <v>Returning</v>
      </c>
      <c r="T100" s="6" t="str">
        <f aca="false">Orders!I100</f>
        <v>Mobile App</v>
      </c>
      <c r="U100" s="1" t="str">
        <f aca="false">IF(Q100="Delivered","Completed",IF(Q100="Cancelled","Cancelled",IF(Q100="Returned","Returned","In Progress")))</f>
        <v>Returned</v>
      </c>
      <c r="V100" s="1" t="str">
        <f aca="false">IF(M100&gt;=10000,"High Value",IF(M100&gt;=5000,"Medium Value","Low Value"))</f>
        <v>Low Value</v>
      </c>
      <c r="W100" s="1" t="str">
        <f aca="false">IF(O100&gt;0,"Profitable",IF(O100=0,"Break-even","Loss"))</f>
        <v>Profitable</v>
      </c>
      <c r="X100" s="1" t="str">
        <f aca="false">IF(Q100="Cancelled","Not Applicable",IF(Q100="Processing","Pending",IF(B100="","Unknown",IF(Orders!J100="","Unknown",IF(Orders!J100&lt;=3,"Fast",IF(Orders!J100&lt;=6,"Standard","Slow"))))))</f>
        <v>Standard</v>
      </c>
      <c r="Y100" s="1" t="n">
        <f aca="false">IF(OR(Q100="Cancelled",Q100="Returned"),0,O100)</f>
        <v>0</v>
      </c>
    </row>
    <row r="101" customFormat="false" ht="23.85" hidden="false" customHeight="false" outlineLevel="0" collapsed="false">
      <c r="A101" s="6" t="str">
        <f aca="false">Orders!A101</f>
        <v>O000100</v>
      </c>
      <c r="B101" s="19" t="n">
        <f aca="false">Orders!B101</f>
        <v>45784</v>
      </c>
      <c r="C101" s="6" t="str">
        <f aca="false">Orders!C101</f>
        <v>C0167</v>
      </c>
      <c r="D101" s="6" t="str">
        <f aca="false">Orders!D101</f>
        <v>P1061</v>
      </c>
      <c r="E101" s="6" t="str">
        <f aca="false">INDEX(Products!$B$2:$B$101,MATCH(D101,Products!$A$2:$A$101,0))</f>
        <v>Resistance Bands</v>
      </c>
      <c r="F101" s="1" t="str">
        <f aca="false">INDEX(Products!$C$2:$C$101,MATCH(D101,Products!$A$2:$A$101,0))</f>
        <v>Sports &amp; Outdoors</v>
      </c>
      <c r="G101" s="6" t="n">
        <f aca="false">Orders!E101</f>
        <v>2</v>
      </c>
      <c r="H101" s="16" t="n">
        <f aca="false">INDEX(Products!$D$2:$D$101,MATCH(D101,Products!$A$2:$A$101,0))</f>
        <v>399</v>
      </c>
      <c r="I101" s="16" t="n">
        <f aca="false">INDEX(Products!$E$2:$E$101,MATCH(D101,Products!$A$2:$A$101,0))</f>
        <v>150</v>
      </c>
      <c r="J101" s="20" t="n">
        <f aca="false">Orders!F101</f>
        <v>0.05</v>
      </c>
      <c r="K101" s="6" t="n">
        <f aca="false">G101*H101</f>
        <v>798</v>
      </c>
      <c r="L101" s="6" t="n">
        <f aca="false">K101*J101</f>
        <v>39.9</v>
      </c>
      <c r="M101" s="6" t="n">
        <f aca="false">K101-L101</f>
        <v>758.1</v>
      </c>
      <c r="N101" s="6" t="n">
        <f aca="false">G101*I101</f>
        <v>300</v>
      </c>
      <c r="O101" s="6" t="n">
        <f aca="false">M101-N101</f>
        <v>458.1</v>
      </c>
      <c r="P101" s="21" t="n">
        <f aca="false">IFERROR(O101/M101,0)</f>
        <v>0.604273842500989</v>
      </c>
      <c r="Q101" s="6" t="str">
        <f aca="false">Orders!H101</f>
        <v>Delivered</v>
      </c>
      <c r="R101" s="1" t="str">
        <f aca="false">INDEX(Customers!$C$2:$C$301,MATCH(C101,Customers!$A$2:$A$301,0))</f>
        <v>Pune</v>
      </c>
      <c r="S101" s="1" t="str">
        <f aca="false">INDEX(Customers!$E$2:$E$301,MATCH(C101,Customers!$A$2:$A$301,0))</f>
        <v>Returning</v>
      </c>
      <c r="T101" s="6" t="str">
        <f aca="false">Orders!I101</f>
        <v>Website</v>
      </c>
      <c r="U101" s="1" t="str">
        <f aca="false">IF(Q101="Delivered","Completed",IF(Q101="Cancelled","Cancelled",IF(Q101="Returned","Returned","In Progress")))</f>
        <v>Completed</v>
      </c>
      <c r="V101" s="1" t="str">
        <f aca="false">IF(M101&gt;=10000,"High Value",IF(M101&gt;=5000,"Medium Value","Low Value"))</f>
        <v>Low Value</v>
      </c>
      <c r="W101" s="1" t="str">
        <f aca="false">IF(O101&gt;0,"Profitable",IF(O101=0,"Break-even","Loss"))</f>
        <v>Profitable</v>
      </c>
      <c r="X101" s="1" t="str">
        <f aca="false">IF(Q101="Cancelled","Not Applicable",IF(Q101="Processing","Pending",IF(B101="","Unknown",IF(Orders!J101="","Unknown",IF(Orders!J101&lt;=3,"Fast",IF(Orders!J101&lt;=6,"Standard","Slow"))))))</f>
        <v>Standard</v>
      </c>
      <c r="Y101" s="1" t="n">
        <f aca="false">IF(OR(Q101="Cancelled",Q101="Returned"),0,O101)</f>
        <v>458.1</v>
      </c>
    </row>
    <row r="102" customFormat="false" ht="15" hidden="false" customHeight="false" outlineLevel="0" collapsed="false">
      <c r="A102" s="6" t="str">
        <f aca="false">Orders!A102</f>
        <v>O000101</v>
      </c>
      <c r="B102" s="19" t="n">
        <f aca="false">Orders!B102</f>
        <v>45891</v>
      </c>
      <c r="C102" s="6" t="str">
        <f aca="false">Orders!C102</f>
        <v>C0057</v>
      </c>
      <c r="D102" s="6" t="str">
        <f aca="false">Orders!D102</f>
        <v>P1029</v>
      </c>
      <c r="E102" s="6" t="str">
        <f aca="false">INDEX(Products!$B$2:$B$101,MATCH(D102,Products!$A$2:$A$101,0))</f>
        <v>Scarf</v>
      </c>
      <c r="F102" s="1" t="str">
        <f aca="false">INDEX(Products!$C$2:$C$101,MATCH(D102,Products!$A$2:$A$101,0))</f>
        <v>Fashion</v>
      </c>
      <c r="G102" s="6" t="n">
        <f aca="false">Orders!E102</f>
        <v>1</v>
      </c>
      <c r="H102" s="16" t="n">
        <f aca="false">INDEX(Products!$D$2:$D$101,MATCH(D102,Products!$A$2:$A$101,0))</f>
        <v>299</v>
      </c>
      <c r="I102" s="16" t="n">
        <f aca="false">INDEX(Products!$E$2:$E$101,MATCH(D102,Products!$A$2:$A$101,0))</f>
        <v>100</v>
      </c>
      <c r="J102" s="20" t="n">
        <f aca="false">Orders!F102</f>
        <v>0.1</v>
      </c>
      <c r="K102" s="6" t="n">
        <f aca="false">G102*H102</f>
        <v>299</v>
      </c>
      <c r="L102" s="6" t="n">
        <f aca="false">K102*J102</f>
        <v>29.9</v>
      </c>
      <c r="M102" s="6" t="n">
        <f aca="false">K102-L102</f>
        <v>269.1</v>
      </c>
      <c r="N102" s="6" t="n">
        <f aca="false">G102*I102</f>
        <v>100</v>
      </c>
      <c r="O102" s="6" t="n">
        <f aca="false">M102-N102</f>
        <v>169.1</v>
      </c>
      <c r="P102" s="21" t="n">
        <f aca="false">IFERROR(O102/M102,0)</f>
        <v>0.628390932738759</v>
      </c>
      <c r="Q102" s="6" t="str">
        <f aca="false">Orders!H102</f>
        <v>Delivered</v>
      </c>
      <c r="R102" s="1" t="str">
        <f aca="false">INDEX(Customers!$C$2:$C$301,MATCH(C102,Customers!$A$2:$A$301,0))</f>
        <v>Surat</v>
      </c>
      <c r="S102" s="1" t="str">
        <f aca="false">INDEX(Customers!$E$2:$E$301,MATCH(C102,Customers!$A$2:$A$301,0))</f>
        <v>Returning</v>
      </c>
      <c r="T102" s="6" t="str">
        <f aca="false">Orders!I102</f>
        <v>Mobile App</v>
      </c>
      <c r="U102" s="1" t="str">
        <f aca="false">IF(Q102="Delivered","Completed",IF(Q102="Cancelled","Cancelled",IF(Q102="Returned","Returned","In Progress")))</f>
        <v>Completed</v>
      </c>
      <c r="V102" s="1" t="str">
        <f aca="false">IF(M102&gt;=10000,"High Value",IF(M102&gt;=5000,"Medium Value","Low Value"))</f>
        <v>Low Value</v>
      </c>
      <c r="W102" s="1" t="str">
        <f aca="false">IF(O102&gt;0,"Profitable",IF(O102=0,"Break-even","Loss"))</f>
        <v>Profitable</v>
      </c>
      <c r="X102" s="1" t="str">
        <f aca="false">IF(Q102="Cancelled","Not Applicable",IF(Q102="Processing","Pending",IF(B102="","Unknown",IF(Orders!J102="","Unknown",IF(Orders!J102&lt;=3,"Fast",IF(Orders!J102&lt;=6,"Standard","Slow"))))))</f>
        <v>Fast</v>
      </c>
      <c r="Y102" s="1" t="n">
        <f aca="false">IF(OR(Q102="Cancelled",Q102="Returned"),0,O102)</f>
        <v>169.1</v>
      </c>
    </row>
    <row r="103" customFormat="false" ht="23.85" hidden="false" customHeight="false" outlineLevel="0" collapsed="false">
      <c r="A103" s="6" t="str">
        <f aca="false">Orders!A103</f>
        <v>O000102</v>
      </c>
      <c r="B103" s="19" t="n">
        <f aca="false">Orders!B103</f>
        <v>45938</v>
      </c>
      <c r="C103" s="6" t="str">
        <f aca="false">Orders!C103</f>
        <v>C0004</v>
      </c>
      <c r="D103" s="6" t="str">
        <f aca="false">Orders!D103</f>
        <v>P1061</v>
      </c>
      <c r="E103" s="6" t="str">
        <f aca="false">INDEX(Products!$B$2:$B$101,MATCH(D103,Products!$A$2:$A$101,0))</f>
        <v>Resistance Bands</v>
      </c>
      <c r="F103" s="1" t="str">
        <f aca="false">INDEX(Products!$C$2:$C$101,MATCH(D103,Products!$A$2:$A$101,0))</f>
        <v>Sports &amp; Outdoors</v>
      </c>
      <c r="G103" s="6" t="n">
        <f aca="false">Orders!E103</f>
        <v>2</v>
      </c>
      <c r="H103" s="16" t="n">
        <f aca="false">INDEX(Products!$D$2:$D$101,MATCH(D103,Products!$A$2:$A$101,0))</f>
        <v>399</v>
      </c>
      <c r="I103" s="16" t="n">
        <f aca="false">INDEX(Products!$E$2:$E$101,MATCH(D103,Products!$A$2:$A$101,0))</f>
        <v>150</v>
      </c>
      <c r="J103" s="20" t="n">
        <f aca="false">Orders!F103</f>
        <v>0.15</v>
      </c>
      <c r="K103" s="6" t="n">
        <f aca="false">G103*H103</f>
        <v>798</v>
      </c>
      <c r="L103" s="6" t="n">
        <f aca="false">K103*J103</f>
        <v>119.7</v>
      </c>
      <c r="M103" s="6" t="n">
        <f aca="false">K103-L103</f>
        <v>678.3</v>
      </c>
      <c r="N103" s="6" t="n">
        <f aca="false">G103*I103</f>
        <v>300</v>
      </c>
      <c r="O103" s="6" t="n">
        <f aca="false">M103-N103</f>
        <v>378.3</v>
      </c>
      <c r="P103" s="21" t="n">
        <f aca="false">IFERROR(O103/M103,0)</f>
        <v>0.557717823971694</v>
      </c>
      <c r="Q103" s="6" t="str">
        <f aca="false">Orders!H103</f>
        <v>Processing</v>
      </c>
      <c r="R103" s="1" t="str">
        <f aca="false">INDEX(Customers!$C$2:$C$301,MATCH(C103,Customers!$A$2:$A$301,0))</f>
        <v>Hyderabad</v>
      </c>
      <c r="S103" s="1" t="str">
        <f aca="false">INDEX(Customers!$E$2:$E$301,MATCH(C103,Customers!$A$2:$A$301,0))</f>
        <v>Returning</v>
      </c>
      <c r="T103" s="6" t="str">
        <f aca="false">Orders!I103</f>
        <v>Mobile App</v>
      </c>
      <c r="U103" s="1" t="str">
        <f aca="false">IF(Q103="Delivered","Completed",IF(Q103="Cancelled","Cancelled",IF(Q103="Returned","Returned","In Progress")))</f>
        <v>In Progress</v>
      </c>
      <c r="V103" s="1" t="str">
        <f aca="false">IF(M103&gt;=10000,"High Value",IF(M103&gt;=5000,"Medium Value","Low Value"))</f>
        <v>Low Value</v>
      </c>
      <c r="W103" s="1" t="str">
        <f aca="false">IF(O103&gt;0,"Profitable",IF(O103=0,"Break-even","Loss"))</f>
        <v>Profitable</v>
      </c>
      <c r="X103" s="1" t="str">
        <f aca="false">IF(Q103="Cancelled","Not Applicable",IF(Q103="Processing","Pending",IF(B103="","Unknown",IF(Orders!J103="","Unknown",IF(Orders!J103&lt;=3,"Fast",IF(Orders!J103&lt;=6,"Standard","Slow"))))))</f>
        <v>Pending</v>
      </c>
      <c r="Y103" s="1" t="n">
        <f aca="false">IF(OR(Q103="Cancelled",Q103="Returned"),0,O103)</f>
        <v>378.3</v>
      </c>
    </row>
    <row r="104" customFormat="false" ht="15" hidden="false" customHeight="false" outlineLevel="0" collapsed="false">
      <c r="A104" s="6" t="str">
        <f aca="false">Orders!A104</f>
        <v>O000103</v>
      </c>
      <c r="B104" s="19" t="n">
        <f aca="false">Orders!B104</f>
        <v>45723</v>
      </c>
      <c r="C104" s="6" t="str">
        <f aca="false">Orders!C104</f>
        <v>C0256</v>
      </c>
      <c r="D104" s="6" t="str">
        <f aca="false">Orders!D104</f>
        <v>P1051</v>
      </c>
      <c r="E104" s="6" t="str">
        <f aca="false">INDEX(Products!$B$2:$B$101,MATCH(D104,Products!$A$2:$A$101,0))</f>
        <v>Body Lotion</v>
      </c>
      <c r="F104" s="1" t="str">
        <f aca="false">INDEX(Products!$C$2:$C$101,MATCH(D104,Products!$A$2:$A$101,0))</f>
        <v>Beauty</v>
      </c>
      <c r="G104" s="6" t="n">
        <f aca="false">Orders!E104</f>
        <v>1</v>
      </c>
      <c r="H104" s="16" t="n">
        <f aca="false">INDEX(Products!$D$2:$D$101,MATCH(D104,Products!$A$2:$A$101,0))</f>
        <v>399</v>
      </c>
      <c r="I104" s="16" t="n">
        <f aca="false">INDEX(Products!$E$2:$E$101,MATCH(D104,Products!$A$2:$A$101,0))</f>
        <v>170</v>
      </c>
      <c r="J104" s="20" t="n">
        <f aca="false">Orders!F104</f>
        <v>0.1</v>
      </c>
      <c r="K104" s="6" t="n">
        <f aca="false">G104*H104</f>
        <v>399</v>
      </c>
      <c r="L104" s="6" t="n">
        <f aca="false">K104*J104</f>
        <v>39.9</v>
      </c>
      <c r="M104" s="6" t="n">
        <f aca="false">K104-L104</f>
        <v>359.1</v>
      </c>
      <c r="N104" s="6" t="n">
        <f aca="false">G104*I104</f>
        <v>170</v>
      </c>
      <c r="O104" s="6" t="n">
        <f aca="false">M104-N104</f>
        <v>189.1</v>
      </c>
      <c r="P104" s="21" t="n">
        <f aca="false">IFERROR(O104/M104,0)</f>
        <v>0.526594263436369</v>
      </c>
      <c r="Q104" s="6" t="str">
        <f aca="false">Orders!H104</f>
        <v>Delivered</v>
      </c>
      <c r="R104" s="1" t="str">
        <f aca="false">INDEX(Customers!$C$2:$C$301,MATCH(C104,Customers!$A$2:$A$301,0))</f>
        <v>Chandigarh</v>
      </c>
      <c r="S104" s="1" t="str">
        <f aca="false">INDEX(Customers!$E$2:$E$301,MATCH(C104,Customers!$A$2:$A$301,0))</f>
        <v>VIP</v>
      </c>
      <c r="T104" s="6" t="str">
        <f aca="false">Orders!I104</f>
        <v>Website</v>
      </c>
      <c r="U104" s="1" t="str">
        <f aca="false">IF(Q104="Delivered","Completed",IF(Q104="Cancelled","Cancelled",IF(Q104="Returned","Returned","In Progress")))</f>
        <v>Completed</v>
      </c>
      <c r="V104" s="1" t="str">
        <f aca="false">IF(M104&gt;=10000,"High Value",IF(M104&gt;=5000,"Medium Value","Low Value"))</f>
        <v>Low Value</v>
      </c>
      <c r="W104" s="1" t="str">
        <f aca="false">IF(O104&gt;0,"Profitable",IF(O104=0,"Break-even","Loss"))</f>
        <v>Profitable</v>
      </c>
      <c r="X104" s="1" t="str">
        <f aca="false">IF(Q104="Cancelled","Not Applicable",IF(Q104="Processing","Pending",IF(B104="","Unknown",IF(Orders!J104="","Unknown",IF(Orders!J104&lt;=3,"Fast",IF(Orders!J104&lt;=6,"Standard","Slow"))))))</f>
        <v>Fast</v>
      </c>
      <c r="Y104" s="1" t="n">
        <f aca="false">IF(OR(Q104="Cancelled",Q104="Returned"),0,O104)</f>
        <v>189.1</v>
      </c>
    </row>
    <row r="105" customFormat="false" ht="15" hidden="false" customHeight="false" outlineLevel="0" collapsed="false">
      <c r="A105" s="6" t="str">
        <f aca="false">Orders!A105</f>
        <v>O000104</v>
      </c>
      <c r="B105" s="19" t="n">
        <f aca="false">Orders!B105</f>
        <v>45780</v>
      </c>
      <c r="C105" s="6" t="str">
        <f aca="false">Orders!C105</f>
        <v>C0136</v>
      </c>
      <c r="D105" s="6" t="str">
        <f aca="false">Orders!D105</f>
        <v>P1082</v>
      </c>
      <c r="E105" s="6" t="str">
        <f aca="false">INDEX(Products!$B$2:$B$101,MATCH(D105,Products!$A$2:$A$101,0))</f>
        <v>File Folder Set</v>
      </c>
      <c r="F105" s="1" t="str">
        <f aca="false">INDEX(Products!$C$2:$C$101,MATCH(D105,Products!$A$2:$A$101,0))</f>
        <v>Books &amp; Stationery</v>
      </c>
      <c r="G105" s="6" t="n">
        <f aca="false">Orders!E105</f>
        <v>4</v>
      </c>
      <c r="H105" s="16" t="n">
        <f aca="false">INDEX(Products!$D$2:$D$101,MATCH(D105,Products!$A$2:$A$101,0))</f>
        <v>249</v>
      </c>
      <c r="I105" s="16" t="n">
        <f aca="false">INDEX(Products!$E$2:$E$101,MATCH(D105,Products!$A$2:$A$101,0))</f>
        <v>90</v>
      </c>
      <c r="J105" s="20" t="n">
        <f aca="false">Orders!F105</f>
        <v>0.05</v>
      </c>
      <c r="K105" s="6" t="n">
        <f aca="false">G105*H105</f>
        <v>996</v>
      </c>
      <c r="L105" s="6" t="n">
        <f aca="false">K105*J105</f>
        <v>49.8</v>
      </c>
      <c r="M105" s="6" t="n">
        <f aca="false">K105-L105</f>
        <v>946.2</v>
      </c>
      <c r="N105" s="6" t="n">
        <f aca="false">G105*I105</f>
        <v>360</v>
      </c>
      <c r="O105" s="6" t="n">
        <f aca="false">M105-N105</f>
        <v>586.2</v>
      </c>
      <c r="P105" s="21" t="n">
        <f aca="false">IFERROR(O105/M105,0)</f>
        <v>0.619530754597337</v>
      </c>
      <c r="Q105" s="6" t="str">
        <f aca="false">Orders!H105</f>
        <v>Delivered</v>
      </c>
      <c r="R105" s="1" t="str">
        <f aca="false">INDEX(Customers!$C$2:$C$301,MATCH(C105,Customers!$A$2:$A$301,0))</f>
        <v>Chandigarh</v>
      </c>
      <c r="S105" s="1" t="str">
        <f aca="false">INDEX(Customers!$E$2:$E$301,MATCH(C105,Customers!$A$2:$A$301,0))</f>
        <v>New</v>
      </c>
      <c r="T105" s="6" t="str">
        <f aca="false">Orders!I105</f>
        <v>Mobile App</v>
      </c>
      <c r="U105" s="1" t="str">
        <f aca="false">IF(Q105="Delivered","Completed",IF(Q105="Cancelled","Cancelled",IF(Q105="Returned","Returned","In Progress")))</f>
        <v>Completed</v>
      </c>
      <c r="V105" s="1" t="str">
        <f aca="false">IF(M105&gt;=10000,"High Value",IF(M105&gt;=5000,"Medium Value","Low Value"))</f>
        <v>Low Value</v>
      </c>
      <c r="W105" s="1" t="str">
        <f aca="false">IF(O105&gt;0,"Profitable",IF(O105=0,"Break-even","Loss"))</f>
        <v>Profitable</v>
      </c>
      <c r="X105" s="1" t="str">
        <f aca="false">IF(Q105="Cancelled","Not Applicable",IF(Q105="Processing","Pending",IF(B105="","Unknown",IF(Orders!J105="","Unknown",IF(Orders!J105&lt;=3,"Fast",IF(Orders!J105&lt;=6,"Standard","Slow"))))))</f>
        <v>Slow</v>
      </c>
      <c r="Y105" s="1" t="n">
        <f aca="false">IF(OR(Q105="Cancelled",Q105="Returned"),0,O105)</f>
        <v>586.2</v>
      </c>
    </row>
    <row r="106" customFormat="false" ht="15" hidden="false" customHeight="false" outlineLevel="0" collapsed="false">
      <c r="A106" s="6" t="str">
        <f aca="false">Orders!A106</f>
        <v>O000105</v>
      </c>
      <c r="B106" s="19" t="n">
        <f aca="false">Orders!B106</f>
        <v>46003</v>
      </c>
      <c r="C106" s="6" t="str">
        <f aca="false">Orders!C106</f>
        <v>C0072</v>
      </c>
      <c r="D106" s="6" t="str">
        <f aca="false">Orders!D106</f>
        <v>P1096</v>
      </c>
      <c r="E106" s="6" t="str">
        <f aca="false">INDEX(Products!$B$2:$B$101,MATCH(D106,Products!$A$2:$A$101,0))</f>
        <v>Air Fryer</v>
      </c>
      <c r="F106" s="1" t="str">
        <f aca="false">INDEX(Products!$C$2:$C$101,MATCH(D106,Products!$A$2:$A$101,0))</f>
        <v>Appliances</v>
      </c>
      <c r="G106" s="6" t="n">
        <f aca="false">Orders!E106</f>
        <v>1</v>
      </c>
      <c r="H106" s="16" t="n">
        <f aca="false">INDEX(Products!$D$2:$D$101,MATCH(D106,Products!$A$2:$A$101,0))</f>
        <v>3999</v>
      </c>
      <c r="I106" s="16" t="n">
        <f aca="false">INDEX(Products!$E$2:$E$101,MATCH(D106,Products!$A$2:$A$101,0))</f>
        <v>2700</v>
      </c>
      <c r="J106" s="20" t="n">
        <f aca="false">Orders!F106</f>
        <v>0</v>
      </c>
      <c r="K106" s="6" t="n">
        <f aca="false">G106*H106</f>
        <v>3999</v>
      </c>
      <c r="L106" s="6" t="n">
        <f aca="false">K106*J106</f>
        <v>0</v>
      </c>
      <c r="M106" s="6" t="n">
        <f aca="false">K106-L106</f>
        <v>3999</v>
      </c>
      <c r="N106" s="6" t="n">
        <f aca="false">G106*I106</f>
        <v>2700</v>
      </c>
      <c r="O106" s="6" t="n">
        <f aca="false">M106-N106</f>
        <v>1299</v>
      </c>
      <c r="P106" s="21" t="n">
        <f aca="false">IFERROR(O106/M106,0)</f>
        <v>0.32483120780195</v>
      </c>
      <c r="Q106" s="6" t="str">
        <f aca="false">Orders!H106</f>
        <v>Delivered</v>
      </c>
      <c r="R106" s="1" t="str">
        <f aca="false">INDEX(Customers!$C$2:$C$301,MATCH(C106,Customers!$A$2:$A$301,0))</f>
        <v>Noida</v>
      </c>
      <c r="S106" s="1" t="str">
        <f aca="false">INDEX(Customers!$E$2:$E$301,MATCH(C106,Customers!$A$2:$A$301,0))</f>
        <v>Returning</v>
      </c>
      <c r="T106" s="6" t="str">
        <f aca="false">Orders!I106</f>
        <v>Mobile App</v>
      </c>
      <c r="U106" s="1" t="str">
        <f aca="false">IF(Q106="Delivered","Completed",IF(Q106="Cancelled","Cancelled",IF(Q106="Returned","Returned","In Progress")))</f>
        <v>Completed</v>
      </c>
      <c r="V106" s="1" t="str">
        <f aca="false">IF(M106&gt;=10000,"High Value",IF(M106&gt;=5000,"Medium Value","Low Value"))</f>
        <v>Low Value</v>
      </c>
      <c r="W106" s="1" t="str">
        <f aca="false">IF(O106&gt;0,"Profitable",IF(O106=0,"Break-even","Loss"))</f>
        <v>Profitable</v>
      </c>
      <c r="X106" s="1" t="str">
        <f aca="false">IF(Q106="Cancelled","Not Applicable",IF(Q106="Processing","Pending",IF(B106="","Unknown",IF(Orders!J106="","Unknown",IF(Orders!J106&lt;=3,"Fast",IF(Orders!J106&lt;=6,"Standard","Slow"))))))</f>
        <v>Standard</v>
      </c>
      <c r="Y106" s="1" t="n">
        <f aca="false">IF(OR(Q106="Cancelled",Q106="Returned"),0,O106)</f>
        <v>1299</v>
      </c>
    </row>
    <row r="107" customFormat="false" ht="15" hidden="false" customHeight="false" outlineLevel="0" collapsed="false">
      <c r="A107" s="6" t="str">
        <f aca="false">Orders!A107</f>
        <v>O000106</v>
      </c>
      <c r="B107" s="19" t="n">
        <f aca="false">Orders!B107</f>
        <v>46006</v>
      </c>
      <c r="C107" s="6" t="str">
        <f aca="false">Orders!C107</f>
        <v>C0025</v>
      </c>
      <c r="D107" s="6" t="str">
        <f aca="false">Orders!D107</f>
        <v>P1008</v>
      </c>
      <c r="E107" s="6" t="str">
        <f aca="false">INDEX(Products!$B$2:$B$101,MATCH(D107,Products!$A$2:$A$101,0))</f>
        <v>Phone Stand</v>
      </c>
      <c r="F107" s="1" t="str">
        <f aca="false">INDEX(Products!$C$2:$C$101,MATCH(D107,Products!$A$2:$A$101,0))</f>
        <v>Electronics</v>
      </c>
      <c r="G107" s="6" t="n">
        <f aca="false">Orders!E107</f>
        <v>1</v>
      </c>
      <c r="H107" s="16" t="n">
        <f aca="false">INDEX(Products!$D$2:$D$101,MATCH(D107,Products!$A$2:$A$101,0))</f>
        <v>399</v>
      </c>
      <c r="I107" s="16" t="n">
        <f aca="false">INDEX(Products!$E$2:$E$101,MATCH(D107,Products!$A$2:$A$101,0))</f>
        <v>150</v>
      </c>
      <c r="J107" s="20" t="n">
        <f aca="false">Orders!F107</f>
        <v>0.25</v>
      </c>
      <c r="K107" s="6" t="n">
        <f aca="false">G107*H107</f>
        <v>399</v>
      </c>
      <c r="L107" s="6" t="n">
        <f aca="false">K107*J107</f>
        <v>99.75</v>
      </c>
      <c r="M107" s="6" t="n">
        <f aca="false">K107-L107</f>
        <v>299.25</v>
      </c>
      <c r="N107" s="6" t="n">
        <f aca="false">G107*I107</f>
        <v>150</v>
      </c>
      <c r="O107" s="6" t="n">
        <f aca="false">M107-N107</f>
        <v>149.25</v>
      </c>
      <c r="P107" s="21" t="n">
        <f aca="false">IFERROR(O107/M107,0)</f>
        <v>0.49874686716792</v>
      </c>
      <c r="Q107" s="6" t="str">
        <f aca="false">Orders!H107</f>
        <v>Returned</v>
      </c>
      <c r="R107" s="1" t="str">
        <f aca="false">INDEX(Customers!$C$2:$C$301,MATCH(C107,Customers!$A$2:$A$301,0))</f>
        <v>Chennai</v>
      </c>
      <c r="S107" s="1" t="str">
        <f aca="false">INDEX(Customers!$E$2:$E$301,MATCH(C107,Customers!$A$2:$A$301,0))</f>
        <v>Returning</v>
      </c>
      <c r="T107" s="6" t="str">
        <f aca="false">Orders!I107</f>
        <v>Mobile App</v>
      </c>
      <c r="U107" s="1" t="str">
        <f aca="false">IF(Q107="Delivered","Completed",IF(Q107="Cancelled","Cancelled",IF(Q107="Returned","Returned","In Progress")))</f>
        <v>Returned</v>
      </c>
      <c r="V107" s="1" t="str">
        <f aca="false">IF(M107&gt;=10000,"High Value",IF(M107&gt;=5000,"Medium Value","Low Value"))</f>
        <v>Low Value</v>
      </c>
      <c r="W107" s="1" t="str">
        <f aca="false">IF(O107&gt;0,"Profitable",IF(O107=0,"Break-even","Loss"))</f>
        <v>Profitable</v>
      </c>
      <c r="X107" s="1" t="str">
        <f aca="false">IF(Q107="Cancelled","Not Applicable",IF(Q107="Processing","Pending",IF(B107="","Unknown",IF(Orders!J107="","Unknown",IF(Orders!J107&lt;=3,"Fast",IF(Orders!J107&lt;=6,"Standard","Slow"))))))</f>
        <v>Standard</v>
      </c>
      <c r="Y107" s="1" t="n">
        <f aca="false">IF(OR(Q107="Cancelled",Q107="Returned"),0,O107)</f>
        <v>0</v>
      </c>
    </row>
    <row r="108" customFormat="false" ht="15" hidden="false" customHeight="false" outlineLevel="0" collapsed="false">
      <c r="A108" s="6" t="str">
        <f aca="false">Orders!A108</f>
        <v>O000107</v>
      </c>
      <c r="B108" s="19" t="n">
        <f aca="false">Orders!B108</f>
        <v>45775</v>
      </c>
      <c r="C108" s="6" t="str">
        <f aca="false">Orders!C108</f>
        <v>C0241</v>
      </c>
      <c r="D108" s="6" t="str">
        <f aca="false">Orders!D108</f>
        <v>P1035</v>
      </c>
      <c r="E108" s="6" t="str">
        <f aca="false">INDEX(Products!$B$2:$B$101,MATCH(D108,Products!$A$2:$A$101,0))</f>
        <v>Nonstick Pan</v>
      </c>
      <c r="F108" s="1" t="str">
        <f aca="false">INDEX(Products!$C$2:$C$101,MATCH(D108,Products!$A$2:$A$101,0))</f>
        <v>Home &amp; Kitchen</v>
      </c>
      <c r="G108" s="6" t="n">
        <f aca="false">Orders!E108</f>
        <v>4</v>
      </c>
      <c r="H108" s="16" t="n">
        <f aca="false">INDEX(Products!$D$2:$D$101,MATCH(D108,Products!$A$2:$A$101,0))</f>
        <v>999</v>
      </c>
      <c r="I108" s="16" t="n">
        <f aca="false">INDEX(Products!$E$2:$E$101,MATCH(D108,Products!$A$2:$A$101,0))</f>
        <v>520</v>
      </c>
      <c r="J108" s="20" t="n">
        <f aca="false">Orders!F108</f>
        <v>0</v>
      </c>
      <c r="K108" s="6" t="n">
        <f aca="false">G108*H108</f>
        <v>3996</v>
      </c>
      <c r="L108" s="6" t="n">
        <f aca="false">K108*J108</f>
        <v>0</v>
      </c>
      <c r="M108" s="6" t="n">
        <f aca="false">K108-L108</f>
        <v>3996</v>
      </c>
      <c r="N108" s="6" t="n">
        <f aca="false">G108*I108</f>
        <v>2080</v>
      </c>
      <c r="O108" s="6" t="n">
        <f aca="false">M108-N108</f>
        <v>1916</v>
      </c>
      <c r="P108" s="21" t="n">
        <f aca="false">IFERROR(O108/M108,0)</f>
        <v>0.47947947947948</v>
      </c>
      <c r="Q108" s="6" t="str">
        <f aca="false">Orders!H108</f>
        <v>Delivered</v>
      </c>
      <c r="R108" s="1" t="str">
        <f aca="false">INDEX(Customers!$C$2:$C$301,MATCH(C108,Customers!$A$2:$A$301,0))</f>
        <v>Delhi</v>
      </c>
      <c r="S108" s="1" t="str">
        <f aca="false">INDEX(Customers!$E$2:$E$301,MATCH(C108,Customers!$A$2:$A$301,0))</f>
        <v>Returning</v>
      </c>
      <c r="T108" s="6" t="str">
        <f aca="false">Orders!I108</f>
        <v>Mobile App</v>
      </c>
      <c r="U108" s="1" t="str">
        <f aca="false">IF(Q108="Delivered","Completed",IF(Q108="Cancelled","Cancelled",IF(Q108="Returned","Returned","In Progress")))</f>
        <v>Completed</v>
      </c>
      <c r="V108" s="1" t="str">
        <f aca="false">IF(M108&gt;=10000,"High Value",IF(M108&gt;=5000,"Medium Value","Low Value"))</f>
        <v>Low Value</v>
      </c>
      <c r="W108" s="1" t="str">
        <f aca="false">IF(O108&gt;0,"Profitable",IF(O108=0,"Break-even","Loss"))</f>
        <v>Profitable</v>
      </c>
      <c r="X108" s="1" t="str">
        <f aca="false">IF(Q108="Cancelled","Not Applicable",IF(Q108="Processing","Pending",IF(B108="","Unknown",IF(Orders!J108="","Unknown",IF(Orders!J108&lt;=3,"Fast",IF(Orders!J108&lt;=6,"Standard","Slow"))))))</f>
        <v>Fast</v>
      </c>
      <c r="Y108" s="1" t="n">
        <f aca="false">IF(OR(Q108="Cancelled",Q108="Returned"),0,O108)</f>
        <v>1916</v>
      </c>
    </row>
    <row r="109" customFormat="false" ht="23.85" hidden="false" customHeight="false" outlineLevel="0" collapsed="false">
      <c r="A109" s="6" t="str">
        <f aca="false">Orders!A109</f>
        <v>O000108</v>
      </c>
      <c r="B109" s="19" t="n">
        <f aca="false">Orders!B109</f>
        <v>45846</v>
      </c>
      <c r="C109" s="6" t="str">
        <f aca="false">Orders!C109</f>
        <v>C0002</v>
      </c>
      <c r="D109" s="6" t="str">
        <f aca="false">Orders!D109</f>
        <v>P1012</v>
      </c>
      <c r="E109" s="6" t="str">
        <f aca="false">INDEX(Products!$B$2:$B$101,MATCH(D109,Products!$A$2:$A$101,0))</f>
        <v>Charging Adapter</v>
      </c>
      <c r="F109" s="1" t="str">
        <f aca="false">INDEX(Products!$C$2:$C$101,MATCH(D109,Products!$A$2:$A$101,0))</f>
        <v>Electronics</v>
      </c>
      <c r="G109" s="6" t="n">
        <f aca="false">Orders!E109</f>
        <v>2</v>
      </c>
      <c r="H109" s="16" t="n">
        <f aca="false">INDEX(Products!$D$2:$D$101,MATCH(D109,Products!$A$2:$A$101,0))</f>
        <v>599</v>
      </c>
      <c r="I109" s="16" t="n">
        <f aca="false">INDEX(Products!$E$2:$E$101,MATCH(D109,Products!$A$2:$A$101,0))</f>
        <v>260</v>
      </c>
      <c r="J109" s="20" t="n">
        <f aca="false">Orders!F109</f>
        <v>0.05</v>
      </c>
      <c r="K109" s="6" t="n">
        <f aca="false">G109*H109</f>
        <v>1198</v>
      </c>
      <c r="L109" s="6" t="n">
        <f aca="false">K109*J109</f>
        <v>59.9</v>
      </c>
      <c r="M109" s="6" t="n">
        <f aca="false">K109-L109</f>
        <v>1138.1</v>
      </c>
      <c r="N109" s="6" t="n">
        <f aca="false">G109*I109</f>
        <v>520</v>
      </c>
      <c r="O109" s="6" t="n">
        <f aca="false">M109-N109</f>
        <v>618.1</v>
      </c>
      <c r="P109" s="21" t="n">
        <f aca="false">IFERROR(O109/M109,0)</f>
        <v>0.543098146032862</v>
      </c>
      <c r="Q109" s="6" t="str">
        <f aca="false">Orders!H109</f>
        <v>Delivered</v>
      </c>
      <c r="R109" s="1" t="str">
        <f aca="false">INDEX(Customers!$C$2:$C$301,MATCH(C109,Customers!$A$2:$A$301,0))</f>
        <v>Mumbai</v>
      </c>
      <c r="S109" s="1" t="str">
        <f aca="false">INDEX(Customers!$E$2:$E$301,MATCH(C109,Customers!$A$2:$A$301,0))</f>
        <v>New</v>
      </c>
      <c r="T109" s="6" t="str">
        <f aca="false">Orders!I109</f>
        <v>Marketplace</v>
      </c>
      <c r="U109" s="1" t="str">
        <f aca="false">IF(Q109="Delivered","Completed",IF(Q109="Cancelled","Cancelled",IF(Q109="Returned","Returned","In Progress")))</f>
        <v>Completed</v>
      </c>
      <c r="V109" s="1" t="str">
        <f aca="false">IF(M109&gt;=10000,"High Value",IF(M109&gt;=5000,"Medium Value","Low Value"))</f>
        <v>Low Value</v>
      </c>
      <c r="W109" s="1" t="str">
        <f aca="false">IF(O109&gt;0,"Profitable",IF(O109=0,"Break-even","Loss"))</f>
        <v>Profitable</v>
      </c>
      <c r="X109" s="1" t="str">
        <f aca="false">IF(Q109="Cancelled","Not Applicable",IF(Q109="Processing","Pending",IF(B109="","Unknown",IF(Orders!J109="","Unknown",IF(Orders!J109&lt;=3,"Fast",IF(Orders!J109&lt;=6,"Standard","Slow"))))))</f>
        <v>Slow</v>
      </c>
      <c r="Y109" s="1" t="n">
        <f aca="false">IF(OR(Q109="Cancelled",Q109="Returned"),0,O109)</f>
        <v>618.1</v>
      </c>
    </row>
    <row r="110" customFormat="false" ht="23.85" hidden="false" customHeight="false" outlineLevel="0" collapsed="false">
      <c r="A110" s="6" t="str">
        <f aca="false">Orders!A110</f>
        <v>O000109</v>
      </c>
      <c r="B110" s="19" t="n">
        <f aca="false">Orders!B110</f>
        <v>45684</v>
      </c>
      <c r="C110" s="6" t="str">
        <f aca="false">Orders!C110</f>
        <v>C0019</v>
      </c>
      <c r="D110" s="6" t="str">
        <f aca="false">Orders!D110</f>
        <v>P1099</v>
      </c>
      <c r="E110" s="6" t="str">
        <f aca="false">INDEX(Products!$B$2:$B$101,MATCH(D110,Products!$A$2:$A$101,0))</f>
        <v>Sandwich Maker</v>
      </c>
      <c r="F110" s="1" t="str">
        <f aca="false">INDEX(Products!$C$2:$C$101,MATCH(D110,Products!$A$2:$A$101,0))</f>
        <v>Appliances</v>
      </c>
      <c r="G110" s="6" t="n">
        <f aca="false">Orders!E110</f>
        <v>2</v>
      </c>
      <c r="H110" s="16" t="n">
        <f aca="false">INDEX(Products!$D$2:$D$101,MATCH(D110,Products!$A$2:$A$101,0))</f>
        <v>1299</v>
      </c>
      <c r="I110" s="16" t="n">
        <f aca="false">INDEX(Products!$E$2:$E$101,MATCH(D110,Products!$A$2:$A$101,0))</f>
        <v>750</v>
      </c>
      <c r="J110" s="20" t="n">
        <f aca="false">Orders!F110</f>
        <v>0.05</v>
      </c>
      <c r="K110" s="6" t="n">
        <f aca="false">G110*H110</f>
        <v>2598</v>
      </c>
      <c r="L110" s="6" t="n">
        <f aca="false">K110*J110</f>
        <v>129.9</v>
      </c>
      <c r="M110" s="6" t="n">
        <f aca="false">K110-L110</f>
        <v>2468.1</v>
      </c>
      <c r="N110" s="6" t="n">
        <f aca="false">G110*I110</f>
        <v>1500</v>
      </c>
      <c r="O110" s="6" t="n">
        <f aca="false">M110-N110</f>
        <v>968.1</v>
      </c>
      <c r="P110" s="21" t="n">
        <f aca="false">IFERROR(O110/M110,0)</f>
        <v>0.392245046797131</v>
      </c>
      <c r="Q110" s="6" t="str">
        <f aca="false">Orders!H110</f>
        <v>Delivered</v>
      </c>
      <c r="R110" s="1" t="str">
        <f aca="false">INDEX(Customers!$C$2:$C$301,MATCH(C110,Customers!$A$2:$A$301,0))</f>
        <v>Coimbatore</v>
      </c>
      <c r="S110" s="1" t="str">
        <f aca="false">INDEX(Customers!$E$2:$E$301,MATCH(C110,Customers!$A$2:$A$301,0))</f>
        <v>New</v>
      </c>
      <c r="T110" s="6" t="str">
        <f aca="false">Orders!I110</f>
        <v>Mobile App</v>
      </c>
      <c r="U110" s="1" t="str">
        <f aca="false">IF(Q110="Delivered","Completed",IF(Q110="Cancelled","Cancelled",IF(Q110="Returned","Returned","In Progress")))</f>
        <v>Completed</v>
      </c>
      <c r="V110" s="1" t="str">
        <f aca="false">IF(M110&gt;=10000,"High Value",IF(M110&gt;=5000,"Medium Value","Low Value"))</f>
        <v>Low Value</v>
      </c>
      <c r="W110" s="1" t="str">
        <f aca="false">IF(O110&gt;0,"Profitable",IF(O110=0,"Break-even","Loss"))</f>
        <v>Profitable</v>
      </c>
      <c r="X110" s="1" t="str">
        <f aca="false">IF(Q110="Cancelled","Not Applicable",IF(Q110="Processing","Pending",IF(B110="","Unknown",IF(Orders!J110="","Unknown",IF(Orders!J110&lt;=3,"Fast",IF(Orders!J110&lt;=6,"Standard","Slow"))))))</f>
        <v>Slow</v>
      </c>
      <c r="Y110" s="1" t="n">
        <f aca="false">IF(OR(Q110="Cancelled",Q110="Returned"),0,O110)</f>
        <v>968.1</v>
      </c>
    </row>
    <row r="111" customFormat="false" ht="23.85" hidden="false" customHeight="false" outlineLevel="0" collapsed="false">
      <c r="A111" s="6" t="str">
        <f aca="false">Orders!A111</f>
        <v>O000110</v>
      </c>
      <c r="B111" s="19" t="n">
        <f aca="false">Orders!B111</f>
        <v>45923</v>
      </c>
      <c r="C111" s="6" t="str">
        <f aca="false">Orders!C111</f>
        <v>C0054</v>
      </c>
      <c r="D111" s="6" t="str">
        <f aca="false">Orders!D111</f>
        <v>P1070</v>
      </c>
      <c r="E111" s="6" t="str">
        <f aca="false">INDEX(Products!$B$2:$B$101,MATCH(D111,Products!$A$2:$A$101,0))</f>
        <v>Knee Support Pair</v>
      </c>
      <c r="F111" s="1" t="str">
        <f aca="false">INDEX(Products!$C$2:$C$101,MATCH(D111,Products!$A$2:$A$101,0))</f>
        <v>Sports &amp; Outdoors</v>
      </c>
      <c r="G111" s="6" t="n">
        <f aca="false">Orders!E111</f>
        <v>2</v>
      </c>
      <c r="H111" s="16" t="n">
        <f aca="false">INDEX(Products!$D$2:$D$101,MATCH(D111,Products!$A$2:$A$101,0))</f>
        <v>449</v>
      </c>
      <c r="I111" s="16" t="n">
        <f aca="false">INDEX(Products!$E$2:$E$101,MATCH(D111,Products!$A$2:$A$101,0))</f>
        <v>180</v>
      </c>
      <c r="J111" s="20" t="n">
        <f aca="false">Orders!F111</f>
        <v>0</v>
      </c>
      <c r="K111" s="6" t="n">
        <f aca="false">G111*H111</f>
        <v>898</v>
      </c>
      <c r="L111" s="6" t="n">
        <f aca="false">K111*J111</f>
        <v>0</v>
      </c>
      <c r="M111" s="6" t="n">
        <f aca="false">K111-L111</f>
        <v>898</v>
      </c>
      <c r="N111" s="6" t="n">
        <f aca="false">G111*I111</f>
        <v>360</v>
      </c>
      <c r="O111" s="6" t="n">
        <f aca="false">M111-N111</f>
        <v>538</v>
      </c>
      <c r="P111" s="21" t="n">
        <f aca="false">IFERROR(O111/M111,0)</f>
        <v>0.599109131403118</v>
      </c>
      <c r="Q111" s="6" t="str">
        <f aca="false">Orders!H111</f>
        <v>Delivered</v>
      </c>
      <c r="R111" s="1" t="str">
        <f aca="false">INDEX(Customers!$C$2:$C$301,MATCH(C111,Customers!$A$2:$A$301,0))</f>
        <v>Indore</v>
      </c>
      <c r="S111" s="1" t="str">
        <f aca="false">INDEX(Customers!$E$2:$E$301,MATCH(C111,Customers!$A$2:$A$301,0))</f>
        <v>New</v>
      </c>
      <c r="T111" s="6" t="str">
        <f aca="false">Orders!I111</f>
        <v>Marketplace</v>
      </c>
      <c r="U111" s="1" t="str">
        <f aca="false">IF(Q111="Delivered","Completed",IF(Q111="Cancelled","Cancelled",IF(Q111="Returned","Returned","In Progress")))</f>
        <v>Completed</v>
      </c>
      <c r="V111" s="1" t="str">
        <f aca="false">IF(M111&gt;=10000,"High Value",IF(M111&gt;=5000,"Medium Value","Low Value"))</f>
        <v>Low Value</v>
      </c>
      <c r="W111" s="1" t="str">
        <f aca="false">IF(O111&gt;0,"Profitable",IF(O111=0,"Break-even","Loss"))</f>
        <v>Profitable</v>
      </c>
      <c r="X111" s="1" t="str">
        <f aca="false">IF(Q111="Cancelled","Not Applicable",IF(Q111="Processing","Pending",IF(B111="","Unknown",IF(Orders!J111="","Unknown",IF(Orders!J111&lt;=3,"Fast",IF(Orders!J111&lt;=6,"Standard","Slow"))))))</f>
        <v>Fast</v>
      </c>
      <c r="Y111" s="1" t="n">
        <f aca="false">IF(OR(Q111="Cancelled",Q111="Returned"),0,O111)</f>
        <v>538</v>
      </c>
    </row>
    <row r="112" customFormat="false" ht="15" hidden="false" customHeight="false" outlineLevel="0" collapsed="false">
      <c r="A112" s="6" t="str">
        <f aca="false">Orders!A112</f>
        <v>O000111</v>
      </c>
      <c r="B112" s="19" t="n">
        <f aca="false">Orders!B112</f>
        <v>45914</v>
      </c>
      <c r="C112" s="6" t="str">
        <f aca="false">Orders!C112</f>
        <v>C0001</v>
      </c>
      <c r="D112" s="6" t="str">
        <f aca="false">Orders!D112</f>
        <v>P1062</v>
      </c>
      <c r="E112" s="6" t="str">
        <f aca="false">INDEX(Products!$B$2:$B$101,MATCH(D112,Products!$A$2:$A$101,0))</f>
        <v>Skipping Rope</v>
      </c>
      <c r="F112" s="1" t="str">
        <f aca="false">INDEX(Products!$C$2:$C$101,MATCH(D112,Products!$A$2:$A$101,0))</f>
        <v>Sports &amp; Outdoors</v>
      </c>
      <c r="G112" s="6" t="n">
        <f aca="false">Orders!E112</f>
        <v>1</v>
      </c>
      <c r="H112" s="16" t="n">
        <f aca="false">INDEX(Products!$D$2:$D$101,MATCH(D112,Products!$A$2:$A$101,0))</f>
        <v>249</v>
      </c>
      <c r="I112" s="16" t="n">
        <f aca="false">INDEX(Products!$E$2:$E$101,MATCH(D112,Products!$A$2:$A$101,0))</f>
        <v>80</v>
      </c>
      <c r="J112" s="20" t="n">
        <f aca="false">Orders!F112</f>
        <v>0.05</v>
      </c>
      <c r="K112" s="6" t="n">
        <f aca="false">G112*H112</f>
        <v>249</v>
      </c>
      <c r="L112" s="6" t="n">
        <f aca="false">K112*J112</f>
        <v>12.45</v>
      </c>
      <c r="M112" s="6" t="n">
        <f aca="false">K112-L112</f>
        <v>236.55</v>
      </c>
      <c r="N112" s="6" t="n">
        <f aca="false">G112*I112</f>
        <v>80</v>
      </c>
      <c r="O112" s="6" t="n">
        <f aca="false">M112-N112</f>
        <v>156.55</v>
      </c>
      <c r="P112" s="21" t="n">
        <f aca="false">IFERROR(O112/M112,0)</f>
        <v>0.661805115197633</v>
      </c>
      <c r="Q112" s="6" t="str">
        <f aca="false">Orders!H112</f>
        <v>Delivered</v>
      </c>
      <c r="R112" s="1" t="str">
        <f aca="false">INDEX(Customers!$C$2:$C$301,MATCH(C112,Customers!$A$2:$A$301,0))</f>
        <v>Delhi</v>
      </c>
      <c r="S112" s="1" t="str">
        <f aca="false">INDEX(Customers!$E$2:$E$301,MATCH(C112,Customers!$A$2:$A$301,0))</f>
        <v>Returning</v>
      </c>
      <c r="T112" s="6" t="str">
        <f aca="false">Orders!I112</f>
        <v>Marketplace</v>
      </c>
      <c r="U112" s="1" t="str">
        <f aca="false">IF(Q112="Delivered","Completed",IF(Q112="Cancelled","Cancelled",IF(Q112="Returned","Returned","In Progress")))</f>
        <v>Completed</v>
      </c>
      <c r="V112" s="1" t="str">
        <f aca="false">IF(M112&gt;=10000,"High Value",IF(M112&gt;=5000,"Medium Value","Low Value"))</f>
        <v>Low Value</v>
      </c>
      <c r="W112" s="1" t="str">
        <f aca="false">IF(O112&gt;0,"Profitable",IF(O112=0,"Break-even","Loss"))</f>
        <v>Profitable</v>
      </c>
      <c r="X112" s="1" t="str">
        <f aca="false">IF(Q112="Cancelled","Not Applicable",IF(Q112="Processing","Pending",IF(B112="","Unknown",IF(Orders!J112="","Unknown",IF(Orders!J112&lt;=3,"Fast",IF(Orders!J112&lt;=6,"Standard","Slow"))))))</f>
        <v>Fast</v>
      </c>
      <c r="Y112" s="1" t="n">
        <f aca="false">IF(OR(Q112="Cancelled",Q112="Returned"),0,O112)</f>
        <v>156.55</v>
      </c>
    </row>
    <row r="113" customFormat="false" ht="15" hidden="false" customHeight="false" outlineLevel="0" collapsed="false">
      <c r="A113" s="6" t="str">
        <f aca="false">Orders!A113</f>
        <v>O000112</v>
      </c>
      <c r="B113" s="19" t="n">
        <f aca="false">Orders!B113</f>
        <v>45922</v>
      </c>
      <c r="C113" s="6" t="str">
        <f aca="false">Orders!C113</f>
        <v>C0038</v>
      </c>
      <c r="D113" s="6" t="str">
        <f aca="false">Orders!D113</f>
        <v>P1022</v>
      </c>
      <c r="E113" s="6" t="str">
        <f aca="false">INDEX(Products!$B$2:$B$101,MATCH(D113,Products!$A$2:$A$101,0))</f>
        <v>Wallet</v>
      </c>
      <c r="F113" s="1" t="str">
        <f aca="false">INDEX(Products!$C$2:$C$101,MATCH(D113,Products!$A$2:$A$101,0))</f>
        <v>Fashion</v>
      </c>
      <c r="G113" s="6" t="n">
        <f aca="false">Orders!E113</f>
        <v>2</v>
      </c>
      <c r="H113" s="16" t="n">
        <f aca="false">INDEX(Products!$D$2:$D$101,MATCH(D113,Products!$A$2:$A$101,0))</f>
        <v>499</v>
      </c>
      <c r="I113" s="16" t="n">
        <f aca="false">INDEX(Products!$E$2:$E$101,MATCH(D113,Products!$A$2:$A$101,0))</f>
        <v>200</v>
      </c>
      <c r="J113" s="20" t="n">
        <f aca="false">Orders!F113</f>
        <v>0</v>
      </c>
      <c r="K113" s="6" t="n">
        <f aca="false">G113*H113</f>
        <v>998</v>
      </c>
      <c r="L113" s="6" t="n">
        <f aca="false">K113*J113</f>
        <v>0</v>
      </c>
      <c r="M113" s="6" t="n">
        <f aca="false">K113-L113</f>
        <v>998</v>
      </c>
      <c r="N113" s="6" t="n">
        <f aca="false">G113*I113</f>
        <v>400</v>
      </c>
      <c r="O113" s="6" t="n">
        <f aca="false">M113-N113</f>
        <v>598</v>
      </c>
      <c r="P113" s="21" t="n">
        <f aca="false">IFERROR(O113/M113,0)</f>
        <v>0.599198396793587</v>
      </c>
      <c r="Q113" s="6" t="str">
        <f aca="false">Orders!H113</f>
        <v>Delivered</v>
      </c>
      <c r="R113" s="1" t="str">
        <f aca="false">INDEX(Customers!$C$2:$C$301,MATCH(C113,Customers!$A$2:$A$301,0))</f>
        <v>Nagpur</v>
      </c>
      <c r="S113" s="1" t="str">
        <f aca="false">INDEX(Customers!$E$2:$E$301,MATCH(C113,Customers!$A$2:$A$301,0))</f>
        <v>Returning</v>
      </c>
      <c r="T113" s="6" t="str">
        <f aca="false">Orders!I113</f>
        <v>Website</v>
      </c>
      <c r="U113" s="1" t="str">
        <f aca="false">IF(Q113="Delivered","Completed",IF(Q113="Cancelled","Cancelled",IF(Q113="Returned","Returned","In Progress")))</f>
        <v>Completed</v>
      </c>
      <c r="V113" s="1" t="str">
        <f aca="false">IF(M113&gt;=10000,"High Value",IF(M113&gt;=5000,"Medium Value","Low Value"))</f>
        <v>Low Value</v>
      </c>
      <c r="W113" s="1" t="str">
        <f aca="false">IF(O113&gt;0,"Profitable",IF(O113=0,"Break-even","Loss"))</f>
        <v>Profitable</v>
      </c>
      <c r="X113" s="1" t="str">
        <f aca="false">IF(Q113="Cancelled","Not Applicable",IF(Q113="Processing","Pending",IF(B113="","Unknown",IF(Orders!J113="","Unknown",IF(Orders!J113&lt;=3,"Fast",IF(Orders!J113&lt;=6,"Standard","Slow"))))))</f>
        <v>Standard</v>
      </c>
      <c r="Y113" s="1" t="n">
        <f aca="false">IF(OR(Q113="Cancelled",Q113="Returned"),0,O113)</f>
        <v>598</v>
      </c>
    </row>
    <row r="114" customFormat="false" ht="15" hidden="false" customHeight="false" outlineLevel="0" collapsed="false">
      <c r="A114" s="6" t="str">
        <f aca="false">Orders!A114</f>
        <v>O000113</v>
      </c>
      <c r="B114" s="19" t="n">
        <f aca="false">Orders!B114</f>
        <v>45659</v>
      </c>
      <c r="C114" s="6" t="str">
        <f aca="false">Orders!C114</f>
        <v>C0134</v>
      </c>
      <c r="D114" s="6" t="str">
        <f aca="false">Orders!D114</f>
        <v>P1025</v>
      </c>
      <c r="E114" s="6" t="str">
        <f aca="false">INDEX(Products!$B$2:$B$101,MATCH(D114,Products!$A$2:$A$101,0))</f>
        <v>Hoodie</v>
      </c>
      <c r="F114" s="1" t="str">
        <f aca="false">INDEX(Products!$C$2:$C$101,MATCH(D114,Products!$A$2:$A$101,0))</f>
        <v>Fashion</v>
      </c>
      <c r="G114" s="6" t="n">
        <f aca="false">Orders!E114</f>
        <v>1</v>
      </c>
      <c r="H114" s="16" t="n">
        <f aca="false">INDEX(Products!$D$2:$D$101,MATCH(D114,Products!$A$2:$A$101,0))</f>
        <v>1399</v>
      </c>
      <c r="I114" s="16" t="n">
        <f aca="false">INDEX(Products!$E$2:$E$101,MATCH(D114,Products!$A$2:$A$101,0))</f>
        <v>720</v>
      </c>
      <c r="J114" s="20" t="n">
        <f aca="false">Orders!F114</f>
        <v>0.1</v>
      </c>
      <c r="K114" s="6" t="n">
        <f aca="false">G114*H114</f>
        <v>1399</v>
      </c>
      <c r="L114" s="6" t="n">
        <f aca="false">K114*J114</f>
        <v>139.9</v>
      </c>
      <c r="M114" s="6" t="n">
        <f aca="false">K114-L114</f>
        <v>1259.1</v>
      </c>
      <c r="N114" s="6" t="n">
        <f aca="false">G114*I114</f>
        <v>720</v>
      </c>
      <c r="O114" s="6" t="n">
        <f aca="false">M114-N114</f>
        <v>539.1</v>
      </c>
      <c r="P114" s="21" t="n">
        <f aca="false">IFERROR(O114/M114,0)</f>
        <v>0.428162973552537</v>
      </c>
      <c r="Q114" s="6" t="str">
        <f aca="false">Orders!H114</f>
        <v>Cancelled</v>
      </c>
      <c r="R114" s="1" t="str">
        <f aca="false">INDEX(Customers!$C$2:$C$301,MATCH(C114,Customers!$A$2:$A$301,0))</f>
        <v>Indore</v>
      </c>
      <c r="S114" s="1" t="str">
        <f aca="false">INDEX(Customers!$E$2:$E$301,MATCH(C114,Customers!$A$2:$A$301,0))</f>
        <v>New</v>
      </c>
      <c r="T114" s="6" t="str">
        <f aca="false">Orders!I114</f>
        <v>Website</v>
      </c>
      <c r="U114" s="1" t="str">
        <f aca="false">IF(Q114="Delivered","Completed",IF(Q114="Cancelled","Cancelled",IF(Q114="Returned","Returned","In Progress")))</f>
        <v>Cancelled</v>
      </c>
      <c r="V114" s="1" t="str">
        <f aca="false">IF(M114&gt;=10000,"High Value",IF(M114&gt;=5000,"Medium Value","Low Value"))</f>
        <v>Low Value</v>
      </c>
      <c r="W114" s="1" t="str">
        <f aca="false">IF(O114&gt;0,"Profitable",IF(O114=0,"Break-even","Loss"))</f>
        <v>Profitable</v>
      </c>
      <c r="X114" s="1" t="str">
        <f aca="false">IF(Q114="Cancelled","Not Applicable",IF(Q114="Processing","Pending",IF(B114="","Unknown",IF(Orders!J114="","Unknown",IF(Orders!J114&lt;=3,"Fast",IF(Orders!J114&lt;=6,"Standard","Slow"))))))</f>
        <v>Not Applicable</v>
      </c>
      <c r="Y114" s="1" t="n">
        <f aca="false">IF(OR(Q114="Cancelled",Q114="Returned"),0,O114)</f>
        <v>0</v>
      </c>
    </row>
    <row r="115" customFormat="false" ht="15" hidden="false" customHeight="false" outlineLevel="0" collapsed="false">
      <c r="A115" s="6" t="str">
        <f aca="false">Orders!A115</f>
        <v>O000114</v>
      </c>
      <c r="B115" s="19" t="n">
        <f aca="false">Orders!B115</f>
        <v>45658</v>
      </c>
      <c r="C115" s="6" t="str">
        <f aca="false">Orders!C115</f>
        <v>C0102</v>
      </c>
      <c r="D115" s="6" t="str">
        <f aca="false">Orders!D115</f>
        <v>P1029</v>
      </c>
      <c r="E115" s="6" t="str">
        <f aca="false">INDEX(Products!$B$2:$B$101,MATCH(D115,Products!$A$2:$A$101,0))</f>
        <v>Scarf</v>
      </c>
      <c r="F115" s="1" t="str">
        <f aca="false">INDEX(Products!$C$2:$C$101,MATCH(D115,Products!$A$2:$A$101,0))</f>
        <v>Fashion</v>
      </c>
      <c r="G115" s="6" t="n">
        <f aca="false">Orders!E115</f>
        <v>1</v>
      </c>
      <c r="H115" s="16" t="n">
        <f aca="false">INDEX(Products!$D$2:$D$101,MATCH(D115,Products!$A$2:$A$101,0))</f>
        <v>299</v>
      </c>
      <c r="I115" s="16" t="n">
        <f aca="false">INDEX(Products!$E$2:$E$101,MATCH(D115,Products!$A$2:$A$101,0))</f>
        <v>100</v>
      </c>
      <c r="J115" s="20" t="n">
        <f aca="false">Orders!F115</f>
        <v>0.05</v>
      </c>
      <c r="K115" s="6" t="n">
        <f aca="false">G115*H115</f>
        <v>299</v>
      </c>
      <c r="L115" s="6" t="n">
        <f aca="false">K115*J115</f>
        <v>14.95</v>
      </c>
      <c r="M115" s="6" t="n">
        <f aca="false">K115-L115</f>
        <v>284.05</v>
      </c>
      <c r="N115" s="6" t="n">
        <f aca="false">G115*I115</f>
        <v>100</v>
      </c>
      <c r="O115" s="6" t="n">
        <f aca="false">M115-N115</f>
        <v>184.05</v>
      </c>
      <c r="P115" s="21" t="n">
        <f aca="false">IFERROR(O115/M115,0)</f>
        <v>0.647949304699877</v>
      </c>
      <c r="Q115" s="6" t="str">
        <f aca="false">Orders!H115</f>
        <v>Delivered</v>
      </c>
      <c r="R115" s="1" t="str">
        <f aca="false">INDEX(Customers!$C$2:$C$301,MATCH(C115,Customers!$A$2:$A$301,0))</f>
        <v>Mumbai</v>
      </c>
      <c r="S115" s="1" t="str">
        <f aca="false">INDEX(Customers!$E$2:$E$301,MATCH(C115,Customers!$A$2:$A$301,0))</f>
        <v>Returning</v>
      </c>
      <c r="T115" s="6" t="str">
        <f aca="false">Orders!I115</f>
        <v>Mobile App</v>
      </c>
      <c r="U115" s="1" t="str">
        <f aca="false">IF(Q115="Delivered","Completed",IF(Q115="Cancelled","Cancelled",IF(Q115="Returned","Returned","In Progress")))</f>
        <v>Completed</v>
      </c>
      <c r="V115" s="1" t="str">
        <f aca="false">IF(M115&gt;=10000,"High Value",IF(M115&gt;=5000,"Medium Value","Low Value"))</f>
        <v>Low Value</v>
      </c>
      <c r="W115" s="1" t="str">
        <f aca="false">IF(O115&gt;0,"Profitable",IF(O115=0,"Break-even","Loss"))</f>
        <v>Profitable</v>
      </c>
      <c r="X115" s="1" t="str">
        <f aca="false">IF(Q115="Cancelled","Not Applicable",IF(Q115="Processing","Pending",IF(B115="","Unknown",IF(Orders!J115="","Unknown",IF(Orders!J115&lt;=3,"Fast",IF(Orders!J115&lt;=6,"Standard","Slow"))))))</f>
        <v>Fast</v>
      </c>
      <c r="Y115" s="1" t="n">
        <f aca="false">IF(OR(Q115="Cancelled",Q115="Returned"),0,O115)</f>
        <v>184.05</v>
      </c>
    </row>
    <row r="116" customFormat="false" ht="23.85" hidden="false" customHeight="false" outlineLevel="0" collapsed="false">
      <c r="A116" s="6" t="str">
        <f aca="false">Orders!A116</f>
        <v>O000115</v>
      </c>
      <c r="B116" s="19" t="n">
        <f aca="false">Orders!B116</f>
        <v>45916</v>
      </c>
      <c r="C116" s="6" t="str">
        <f aca="false">Orders!C116</f>
        <v>C0278</v>
      </c>
      <c r="D116" s="6" t="str">
        <f aca="false">Orders!D116</f>
        <v>P1069</v>
      </c>
      <c r="E116" s="6" t="str">
        <f aca="false">INDEX(Products!$B$2:$B$101,MATCH(D116,Products!$A$2:$A$101,0))</f>
        <v>Sports Duffel Bag</v>
      </c>
      <c r="F116" s="1" t="str">
        <f aca="false">INDEX(Products!$C$2:$C$101,MATCH(D116,Products!$A$2:$A$101,0))</f>
        <v>Sports &amp; Outdoors</v>
      </c>
      <c r="G116" s="6" t="n">
        <f aca="false">Orders!E116</f>
        <v>2</v>
      </c>
      <c r="H116" s="16" t="n">
        <f aca="false">INDEX(Products!$D$2:$D$101,MATCH(D116,Products!$A$2:$A$101,0))</f>
        <v>999</v>
      </c>
      <c r="I116" s="16" t="n">
        <f aca="false">INDEX(Products!$E$2:$E$101,MATCH(D116,Products!$A$2:$A$101,0))</f>
        <v>500</v>
      </c>
      <c r="J116" s="20" t="n">
        <f aca="false">Orders!F116</f>
        <v>0.25</v>
      </c>
      <c r="K116" s="6" t="n">
        <f aca="false">G116*H116</f>
        <v>1998</v>
      </c>
      <c r="L116" s="6" t="n">
        <f aca="false">K116*J116</f>
        <v>499.5</v>
      </c>
      <c r="M116" s="6" t="n">
        <f aca="false">K116-L116</f>
        <v>1498.5</v>
      </c>
      <c r="N116" s="6" t="n">
        <f aca="false">G116*I116</f>
        <v>1000</v>
      </c>
      <c r="O116" s="6" t="n">
        <f aca="false">M116-N116</f>
        <v>498.5</v>
      </c>
      <c r="P116" s="21" t="n">
        <f aca="false">IFERROR(O116/M116,0)</f>
        <v>0.332665999332666</v>
      </c>
      <c r="Q116" s="6" t="str">
        <f aca="false">Orders!H116</f>
        <v>Delivered</v>
      </c>
      <c r="R116" s="1" t="str">
        <f aca="false">INDEX(Customers!$C$2:$C$301,MATCH(C116,Customers!$A$2:$A$301,0))</f>
        <v>Nagpur</v>
      </c>
      <c r="S116" s="1" t="str">
        <f aca="false">INDEX(Customers!$E$2:$E$301,MATCH(C116,Customers!$A$2:$A$301,0))</f>
        <v>Returning</v>
      </c>
      <c r="T116" s="6" t="str">
        <f aca="false">Orders!I116</f>
        <v>Marketplace</v>
      </c>
      <c r="U116" s="1" t="str">
        <f aca="false">IF(Q116="Delivered","Completed",IF(Q116="Cancelled","Cancelled",IF(Q116="Returned","Returned","In Progress")))</f>
        <v>Completed</v>
      </c>
      <c r="V116" s="1" t="str">
        <f aca="false">IF(M116&gt;=10000,"High Value",IF(M116&gt;=5000,"Medium Value","Low Value"))</f>
        <v>Low Value</v>
      </c>
      <c r="W116" s="1" t="str">
        <f aca="false">IF(O116&gt;0,"Profitable",IF(O116=0,"Break-even","Loss"))</f>
        <v>Profitable</v>
      </c>
      <c r="X116" s="1" t="str">
        <f aca="false">IF(Q116="Cancelled","Not Applicable",IF(Q116="Processing","Pending",IF(B116="","Unknown",IF(Orders!J116="","Unknown",IF(Orders!J116&lt;=3,"Fast",IF(Orders!J116&lt;=6,"Standard","Slow"))))))</f>
        <v>Slow</v>
      </c>
      <c r="Y116" s="1" t="n">
        <f aca="false">IF(OR(Q116="Cancelled",Q116="Returned"),0,O116)</f>
        <v>498.5</v>
      </c>
    </row>
    <row r="117" customFormat="false" ht="23.85" hidden="false" customHeight="false" outlineLevel="0" collapsed="false">
      <c r="A117" s="6" t="str">
        <f aca="false">Orders!A117</f>
        <v>O000116</v>
      </c>
      <c r="B117" s="19" t="n">
        <f aca="false">Orders!B117</f>
        <v>45664</v>
      </c>
      <c r="C117" s="6" t="str">
        <f aca="false">Orders!C117</f>
        <v>C0175</v>
      </c>
      <c r="D117" s="6" t="str">
        <f aca="false">Orders!D117</f>
        <v>P1065</v>
      </c>
      <c r="E117" s="6" t="str">
        <f aca="false">INDEX(Products!$B$2:$B$101,MATCH(D117,Products!$A$2:$A$101,0))</f>
        <v>Badminton Racket</v>
      </c>
      <c r="F117" s="1" t="str">
        <f aca="false">INDEX(Products!$C$2:$C$101,MATCH(D117,Products!$A$2:$A$101,0))</f>
        <v>Sports &amp; Outdoors</v>
      </c>
      <c r="G117" s="6" t="n">
        <f aca="false">Orders!E117</f>
        <v>1</v>
      </c>
      <c r="H117" s="16" t="n">
        <f aca="false">INDEX(Products!$D$2:$D$101,MATCH(D117,Products!$A$2:$A$101,0))</f>
        <v>999</v>
      </c>
      <c r="I117" s="16" t="n">
        <f aca="false">INDEX(Products!$E$2:$E$101,MATCH(D117,Products!$A$2:$A$101,0))</f>
        <v>520</v>
      </c>
      <c r="J117" s="20" t="n">
        <f aca="false">Orders!F117</f>
        <v>0.25</v>
      </c>
      <c r="K117" s="6" t="n">
        <f aca="false">G117*H117</f>
        <v>999</v>
      </c>
      <c r="L117" s="6" t="n">
        <f aca="false">K117*J117</f>
        <v>249.75</v>
      </c>
      <c r="M117" s="6" t="n">
        <f aca="false">K117-L117</f>
        <v>749.25</v>
      </c>
      <c r="N117" s="6" t="n">
        <f aca="false">G117*I117</f>
        <v>520</v>
      </c>
      <c r="O117" s="6" t="n">
        <f aca="false">M117-N117</f>
        <v>229.25</v>
      </c>
      <c r="P117" s="21" t="n">
        <f aca="false">IFERROR(O117/M117,0)</f>
        <v>0.305972639305973</v>
      </c>
      <c r="Q117" s="6" t="str">
        <f aca="false">Orders!H117</f>
        <v>Delivered</v>
      </c>
      <c r="R117" s="1" t="str">
        <f aca="false">INDEX(Customers!$C$2:$C$301,MATCH(C117,Customers!$A$2:$A$301,0))</f>
        <v>Bhopal</v>
      </c>
      <c r="S117" s="1" t="str">
        <f aca="false">INDEX(Customers!$E$2:$E$301,MATCH(C117,Customers!$A$2:$A$301,0))</f>
        <v>Returning</v>
      </c>
      <c r="T117" s="6" t="str">
        <f aca="false">Orders!I117</f>
        <v>Website</v>
      </c>
      <c r="U117" s="1" t="str">
        <f aca="false">IF(Q117="Delivered","Completed",IF(Q117="Cancelled","Cancelled",IF(Q117="Returned","Returned","In Progress")))</f>
        <v>Completed</v>
      </c>
      <c r="V117" s="1" t="str">
        <f aca="false">IF(M117&gt;=10000,"High Value",IF(M117&gt;=5000,"Medium Value","Low Value"))</f>
        <v>Low Value</v>
      </c>
      <c r="W117" s="1" t="str">
        <f aca="false">IF(O117&gt;0,"Profitable",IF(O117=0,"Break-even","Loss"))</f>
        <v>Profitable</v>
      </c>
      <c r="X117" s="1" t="str">
        <f aca="false">IF(Q117="Cancelled","Not Applicable",IF(Q117="Processing","Pending",IF(B117="","Unknown",IF(Orders!J117="","Unknown",IF(Orders!J117&lt;=3,"Fast",IF(Orders!J117&lt;=6,"Standard","Slow"))))))</f>
        <v>Fast</v>
      </c>
      <c r="Y117" s="1" t="n">
        <f aca="false">IF(OR(Q117="Cancelled",Q117="Returned"),0,O117)</f>
        <v>229.25</v>
      </c>
    </row>
    <row r="118" customFormat="false" ht="15" hidden="false" customHeight="false" outlineLevel="0" collapsed="false">
      <c r="A118" s="6" t="str">
        <f aca="false">Orders!A118</f>
        <v>O000117</v>
      </c>
      <c r="B118" s="19" t="n">
        <f aca="false">Orders!B118</f>
        <v>45720</v>
      </c>
      <c r="C118" s="6" t="str">
        <f aca="false">Orders!C118</f>
        <v>C0085</v>
      </c>
      <c r="D118" s="6" t="str">
        <f aca="false">Orders!D118</f>
        <v>P1034</v>
      </c>
      <c r="E118" s="6" t="str">
        <f aca="false">INDEX(Products!$B$2:$B$101,MATCH(D118,Products!$A$2:$A$101,0))</f>
        <v>Table Lamp</v>
      </c>
      <c r="F118" s="1" t="str">
        <f aca="false">INDEX(Products!$C$2:$C$101,MATCH(D118,Products!$A$2:$A$101,0))</f>
        <v>Home &amp; Kitchen</v>
      </c>
      <c r="G118" s="6" t="n">
        <f aca="false">Orders!E118</f>
        <v>1</v>
      </c>
      <c r="H118" s="16" t="n">
        <f aca="false">INDEX(Products!$D$2:$D$101,MATCH(D118,Products!$A$2:$A$101,0))</f>
        <v>899</v>
      </c>
      <c r="I118" s="16" t="n">
        <f aca="false">INDEX(Products!$E$2:$E$101,MATCH(D118,Products!$A$2:$A$101,0))</f>
        <v>420</v>
      </c>
      <c r="J118" s="20" t="n">
        <f aca="false">Orders!F118</f>
        <v>0.25</v>
      </c>
      <c r="K118" s="6" t="n">
        <f aca="false">G118*H118</f>
        <v>899</v>
      </c>
      <c r="L118" s="6" t="n">
        <f aca="false">K118*J118</f>
        <v>224.75</v>
      </c>
      <c r="M118" s="6" t="n">
        <f aca="false">K118-L118</f>
        <v>674.25</v>
      </c>
      <c r="N118" s="6" t="n">
        <f aca="false">G118*I118</f>
        <v>420</v>
      </c>
      <c r="O118" s="6" t="n">
        <f aca="false">M118-N118</f>
        <v>254.25</v>
      </c>
      <c r="P118" s="21" t="n">
        <f aca="false">IFERROR(O118/M118,0)</f>
        <v>0.377085650723026</v>
      </c>
      <c r="Q118" s="6" t="str">
        <f aca="false">Orders!H118</f>
        <v>Shipped</v>
      </c>
      <c r="R118" s="1" t="str">
        <f aca="false">INDEX(Customers!$C$2:$C$301,MATCH(C118,Customers!$A$2:$A$301,0))</f>
        <v>Chennai</v>
      </c>
      <c r="S118" s="1" t="str">
        <f aca="false">INDEX(Customers!$E$2:$E$301,MATCH(C118,Customers!$A$2:$A$301,0))</f>
        <v>VIP</v>
      </c>
      <c r="T118" s="6" t="str">
        <f aca="false">Orders!I118</f>
        <v>Mobile App</v>
      </c>
      <c r="U118" s="1" t="str">
        <f aca="false">IF(Q118="Delivered","Completed",IF(Q118="Cancelled","Cancelled",IF(Q118="Returned","Returned","In Progress")))</f>
        <v>In Progress</v>
      </c>
      <c r="V118" s="1" t="str">
        <f aca="false">IF(M118&gt;=10000,"High Value",IF(M118&gt;=5000,"Medium Value","Low Value"))</f>
        <v>Low Value</v>
      </c>
      <c r="W118" s="1" t="str">
        <f aca="false">IF(O118&gt;0,"Profitable",IF(O118=0,"Break-even","Loss"))</f>
        <v>Profitable</v>
      </c>
      <c r="X118" s="1" t="str">
        <f aca="false">IF(Q118="Cancelled","Not Applicable",IF(Q118="Processing","Pending",IF(B118="","Unknown",IF(Orders!J118="","Unknown",IF(Orders!J118&lt;=3,"Fast",IF(Orders!J118&lt;=6,"Standard","Slow"))))))</f>
        <v>Standard</v>
      </c>
      <c r="Y118" s="1" t="n">
        <f aca="false">IF(OR(Q118="Cancelled",Q118="Returned"),0,O118)</f>
        <v>254.25</v>
      </c>
    </row>
    <row r="119" customFormat="false" ht="23.85" hidden="false" customHeight="false" outlineLevel="0" collapsed="false">
      <c r="A119" s="6" t="str">
        <f aca="false">Orders!A119</f>
        <v>O000118</v>
      </c>
      <c r="B119" s="19" t="n">
        <f aca="false">Orders!B119</f>
        <v>45758</v>
      </c>
      <c r="C119" s="6" t="str">
        <f aca="false">Orders!C119</f>
        <v>C0003</v>
      </c>
      <c r="D119" s="6" t="str">
        <f aca="false">Orders!D119</f>
        <v>P1070</v>
      </c>
      <c r="E119" s="6" t="str">
        <f aca="false">INDEX(Products!$B$2:$B$101,MATCH(D119,Products!$A$2:$A$101,0))</f>
        <v>Knee Support Pair</v>
      </c>
      <c r="F119" s="1" t="str">
        <f aca="false">INDEX(Products!$C$2:$C$101,MATCH(D119,Products!$A$2:$A$101,0))</f>
        <v>Sports &amp; Outdoors</v>
      </c>
      <c r="G119" s="6" t="n">
        <f aca="false">Orders!E119</f>
        <v>1</v>
      </c>
      <c r="H119" s="16" t="n">
        <f aca="false">INDEX(Products!$D$2:$D$101,MATCH(D119,Products!$A$2:$A$101,0))</f>
        <v>449</v>
      </c>
      <c r="I119" s="16" t="n">
        <f aca="false">INDEX(Products!$E$2:$E$101,MATCH(D119,Products!$A$2:$A$101,0))</f>
        <v>180</v>
      </c>
      <c r="J119" s="20" t="n">
        <f aca="false">Orders!F119</f>
        <v>0.15</v>
      </c>
      <c r="K119" s="6" t="n">
        <f aca="false">G119*H119</f>
        <v>449</v>
      </c>
      <c r="L119" s="6" t="n">
        <f aca="false">K119*J119</f>
        <v>67.35</v>
      </c>
      <c r="M119" s="6" t="n">
        <f aca="false">K119-L119</f>
        <v>381.65</v>
      </c>
      <c r="N119" s="6" t="n">
        <f aca="false">G119*I119</f>
        <v>180</v>
      </c>
      <c r="O119" s="6" t="n">
        <f aca="false">M119-N119</f>
        <v>201.65</v>
      </c>
      <c r="P119" s="21" t="n">
        <f aca="false">IFERROR(O119/M119,0)</f>
        <v>0.528363684003668</v>
      </c>
      <c r="Q119" s="6" t="str">
        <f aca="false">Orders!H119</f>
        <v>Delivered</v>
      </c>
      <c r="R119" s="1" t="str">
        <f aca="false">INDEX(Customers!$C$2:$C$301,MATCH(C119,Customers!$A$2:$A$301,0))</f>
        <v>Bengaluru</v>
      </c>
      <c r="S119" s="1" t="str">
        <f aca="false">INDEX(Customers!$E$2:$E$301,MATCH(C119,Customers!$A$2:$A$301,0))</f>
        <v>Returning</v>
      </c>
      <c r="T119" s="6" t="str">
        <f aca="false">Orders!I119</f>
        <v>Mobile App</v>
      </c>
      <c r="U119" s="1" t="str">
        <f aca="false">IF(Q119="Delivered","Completed",IF(Q119="Cancelled","Cancelled",IF(Q119="Returned","Returned","In Progress")))</f>
        <v>Completed</v>
      </c>
      <c r="V119" s="1" t="str">
        <f aca="false">IF(M119&gt;=10000,"High Value",IF(M119&gt;=5000,"Medium Value","Low Value"))</f>
        <v>Low Value</v>
      </c>
      <c r="W119" s="1" t="str">
        <f aca="false">IF(O119&gt;0,"Profitable",IF(O119=0,"Break-even","Loss"))</f>
        <v>Profitable</v>
      </c>
      <c r="X119" s="1" t="str">
        <f aca="false">IF(Q119="Cancelled","Not Applicable",IF(Q119="Processing","Pending",IF(B119="","Unknown",IF(Orders!J119="","Unknown",IF(Orders!J119&lt;=3,"Fast",IF(Orders!J119&lt;=6,"Standard","Slow"))))))</f>
        <v>Standard</v>
      </c>
      <c r="Y119" s="1" t="n">
        <f aca="false">IF(OR(Q119="Cancelled",Q119="Returned"),0,O119)</f>
        <v>201.65</v>
      </c>
    </row>
    <row r="120" customFormat="false" ht="15" hidden="false" customHeight="false" outlineLevel="0" collapsed="false">
      <c r="A120" s="6" t="str">
        <f aca="false">Orders!A120</f>
        <v>O000119</v>
      </c>
      <c r="B120" s="19" t="n">
        <f aca="false">Orders!B120</f>
        <v>45884</v>
      </c>
      <c r="C120" s="6" t="str">
        <f aca="false">Orders!C120</f>
        <v>C0168</v>
      </c>
      <c r="D120" s="6" t="str">
        <f aca="false">Orders!D120</f>
        <v>P1100</v>
      </c>
      <c r="E120" s="6" t="str">
        <f aca="false">INDEX(Products!$B$2:$B$101,MATCH(D120,Products!$A$2:$A$101,0))</f>
        <v>Coffee Maker</v>
      </c>
      <c r="F120" s="1" t="str">
        <f aca="false">INDEX(Products!$C$2:$C$101,MATCH(D120,Products!$A$2:$A$101,0))</f>
        <v>Appliances</v>
      </c>
      <c r="G120" s="6" t="n">
        <f aca="false">Orders!E120</f>
        <v>1</v>
      </c>
      <c r="H120" s="16" t="n">
        <f aca="false">INDEX(Products!$D$2:$D$101,MATCH(D120,Products!$A$2:$A$101,0))</f>
        <v>2499</v>
      </c>
      <c r="I120" s="16" t="n">
        <f aca="false">INDEX(Products!$E$2:$E$101,MATCH(D120,Products!$A$2:$A$101,0))</f>
        <v>1600</v>
      </c>
      <c r="J120" s="20" t="n">
        <f aca="false">Orders!F120</f>
        <v>0.25</v>
      </c>
      <c r="K120" s="6" t="n">
        <f aca="false">G120*H120</f>
        <v>2499</v>
      </c>
      <c r="L120" s="6" t="n">
        <f aca="false">K120*J120</f>
        <v>624.75</v>
      </c>
      <c r="M120" s="6" t="n">
        <f aca="false">K120-L120</f>
        <v>1874.25</v>
      </c>
      <c r="N120" s="6" t="n">
        <f aca="false">G120*I120</f>
        <v>1600</v>
      </c>
      <c r="O120" s="6" t="n">
        <f aca="false">M120-N120</f>
        <v>274.25</v>
      </c>
      <c r="P120" s="21" t="n">
        <f aca="false">IFERROR(O120/M120,0)</f>
        <v>0.146325196745365</v>
      </c>
      <c r="Q120" s="6" t="str">
        <f aca="false">Orders!H120</f>
        <v>Cancelled</v>
      </c>
      <c r="R120" s="1" t="str">
        <f aca="false">INDEX(Customers!$C$2:$C$301,MATCH(C120,Customers!$A$2:$A$301,0))</f>
        <v>Jaipur</v>
      </c>
      <c r="S120" s="1" t="str">
        <f aca="false">INDEX(Customers!$E$2:$E$301,MATCH(C120,Customers!$A$2:$A$301,0))</f>
        <v>Returning</v>
      </c>
      <c r="T120" s="6" t="str">
        <f aca="false">Orders!I120</f>
        <v>Website</v>
      </c>
      <c r="U120" s="1" t="str">
        <f aca="false">IF(Q120="Delivered","Completed",IF(Q120="Cancelled","Cancelled",IF(Q120="Returned","Returned","In Progress")))</f>
        <v>Cancelled</v>
      </c>
      <c r="V120" s="1" t="str">
        <f aca="false">IF(M120&gt;=10000,"High Value",IF(M120&gt;=5000,"Medium Value","Low Value"))</f>
        <v>Low Value</v>
      </c>
      <c r="W120" s="1" t="str">
        <f aca="false">IF(O120&gt;0,"Profitable",IF(O120=0,"Break-even","Loss"))</f>
        <v>Profitable</v>
      </c>
      <c r="X120" s="1" t="str">
        <f aca="false">IF(Q120="Cancelled","Not Applicable",IF(Q120="Processing","Pending",IF(B120="","Unknown",IF(Orders!J120="","Unknown",IF(Orders!J120&lt;=3,"Fast",IF(Orders!J120&lt;=6,"Standard","Slow"))))))</f>
        <v>Not Applicable</v>
      </c>
      <c r="Y120" s="1" t="n">
        <f aca="false">IF(OR(Q120="Cancelled",Q120="Returned"),0,O120)</f>
        <v>0</v>
      </c>
    </row>
    <row r="121" customFormat="false" ht="15" hidden="false" customHeight="false" outlineLevel="0" collapsed="false">
      <c r="A121" s="6" t="str">
        <f aca="false">Orders!A121</f>
        <v>O000120</v>
      </c>
      <c r="B121" s="19" t="n">
        <f aca="false">Orders!B121</f>
        <v>45876</v>
      </c>
      <c r="C121" s="6" t="str">
        <f aca="false">Orders!C121</f>
        <v>C0249</v>
      </c>
      <c r="D121" s="6" t="str">
        <f aca="false">Orders!D121</f>
        <v>P1089</v>
      </c>
      <c r="E121" s="6" t="str">
        <f aca="false">INDEX(Products!$B$2:$B$101,MATCH(D121,Products!$A$2:$A$101,0))</f>
        <v>Mixer Grinder</v>
      </c>
      <c r="F121" s="1" t="str">
        <f aca="false">INDEX(Products!$C$2:$C$101,MATCH(D121,Products!$A$2:$A$101,0))</f>
        <v>Appliances</v>
      </c>
      <c r="G121" s="6" t="n">
        <f aca="false">Orders!E121</f>
        <v>2</v>
      </c>
      <c r="H121" s="16" t="n">
        <f aca="false">INDEX(Products!$D$2:$D$101,MATCH(D121,Products!$A$2:$A$101,0))</f>
        <v>2499</v>
      </c>
      <c r="I121" s="16" t="n">
        <f aca="false">INDEX(Products!$E$2:$E$101,MATCH(D121,Products!$A$2:$A$101,0))</f>
        <v>1550</v>
      </c>
      <c r="J121" s="20" t="n">
        <f aca="false">Orders!F121</f>
        <v>0.1</v>
      </c>
      <c r="K121" s="6" t="n">
        <f aca="false">G121*H121</f>
        <v>4998</v>
      </c>
      <c r="L121" s="6" t="n">
        <f aca="false">K121*J121</f>
        <v>499.8</v>
      </c>
      <c r="M121" s="6" t="n">
        <f aca="false">K121-L121</f>
        <v>4498.2</v>
      </c>
      <c r="N121" s="6" t="n">
        <f aca="false">G121*I121</f>
        <v>3100</v>
      </c>
      <c r="O121" s="6" t="n">
        <f aca="false">M121-N121</f>
        <v>1398.2</v>
      </c>
      <c r="P121" s="21" t="n">
        <f aca="false">IFERROR(O121/M121,0)</f>
        <v>0.310835445289227</v>
      </c>
      <c r="Q121" s="6" t="str">
        <f aca="false">Orders!H121</f>
        <v>Cancelled</v>
      </c>
      <c r="R121" s="1" t="str">
        <f aca="false">INDEX(Customers!$C$2:$C$301,MATCH(C121,Customers!$A$2:$A$301,0))</f>
        <v>Ahmedabad</v>
      </c>
      <c r="S121" s="1" t="str">
        <f aca="false">INDEX(Customers!$E$2:$E$301,MATCH(C121,Customers!$A$2:$A$301,0))</f>
        <v>New</v>
      </c>
      <c r="T121" s="6" t="str">
        <f aca="false">Orders!I121</f>
        <v>Marketplace</v>
      </c>
      <c r="U121" s="1" t="str">
        <f aca="false">IF(Q121="Delivered","Completed",IF(Q121="Cancelled","Cancelled",IF(Q121="Returned","Returned","In Progress")))</f>
        <v>Cancelled</v>
      </c>
      <c r="V121" s="1" t="str">
        <f aca="false">IF(M121&gt;=10000,"High Value",IF(M121&gt;=5000,"Medium Value","Low Value"))</f>
        <v>Low Value</v>
      </c>
      <c r="W121" s="1" t="str">
        <f aca="false">IF(O121&gt;0,"Profitable",IF(O121=0,"Break-even","Loss"))</f>
        <v>Profitable</v>
      </c>
      <c r="X121" s="1" t="str">
        <f aca="false">IF(Q121="Cancelled","Not Applicable",IF(Q121="Processing","Pending",IF(B121="","Unknown",IF(Orders!J121="","Unknown",IF(Orders!J121&lt;=3,"Fast",IF(Orders!J121&lt;=6,"Standard","Slow"))))))</f>
        <v>Not Applicable</v>
      </c>
      <c r="Y121" s="1" t="n">
        <f aca="false">IF(OR(Q121="Cancelled",Q121="Returned"),0,O121)</f>
        <v>0</v>
      </c>
    </row>
    <row r="122" customFormat="false" ht="15" hidden="false" customHeight="false" outlineLevel="0" collapsed="false">
      <c r="A122" s="6" t="str">
        <f aca="false">Orders!A122</f>
        <v>O000121</v>
      </c>
      <c r="B122" s="19" t="n">
        <f aca="false">Orders!B122</f>
        <v>45931</v>
      </c>
      <c r="C122" s="6" t="str">
        <f aca="false">Orders!C122</f>
        <v>C0003</v>
      </c>
      <c r="D122" s="6" t="str">
        <f aca="false">Orders!D122</f>
        <v>P1063</v>
      </c>
      <c r="E122" s="6" t="str">
        <f aca="false">INDEX(Products!$B$2:$B$101,MATCH(D122,Products!$A$2:$A$101,0))</f>
        <v>Cricket Bat</v>
      </c>
      <c r="F122" s="1" t="str">
        <f aca="false">INDEX(Products!$C$2:$C$101,MATCH(D122,Products!$A$2:$A$101,0))</f>
        <v>Sports &amp; Outdoors</v>
      </c>
      <c r="G122" s="6" t="n">
        <f aca="false">Orders!E122</f>
        <v>2</v>
      </c>
      <c r="H122" s="16" t="n">
        <f aca="false">INDEX(Products!$D$2:$D$101,MATCH(D122,Products!$A$2:$A$101,0))</f>
        <v>1499</v>
      </c>
      <c r="I122" s="16" t="n">
        <f aca="false">INDEX(Products!$E$2:$E$101,MATCH(D122,Products!$A$2:$A$101,0))</f>
        <v>800</v>
      </c>
      <c r="J122" s="20" t="n">
        <f aca="false">Orders!F122</f>
        <v>0.1</v>
      </c>
      <c r="K122" s="6" t="n">
        <f aca="false">G122*H122</f>
        <v>2998</v>
      </c>
      <c r="L122" s="6" t="n">
        <f aca="false">K122*J122</f>
        <v>299.8</v>
      </c>
      <c r="M122" s="6" t="n">
        <f aca="false">K122-L122</f>
        <v>2698.2</v>
      </c>
      <c r="N122" s="6" t="n">
        <f aca="false">G122*I122</f>
        <v>1600</v>
      </c>
      <c r="O122" s="6" t="n">
        <f aca="false">M122-N122</f>
        <v>1098.2</v>
      </c>
      <c r="P122" s="21" t="n">
        <f aca="false">IFERROR(O122/M122,0)</f>
        <v>0.407012082128827</v>
      </c>
      <c r="Q122" s="6" t="str">
        <f aca="false">Orders!H122</f>
        <v>Shipped</v>
      </c>
      <c r="R122" s="1" t="str">
        <f aca="false">INDEX(Customers!$C$2:$C$301,MATCH(C122,Customers!$A$2:$A$301,0))</f>
        <v>Bengaluru</v>
      </c>
      <c r="S122" s="1" t="str">
        <f aca="false">INDEX(Customers!$E$2:$E$301,MATCH(C122,Customers!$A$2:$A$301,0))</f>
        <v>Returning</v>
      </c>
      <c r="T122" s="6" t="str">
        <f aca="false">Orders!I122</f>
        <v>Website</v>
      </c>
      <c r="U122" s="1" t="str">
        <f aca="false">IF(Q122="Delivered","Completed",IF(Q122="Cancelled","Cancelled",IF(Q122="Returned","Returned","In Progress")))</f>
        <v>In Progress</v>
      </c>
      <c r="V122" s="1" t="str">
        <f aca="false">IF(M122&gt;=10000,"High Value",IF(M122&gt;=5000,"Medium Value","Low Value"))</f>
        <v>Low Value</v>
      </c>
      <c r="W122" s="1" t="str">
        <f aca="false">IF(O122&gt;0,"Profitable",IF(O122=0,"Break-even","Loss"))</f>
        <v>Profitable</v>
      </c>
      <c r="X122" s="1" t="str">
        <f aca="false">IF(Q122="Cancelled","Not Applicable",IF(Q122="Processing","Pending",IF(B122="","Unknown",IF(Orders!J122="","Unknown",IF(Orders!J122&lt;=3,"Fast",IF(Orders!J122&lt;=6,"Standard","Slow"))))))</f>
        <v>Standard</v>
      </c>
      <c r="Y122" s="1" t="n">
        <f aca="false">IF(OR(Q122="Cancelled",Q122="Returned"),0,O122)</f>
        <v>1098.2</v>
      </c>
    </row>
    <row r="123" customFormat="false" ht="15" hidden="false" customHeight="false" outlineLevel="0" collapsed="false">
      <c r="A123" s="6" t="str">
        <f aca="false">Orders!A123</f>
        <v>O000122</v>
      </c>
      <c r="B123" s="19" t="n">
        <f aca="false">Orders!B123</f>
        <v>45705</v>
      </c>
      <c r="C123" s="6" t="str">
        <f aca="false">Orders!C123</f>
        <v>C0138</v>
      </c>
      <c r="D123" s="6" t="str">
        <f aca="false">Orders!D123</f>
        <v>P1050</v>
      </c>
      <c r="E123" s="6" t="str">
        <f aca="false">INDEX(Products!$B$2:$B$101,MATCH(D123,Products!$A$2:$A$101,0))</f>
        <v>Hair Serum</v>
      </c>
      <c r="F123" s="1" t="str">
        <f aca="false">INDEX(Products!$C$2:$C$101,MATCH(D123,Products!$A$2:$A$101,0))</f>
        <v>Beauty</v>
      </c>
      <c r="G123" s="6" t="n">
        <f aca="false">Orders!E123</f>
        <v>2</v>
      </c>
      <c r="H123" s="16" t="n">
        <f aca="false">INDEX(Products!$D$2:$D$101,MATCH(D123,Products!$A$2:$A$101,0))</f>
        <v>449</v>
      </c>
      <c r="I123" s="16" t="n">
        <f aca="false">INDEX(Products!$E$2:$E$101,MATCH(D123,Products!$A$2:$A$101,0))</f>
        <v>190</v>
      </c>
      <c r="J123" s="20" t="n">
        <f aca="false">Orders!F123</f>
        <v>0.1</v>
      </c>
      <c r="K123" s="6" t="n">
        <f aca="false">G123*H123</f>
        <v>898</v>
      </c>
      <c r="L123" s="6" t="n">
        <f aca="false">K123*J123</f>
        <v>89.8</v>
      </c>
      <c r="M123" s="6" t="n">
        <f aca="false">K123-L123</f>
        <v>808.2</v>
      </c>
      <c r="N123" s="6" t="n">
        <f aca="false">G123*I123</f>
        <v>380</v>
      </c>
      <c r="O123" s="6" t="n">
        <f aca="false">M123-N123</f>
        <v>428.2</v>
      </c>
      <c r="P123" s="21" t="n">
        <f aca="false">IFERROR(O123/M123,0)</f>
        <v>0.529819351645632</v>
      </c>
      <c r="Q123" s="6" t="str">
        <f aca="false">Orders!H123</f>
        <v>Delivered</v>
      </c>
      <c r="R123" s="1" t="str">
        <f aca="false">INDEX(Customers!$C$2:$C$301,MATCH(C123,Customers!$A$2:$A$301,0))</f>
        <v>Nagpur</v>
      </c>
      <c r="S123" s="1" t="str">
        <f aca="false">INDEX(Customers!$E$2:$E$301,MATCH(C123,Customers!$A$2:$A$301,0))</f>
        <v>Returning</v>
      </c>
      <c r="T123" s="6" t="str">
        <f aca="false">Orders!I123</f>
        <v>Marketplace</v>
      </c>
      <c r="U123" s="1" t="str">
        <f aca="false">IF(Q123="Delivered","Completed",IF(Q123="Cancelled","Cancelled",IF(Q123="Returned","Returned","In Progress")))</f>
        <v>Completed</v>
      </c>
      <c r="V123" s="1" t="str">
        <f aca="false">IF(M123&gt;=10000,"High Value",IF(M123&gt;=5000,"Medium Value","Low Value"))</f>
        <v>Low Value</v>
      </c>
      <c r="W123" s="1" t="str">
        <f aca="false">IF(O123&gt;0,"Profitable",IF(O123=0,"Break-even","Loss"))</f>
        <v>Profitable</v>
      </c>
      <c r="X123" s="1" t="str">
        <f aca="false">IF(Q123="Cancelled","Not Applicable",IF(Q123="Processing","Pending",IF(B123="","Unknown",IF(Orders!J123="","Unknown",IF(Orders!J123&lt;=3,"Fast",IF(Orders!J123&lt;=6,"Standard","Slow"))))))</f>
        <v>Fast</v>
      </c>
      <c r="Y123" s="1" t="n">
        <f aca="false">IF(OR(Q123="Cancelled",Q123="Returned"),0,O123)</f>
        <v>428.2</v>
      </c>
    </row>
    <row r="124" customFormat="false" ht="15" hidden="false" customHeight="false" outlineLevel="0" collapsed="false">
      <c r="A124" s="6" t="str">
        <f aca="false">Orders!A124</f>
        <v>O000123</v>
      </c>
      <c r="B124" s="19" t="n">
        <f aca="false">Orders!B124</f>
        <v>45844</v>
      </c>
      <c r="C124" s="6" t="str">
        <f aca="false">Orders!C124</f>
        <v>C0200</v>
      </c>
      <c r="D124" s="6" t="str">
        <f aca="false">Orders!D124</f>
        <v>P1079</v>
      </c>
      <c r="E124" s="6" t="str">
        <f aca="false">INDEX(Products!$B$2:$B$101,MATCH(D124,Products!$A$2:$A$101,0))</f>
        <v>Art Supply Kit</v>
      </c>
      <c r="F124" s="1" t="str">
        <f aca="false">INDEX(Products!$C$2:$C$101,MATCH(D124,Products!$A$2:$A$101,0))</f>
        <v>Books &amp; Stationery</v>
      </c>
      <c r="G124" s="6" t="n">
        <f aca="false">Orders!E124</f>
        <v>1</v>
      </c>
      <c r="H124" s="16" t="n">
        <f aca="false">INDEX(Products!$D$2:$D$101,MATCH(D124,Products!$A$2:$A$101,0))</f>
        <v>699</v>
      </c>
      <c r="I124" s="16" t="n">
        <f aca="false">INDEX(Products!$E$2:$E$101,MATCH(D124,Products!$A$2:$A$101,0))</f>
        <v>350</v>
      </c>
      <c r="J124" s="20" t="n">
        <f aca="false">Orders!F124</f>
        <v>0.15</v>
      </c>
      <c r="K124" s="6" t="n">
        <f aca="false">G124*H124</f>
        <v>699</v>
      </c>
      <c r="L124" s="6" t="n">
        <f aca="false">K124*J124</f>
        <v>104.85</v>
      </c>
      <c r="M124" s="6" t="n">
        <f aca="false">K124-L124</f>
        <v>594.15</v>
      </c>
      <c r="N124" s="6" t="n">
        <f aca="false">G124*I124</f>
        <v>350</v>
      </c>
      <c r="O124" s="6" t="n">
        <f aca="false">M124-N124</f>
        <v>244.15</v>
      </c>
      <c r="P124" s="21" t="n">
        <f aca="false">IFERROR(O124/M124,0)</f>
        <v>0.410923167550282</v>
      </c>
      <c r="Q124" s="6" t="str">
        <f aca="false">Orders!H124</f>
        <v>Shipped</v>
      </c>
      <c r="R124" s="1" t="str">
        <f aca="false">INDEX(Customers!$C$2:$C$301,MATCH(C124,Customers!$A$2:$A$301,0))</f>
        <v>Visakhapatnam</v>
      </c>
      <c r="S124" s="1" t="str">
        <f aca="false">INDEX(Customers!$E$2:$E$301,MATCH(C124,Customers!$A$2:$A$301,0))</f>
        <v>New</v>
      </c>
      <c r="T124" s="6" t="str">
        <f aca="false">Orders!I124</f>
        <v>Marketplace</v>
      </c>
      <c r="U124" s="1" t="str">
        <f aca="false">IF(Q124="Delivered","Completed",IF(Q124="Cancelled","Cancelled",IF(Q124="Returned","Returned","In Progress")))</f>
        <v>In Progress</v>
      </c>
      <c r="V124" s="1" t="str">
        <f aca="false">IF(M124&gt;=10000,"High Value",IF(M124&gt;=5000,"Medium Value","Low Value"))</f>
        <v>Low Value</v>
      </c>
      <c r="W124" s="1" t="str">
        <f aca="false">IF(O124&gt;0,"Profitable",IF(O124=0,"Break-even","Loss"))</f>
        <v>Profitable</v>
      </c>
      <c r="X124" s="1" t="str">
        <f aca="false">IF(Q124="Cancelled","Not Applicable",IF(Q124="Processing","Pending",IF(B124="","Unknown",IF(Orders!J124="","Unknown",IF(Orders!J124&lt;=3,"Fast",IF(Orders!J124&lt;=6,"Standard","Slow"))))))</f>
        <v>Standard</v>
      </c>
      <c r="Y124" s="1" t="n">
        <f aca="false">IF(OR(Q124="Cancelled",Q124="Returned"),0,O124)</f>
        <v>244.15</v>
      </c>
    </row>
    <row r="125" customFormat="false" ht="15" hidden="false" customHeight="false" outlineLevel="0" collapsed="false">
      <c r="A125" s="6" t="str">
        <f aca="false">Orders!A125</f>
        <v>O000124</v>
      </c>
      <c r="B125" s="19" t="n">
        <f aca="false">Orders!B125</f>
        <v>45710</v>
      </c>
      <c r="C125" s="6" t="str">
        <f aca="false">Orders!C125</f>
        <v>C0260</v>
      </c>
      <c r="D125" s="6" t="str">
        <f aca="false">Orders!D125</f>
        <v>P1026</v>
      </c>
      <c r="E125" s="6" t="str">
        <f aca="false">INDEX(Products!$B$2:$B$101,MATCH(D125,Products!$A$2:$A$101,0))</f>
        <v>Sunglasses</v>
      </c>
      <c r="F125" s="1" t="str">
        <f aca="false">INDEX(Products!$C$2:$C$101,MATCH(D125,Products!$A$2:$A$101,0))</f>
        <v>Fashion</v>
      </c>
      <c r="G125" s="6" t="n">
        <f aca="false">Orders!E125</f>
        <v>4</v>
      </c>
      <c r="H125" s="16" t="n">
        <f aca="false">INDEX(Products!$D$2:$D$101,MATCH(D125,Products!$A$2:$A$101,0))</f>
        <v>799</v>
      </c>
      <c r="I125" s="16" t="n">
        <f aca="false">INDEX(Products!$E$2:$E$101,MATCH(D125,Products!$A$2:$A$101,0))</f>
        <v>300</v>
      </c>
      <c r="J125" s="20" t="n">
        <f aca="false">Orders!F125</f>
        <v>0.15</v>
      </c>
      <c r="K125" s="6" t="n">
        <f aca="false">G125*H125</f>
        <v>3196</v>
      </c>
      <c r="L125" s="6" t="n">
        <f aca="false">K125*J125</f>
        <v>479.4</v>
      </c>
      <c r="M125" s="6" t="n">
        <f aca="false">K125-L125</f>
        <v>2716.6</v>
      </c>
      <c r="N125" s="6" t="n">
        <f aca="false">G125*I125</f>
        <v>1200</v>
      </c>
      <c r="O125" s="6" t="n">
        <f aca="false">M125-N125</f>
        <v>1516.6</v>
      </c>
      <c r="P125" s="21" t="n">
        <f aca="false">IFERROR(O125/M125,0)</f>
        <v>0.558271368622543</v>
      </c>
      <c r="Q125" s="6" t="str">
        <f aca="false">Orders!H125</f>
        <v>Delivered</v>
      </c>
      <c r="R125" s="1" t="str">
        <f aca="false">INDEX(Customers!$C$2:$C$301,MATCH(C125,Customers!$A$2:$A$301,0))</f>
        <v>Visakhapatnam</v>
      </c>
      <c r="S125" s="1" t="str">
        <f aca="false">INDEX(Customers!$E$2:$E$301,MATCH(C125,Customers!$A$2:$A$301,0))</f>
        <v>Returning</v>
      </c>
      <c r="T125" s="6" t="str">
        <f aca="false">Orders!I125</f>
        <v>Marketplace</v>
      </c>
      <c r="U125" s="1" t="str">
        <f aca="false">IF(Q125="Delivered","Completed",IF(Q125="Cancelled","Cancelled",IF(Q125="Returned","Returned","In Progress")))</f>
        <v>Completed</v>
      </c>
      <c r="V125" s="1" t="str">
        <f aca="false">IF(M125&gt;=10000,"High Value",IF(M125&gt;=5000,"Medium Value","Low Value"))</f>
        <v>Low Value</v>
      </c>
      <c r="W125" s="1" t="str">
        <f aca="false">IF(O125&gt;0,"Profitable",IF(O125=0,"Break-even","Loss"))</f>
        <v>Profitable</v>
      </c>
      <c r="X125" s="1" t="str">
        <f aca="false">IF(Q125="Cancelled","Not Applicable",IF(Q125="Processing","Pending",IF(B125="","Unknown",IF(Orders!J125="","Unknown",IF(Orders!J125&lt;=3,"Fast",IF(Orders!J125&lt;=6,"Standard","Slow"))))))</f>
        <v>Fast</v>
      </c>
      <c r="Y125" s="1" t="n">
        <f aca="false">IF(OR(Q125="Cancelled",Q125="Returned"),0,O125)</f>
        <v>1516.6</v>
      </c>
    </row>
    <row r="126" customFormat="false" ht="15" hidden="false" customHeight="false" outlineLevel="0" collapsed="false">
      <c r="A126" s="6" t="str">
        <f aca="false">Orders!A126</f>
        <v>O000125</v>
      </c>
      <c r="B126" s="19" t="n">
        <f aca="false">Orders!B126</f>
        <v>46016</v>
      </c>
      <c r="C126" s="6" t="str">
        <f aca="false">Orders!C126</f>
        <v>C0291</v>
      </c>
      <c r="D126" s="6" t="str">
        <f aca="false">Orders!D126</f>
        <v>P1034</v>
      </c>
      <c r="E126" s="6" t="str">
        <f aca="false">INDEX(Products!$B$2:$B$101,MATCH(D126,Products!$A$2:$A$101,0))</f>
        <v>Table Lamp</v>
      </c>
      <c r="F126" s="1" t="str">
        <f aca="false">INDEX(Products!$C$2:$C$101,MATCH(D126,Products!$A$2:$A$101,0))</f>
        <v>Home &amp; Kitchen</v>
      </c>
      <c r="G126" s="6" t="n">
        <f aca="false">Orders!E126</f>
        <v>2</v>
      </c>
      <c r="H126" s="16" t="n">
        <f aca="false">INDEX(Products!$D$2:$D$101,MATCH(D126,Products!$A$2:$A$101,0))</f>
        <v>899</v>
      </c>
      <c r="I126" s="16" t="n">
        <f aca="false">INDEX(Products!$E$2:$E$101,MATCH(D126,Products!$A$2:$A$101,0))</f>
        <v>420</v>
      </c>
      <c r="J126" s="20" t="n">
        <f aca="false">Orders!F126</f>
        <v>0.15</v>
      </c>
      <c r="K126" s="6" t="n">
        <f aca="false">G126*H126</f>
        <v>1798</v>
      </c>
      <c r="L126" s="6" t="n">
        <f aca="false">K126*J126</f>
        <v>269.7</v>
      </c>
      <c r="M126" s="6" t="n">
        <f aca="false">K126-L126</f>
        <v>1528.3</v>
      </c>
      <c r="N126" s="6" t="n">
        <f aca="false">G126*I126</f>
        <v>840</v>
      </c>
      <c r="O126" s="6" t="n">
        <f aca="false">M126-N126</f>
        <v>688.3</v>
      </c>
      <c r="P126" s="21" t="n">
        <f aca="false">IFERROR(O126/M126,0)</f>
        <v>0.450369691814434</v>
      </c>
      <c r="Q126" s="6" t="str">
        <f aca="false">Orders!H126</f>
        <v>Delivered</v>
      </c>
      <c r="R126" s="1" t="str">
        <f aca="false">INDEX(Customers!$C$2:$C$301,MATCH(C126,Customers!$A$2:$A$301,0))</f>
        <v>Gurugram</v>
      </c>
      <c r="S126" s="1" t="str">
        <f aca="false">INDEX(Customers!$E$2:$E$301,MATCH(C126,Customers!$A$2:$A$301,0))</f>
        <v>Returning</v>
      </c>
      <c r="T126" s="6" t="str">
        <f aca="false">Orders!I126</f>
        <v>Mobile App</v>
      </c>
      <c r="U126" s="1" t="str">
        <f aca="false">IF(Q126="Delivered","Completed",IF(Q126="Cancelled","Cancelled",IF(Q126="Returned","Returned","In Progress")))</f>
        <v>Completed</v>
      </c>
      <c r="V126" s="1" t="str">
        <f aca="false">IF(M126&gt;=10000,"High Value",IF(M126&gt;=5000,"Medium Value","Low Value"))</f>
        <v>Low Value</v>
      </c>
      <c r="W126" s="1" t="str">
        <f aca="false">IF(O126&gt;0,"Profitable",IF(O126=0,"Break-even","Loss"))</f>
        <v>Profitable</v>
      </c>
      <c r="X126" s="1" t="str">
        <f aca="false">IF(Q126="Cancelled","Not Applicable",IF(Q126="Processing","Pending",IF(B126="","Unknown",IF(Orders!J126="","Unknown",IF(Orders!J126&lt;=3,"Fast",IF(Orders!J126&lt;=6,"Standard","Slow"))))))</f>
        <v>Slow</v>
      </c>
      <c r="Y126" s="1" t="n">
        <f aca="false">IF(OR(Q126="Cancelled",Q126="Returned"),0,O126)</f>
        <v>688.3</v>
      </c>
    </row>
    <row r="127" customFormat="false" ht="15" hidden="false" customHeight="false" outlineLevel="0" collapsed="false">
      <c r="A127" s="6" t="str">
        <f aca="false">Orders!A127</f>
        <v>O000126</v>
      </c>
      <c r="B127" s="19" t="n">
        <f aca="false">Orders!B127</f>
        <v>45879</v>
      </c>
      <c r="C127" s="6" t="str">
        <f aca="false">Orders!C127</f>
        <v>C0177</v>
      </c>
      <c r="D127" s="6" t="str">
        <f aca="false">Orders!D127</f>
        <v>P1006</v>
      </c>
      <c r="E127" s="6" t="str">
        <f aca="false">INDEX(Products!$B$2:$B$101,MATCH(D127,Products!$A$2:$A$101,0))</f>
        <v>Wireless Mouse</v>
      </c>
      <c r="F127" s="1" t="str">
        <f aca="false">INDEX(Products!$C$2:$C$101,MATCH(D127,Products!$A$2:$A$101,0))</f>
        <v>Electronics</v>
      </c>
      <c r="G127" s="6" t="n">
        <f aca="false">Orders!E127</f>
        <v>1</v>
      </c>
      <c r="H127" s="16" t="n">
        <f aca="false">INDEX(Products!$D$2:$D$101,MATCH(D127,Products!$A$2:$A$101,0))</f>
        <v>699</v>
      </c>
      <c r="I127" s="16" t="n">
        <f aca="false">INDEX(Products!$E$2:$E$101,MATCH(D127,Products!$A$2:$A$101,0))</f>
        <v>300</v>
      </c>
      <c r="J127" s="20" t="n">
        <f aca="false">Orders!F127</f>
        <v>0.15</v>
      </c>
      <c r="K127" s="6" t="n">
        <f aca="false">G127*H127</f>
        <v>699</v>
      </c>
      <c r="L127" s="6" t="n">
        <f aca="false">K127*J127</f>
        <v>104.85</v>
      </c>
      <c r="M127" s="6" t="n">
        <f aca="false">K127-L127</f>
        <v>594.15</v>
      </c>
      <c r="N127" s="6" t="n">
        <f aca="false">G127*I127</f>
        <v>300</v>
      </c>
      <c r="O127" s="6" t="n">
        <f aca="false">M127-N127</f>
        <v>294.15</v>
      </c>
      <c r="P127" s="21" t="n">
        <f aca="false">IFERROR(O127/M127,0)</f>
        <v>0.495077000757385</v>
      </c>
      <c r="Q127" s="6" t="str">
        <f aca="false">Orders!H127</f>
        <v>Delivered</v>
      </c>
      <c r="R127" s="1" t="str">
        <f aca="false">INDEX(Customers!$C$2:$C$301,MATCH(C127,Customers!$A$2:$A$301,0))</f>
        <v>Surat</v>
      </c>
      <c r="S127" s="1" t="str">
        <f aca="false">INDEX(Customers!$E$2:$E$301,MATCH(C127,Customers!$A$2:$A$301,0))</f>
        <v>New</v>
      </c>
      <c r="T127" s="6" t="str">
        <f aca="false">Orders!I127</f>
        <v>Mobile App</v>
      </c>
      <c r="U127" s="1" t="str">
        <f aca="false">IF(Q127="Delivered","Completed",IF(Q127="Cancelled","Cancelled",IF(Q127="Returned","Returned","In Progress")))</f>
        <v>Completed</v>
      </c>
      <c r="V127" s="1" t="str">
        <f aca="false">IF(M127&gt;=10000,"High Value",IF(M127&gt;=5000,"Medium Value","Low Value"))</f>
        <v>Low Value</v>
      </c>
      <c r="W127" s="1" t="str">
        <f aca="false">IF(O127&gt;0,"Profitable",IF(O127=0,"Break-even","Loss"))</f>
        <v>Profitable</v>
      </c>
      <c r="X127" s="1" t="str">
        <f aca="false">IF(Q127="Cancelled","Not Applicable",IF(Q127="Processing","Pending",IF(B127="","Unknown",IF(Orders!J127="","Unknown",IF(Orders!J127&lt;=3,"Fast",IF(Orders!J127&lt;=6,"Standard","Slow"))))))</f>
        <v>Fast</v>
      </c>
      <c r="Y127" s="1" t="n">
        <f aca="false">IF(OR(Q127="Cancelled",Q127="Returned"),0,O127)</f>
        <v>294.15</v>
      </c>
    </row>
    <row r="128" customFormat="false" ht="15" hidden="false" customHeight="false" outlineLevel="0" collapsed="false">
      <c r="A128" s="6" t="str">
        <f aca="false">Orders!A128</f>
        <v>O000127</v>
      </c>
      <c r="B128" s="19" t="n">
        <f aca="false">Orders!B128</f>
        <v>45928</v>
      </c>
      <c r="C128" s="6" t="str">
        <f aca="false">Orders!C128</f>
        <v>C0126</v>
      </c>
      <c r="D128" s="6" t="str">
        <f aca="false">Orders!D128</f>
        <v>P1064</v>
      </c>
      <c r="E128" s="6" t="str">
        <f aca="false">INDEX(Products!$B$2:$B$101,MATCH(D128,Products!$A$2:$A$101,0))</f>
        <v>Football</v>
      </c>
      <c r="F128" s="1" t="str">
        <f aca="false">INDEX(Products!$C$2:$C$101,MATCH(D128,Products!$A$2:$A$101,0))</f>
        <v>Sports &amp; Outdoors</v>
      </c>
      <c r="G128" s="6" t="n">
        <f aca="false">Orders!E128</f>
        <v>2</v>
      </c>
      <c r="H128" s="16" t="n">
        <f aca="false">INDEX(Products!$D$2:$D$101,MATCH(D128,Products!$A$2:$A$101,0))</f>
        <v>699</v>
      </c>
      <c r="I128" s="16" t="n">
        <f aca="false">INDEX(Products!$E$2:$E$101,MATCH(D128,Products!$A$2:$A$101,0))</f>
        <v>300</v>
      </c>
      <c r="J128" s="20" t="n">
        <f aca="false">Orders!F128</f>
        <v>0.2</v>
      </c>
      <c r="K128" s="6" t="n">
        <f aca="false">G128*H128</f>
        <v>1398</v>
      </c>
      <c r="L128" s="6" t="n">
        <f aca="false">K128*J128</f>
        <v>279.6</v>
      </c>
      <c r="M128" s="6" t="n">
        <f aca="false">K128-L128</f>
        <v>1118.4</v>
      </c>
      <c r="N128" s="6" t="n">
        <f aca="false">G128*I128</f>
        <v>600</v>
      </c>
      <c r="O128" s="6" t="n">
        <f aca="false">M128-N128</f>
        <v>518.4</v>
      </c>
      <c r="P128" s="21" t="n">
        <f aca="false">IFERROR(O128/M128,0)</f>
        <v>0.463519313304721</v>
      </c>
      <c r="Q128" s="6" t="str">
        <f aca="false">Orders!H128</f>
        <v>Delivered</v>
      </c>
      <c r="R128" s="1" t="str">
        <f aca="false">INDEX(Customers!$C$2:$C$301,MATCH(C128,Customers!$A$2:$A$301,0))</f>
        <v>Kolkata</v>
      </c>
      <c r="S128" s="1" t="str">
        <f aca="false">INDEX(Customers!$E$2:$E$301,MATCH(C128,Customers!$A$2:$A$301,0))</f>
        <v>New</v>
      </c>
      <c r="T128" s="6" t="str">
        <f aca="false">Orders!I128</f>
        <v>Marketplace</v>
      </c>
      <c r="U128" s="1" t="str">
        <f aca="false">IF(Q128="Delivered","Completed",IF(Q128="Cancelled","Cancelled",IF(Q128="Returned","Returned","In Progress")))</f>
        <v>Completed</v>
      </c>
      <c r="V128" s="1" t="str">
        <f aca="false">IF(M128&gt;=10000,"High Value",IF(M128&gt;=5000,"Medium Value","Low Value"))</f>
        <v>Low Value</v>
      </c>
      <c r="W128" s="1" t="str">
        <f aca="false">IF(O128&gt;0,"Profitable",IF(O128=0,"Break-even","Loss"))</f>
        <v>Profitable</v>
      </c>
      <c r="X128" s="1" t="str">
        <f aca="false">IF(Q128="Cancelled","Not Applicable",IF(Q128="Processing","Pending",IF(B128="","Unknown",IF(Orders!J128="","Unknown",IF(Orders!J128&lt;=3,"Fast",IF(Orders!J128&lt;=6,"Standard","Slow"))))))</f>
        <v>Fast</v>
      </c>
      <c r="Y128" s="1" t="n">
        <f aca="false">IF(OR(Q128="Cancelled",Q128="Returned"),0,O128)</f>
        <v>518.4</v>
      </c>
    </row>
    <row r="129" customFormat="false" ht="15" hidden="false" customHeight="false" outlineLevel="0" collapsed="false">
      <c r="A129" s="6" t="str">
        <f aca="false">Orders!A129</f>
        <v>O000128</v>
      </c>
      <c r="B129" s="19" t="n">
        <f aca="false">Orders!B129</f>
        <v>45882</v>
      </c>
      <c r="C129" s="6" t="str">
        <f aca="false">Orders!C129</f>
        <v>C0264</v>
      </c>
      <c r="D129" s="6" t="str">
        <f aca="false">Orders!D129</f>
        <v>P1032</v>
      </c>
      <c r="E129" s="6" t="str">
        <f aca="false">INDEX(Products!$B$2:$B$101,MATCH(D129,Products!$A$2:$A$101,0))</f>
        <v>Water Bottle</v>
      </c>
      <c r="F129" s="1" t="str">
        <f aca="false">INDEX(Products!$C$2:$C$101,MATCH(D129,Products!$A$2:$A$101,0))</f>
        <v>Home &amp; Kitchen</v>
      </c>
      <c r="G129" s="6" t="n">
        <f aca="false">Orders!E129</f>
        <v>1</v>
      </c>
      <c r="H129" s="16" t="n">
        <f aca="false">INDEX(Products!$D$2:$D$101,MATCH(D129,Products!$A$2:$A$101,0))</f>
        <v>399</v>
      </c>
      <c r="I129" s="16" t="n">
        <f aca="false">INDEX(Products!$E$2:$E$101,MATCH(D129,Products!$A$2:$A$101,0))</f>
        <v>150</v>
      </c>
      <c r="J129" s="20" t="n">
        <f aca="false">Orders!F129</f>
        <v>0</v>
      </c>
      <c r="K129" s="6" t="n">
        <f aca="false">G129*H129</f>
        <v>399</v>
      </c>
      <c r="L129" s="6" t="n">
        <f aca="false">K129*J129</f>
        <v>0</v>
      </c>
      <c r="M129" s="6" t="n">
        <f aca="false">K129-L129</f>
        <v>399</v>
      </c>
      <c r="N129" s="6" t="n">
        <f aca="false">G129*I129</f>
        <v>150</v>
      </c>
      <c r="O129" s="6" t="n">
        <f aca="false">M129-N129</f>
        <v>249</v>
      </c>
      <c r="P129" s="21" t="n">
        <f aca="false">IFERROR(O129/M129,0)</f>
        <v>0.62406015037594</v>
      </c>
      <c r="Q129" s="6" t="str">
        <f aca="false">Orders!H129</f>
        <v>Delivered</v>
      </c>
      <c r="R129" s="1" t="str">
        <f aca="false">INDEX(Customers!$C$2:$C$301,MATCH(C129,Customers!$A$2:$A$301,0))</f>
        <v>Hyderabad</v>
      </c>
      <c r="S129" s="1" t="str">
        <f aca="false">INDEX(Customers!$E$2:$E$301,MATCH(C129,Customers!$A$2:$A$301,0))</f>
        <v>VIP</v>
      </c>
      <c r="T129" s="6" t="str">
        <f aca="false">Orders!I129</f>
        <v>Mobile App</v>
      </c>
      <c r="U129" s="1" t="str">
        <f aca="false">IF(Q129="Delivered","Completed",IF(Q129="Cancelled","Cancelled",IF(Q129="Returned","Returned","In Progress")))</f>
        <v>Completed</v>
      </c>
      <c r="V129" s="1" t="str">
        <f aca="false">IF(M129&gt;=10000,"High Value",IF(M129&gt;=5000,"Medium Value","Low Value"))</f>
        <v>Low Value</v>
      </c>
      <c r="W129" s="1" t="str">
        <f aca="false">IF(O129&gt;0,"Profitable",IF(O129=0,"Break-even","Loss"))</f>
        <v>Profitable</v>
      </c>
      <c r="X129" s="1" t="str">
        <f aca="false">IF(Q129="Cancelled","Not Applicable",IF(Q129="Processing","Pending",IF(B129="","Unknown",IF(Orders!J129="","Unknown",IF(Orders!J129&lt;=3,"Fast",IF(Orders!J129&lt;=6,"Standard","Slow"))))))</f>
        <v>Fast</v>
      </c>
      <c r="Y129" s="1" t="n">
        <f aca="false">IF(OR(Q129="Cancelled",Q129="Returned"),0,O129)</f>
        <v>249</v>
      </c>
    </row>
    <row r="130" customFormat="false" ht="15" hidden="false" customHeight="false" outlineLevel="0" collapsed="false">
      <c r="A130" s="6" t="str">
        <f aca="false">Orders!A130</f>
        <v>O000129</v>
      </c>
      <c r="B130" s="19" t="n">
        <f aca="false">Orders!B130</f>
        <v>45776</v>
      </c>
      <c r="C130" s="6" t="str">
        <f aca="false">Orders!C130</f>
        <v>C0014</v>
      </c>
      <c r="D130" s="6" t="str">
        <f aca="false">Orders!D130</f>
        <v>P1043</v>
      </c>
      <c r="E130" s="6" t="str">
        <f aca="false">INDEX(Products!$B$2:$B$101,MATCH(D130,Products!$A$2:$A$101,0))</f>
        <v>Kitchen Rack</v>
      </c>
      <c r="F130" s="1" t="str">
        <f aca="false">INDEX(Products!$C$2:$C$101,MATCH(D130,Products!$A$2:$A$101,0))</f>
        <v>Home &amp; Kitchen</v>
      </c>
      <c r="G130" s="6" t="n">
        <f aca="false">Orders!E130</f>
        <v>1</v>
      </c>
      <c r="H130" s="16" t="n">
        <f aca="false">INDEX(Products!$D$2:$D$101,MATCH(D130,Products!$A$2:$A$101,0))</f>
        <v>1299</v>
      </c>
      <c r="I130" s="16" t="n">
        <f aca="false">INDEX(Products!$E$2:$E$101,MATCH(D130,Products!$A$2:$A$101,0))</f>
        <v>700</v>
      </c>
      <c r="J130" s="20" t="n">
        <f aca="false">Orders!F130</f>
        <v>0.1</v>
      </c>
      <c r="K130" s="6" t="n">
        <f aca="false">G130*H130</f>
        <v>1299</v>
      </c>
      <c r="L130" s="6" t="n">
        <f aca="false">K130*J130</f>
        <v>129.9</v>
      </c>
      <c r="M130" s="6" t="n">
        <f aca="false">K130-L130</f>
        <v>1169.1</v>
      </c>
      <c r="N130" s="6" t="n">
        <f aca="false">G130*I130</f>
        <v>700</v>
      </c>
      <c r="O130" s="6" t="n">
        <f aca="false">M130-N130</f>
        <v>469.1</v>
      </c>
      <c r="P130" s="21" t="n">
        <f aca="false">IFERROR(O130/M130,0)</f>
        <v>0.401248823881618</v>
      </c>
      <c r="Q130" s="6" t="str">
        <f aca="false">Orders!H130</f>
        <v>Delivered</v>
      </c>
      <c r="R130" s="1" t="str">
        <f aca="false">INDEX(Customers!$C$2:$C$301,MATCH(C130,Customers!$A$2:$A$301,0))</f>
        <v>Indore</v>
      </c>
      <c r="S130" s="1" t="str">
        <f aca="false">INDEX(Customers!$E$2:$E$301,MATCH(C130,Customers!$A$2:$A$301,0))</f>
        <v>Returning</v>
      </c>
      <c r="T130" s="6" t="str">
        <f aca="false">Orders!I130</f>
        <v>Mobile App</v>
      </c>
      <c r="U130" s="1" t="str">
        <f aca="false">IF(Q130="Delivered","Completed",IF(Q130="Cancelled","Cancelled",IF(Q130="Returned","Returned","In Progress")))</f>
        <v>Completed</v>
      </c>
      <c r="V130" s="1" t="str">
        <f aca="false">IF(M130&gt;=10000,"High Value",IF(M130&gt;=5000,"Medium Value","Low Value"))</f>
        <v>Low Value</v>
      </c>
      <c r="W130" s="1" t="str">
        <f aca="false">IF(O130&gt;0,"Profitable",IF(O130=0,"Break-even","Loss"))</f>
        <v>Profitable</v>
      </c>
      <c r="X130" s="1" t="str">
        <f aca="false">IF(Q130="Cancelled","Not Applicable",IF(Q130="Processing","Pending",IF(B130="","Unknown",IF(Orders!J130="","Unknown",IF(Orders!J130&lt;=3,"Fast",IF(Orders!J130&lt;=6,"Standard","Slow"))))))</f>
        <v>Fast</v>
      </c>
      <c r="Y130" s="1" t="n">
        <f aca="false">IF(OR(Q130="Cancelled",Q130="Returned"),0,O130)</f>
        <v>469.1</v>
      </c>
    </row>
    <row r="131" customFormat="false" ht="15" hidden="false" customHeight="false" outlineLevel="0" collapsed="false">
      <c r="A131" s="6" t="str">
        <f aca="false">Orders!A131</f>
        <v>O000130</v>
      </c>
      <c r="B131" s="19" t="n">
        <f aca="false">Orders!B131</f>
        <v>46001</v>
      </c>
      <c r="C131" s="6" t="str">
        <f aca="false">Orders!C131</f>
        <v>C0066</v>
      </c>
      <c r="D131" s="6" t="str">
        <f aca="false">Orders!D131</f>
        <v>P1084</v>
      </c>
      <c r="E131" s="6" t="str">
        <f aca="false">INDEX(Products!$B$2:$B$101,MATCH(D131,Products!$A$2:$A$101,0))</f>
        <v>Whiteboard</v>
      </c>
      <c r="F131" s="1" t="str">
        <f aca="false">INDEX(Products!$C$2:$C$101,MATCH(D131,Products!$A$2:$A$101,0))</f>
        <v>Books &amp; Stationery</v>
      </c>
      <c r="G131" s="6" t="n">
        <f aca="false">Orders!E131</f>
        <v>5</v>
      </c>
      <c r="H131" s="16" t="n">
        <f aca="false">INDEX(Products!$D$2:$D$101,MATCH(D131,Products!$A$2:$A$101,0))</f>
        <v>799</v>
      </c>
      <c r="I131" s="16" t="n">
        <f aca="false">INDEX(Products!$E$2:$E$101,MATCH(D131,Products!$A$2:$A$101,0))</f>
        <v>420</v>
      </c>
      <c r="J131" s="20" t="n">
        <f aca="false">Orders!F131</f>
        <v>0.1</v>
      </c>
      <c r="K131" s="6" t="n">
        <f aca="false">G131*H131</f>
        <v>3995</v>
      </c>
      <c r="L131" s="6" t="n">
        <f aca="false">K131*J131</f>
        <v>399.5</v>
      </c>
      <c r="M131" s="6" t="n">
        <f aca="false">K131-L131</f>
        <v>3595.5</v>
      </c>
      <c r="N131" s="6" t="n">
        <f aca="false">G131*I131</f>
        <v>2100</v>
      </c>
      <c r="O131" s="6" t="n">
        <f aca="false">M131-N131</f>
        <v>1495.5</v>
      </c>
      <c r="P131" s="21" t="n">
        <f aca="false">IFERROR(O131/M131,0)</f>
        <v>0.415936587400918</v>
      </c>
      <c r="Q131" s="6" t="str">
        <f aca="false">Orders!H131</f>
        <v>Delivered</v>
      </c>
      <c r="R131" s="1" t="str">
        <f aca="false">INDEX(Customers!$C$2:$C$301,MATCH(C131,Customers!$A$2:$A$301,0))</f>
        <v>Kolkata</v>
      </c>
      <c r="S131" s="1" t="str">
        <f aca="false">INDEX(Customers!$E$2:$E$301,MATCH(C131,Customers!$A$2:$A$301,0))</f>
        <v>New</v>
      </c>
      <c r="T131" s="6" t="str">
        <f aca="false">Orders!I131</f>
        <v>Mobile App</v>
      </c>
      <c r="U131" s="1" t="str">
        <f aca="false">IF(Q131="Delivered","Completed",IF(Q131="Cancelled","Cancelled",IF(Q131="Returned","Returned","In Progress")))</f>
        <v>Completed</v>
      </c>
      <c r="V131" s="1" t="str">
        <f aca="false">IF(M131&gt;=10000,"High Value",IF(M131&gt;=5000,"Medium Value","Low Value"))</f>
        <v>Low Value</v>
      </c>
      <c r="W131" s="1" t="str">
        <f aca="false">IF(O131&gt;0,"Profitable",IF(O131=0,"Break-even","Loss"))</f>
        <v>Profitable</v>
      </c>
      <c r="X131" s="1" t="str">
        <f aca="false">IF(Q131="Cancelled","Not Applicable",IF(Q131="Processing","Pending",IF(B131="","Unknown",IF(Orders!J131="","Unknown",IF(Orders!J131&lt;=3,"Fast",IF(Orders!J131&lt;=6,"Standard","Slow"))))))</f>
        <v>Standard</v>
      </c>
      <c r="Y131" s="1" t="n">
        <f aca="false">IF(OR(Q131="Cancelled",Q131="Returned"),0,O131)</f>
        <v>1495.5</v>
      </c>
    </row>
    <row r="132" customFormat="false" ht="15" hidden="false" customHeight="false" outlineLevel="0" collapsed="false">
      <c r="A132" s="6" t="str">
        <f aca="false">Orders!A132</f>
        <v>O000131</v>
      </c>
      <c r="B132" s="19" t="n">
        <f aca="false">Orders!B132</f>
        <v>45822</v>
      </c>
      <c r="C132" s="6" t="str">
        <f aca="false">Orders!C132</f>
        <v>C0070</v>
      </c>
      <c r="D132" s="6" t="str">
        <f aca="false">Orders!D132</f>
        <v>P1021</v>
      </c>
      <c r="E132" s="6" t="str">
        <f aca="false">INDEX(Products!$B$2:$B$101,MATCH(D132,Products!$A$2:$A$101,0))</f>
        <v>Handbag</v>
      </c>
      <c r="F132" s="1" t="str">
        <f aca="false">INDEX(Products!$C$2:$C$101,MATCH(D132,Products!$A$2:$A$101,0))</f>
        <v>Fashion</v>
      </c>
      <c r="G132" s="6" t="n">
        <f aca="false">Orders!E132</f>
        <v>1</v>
      </c>
      <c r="H132" s="16" t="n">
        <f aca="false">INDEX(Products!$D$2:$D$101,MATCH(D132,Products!$A$2:$A$101,0))</f>
        <v>1499</v>
      </c>
      <c r="I132" s="16" t="n">
        <f aca="false">INDEX(Products!$E$2:$E$101,MATCH(D132,Products!$A$2:$A$101,0))</f>
        <v>700</v>
      </c>
      <c r="J132" s="20" t="n">
        <f aca="false">Orders!F132</f>
        <v>0.05</v>
      </c>
      <c r="K132" s="6" t="n">
        <f aca="false">G132*H132</f>
        <v>1499</v>
      </c>
      <c r="L132" s="6" t="n">
        <f aca="false">K132*J132</f>
        <v>74.95</v>
      </c>
      <c r="M132" s="6" t="n">
        <f aca="false">K132-L132</f>
        <v>1424.05</v>
      </c>
      <c r="N132" s="6" t="n">
        <f aca="false">G132*I132</f>
        <v>700</v>
      </c>
      <c r="O132" s="6" t="n">
        <f aca="false">M132-N132</f>
        <v>724.05</v>
      </c>
      <c r="P132" s="21" t="n">
        <f aca="false">IFERROR(O132/M132,0)</f>
        <v>0.508444225975212</v>
      </c>
      <c r="Q132" s="6" t="str">
        <f aca="false">Orders!H132</f>
        <v>Delivered</v>
      </c>
      <c r="R132" s="1" t="str">
        <f aca="false">INDEX(Customers!$C$2:$C$301,MATCH(C132,Customers!$A$2:$A$301,0))</f>
        <v>Lucknow</v>
      </c>
      <c r="S132" s="1" t="str">
        <f aca="false">INDEX(Customers!$E$2:$E$301,MATCH(C132,Customers!$A$2:$A$301,0))</f>
        <v>Returning</v>
      </c>
      <c r="T132" s="6" t="str">
        <f aca="false">Orders!I132</f>
        <v>Marketplace</v>
      </c>
      <c r="U132" s="1" t="str">
        <f aca="false">IF(Q132="Delivered","Completed",IF(Q132="Cancelled","Cancelled",IF(Q132="Returned","Returned","In Progress")))</f>
        <v>Completed</v>
      </c>
      <c r="V132" s="1" t="str">
        <f aca="false">IF(M132&gt;=10000,"High Value",IF(M132&gt;=5000,"Medium Value","Low Value"))</f>
        <v>Low Value</v>
      </c>
      <c r="W132" s="1" t="str">
        <f aca="false">IF(O132&gt;0,"Profitable",IF(O132=0,"Break-even","Loss"))</f>
        <v>Profitable</v>
      </c>
      <c r="X132" s="1" t="str">
        <f aca="false">IF(Q132="Cancelled","Not Applicable",IF(Q132="Processing","Pending",IF(B132="","Unknown",IF(Orders!J132="","Unknown",IF(Orders!J132&lt;=3,"Fast",IF(Orders!J132&lt;=6,"Standard","Slow"))))))</f>
        <v>Standard</v>
      </c>
      <c r="Y132" s="1" t="n">
        <f aca="false">IF(OR(Q132="Cancelled",Q132="Returned"),0,O132)</f>
        <v>724.05</v>
      </c>
    </row>
    <row r="133" customFormat="false" ht="23.85" hidden="false" customHeight="false" outlineLevel="0" collapsed="false">
      <c r="A133" s="6" t="str">
        <f aca="false">Orders!A133</f>
        <v>O000132</v>
      </c>
      <c r="B133" s="19" t="n">
        <f aca="false">Orders!B133</f>
        <v>45830</v>
      </c>
      <c r="C133" s="6" t="str">
        <f aca="false">Orders!C133</f>
        <v>C0222</v>
      </c>
      <c r="D133" s="6" t="str">
        <f aca="false">Orders!D133</f>
        <v>P1053</v>
      </c>
      <c r="E133" s="6" t="str">
        <f aca="false">INDEX(Products!$B$2:$B$101,MATCH(D133,Products!$A$2:$A$101,0))</f>
        <v>Makeup Brush Set</v>
      </c>
      <c r="F133" s="1" t="str">
        <f aca="false">INDEX(Products!$C$2:$C$101,MATCH(D133,Products!$A$2:$A$101,0))</f>
        <v>Beauty</v>
      </c>
      <c r="G133" s="6" t="n">
        <f aca="false">Orders!E133</f>
        <v>1</v>
      </c>
      <c r="H133" s="16" t="n">
        <f aca="false">INDEX(Products!$D$2:$D$101,MATCH(D133,Products!$A$2:$A$101,0))</f>
        <v>599</v>
      </c>
      <c r="I133" s="16" t="n">
        <f aca="false">INDEX(Products!$E$2:$E$101,MATCH(D133,Products!$A$2:$A$101,0))</f>
        <v>250</v>
      </c>
      <c r="J133" s="20" t="n">
        <f aca="false">Orders!F133</f>
        <v>0.05</v>
      </c>
      <c r="K133" s="6" t="n">
        <f aca="false">G133*H133</f>
        <v>599</v>
      </c>
      <c r="L133" s="6" t="n">
        <f aca="false">K133*J133</f>
        <v>29.95</v>
      </c>
      <c r="M133" s="6" t="n">
        <f aca="false">K133-L133</f>
        <v>569.05</v>
      </c>
      <c r="N133" s="6" t="n">
        <f aca="false">G133*I133</f>
        <v>250</v>
      </c>
      <c r="O133" s="6" t="n">
        <f aca="false">M133-N133</f>
        <v>319.05</v>
      </c>
      <c r="P133" s="21" t="n">
        <f aca="false">IFERROR(O133/M133,0)</f>
        <v>0.560671294262367</v>
      </c>
      <c r="Q133" s="6" t="str">
        <f aca="false">Orders!H133</f>
        <v>Delivered</v>
      </c>
      <c r="R133" s="1" t="str">
        <f aca="false">INDEX(Customers!$C$2:$C$301,MATCH(C133,Customers!$A$2:$A$301,0))</f>
        <v>Mumbai</v>
      </c>
      <c r="S133" s="1" t="str">
        <f aca="false">INDEX(Customers!$E$2:$E$301,MATCH(C133,Customers!$A$2:$A$301,0))</f>
        <v>Returning</v>
      </c>
      <c r="T133" s="6" t="str">
        <f aca="false">Orders!I133</f>
        <v>Mobile App</v>
      </c>
      <c r="U133" s="1" t="str">
        <f aca="false">IF(Q133="Delivered","Completed",IF(Q133="Cancelled","Cancelled",IF(Q133="Returned","Returned","In Progress")))</f>
        <v>Completed</v>
      </c>
      <c r="V133" s="1" t="str">
        <f aca="false">IF(M133&gt;=10000,"High Value",IF(M133&gt;=5000,"Medium Value","Low Value"))</f>
        <v>Low Value</v>
      </c>
      <c r="W133" s="1" t="str">
        <f aca="false">IF(O133&gt;0,"Profitable",IF(O133=0,"Break-even","Loss"))</f>
        <v>Profitable</v>
      </c>
      <c r="X133" s="1" t="str">
        <f aca="false">IF(Q133="Cancelled","Not Applicable",IF(Q133="Processing","Pending",IF(B133="","Unknown",IF(Orders!J133="","Unknown",IF(Orders!J133&lt;=3,"Fast",IF(Orders!J133&lt;=6,"Standard","Slow"))))))</f>
        <v>Slow</v>
      </c>
      <c r="Y133" s="1" t="n">
        <f aca="false">IF(OR(Q133="Cancelled",Q133="Returned"),0,O133)</f>
        <v>319.05</v>
      </c>
    </row>
    <row r="134" customFormat="false" ht="15" hidden="false" customHeight="false" outlineLevel="0" collapsed="false">
      <c r="A134" s="6" t="str">
        <f aca="false">Orders!A134</f>
        <v>O000133</v>
      </c>
      <c r="B134" s="19" t="n">
        <f aca="false">Orders!B134</f>
        <v>45785</v>
      </c>
      <c r="C134" s="6" t="str">
        <f aca="false">Orders!C134</f>
        <v>C0211</v>
      </c>
      <c r="D134" s="6" t="str">
        <f aca="false">Orders!D134</f>
        <v>P1030</v>
      </c>
      <c r="E134" s="6" t="str">
        <f aca="false">INDEX(Products!$B$2:$B$101,MATCH(D134,Products!$A$2:$A$101,0))</f>
        <v>Formal Shoes</v>
      </c>
      <c r="F134" s="1" t="str">
        <f aca="false">INDEX(Products!$C$2:$C$101,MATCH(D134,Products!$A$2:$A$101,0))</f>
        <v>Fashion</v>
      </c>
      <c r="G134" s="6" t="n">
        <f aca="false">Orders!E134</f>
        <v>4</v>
      </c>
      <c r="H134" s="16" t="n">
        <f aca="false">INDEX(Products!$D$2:$D$101,MATCH(D134,Products!$A$2:$A$101,0))</f>
        <v>2299</v>
      </c>
      <c r="I134" s="16" t="n">
        <f aca="false">INDEX(Products!$E$2:$E$101,MATCH(D134,Products!$A$2:$A$101,0))</f>
        <v>1300</v>
      </c>
      <c r="J134" s="20" t="n">
        <f aca="false">Orders!F134</f>
        <v>0.1</v>
      </c>
      <c r="K134" s="6" t="n">
        <f aca="false">G134*H134</f>
        <v>9196</v>
      </c>
      <c r="L134" s="6" t="n">
        <f aca="false">K134*J134</f>
        <v>919.6</v>
      </c>
      <c r="M134" s="6" t="n">
        <f aca="false">K134-L134</f>
        <v>8276.4</v>
      </c>
      <c r="N134" s="6" t="n">
        <f aca="false">G134*I134</f>
        <v>5200</v>
      </c>
      <c r="O134" s="6" t="n">
        <f aca="false">M134-N134</f>
        <v>3076.4</v>
      </c>
      <c r="P134" s="21" t="n">
        <f aca="false">IFERROR(O134/M134,0)</f>
        <v>0.371707505678798</v>
      </c>
      <c r="Q134" s="6" t="str">
        <f aca="false">Orders!H134</f>
        <v>Delivered</v>
      </c>
      <c r="R134" s="1" t="str">
        <f aca="false">INDEX(Customers!$C$2:$C$301,MATCH(C134,Customers!$A$2:$A$301,0))</f>
        <v>Gurugram</v>
      </c>
      <c r="S134" s="1" t="str">
        <f aca="false">INDEX(Customers!$E$2:$E$301,MATCH(C134,Customers!$A$2:$A$301,0))</f>
        <v>Returning</v>
      </c>
      <c r="T134" s="6" t="str">
        <f aca="false">Orders!I134</f>
        <v>Mobile App</v>
      </c>
      <c r="U134" s="1" t="str">
        <f aca="false">IF(Q134="Delivered","Completed",IF(Q134="Cancelled","Cancelled",IF(Q134="Returned","Returned","In Progress")))</f>
        <v>Completed</v>
      </c>
      <c r="V134" s="1" t="str">
        <f aca="false">IF(M134&gt;=10000,"High Value",IF(M134&gt;=5000,"Medium Value","Low Value"))</f>
        <v>Medium Value</v>
      </c>
      <c r="W134" s="1" t="str">
        <f aca="false">IF(O134&gt;0,"Profitable",IF(O134=0,"Break-even","Loss"))</f>
        <v>Profitable</v>
      </c>
      <c r="X134" s="1" t="str">
        <f aca="false">IF(Q134="Cancelled","Not Applicable",IF(Q134="Processing","Pending",IF(B134="","Unknown",IF(Orders!J134="","Unknown",IF(Orders!J134&lt;=3,"Fast",IF(Orders!J134&lt;=6,"Standard","Slow"))))))</f>
        <v>Fast</v>
      </c>
      <c r="Y134" s="1" t="n">
        <f aca="false">IF(OR(Q134="Cancelled",Q134="Returned"),0,O134)</f>
        <v>3076.4</v>
      </c>
    </row>
    <row r="135" customFormat="false" ht="15" hidden="false" customHeight="false" outlineLevel="0" collapsed="false">
      <c r="A135" s="6" t="str">
        <f aca="false">Orders!A135</f>
        <v>O000134</v>
      </c>
      <c r="B135" s="19" t="n">
        <f aca="false">Orders!B135</f>
        <v>45921</v>
      </c>
      <c r="C135" s="6" t="str">
        <f aca="false">Orders!C135</f>
        <v>C0257</v>
      </c>
      <c r="D135" s="6" t="str">
        <f aca="false">Orders!D135</f>
        <v>P1098</v>
      </c>
      <c r="E135" s="6" t="str">
        <f aca="false">INDEX(Products!$B$2:$B$101,MATCH(D135,Products!$A$2:$A$101,0))</f>
        <v>Steam Iron</v>
      </c>
      <c r="F135" s="1" t="str">
        <f aca="false">INDEX(Products!$C$2:$C$101,MATCH(D135,Products!$A$2:$A$101,0))</f>
        <v>Appliances</v>
      </c>
      <c r="G135" s="6" t="n">
        <f aca="false">Orders!E135</f>
        <v>1</v>
      </c>
      <c r="H135" s="16" t="n">
        <f aca="false">INDEX(Products!$D$2:$D$101,MATCH(D135,Products!$A$2:$A$101,0))</f>
        <v>999</v>
      </c>
      <c r="I135" s="16" t="n">
        <f aca="false">INDEX(Products!$E$2:$E$101,MATCH(D135,Products!$A$2:$A$101,0))</f>
        <v>550</v>
      </c>
      <c r="J135" s="20" t="n">
        <f aca="false">Orders!F135</f>
        <v>0.05</v>
      </c>
      <c r="K135" s="6" t="n">
        <f aca="false">G135*H135</f>
        <v>999</v>
      </c>
      <c r="L135" s="6" t="n">
        <f aca="false">K135*J135</f>
        <v>49.95</v>
      </c>
      <c r="M135" s="6" t="n">
        <f aca="false">K135-L135</f>
        <v>949.05</v>
      </c>
      <c r="N135" s="6" t="n">
        <f aca="false">G135*I135</f>
        <v>550</v>
      </c>
      <c r="O135" s="6" t="n">
        <f aca="false">M135-N135</f>
        <v>399.05</v>
      </c>
      <c r="P135" s="21" t="n">
        <f aca="false">IFERROR(O135/M135,0)</f>
        <v>0.420473104683631</v>
      </c>
      <c r="Q135" s="6" t="str">
        <f aca="false">Orders!H135</f>
        <v>Delivered</v>
      </c>
      <c r="R135" s="1" t="str">
        <f aca="false">INDEX(Customers!$C$2:$C$301,MATCH(C135,Customers!$A$2:$A$301,0))</f>
        <v>Surat</v>
      </c>
      <c r="S135" s="1" t="str">
        <f aca="false">INDEX(Customers!$E$2:$E$301,MATCH(C135,Customers!$A$2:$A$301,0))</f>
        <v>New</v>
      </c>
      <c r="T135" s="6" t="str">
        <f aca="false">Orders!I135</f>
        <v>Mobile App</v>
      </c>
      <c r="U135" s="1" t="str">
        <f aca="false">IF(Q135="Delivered","Completed",IF(Q135="Cancelled","Cancelled",IF(Q135="Returned","Returned","In Progress")))</f>
        <v>Completed</v>
      </c>
      <c r="V135" s="1" t="str">
        <f aca="false">IF(M135&gt;=10000,"High Value",IF(M135&gt;=5000,"Medium Value","Low Value"))</f>
        <v>Low Value</v>
      </c>
      <c r="W135" s="1" t="str">
        <f aca="false">IF(O135&gt;0,"Profitable",IF(O135=0,"Break-even","Loss"))</f>
        <v>Profitable</v>
      </c>
      <c r="X135" s="1" t="str">
        <f aca="false">IF(Q135="Cancelled","Not Applicable",IF(Q135="Processing","Pending",IF(B135="","Unknown",IF(Orders!J135="","Unknown",IF(Orders!J135&lt;=3,"Fast",IF(Orders!J135&lt;=6,"Standard","Slow"))))))</f>
        <v>Fast</v>
      </c>
      <c r="Y135" s="1" t="n">
        <f aca="false">IF(OR(Q135="Cancelled",Q135="Returned"),0,O135)</f>
        <v>399.05</v>
      </c>
    </row>
    <row r="136" customFormat="false" ht="15" hidden="false" customHeight="false" outlineLevel="0" collapsed="false">
      <c r="A136" s="6" t="str">
        <f aca="false">Orders!A136</f>
        <v>O000135</v>
      </c>
      <c r="B136" s="19" t="n">
        <f aca="false">Orders!B136</f>
        <v>45962</v>
      </c>
      <c r="C136" s="6" t="str">
        <f aca="false">Orders!C136</f>
        <v>C0079</v>
      </c>
      <c r="D136" s="6" t="str">
        <f aca="false">Orders!D136</f>
        <v>P1055</v>
      </c>
      <c r="E136" s="6" t="str">
        <f aca="false">INDEX(Products!$B$2:$B$101,MATCH(D136,Products!$A$2:$A$101,0))</f>
        <v>Perfume</v>
      </c>
      <c r="F136" s="1" t="str">
        <f aca="false">INDEX(Products!$C$2:$C$101,MATCH(D136,Products!$A$2:$A$101,0))</f>
        <v>Beauty</v>
      </c>
      <c r="G136" s="6" t="n">
        <f aca="false">Orders!E136</f>
        <v>1</v>
      </c>
      <c r="H136" s="16" t="n">
        <f aca="false">INDEX(Products!$D$2:$D$101,MATCH(D136,Products!$A$2:$A$101,0))</f>
        <v>999</v>
      </c>
      <c r="I136" s="16" t="n">
        <f aca="false">INDEX(Products!$E$2:$E$101,MATCH(D136,Products!$A$2:$A$101,0))</f>
        <v>500</v>
      </c>
      <c r="J136" s="20" t="n">
        <f aca="false">Orders!F136</f>
        <v>0</v>
      </c>
      <c r="K136" s="6" t="n">
        <f aca="false">G136*H136</f>
        <v>999</v>
      </c>
      <c r="L136" s="6" t="n">
        <f aca="false">K136*J136</f>
        <v>0</v>
      </c>
      <c r="M136" s="6" t="n">
        <f aca="false">K136-L136</f>
        <v>999</v>
      </c>
      <c r="N136" s="6" t="n">
        <f aca="false">G136*I136</f>
        <v>500</v>
      </c>
      <c r="O136" s="6" t="n">
        <f aca="false">M136-N136</f>
        <v>499</v>
      </c>
      <c r="P136" s="21" t="n">
        <f aca="false">IFERROR(O136/M136,0)</f>
        <v>0.4994994994995</v>
      </c>
      <c r="Q136" s="6" t="str">
        <f aca="false">Orders!H136</f>
        <v>Delivered</v>
      </c>
      <c r="R136" s="1" t="str">
        <f aca="false">INDEX(Customers!$C$2:$C$301,MATCH(C136,Customers!$A$2:$A$301,0))</f>
        <v>Coimbatore</v>
      </c>
      <c r="S136" s="1" t="str">
        <f aca="false">INDEX(Customers!$E$2:$E$301,MATCH(C136,Customers!$A$2:$A$301,0))</f>
        <v>Returning</v>
      </c>
      <c r="T136" s="6" t="str">
        <f aca="false">Orders!I136</f>
        <v>Mobile App</v>
      </c>
      <c r="U136" s="1" t="str">
        <f aca="false">IF(Q136="Delivered","Completed",IF(Q136="Cancelled","Cancelled",IF(Q136="Returned","Returned","In Progress")))</f>
        <v>Completed</v>
      </c>
      <c r="V136" s="1" t="str">
        <f aca="false">IF(M136&gt;=10000,"High Value",IF(M136&gt;=5000,"Medium Value","Low Value"))</f>
        <v>Low Value</v>
      </c>
      <c r="W136" s="1" t="str">
        <f aca="false">IF(O136&gt;0,"Profitable",IF(O136=0,"Break-even","Loss"))</f>
        <v>Profitable</v>
      </c>
      <c r="X136" s="1" t="str">
        <f aca="false">IF(Q136="Cancelled","Not Applicable",IF(Q136="Processing","Pending",IF(B136="","Unknown",IF(Orders!J136="","Unknown",IF(Orders!J136&lt;=3,"Fast",IF(Orders!J136&lt;=6,"Standard","Slow"))))))</f>
        <v>Standard</v>
      </c>
      <c r="Y136" s="1" t="n">
        <f aca="false">IF(OR(Q136="Cancelled",Q136="Returned"),0,O136)</f>
        <v>499</v>
      </c>
    </row>
    <row r="137" customFormat="false" ht="23.85" hidden="false" customHeight="false" outlineLevel="0" collapsed="false">
      <c r="A137" s="6" t="str">
        <f aca="false">Orders!A137</f>
        <v>O000136</v>
      </c>
      <c r="B137" s="19" t="n">
        <f aca="false">Orders!B137</f>
        <v>45740</v>
      </c>
      <c r="C137" s="6" t="str">
        <f aca="false">Orders!C137</f>
        <v>C0295</v>
      </c>
      <c r="D137" s="6" t="str">
        <f aca="false">Orders!D137</f>
        <v>P1031</v>
      </c>
      <c r="E137" s="6" t="str">
        <f aca="false">INDEX(Products!$B$2:$B$101,MATCH(D137,Products!$A$2:$A$101,0))</f>
        <v>Storage Container Set</v>
      </c>
      <c r="F137" s="1" t="str">
        <f aca="false">INDEX(Products!$C$2:$C$101,MATCH(D137,Products!$A$2:$A$101,0))</f>
        <v>Home &amp; Kitchen</v>
      </c>
      <c r="G137" s="6" t="n">
        <f aca="false">Orders!E137</f>
        <v>2</v>
      </c>
      <c r="H137" s="16" t="n">
        <f aca="false">INDEX(Products!$D$2:$D$101,MATCH(D137,Products!$A$2:$A$101,0))</f>
        <v>699</v>
      </c>
      <c r="I137" s="16" t="n">
        <f aca="false">INDEX(Products!$E$2:$E$101,MATCH(D137,Products!$A$2:$A$101,0))</f>
        <v>300</v>
      </c>
      <c r="J137" s="20" t="n">
        <f aca="false">Orders!F137</f>
        <v>0.2</v>
      </c>
      <c r="K137" s="6" t="n">
        <f aca="false">G137*H137</f>
        <v>1398</v>
      </c>
      <c r="L137" s="6" t="n">
        <f aca="false">K137*J137</f>
        <v>279.6</v>
      </c>
      <c r="M137" s="6" t="n">
        <f aca="false">K137-L137</f>
        <v>1118.4</v>
      </c>
      <c r="N137" s="6" t="n">
        <f aca="false">G137*I137</f>
        <v>600</v>
      </c>
      <c r="O137" s="6" t="n">
        <f aca="false">M137-N137</f>
        <v>518.4</v>
      </c>
      <c r="P137" s="21" t="n">
        <f aca="false">IFERROR(O137/M137,0)</f>
        <v>0.463519313304721</v>
      </c>
      <c r="Q137" s="6" t="str">
        <f aca="false">Orders!H137</f>
        <v>Processing</v>
      </c>
      <c r="R137" s="1" t="str">
        <f aca="false">INDEX(Customers!$C$2:$C$301,MATCH(C137,Customers!$A$2:$A$301,0))</f>
        <v>Bhopal</v>
      </c>
      <c r="S137" s="1" t="str">
        <f aca="false">INDEX(Customers!$E$2:$E$301,MATCH(C137,Customers!$A$2:$A$301,0))</f>
        <v>Returning</v>
      </c>
      <c r="T137" s="6" t="str">
        <f aca="false">Orders!I137</f>
        <v>Marketplace</v>
      </c>
      <c r="U137" s="1" t="str">
        <f aca="false">IF(Q137="Delivered","Completed",IF(Q137="Cancelled","Cancelled",IF(Q137="Returned","Returned","In Progress")))</f>
        <v>In Progress</v>
      </c>
      <c r="V137" s="1" t="str">
        <f aca="false">IF(M137&gt;=10000,"High Value",IF(M137&gt;=5000,"Medium Value","Low Value"))</f>
        <v>Low Value</v>
      </c>
      <c r="W137" s="1" t="str">
        <f aca="false">IF(O137&gt;0,"Profitable",IF(O137=0,"Break-even","Loss"))</f>
        <v>Profitable</v>
      </c>
      <c r="X137" s="1" t="str">
        <f aca="false">IF(Q137="Cancelled","Not Applicable",IF(Q137="Processing","Pending",IF(B137="","Unknown",IF(Orders!J137="","Unknown",IF(Orders!J137&lt;=3,"Fast",IF(Orders!J137&lt;=6,"Standard","Slow"))))))</f>
        <v>Pending</v>
      </c>
      <c r="Y137" s="1" t="n">
        <f aca="false">IF(OR(Q137="Cancelled",Q137="Returned"),0,O137)</f>
        <v>518.4</v>
      </c>
    </row>
    <row r="138" customFormat="false" ht="23.85" hidden="false" customHeight="false" outlineLevel="0" collapsed="false">
      <c r="A138" s="6" t="str">
        <f aca="false">Orders!A138</f>
        <v>O000137</v>
      </c>
      <c r="B138" s="19" t="n">
        <f aca="false">Orders!B138</f>
        <v>45658</v>
      </c>
      <c r="C138" s="6" t="str">
        <f aca="false">Orders!C138</f>
        <v>C0276</v>
      </c>
      <c r="D138" s="6" t="str">
        <f aca="false">Orders!D138</f>
        <v>P1012</v>
      </c>
      <c r="E138" s="6" t="str">
        <f aca="false">INDEX(Products!$B$2:$B$101,MATCH(D138,Products!$A$2:$A$101,0))</f>
        <v>Charging Adapter</v>
      </c>
      <c r="F138" s="1" t="str">
        <f aca="false">INDEX(Products!$C$2:$C$101,MATCH(D138,Products!$A$2:$A$101,0))</f>
        <v>Electronics</v>
      </c>
      <c r="G138" s="6" t="n">
        <f aca="false">Orders!E138</f>
        <v>1</v>
      </c>
      <c r="H138" s="16" t="n">
        <f aca="false">INDEX(Products!$D$2:$D$101,MATCH(D138,Products!$A$2:$A$101,0))</f>
        <v>599</v>
      </c>
      <c r="I138" s="16" t="n">
        <f aca="false">INDEX(Products!$E$2:$E$101,MATCH(D138,Products!$A$2:$A$101,0))</f>
        <v>260</v>
      </c>
      <c r="J138" s="20" t="n">
        <f aca="false">Orders!F138</f>
        <v>0.25</v>
      </c>
      <c r="K138" s="6" t="n">
        <f aca="false">G138*H138</f>
        <v>599</v>
      </c>
      <c r="L138" s="6" t="n">
        <f aca="false">K138*J138</f>
        <v>149.75</v>
      </c>
      <c r="M138" s="6" t="n">
        <f aca="false">K138-L138</f>
        <v>449.25</v>
      </c>
      <c r="N138" s="6" t="n">
        <f aca="false">G138*I138</f>
        <v>260</v>
      </c>
      <c r="O138" s="6" t="n">
        <f aca="false">M138-N138</f>
        <v>189.25</v>
      </c>
      <c r="P138" s="21" t="n">
        <f aca="false">IFERROR(O138/M138,0)</f>
        <v>0.421257651641625</v>
      </c>
      <c r="Q138" s="6" t="str">
        <f aca="false">Orders!H138</f>
        <v>Processing</v>
      </c>
      <c r="R138" s="1" t="str">
        <f aca="false">INDEX(Customers!$C$2:$C$301,MATCH(C138,Customers!$A$2:$A$301,0))</f>
        <v>Chandigarh</v>
      </c>
      <c r="S138" s="1" t="str">
        <f aca="false">INDEX(Customers!$E$2:$E$301,MATCH(C138,Customers!$A$2:$A$301,0))</f>
        <v>New</v>
      </c>
      <c r="T138" s="6" t="str">
        <f aca="false">Orders!I138</f>
        <v>Website</v>
      </c>
      <c r="U138" s="1" t="str">
        <f aca="false">IF(Q138="Delivered","Completed",IF(Q138="Cancelled","Cancelled",IF(Q138="Returned","Returned","In Progress")))</f>
        <v>In Progress</v>
      </c>
      <c r="V138" s="1" t="str">
        <f aca="false">IF(M138&gt;=10000,"High Value",IF(M138&gt;=5000,"Medium Value","Low Value"))</f>
        <v>Low Value</v>
      </c>
      <c r="W138" s="1" t="str">
        <f aca="false">IF(O138&gt;0,"Profitable",IF(O138=0,"Break-even","Loss"))</f>
        <v>Profitable</v>
      </c>
      <c r="X138" s="1" t="str">
        <f aca="false">IF(Q138="Cancelled","Not Applicable",IF(Q138="Processing","Pending",IF(B138="","Unknown",IF(Orders!J138="","Unknown",IF(Orders!J138&lt;=3,"Fast",IF(Orders!J138&lt;=6,"Standard","Slow"))))))</f>
        <v>Pending</v>
      </c>
      <c r="Y138" s="1" t="n">
        <f aca="false">IF(OR(Q138="Cancelled",Q138="Returned"),0,O138)</f>
        <v>189.25</v>
      </c>
    </row>
    <row r="139" customFormat="false" ht="15" hidden="false" customHeight="false" outlineLevel="0" collapsed="false">
      <c r="A139" s="6" t="str">
        <f aca="false">Orders!A139</f>
        <v>O000138</v>
      </c>
      <c r="B139" s="19" t="n">
        <f aca="false">Orders!B139</f>
        <v>45921</v>
      </c>
      <c r="C139" s="6" t="str">
        <f aca="false">Orders!C139</f>
        <v>C0285</v>
      </c>
      <c r="D139" s="6" t="str">
        <f aca="false">Orders!D139</f>
        <v>P1082</v>
      </c>
      <c r="E139" s="6" t="str">
        <f aca="false">INDEX(Products!$B$2:$B$101,MATCH(D139,Products!$A$2:$A$101,0))</f>
        <v>File Folder Set</v>
      </c>
      <c r="F139" s="1" t="str">
        <f aca="false">INDEX(Products!$C$2:$C$101,MATCH(D139,Products!$A$2:$A$101,0))</f>
        <v>Books &amp; Stationery</v>
      </c>
      <c r="G139" s="6" t="n">
        <f aca="false">Orders!E139</f>
        <v>1</v>
      </c>
      <c r="H139" s="16" t="n">
        <f aca="false">INDEX(Products!$D$2:$D$101,MATCH(D139,Products!$A$2:$A$101,0))</f>
        <v>249</v>
      </c>
      <c r="I139" s="16" t="n">
        <f aca="false">INDEX(Products!$E$2:$E$101,MATCH(D139,Products!$A$2:$A$101,0))</f>
        <v>90</v>
      </c>
      <c r="J139" s="20" t="n">
        <f aca="false">Orders!F139</f>
        <v>0</v>
      </c>
      <c r="K139" s="6" t="n">
        <f aca="false">G139*H139</f>
        <v>249</v>
      </c>
      <c r="L139" s="6" t="n">
        <f aca="false">K139*J139</f>
        <v>0</v>
      </c>
      <c r="M139" s="6" t="n">
        <f aca="false">K139-L139</f>
        <v>249</v>
      </c>
      <c r="N139" s="6" t="n">
        <f aca="false">G139*I139</f>
        <v>90</v>
      </c>
      <c r="O139" s="6" t="n">
        <f aca="false">M139-N139</f>
        <v>159</v>
      </c>
      <c r="P139" s="21" t="n">
        <f aca="false">IFERROR(O139/M139,0)</f>
        <v>0.63855421686747</v>
      </c>
      <c r="Q139" s="6" t="str">
        <f aca="false">Orders!H139</f>
        <v>Delivered</v>
      </c>
      <c r="R139" s="1" t="str">
        <f aca="false">INDEX(Customers!$C$2:$C$301,MATCH(C139,Customers!$A$2:$A$301,0))</f>
        <v>Chennai</v>
      </c>
      <c r="S139" s="1" t="str">
        <f aca="false">INDEX(Customers!$E$2:$E$301,MATCH(C139,Customers!$A$2:$A$301,0))</f>
        <v>New</v>
      </c>
      <c r="T139" s="6" t="str">
        <f aca="false">Orders!I139</f>
        <v>Mobile App</v>
      </c>
      <c r="U139" s="1" t="str">
        <f aca="false">IF(Q139="Delivered","Completed",IF(Q139="Cancelled","Cancelled",IF(Q139="Returned","Returned","In Progress")))</f>
        <v>Completed</v>
      </c>
      <c r="V139" s="1" t="str">
        <f aca="false">IF(M139&gt;=10000,"High Value",IF(M139&gt;=5000,"Medium Value","Low Value"))</f>
        <v>Low Value</v>
      </c>
      <c r="W139" s="1" t="str">
        <f aca="false">IF(O139&gt;0,"Profitable",IF(O139=0,"Break-even","Loss"))</f>
        <v>Profitable</v>
      </c>
      <c r="X139" s="1" t="str">
        <f aca="false">IF(Q139="Cancelled","Not Applicable",IF(Q139="Processing","Pending",IF(B139="","Unknown",IF(Orders!J139="","Unknown",IF(Orders!J139&lt;=3,"Fast",IF(Orders!J139&lt;=6,"Standard","Slow"))))))</f>
        <v>Standard</v>
      </c>
      <c r="Y139" s="1" t="n">
        <f aca="false">IF(OR(Q139="Cancelled",Q139="Returned"),0,O139)</f>
        <v>159</v>
      </c>
    </row>
    <row r="140" customFormat="false" ht="15" hidden="false" customHeight="false" outlineLevel="0" collapsed="false">
      <c r="A140" s="6" t="str">
        <f aca="false">Orders!A140</f>
        <v>O000139</v>
      </c>
      <c r="B140" s="19" t="n">
        <f aca="false">Orders!B140</f>
        <v>45937</v>
      </c>
      <c r="C140" s="6" t="str">
        <f aca="false">Orders!C140</f>
        <v>C0227</v>
      </c>
      <c r="D140" s="6" t="str">
        <f aca="false">Orders!D140</f>
        <v>P1086</v>
      </c>
      <c r="E140" s="6" t="str">
        <f aca="false">INDEX(Products!$B$2:$B$101,MATCH(D140,Products!$A$2:$A$101,0))</f>
        <v>Geometry Box</v>
      </c>
      <c r="F140" s="1" t="str">
        <f aca="false">INDEX(Products!$C$2:$C$101,MATCH(D140,Products!$A$2:$A$101,0))</f>
        <v>Books &amp; Stationery</v>
      </c>
      <c r="G140" s="6" t="n">
        <f aca="false">Orders!E140</f>
        <v>1</v>
      </c>
      <c r="H140" s="16" t="n">
        <f aca="false">INDEX(Products!$D$2:$D$101,MATCH(D140,Products!$A$2:$A$101,0))</f>
        <v>199</v>
      </c>
      <c r="I140" s="16" t="n">
        <f aca="false">INDEX(Products!$E$2:$E$101,MATCH(D140,Products!$A$2:$A$101,0))</f>
        <v>70</v>
      </c>
      <c r="J140" s="20" t="n">
        <f aca="false">Orders!F140</f>
        <v>0.2</v>
      </c>
      <c r="K140" s="6" t="n">
        <f aca="false">G140*H140</f>
        <v>199</v>
      </c>
      <c r="L140" s="6" t="n">
        <f aca="false">K140*J140</f>
        <v>39.8</v>
      </c>
      <c r="M140" s="6" t="n">
        <f aca="false">K140-L140</f>
        <v>159.2</v>
      </c>
      <c r="N140" s="6" t="n">
        <f aca="false">G140*I140</f>
        <v>70</v>
      </c>
      <c r="O140" s="6" t="n">
        <f aca="false">M140-N140</f>
        <v>89.2</v>
      </c>
      <c r="P140" s="21" t="n">
        <f aca="false">IFERROR(O140/M140,0)</f>
        <v>0.560301507537688</v>
      </c>
      <c r="Q140" s="6" t="str">
        <f aca="false">Orders!H140</f>
        <v>Delivered</v>
      </c>
      <c r="R140" s="1" t="str">
        <f aca="false">INDEX(Customers!$C$2:$C$301,MATCH(C140,Customers!$A$2:$A$301,0))</f>
        <v>Pune</v>
      </c>
      <c r="S140" s="1" t="str">
        <f aca="false">INDEX(Customers!$E$2:$E$301,MATCH(C140,Customers!$A$2:$A$301,0))</f>
        <v>Returning</v>
      </c>
      <c r="T140" s="6" t="str">
        <f aca="false">Orders!I140</f>
        <v>Marketplace</v>
      </c>
      <c r="U140" s="1" t="str">
        <f aca="false">IF(Q140="Delivered","Completed",IF(Q140="Cancelled","Cancelled",IF(Q140="Returned","Returned","In Progress")))</f>
        <v>Completed</v>
      </c>
      <c r="V140" s="1" t="str">
        <f aca="false">IF(M140&gt;=10000,"High Value",IF(M140&gt;=5000,"Medium Value","Low Value"))</f>
        <v>Low Value</v>
      </c>
      <c r="W140" s="1" t="str">
        <f aca="false">IF(O140&gt;0,"Profitable",IF(O140=0,"Break-even","Loss"))</f>
        <v>Profitable</v>
      </c>
      <c r="X140" s="1" t="str">
        <f aca="false">IF(Q140="Cancelled","Not Applicable",IF(Q140="Processing","Pending",IF(B140="","Unknown",IF(Orders!J140="","Unknown",IF(Orders!J140&lt;=3,"Fast",IF(Orders!J140&lt;=6,"Standard","Slow"))))))</f>
        <v>Fast</v>
      </c>
      <c r="Y140" s="1" t="n">
        <f aca="false">IF(OR(Q140="Cancelled",Q140="Returned"),0,O140)</f>
        <v>89.2</v>
      </c>
    </row>
    <row r="141" customFormat="false" ht="15" hidden="false" customHeight="false" outlineLevel="0" collapsed="false">
      <c r="A141" s="6" t="str">
        <f aca="false">Orders!A141</f>
        <v>O000140</v>
      </c>
      <c r="B141" s="19" t="n">
        <f aca="false">Orders!B141</f>
        <v>45727</v>
      </c>
      <c r="C141" s="6" t="str">
        <f aca="false">Orders!C141</f>
        <v>C0278</v>
      </c>
      <c r="D141" s="6" t="str">
        <f aca="false">Orders!D141</f>
        <v>P1064</v>
      </c>
      <c r="E141" s="6" t="str">
        <f aca="false">INDEX(Products!$B$2:$B$101,MATCH(D141,Products!$A$2:$A$101,0))</f>
        <v>Football</v>
      </c>
      <c r="F141" s="1" t="str">
        <f aca="false">INDEX(Products!$C$2:$C$101,MATCH(D141,Products!$A$2:$A$101,0))</f>
        <v>Sports &amp; Outdoors</v>
      </c>
      <c r="G141" s="6" t="n">
        <f aca="false">Orders!E141</f>
        <v>1</v>
      </c>
      <c r="H141" s="16" t="n">
        <f aca="false">INDEX(Products!$D$2:$D$101,MATCH(D141,Products!$A$2:$A$101,0))</f>
        <v>699</v>
      </c>
      <c r="I141" s="16" t="n">
        <f aca="false">INDEX(Products!$E$2:$E$101,MATCH(D141,Products!$A$2:$A$101,0))</f>
        <v>300</v>
      </c>
      <c r="J141" s="20" t="n">
        <f aca="false">Orders!F141</f>
        <v>0.2</v>
      </c>
      <c r="K141" s="6" t="n">
        <f aca="false">G141*H141</f>
        <v>699</v>
      </c>
      <c r="L141" s="6" t="n">
        <f aca="false">K141*J141</f>
        <v>139.8</v>
      </c>
      <c r="M141" s="6" t="n">
        <f aca="false">K141-L141</f>
        <v>559.2</v>
      </c>
      <c r="N141" s="6" t="n">
        <f aca="false">G141*I141</f>
        <v>300</v>
      </c>
      <c r="O141" s="6" t="n">
        <f aca="false">M141-N141</f>
        <v>259.2</v>
      </c>
      <c r="P141" s="21" t="n">
        <f aca="false">IFERROR(O141/M141,0)</f>
        <v>0.463519313304721</v>
      </c>
      <c r="Q141" s="6" t="str">
        <f aca="false">Orders!H141</f>
        <v>Delivered</v>
      </c>
      <c r="R141" s="1" t="str">
        <f aca="false">INDEX(Customers!$C$2:$C$301,MATCH(C141,Customers!$A$2:$A$301,0))</f>
        <v>Nagpur</v>
      </c>
      <c r="S141" s="1" t="str">
        <f aca="false">INDEX(Customers!$E$2:$E$301,MATCH(C141,Customers!$A$2:$A$301,0))</f>
        <v>Returning</v>
      </c>
      <c r="T141" s="6" t="str">
        <f aca="false">Orders!I141</f>
        <v>Website</v>
      </c>
      <c r="U141" s="1" t="str">
        <f aca="false">IF(Q141="Delivered","Completed",IF(Q141="Cancelled","Cancelled",IF(Q141="Returned","Returned","In Progress")))</f>
        <v>Completed</v>
      </c>
      <c r="V141" s="1" t="str">
        <f aca="false">IF(M141&gt;=10000,"High Value",IF(M141&gt;=5000,"Medium Value","Low Value"))</f>
        <v>Low Value</v>
      </c>
      <c r="W141" s="1" t="str">
        <f aca="false">IF(O141&gt;0,"Profitable",IF(O141=0,"Break-even","Loss"))</f>
        <v>Profitable</v>
      </c>
      <c r="X141" s="1" t="str">
        <f aca="false">IF(Q141="Cancelled","Not Applicable",IF(Q141="Processing","Pending",IF(B141="","Unknown",IF(Orders!J141="","Unknown",IF(Orders!J141&lt;=3,"Fast",IF(Orders!J141&lt;=6,"Standard","Slow"))))))</f>
        <v>Fast</v>
      </c>
      <c r="Y141" s="1" t="n">
        <f aca="false">IF(OR(Q141="Cancelled",Q141="Returned"),0,O141)</f>
        <v>259.2</v>
      </c>
    </row>
    <row r="142" customFormat="false" ht="15" hidden="false" customHeight="false" outlineLevel="0" collapsed="false">
      <c r="A142" s="6" t="str">
        <f aca="false">Orders!A142</f>
        <v>O000141</v>
      </c>
      <c r="B142" s="19" t="n">
        <f aca="false">Orders!B142</f>
        <v>45785</v>
      </c>
      <c r="C142" s="6" t="str">
        <f aca="false">Orders!C142</f>
        <v>C0225</v>
      </c>
      <c r="D142" s="6" t="str">
        <f aca="false">Orders!D142</f>
        <v>P1064</v>
      </c>
      <c r="E142" s="6" t="str">
        <f aca="false">INDEX(Products!$B$2:$B$101,MATCH(D142,Products!$A$2:$A$101,0))</f>
        <v>Football</v>
      </c>
      <c r="F142" s="1" t="str">
        <f aca="false">INDEX(Products!$C$2:$C$101,MATCH(D142,Products!$A$2:$A$101,0))</f>
        <v>Sports &amp; Outdoors</v>
      </c>
      <c r="G142" s="6" t="n">
        <f aca="false">Orders!E142</f>
        <v>1</v>
      </c>
      <c r="H142" s="16" t="n">
        <f aca="false">INDEX(Products!$D$2:$D$101,MATCH(D142,Products!$A$2:$A$101,0))</f>
        <v>699</v>
      </c>
      <c r="I142" s="16" t="n">
        <f aca="false">INDEX(Products!$E$2:$E$101,MATCH(D142,Products!$A$2:$A$101,0))</f>
        <v>300</v>
      </c>
      <c r="J142" s="20" t="n">
        <f aca="false">Orders!F142</f>
        <v>0.05</v>
      </c>
      <c r="K142" s="6" t="n">
        <f aca="false">G142*H142</f>
        <v>699</v>
      </c>
      <c r="L142" s="6" t="n">
        <f aca="false">K142*J142</f>
        <v>34.95</v>
      </c>
      <c r="M142" s="6" t="n">
        <f aca="false">K142-L142</f>
        <v>664.05</v>
      </c>
      <c r="N142" s="6" t="n">
        <f aca="false">G142*I142</f>
        <v>300</v>
      </c>
      <c r="O142" s="6" t="n">
        <f aca="false">M142-N142</f>
        <v>364.05</v>
      </c>
      <c r="P142" s="21" t="n">
        <f aca="false">IFERROR(O142/M142,0)</f>
        <v>0.548226790151344</v>
      </c>
      <c r="Q142" s="6" t="str">
        <f aca="false">Orders!H142</f>
        <v>Delivered</v>
      </c>
      <c r="R142" s="1" t="str">
        <f aca="false">INDEX(Customers!$C$2:$C$301,MATCH(C142,Customers!$A$2:$A$301,0))</f>
        <v>Chennai</v>
      </c>
      <c r="S142" s="1" t="str">
        <f aca="false">INDEX(Customers!$E$2:$E$301,MATCH(C142,Customers!$A$2:$A$301,0))</f>
        <v>Returning</v>
      </c>
      <c r="T142" s="6" t="str">
        <f aca="false">Orders!I142</f>
        <v>Mobile App</v>
      </c>
      <c r="U142" s="1" t="str">
        <f aca="false">IF(Q142="Delivered","Completed",IF(Q142="Cancelled","Cancelled",IF(Q142="Returned","Returned","In Progress")))</f>
        <v>Completed</v>
      </c>
      <c r="V142" s="1" t="str">
        <f aca="false">IF(M142&gt;=10000,"High Value",IF(M142&gt;=5000,"Medium Value","Low Value"))</f>
        <v>Low Value</v>
      </c>
      <c r="W142" s="1" t="str">
        <f aca="false">IF(O142&gt;0,"Profitable",IF(O142=0,"Break-even","Loss"))</f>
        <v>Profitable</v>
      </c>
      <c r="X142" s="1" t="str">
        <f aca="false">IF(Q142="Cancelled","Not Applicable",IF(Q142="Processing","Pending",IF(B142="","Unknown",IF(Orders!J142="","Unknown",IF(Orders!J142&lt;=3,"Fast",IF(Orders!J142&lt;=6,"Standard","Slow"))))))</f>
        <v>Fast</v>
      </c>
      <c r="Y142" s="1" t="n">
        <f aca="false">IF(OR(Q142="Cancelled",Q142="Returned"),0,O142)</f>
        <v>364.05</v>
      </c>
    </row>
    <row r="143" customFormat="false" ht="15" hidden="false" customHeight="false" outlineLevel="0" collapsed="false">
      <c r="A143" s="6" t="str">
        <f aca="false">Orders!A143</f>
        <v>O000142</v>
      </c>
      <c r="B143" s="19" t="n">
        <f aca="false">Orders!B143</f>
        <v>45938</v>
      </c>
      <c r="C143" s="6" t="str">
        <f aca="false">Orders!C143</f>
        <v>C0230</v>
      </c>
      <c r="D143" s="6" t="str">
        <f aca="false">Orders!D143</f>
        <v>P1073</v>
      </c>
      <c r="E143" s="6" t="str">
        <f aca="false">INDEX(Products!$B$2:$B$101,MATCH(D143,Products!$A$2:$A$101,0))</f>
        <v>Hiking Backpack</v>
      </c>
      <c r="F143" s="1" t="str">
        <f aca="false">INDEX(Products!$C$2:$C$101,MATCH(D143,Products!$A$2:$A$101,0))</f>
        <v>Sports &amp; Outdoors</v>
      </c>
      <c r="G143" s="6" t="n">
        <f aca="false">Orders!E143</f>
        <v>1</v>
      </c>
      <c r="H143" s="16" t="n">
        <f aca="false">INDEX(Products!$D$2:$D$101,MATCH(D143,Products!$A$2:$A$101,0))</f>
        <v>1999</v>
      </c>
      <c r="I143" s="16" t="n">
        <f aca="false">INDEX(Products!$E$2:$E$101,MATCH(D143,Products!$A$2:$A$101,0))</f>
        <v>1100</v>
      </c>
      <c r="J143" s="20" t="n">
        <f aca="false">Orders!F143</f>
        <v>0</v>
      </c>
      <c r="K143" s="6" t="n">
        <f aca="false">G143*H143</f>
        <v>1999</v>
      </c>
      <c r="L143" s="6" t="n">
        <f aca="false">K143*J143</f>
        <v>0</v>
      </c>
      <c r="M143" s="6" t="n">
        <f aca="false">K143-L143</f>
        <v>1999</v>
      </c>
      <c r="N143" s="6" t="n">
        <f aca="false">G143*I143</f>
        <v>1100</v>
      </c>
      <c r="O143" s="6" t="n">
        <f aca="false">M143-N143</f>
        <v>899</v>
      </c>
      <c r="P143" s="21" t="n">
        <f aca="false">IFERROR(O143/M143,0)</f>
        <v>0.449724862431216</v>
      </c>
      <c r="Q143" s="6" t="str">
        <f aca="false">Orders!H143</f>
        <v>Delivered</v>
      </c>
      <c r="R143" s="1" t="str">
        <f aca="false">INDEX(Customers!$C$2:$C$301,MATCH(C143,Customers!$A$2:$A$301,0))</f>
        <v>Lucknow</v>
      </c>
      <c r="S143" s="1" t="str">
        <f aca="false">INDEX(Customers!$E$2:$E$301,MATCH(C143,Customers!$A$2:$A$301,0))</f>
        <v>New</v>
      </c>
      <c r="T143" s="6" t="str">
        <f aca="false">Orders!I143</f>
        <v>Marketplace</v>
      </c>
      <c r="U143" s="1" t="str">
        <f aca="false">IF(Q143="Delivered","Completed",IF(Q143="Cancelled","Cancelled",IF(Q143="Returned","Returned","In Progress")))</f>
        <v>Completed</v>
      </c>
      <c r="V143" s="1" t="str">
        <f aca="false">IF(M143&gt;=10000,"High Value",IF(M143&gt;=5000,"Medium Value","Low Value"))</f>
        <v>Low Value</v>
      </c>
      <c r="W143" s="1" t="str">
        <f aca="false">IF(O143&gt;0,"Profitable",IF(O143=0,"Break-even","Loss"))</f>
        <v>Profitable</v>
      </c>
      <c r="X143" s="1" t="str">
        <f aca="false">IF(Q143="Cancelled","Not Applicable",IF(Q143="Processing","Pending",IF(B143="","Unknown",IF(Orders!J143="","Unknown",IF(Orders!J143&lt;=3,"Fast",IF(Orders!J143&lt;=6,"Standard","Slow"))))))</f>
        <v>Fast</v>
      </c>
      <c r="Y143" s="1" t="n">
        <f aca="false">IF(OR(Q143="Cancelled",Q143="Returned"),0,O143)</f>
        <v>899</v>
      </c>
    </row>
    <row r="144" customFormat="false" ht="15" hidden="false" customHeight="false" outlineLevel="0" collapsed="false">
      <c r="A144" s="6" t="str">
        <f aca="false">Orders!A144</f>
        <v>O000143</v>
      </c>
      <c r="B144" s="19" t="n">
        <f aca="false">Orders!B144</f>
        <v>45794</v>
      </c>
      <c r="C144" s="6" t="str">
        <f aca="false">Orders!C144</f>
        <v>C0198</v>
      </c>
      <c r="D144" s="6" t="str">
        <f aca="false">Orders!D144</f>
        <v>P1035</v>
      </c>
      <c r="E144" s="6" t="str">
        <f aca="false">INDEX(Products!$B$2:$B$101,MATCH(D144,Products!$A$2:$A$101,0))</f>
        <v>Nonstick Pan</v>
      </c>
      <c r="F144" s="1" t="str">
        <f aca="false">INDEX(Products!$C$2:$C$101,MATCH(D144,Products!$A$2:$A$101,0))</f>
        <v>Home &amp; Kitchen</v>
      </c>
      <c r="G144" s="6" t="n">
        <f aca="false">Orders!E144</f>
        <v>2</v>
      </c>
      <c r="H144" s="16" t="n">
        <f aca="false">INDEX(Products!$D$2:$D$101,MATCH(D144,Products!$A$2:$A$101,0))</f>
        <v>999</v>
      </c>
      <c r="I144" s="16" t="n">
        <f aca="false">INDEX(Products!$E$2:$E$101,MATCH(D144,Products!$A$2:$A$101,0))</f>
        <v>520</v>
      </c>
      <c r="J144" s="20" t="n">
        <f aca="false">Orders!F144</f>
        <v>0</v>
      </c>
      <c r="K144" s="6" t="n">
        <f aca="false">G144*H144</f>
        <v>1998</v>
      </c>
      <c r="L144" s="6" t="n">
        <f aca="false">K144*J144</f>
        <v>0</v>
      </c>
      <c r="M144" s="6" t="n">
        <f aca="false">K144-L144</f>
        <v>1998</v>
      </c>
      <c r="N144" s="6" t="n">
        <f aca="false">G144*I144</f>
        <v>1040</v>
      </c>
      <c r="O144" s="6" t="n">
        <f aca="false">M144-N144</f>
        <v>958</v>
      </c>
      <c r="P144" s="21" t="n">
        <f aca="false">IFERROR(O144/M144,0)</f>
        <v>0.47947947947948</v>
      </c>
      <c r="Q144" s="6" t="str">
        <f aca="false">Orders!H144</f>
        <v>Delivered</v>
      </c>
      <c r="R144" s="1" t="str">
        <f aca="false">INDEX(Customers!$C$2:$C$301,MATCH(C144,Customers!$A$2:$A$301,0))</f>
        <v>Nagpur</v>
      </c>
      <c r="S144" s="1" t="str">
        <f aca="false">INDEX(Customers!$E$2:$E$301,MATCH(C144,Customers!$A$2:$A$301,0))</f>
        <v>Returning</v>
      </c>
      <c r="T144" s="6" t="str">
        <f aca="false">Orders!I144</f>
        <v>Mobile App</v>
      </c>
      <c r="U144" s="1" t="str">
        <f aca="false">IF(Q144="Delivered","Completed",IF(Q144="Cancelled","Cancelled",IF(Q144="Returned","Returned","In Progress")))</f>
        <v>Completed</v>
      </c>
      <c r="V144" s="1" t="str">
        <f aca="false">IF(M144&gt;=10000,"High Value",IF(M144&gt;=5000,"Medium Value","Low Value"))</f>
        <v>Low Value</v>
      </c>
      <c r="W144" s="1" t="str">
        <f aca="false">IF(O144&gt;0,"Profitable",IF(O144=0,"Break-even","Loss"))</f>
        <v>Profitable</v>
      </c>
      <c r="X144" s="1" t="str">
        <f aca="false">IF(Q144="Cancelled","Not Applicable",IF(Q144="Processing","Pending",IF(B144="","Unknown",IF(Orders!J144="","Unknown",IF(Orders!J144&lt;=3,"Fast",IF(Orders!J144&lt;=6,"Standard","Slow"))))))</f>
        <v>Slow</v>
      </c>
      <c r="Y144" s="1" t="n">
        <f aca="false">IF(OR(Q144="Cancelled",Q144="Returned"),0,O144)</f>
        <v>958</v>
      </c>
    </row>
    <row r="145" customFormat="false" ht="23.85" hidden="false" customHeight="false" outlineLevel="0" collapsed="false">
      <c r="A145" s="6" t="str">
        <f aca="false">Orders!A145</f>
        <v>O000144</v>
      </c>
      <c r="B145" s="19" t="n">
        <f aca="false">Orders!B145</f>
        <v>45801</v>
      </c>
      <c r="C145" s="6" t="str">
        <f aca="false">Orders!C145</f>
        <v>C0087</v>
      </c>
      <c r="D145" s="6" t="str">
        <f aca="false">Orders!D145</f>
        <v>P1031</v>
      </c>
      <c r="E145" s="6" t="str">
        <f aca="false">INDEX(Products!$B$2:$B$101,MATCH(D145,Products!$A$2:$A$101,0))</f>
        <v>Storage Container Set</v>
      </c>
      <c r="F145" s="1" t="str">
        <f aca="false">INDEX(Products!$C$2:$C$101,MATCH(D145,Products!$A$2:$A$101,0))</f>
        <v>Home &amp; Kitchen</v>
      </c>
      <c r="G145" s="6" t="n">
        <f aca="false">Orders!E145</f>
        <v>1</v>
      </c>
      <c r="H145" s="16" t="n">
        <f aca="false">INDEX(Products!$D$2:$D$101,MATCH(D145,Products!$A$2:$A$101,0))</f>
        <v>699</v>
      </c>
      <c r="I145" s="16" t="n">
        <f aca="false">INDEX(Products!$E$2:$E$101,MATCH(D145,Products!$A$2:$A$101,0))</f>
        <v>300</v>
      </c>
      <c r="J145" s="20" t="n">
        <f aca="false">Orders!F145</f>
        <v>0.25</v>
      </c>
      <c r="K145" s="6" t="n">
        <f aca="false">G145*H145</f>
        <v>699</v>
      </c>
      <c r="L145" s="6" t="n">
        <f aca="false">K145*J145</f>
        <v>174.75</v>
      </c>
      <c r="M145" s="6" t="n">
        <f aca="false">K145-L145</f>
        <v>524.25</v>
      </c>
      <c r="N145" s="6" t="n">
        <f aca="false">G145*I145</f>
        <v>300</v>
      </c>
      <c r="O145" s="6" t="n">
        <f aca="false">M145-N145</f>
        <v>224.25</v>
      </c>
      <c r="P145" s="21" t="n">
        <f aca="false">IFERROR(O145/M145,0)</f>
        <v>0.427753934191702</v>
      </c>
      <c r="Q145" s="6" t="str">
        <f aca="false">Orders!H145</f>
        <v>Delivered</v>
      </c>
      <c r="R145" s="1" t="str">
        <f aca="false">INDEX(Customers!$C$2:$C$301,MATCH(C145,Customers!$A$2:$A$301,0))</f>
        <v>Pune</v>
      </c>
      <c r="S145" s="1" t="str">
        <f aca="false">INDEX(Customers!$E$2:$E$301,MATCH(C145,Customers!$A$2:$A$301,0))</f>
        <v>New</v>
      </c>
      <c r="T145" s="6" t="str">
        <f aca="false">Orders!I145</f>
        <v>Marketplace</v>
      </c>
      <c r="U145" s="1" t="str">
        <f aca="false">IF(Q145="Delivered","Completed",IF(Q145="Cancelled","Cancelled",IF(Q145="Returned","Returned","In Progress")))</f>
        <v>Completed</v>
      </c>
      <c r="V145" s="1" t="str">
        <f aca="false">IF(M145&gt;=10000,"High Value",IF(M145&gt;=5000,"Medium Value","Low Value"))</f>
        <v>Low Value</v>
      </c>
      <c r="W145" s="1" t="str">
        <f aca="false">IF(O145&gt;0,"Profitable",IF(O145=0,"Break-even","Loss"))</f>
        <v>Profitable</v>
      </c>
      <c r="X145" s="1" t="str">
        <f aca="false">IF(Q145="Cancelled","Not Applicable",IF(Q145="Processing","Pending",IF(B145="","Unknown",IF(Orders!J145="","Unknown",IF(Orders!J145&lt;=3,"Fast",IF(Orders!J145&lt;=6,"Standard","Slow"))))))</f>
        <v>Fast</v>
      </c>
      <c r="Y145" s="1" t="n">
        <f aca="false">IF(OR(Q145="Cancelled",Q145="Returned"),0,O145)</f>
        <v>224.25</v>
      </c>
    </row>
    <row r="146" customFormat="false" ht="23.85" hidden="false" customHeight="false" outlineLevel="0" collapsed="false">
      <c r="A146" s="6" t="str">
        <f aca="false">Orders!A146</f>
        <v>O000145</v>
      </c>
      <c r="B146" s="19" t="n">
        <f aca="false">Orders!B146</f>
        <v>45926</v>
      </c>
      <c r="C146" s="6" t="str">
        <f aca="false">Orders!C146</f>
        <v>C0078</v>
      </c>
      <c r="D146" s="6" t="str">
        <f aca="false">Orders!D146</f>
        <v>P1069</v>
      </c>
      <c r="E146" s="6" t="str">
        <f aca="false">INDEX(Products!$B$2:$B$101,MATCH(D146,Products!$A$2:$A$101,0))</f>
        <v>Sports Duffel Bag</v>
      </c>
      <c r="F146" s="1" t="str">
        <f aca="false">INDEX(Products!$C$2:$C$101,MATCH(D146,Products!$A$2:$A$101,0))</f>
        <v>Sports &amp; Outdoors</v>
      </c>
      <c r="G146" s="6" t="n">
        <f aca="false">Orders!E146</f>
        <v>2</v>
      </c>
      <c r="H146" s="16" t="n">
        <f aca="false">INDEX(Products!$D$2:$D$101,MATCH(D146,Products!$A$2:$A$101,0))</f>
        <v>999</v>
      </c>
      <c r="I146" s="16" t="n">
        <f aca="false">INDEX(Products!$E$2:$E$101,MATCH(D146,Products!$A$2:$A$101,0))</f>
        <v>500</v>
      </c>
      <c r="J146" s="20" t="n">
        <f aca="false">Orders!F146</f>
        <v>0.15</v>
      </c>
      <c r="K146" s="6" t="n">
        <f aca="false">G146*H146</f>
        <v>1998</v>
      </c>
      <c r="L146" s="6" t="n">
        <f aca="false">K146*J146</f>
        <v>299.7</v>
      </c>
      <c r="M146" s="6" t="n">
        <f aca="false">K146-L146</f>
        <v>1698.3</v>
      </c>
      <c r="N146" s="6" t="n">
        <f aca="false">G146*I146</f>
        <v>1000</v>
      </c>
      <c r="O146" s="6" t="n">
        <f aca="false">M146-N146</f>
        <v>698.3</v>
      </c>
      <c r="P146" s="21" t="n">
        <f aca="false">IFERROR(O146/M146,0)</f>
        <v>0.411175881764117</v>
      </c>
      <c r="Q146" s="6" t="str">
        <f aca="false">Orders!H146</f>
        <v>Delivered</v>
      </c>
      <c r="R146" s="1" t="str">
        <f aca="false">INDEX(Customers!$C$2:$C$301,MATCH(C146,Customers!$A$2:$A$301,0))</f>
        <v>Nagpur</v>
      </c>
      <c r="S146" s="1" t="str">
        <f aca="false">INDEX(Customers!$E$2:$E$301,MATCH(C146,Customers!$A$2:$A$301,0))</f>
        <v>New</v>
      </c>
      <c r="T146" s="6" t="str">
        <f aca="false">Orders!I146</f>
        <v>Mobile App</v>
      </c>
      <c r="U146" s="1" t="str">
        <f aca="false">IF(Q146="Delivered","Completed",IF(Q146="Cancelled","Cancelled",IF(Q146="Returned","Returned","In Progress")))</f>
        <v>Completed</v>
      </c>
      <c r="V146" s="1" t="str">
        <f aca="false">IF(M146&gt;=10000,"High Value",IF(M146&gt;=5000,"Medium Value","Low Value"))</f>
        <v>Low Value</v>
      </c>
      <c r="W146" s="1" t="str">
        <f aca="false">IF(O146&gt;0,"Profitable",IF(O146=0,"Break-even","Loss"))</f>
        <v>Profitable</v>
      </c>
      <c r="X146" s="1" t="str">
        <f aca="false">IF(Q146="Cancelled","Not Applicable",IF(Q146="Processing","Pending",IF(B146="","Unknown",IF(Orders!J146="","Unknown",IF(Orders!J146&lt;=3,"Fast",IF(Orders!J146&lt;=6,"Standard","Slow"))))))</f>
        <v>Standard</v>
      </c>
      <c r="Y146" s="1" t="n">
        <f aca="false">IF(OR(Q146="Cancelled",Q146="Returned"),0,O146)</f>
        <v>698.3</v>
      </c>
    </row>
    <row r="147" customFormat="false" ht="15" hidden="false" customHeight="false" outlineLevel="0" collapsed="false">
      <c r="A147" s="6" t="str">
        <f aca="false">Orders!A147</f>
        <v>O000146</v>
      </c>
      <c r="B147" s="19" t="n">
        <f aca="false">Orders!B147</f>
        <v>45916</v>
      </c>
      <c r="C147" s="6" t="str">
        <f aca="false">Orders!C147</f>
        <v>C0104</v>
      </c>
      <c r="D147" s="6" t="str">
        <f aca="false">Orders!D147</f>
        <v>P1085</v>
      </c>
      <c r="E147" s="6" t="str">
        <f aca="false">INDEX(Products!$B$2:$B$101,MATCH(D147,Products!$A$2:$A$101,0))</f>
        <v>Marker Set</v>
      </c>
      <c r="F147" s="1" t="str">
        <f aca="false">INDEX(Products!$C$2:$C$101,MATCH(D147,Products!$A$2:$A$101,0))</f>
        <v>Books &amp; Stationery</v>
      </c>
      <c r="G147" s="6" t="n">
        <f aca="false">Orders!E147</f>
        <v>1</v>
      </c>
      <c r="H147" s="16" t="n">
        <f aca="false">INDEX(Products!$D$2:$D$101,MATCH(D147,Products!$A$2:$A$101,0))</f>
        <v>299</v>
      </c>
      <c r="I147" s="16" t="n">
        <f aca="false">INDEX(Products!$E$2:$E$101,MATCH(D147,Products!$A$2:$A$101,0))</f>
        <v>110</v>
      </c>
      <c r="J147" s="20" t="n">
        <f aca="false">Orders!F147</f>
        <v>0.2</v>
      </c>
      <c r="K147" s="6" t="n">
        <f aca="false">G147*H147</f>
        <v>299</v>
      </c>
      <c r="L147" s="6" t="n">
        <f aca="false">K147*J147</f>
        <v>59.8</v>
      </c>
      <c r="M147" s="6" t="n">
        <f aca="false">K147-L147</f>
        <v>239.2</v>
      </c>
      <c r="N147" s="6" t="n">
        <f aca="false">G147*I147</f>
        <v>110</v>
      </c>
      <c r="O147" s="6" t="n">
        <f aca="false">M147-N147</f>
        <v>129.2</v>
      </c>
      <c r="P147" s="21" t="n">
        <f aca="false">IFERROR(O147/M147,0)</f>
        <v>0.540133779264214</v>
      </c>
      <c r="Q147" s="6" t="str">
        <f aca="false">Orders!H147</f>
        <v>Delivered</v>
      </c>
      <c r="R147" s="1" t="str">
        <f aca="false">INDEX(Customers!$C$2:$C$301,MATCH(C147,Customers!$A$2:$A$301,0))</f>
        <v>Hyderabad</v>
      </c>
      <c r="S147" s="1" t="str">
        <f aca="false">INDEX(Customers!$E$2:$E$301,MATCH(C147,Customers!$A$2:$A$301,0))</f>
        <v>New</v>
      </c>
      <c r="T147" s="6" t="str">
        <f aca="false">Orders!I147</f>
        <v>Mobile App</v>
      </c>
      <c r="U147" s="1" t="str">
        <f aca="false">IF(Q147="Delivered","Completed",IF(Q147="Cancelled","Cancelled",IF(Q147="Returned","Returned","In Progress")))</f>
        <v>Completed</v>
      </c>
      <c r="V147" s="1" t="str">
        <f aca="false">IF(M147&gt;=10000,"High Value",IF(M147&gt;=5000,"Medium Value","Low Value"))</f>
        <v>Low Value</v>
      </c>
      <c r="W147" s="1" t="str">
        <f aca="false">IF(O147&gt;0,"Profitable",IF(O147=0,"Break-even","Loss"))</f>
        <v>Profitable</v>
      </c>
      <c r="X147" s="1" t="str">
        <f aca="false">IF(Q147="Cancelled","Not Applicable",IF(Q147="Processing","Pending",IF(B147="","Unknown",IF(Orders!J147="","Unknown",IF(Orders!J147&lt;=3,"Fast",IF(Orders!J147&lt;=6,"Standard","Slow"))))))</f>
        <v>Fast</v>
      </c>
      <c r="Y147" s="1" t="n">
        <f aca="false">IF(OR(Q147="Cancelled",Q147="Returned"),0,O147)</f>
        <v>129.2</v>
      </c>
    </row>
    <row r="148" customFormat="false" ht="15" hidden="false" customHeight="false" outlineLevel="0" collapsed="false">
      <c r="A148" s="6" t="str">
        <f aca="false">Orders!A148</f>
        <v>O000147</v>
      </c>
      <c r="B148" s="19" t="n">
        <f aca="false">Orders!B148</f>
        <v>45784</v>
      </c>
      <c r="C148" s="6" t="str">
        <f aca="false">Orders!C148</f>
        <v>C0030</v>
      </c>
      <c r="D148" s="6" t="str">
        <f aca="false">Orders!D148</f>
        <v>P1036</v>
      </c>
      <c r="E148" s="6" t="str">
        <f aca="false">INDEX(Products!$B$2:$B$101,MATCH(D148,Products!$A$2:$A$101,0))</f>
        <v>Dinner Set</v>
      </c>
      <c r="F148" s="1" t="str">
        <f aca="false">INDEX(Products!$C$2:$C$101,MATCH(D148,Products!$A$2:$A$101,0))</f>
        <v>Home &amp; Kitchen</v>
      </c>
      <c r="G148" s="6" t="n">
        <f aca="false">Orders!E148</f>
        <v>1</v>
      </c>
      <c r="H148" s="16" t="n">
        <f aca="false">INDEX(Products!$D$2:$D$101,MATCH(D148,Products!$A$2:$A$101,0))</f>
        <v>1499</v>
      </c>
      <c r="I148" s="16" t="n">
        <f aca="false">INDEX(Products!$E$2:$E$101,MATCH(D148,Products!$A$2:$A$101,0))</f>
        <v>800</v>
      </c>
      <c r="J148" s="20" t="n">
        <f aca="false">Orders!F148</f>
        <v>0.1</v>
      </c>
      <c r="K148" s="6" t="n">
        <f aca="false">G148*H148</f>
        <v>1499</v>
      </c>
      <c r="L148" s="6" t="n">
        <f aca="false">K148*J148</f>
        <v>149.9</v>
      </c>
      <c r="M148" s="6" t="n">
        <f aca="false">K148-L148</f>
        <v>1349.1</v>
      </c>
      <c r="N148" s="6" t="n">
        <f aca="false">G148*I148</f>
        <v>800</v>
      </c>
      <c r="O148" s="6" t="n">
        <f aca="false">M148-N148</f>
        <v>549.1</v>
      </c>
      <c r="P148" s="21" t="n">
        <f aca="false">IFERROR(O148/M148,0)</f>
        <v>0.407012082128827</v>
      </c>
      <c r="Q148" s="6" t="str">
        <f aca="false">Orders!H148</f>
        <v>Cancelled</v>
      </c>
      <c r="R148" s="1" t="str">
        <f aca="false">INDEX(Customers!$C$2:$C$301,MATCH(C148,Customers!$A$2:$A$301,0))</f>
        <v>Lucknow</v>
      </c>
      <c r="S148" s="1" t="str">
        <f aca="false">INDEX(Customers!$E$2:$E$301,MATCH(C148,Customers!$A$2:$A$301,0))</f>
        <v>Returning</v>
      </c>
      <c r="T148" s="6" t="str">
        <f aca="false">Orders!I148</f>
        <v>Mobile App</v>
      </c>
      <c r="U148" s="1" t="str">
        <f aca="false">IF(Q148="Delivered","Completed",IF(Q148="Cancelled","Cancelled",IF(Q148="Returned","Returned","In Progress")))</f>
        <v>Cancelled</v>
      </c>
      <c r="V148" s="1" t="str">
        <f aca="false">IF(M148&gt;=10000,"High Value",IF(M148&gt;=5000,"Medium Value","Low Value"))</f>
        <v>Low Value</v>
      </c>
      <c r="W148" s="1" t="str">
        <f aca="false">IF(O148&gt;0,"Profitable",IF(O148=0,"Break-even","Loss"))</f>
        <v>Profitable</v>
      </c>
      <c r="X148" s="1" t="str">
        <f aca="false">IF(Q148="Cancelled","Not Applicable",IF(Q148="Processing","Pending",IF(B148="","Unknown",IF(Orders!J148="","Unknown",IF(Orders!J148&lt;=3,"Fast",IF(Orders!J148&lt;=6,"Standard","Slow"))))))</f>
        <v>Not Applicable</v>
      </c>
      <c r="Y148" s="1" t="n">
        <f aca="false">IF(OR(Q148="Cancelled",Q148="Returned"),0,O148)</f>
        <v>0</v>
      </c>
    </row>
    <row r="149" customFormat="false" ht="15" hidden="false" customHeight="false" outlineLevel="0" collapsed="false">
      <c r="A149" s="6" t="str">
        <f aca="false">Orders!A149</f>
        <v>O000148</v>
      </c>
      <c r="B149" s="19" t="n">
        <f aca="false">Orders!B149</f>
        <v>45789</v>
      </c>
      <c r="C149" s="6" t="str">
        <f aca="false">Orders!C149</f>
        <v>C0076</v>
      </c>
      <c r="D149" s="6" t="str">
        <f aca="false">Orders!D149</f>
        <v>P1077</v>
      </c>
      <c r="E149" s="6" t="str">
        <f aca="false">INDEX(Products!$B$2:$B$101,MATCH(D149,Products!$A$2:$A$101,0))</f>
        <v>Planner</v>
      </c>
      <c r="F149" s="1" t="str">
        <f aca="false">INDEX(Products!$C$2:$C$101,MATCH(D149,Products!$A$2:$A$101,0))</f>
        <v>Books &amp; Stationery</v>
      </c>
      <c r="G149" s="6" t="n">
        <f aca="false">Orders!E149</f>
        <v>2</v>
      </c>
      <c r="H149" s="16" t="n">
        <f aca="false">INDEX(Products!$D$2:$D$101,MATCH(D149,Products!$A$2:$A$101,0))</f>
        <v>349</v>
      </c>
      <c r="I149" s="16" t="n">
        <f aca="false">INDEX(Products!$E$2:$E$101,MATCH(D149,Products!$A$2:$A$101,0))</f>
        <v>130</v>
      </c>
      <c r="J149" s="20" t="n">
        <f aca="false">Orders!F149</f>
        <v>0.05</v>
      </c>
      <c r="K149" s="6" t="n">
        <f aca="false">G149*H149</f>
        <v>698</v>
      </c>
      <c r="L149" s="6" t="n">
        <f aca="false">K149*J149</f>
        <v>34.9</v>
      </c>
      <c r="M149" s="6" t="n">
        <f aca="false">K149-L149</f>
        <v>663.1</v>
      </c>
      <c r="N149" s="6" t="n">
        <f aca="false">G149*I149</f>
        <v>260</v>
      </c>
      <c r="O149" s="6" t="n">
        <f aca="false">M149-N149</f>
        <v>403.1</v>
      </c>
      <c r="P149" s="21" t="n">
        <f aca="false">IFERROR(O149/M149,0)</f>
        <v>0.607902277182929</v>
      </c>
      <c r="Q149" s="6" t="str">
        <f aca="false">Orders!H149</f>
        <v>Delivered</v>
      </c>
      <c r="R149" s="1" t="str">
        <f aca="false">INDEX(Customers!$C$2:$C$301,MATCH(C149,Customers!$A$2:$A$301,0))</f>
        <v>Chandigarh</v>
      </c>
      <c r="S149" s="1" t="str">
        <f aca="false">INDEX(Customers!$E$2:$E$301,MATCH(C149,Customers!$A$2:$A$301,0))</f>
        <v>Returning</v>
      </c>
      <c r="T149" s="6" t="str">
        <f aca="false">Orders!I149</f>
        <v>Website</v>
      </c>
      <c r="U149" s="1" t="str">
        <f aca="false">IF(Q149="Delivered","Completed",IF(Q149="Cancelled","Cancelled",IF(Q149="Returned","Returned","In Progress")))</f>
        <v>Completed</v>
      </c>
      <c r="V149" s="1" t="str">
        <f aca="false">IF(M149&gt;=10000,"High Value",IF(M149&gt;=5000,"Medium Value","Low Value"))</f>
        <v>Low Value</v>
      </c>
      <c r="W149" s="1" t="str">
        <f aca="false">IF(O149&gt;0,"Profitable",IF(O149=0,"Break-even","Loss"))</f>
        <v>Profitable</v>
      </c>
      <c r="X149" s="1" t="str">
        <f aca="false">IF(Q149="Cancelled","Not Applicable",IF(Q149="Processing","Pending",IF(B149="","Unknown",IF(Orders!J149="","Unknown",IF(Orders!J149&lt;=3,"Fast",IF(Orders!J149&lt;=6,"Standard","Slow"))))))</f>
        <v>Standard</v>
      </c>
      <c r="Y149" s="1" t="n">
        <f aca="false">IF(OR(Q149="Cancelled",Q149="Returned"),0,O149)</f>
        <v>403.1</v>
      </c>
    </row>
    <row r="150" customFormat="false" ht="15" hidden="false" customHeight="false" outlineLevel="0" collapsed="false">
      <c r="A150" s="6" t="str">
        <f aca="false">Orders!A150</f>
        <v>O000149</v>
      </c>
      <c r="B150" s="19" t="n">
        <f aca="false">Orders!B150</f>
        <v>45763</v>
      </c>
      <c r="C150" s="6" t="str">
        <f aca="false">Orders!C150</f>
        <v>C0108</v>
      </c>
      <c r="D150" s="6" t="str">
        <f aca="false">Orders!D150</f>
        <v>P1035</v>
      </c>
      <c r="E150" s="6" t="str">
        <f aca="false">INDEX(Products!$B$2:$B$101,MATCH(D150,Products!$A$2:$A$101,0))</f>
        <v>Nonstick Pan</v>
      </c>
      <c r="F150" s="1" t="str">
        <f aca="false">INDEX(Products!$C$2:$C$101,MATCH(D150,Products!$A$2:$A$101,0))</f>
        <v>Home &amp; Kitchen</v>
      </c>
      <c r="G150" s="6" t="n">
        <f aca="false">Orders!E150</f>
        <v>1</v>
      </c>
      <c r="H150" s="16" t="n">
        <f aca="false">INDEX(Products!$D$2:$D$101,MATCH(D150,Products!$A$2:$A$101,0))</f>
        <v>999</v>
      </c>
      <c r="I150" s="16" t="n">
        <f aca="false">INDEX(Products!$E$2:$E$101,MATCH(D150,Products!$A$2:$A$101,0))</f>
        <v>520</v>
      </c>
      <c r="J150" s="20" t="n">
        <f aca="false">Orders!F150</f>
        <v>0.15</v>
      </c>
      <c r="K150" s="6" t="n">
        <f aca="false">G150*H150</f>
        <v>999</v>
      </c>
      <c r="L150" s="6" t="n">
        <f aca="false">K150*J150</f>
        <v>149.85</v>
      </c>
      <c r="M150" s="6" t="n">
        <f aca="false">K150-L150</f>
        <v>849.15</v>
      </c>
      <c r="N150" s="6" t="n">
        <f aca="false">G150*I150</f>
        <v>520</v>
      </c>
      <c r="O150" s="6" t="n">
        <f aca="false">M150-N150</f>
        <v>329.15</v>
      </c>
      <c r="P150" s="21" t="n">
        <f aca="false">IFERROR(O150/M150,0)</f>
        <v>0.387622917034682</v>
      </c>
      <c r="Q150" s="6" t="str">
        <f aca="false">Orders!H150</f>
        <v>Delivered</v>
      </c>
      <c r="R150" s="1" t="str">
        <f aca="false">INDEX(Customers!$C$2:$C$301,MATCH(C150,Customers!$A$2:$A$301,0))</f>
        <v>Jaipur</v>
      </c>
      <c r="S150" s="1" t="str">
        <f aca="false">INDEX(Customers!$E$2:$E$301,MATCH(C150,Customers!$A$2:$A$301,0))</f>
        <v>Returning</v>
      </c>
      <c r="T150" s="6" t="str">
        <f aca="false">Orders!I150</f>
        <v>Mobile App</v>
      </c>
      <c r="U150" s="1" t="str">
        <f aca="false">IF(Q150="Delivered","Completed",IF(Q150="Cancelled","Cancelled",IF(Q150="Returned","Returned","In Progress")))</f>
        <v>Completed</v>
      </c>
      <c r="V150" s="1" t="str">
        <f aca="false">IF(M150&gt;=10000,"High Value",IF(M150&gt;=5000,"Medium Value","Low Value"))</f>
        <v>Low Value</v>
      </c>
      <c r="W150" s="1" t="str">
        <f aca="false">IF(O150&gt;0,"Profitable",IF(O150=0,"Break-even","Loss"))</f>
        <v>Profitable</v>
      </c>
      <c r="X150" s="1" t="str">
        <f aca="false">IF(Q150="Cancelled","Not Applicable",IF(Q150="Processing","Pending",IF(B150="","Unknown",IF(Orders!J150="","Unknown",IF(Orders!J150&lt;=3,"Fast",IF(Orders!J150&lt;=6,"Standard","Slow"))))))</f>
        <v>Fast</v>
      </c>
      <c r="Y150" s="1" t="n">
        <f aca="false">IF(OR(Q150="Cancelled",Q150="Returned"),0,O150)</f>
        <v>329.15</v>
      </c>
    </row>
    <row r="151" customFormat="false" ht="23.85" hidden="false" customHeight="false" outlineLevel="0" collapsed="false">
      <c r="A151" s="6" t="str">
        <f aca="false">Orders!A151</f>
        <v>O000150</v>
      </c>
      <c r="B151" s="19" t="n">
        <f aca="false">Orders!B151</f>
        <v>45982</v>
      </c>
      <c r="C151" s="6" t="str">
        <f aca="false">Orders!C151</f>
        <v>C0245</v>
      </c>
      <c r="D151" s="6" t="str">
        <f aca="false">Orders!D151</f>
        <v>P1081</v>
      </c>
      <c r="E151" s="6" t="str">
        <f aca="false">INDEX(Products!$B$2:$B$101,MATCH(D151,Products!$A$2:$A$101,0))</f>
        <v>Sticky Notes Pack</v>
      </c>
      <c r="F151" s="1" t="str">
        <f aca="false">INDEX(Products!$C$2:$C$101,MATCH(D151,Products!$A$2:$A$101,0))</f>
        <v>Books &amp; Stationery</v>
      </c>
      <c r="G151" s="6" t="n">
        <f aca="false">Orders!E151</f>
        <v>2</v>
      </c>
      <c r="H151" s="16" t="n">
        <f aca="false">INDEX(Products!$D$2:$D$101,MATCH(D151,Products!$A$2:$A$101,0))</f>
        <v>149</v>
      </c>
      <c r="I151" s="16" t="n">
        <f aca="false">INDEX(Products!$E$2:$E$101,MATCH(D151,Products!$A$2:$A$101,0))</f>
        <v>45</v>
      </c>
      <c r="J151" s="20" t="n">
        <f aca="false">Orders!F151</f>
        <v>0</v>
      </c>
      <c r="K151" s="6" t="n">
        <f aca="false">G151*H151</f>
        <v>298</v>
      </c>
      <c r="L151" s="6" t="n">
        <f aca="false">K151*J151</f>
        <v>0</v>
      </c>
      <c r="M151" s="6" t="n">
        <f aca="false">K151-L151</f>
        <v>298</v>
      </c>
      <c r="N151" s="6" t="n">
        <f aca="false">G151*I151</f>
        <v>90</v>
      </c>
      <c r="O151" s="6" t="n">
        <f aca="false">M151-N151</f>
        <v>208</v>
      </c>
      <c r="P151" s="21" t="n">
        <f aca="false">IFERROR(O151/M151,0)</f>
        <v>0.697986577181208</v>
      </c>
      <c r="Q151" s="6" t="str">
        <f aca="false">Orders!H151</f>
        <v>Delivered</v>
      </c>
      <c r="R151" s="1" t="str">
        <f aca="false">INDEX(Customers!$C$2:$C$301,MATCH(C151,Customers!$A$2:$A$301,0))</f>
        <v>Chennai</v>
      </c>
      <c r="S151" s="1" t="str">
        <f aca="false">INDEX(Customers!$E$2:$E$301,MATCH(C151,Customers!$A$2:$A$301,0))</f>
        <v>New</v>
      </c>
      <c r="T151" s="6" t="str">
        <f aca="false">Orders!I151</f>
        <v>Website</v>
      </c>
      <c r="U151" s="1" t="str">
        <f aca="false">IF(Q151="Delivered","Completed",IF(Q151="Cancelled","Cancelled",IF(Q151="Returned","Returned","In Progress")))</f>
        <v>Completed</v>
      </c>
      <c r="V151" s="1" t="str">
        <f aca="false">IF(M151&gt;=10000,"High Value",IF(M151&gt;=5000,"Medium Value","Low Value"))</f>
        <v>Low Value</v>
      </c>
      <c r="W151" s="1" t="str">
        <f aca="false">IF(O151&gt;0,"Profitable",IF(O151=0,"Break-even","Loss"))</f>
        <v>Profitable</v>
      </c>
      <c r="X151" s="1" t="str">
        <f aca="false">IF(Q151="Cancelled","Not Applicable",IF(Q151="Processing","Pending",IF(B151="","Unknown",IF(Orders!J151="","Unknown",IF(Orders!J151&lt;=3,"Fast",IF(Orders!J151&lt;=6,"Standard","Slow"))))))</f>
        <v>Slow</v>
      </c>
      <c r="Y151" s="1" t="n">
        <f aca="false">IF(OR(Q151="Cancelled",Q151="Returned"),0,O151)</f>
        <v>208</v>
      </c>
    </row>
    <row r="152" customFormat="false" ht="15" hidden="false" customHeight="false" outlineLevel="0" collapsed="false">
      <c r="A152" s="6" t="str">
        <f aca="false">Orders!A152</f>
        <v>O000151</v>
      </c>
      <c r="B152" s="19" t="n">
        <f aca="false">Orders!B152</f>
        <v>45755</v>
      </c>
      <c r="C152" s="6" t="str">
        <f aca="false">Orders!C152</f>
        <v>C0137</v>
      </c>
      <c r="D152" s="6" t="str">
        <f aca="false">Orders!D152</f>
        <v>P1067</v>
      </c>
      <c r="E152" s="6" t="str">
        <f aca="false">INDEX(Products!$B$2:$B$101,MATCH(D152,Products!$A$2:$A$101,0))</f>
        <v>Camping Torch</v>
      </c>
      <c r="F152" s="1" t="str">
        <f aca="false">INDEX(Products!$C$2:$C$101,MATCH(D152,Products!$A$2:$A$101,0))</f>
        <v>Sports &amp; Outdoors</v>
      </c>
      <c r="G152" s="6" t="n">
        <f aca="false">Orders!E152</f>
        <v>3</v>
      </c>
      <c r="H152" s="16" t="n">
        <f aca="false">INDEX(Products!$D$2:$D$101,MATCH(D152,Products!$A$2:$A$101,0))</f>
        <v>599</v>
      </c>
      <c r="I152" s="16" t="n">
        <f aca="false">INDEX(Products!$E$2:$E$101,MATCH(D152,Products!$A$2:$A$101,0))</f>
        <v>250</v>
      </c>
      <c r="J152" s="20" t="n">
        <f aca="false">Orders!F152</f>
        <v>0.15</v>
      </c>
      <c r="K152" s="6" t="n">
        <f aca="false">G152*H152</f>
        <v>1797</v>
      </c>
      <c r="L152" s="6" t="n">
        <f aca="false">K152*J152</f>
        <v>269.55</v>
      </c>
      <c r="M152" s="6" t="n">
        <f aca="false">K152-L152</f>
        <v>1527.45</v>
      </c>
      <c r="N152" s="6" t="n">
        <f aca="false">G152*I152</f>
        <v>750</v>
      </c>
      <c r="O152" s="6" t="n">
        <f aca="false">M152-N152</f>
        <v>777.45</v>
      </c>
      <c r="P152" s="21" t="n">
        <f aca="false">IFERROR(O152/M152,0)</f>
        <v>0.508985564175587</v>
      </c>
      <c r="Q152" s="6" t="str">
        <f aca="false">Orders!H152</f>
        <v>Returned</v>
      </c>
      <c r="R152" s="1" t="str">
        <f aca="false">INDEX(Customers!$C$2:$C$301,MATCH(C152,Customers!$A$2:$A$301,0))</f>
        <v>Surat</v>
      </c>
      <c r="S152" s="1" t="str">
        <f aca="false">INDEX(Customers!$E$2:$E$301,MATCH(C152,Customers!$A$2:$A$301,0))</f>
        <v>New</v>
      </c>
      <c r="T152" s="6" t="str">
        <f aca="false">Orders!I152</f>
        <v>Mobile App</v>
      </c>
      <c r="U152" s="1" t="str">
        <f aca="false">IF(Q152="Delivered","Completed",IF(Q152="Cancelled","Cancelled",IF(Q152="Returned","Returned","In Progress")))</f>
        <v>Returned</v>
      </c>
      <c r="V152" s="1" t="str">
        <f aca="false">IF(M152&gt;=10000,"High Value",IF(M152&gt;=5000,"Medium Value","Low Value"))</f>
        <v>Low Value</v>
      </c>
      <c r="W152" s="1" t="str">
        <f aca="false">IF(O152&gt;0,"Profitable",IF(O152=0,"Break-even","Loss"))</f>
        <v>Profitable</v>
      </c>
      <c r="X152" s="1" t="str">
        <f aca="false">IF(Q152="Cancelled","Not Applicable",IF(Q152="Processing","Pending",IF(B152="","Unknown",IF(Orders!J152="","Unknown",IF(Orders!J152&lt;=3,"Fast",IF(Orders!J152&lt;=6,"Standard","Slow"))))))</f>
        <v>Fast</v>
      </c>
      <c r="Y152" s="1" t="n">
        <f aca="false">IF(OR(Q152="Cancelled",Q152="Returned"),0,O152)</f>
        <v>0</v>
      </c>
    </row>
    <row r="153" customFormat="false" ht="15" hidden="false" customHeight="false" outlineLevel="0" collapsed="false">
      <c r="A153" s="6" t="str">
        <f aca="false">Orders!A153</f>
        <v>O000152</v>
      </c>
      <c r="B153" s="19" t="n">
        <f aca="false">Orders!B153</f>
        <v>45689</v>
      </c>
      <c r="C153" s="6" t="str">
        <f aca="false">Orders!C153</f>
        <v>C0028</v>
      </c>
      <c r="D153" s="6" t="str">
        <f aca="false">Orders!D153</f>
        <v>P1066</v>
      </c>
      <c r="E153" s="6" t="str">
        <f aca="false">INDEX(Products!$B$2:$B$101,MATCH(D153,Products!$A$2:$A$101,0))</f>
        <v>Gym Gloves</v>
      </c>
      <c r="F153" s="1" t="str">
        <f aca="false">INDEX(Products!$C$2:$C$101,MATCH(D153,Products!$A$2:$A$101,0))</f>
        <v>Sports &amp; Outdoors</v>
      </c>
      <c r="G153" s="6" t="n">
        <f aca="false">Orders!E153</f>
        <v>2</v>
      </c>
      <c r="H153" s="16" t="n">
        <f aca="false">INDEX(Products!$D$2:$D$101,MATCH(D153,Products!$A$2:$A$101,0))</f>
        <v>499</v>
      </c>
      <c r="I153" s="16" t="n">
        <f aca="false">INDEX(Products!$E$2:$E$101,MATCH(D153,Products!$A$2:$A$101,0))</f>
        <v>200</v>
      </c>
      <c r="J153" s="20" t="n">
        <f aca="false">Orders!F153</f>
        <v>0.25</v>
      </c>
      <c r="K153" s="6" t="n">
        <f aca="false">G153*H153</f>
        <v>998</v>
      </c>
      <c r="L153" s="6" t="n">
        <f aca="false">K153*J153</f>
        <v>249.5</v>
      </c>
      <c r="M153" s="6" t="n">
        <f aca="false">K153-L153</f>
        <v>748.5</v>
      </c>
      <c r="N153" s="6" t="n">
        <f aca="false">G153*I153</f>
        <v>400</v>
      </c>
      <c r="O153" s="6" t="n">
        <f aca="false">M153-N153</f>
        <v>348.5</v>
      </c>
      <c r="P153" s="21" t="n">
        <f aca="false">IFERROR(O153/M153,0)</f>
        <v>0.46559786239145</v>
      </c>
      <c r="Q153" s="6" t="str">
        <f aca="false">Orders!H153</f>
        <v>Delivered</v>
      </c>
      <c r="R153" s="1" t="str">
        <f aca="false">INDEX(Customers!$C$2:$C$301,MATCH(C153,Customers!$A$2:$A$301,0))</f>
        <v>Jaipur</v>
      </c>
      <c r="S153" s="1" t="str">
        <f aca="false">INDEX(Customers!$E$2:$E$301,MATCH(C153,Customers!$A$2:$A$301,0))</f>
        <v>VIP</v>
      </c>
      <c r="T153" s="6" t="str">
        <f aca="false">Orders!I153</f>
        <v>Mobile App</v>
      </c>
      <c r="U153" s="1" t="str">
        <f aca="false">IF(Q153="Delivered","Completed",IF(Q153="Cancelled","Cancelled",IF(Q153="Returned","Returned","In Progress")))</f>
        <v>Completed</v>
      </c>
      <c r="V153" s="1" t="str">
        <f aca="false">IF(M153&gt;=10000,"High Value",IF(M153&gt;=5000,"Medium Value","Low Value"))</f>
        <v>Low Value</v>
      </c>
      <c r="W153" s="1" t="str">
        <f aca="false">IF(O153&gt;0,"Profitable",IF(O153=0,"Break-even","Loss"))</f>
        <v>Profitable</v>
      </c>
      <c r="X153" s="1" t="str">
        <f aca="false">IF(Q153="Cancelled","Not Applicable",IF(Q153="Processing","Pending",IF(B153="","Unknown",IF(Orders!J153="","Unknown",IF(Orders!J153&lt;=3,"Fast",IF(Orders!J153&lt;=6,"Standard","Slow"))))))</f>
        <v>Standard</v>
      </c>
      <c r="Y153" s="1" t="n">
        <f aca="false">IF(OR(Q153="Cancelled",Q153="Returned"),0,O153)</f>
        <v>348.5</v>
      </c>
    </row>
    <row r="154" customFormat="false" ht="15" hidden="false" customHeight="false" outlineLevel="0" collapsed="false">
      <c r="A154" s="6" t="str">
        <f aca="false">Orders!A154</f>
        <v>O000153</v>
      </c>
      <c r="B154" s="19" t="n">
        <f aca="false">Orders!B154</f>
        <v>45660</v>
      </c>
      <c r="C154" s="6" t="str">
        <f aca="false">Orders!C154</f>
        <v>C0004</v>
      </c>
      <c r="D154" s="6" t="str">
        <f aca="false">Orders!D154</f>
        <v>P1084</v>
      </c>
      <c r="E154" s="6" t="str">
        <f aca="false">INDEX(Products!$B$2:$B$101,MATCH(D154,Products!$A$2:$A$101,0))</f>
        <v>Whiteboard</v>
      </c>
      <c r="F154" s="1" t="str">
        <f aca="false">INDEX(Products!$C$2:$C$101,MATCH(D154,Products!$A$2:$A$101,0))</f>
        <v>Books &amp; Stationery</v>
      </c>
      <c r="G154" s="6" t="n">
        <f aca="false">Orders!E154</f>
        <v>1</v>
      </c>
      <c r="H154" s="16" t="n">
        <f aca="false">INDEX(Products!$D$2:$D$101,MATCH(D154,Products!$A$2:$A$101,0))</f>
        <v>799</v>
      </c>
      <c r="I154" s="16" t="n">
        <f aca="false">INDEX(Products!$E$2:$E$101,MATCH(D154,Products!$A$2:$A$101,0))</f>
        <v>420</v>
      </c>
      <c r="J154" s="20" t="n">
        <f aca="false">Orders!F154</f>
        <v>0</v>
      </c>
      <c r="K154" s="6" t="n">
        <f aca="false">G154*H154</f>
        <v>799</v>
      </c>
      <c r="L154" s="6" t="n">
        <f aca="false">K154*J154</f>
        <v>0</v>
      </c>
      <c r="M154" s="6" t="n">
        <f aca="false">K154-L154</f>
        <v>799</v>
      </c>
      <c r="N154" s="6" t="n">
        <f aca="false">G154*I154</f>
        <v>420</v>
      </c>
      <c r="O154" s="6" t="n">
        <f aca="false">M154-N154</f>
        <v>379</v>
      </c>
      <c r="P154" s="21" t="n">
        <f aca="false">IFERROR(O154/M154,0)</f>
        <v>0.474342928660826</v>
      </c>
      <c r="Q154" s="6" t="str">
        <f aca="false">Orders!H154</f>
        <v>Delivered</v>
      </c>
      <c r="R154" s="1" t="str">
        <f aca="false">INDEX(Customers!$C$2:$C$301,MATCH(C154,Customers!$A$2:$A$301,0))</f>
        <v>Hyderabad</v>
      </c>
      <c r="S154" s="1" t="str">
        <f aca="false">INDEX(Customers!$E$2:$E$301,MATCH(C154,Customers!$A$2:$A$301,0))</f>
        <v>Returning</v>
      </c>
      <c r="T154" s="6" t="str">
        <f aca="false">Orders!I154</f>
        <v>Website</v>
      </c>
      <c r="U154" s="1" t="str">
        <f aca="false">IF(Q154="Delivered","Completed",IF(Q154="Cancelled","Cancelled",IF(Q154="Returned","Returned","In Progress")))</f>
        <v>Completed</v>
      </c>
      <c r="V154" s="1" t="str">
        <f aca="false">IF(M154&gt;=10000,"High Value",IF(M154&gt;=5000,"Medium Value","Low Value"))</f>
        <v>Low Value</v>
      </c>
      <c r="W154" s="1" t="str">
        <f aca="false">IF(O154&gt;0,"Profitable",IF(O154=0,"Break-even","Loss"))</f>
        <v>Profitable</v>
      </c>
      <c r="X154" s="1" t="str">
        <f aca="false">IF(Q154="Cancelled","Not Applicable",IF(Q154="Processing","Pending",IF(B154="","Unknown",IF(Orders!J154="","Unknown",IF(Orders!J154&lt;=3,"Fast",IF(Orders!J154&lt;=6,"Standard","Slow"))))))</f>
        <v>Fast</v>
      </c>
      <c r="Y154" s="1" t="n">
        <f aca="false">IF(OR(Q154="Cancelled",Q154="Returned"),0,O154)</f>
        <v>379</v>
      </c>
    </row>
    <row r="155" customFormat="false" ht="15" hidden="false" customHeight="false" outlineLevel="0" collapsed="false">
      <c r="A155" s="6" t="str">
        <f aca="false">Orders!A155</f>
        <v>O000154</v>
      </c>
      <c r="B155" s="19" t="n">
        <f aca="false">Orders!B155</f>
        <v>45770</v>
      </c>
      <c r="C155" s="6" t="str">
        <f aca="false">Orders!C155</f>
        <v>C0026</v>
      </c>
      <c r="D155" s="6" t="str">
        <f aca="false">Orders!D155</f>
        <v>P1075</v>
      </c>
      <c r="E155" s="6" t="str">
        <f aca="false">INDEX(Products!$B$2:$B$101,MATCH(D155,Products!$A$2:$A$101,0))</f>
        <v>Ball Pen Set</v>
      </c>
      <c r="F155" s="1" t="str">
        <f aca="false">INDEX(Products!$C$2:$C$101,MATCH(D155,Products!$A$2:$A$101,0))</f>
        <v>Books &amp; Stationery</v>
      </c>
      <c r="G155" s="6" t="n">
        <f aca="false">Orders!E155</f>
        <v>3</v>
      </c>
      <c r="H155" s="16" t="n">
        <f aca="false">INDEX(Products!$D$2:$D$101,MATCH(D155,Products!$A$2:$A$101,0))</f>
        <v>199</v>
      </c>
      <c r="I155" s="16" t="n">
        <f aca="false">INDEX(Products!$E$2:$E$101,MATCH(D155,Products!$A$2:$A$101,0))</f>
        <v>65</v>
      </c>
      <c r="J155" s="20" t="n">
        <f aca="false">Orders!F155</f>
        <v>0</v>
      </c>
      <c r="K155" s="6" t="n">
        <f aca="false">G155*H155</f>
        <v>597</v>
      </c>
      <c r="L155" s="6" t="n">
        <f aca="false">K155*J155</f>
        <v>0</v>
      </c>
      <c r="M155" s="6" t="n">
        <f aca="false">K155-L155</f>
        <v>597</v>
      </c>
      <c r="N155" s="6" t="n">
        <f aca="false">G155*I155</f>
        <v>195</v>
      </c>
      <c r="O155" s="6" t="n">
        <f aca="false">M155-N155</f>
        <v>402</v>
      </c>
      <c r="P155" s="21" t="n">
        <f aca="false">IFERROR(O155/M155,0)</f>
        <v>0.673366834170854</v>
      </c>
      <c r="Q155" s="6" t="str">
        <f aca="false">Orders!H155</f>
        <v>Returned</v>
      </c>
      <c r="R155" s="1" t="str">
        <f aca="false">INDEX(Customers!$C$2:$C$301,MATCH(C155,Customers!$A$2:$A$301,0))</f>
        <v>Kolkata</v>
      </c>
      <c r="S155" s="1" t="str">
        <f aca="false">INDEX(Customers!$E$2:$E$301,MATCH(C155,Customers!$A$2:$A$301,0))</f>
        <v>Returning</v>
      </c>
      <c r="T155" s="6" t="str">
        <f aca="false">Orders!I155</f>
        <v>Marketplace</v>
      </c>
      <c r="U155" s="1" t="str">
        <f aca="false">IF(Q155="Delivered","Completed",IF(Q155="Cancelled","Cancelled",IF(Q155="Returned","Returned","In Progress")))</f>
        <v>Returned</v>
      </c>
      <c r="V155" s="1" t="str">
        <f aca="false">IF(M155&gt;=10000,"High Value",IF(M155&gt;=5000,"Medium Value","Low Value"))</f>
        <v>Low Value</v>
      </c>
      <c r="W155" s="1" t="str">
        <f aca="false">IF(O155&gt;0,"Profitable",IF(O155=0,"Break-even","Loss"))</f>
        <v>Profitable</v>
      </c>
      <c r="X155" s="1" t="str">
        <f aca="false">IF(Q155="Cancelled","Not Applicable",IF(Q155="Processing","Pending",IF(B155="","Unknown",IF(Orders!J155="","Unknown",IF(Orders!J155&lt;=3,"Fast",IF(Orders!J155&lt;=6,"Standard","Slow"))))))</f>
        <v>Standard</v>
      </c>
      <c r="Y155" s="1" t="n">
        <f aca="false">IF(OR(Q155="Cancelled",Q155="Returned"),0,O155)</f>
        <v>0</v>
      </c>
    </row>
    <row r="156" customFormat="false" ht="15" hidden="false" customHeight="false" outlineLevel="0" collapsed="false">
      <c r="A156" s="6" t="str">
        <f aca="false">Orders!A156</f>
        <v>O000155</v>
      </c>
      <c r="B156" s="19" t="n">
        <f aca="false">Orders!B156</f>
        <v>45804</v>
      </c>
      <c r="C156" s="6" t="str">
        <f aca="false">Orders!C156</f>
        <v>C0061</v>
      </c>
      <c r="D156" s="6" t="str">
        <f aca="false">Orders!D156</f>
        <v>P1048</v>
      </c>
      <c r="E156" s="6" t="str">
        <f aca="false">INDEX(Products!$B$2:$B$101,MATCH(D156,Products!$A$2:$A$101,0))</f>
        <v>Shampoo</v>
      </c>
      <c r="F156" s="1" t="str">
        <f aca="false">INDEX(Products!$C$2:$C$101,MATCH(D156,Products!$A$2:$A$101,0))</f>
        <v>Beauty</v>
      </c>
      <c r="G156" s="6" t="n">
        <f aca="false">Orders!E156</f>
        <v>2</v>
      </c>
      <c r="H156" s="16" t="n">
        <f aca="false">INDEX(Products!$D$2:$D$101,MATCH(D156,Products!$A$2:$A$101,0))</f>
        <v>349</v>
      </c>
      <c r="I156" s="16" t="n">
        <f aca="false">INDEX(Products!$E$2:$E$101,MATCH(D156,Products!$A$2:$A$101,0))</f>
        <v>150</v>
      </c>
      <c r="J156" s="20" t="n">
        <f aca="false">Orders!F156</f>
        <v>0.2</v>
      </c>
      <c r="K156" s="6" t="n">
        <f aca="false">G156*H156</f>
        <v>698</v>
      </c>
      <c r="L156" s="6" t="n">
        <f aca="false">K156*J156</f>
        <v>139.6</v>
      </c>
      <c r="M156" s="6" t="n">
        <f aca="false">K156-L156</f>
        <v>558.4</v>
      </c>
      <c r="N156" s="6" t="n">
        <f aca="false">G156*I156</f>
        <v>300</v>
      </c>
      <c r="O156" s="6" t="n">
        <f aca="false">M156-N156</f>
        <v>258.4</v>
      </c>
      <c r="P156" s="21" t="n">
        <f aca="false">IFERROR(O156/M156,0)</f>
        <v>0.462750716332378</v>
      </c>
      <c r="Q156" s="6" t="str">
        <f aca="false">Orders!H156</f>
        <v>Cancelled</v>
      </c>
      <c r="R156" s="1" t="str">
        <f aca="false">INDEX(Customers!$C$2:$C$301,MATCH(C156,Customers!$A$2:$A$301,0))</f>
        <v>Delhi</v>
      </c>
      <c r="S156" s="1" t="str">
        <f aca="false">INDEX(Customers!$E$2:$E$301,MATCH(C156,Customers!$A$2:$A$301,0))</f>
        <v>New</v>
      </c>
      <c r="T156" s="6" t="str">
        <f aca="false">Orders!I156</f>
        <v>Marketplace</v>
      </c>
      <c r="U156" s="1" t="str">
        <f aca="false">IF(Q156="Delivered","Completed",IF(Q156="Cancelled","Cancelled",IF(Q156="Returned","Returned","In Progress")))</f>
        <v>Cancelled</v>
      </c>
      <c r="V156" s="1" t="str">
        <f aca="false">IF(M156&gt;=10000,"High Value",IF(M156&gt;=5000,"Medium Value","Low Value"))</f>
        <v>Low Value</v>
      </c>
      <c r="W156" s="1" t="str">
        <f aca="false">IF(O156&gt;0,"Profitable",IF(O156=0,"Break-even","Loss"))</f>
        <v>Profitable</v>
      </c>
      <c r="X156" s="1" t="str">
        <f aca="false">IF(Q156="Cancelled","Not Applicable",IF(Q156="Processing","Pending",IF(B156="","Unknown",IF(Orders!J156="","Unknown",IF(Orders!J156&lt;=3,"Fast",IF(Orders!J156&lt;=6,"Standard","Slow"))))))</f>
        <v>Not Applicable</v>
      </c>
      <c r="Y156" s="1" t="n">
        <f aca="false">IF(OR(Q156="Cancelled",Q156="Returned"),0,O156)</f>
        <v>0</v>
      </c>
    </row>
    <row r="157" customFormat="false" ht="15" hidden="false" customHeight="false" outlineLevel="0" collapsed="false">
      <c r="A157" s="6" t="str">
        <f aca="false">Orders!A157</f>
        <v>O000156</v>
      </c>
      <c r="B157" s="19" t="n">
        <f aca="false">Orders!B157</f>
        <v>45739</v>
      </c>
      <c r="C157" s="6" t="str">
        <f aca="false">Orders!C157</f>
        <v>C0265</v>
      </c>
      <c r="D157" s="6" t="str">
        <f aca="false">Orders!D157</f>
        <v>P1032</v>
      </c>
      <c r="E157" s="6" t="str">
        <f aca="false">INDEX(Products!$B$2:$B$101,MATCH(D157,Products!$A$2:$A$101,0))</f>
        <v>Water Bottle</v>
      </c>
      <c r="F157" s="1" t="str">
        <f aca="false">INDEX(Products!$C$2:$C$101,MATCH(D157,Products!$A$2:$A$101,0))</f>
        <v>Home &amp; Kitchen</v>
      </c>
      <c r="G157" s="6" t="n">
        <f aca="false">Orders!E157</f>
        <v>4</v>
      </c>
      <c r="H157" s="16" t="n">
        <f aca="false">INDEX(Products!$D$2:$D$101,MATCH(D157,Products!$A$2:$A$101,0))</f>
        <v>399</v>
      </c>
      <c r="I157" s="16" t="n">
        <f aca="false">INDEX(Products!$E$2:$E$101,MATCH(D157,Products!$A$2:$A$101,0))</f>
        <v>150</v>
      </c>
      <c r="J157" s="20" t="n">
        <f aca="false">Orders!F157</f>
        <v>0.2</v>
      </c>
      <c r="K157" s="6" t="n">
        <f aca="false">G157*H157</f>
        <v>1596</v>
      </c>
      <c r="L157" s="6" t="n">
        <f aca="false">K157*J157</f>
        <v>319.2</v>
      </c>
      <c r="M157" s="6" t="n">
        <f aca="false">K157-L157</f>
        <v>1276.8</v>
      </c>
      <c r="N157" s="6" t="n">
        <f aca="false">G157*I157</f>
        <v>600</v>
      </c>
      <c r="O157" s="6" t="n">
        <f aca="false">M157-N157</f>
        <v>676.8</v>
      </c>
      <c r="P157" s="21" t="n">
        <f aca="false">IFERROR(O157/M157,0)</f>
        <v>0.530075187969925</v>
      </c>
      <c r="Q157" s="6" t="str">
        <f aca="false">Orders!H157</f>
        <v>Delivered</v>
      </c>
      <c r="R157" s="1" t="str">
        <f aca="false">INDEX(Customers!$C$2:$C$301,MATCH(C157,Customers!$A$2:$A$301,0))</f>
        <v>Chennai</v>
      </c>
      <c r="S157" s="1" t="str">
        <f aca="false">INDEX(Customers!$E$2:$E$301,MATCH(C157,Customers!$A$2:$A$301,0))</f>
        <v>VIP</v>
      </c>
      <c r="T157" s="6" t="str">
        <f aca="false">Orders!I157</f>
        <v>Mobile App</v>
      </c>
      <c r="U157" s="1" t="str">
        <f aca="false">IF(Q157="Delivered","Completed",IF(Q157="Cancelled","Cancelled",IF(Q157="Returned","Returned","In Progress")))</f>
        <v>Completed</v>
      </c>
      <c r="V157" s="1" t="str">
        <f aca="false">IF(M157&gt;=10000,"High Value",IF(M157&gt;=5000,"Medium Value","Low Value"))</f>
        <v>Low Value</v>
      </c>
      <c r="W157" s="1" t="str">
        <f aca="false">IF(O157&gt;0,"Profitable",IF(O157=0,"Break-even","Loss"))</f>
        <v>Profitable</v>
      </c>
      <c r="X157" s="1" t="str">
        <f aca="false">IF(Q157="Cancelled","Not Applicable",IF(Q157="Processing","Pending",IF(B157="","Unknown",IF(Orders!J157="","Unknown",IF(Orders!J157&lt;=3,"Fast",IF(Orders!J157&lt;=6,"Standard","Slow"))))))</f>
        <v>Slow</v>
      </c>
      <c r="Y157" s="1" t="n">
        <f aca="false">IF(OR(Q157="Cancelled",Q157="Returned"),0,O157)</f>
        <v>676.8</v>
      </c>
    </row>
    <row r="158" customFormat="false" ht="15" hidden="false" customHeight="false" outlineLevel="0" collapsed="false">
      <c r="A158" s="6" t="str">
        <f aca="false">Orders!A158</f>
        <v>O000157</v>
      </c>
      <c r="B158" s="19" t="n">
        <f aca="false">Orders!B158</f>
        <v>45835</v>
      </c>
      <c r="C158" s="6" t="str">
        <f aca="false">Orders!C158</f>
        <v>C0008</v>
      </c>
      <c r="D158" s="6" t="str">
        <f aca="false">Orders!D158</f>
        <v>P1022</v>
      </c>
      <c r="E158" s="6" t="str">
        <f aca="false">INDEX(Products!$B$2:$B$101,MATCH(D158,Products!$A$2:$A$101,0))</f>
        <v>Wallet</v>
      </c>
      <c r="F158" s="1" t="str">
        <f aca="false">INDEX(Products!$C$2:$C$101,MATCH(D158,Products!$A$2:$A$101,0))</f>
        <v>Fashion</v>
      </c>
      <c r="G158" s="6" t="n">
        <f aca="false">Orders!E158</f>
        <v>5</v>
      </c>
      <c r="H158" s="16" t="n">
        <f aca="false">INDEX(Products!$D$2:$D$101,MATCH(D158,Products!$A$2:$A$101,0))</f>
        <v>499</v>
      </c>
      <c r="I158" s="16" t="n">
        <f aca="false">INDEX(Products!$E$2:$E$101,MATCH(D158,Products!$A$2:$A$101,0))</f>
        <v>200</v>
      </c>
      <c r="J158" s="20" t="n">
        <f aca="false">Orders!F158</f>
        <v>0</v>
      </c>
      <c r="K158" s="6" t="n">
        <f aca="false">G158*H158</f>
        <v>2495</v>
      </c>
      <c r="L158" s="6" t="n">
        <f aca="false">K158*J158</f>
        <v>0</v>
      </c>
      <c r="M158" s="6" t="n">
        <f aca="false">K158-L158</f>
        <v>2495</v>
      </c>
      <c r="N158" s="6" t="n">
        <f aca="false">G158*I158</f>
        <v>1000</v>
      </c>
      <c r="O158" s="6" t="n">
        <f aca="false">M158-N158</f>
        <v>1495</v>
      </c>
      <c r="P158" s="21" t="n">
        <f aca="false">IFERROR(O158/M158,0)</f>
        <v>0.599198396793587</v>
      </c>
      <c r="Q158" s="6" t="str">
        <f aca="false">Orders!H158</f>
        <v>Delivered</v>
      </c>
      <c r="R158" s="1" t="str">
        <f aca="false">INDEX(Customers!$C$2:$C$301,MATCH(C158,Customers!$A$2:$A$301,0))</f>
        <v>Jaipur</v>
      </c>
      <c r="S158" s="1" t="str">
        <f aca="false">INDEX(Customers!$E$2:$E$301,MATCH(C158,Customers!$A$2:$A$301,0))</f>
        <v>New</v>
      </c>
      <c r="T158" s="6" t="str">
        <f aca="false">Orders!I158</f>
        <v>Website</v>
      </c>
      <c r="U158" s="1" t="str">
        <f aca="false">IF(Q158="Delivered","Completed",IF(Q158="Cancelled","Cancelled",IF(Q158="Returned","Returned","In Progress")))</f>
        <v>Completed</v>
      </c>
      <c r="V158" s="1" t="str">
        <f aca="false">IF(M158&gt;=10000,"High Value",IF(M158&gt;=5000,"Medium Value","Low Value"))</f>
        <v>Low Value</v>
      </c>
      <c r="W158" s="1" t="str">
        <f aca="false">IF(O158&gt;0,"Profitable",IF(O158=0,"Break-even","Loss"))</f>
        <v>Profitable</v>
      </c>
      <c r="X158" s="1" t="str">
        <f aca="false">IF(Q158="Cancelled","Not Applicable",IF(Q158="Processing","Pending",IF(B158="","Unknown",IF(Orders!J158="","Unknown",IF(Orders!J158&lt;=3,"Fast",IF(Orders!J158&lt;=6,"Standard","Slow"))))))</f>
        <v>Fast</v>
      </c>
      <c r="Y158" s="1" t="n">
        <f aca="false">IF(OR(Q158="Cancelled",Q158="Returned"),0,O158)</f>
        <v>1495</v>
      </c>
    </row>
    <row r="159" customFormat="false" ht="15" hidden="false" customHeight="false" outlineLevel="0" collapsed="false">
      <c r="A159" s="6" t="str">
        <f aca="false">Orders!A159</f>
        <v>O000158</v>
      </c>
      <c r="B159" s="19" t="n">
        <f aca="false">Orders!B159</f>
        <v>45895</v>
      </c>
      <c r="C159" s="6" t="str">
        <f aca="false">Orders!C159</f>
        <v>C0123</v>
      </c>
      <c r="D159" s="6" t="str">
        <f aca="false">Orders!D159</f>
        <v>P1062</v>
      </c>
      <c r="E159" s="6" t="str">
        <f aca="false">INDEX(Products!$B$2:$B$101,MATCH(D159,Products!$A$2:$A$101,0))</f>
        <v>Skipping Rope</v>
      </c>
      <c r="F159" s="1" t="str">
        <f aca="false">INDEX(Products!$C$2:$C$101,MATCH(D159,Products!$A$2:$A$101,0))</f>
        <v>Sports &amp; Outdoors</v>
      </c>
      <c r="G159" s="6" t="n">
        <f aca="false">Orders!E159</f>
        <v>2</v>
      </c>
      <c r="H159" s="16" t="n">
        <f aca="false">INDEX(Products!$D$2:$D$101,MATCH(D159,Products!$A$2:$A$101,0))</f>
        <v>249</v>
      </c>
      <c r="I159" s="16" t="n">
        <f aca="false">INDEX(Products!$E$2:$E$101,MATCH(D159,Products!$A$2:$A$101,0))</f>
        <v>80</v>
      </c>
      <c r="J159" s="20" t="n">
        <f aca="false">Orders!F159</f>
        <v>0.1</v>
      </c>
      <c r="K159" s="6" t="n">
        <f aca="false">G159*H159</f>
        <v>498</v>
      </c>
      <c r="L159" s="6" t="n">
        <f aca="false">K159*J159</f>
        <v>49.8</v>
      </c>
      <c r="M159" s="6" t="n">
        <f aca="false">K159-L159</f>
        <v>448.2</v>
      </c>
      <c r="N159" s="6" t="n">
        <f aca="false">G159*I159</f>
        <v>160</v>
      </c>
      <c r="O159" s="6" t="n">
        <f aca="false">M159-N159</f>
        <v>288.2</v>
      </c>
      <c r="P159" s="21" t="n">
        <f aca="false">IFERROR(O159/M159,0)</f>
        <v>0.64301651048639</v>
      </c>
      <c r="Q159" s="6" t="str">
        <f aca="false">Orders!H159</f>
        <v>Delivered</v>
      </c>
      <c r="R159" s="1" t="str">
        <f aca="false">INDEX(Customers!$C$2:$C$301,MATCH(C159,Customers!$A$2:$A$301,0))</f>
        <v>Bengaluru</v>
      </c>
      <c r="S159" s="1" t="str">
        <f aca="false">INDEX(Customers!$E$2:$E$301,MATCH(C159,Customers!$A$2:$A$301,0))</f>
        <v>Returning</v>
      </c>
      <c r="T159" s="6" t="str">
        <f aca="false">Orders!I159</f>
        <v>Marketplace</v>
      </c>
      <c r="U159" s="1" t="str">
        <f aca="false">IF(Q159="Delivered","Completed",IF(Q159="Cancelled","Cancelled",IF(Q159="Returned","Returned","In Progress")))</f>
        <v>Completed</v>
      </c>
      <c r="V159" s="1" t="str">
        <f aca="false">IF(M159&gt;=10000,"High Value",IF(M159&gt;=5000,"Medium Value","Low Value"))</f>
        <v>Low Value</v>
      </c>
      <c r="W159" s="1" t="str">
        <f aca="false">IF(O159&gt;0,"Profitable",IF(O159=0,"Break-even","Loss"))</f>
        <v>Profitable</v>
      </c>
      <c r="X159" s="1" t="str">
        <f aca="false">IF(Q159="Cancelled","Not Applicable",IF(Q159="Processing","Pending",IF(B159="","Unknown",IF(Orders!J159="","Unknown",IF(Orders!J159&lt;=3,"Fast",IF(Orders!J159&lt;=6,"Standard","Slow"))))))</f>
        <v>Standard</v>
      </c>
      <c r="Y159" s="1" t="n">
        <f aca="false">IF(OR(Q159="Cancelled",Q159="Returned"),0,O159)</f>
        <v>288.2</v>
      </c>
    </row>
    <row r="160" customFormat="false" ht="15" hidden="false" customHeight="false" outlineLevel="0" collapsed="false">
      <c r="A160" s="6" t="str">
        <f aca="false">Orders!A160</f>
        <v>O000159</v>
      </c>
      <c r="B160" s="19" t="n">
        <f aca="false">Orders!B160</f>
        <v>45747</v>
      </c>
      <c r="C160" s="6" t="str">
        <f aca="false">Orders!C160</f>
        <v>C0049</v>
      </c>
      <c r="D160" s="6" t="str">
        <f aca="false">Orders!D160</f>
        <v>P1018</v>
      </c>
      <c r="E160" s="6" t="str">
        <f aca="false">INDEX(Products!$B$2:$B$101,MATCH(D160,Products!$A$2:$A$101,0))</f>
        <v>Cotton Shirt</v>
      </c>
      <c r="F160" s="1" t="str">
        <f aca="false">INDEX(Products!$C$2:$C$101,MATCH(D160,Products!$A$2:$A$101,0))</f>
        <v>Fashion</v>
      </c>
      <c r="G160" s="6" t="n">
        <f aca="false">Orders!E160</f>
        <v>1</v>
      </c>
      <c r="H160" s="16" t="n">
        <f aca="false">INDEX(Products!$D$2:$D$101,MATCH(D160,Products!$A$2:$A$101,0))</f>
        <v>899</v>
      </c>
      <c r="I160" s="16" t="n">
        <f aca="false">INDEX(Products!$E$2:$E$101,MATCH(D160,Products!$A$2:$A$101,0))</f>
        <v>420</v>
      </c>
      <c r="J160" s="20" t="n">
        <f aca="false">Orders!F160</f>
        <v>0</v>
      </c>
      <c r="K160" s="6" t="n">
        <f aca="false">G160*H160</f>
        <v>899</v>
      </c>
      <c r="L160" s="6" t="n">
        <f aca="false">K160*J160</f>
        <v>0</v>
      </c>
      <c r="M160" s="6" t="n">
        <f aca="false">K160-L160</f>
        <v>899</v>
      </c>
      <c r="N160" s="6" t="n">
        <f aca="false">G160*I160</f>
        <v>420</v>
      </c>
      <c r="O160" s="6" t="n">
        <f aca="false">M160-N160</f>
        <v>479</v>
      </c>
      <c r="P160" s="21" t="n">
        <f aca="false">IFERROR(O160/M160,0)</f>
        <v>0.532814238042269</v>
      </c>
      <c r="Q160" s="6" t="str">
        <f aca="false">Orders!H160</f>
        <v>Returned</v>
      </c>
      <c r="R160" s="1" t="str">
        <f aca="false">INDEX(Customers!$C$2:$C$301,MATCH(C160,Customers!$A$2:$A$301,0))</f>
        <v>Ahmedabad</v>
      </c>
      <c r="S160" s="1" t="str">
        <f aca="false">INDEX(Customers!$E$2:$E$301,MATCH(C160,Customers!$A$2:$A$301,0))</f>
        <v>Returning</v>
      </c>
      <c r="T160" s="6" t="str">
        <f aca="false">Orders!I160</f>
        <v>Mobile App</v>
      </c>
      <c r="U160" s="1" t="str">
        <f aca="false">IF(Q160="Delivered","Completed",IF(Q160="Cancelled","Cancelled",IF(Q160="Returned","Returned","In Progress")))</f>
        <v>Returned</v>
      </c>
      <c r="V160" s="1" t="str">
        <f aca="false">IF(M160&gt;=10000,"High Value",IF(M160&gt;=5000,"Medium Value","Low Value"))</f>
        <v>Low Value</v>
      </c>
      <c r="W160" s="1" t="str">
        <f aca="false">IF(O160&gt;0,"Profitable",IF(O160=0,"Break-even","Loss"))</f>
        <v>Profitable</v>
      </c>
      <c r="X160" s="1" t="str">
        <f aca="false">IF(Q160="Cancelled","Not Applicable",IF(Q160="Processing","Pending",IF(B160="","Unknown",IF(Orders!J160="","Unknown",IF(Orders!J160&lt;=3,"Fast",IF(Orders!J160&lt;=6,"Standard","Slow"))))))</f>
        <v>Fast</v>
      </c>
      <c r="Y160" s="1" t="n">
        <f aca="false">IF(OR(Q160="Cancelled",Q160="Returned"),0,O160)</f>
        <v>0</v>
      </c>
    </row>
    <row r="161" customFormat="false" ht="23.85" hidden="false" customHeight="false" outlineLevel="0" collapsed="false">
      <c r="A161" s="6" t="str">
        <f aca="false">Orders!A161</f>
        <v>O000160</v>
      </c>
      <c r="B161" s="19" t="n">
        <f aca="false">Orders!B161</f>
        <v>45674</v>
      </c>
      <c r="C161" s="6" t="str">
        <f aca="false">Orders!C161</f>
        <v>C0141</v>
      </c>
      <c r="D161" s="6" t="str">
        <f aca="false">Orders!D161</f>
        <v>P1047</v>
      </c>
      <c r="E161" s="6" t="str">
        <f aca="false">INDEX(Products!$B$2:$B$101,MATCH(D161,Products!$A$2:$A$101,0))</f>
        <v>Sunscreen Lotion</v>
      </c>
      <c r="F161" s="1" t="str">
        <f aca="false">INDEX(Products!$C$2:$C$101,MATCH(D161,Products!$A$2:$A$101,0))</f>
        <v>Beauty</v>
      </c>
      <c r="G161" s="6" t="n">
        <f aca="false">Orders!E161</f>
        <v>1</v>
      </c>
      <c r="H161" s="16" t="n">
        <f aca="false">INDEX(Products!$D$2:$D$101,MATCH(D161,Products!$A$2:$A$101,0))</f>
        <v>399</v>
      </c>
      <c r="I161" s="16" t="n">
        <f aca="false">INDEX(Products!$E$2:$E$101,MATCH(D161,Products!$A$2:$A$101,0))</f>
        <v>170</v>
      </c>
      <c r="J161" s="20" t="n">
        <f aca="false">Orders!F161</f>
        <v>0.1</v>
      </c>
      <c r="K161" s="6" t="n">
        <f aca="false">G161*H161</f>
        <v>399</v>
      </c>
      <c r="L161" s="6" t="n">
        <f aca="false">K161*J161</f>
        <v>39.9</v>
      </c>
      <c r="M161" s="6" t="n">
        <f aca="false">K161-L161</f>
        <v>359.1</v>
      </c>
      <c r="N161" s="6" t="n">
        <f aca="false">G161*I161</f>
        <v>170</v>
      </c>
      <c r="O161" s="6" t="n">
        <f aca="false">M161-N161</f>
        <v>189.1</v>
      </c>
      <c r="P161" s="21" t="n">
        <f aca="false">IFERROR(O161/M161,0)</f>
        <v>0.526594263436369</v>
      </c>
      <c r="Q161" s="6" t="str">
        <f aca="false">Orders!H161</f>
        <v>Delivered</v>
      </c>
      <c r="R161" s="1" t="str">
        <f aca="false">INDEX(Customers!$C$2:$C$301,MATCH(C161,Customers!$A$2:$A$301,0))</f>
        <v>Delhi</v>
      </c>
      <c r="S161" s="1" t="str">
        <f aca="false">INDEX(Customers!$E$2:$E$301,MATCH(C161,Customers!$A$2:$A$301,0))</f>
        <v>Returning</v>
      </c>
      <c r="T161" s="6" t="str">
        <f aca="false">Orders!I161</f>
        <v>Mobile App</v>
      </c>
      <c r="U161" s="1" t="str">
        <f aca="false">IF(Q161="Delivered","Completed",IF(Q161="Cancelled","Cancelled",IF(Q161="Returned","Returned","In Progress")))</f>
        <v>Completed</v>
      </c>
      <c r="V161" s="1" t="str">
        <f aca="false">IF(M161&gt;=10000,"High Value",IF(M161&gt;=5000,"Medium Value","Low Value"))</f>
        <v>Low Value</v>
      </c>
      <c r="W161" s="1" t="str">
        <f aca="false">IF(O161&gt;0,"Profitable",IF(O161=0,"Break-even","Loss"))</f>
        <v>Profitable</v>
      </c>
      <c r="X161" s="1" t="str">
        <f aca="false">IF(Q161="Cancelled","Not Applicable",IF(Q161="Processing","Pending",IF(B161="","Unknown",IF(Orders!J161="","Unknown",IF(Orders!J161&lt;=3,"Fast",IF(Orders!J161&lt;=6,"Standard","Slow"))))))</f>
        <v>Fast</v>
      </c>
      <c r="Y161" s="1" t="n">
        <f aca="false">IF(OR(Q161="Cancelled",Q161="Returned"),0,O161)</f>
        <v>189.1</v>
      </c>
    </row>
    <row r="162" customFormat="false" ht="23.85" hidden="false" customHeight="false" outlineLevel="0" collapsed="false">
      <c r="A162" s="6" t="str">
        <f aca="false">Orders!A162</f>
        <v>O000161</v>
      </c>
      <c r="B162" s="19" t="n">
        <f aca="false">Orders!B162</f>
        <v>45756</v>
      </c>
      <c r="C162" s="6" t="str">
        <f aca="false">Orders!C162</f>
        <v>C0016</v>
      </c>
      <c r="D162" s="6" t="str">
        <f aca="false">Orders!D162</f>
        <v>P1099</v>
      </c>
      <c r="E162" s="6" t="str">
        <f aca="false">INDEX(Products!$B$2:$B$101,MATCH(D162,Products!$A$2:$A$101,0))</f>
        <v>Sandwich Maker</v>
      </c>
      <c r="F162" s="1" t="str">
        <f aca="false">INDEX(Products!$C$2:$C$101,MATCH(D162,Products!$A$2:$A$101,0))</f>
        <v>Appliances</v>
      </c>
      <c r="G162" s="6" t="n">
        <f aca="false">Orders!E162</f>
        <v>4</v>
      </c>
      <c r="H162" s="16" t="n">
        <f aca="false">INDEX(Products!$D$2:$D$101,MATCH(D162,Products!$A$2:$A$101,0))</f>
        <v>1299</v>
      </c>
      <c r="I162" s="16" t="n">
        <f aca="false">INDEX(Products!$E$2:$E$101,MATCH(D162,Products!$A$2:$A$101,0))</f>
        <v>750</v>
      </c>
      <c r="J162" s="20" t="n">
        <f aca="false">Orders!F162</f>
        <v>0.2</v>
      </c>
      <c r="K162" s="6" t="n">
        <f aca="false">G162*H162</f>
        <v>5196</v>
      </c>
      <c r="L162" s="6" t="n">
        <f aca="false">K162*J162</f>
        <v>1039.2</v>
      </c>
      <c r="M162" s="6" t="n">
        <f aca="false">K162-L162</f>
        <v>4156.8</v>
      </c>
      <c r="N162" s="6" t="n">
        <f aca="false">G162*I162</f>
        <v>3000</v>
      </c>
      <c r="O162" s="6" t="n">
        <f aca="false">M162-N162</f>
        <v>1156.8</v>
      </c>
      <c r="P162" s="21" t="n">
        <f aca="false">IFERROR(O162/M162,0)</f>
        <v>0.278290993071594</v>
      </c>
      <c r="Q162" s="6" t="str">
        <f aca="false">Orders!H162</f>
        <v>Processing</v>
      </c>
      <c r="R162" s="1" t="str">
        <f aca="false">INDEX(Customers!$C$2:$C$301,MATCH(C162,Customers!$A$2:$A$301,0))</f>
        <v>Chandigarh</v>
      </c>
      <c r="S162" s="1" t="str">
        <f aca="false">INDEX(Customers!$E$2:$E$301,MATCH(C162,Customers!$A$2:$A$301,0))</f>
        <v>New</v>
      </c>
      <c r="T162" s="6" t="str">
        <f aca="false">Orders!I162</f>
        <v>Marketplace</v>
      </c>
      <c r="U162" s="1" t="str">
        <f aca="false">IF(Q162="Delivered","Completed",IF(Q162="Cancelled","Cancelled",IF(Q162="Returned","Returned","In Progress")))</f>
        <v>In Progress</v>
      </c>
      <c r="V162" s="1" t="str">
        <f aca="false">IF(M162&gt;=10000,"High Value",IF(M162&gt;=5000,"Medium Value","Low Value"))</f>
        <v>Low Value</v>
      </c>
      <c r="W162" s="1" t="str">
        <f aca="false">IF(O162&gt;0,"Profitable",IF(O162=0,"Break-even","Loss"))</f>
        <v>Profitable</v>
      </c>
      <c r="X162" s="1" t="str">
        <f aca="false">IF(Q162="Cancelled","Not Applicable",IF(Q162="Processing","Pending",IF(B162="","Unknown",IF(Orders!J162="","Unknown",IF(Orders!J162&lt;=3,"Fast",IF(Orders!J162&lt;=6,"Standard","Slow"))))))</f>
        <v>Pending</v>
      </c>
      <c r="Y162" s="1" t="n">
        <f aca="false">IF(OR(Q162="Cancelled",Q162="Returned"),0,O162)</f>
        <v>1156.8</v>
      </c>
    </row>
    <row r="163" customFormat="false" ht="15" hidden="false" customHeight="false" outlineLevel="0" collapsed="false">
      <c r="A163" s="6" t="str">
        <f aca="false">Orders!A163</f>
        <v>O000162</v>
      </c>
      <c r="B163" s="19" t="n">
        <f aca="false">Orders!B163</f>
        <v>46013</v>
      </c>
      <c r="C163" s="6" t="str">
        <f aca="false">Orders!C163</f>
        <v>C0033</v>
      </c>
      <c r="D163" s="6" t="str">
        <f aca="false">Orders!D163</f>
        <v>P1094</v>
      </c>
      <c r="E163" s="6" t="str">
        <f aca="false">INDEX(Products!$B$2:$B$101,MATCH(D163,Products!$A$2:$A$101,0))</f>
        <v>Room Heater</v>
      </c>
      <c r="F163" s="1" t="str">
        <f aca="false">INDEX(Products!$C$2:$C$101,MATCH(D163,Products!$A$2:$A$101,0))</f>
        <v>Appliances</v>
      </c>
      <c r="G163" s="6" t="n">
        <f aca="false">Orders!E163</f>
        <v>3</v>
      </c>
      <c r="H163" s="16" t="n">
        <f aca="false">INDEX(Products!$D$2:$D$101,MATCH(D163,Products!$A$2:$A$101,0))</f>
        <v>1999</v>
      </c>
      <c r="I163" s="16" t="n">
        <f aca="false">INDEX(Products!$E$2:$E$101,MATCH(D163,Products!$A$2:$A$101,0))</f>
        <v>1250</v>
      </c>
      <c r="J163" s="20" t="n">
        <f aca="false">Orders!F163</f>
        <v>0.2</v>
      </c>
      <c r="K163" s="6" t="n">
        <f aca="false">G163*H163</f>
        <v>5997</v>
      </c>
      <c r="L163" s="6" t="n">
        <f aca="false">K163*J163</f>
        <v>1199.4</v>
      </c>
      <c r="M163" s="6" t="n">
        <f aca="false">K163-L163</f>
        <v>4797.6</v>
      </c>
      <c r="N163" s="6" t="n">
        <f aca="false">G163*I163</f>
        <v>3750</v>
      </c>
      <c r="O163" s="6" t="n">
        <f aca="false">M163-N163</f>
        <v>1047.6</v>
      </c>
      <c r="P163" s="21" t="n">
        <f aca="false">IFERROR(O163/M163,0)</f>
        <v>0.218359179589795</v>
      </c>
      <c r="Q163" s="6" t="str">
        <f aca="false">Orders!H163</f>
        <v>Delivered</v>
      </c>
      <c r="R163" s="1" t="str">
        <f aca="false">INDEX(Customers!$C$2:$C$301,MATCH(C163,Customers!$A$2:$A$301,0))</f>
        <v>Kochi</v>
      </c>
      <c r="S163" s="1" t="str">
        <f aca="false">INDEX(Customers!$E$2:$E$301,MATCH(C163,Customers!$A$2:$A$301,0))</f>
        <v>VIP</v>
      </c>
      <c r="T163" s="6" t="str">
        <f aca="false">Orders!I163</f>
        <v>Mobile App</v>
      </c>
      <c r="U163" s="1" t="str">
        <f aca="false">IF(Q163="Delivered","Completed",IF(Q163="Cancelled","Cancelled",IF(Q163="Returned","Returned","In Progress")))</f>
        <v>Completed</v>
      </c>
      <c r="V163" s="1" t="str">
        <f aca="false">IF(M163&gt;=10000,"High Value",IF(M163&gt;=5000,"Medium Value","Low Value"))</f>
        <v>Low Value</v>
      </c>
      <c r="W163" s="1" t="str">
        <f aca="false">IF(O163&gt;0,"Profitable",IF(O163=0,"Break-even","Loss"))</f>
        <v>Profitable</v>
      </c>
      <c r="X163" s="1" t="str">
        <f aca="false">IF(Q163="Cancelled","Not Applicable",IF(Q163="Processing","Pending",IF(B163="","Unknown",IF(Orders!J163="","Unknown",IF(Orders!J163&lt;=3,"Fast",IF(Orders!J163&lt;=6,"Standard","Slow"))))))</f>
        <v>Slow</v>
      </c>
      <c r="Y163" s="1" t="n">
        <f aca="false">IF(OR(Q163="Cancelled",Q163="Returned"),0,O163)</f>
        <v>1047.6</v>
      </c>
    </row>
    <row r="164" customFormat="false" ht="23.85" hidden="false" customHeight="false" outlineLevel="0" collapsed="false">
      <c r="A164" s="6" t="str">
        <f aca="false">Orders!A164</f>
        <v>O000163</v>
      </c>
      <c r="B164" s="19" t="n">
        <f aca="false">Orders!B164</f>
        <v>45889</v>
      </c>
      <c r="C164" s="6" t="str">
        <f aca="false">Orders!C164</f>
        <v>C0181</v>
      </c>
      <c r="D164" s="6" t="str">
        <f aca="false">Orders!D164</f>
        <v>P1002</v>
      </c>
      <c r="E164" s="6" t="str">
        <f aca="false">INDEX(Products!$B$2:$B$101,MATCH(D164,Products!$A$2:$A$101,0))</f>
        <v>Bluetooth Speaker</v>
      </c>
      <c r="F164" s="1" t="str">
        <f aca="false">INDEX(Products!$C$2:$C$101,MATCH(D164,Products!$A$2:$A$101,0))</f>
        <v>Electronics</v>
      </c>
      <c r="G164" s="6" t="n">
        <f aca="false">Orders!E164</f>
        <v>4</v>
      </c>
      <c r="H164" s="16" t="n">
        <f aca="false">INDEX(Products!$D$2:$D$101,MATCH(D164,Products!$A$2:$A$101,0))</f>
        <v>1499</v>
      </c>
      <c r="I164" s="16" t="n">
        <f aca="false">INDEX(Products!$E$2:$E$101,MATCH(D164,Products!$A$2:$A$101,0))</f>
        <v>850</v>
      </c>
      <c r="J164" s="20" t="n">
        <f aca="false">Orders!F164</f>
        <v>0.1</v>
      </c>
      <c r="K164" s="6" t="n">
        <f aca="false">G164*H164</f>
        <v>5996</v>
      </c>
      <c r="L164" s="6" t="n">
        <f aca="false">K164*J164</f>
        <v>599.6</v>
      </c>
      <c r="M164" s="6" t="n">
        <f aca="false">K164-L164</f>
        <v>5396.4</v>
      </c>
      <c r="N164" s="6" t="n">
        <f aca="false">G164*I164</f>
        <v>3400</v>
      </c>
      <c r="O164" s="6" t="n">
        <f aca="false">M164-N164</f>
        <v>1996.4</v>
      </c>
      <c r="P164" s="21" t="n">
        <f aca="false">IFERROR(O164/M164,0)</f>
        <v>0.369950337261878</v>
      </c>
      <c r="Q164" s="6" t="str">
        <f aca="false">Orders!H164</f>
        <v>Delivered</v>
      </c>
      <c r="R164" s="1" t="str">
        <f aca="false">INDEX(Customers!$C$2:$C$301,MATCH(C164,Customers!$A$2:$A$301,0))</f>
        <v>Delhi</v>
      </c>
      <c r="S164" s="1" t="str">
        <f aca="false">INDEX(Customers!$E$2:$E$301,MATCH(C164,Customers!$A$2:$A$301,0))</f>
        <v>New</v>
      </c>
      <c r="T164" s="6" t="str">
        <f aca="false">Orders!I164</f>
        <v>Mobile App</v>
      </c>
      <c r="U164" s="1" t="str">
        <f aca="false">IF(Q164="Delivered","Completed",IF(Q164="Cancelled","Cancelled",IF(Q164="Returned","Returned","In Progress")))</f>
        <v>Completed</v>
      </c>
      <c r="V164" s="1" t="str">
        <f aca="false">IF(M164&gt;=10000,"High Value",IF(M164&gt;=5000,"Medium Value","Low Value"))</f>
        <v>Medium Value</v>
      </c>
      <c r="W164" s="1" t="str">
        <f aca="false">IF(O164&gt;0,"Profitable",IF(O164=0,"Break-even","Loss"))</f>
        <v>Profitable</v>
      </c>
      <c r="X164" s="1" t="str">
        <f aca="false">IF(Q164="Cancelled","Not Applicable",IF(Q164="Processing","Pending",IF(B164="","Unknown",IF(Orders!J164="","Unknown",IF(Orders!J164&lt;=3,"Fast",IF(Orders!J164&lt;=6,"Standard","Slow"))))))</f>
        <v>Standard</v>
      </c>
      <c r="Y164" s="1" t="n">
        <f aca="false">IF(OR(Q164="Cancelled",Q164="Returned"),0,O164)</f>
        <v>1996.4</v>
      </c>
    </row>
    <row r="165" customFormat="false" ht="15" hidden="false" customHeight="false" outlineLevel="0" collapsed="false">
      <c r="A165" s="6" t="str">
        <f aca="false">Orders!A165</f>
        <v>O000164</v>
      </c>
      <c r="B165" s="19" t="n">
        <f aca="false">Orders!B165</f>
        <v>45981</v>
      </c>
      <c r="C165" s="6" t="str">
        <f aca="false">Orders!C165</f>
        <v>C0050</v>
      </c>
      <c r="D165" s="6" t="str">
        <f aca="false">Orders!D165</f>
        <v>P1096</v>
      </c>
      <c r="E165" s="6" t="str">
        <f aca="false">INDEX(Products!$B$2:$B$101,MATCH(D165,Products!$A$2:$A$101,0))</f>
        <v>Air Fryer</v>
      </c>
      <c r="F165" s="1" t="str">
        <f aca="false">INDEX(Products!$C$2:$C$101,MATCH(D165,Products!$A$2:$A$101,0))</f>
        <v>Appliances</v>
      </c>
      <c r="G165" s="6" t="n">
        <f aca="false">Orders!E165</f>
        <v>1</v>
      </c>
      <c r="H165" s="16" t="n">
        <f aca="false">INDEX(Products!$D$2:$D$101,MATCH(D165,Products!$A$2:$A$101,0))</f>
        <v>3999</v>
      </c>
      <c r="I165" s="16" t="n">
        <f aca="false">INDEX(Products!$E$2:$E$101,MATCH(D165,Products!$A$2:$A$101,0))</f>
        <v>2700</v>
      </c>
      <c r="J165" s="20" t="n">
        <f aca="false">Orders!F165</f>
        <v>0.1</v>
      </c>
      <c r="K165" s="6" t="n">
        <f aca="false">G165*H165</f>
        <v>3999</v>
      </c>
      <c r="L165" s="6" t="n">
        <f aca="false">K165*J165</f>
        <v>399.9</v>
      </c>
      <c r="M165" s="6" t="n">
        <f aca="false">K165-L165</f>
        <v>3599.1</v>
      </c>
      <c r="N165" s="6" t="n">
        <f aca="false">G165*I165</f>
        <v>2700</v>
      </c>
      <c r="O165" s="6" t="n">
        <f aca="false">M165-N165</f>
        <v>899.1</v>
      </c>
      <c r="P165" s="21" t="n">
        <f aca="false">IFERROR(O165/M165,0)</f>
        <v>0.249812453113278</v>
      </c>
      <c r="Q165" s="6" t="str">
        <f aca="false">Orders!H165</f>
        <v>Delivered</v>
      </c>
      <c r="R165" s="1" t="str">
        <f aca="false">INDEX(Customers!$C$2:$C$301,MATCH(C165,Customers!$A$2:$A$301,0))</f>
        <v>Lucknow</v>
      </c>
      <c r="S165" s="1" t="str">
        <f aca="false">INDEX(Customers!$E$2:$E$301,MATCH(C165,Customers!$A$2:$A$301,0))</f>
        <v>New</v>
      </c>
      <c r="T165" s="6" t="str">
        <f aca="false">Orders!I165</f>
        <v>Marketplace</v>
      </c>
      <c r="U165" s="1" t="str">
        <f aca="false">IF(Q165="Delivered","Completed",IF(Q165="Cancelled","Cancelled",IF(Q165="Returned","Returned","In Progress")))</f>
        <v>Completed</v>
      </c>
      <c r="V165" s="1" t="str">
        <f aca="false">IF(M165&gt;=10000,"High Value",IF(M165&gt;=5000,"Medium Value","Low Value"))</f>
        <v>Low Value</v>
      </c>
      <c r="W165" s="1" t="str">
        <f aca="false">IF(O165&gt;0,"Profitable",IF(O165=0,"Break-even","Loss"))</f>
        <v>Profitable</v>
      </c>
      <c r="X165" s="1" t="str">
        <f aca="false">IF(Q165="Cancelled","Not Applicable",IF(Q165="Processing","Pending",IF(B165="","Unknown",IF(Orders!J165="","Unknown",IF(Orders!J165&lt;=3,"Fast",IF(Orders!J165&lt;=6,"Standard","Slow"))))))</f>
        <v>Standard</v>
      </c>
      <c r="Y165" s="1" t="n">
        <f aca="false">IF(OR(Q165="Cancelled",Q165="Returned"),0,O165)</f>
        <v>899.1</v>
      </c>
    </row>
    <row r="166" customFormat="false" ht="15" hidden="false" customHeight="false" outlineLevel="0" collapsed="false">
      <c r="A166" s="6" t="str">
        <f aca="false">Orders!A166</f>
        <v>O000165</v>
      </c>
      <c r="B166" s="19" t="n">
        <f aca="false">Orders!B166</f>
        <v>45905</v>
      </c>
      <c r="C166" s="6" t="str">
        <f aca="false">Orders!C166</f>
        <v>C0097</v>
      </c>
      <c r="D166" s="6" t="str">
        <f aca="false">Orders!D166</f>
        <v>P1084</v>
      </c>
      <c r="E166" s="6" t="str">
        <f aca="false">INDEX(Products!$B$2:$B$101,MATCH(D166,Products!$A$2:$A$101,0))</f>
        <v>Whiteboard</v>
      </c>
      <c r="F166" s="1" t="str">
        <f aca="false">INDEX(Products!$C$2:$C$101,MATCH(D166,Products!$A$2:$A$101,0))</f>
        <v>Books &amp; Stationery</v>
      </c>
      <c r="G166" s="6" t="n">
        <f aca="false">Orders!E166</f>
        <v>4</v>
      </c>
      <c r="H166" s="16" t="n">
        <f aca="false">INDEX(Products!$D$2:$D$101,MATCH(D166,Products!$A$2:$A$101,0))</f>
        <v>799</v>
      </c>
      <c r="I166" s="16" t="n">
        <f aca="false">INDEX(Products!$E$2:$E$101,MATCH(D166,Products!$A$2:$A$101,0))</f>
        <v>420</v>
      </c>
      <c r="J166" s="20" t="n">
        <f aca="false">Orders!F166</f>
        <v>0</v>
      </c>
      <c r="K166" s="6" t="n">
        <f aca="false">G166*H166</f>
        <v>3196</v>
      </c>
      <c r="L166" s="6" t="n">
        <f aca="false">K166*J166</f>
        <v>0</v>
      </c>
      <c r="M166" s="6" t="n">
        <f aca="false">K166-L166</f>
        <v>3196</v>
      </c>
      <c r="N166" s="6" t="n">
        <f aca="false">G166*I166</f>
        <v>1680</v>
      </c>
      <c r="O166" s="6" t="n">
        <f aca="false">M166-N166</f>
        <v>1516</v>
      </c>
      <c r="P166" s="21" t="n">
        <f aca="false">IFERROR(O166/M166,0)</f>
        <v>0.474342928660826</v>
      </c>
      <c r="Q166" s="6" t="str">
        <f aca="false">Orders!H166</f>
        <v>Delivered</v>
      </c>
      <c r="R166" s="1" t="str">
        <f aca="false">INDEX(Customers!$C$2:$C$301,MATCH(C166,Customers!$A$2:$A$301,0))</f>
        <v>Surat</v>
      </c>
      <c r="S166" s="1" t="str">
        <f aca="false">INDEX(Customers!$E$2:$E$301,MATCH(C166,Customers!$A$2:$A$301,0))</f>
        <v>Returning</v>
      </c>
      <c r="T166" s="6" t="str">
        <f aca="false">Orders!I166</f>
        <v>Mobile App</v>
      </c>
      <c r="U166" s="1" t="str">
        <f aca="false">IF(Q166="Delivered","Completed",IF(Q166="Cancelled","Cancelled",IF(Q166="Returned","Returned","In Progress")))</f>
        <v>Completed</v>
      </c>
      <c r="V166" s="1" t="str">
        <f aca="false">IF(M166&gt;=10000,"High Value",IF(M166&gt;=5000,"Medium Value","Low Value"))</f>
        <v>Low Value</v>
      </c>
      <c r="W166" s="1" t="str">
        <f aca="false">IF(O166&gt;0,"Profitable",IF(O166=0,"Break-even","Loss"))</f>
        <v>Profitable</v>
      </c>
      <c r="X166" s="1" t="str">
        <f aca="false">IF(Q166="Cancelled","Not Applicable",IF(Q166="Processing","Pending",IF(B166="","Unknown",IF(Orders!J166="","Unknown",IF(Orders!J166&lt;=3,"Fast",IF(Orders!J166&lt;=6,"Standard","Slow"))))))</f>
        <v>Slow</v>
      </c>
      <c r="Y166" s="1" t="n">
        <f aca="false">IF(OR(Q166="Cancelled",Q166="Returned"),0,O166)</f>
        <v>1516</v>
      </c>
    </row>
    <row r="167" customFormat="false" ht="15" hidden="false" customHeight="false" outlineLevel="0" collapsed="false">
      <c r="A167" s="6" t="str">
        <f aca="false">Orders!A167</f>
        <v>O000166</v>
      </c>
      <c r="B167" s="19" t="n">
        <f aca="false">Orders!B167</f>
        <v>45730</v>
      </c>
      <c r="C167" s="6" t="str">
        <f aca="false">Orders!C167</f>
        <v>C0194</v>
      </c>
      <c r="D167" s="6" t="str">
        <f aca="false">Orders!D167</f>
        <v>P1010</v>
      </c>
      <c r="E167" s="6" t="str">
        <f aca="false">INDEX(Products!$B$2:$B$101,MATCH(D167,Products!$A$2:$A$101,0))</f>
        <v>Webcam</v>
      </c>
      <c r="F167" s="1" t="str">
        <f aca="false">INDEX(Products!$C$2:$C$101,MATCH(D167,Products!$A$2:$A$101,0))</f>
        <v>Electronics</v>
      </c>
      <c r="G167" s="6" t="n">
        <f aca="false">Orders!E167</f>
        <v>1</v>
      </c>
      <c r="H167" s="16" t="n">
        <f aca="false">INDEX(Products!$D$2:$D$101,MATCH(D167,Products!$A$2:$A$101,0))</f>
        <v>1799</v>
      </c>
      <c r="I167" s="16" t="n">
        <f aca="false">INDEX(Products!$E$2:$E$101,MATCH(D167,Products!$A$2:$A$101,0))</f>
        <v>1050</v>
      </c>
      <c r="J167" s="20" t="n">
        <f aca="false">Orders!F167</f>
        <v>0.15</v>
      </c>
      <c r="K167" s="6" t="n">
        <f aca="false">G167*H167</f>
        <v>1799</v>
      </c>
      <c r="L167" s="6" t="n">
        <f aca="false">K167*J167</f>
        <v>269.85</v>
      </c>
      <c r="M167" s="6" t="n">
        <f aca="false">K167-L167</f>
        <v>1529.15</v>
      </c>
      <c r="N167" s="6" t="n">
        <f aca="false">G167*I167</f>
        <v>1050</v>
      </c>
      <c r="O167" s="6" t="n">
        <f aca="false">M167-N167</f>
        <v>479.15</v>
      </c>
      <c r="P167" s="21" t="n">
        <f aca="false">IFERROR(O167/M167,0)</f>
        <v>0.313344014648661</v>
      </c>
      <c r="Q167" s="6" t="str">
        <f aca="false">Orders!H167</f>
        <v>Delivered</v>
      </c>
      <c r="R167" s="1" t="str">
        <f aca="false">INDEX(Customers!$C$2:$C$301,MATCH(C167,Customers!$A$2:$A$301,0))</f>
        <v>Indore</v>
      </c>
      <c r="S167" s="1" t="str">
        <f aca="false">INDEX(Customers!$E$2:$E$301,MATCH(C167,Customers!$A$2:$A$301,0))</f>
        <v>Returning</v>
      </c>
      <c r="T167" s="6" t="str">
        <f aca="false">Orders!I167</f>
        <v>Marketplace</v>
      </c>
      <c r="U167" s="1" t="str">
        <f aca="false">IF(Q167="Delivered","Completed",IF(Q167="Cancelled","Cancelled",IF(Q167="Returned","Returned","In Progress")))</f>
        <v>Completed</v>
      </c>
      <c r="V167" s="1" t="str">
        <f aca="false">IF(M167&gt;=10000,"High Value",IF(M167&gt;=5000,"Medium Value","Low Value"))</f>
        <v>Low Value</v>
      </c>
      <c r="W167" s="1" t="str">
        <f aca="false">IF(O167&gt;0,"Profitable",IF(O167=0,"Break-even","Loss"))</f>
        <v>Profitable</v>
      </c>
      <c r="X167" s="1" t="str">
        <f aca="false">IF(Q167="Cancelled","Not Applicable",IF(Q167="Processing","Pending",IF(B167="","Unknown",IF(Orders!J167="","Unknown",IF(Orders!J167&lt;=3,"Fast",IF(Orders!J167&lt;=6,"Standard","Slow"))))))</f>
        <v>Fast</v>
      </c>
      <c r="Y167" s="1" t="n">
        <f aca="false">IF(OR(Q167="Cancelled",Q167="Returned"),0,O167)</f>
        <v>479.15</v>
      </c>
    </row>
    <row r="168" customFormat="false" ht="23.85" hidden="false" customHeight="false" outlineLevel="0" collapsed="false">
      <c r="A168" s="6" t="str">
        <f aca="false">Orders!A168</f>
        <v>O000167</v>
      </c>
      <c r="B168" s="19" t="n">
        <f aca="false">Orders!B168</f>
        <v>45979</v>
      </c>
      <c r="C168" s="6" t="str">
        <f aca="false">Orders!C168</f>
        <v>C0019</v>
      </c>
      <c r="D168" s="6" t="str">
        <f aca="false">Orders!D168</f>
        <v>P1047</v>
      </c>
      <c r="E168" s="6" t="str">
        <f aca="false">INDEX(Products!$B$2:$B$101,MATCH(D168,Products!$A$2:$A$101,0))</f>
        <v>Sunscreen Lotion</v>
      </c>
      <c r="F168" s="1" t="str">
        <f aca="false">INDEX(Products!$C$2:$C$101,MATCH(D168,Products!$A$2:$A$101,0))</f>
        <v>Beauty</v>
      </c>
      <c r="G168" s="6" t="n">
        <f aca="false">Orders!E168</f>
        <v>4</v>
      </c>
      <c r="H168" s="16" t="n">
        <f aca="false">INDEX(Products!$D$2:$D$101,MATCH(D168,Products!$A$2:$A$101,0))</f>
        <v>399</v>
      </c>
      <c r="I168" s="16" t="n">
        <f aca="false">INDEX(Products!$E$2:$E$101,MATCH(D168,Products!$A$2:$A$101,0))</f>
        <v>170</v>
      </c>
      <c r="J168" s="20" t="n">
        <f aca="false">Orders!F168</f>
        <v>0.15</v>
      </c>
      <c r="K168" s="6" t="n">
        <f aca="false">G168*H168</f>
        <v>1596</v>
      </c>
      <c r="L168" s="6" t="n">
        <f aca="false">K168*J168</f>
        <v>239.4</v>
      </c>
      <c r="M168" s="6" t="n">
        <f aca="false">K168-L168</f>
        <v>1356.6</v>
      </c>
      <c r="N168" s="6" t="n">
        <f aca="false">G168*I168</f>
        <v>680</v>
      </c>
      <c r="O168" s="6" t="n">
        <f aca="false">M168-N168</f>
        <v>676.6</v>
      </c>
      <c r="P168" s="21" t="n">
        <f aca="false">IFERROR(O168/M168,0)</f>
        <v>0.49874686716792</v>
      </c>
      <c r="Q168" s="6" t="str">
        <f aca="false">Orders!H168</f>
        <v>Delivered</v>
      </c>
      <c r="R168" s="1" t="str">
        <f aca="false">INDEX(Customers!$C$2:$C$301,MATCH(C168,Customers!$A$2:$A$301,0))</f>
        <v>Coimbatore</v>
      </c>
      <c r="S168" s="1" t="str">
        <f aca="false">INDEX(Customers!$E$2:$E$301,MATCH(C168,Customers!$A$2:$A$301,0))</f>
        <v>New</v>
      </c>
      <c r="T168" s="6" t="str">
        <f aca="false">Orders!I168</f>
        <v>Marketplace</v>
      </c>
      <c r="U168" s="1" t="str">
        <f aca="false">IF(Q168="Delivered","Completed",IF(Q168="Cancelled","Cancelled",IF(Q168="Returned","Returned","In Progress")))</f>
        <v>Completed</v>
      </c>
      <c r="V168" s="1" t="str">
        <f aca="false">IF(M168&gt;=10000,"High Value",IF(M168&gt;=5000,"Medium Value","Low Value"))</f>
        <v>Low Value</v>
      </c>
      <c r="W168" s="1" t="str">
        <f aca="false">IF(O168&gt;0,"Profitable",IF(O168=0,"Break-even","Loss"))</f>
        <v>Profitable</v>
      </c>
      <c r="X168" s="1" t="str">
        <f aca="false">IF(Q168="Cancelled","Not Applicable",IF(Q168="Processing","Pending",IF(B168="","Unknown",IF(Orders!J168="","Unknown",IF(Orders!J168&lt;=3,"Fast",IF(Orders!J168&lt;=6,"Standard","Slow"))))))</f>
        <v>Fast</v>
      </c>
      <c r="Y168" s="1" t="n">
        <f aca="false">IF(OR(Q168="Cancelled",Q168="Returned"),0,O168)</f>
        <v>676.6</v>
      </c>
    </row>
    <row r="169" customFormat="false" ht="23.85" hidden="false" customHeight="false" outlineLevel="0" collapsed="false">
      <c r="A169" s="6" t="str">
        <f aca="false">Orders!A169</f>
        <v>O000168</v>
      </c>
      <c r="B169" s="19" t="n">
        <f aca="false">Orders!B169</f>
        <v>45806</v>
      </c>
      <c r="C169" s="6" t="str">
        <f aca="false">Orders!C169</f>
        <v>C0132</v>
      </c>
      <c r="D169" s="6" t="str">
        <f aca="false">Orders!D169</f>
        <v>P1070</v>
      </c>
      <c r="E169" s="6" t="str">
        <f aca="false">INDEX(Products!$B$2:$B$101,MATCH(D169,Products!$A$2:$A$101,0))</f>
        <v>Knee Support Pair</v>
      </c>
      <c r="F169" s="1" t="str">
        <f aca="false">INDEX(Products!$C$2:$C$101,MATCH(D169,Products!$A$2:$A$101,0))</f>
        <v>Sports &amp; Outdoors</v>
      </c>
      <c r="G169" s="6" t="n">
        <f aca="false">Orders!E169</f>
        <v>1</v>
      </c>
      <c r="H169" s="16" t="n">
        <f aca="false">INDEX(Products!$D$2:$D$101,MATCH(D169,Products!$A$2:$A$101,0))</f>
        <v>449</v>
      </c>
      <c r="I169" s="16" t="n">
        <f aca="false">INDEX(Products!$E$2:$E$101,MATCH(D169,Products!$A$2:$A$101,0))</f>
        <v>180</v>
      </c>
      <c r="J169" s="20" t="n">
        <f aca="false">Orders!F169</f>
        <v>0.2</v>
      </c>
      <c r="K169" s="6" t="n">
        <f aca="false">G169*H169</f>
        <v>449</v>
      </c>
      <c r="L169" s="6" t="n">
        <f aca="false">K169*J169</f>
        <v>89.8</v>
      </c>
      <c r="M169" s="6" t="n">
        <f aca="false">K169-L169</f>
        <v>359.2</v>
      </c>
      <c r="N169" s="6" t="n">
        <f aca="false">G169*I169</f>
        <v>180</v>
      </c>
      <c r="O169" s="6" t="n">
        <f aca="false">M169-N169</f>
        <v>179.2</v>
      </c>
      <c r="P169" s="21" t="n">
        <f aca="false">IFERROR(O169/M169,0)</f>
        <v>0.498886414253898</v>
      </c>
      <c r="Q169" s="6" t="str">
        <f aca="false">Orders!H169</f>
        <v>Delivered</v>
      </c>
      <c r="R169" s="1" t="str">
        <f aca="false">INDEX(Customers!$C$2:$C$301,MATCH(C169,Customers!$A$2:$A$301,0))</f>
        <v>Noida</v>
      </c>
      <c r="S169" s="1" t="str">
        <f aca="false">INDEX(Customers!$E$2:$E$301,MATCH(C169,Customers!$A$2:$A$301,0))</f>
        <v>Returning</v>
      </c>
      <c r="T169" s="6" t="str">
        <f aca="false">Orders!I169</f>
        <v>Website</v>
      </c>
      <c r="U169" s="1" t="str">
        <f aca="false">IF(Q169="Delivered","Completed",IF(Q169="Cancelled","Cancelled",IF(Q169="Returned","Returned","In Progress")))</f>
        <v>Completed</v>
      </c>
      <c r="V169" s="1" t="str">
        <f aca="false">IF(M169&gt;=10000,"High Value",IF(M169&gt;=5000,"Medium Value","Low Value"))</f>
        <v>Low Value</v>
      </c>
      <c r="W169" s="1" t="str">
        <f aca="false">IF(O169&gt;0,"Profitable",IF(O169=0,"Break-even","Loss"))</f>
        <v>Profitable</v>
      </c>
      <c r="X169" s="1" t="str">
        <f aca="false">IF(Q169="Cancelled","Not Applicable",IF(Q169="Processing","Pending",IF(B169="","Unknown",IF(Orders!J169="","Unknown",IF(Orders!J169&lt;=3,"Fast",IF(Orders!J169&lt;=6,"Standard","Slow"))))))</f>
        <v>Slow</v>
      </c>
      <c r="Y169" s="1" t="n">
        <f aca="false">IF(OR(Q169="Cancelled",Q169="Returned"),0,O169)</f>
        <v>179.2</v>
      </c>
    </row>
    <row r="170" customFormat="false" ht="15" hidden="false" customHeight="false" outlineLevel="0" collapsed="false">
      <c r="A170" s="6" t="str">
        <f aca="false">Orders!A170</f>
        <v>O000169</v>
      </c>
      <c r="B170" s="19" t="n">
        <f aca="false">Orders!B170</f>
        <v>45671</v>
      </c>
      <c r="C170" s="6" t="str">
        <f aca="false">Orders!C170</f>
        <v>C0280</v>
      </c>
      <c r="D170" s="6" t="str">
        <f aca="false">Orders!D170</f>
        <v>P1007</v>
      </c>
      <c r="E170" s="6" t="str">
        <f aca="false">INDEX(Products!$B$2:$B$101,MATCH(D170,Products!$A$2:$A$101,0))</f>
        <v>Keyboard</v>
      </c>
      <c r="F170" s="1" t="str">
        <f aca="false">INDEX(Products!$C$2:$C$101,MATCH(D170,Products!$A$2:$A$101,0))</f>
        <v>Electronics</v>
      </c>
      <c r="G170" s="6" t="n">
        <f aca="false">Orders!E170</f>
        <v>2</v>
      </c>
      <c r="H170" s="16" t="n">
        <f aca="false">INDEX(Products!$D$2:$D$101,MATCH(D170,Products!$A$2:$A$101,0))</f>
        <v>999</v>
      </c>
      <c r="I170" s="16" t="n">
        <f aca="false">INDEX(Products!$E$2:$E$101,MATCH(D170,Products!$A$2:$A$101,0))</f>
        <v>480</v>
      </c>
      <c r="J170" s="20" t="n">
        <f aca="false">Orders!F170</f>
        <v>0.25</v>
      </c>
      <c r="K170" s="6" t="n">
        <f aca="false">G170*H170</f>
        <v>1998</v>
      </c>
      <c r="L170" s="6" t="n">
        <f aca="false">K170*J170</f>
        <v>499.5</v>
      </c>
      <c r="M170" s="6" t="n">
        <f aca="false">K170-L170</f>
        <v>1498.5</v>
      </c>
      <c r="N170" s="6" t="n">
        <f aca="false">G170*I170</f>
        <v>960</v>
      </c>
      <c r="O170" s="6" t="n">
        <f aca="false">M170-N170</f>
        <v>538.5</v>
      </c>
      <c r="P170" s="21" t="n">
        <f aca="false">IFERROR(O170/M170,0)</f>
        <v>0.359359359359359</v>
      </c>
      <c r="Q170" s="6" t="str">
        <f aca="false">Orders!H170</f>
        <v>Delivered</v>
      </c>
      <c r="R170" s="1" t="str">
        <f aca="false">INDEX(Customers!$C$2:$C$301,MATCH(C170,Customers!$A$2:$A$301,0))</f>
        <v>Visakhapatnam</v>
      </c>
      <c r="S170" s="1" t="str">
        <f aca="false">INDEX(Customers!$E$2:$E$301,MATCH(C170,Customers!$A$2:$A$301,0))</f>
        <v>New</v>
      </c>
      <c r="T170" s="6" t="str">
        <f aca="false">Orders!I170</f>
        <v>Marketplace</v>
      </c>
      <c r="U170" s="1" t="str">
        <f aca="false">IF(Q170="Delivered","Completed",IF(Q170="Cancelled","Cancelled",IF(Q170="Returned","Returned","In Progress")))</f>
        <v>Completed</v>
      </c>
      <c r="V170" s="1" t="str">
        <f aca="false">IF(M170&gt;=10000,"High Value",IF(M170&gt;=5000,"Medium Value","Low Value"))</f>
        <v>Low Value</v>
      </c>
      <c r="W170" s="1" t="str">
        <f aca="false">IF(O170&gt;0,"Profitable",IF(O170=0,"Break-even","Loss"))</f>
        <v>Profitable</v>
      </c>
      <c r="X170" s="1" t="str">
        <f aca="false">IF(Q170="Cancelled","Not Applicable",IF(Q170="Processing","Pending",IF(B170="","Unknown",IF(Orders!J170="","Unknown",IF(Orders!J170&lt;=3,"Fast",IF(Orders!J170&lt;=6,"Standard","Slow"))))))</f>
        <v>Fast</v>
      </c>
      <c r="Y170" s="1" t="n">
        <f aca="false">IF(OR(Q170="Cancelled",Q170="Returned"),0,O170)</f>
        <v>538.5</v>
      </c>
    </row>
    <row r="171" customFormat="false" ht="15" hidden="false" customHeight="false" outlineLevel="0" collapsed="false">
      <c r="A171" s="6" t="str">
        <f aca="false">Orders!A171</f>
        <v>O000170</v>
      </c>
      <c r="B171" s="19" t="n">
        <f aca="false">Orders!B171</f>
        <v>46009</v>
      </c>
      <c r="C171" s="6" t="str">
        <f aca="false">Orders!C171</f>
        <v>C0120</v>
      </c>
      <c r="D171" s="6" t="str">
        <f aca="false">Orders!D171</f>
        <v>P1080</v>
      </c>
      <c r="E171" s="6" t="str">
        <f aca="false">INDEX(Products!$B$2:$B$101,MATCH(D171,Products!$A$2:$A$101,0))</f>
        <v>Calculator</v>
      </c>
      <c r="F171" s="1" t="str">
        <f aca="false">INDEX(Products!$C$2:$C$101,MATCH(D171,Products!$A$2:$A$101,0))</f>
        <v>Books &amp; Stationery</v>
      </c>
      <c r="G171" s="6" t="n">
        <f aca="false">Orders!E171</f>
        <v>1</v>
      </c>
      <c r="H171" s="16" t="n">
        <f aca="false">INDEX(Products!$D$2:$D$101,MATCH(D171,Products!$A$2:$A$101,0))</f>
        <v>599</v>
      </c>
      <c r="I171" s="16" t="n">
        <f aca="false">INDEX(Products!$E$2:$E$101,MATCH(D171,Products!$A$2:$A$101,0))</f>
        <v>300</v>
      </c>
      <c r="J171" s="20" t="n">
        <f aca="false">Orders!F171</f>
        <v>0.15</v>
      </c>
      <c r="K171" s="6" t="n">
        <f aca="false">G171*H171</f>
        <v>599</v>
      </c>
      <c r="L171" s="6" t="n">
        <f aca="false">K171*J171</f>
        <v>89.85</v>
      </c>
      <c r="M171" s="6" t="n">
        <f aca="false">K171-L171</f>
        <v>509.15</v>
      </c>
      <c r="N171" s="6" t="n">
        <f aca="false">G171*I171</f>
        <v>300</v>
      </c>
      <c r="O171" s="6" t="n">
        <f aca="false">M171-N171</f>
        <v>209.15</v>
      </c>
      <c r="P171" s="21" t="n">
        <f aca="false">IFERROR(O171/M171,0)</f>
        <v>0.410782677010704</v>
      </c>
      <c r="Q171" s="6" t="str">
        <f aca="false">Orders!H171</f>
        <v>Delivered</v>
      </c>
      <c r="R171" s="1" t="str">
        <f aca="false">INDEX(Customers!$C$2:$C$301,MATCH(C171,Customers!$A$2:$A$301,0))</f>
        <v>Visakhapatnam</v>
      </c>
      <c r="S171" s="1" t="str">
        <f aca="false">INDEX(Customers!$E$2:$E$301,MATCH(C171,Customers!$A$2:$A$301,0))</f>
        <v>Returning</v>
      </c>
      <c r="T171" s="6" t="str">
        <f aca="false">Orders!I171</f>
        <v>Marketplace</v>
      </c>
      <c r="U171" s="1" t="str">
        <f aca="false">IF(Q171="Delivered","Completed",IF(Q171="Cancelled","Cancelled",IF(Q171="Returned","Returned","In Progress")))</f>
        <v>Completed</v>
      </c>
      <c r="V171" s="1" t="str">
        <f aca="false">IF(M171&gt;=10000,"High Value",IF(M171&gt;=5000,"Medium Value","Low Value"))</f>
        <v>Low Value</v>
      </c>
      <c r="W171" s="1" t="str">
        <f aca="false">IF(O171&gt;0,"Profitable",IF(O171=0,"Break-even","Loss"))</f>
        <v>Profitable</v>
      </c>
      <c r="X171" s="1" t="str">
        <f aca="false">IF(Q171="Cancelled","Not Applicable",IF(Q171="Processing","Pending",IF(B171="","Unknown",IF(Orders!J171="","Unknown",IF(Orders!J171&lt;=3,"Fast",IF(Orders!J171&lt;=6,"Standard","Slow"))))))</f>
        <v>Fast</v>
      </c>
      <c r="Y171" s="1" t="n">
        <f aca="false">IF(OR(Q171="Cancelled",Q171="Returned"),0,O171)</f>
        <v>209.15</v>
      </c>
    </row>
    <row r="172" customFormat="false" ht="15" hidden="false" customHeight="false" outlineLevel="0" collapsed="false">
      <c r="A172" s="6" t="str">
        <f aca="false">Orders!A172</f>
        <v>O000171</v>
      </c>
      <c r="B172" s="19" t="n">
        <f aca="false">Orders!B172</f>
        <v>45676</v>
      </c>
      <c r="C172" s="6" t="str">
        <f aca="false">Orders!C172</f>
        <v>C0032</v>
      </c>
      <c r="D172" s="6" t="str">
        <f aca="false">Orders!D172</f>
        <v>P1006</v>
      </c>
      <c r="E172" s="6" t="str">
        <f aca="false">INDEX(Products!$B$2:$B$101,MATCH(D172,Products!$A$2:$A$101,0))</f>
        <v>Wireless Mouse</v>
      </c>
      <c r="F172" s="1" t="str">
        <f aca="false">INDEX(Products!$C$2:$C$101,MATCH(D172,Products!$A$2:$A$101,0))</f>
        <v>Electronics</v>
      </c>
      <c r="G172" s="6" t="n">
        <f aca="false">Orders!E172</f>
        <v>2</v>
      </c>
      <c r="H172" s="16" t="n">
        <f aca="false">INDEX(Products!$D$2:$D$101,MATCH(D172,Products!$A$2:$A$101,0))</f>
        <v>699</v>
      </c>
      <c r="I172" s="16" t="n">
        <f aca="false">INDEX(Products!$E$2:$E$101,MATCH(D172,Products!$A$2:$A$101,0))</f>
        <v>300</v>
      </c>
      <c r="J172" s="20" t="n">
        <f aca="false">Orders!F172</f>
        <v>0.15</v>
      </c>
      <c r="K172" s="6" t="n">
        <f aca="false">G172*H172</f>
        <v>1398</v>
      </c>
      <c r="L172" s="6" t="n">
        <f aca="false">K172*J172</f>
        <v>209.7</v>
      </c>
      <c r="M172" s="6" t="n">
        <f aca="false">K172-L172</f>
        <v>1188.3</v>
      </c>
      <c r="N172" s="6" t="n">
        <f aca="false">G172*I172</f>
        <v>600</v>
      </c>
      <c r="O172" s="6" t="n">
        <f aca="false">M172-N172</f>
        <v>588.3</v>
      </c>
      <c r="P172" s="21" t="n">
        <f aca="false">IFERROR(O172/M172,0)</f>
        <v>0.495077000757385</v>
      </c>
      <c r="Q172" s="6" t="str">
        <f aca="false">Orders!H172</f>
        <v>Delivered</v>
      </c>
      <c r="R172" s="1" t="str">
        <f aca="false">INDEX(Customers!$C$2:$C$301,MATCH(C172,Customers!$A$2:$A$301,0))</f>
        <v>Noida</v>
      </c>
      <c r="S172" s="1" t="str">
        <f aca="false">INDEX(Customers!$E$2:$E$301,MATCH(C172,Customers!$A$2:$A$301,0))</f>
        <v>Returning</v>
      </c>
      <c r="T172" s="6" t="str">
        <f aca="false">Orders!I172</f>
        <v>Website</v>
      </c>
      <c r="U172" s="1" t="str">
        <f aca="false">IF(Q172="Delivered","Completed",IF(Q172="Cancelled","Cancelled",IF(Q172="Returned","Returned","In Progress")))</f>
        <v>Completed</v>
      </c>
      <c r="V172" s="1" t="str">
        <f aca="false">IF(M172&gt;=10000,"High Value",IF(M172&gt;=5000,"Medium Value","Low Value"))</f>
        <v>Low Value</v>
      </c>
      <c r="W172" s="1" t="str">
        <f aca="false">IF(O172&gt;0,"Profitable",IF(O172=0,"Break-even","Loss"))</f>
        <v>Profitable</v>
      </c>
      <c r="X172" s="1" t="str">
        <f aca="false">IF(Q172="Cancelled","Not Applicable",IF(Q172="Processing","Pending",IF(B172="","Unknown",IF(Orders!J172="","Unknown",IF(Orders!J172&lt;=3,"Fast",IF(Orders!J172&lt;=6,"Standard","Slow"))))))</f>
        <v>Slow</v>
      </c>
      <c r="Y172" s="1" t="n">
        <f aca="false">IF(OR(Q172="Cancelled",Q172="Returned"),0,O172)</f>
        <v>588.3</v>
      </c>
    </row>
    <row r="173" customFormat="false" ht="23.85" hidden="false" customHeight="false" outlineLevel="0" collapsed="false">
      <c r="A173" s="6" t="str">
        <f aca="false">Orders!A173</f>
        <v>O000172</v>
      </c>
      <c r="B173" s="19" t="n">
        <f aca="false">Orders!B173</f>
        <v>45773</v>
      </c>
      <c r="C173" s="6" t="str">
        <f aca="false">Orders!C173</f>
        <v>C0038</v>
      </c>
      <c r="D173" s="6" t="str">
        <f aca="false">Orders!D173</f>
        <v>P1070</v>
      </c>
      <c r="E173" s="6" t="str">
        <f aca="false">INDEX(Products!$B$2:$B$101,MATCH(D173,Products!$A$2:$A$101,0))</f>
        <v>Knee Support Pair</v>
      </c>
      <c r="F173" s="1" t="str">
        <f aca="false">INDEX(Products!$C$2:$C$101,MATCH(D173,Products!$A$2:$A$101,0))</f>
        <v>Sports &amp; Outdoors</v>
      </c>
      <c r="G173" s="6" t="n">
        <f aca="false">Orders!E173</f>
        <v>1</v>
      </c>
      <c r="H173" s="16" t="n">
        <f aca="false">INDEX(Products!$D$2:$D$101,MATCH(D173,Products!$A$2:$A$101,0))</f>
        <v>449</v>
      </c>
      <c r="I173" s="16" t="n">
        <f aca="false">INDEX(Products!$E$2:$E$101,MATCH(D173,Products!$A$2:$A$101,0))</f>
        <v>180</v>
      </c>
      <c r="J173" s="20" t="n">
        <f aca="false">Orders!F173</f>
        <v>0.15</v>
      </c>
      <c r="K173" s="6" t="n">
        <f aca="false">G173*H173</f>
        <v>449</v>
      </c>
      <c r="L173" s="6" t="n">
        <f aca="false">K173*J173</f>
        <v>67.35</v>
      </c>
      <c r="M173" s="6" t="n">
        <f aca="false">K173-L173</f>
        <v>381.65</v>
      </c>
      <c r="N173" s="6" t="n">
        <f aca="false">G173*I173</f>
        <v>180</v>
      </c>
      <c r="O173" s="6" t="n">
        <f aca="false">M173-N173</f>
        <v>201.65</v>
      </c>
      <c r="P173" s="21" t="n">
        <f aca="false">IFERROR(O173/M173,0)</f>
        <v>0.528363684003668</v>
      </c>
      <c r="Q173" s="6" t="str">
        <f aca="false">Orders!H173</f>
        <v>Delivered</v>
      </c>
      <c r="R173" s="1" t="str">
        <f aca="false">INDEX(Customers!$C$2:$C$301,MATCH(C173,Customers!$A$2:$A$301,0))</f>
        <v>Nagpur</v>
      </c>
      <c r="S173" s="1" t="str">
        <f aca="false">INDEX(Customers!$E$2:$E$301,MATCH(C173,Customers!$A$2:$A$301,0))</f>
        <v>Returning</v>
      </c>
      <c r="T173" s="6" t="str">
        <f aca="false">Orders!I173</f>
        <v>Mobile App</v>
      </c>
      <c r="U173" s="1" t="str">
        <f aca="false">IF(Q173="Delivered","Completed",IF(Q173="Cancelled","Cancelled",IF(Q173="Returned","Returned","In Progress")))</f>
        <v>Completed</v>
      </c>
      <c r="V173" s="1" t="str">
        <f aca="false">IF(M173&gt;=10000,"High Value",IF(M173&gt;=5000,"Medium Value","Low Value"))</f>
        <v>Low Value</v>
      </c>
      <c r="W173" s="1" t="str">
        <f aca="false">IF(O173&gt;0,"Profitable",IF(O173=0,"Break-even","Loss"))</f>
        <v>Profitable</v>
      </c>
      <c r="X173" s="1" t="str">
        <f aca="false">IF(Q173="Cancelled","Not Applicable",IF(Q173="Processing","Pending",IF(B173="","Unknown",IF(Orders!J173="","Unknown",IF(Orders!J173&lt;=3,"Fast",IF(Orders!J173&lt;=6,"Standard","Slow"))))))</f>
        <v>Standard</v>
      </c>
      <c r="Y173" s="1" t="n">
        <f aca="false">IF(OR(Q173="Cancelled",Q173="Returned"),0,O173)</f>
        <v>201.65</v>
      </c>
    </row>
    <row r="174" customFormat="false" ht="15" hidden="false" customHeight="false" outlineLevel="0" collapsed="false">
      <c r="A174" s="6" t="str">
        <f aca="false">Orders!A174</f>
        <v>O000173</v>
      </c>
      <c r="B174" s="19" t="n">
        <f aca="false">Orders!B174</f>
        <v>45670</v>
      </c>
      <c r="C174" s="6" t="str">
        <f aca="false">Orders!C174</f>
        <v>C0223</v>
      </c>
      <c r="D174" s="6" t="str">
        <f aca="false">Orders!D174</f>
        <v>P1057</v>
      </c>
      <c r="E174" s="6" t="str">
        <f aca="false">INDEX(Products!$B$2:$B$101,MATCH(D174,Products!$A$2:$A$101,0))</f>
        <v>Comb Set</v>
      </c>
      <c r="F174" s="1" t="str">
        <f aca="false">INDEX(Products!$C$2:$C$101,MATCH(D174,Products!$A$2:$A$101,0))</f>
        <v>Beauty</v>
      </c>
      <c r="G174" s="6" t="n">
        <f aca="false">Orders!E174</f>
        <v>2</v>
      </c>
      <c r="H174" s="16" t="n">
        <f aca="false">INDEX(Products!$D$2:$D$101,MATCH(D174,Products!$A$2:$A$101,0))</f>
        <v>199</v>
      </c>
      <c r="I174" s="16" t="n">
        <f aca="false">INDEX(Products!$E$2:$E$101,MATCH(D174,Products!$A$2:$A$101,0))</f>
        <v>65</v>
      </c>
      <c r="J174" s="20" t="n">
        <f aca="false">Orders!F174</f>
        <v>0</v>
      </c>
      <c r="K174" s="6" t="n">
        <f aca="false">G174*H174</f>
        <v>398</v>
      </c>
      <c r="L174" s="6" t="n">
        <f aca="false">K174*J174</f>
        <v>0</v>
      </c>
      <c r="M174" s="6" t="n">
        <f aca="false">K174-L174</f>
        <v>398</v>
      </c>
      <c r="N174" s="6" t="n">
        <f aca="false">G174*I174</f>
        <v>130</v>
      </c>
      <c r="O174" s="6" t="n">
        <f aca="false">M174-N174</f>
        <v>268</v>
      </c>
      <c r="P174" s="21" t="n">
        <f aca="false">IFERROR(O174/M174,0)</f>
        <v>0.673366834170854</v>
      </c>
      <c r="Q174" s="6" t="str">
        <f aca="false">Orders!H174</f>
        <v>Delivered</v>
      </c>
      <c r="R174" s="1" t="str">
        <f aca="false">INDEX(Customers!$C$2:$C$301,MATCH(C174,Customers!$A$2:$A$301,0))</f>
        <v>Bengaluru</v>
      </c>
      <c r="S174" s="1" t="str">
        <f aca="false">INDEX(Customers!$E$2:$E$301,MATCH(C174,Customers!$A$2:$A$301,0))</f>
        <v>VIP</v>
      </c>
      <c r="T174" s="6" t="str">
        <f aca="false">Orders!I174</f>
        <v>Mobile App</v>
      </c>
      <c r="U174" s="1" t="str">
        <f aca="false">IF(Q174="Delivered","Completed",IF(Q174="Cancelled","Cancelled",IF(Q174="Returned","Returned","In Progress")))</f>
        <v>Completed</v>
      </c>
      <c r="V174" s="1" t="str">
        <f aca="false">IF(M174&gt;=10000,"High Value",IF(M174&gt;=5000,"Medium Value","Low Value"))</f>
        <v>Low Value</v>
      </c>
      <c r="W174" s="1" t="str">
        <f aca="false">IF(O174&gt;0,"Profitable",IF(O174=0,"Break-even","Loss"))</f>
        <v>Profitable</v>
      </c>
      <c r="X174" s="1" t="str">
        <f aca="false">IF(Q174="Cancelled","Not Applicable",IF(Q174="Processing","Pending",IF(B174="","Unknown",IF(Orders!J174="","Unknown",IF(Orders!J174&lt;=3,"Fast",IF(Orders!J174&lt;=6,"Standard","Slow"))))))</f>
        <v>Slow</v>
      </c>
      <c r="Y174" s="1" t="n">
        <f aca="false">IF(OR(Q174="Cancelled",Q174="Returned"),0,O174)</f>
        <v>268</v>
      </c>
    </row>
    <row r="175" customFormat="false" ht="15" hidden="false" customHeight="false" outlineLevel="0" collapsed="false">
      <c r="A175" s="6" t="str">
        <f aca="false">Orders!A175</f>
        <v>O000174</v>
      </c>
      <c r="B175" s="19" t="n">
        <f aca="false">Orders!B175</f>
        <v>45965</v>
      </c>
      <c r="C175" s="6" t="str">
        <f aca="false">Orders!C175</f>
        <v>C0028</v>
      </c>
      <c r="D175" s="6" t="str">
        <f aca="false">Orders!D175</f>
        <v>P1086</v>
      </c>
      <c r="E175" s="6" t="str">
        <f aca="false">INDEX(Products!$B$2:$B$101,MATCH(D175,Products!$A$2:$A$101,0))</f>
        <v>Geometry Box</v>
      </c>
      <c r="F175" s="1" t="str">
        <f aca="false">INDEX(Products!$C$2:$C$101,MATCH(D175,Products!$A$2:$A$101,0))</f>
        <v>Books &amp; Stationery</v>
      </c>
      <c r="G175" s="6" t="n">
        <f aca="false">Orders!E175</f>
        <v>2</v>
      </c>
      <c r="H175" s="16" t="n">
        <f aca="false">INDEX(Products!$D$2:$D$101,MATCH(D175,Products!$A$2:$A$101,0))</f>
        <v>199</v>
      </c>
      <c r="I175" s="16" t="n">
        <f aca="false">INDEX(Products!$E$2:$E$101,MATCH(D175,Products!$A$2:$A$101,0))</f>
        <v>70</v>
      </c>
      <c r="J175" s="20" t="n">
        <f aca="false">Orders!F175</f>
        <v>0.25</v>
      </c>
      <c r="K175" s="6" t="n">
        <f aca="false">G175*H175</f>
        <v>398</v>
      </c>
      <c r="L175" s="6" t="n">
        <f aca="false">K175*J175</f>
        <v>99.5</v>
      </c>
      <c r="M175" s="6" t="n">
        <f aca="false">K175-L175</f>
        <v>298.5</v>
      </c>
      <c r="N175" s="6" t="n">
        <f aca="false">G175*I175</f>
        <v>140</v>
      </c>
      <c r="O175" s="6" t="n">
        <f aca="false">M175-N175</f>
        <v>158.5</v>
      </c>
      <c r="P175" s="21" t="n">
        <f aca="false">IFERROR(O175/M175,0)</f>
        <v>0.530988274706868</v>
      </c>
      <c r="Q175" s="6" t="str">
        <f aca="false">Orders!H175</f>
        <v>Delivered</v>
      </c>
      <c r="R175" s="1" t="str">
        <f aca="false">INDEX(Customers!$C$2:$C$301,MATCH(C175,Customers!$A$2:$A$301,0))</f>
        <v>Jaipur</v>
      </c>
      <c r="S175" s="1" t="str">
        <f aca="false">INDEX(Customers!$E$2:$E$301,MATCH(C175,Customers!$A$2:$A$301,0))</f>
        <v>VIP</v>
      </c>
      <c r="T175" s="6" t="str">
        <f aca="false">Orders!I175</f>
        <v>Marketplace</v>
      </c>
      <c r="U175" s="1" t="str">
        <f aca="false">IF(Q175="Delivered","Completed",IF(Q175="Cancelled","Cancelled",IF(Q175="Returned","Returned","In Progress")))</f>
        <v>Completed</v>
      </c>
      <c r="V175" s="1" t="str">
        <f aca="false">IF(M175&gt;=10000,"High Value",IF(M175&gt;=5000,"Medium Value","Low Value"))</f>
        <v>Low Value</v>
      </c>
      <c r="W175" s="1" t="str">
        <f aca="false">IF(O175&gt;0,"Profitable",IF(O175=0,"Break-even","Loss"))</f>
        <v>Profitable</v>
      </c>
      <c r="X175" s="1" t="str">
        <f aca="false">IF(Q175="Cancelled","Not Applicable",IF(Q175="Processing","Pending",IF(B175="","Unknown",IF(Orders!J175="","Unknown",IF(Orders!J175&lt;=3,"Fast",IF(Orders!J175&lt;=6,"Standard","Slow"))))))</f>
        <v>Standard</v>
      </c>
      <c r="Y175" s="1" t="n">
        <f aca="false">IF(OR(Q175="Cancelled",Q175="Returned"),0,O175)</f>
        <v>158.5</v>
      </c>
    </row>
    <row r="176" customFormat="false" ht="15" hidden="false" customHeight="false" outlineLevel="0" collapsed="false">
      <c r="A176" s="6" t="str">
        <f aca="false">Orders!A176</f>
        <v>O000175</v>
      </c>
      <c r="B176" s="19" t="n">
        <f aca="false">Orders!B176</f>
        <v>45984</v>
      </c>
      <c r="C176" s="6" t="str">
        <f aca="false">Orders!C176</f>
        <v>C0067</v>
      </c>
      <c r="D176" s="6" t="str">
        <f aca="false">Orders!D176</f>
        <v>P1026</v>
      </c>
      <c r="E176" s="6" t="str">
        <f aca="false">INDEX(Products!$B$2:$B$101,MATCH(D176,Products!$A$2:$A$101,0))</f>
        <v>Sunglasses</v>
      </c>
      <c r="F176" s="1" t="str">
        <f aca="false">INDEX(Products!$C$2:$C$101,MATCH(D176,Products!$A$2:$A$101,0))</f>
        <v>Fashion</v>
      </c>
      <c r="G176" s="6" t="n">
        <f aca="false">Orders!E176</f>
        <v>2</v>
      </c>
      <c r="H176" s="16" t="n">
        <f aca="false">INDEX(Products!$D$2:$D$101,MATCH(D176,Products!$A$2:$A$101,0))</f>
        <v>799</v>
      </c>
      <c r="I176" s="16" t="n">
        <f aca="false">INDEX(Products!$E$2:$E$101,MATCH(D176,Products!$A$2:$A$101,0))</f>
        <v>300</v>
      </c>
      <c r="J176" s="20" t="n">
        <f aca="false">Orders!F176</f>
        <v>0.25</v>
      </c>
      <c r="K176" s="6" t="n">
        <f aca="false">G176*H176</f>
        <v>1598</v>
      </c>
      <c r="L176" s="6" t="n">
        <f aca="false">K176*J176</f>
        <v>399.5</v>
      </c>
      <c r="M176" s="6" t="n">
        <f aca="false">K176-L176</f>
        <v>1198.5</v>
      </c>
      <c r="N176" s="6" t="n">
        <f aca="false">G176*I176</f>
        <v>600</v>
      </c>
      <c r="O176" s="6" t="n">
        <f aca="false">M176-N176</f>
        <v>598.5</v>
      </c>
      <c r="P176" s="21" t="n">
        <f aca="false">IFERROR(O176/M176,0)</f>
        <v>0.499374217772215</v>
      </c>
      <c r="Q176" s="6" t="str">
        <f aca="false">Orders!H176</f>
        <v>Delivered</v>
      </c>
      <c r="R176" s="1" t="str">
        <f aca="false">INDEX(Customers!$C$2:$C$301,MATCH(C176,Customers!$A$2:$A$301,0))</f>
        <v>Pune</v>
      </c>
      <c r="S176" s="1" t="str">
        <f aca="false">INDEX(Customers!$E$2:$E$301,MATCH(C176,Customers!$A$2:$A$301,0))</f>
        <v>VIP</v>
      </c>
      <c r="T176" s="6" t="str">
        <f aca="false">Orders!I176</f>
        <v>Website</v>
      </c>
      <c r="U176" s="1" t="str">
        <f aca="false">IF(Q176="Delivered","Completed",IF(Q176="Cancelled","Cancelled",IF(Q176="Returned","Returned","In Progress")))</f>
        <v>Completed</v>
      </c>
      <c r="V176" s="1" t="str">
        <f aca="false">IF(M176&gt;=10000,"High Value",IF(M176&gt;=5000,"Medium Value","Low Value"))</f>
        <v>Low Value</v>
      </c>
      <c r="W176" s="1" t="str">
        <f aca="false">IF(O176&gt;0,"Profitable",IF(O176=0,"Break-even","Loss"))</f>
        <v>Profitable</v>
      </c>
      <c r="X176" s="1" t="str">
        <f aca="false">IF(Q176="Cancelled","Not Applicable",IF(Q176="Processing","Pending",IF(B176="","Unknown",IF(Orders!J176="","Unknown",IF(Orders!J176&lt;=3,"Fast",IF(Orders!J176&lt;=6,"Standard","Slow"))))))</f>
        <v>Slow</v>
      </c>
      <c r="Y176" s="1" t="n">
        <f aca="false">IF(OR(Q176="Cancelled",Q176="Returned"),0,O176)</f>
        <v>598.5</v>
      </c>
    </row>
    <row r="177" customFormat="false" ht="15" hidden="false" customHeight="false" outlineLevel="0" collapsed="false">
      <c r="A177" s="6" t="str">
        <f aca="false">Orders!A177</f>
        <v>O000176</v>
      </c>
      <c r="B177" s="19" t="n">
        <f aca="false">Orders!B177</f>
        <v>45796</v>
      </c>
      <c r="C177" s="6" t="str">
        <f aca="false">Orders!C177</f>
        <v>C0170</v>
      </c>
      <c r="D177" s="6" t="str">
        <f aca="false">Orders!D177</f>
        <v>P1024</v>
      </c>
      <c r="E177" s="6" t="str">
        <f aca="false">INDEX(Products!$B$2:$B$101,MATCH(D177,Products!$A$2:$A$101,0))</f>
        <v>Kurta</v>
      </c>
      <c r="F177" s="1" t="str">
        <f aca="false">INDEX(Products!$C$2:$C$101,MATCH(D177,Products!$A$2:$A$101,0))</f>
        <v>Fashion</v>
      </c>
      <c r="G177" s="6" t="n">
        <f aca="false">Orders!E177</f>
        <v>1</v>
      </c>
      <c r="H177" s="16" t="n">
        <f aca="false">INDEX(Products!$D$2:$D$101,MATCH(D177,Products!$A$2:$A$101,0))</f>
        <v>999</v>
      </c>
      <c r="I177" s="16" t="n">
        <f aca="false">INDEX(Products!$E$2:$E$101,MATCH(D177,Products!$A$2:$A$101,0))</f>
        <v>450</v>
      </c>
      <c r="J177" s="20" t="n">
        <f aca="false">Orders!F177</f>
        <v>0</v>
      </c>
      <c r="K177" s="6" t="n">
        <f aca="false">G177*H177</f>
        <v>999</v>
      </c>
      <c r="L177" s="6" t="n">
        <f aca="false">K177*J177</f>
        <v>0</v>
      </c>
      <c r="M177" s="6" t="n">
        <f aca="false">K177-L177</f>
        <v>999</v>
      </c>
      <c r="N177" s="6" t="n">
        <f aca="false">G177*I177</f>
        <v>450</v>
      </c>
      <c r="O177" s="6" t="n">
        <f aca="false">M177-N177</f>
        <v>549</v>
      </c>
      <c r="P177" s="21" t="n">
        <f aca="false">IFERROR(O177/M177,0)</f>
        <v>0.54954954954955</v>
      </c>
      <c r="Q177" s="6" t="str">
        <f aca="false">Orders!H177</f>
        <v>Delivered</v>
      </c>
      <c r="R177" s="1" t="str">
        <f aca="false">INDEX(Customers!$C$2:$C$301,MATCH(C177,Customers!$A$2:$A$301,0))</f>
        <v>Lucknow</v>
      </c>
      <c r="S177" s="1" t="str">
        <f aca="false">INDEX(Customers!$E$2:$E$301,MATCH(C177,Customers!$A$2:$A$301,0))</f>
        <v>Returning</v>
      </c>
      <c r="T177" s="6" t="str">
        <f aca="false">Orders!I177</f>
        <v>Mobile App</v>
      </c>
      <c r="U177" s="1" t="str">
        <f aca="false">IF(Q177="Delivered","Completed",IF(Q177="Cancelled","Cancelled",IF(Q177="Returned","Returned","In Progress")))</f>
        <v>Completed</v>
      </c>
      <c r="V177" s="1" t="str">
        <f aca="false">IF(M177&gt;=10000,"High Value",IF(M177&gt;=5000,"Medium Value","Low Value"))</f>
        <v>Low Value</v>
      </c>
      <c r="W177" s="1" t="str">
        <f aca="false">IF(O177&gt;0,"Profitable",IF(O177=0,"Break-even","Loss"))</f>
        <v>Profitable</v>
      </c>
      <c r="X177" s="1" t="str">
        <f aca="false">IF(Q177="Cancelled","Not Applicable",IF(Q177="Processing","Pending",IF(B177="","Unknown",IF(Orders!J177="","Unknown",IF(Orders!J177&lt;=3,"Fast",IF(Orders!J177&lt;=6,"Standard","Slow"))))))</f>
        <v>Standard</v>
      </c>
      <c r="Y177" s="1" t="n">
        <f aca="false">IF(OR(Q177="Cancelled",Q177="Returned"),0,O177)</f>
        <v>549</v>
      </c>
    </row>
    <row r="178" customFormat="false" ht="15" hidden="false" customHeight="false" outlineLevel="0" collapsed="false">
      <c r="A178" s="6" t="str">
        <f aca="false">Orders!A178</f>
        <v>O000177</v>
      </c>
      <c r="B178" s="19" t="n">
        <f aca="false">Orders!B178</f>
        <v>45709</v>
      </c>
      <c r="C178" s="6" t="str">
        <f aca="false">Orders!C178</f>
        <v>C0041</v>
      </c>
      <c r="D178" s="6" t="str">
        <f aca="false">Orders!D178</f>
        <v>P1023</v>
      </c>
      <c r="E178" s="6" t="str">
        <f aca="false">INDEX(Products!$B$2:$B$101,MATCH(D178,Products!$A$2:$A$101,0))</f>
        <v>Sports Cap</v>
      </c>
      <c r="F178" s="1" t="str">
        <f aca="false">INDEX(Products!$C$2:$C$101,MATCH(D178,Products!$A$2:$A$101,0))</f>
        <v>Fashion</v>
      </c>
      <c r="G178" s="6" t="n">
        <f aca="false">Orders!E178</f>
        <v>1</v>
      </c>
      <c r="H178" s="16" t="n">
        <f aca="false">INDEX(Products!$D$2:$D$101,MATCH(D178,Products!$A$2:$A$101,0))</f>
        <v>349</v>
      </c>
      <c r="I178" s="16" t="n">
        <f aca="false">INDEX(Products!$E$2:$E$101,MATCH(D178,Products!$A$2:$A$101,0))</f>
        <v>120</v>
      </c>
      <c r="J178" s="20" t="n">
        <f aca="false">Orders!F178</f>
        <v>0.1</v>
      </c>
      <c r="K178" s="6" t="n">
        <f aca="false">G178*H178</f>
        <v>349</v>
      </c>
      <c r="L178" s="6" t="n">
        <f aca="false">K178*J178</f>
        <v>34.9</v>
      </c>
      <c r="M178" s="6" t="n">
        <f aca="false">K178-L178</f>
        <v>314.1</v>
      </c>
      <c r="N178" s="6" t="n">
        <f aca="false">G178*I178</f>
        <v>120</v>
      </c>
      <c r="O178" s="6" t="n">
        <f aca="false">M178-N178</f>
        <v>194.1</v>
      </c>
      <c r="P178" s="21" t="n">
        <f aca="false">IFERROR(O178/M178,0)</f>
        <v>0.617956064947469</v>
      </c>
      <c r="Q178" s="6" t="str">
        <f aca="false">Orders!H178</f>
        <v>Shipped</v>
      </c>
      <c r="R178" s="1" t="str">
        <f aca="false">INDEX(Customers!$C$2:$C$301,MATCH(C178,Customers!$A$2:$A$301,0))</f>
        <v>Delhi</v>
      </c>
      <c r="S178" s="1" t="str">
        <f aca="false">INDEX(Customers!$E$2:$E$301,MATCH(C178,Customers!$A$2:$A$301,0))</f>
        <v>New</v>
      </c>
      <c r="T178" s="6" t="str">
        <f aca="false">Orders!I178</f>
        <v>Marketplace</v>
      </c>
      <c r="U178" s="1" t="str">
        <f aca="false">IF(Q178="Delivered","Completed",IF(Q178="Cancelled","Cancelled",IF(Q178="Returned","Returned","In Progress")))</f>
        <v>In Progress</v>
      </c>
      <c r="V178" s="1" t="str">
        <f aca="false">IF(M178&gt;=10000,"High Value",IF(M178&gt;=5000,"Medium Value","Low Value"))</f>
        <v>Low Value</v>
      </c>
      <c r="W178" s="1" t="str">
        <f aca="false">IF(O178&gt;0,"Profitable",IF(O178=0,"Break-even","Loss"))</f>
        <v>Profitable</v>
      </c>
      <c r="X178" s="1" t="str">
        <f aca="false">IF(Q178="Cancelled","Not Applicable",IF(Q178="Processing","Pending",IF(B178="","Unknown",IF(Orders!J178="","Unknown",IF(Orders!J178&lt;=3,"Fast",IF(Orders!J178&lt;=6,"Standard","Slow"))))))</f>
        <v>Slow</v>
      </c>
      <c r="Y178" s="1" t="n">
        <f aca="false">IF(OR(Q178="Cancelled",Q178="Returned"),0,O178)</f>
        <v>194.1</v>
      </c>
    </row>
    <row r="179" customFormat="false" ht="15" hidden="false" customHeight="false" outlineLevel="0" collapsed="false">
      <c r="A179" s="6" t="str">
        <f aca="false">Orders!A179</f>
        <v>O000178</v>
      </c>
      <c r="B179" s="19" t="n">
        <f aca="false">Orders!B179</f>
        <v>45761</v>
      </c>
      <c r="C179" s="6" t="str">
        <f aca="false">Orders!C179</f>
        <v>C0062</v>
      </c>
      <c r="D179" s="6" t="str">
        <f aca="false">Orders!D179</f>
        <v>P1043</v>
      </c>
      <c r="E179" s="6" t="str">
        <f aca="false">INDEX(Products!$B$2:$B$101,MATCH(D179,Products!$A$2:$A$101,0))</f>
        <v>Kitchen Rack</v>
      </c>
      <c r="F179" s="1" t="str">
        <f aca="false">INDEX(Products!$C$2:$C$101,MATCH(D179,Products!$A$2:$A$101,0))</f>
        <v>Home &amp; Kitchen</v>
      </c>
      <c r="G179" s="6" t="n">
        <f aca="false">Orders!E179</f>
        <v>1</v>
      </c>
      <c r="H179" s="16" t="n">
        <f aca="false">INDEX(Products!$D$2:$D$101,MATCH(D179,Products!$A$2:$A$101,0))</f>
        <v>1299</v>
      </c>
      <c r="I179" s="16" t="n">
        <f aca="false">INDEX(Products!$E$2:$E$101,MATCH(D179,Products!$A$2:$A$101,0))</f>
        <v>700</v>
      </c>
      <c r="J179" s="20" t="n">
        <f aca="false">Orders!F179</f>
        <v>0.1</v>
      </c>
      <c r="K179" s="6" t="n">
        <f aca="false">G179*H179</f>
        <v>1299</v>
      </c>
      <c r="L179" s="6" t="n">
        <f aca="false">K179*J179</f>
        <v>129.9</v>
      </c>
      <c r="M179" s="6" t="n">
        <f aca="false">K179-L179</f>
        <v>1169.1</v>
      </c>
      <c r="N179" s="6" t="n">
        <f aca="false">G179*I179</f>
        <v>700</v>
      </c>
      <c r="O179" s="6" t="n">
        <f aca="false">M179-N179</f>
        <v>469.1</v>
      </c>
      <c r="P179" s="21" t="n">
        <f aca="false">IFERROR(O179/M179,0)</f>
        <v>0.401248823881618</v>
      </c>
      <c r="Q179" s="6" t="str">
        <f aca="false">Orders!H179</f>
        <v>Delivered</v>
      </c>
      <c r="R179" s="1" t="str">
        <f aca="false">INDEX(Customers!$C$2:$C$301,MATCH(C179,Customers!$A$2:$A$301,0))</f>
        <v>Mumbai</v>
      </c>
      <c r="S179" s="1" t="str">
        <f aca="false">INDEX(Customers!$E$2:$E$301,MATCH(C179,Customers!$A$2:$A$301,0))</f>
        <v>VIP</v>
      </c>
      <c r="T179" s="6" t="str">
        <f aca="false">Orders!I179</f>
        <v>Website</v>
      </c>
      <c r="U179" s="1" t="str">
        <f aca="false">IF(Q179="Delivered","Completed",IF(Q179="Cancelled","Cancelled",IF(Q179="Returned","Returned","In Progress")))</f>
        <v>Completed</v>
      </c>
      <c r="V179" s="1" t="str">
        <f aca="false">IF(M179&gt;=10000,"High Value",IF(M179&gt;=5000,"Medium Value","Low Value"))</f>
        <v>Low Value</v>
      </c>
      <c r="W179" s="1" t="str">
        <f aca="false">IF(O179&gt;0,"Profitable",IF(O179=0,"Break-even","Loss"))</f>
        <v>Profitable</v>
      </c>
      <c r="X179" s="1" t="str">
        <f aca="false">IF(Q179="Cancelled","Not Applicable",IF(Q179="Processing","Pending",IF(B179="","Unknown",IF(Orders!J179="","Unknown",IF(Orders!J179&lt;=3,"Fast",IF(Orders!J179&lt;=6,"Standard","Slow"))))))</f>
        <v>Fast</v>
      </c>
      <c r="Y179" s="1" t="n">
        <f aca="false">IF(OR(Q179="Cancelled",Q179="Returned"),0,O179)</f>
        <v>469.1</v>
      </c>
    </row>
    <row r="180" customFormat="false" ht="15" hidden="false" customHeight="false" outlineLevel="0" collapsed="false">
      <c r="A180" s="6" t="str">
        <f aca="false">Orders!A180</f>
        <v>O000179</v>
      </c>
      <c r="B180" s="19" t="n">
        <f aca="false">Orders!B180</f>
        <v>45796</v>
      </c>
      <c r="C180" s="6" t="str">
        <f aca="false">Orders!C180</f>
        <v>C0293</v>
      </c>
      <c r="D180" s="6" t="str">
        <f aca="false">Orders!D180</f>
        <v>P1055</v>
      </c>
      <c r="E180" s="6" t="str">
        <f aca="false">INDEX(Products!$B$2:$B$101,MATCH(D180,Products!$A$2:$A$101,0))</f>
        <v>Perfume</v>
      </c>
      <c r="F180" s="1" t="str">
        <f aca="false">INDEX(Products!$C$2:$C$101,MATCH(D180,Products!$A$2:$A$101,0))</f>
        <v>Beauty</v>
      </c>
      <c r="G180" s="6" t="n">
        <f aca="false">Orders!E180</f>
        <v>2</v>
      </c>
      <c r="H180" s="16" t="n">
        <f aca="false">INDEX(Products!$D$2:$D$101,MATCH(D180,Products!$A$2:$A$101,0))</f>
        <v>999</v>
      </c>
      <c r="I180" s="16" t="n">
        <f aca="false">INDEX(Products!$E$2:$E$101,MATCH(D180,Products!$A$2:$A$101,0))</f>
        <v>500</v>
      </c>
      <c r="J180" s="20" t="n">
        <f aca="false">Orders!F180</f>
        <v>0</v>
      </c>
      <c r="K180" s="6" t="n">
        <f aca="false">G180*H180</f>
        <v>1998</v>
      </c>
      <c r="L180" s="6" t="n">
        <f aca="false">K180*J180</f>
        <v>0</v>
      </c>
      <c r="M180" s="6" t="n">
        <f aca="false">K180-L180</f>
        <v>1998</v>
      </c>
      <c r="N180" s="6" t="n">
        <f aca="false">G180*I180</f>
        <v>1000</v>
      </c>
      <c r="O180" s="6" t="n">
        <f aca="false">M180-N180</f>
        <v>998</v>
      </c>
      <c r="P180" s="21" t="n">
        <f aca="false">IFERROR(O180/M180,0)</f>
        <v>0.4994994994995</v>
      </c>
      <c r="Q180" s="6" t="str">
        <f aca="false">Orders!H180</f>
        <v>Delivered</v>
      </c>
      <c r="R180" s="1" t="str">
        <f aca="false">INDEX(Customers!$C$2:$C$301,MATCH(C180,Customers!$A$2:$A$301,0))</f>
        <v>Kochi</v>
      </c>
      <c r="S180" s="1" t="str">
        <f aca="false">INDEX(Customers!$E$2:$E$301,MATCH(C180,Customers!$A$2:$A$301,0))</f>
        <v>VIP</v>
      </c>
      <c r="T180" s="6" t="str">
        <f aca="false">Orders!I180</f>
        <v>Mobile App</v>
      </c>
      <c r="U180" s="1" t="str">
        <f aca="false">IF(Q180="Delivered","Completed",IF(Q180="Cancelled","Cancelled",IF(Q180="Returned","Returned","In Progress")))</f>
        <v>Completed</v>
      </c>
      <c r="V180" s="1" t="str">
        <f aca="false">IF(M180&gt;=10000,"High Value",IF(M180&gt;=5000,"Medium Value","Low Value"))</f>
        <v>Low Value</v>
      </c>
      <c r="W180" s="1" t="str">
        <f aca="false">IF(O180&gt;0,"Profitable",IF(O180=0,"Break-even","Loss"))</f>
        <v>Profitable</v>
      </c>
      <c r="X180" s="1" t="str">
        <f aca="false">IF(Q180="Cancelled","Not Applicable",IF(Q180="Processing","Pending",IF(B180="","Unknown",IF(Orders!J180="","Unknown",IF(Orders!J180&lt;=3,"Fast",IF(Orders!J180&lt;=6,"Standard","Slow"))))))</f>
        <v>Slow</v>
      </c>
      <c r="Y180" s="1" t="n">
        <f aca="false">IF(OR(Q180="Cancelled",Q180="Returned"),0,O180)</f>
        <v>998</v>
      </c>
    </row>
    <row r="181" customFormat="false" ht="23.85" hidden="false" customHeight="false" outlineLevel="0" collapsed="false">
      <c r="A181" s="6" t="str">
        <f aca="false">Orders!A181</f>
        <v>O000180</v>
      </c>
      <c r="B181" s="19" t="n">
        <f aca="false">Orders!B181</f>
        <v>45714</v>
      </c>
      <c r="C181" s="6" t="str">
        <f aca="false">Orders!C181</f>
        <v>C0296</v>
      </c>
      <c r="D181" s="6" t="str">
        <f aca="false">Orders!D181</f>
        <v>P1093</v>
      </c>
      <c r="E181" s="6" t="str">
        <f aca="false">INDEX(Products!$B$2:$B$101,MATCH(D181,Products!$A$2:$A$101,0))</f>
        <v>Induction Cooktop</v>
      </c>
      <c r="F181" s="1" t="str">
        <f aca="false">INDEX(Products!$C$2:$C$101,MATCH(D181,Products!$A$2:$A$101,0))</f>
        <v>Appliances</v>
      </c>
      <c r="G181" s="6" t="n">
        <f aca="false">Orders!E181</f>
        <v>1</v>
      </c>
      <c r="H181" s="16" t="n">
        <f aca="false">INDEX(Products!$D$2:$D$101,MATCH(D181,Products!$A$2:$A$101,0))</f>
        <v>2299</v>
      </c>
      <c r="I181" s="16" t="n">
        <f aca="false">INDEX(Products!$E$2:$E$101,MATCH(D181,Products!$A$2:$A$101,0))</f>
        <v>1450</v>
      </c>
      <c r="J181" s="20" t="n">
        <f aca="false">Orders!F181</f>
        <v>0</v>
      </c>
      <c r="K181" s="6" t="n">
        <f aca="false">G181*H181</f>
        <v>2299</v>
      </c>
      <c r="L181" s="6" t="n">
        <f aca="false">K181*J181</f>
        <v>0</v>
      </c>
      <c r="M181" s="6" t="n">
        <f aca="false">K181-L181</f>
        <v>2299</v>
      </c>
      <c r="N181" s="6" t="n">
        <f aca="false">G181*I181</f>
        <v>1450</v>
      </c>
      <c r="O181" s="6" t="n">
        <f aca="false">M181-N181</f>
        <v>849</v>
      </c>
      <c r="P181" s="21" t="n">
        <f aca="false">IFERROR(O181/M181,0)</f>
        <v>0.369290996085254</v>
      </c>
      <c r="Q181" s="6" t="str">
        <f aca="false">Orders!H181</f>
        <v>Delivered</v>
      </c>
      <c r="R181" s="1" t="str">
        <f aca="false">INDEX(Customers!$C$2:$C$301,MATCH(C181,Customers!$A$2:$A$301,0))</f>
        <v>Chandigarh</v>
      </c>
      <c r="S181" s="1" t="str">
        <f aca="false">INDEX(Customers!$E$2:$E$301,MATCH(C181,Customers!$A$2:$A$301,0))</f>
        <v>New</v>
      </c>
      <c r="T181" s="6" t="str">
        <f aca="false">Orders!I181</f>
        <v>Mobile App</v>
      </c>
      <c r="U181" s="1" t="str">
        <f aca="false">IF(Q181="Delivered","Completed",IF(Q181="Cancelled","Cancelled",IF(Q181="Returned","Returned","In Progress")))</f>
        <v>Completed</v>
      </c>
      <c r="V181" s="1" t="str">
        <f aca="false">IF(M181&gt;=10000,"High Value",IF(M181&gt;=5000,"Medium Value","Low Value"))</f>
        <v>Low Value</v>
      </c>
      <c r="W181" s="1" t="str">
        <f aca="false">IF(O181&gt;0,"Profitable",IF(O181=0,"Break-even","Loss"))</f>
        <v>Profitable</v>
      </c>
      <c r="X181" s="1" t="str">
        <f aca="false">IF(Q181="Cancelled","Not Applicable",IF(Q181="Processing","Pending",IF(B181="","Unknown",IF(Orders!J181="","Unknown",IF(Orders!J181&lt;=3,"Fast",IF(Orders!J181&lt;=6,"Standard","Slow"))))))</f>
        <v>Fast</v>
      </c>
      <c r="Y181" s="1" t="n">
        <f aca="false">IF(OR(Q181="Cancelled",Q181="Returned"),0,O181)</f>
        <v>849</v>
      </c>
    </row>
    <row r="182" customFormat="false" ht="23.85" hidden="false" customHeight="false" outlineLevel="0" collapsed="false">
      <c r="A182" s="6" t="str">
        <f aca="false">Orders!A182</f>
        <v>O000181</v>
      </c>
      <c r="B182" s="19" t="n">
        <f aca="false">Orders!B182</f>
        <v>45798</v>
      </c>
      <c r="C182" s="6" t="str">
        <f aca="false">Orders!C182</f>
        <v>C0181</v>
      </c>
      <c r="D182" s="6" t="str">
        <f aca="false">Orders!D182</f>
        <v>P1002</v>
      </c>
      <c r="E182" s="6" t="str">
        <f aca="false">INDEX(Products!$B$2:$B$101,MATCH(D182,Products!$A$2:$A$101,0))</f>
        <v>Bluetooth Speaker</v>
      </c>
      <c r="F182" s="1" t="str">
        <f aca="false">INDEX(Products!$C$2:$C$101,MATCH(D182,Products!$A$2:$A$101,0))</f>
        <v>Electronics</v>
      </c>
      <c r="G182" s="6" t="n">
        <f aca="false">Orders!E182</f>
        <v>2</v>
      </c>
      <c r="H182" s="16" t="n">
        <f aca="false">INDEX(Products!$D$2:$D$101,MATCH(D182,Products!$A$2:$A$101,0))</f>
        <v>1499</v>
      </c>
      <c r="I182" s="16" t="n">
        <f aca="false">INDEX(Products!$E$2:$E$101,MATCH(D182,Products!$A$2:$A$101,0))</f>
        <v>850</v>
      </c>
      <c r="J182" s="20" t="n">
        <f aca="false">Orders!F182</f>
        <v>0.1</v>
      </c>
      <c r="K182" s="6" t="n">
        <f aca="false">G182*H182</f>
        <v>2998</v>
      </c>
      <c r="L182" s="6" t="n">
        <f aca="false">K182*J182</f>
        <v>299.8</v>
      </c>
      <c r="M182" s="6" t="n">
        <f aca="false">K182-L182</f>
        <v>2698.2</v>
      </c>
      <c r="N182" s="6" t="n">
        <f aca="false">G182*I182</f>
        <v>1700</v>
      </c>
      <c r="O182" s="6" t="n">
        <f aca="false">M182-N182</f>
        <v>998.2</v>
      </c>
      <c r="P182" s="21" t="n">
        <f aca="false">IFERROR(O182/M182,0)</f>
        <v>0.369950337261878</v>
      </c>
      <c r="Q182" s="6" t="str">
        <f aca="false">Orders!H182</f>
        <v>Delivered</v>
      </c>
      <c r="R182" s="1" t="str">
        <f aca="false">INDEX(Customers!$C$2:$C$301,MATCH(C182,Customers!$A$2:$A$301,0))</f>
        <v>Delhi</v>
      </c>
      <c r="S182" s="1" t="str">
        <f aca="false">INDEX(Customers!$E$2:$E$301,MATCH(C182,Customers!$A$2:$A$301,0))</f>
        <v>New</v>
      </c>
      <c r="T182" s="6" t="str">
        <f aca="false">Orders!I182</f>
        <v>Mobile App</v>
      </c>
      <c r="U182" s="1" t="str">
        <f aca="false">IF(Q182="Delivered","Completed",IF(Q182="Cancelled","Cancelled",IF(Q182="Returned","Returned","In Progress")))</f>
        <v>Completed</v>
      </c>
      <c r="V182" s="1" t="str">
        <f aca="false">IF(M182&gt;=10000,"High Value",IF(M182&gt;=5000,"Medium Value","Low Value"))</f>
        <v>Low Value</v>
      </c>
      <c r="W182" s="1" t="str">
        <f aca="false">IF(O182&gt;0,"Profitable",IF(O182=0,"Break-even","Loss"))</f>
        <v>Profitable</v>
      </c>
      <c r="X182" s="1" t="str">
        <f aca="false">IF(Q182="Cancelled","Not Applicable",IF(Q182="Processing","Pending",IF(B182="","Unknown",IF(Orders!J182="","Unknown",IF(Orders!J182&lt;=3,"Fast",IF(Orders!J182&lt;=6,"Standard","Slow"))))))</f>
        <v>Standard</v>
      </c>
      <c r="Y182" s="1" t="n">
        <f aca="false">IF(OR(Q182="Cancelled",Q182="Returned"),0,O182)</f>
        <v>998.2</v>
      </c>
    </row>
    <row r="183" customFormat="false" ht="15" hidden="false" customHeight="false" outlineLevel="0" collapsed="false">
      <c r="A183" s="6" t="str">
        <f aca="false">Orders!A183</f>
        <v>O000182</v>
      </c>
      <c r="B183" s="19" t="n">
        <f aca="false">Orders!B183</f>
        <v>45701</v>
      </c>
      <c r="C183" s="6" t="str">
        <f aca="false">Orders!C183</f>
        <v>C0102</v>
      </c>
      <c r="D183" s="6" t="str">
        <f aca="false">Orders!D183</f>
        <v>P1034</v>
      </c>
      <c r="E183" s="6" t="str">
        <f aca="false">INDEX(Products!$B$2:$B$101,MATCH(D183,Products!$A$2:$A$101,0))</f>
        <v>Table Lamp</v>
      </c>
      <c r="F183" s="1" t="str">
        <f aca="false">INDEX(Products!$C$2:$C$101,MATCH(D183,Products!$A$2:$A$101,0))</f>
        <v>Home &amp; Kitchen</v>
      </c>
      <c r="G183" s="6" t="n">
        <f aca="false">Orders!E183</f>
        <v>4</v>
      </c>
      <c r="H183" s="16" t="n">
        <f aca="false">INDEX(Products!$D$2:$D$101,MATCH(D183,Products!$A$2:$A$101,0))</f>
        <v>899</v>
      </c>
      <c r="I183" s="16" t="n">
        <f aca="false">INDEX(Products!$E$2:$E$101,MATCH(D183,Products!$A$2:$A$101,0))</f>
        <v>420</v>
      </c>
      <c r="J183" s="20" t="n">
        <f aca="false">Orders!F183</f>
        <v>0.05</v>
      </c>
      <c r="K183" s="6" t="n">
        <f aca="false">G183*H183</f>
        <v>3596</v>
      </c>
      <c r="L183" s="6" t="n">
        <f aca="false">K183*J183</f>
        <v>179.8</v>
      </c>
      <c r="M183" s="6" t="n">
        <f aca="false">K183-L183</f>
        <v>3416.2</v>
      </c>
      <c r="N183" s="6" t="n">
        <f aca="false">G183*I183</f>
        <v>1680</v>
      </c>
      <c r="O183" s="6" t="n">
        <f aca="false">M183-N183</f>
        <v>1736.2</v>
      </c>
      <c r="P183" s="21" t="n">
        <f aca="false">IFERROR(O183/M183,0)</f>
        <v>0.508225513728704</v>
      </c>
      <c r="Q183" s="6" t="str">
        <f aca="false">Orders!H183</f>
        <v>Delivered</v>
      </c>
      <c r="R183" s="1" t="str">
        <f aca="false">INDEX(Customers!$C$2:$C$301,MATCH(C183,Customers!$A$2:$A$301,0))</f>
        <v>Mumbai</v>
      </c>
      <c r="S183" s="1" t="str">
        <f aca="false">INDEX(Customers!$E$2:$E$301,MATCH(C183,Customers!$A$2:$A$301,0))</f>
        <v>Returning</v>
      </c>
      <c r="T183" s="6" t="str">
        <f aca="false">Orders!I183</f>
        <v>Mobile App</v>
      </c>
      <c r="U183" s="1" t="str">
        <f aca="false">IF(Q183="Delivered","Completed",IF(Q183="Cancelled","Cancelled",IF(Q183="Returned","Returned","In Progress")))</f>
        <v>Completed</v>
      </c>
      <c r="V183" s="1" t="str">
        <f aca="false">IF(M183&gt;=10000,"High Value",IF(M183&gt;=5000,"Medium Value","Low Value"))</f>
        <v>Low Value</v>
      </c>
      <c r="W183" s="1" t="str">
        <f aca="false">IF(O183&gt;0,"Profitable",IF(O183=0,"Break-even","Loss"))</f>
        <v>Profitable</v>
      </c>
      <c r="X183" s="1" t="str">
        <f aca="false">IF(Q183="Cancelled","Not Applicable",IF(Q183="Processing","Pending",IF(B183="","Unknown",IF(Orders!J183="","Unknown",IF(Orders!J183&lt;=3,"Fast",IF(Orders!J183&lt;=6,"Standard","Slow"))))))</f>
        <v>Standard</v>
      </c>
      <c r="Y183" s="1" t="n">
        <f aca="false">IF(OR(Q183="Cancelled",Q183="Returned"),0,O183)</f>
        <v>1736.2</v>
      </c>
    </row>
    <row r="184" customFormat="false" ht="15" hidden="false" customHeight="false" outlineLevel="0" collapsed="false">
      <c r="A184" s="6" t="str">
        <f aca="false">Orders!A184</f>
        <v>O000183</v>
      </c>
      <c r="B184" s="19" t="n">
        <f aca="false">Orders!B184</f>
        <v>45672</v>
      </c>
      <c r="C184" s="6" t="str">
        <f aca="false">Orders!C184</f>
        <v>C0165</v>
      </c>
      <c r="D184" s="6" t="str">
        <f aca="false">Orders!D184</f>
        <v>P1090</v>
      </c>
      <c r="E184" s="6" t="str">
        <f aca="false">INDEX(Products!$B$2:$B$101,MATCH(D184,Products!$A$2:$A$101,0))</f>
        <v>Toaster</v>
      </c>
      <c r="F184" s="1" t="str">
        <f aca="false">INDEX(Products!$C$2:$C$101,MATCH(D184,Products!$A$2:$A$101,0))</f>
        <v>Appliances</v>
      </c>
      <c r="G184" s="6" t="n">
        <f aca="false">Orders!E184</f>
        <v>1</v>
      </c>
      <c r="H184" s="16" t="n">
        <f aca="false">INDEX(Products!$D$2:$D$101,MATCH(D184,Products!$A$2:$A$101,0))</f>
        <v>1499</v>
      </c>
      <c r="I184" s="16" t="n">
        <f aca="false">INDEX(Products!$E$2:$E$101,MATCH(D184,Products!$A$2:$A$101,0))</f>
        <v>900</v>
      </c>
      <c r="J184" s="20" t="n">
        <f aca="false">Orders!F184</f>
        <v>0.05</v>
      </c>
      <c r="K184" s="6" t="n">
        <f aca="false">G184*H184</f>
        <v>1499</v>
      </c>
      <c r="L184" s="6" t="n">
        <f aca="false">K184*J184</f>
        <v>74.95</v>
      </c>
      <c r="M184" s="6" t="n">
        <f aca="false">K184-L184</f>
        <v>1424.05</v>
      </c>
      <c r="N184" s="6" t="n">
        <f aca="false">G184*I184</f>
        <v>900</v>
      </c>
      <c r="O184" s="6" t="n">
        <f aca="false">M184-N184</f>
        <v>524.05</v>
      </c>
      <c r="P184" s="21" t="n">
        <f aca="false">IFERROR(O184/M184,0)</f>
        <v>0.367999719110986</v>
      </c>
      <c r="Q184" s="6" t="str">
        <f aca="false">Orders!H184</f>
        <v>Delivered</v>
      </c>
      <c r="R184" s="1" t="str">
        <f aca="false">INDEX(Customers!$C$2:$C$301,MATCH(C184,Customers!$A$2:$A$301,0))</f>
        <v>Chennai</v>
      </c>
      <c r="S184" s="1" t="str">
        <f aca="false">INDEX(Customers!$E$2:$E$301,MATCH(C184,Customers!$A$2:$A$301,0))</f>
        <v>Returning</v>
      </c>
      <c r="T184" s="6" t="str">
        <f aca="false">Orders!I184</f>
        <v>Mobile App</v>
      </c>
      <c r="U184" s="1" t="str">
        <f aca="false">IF(Q184="Delivered","Completed",IF(Q184="Cancelled","Cancelled",IF(Q184="Returned","Returned","In Progress")))</f>
        <v>Completed</v>
      </c>
      <c r="V184" s="1" t="str">
        <f aca="false">IF(M184&gt;=10000,"High Value",IF(M184&gt;=5000,"Medium Value","Low Value"))</f>
        <v>Low Value</v>
      </c>
      <c r="W184" s="1" t="str">
        <f aca="false">IF(O184&gt;0,"Profitable",IF(O184=0,"Break-even","Loss"))</f>
        <v>Profitable</v>
      </c>
      <c r="X184" s="1" t="str">
        <f aca="false">IF(Q184="Cancelled","Not Applicable",IF(Q184="Processing","Pending",IF(B184="","Unknown",IF(Orders!J184="","Unknown",IF(Orders!J184&lt;=3,"Fast",IF(Orders!J184&lt;=6,"Standard","Slow"))))))</f>
        <v>Fast</v>
      </c>
      <c r="Y184" s="1" t="n">
        <f aca="false">IF(OR(Q184="Cancelled",Q184="Returned"),0,O184)</f>
        <v>524.05</v>
      </c>
    </row>
    <row r="185" customFormat="false" ht="15" hidden="false" customHeight="false" outlineLevel="0" collapsed="false">
      <c r="A185" s="6" t="str">
        <f aca="false">Orders!A185</f>
        <v>O000184</v>
      </c>
      <c r="B185" s="19" t="n">
        <f aca="false">Orders!B185</f>
        <v>45886</v>
      </c>
      <c r="C185" s="6" t="str">
        <f aca="false">Orders!C185</f>
        <v>C0298</v>
      </c>
      <c r="D185" s="6" t="str">
        <f aca="false">Orders!D185</f>
        <v>P1057</v>
      </c>
      <c r="E185" s="6" t="str">
        <f aca="false">INDEX(Products!$B$2:$B$101,MATCH(D185,Products!$A$2:$A$101,0))</f>
        <v>Comb Set</v>
      </c>
      <c r="F185" s="1" t="str">
        <f aca="false">INDEX(Products!$C$2:$C$101,MATCH(D185,Products!$A$2:$A$101,0))</f>
        <v>Beauty</v>
      </c>
      <c r="G185" s="6" t="n">
        <f aca="false">Orders!E185</f>
        <v>1</v>
      </c>
      <c r="H185" s="16" t="n">
        <f aca="false">INDEX(Products!$D$2:$D$101,MATCH(D185,Products!$A$2:$A$101,0))</f>
        <v>199</v>
      </c>
      <c r="I185" s="16" t="n">
        <f aca="false">INDEX(Products!$E$2:$E$101,MATCH(D185,Products!$A$2:$A$101,0))</f>
        <v>65</v>
      </c>
      <c r="J185" s="20" t="n">
        <f aca="false">Orders!F185</f>
        <v>0.2</v>
      </c>
      <c r="K185" s="6" t="n">
        <f aca="false">G185*H185</f>
        <v>199</v>
      </c>
      <c r="L185" s="6" t="n">
        <f aca="false">K185*J185</f>
        <v>39.8</v>
      </c>
      <c r="M185" s="6" t="n">
        <f aca="false">K185-L185</f>
        <v>159.2</v>
      </c>
      <c r="N185" s="6" t="n">
        <f aca="false">G185*I185</f>
        <v>65</v>
      </c>
      <c r="O185" s="6" t="n">
        <f aca="false">M185-N185</f>
        <v>94.2</v>
      </c>
      <c r="P185" s="21" t="n">
        <f aca="false">IFERROR(O185/M185,0)</f>
        <v>0.591708542713568</v>
      </c>
      <c r="Q185" s="6" t="str">
        <f aca="false">Orders!H185</f>
        <v>Delivered</v>
      </c>
      <c r="R185" s="1" t="str">
        <f aca="false">INDEX(Customers!$C$2:$C$301,MATCH(C185,Customers!$A$2:$A$301,0))</f>
        <v>Nagpur</v>
      </c>
      <c r="S185" s="1" t="str">
        <f aca="false">INDEX(Customers!$E$2:$E$301,MATCH(C185,Customers!$A$2:$A$301,0))</f>
        <v>Returning</v>
      </c>
      <c r="T185" s="6" t="str">
        <f aca="false">Orders!I185</f>
        <v>Marketplace</v>
      </c>
      <c r="U185" s="1" t="str">
        <f aca="false">IF(Q185="Delivered","Completed",IF(Q185="Cancelled","Cancelled",IF(Q185="Returned","Returned","In Progress")))</f>
        <v>Completed</v>
      </c>
      <c r="V185" s="1" t="str">
        <f aca="false">IF(M185&gt;=10000,"High Value",IF(M185&gt;=5000,"Medium Value","Low Value"))</f>
        <v>Low Value</v>
      </c>
      <c r="W185" s="1" t="str">
        <f aca="false">IF(O185&gt;0,"Profitable",IF(O185=0,"Break-even","Loss"))</f>
        <v>Profitable</v>
      </c>
      <c r="X185" s="1" t="str">
        <f aca="false">IF(Q185="Cancelled","Not Applicable",IF(Q185="Processing","Pending",IF(B185="","Unknown",IF(Orders!J185="","Unknown",IF(Orders!J185&lt;=3,"Fast",IF(Orders!J185&lt;=6,"Standard","Slow"))))))</f>
        <v>Standard</v>
      </c>
      <c r="Y185" s="1" t="n">
        <f aca="false">IF(OR(Q185="Cancelled",Q185="Returned"),0,O185)</f>
        <v>94.2</v>
      </c>
    </row>
    <row r="186" customFormat="false" ht="15" hidden="false" customHeight="false" outlineLevel="0" collapsed="false">
      <c r="A186" s="6" t="str">
        <f aca="false">Orders!A186</f>
        <v>O000185</v>
      </c>
      <c r="B186" s="19" t="n">
        <f aca="false">Orders!B186</f>
        <v>46011</v>
      </c>
      <c r="C186" s="6" t="str">
        <f aca="false">Orders!C186</f>
        <v>C0009</v>
      </c>
      <c r="D186" s="6" t="str">
        <f aca="false">Orders!D186</f>
        <v>P1067</v>
      </c>
      <c r="E186" s="6" t="str">
        <f aca="false">INDEX(Products!$B$2:$B$101,MATCH(D186,Products!$A$2:$A$101,0))</f>
        <v>Camping Torch</v>
      </c>
      <c r="F186" s="1" t="str">
        <f aca="false">INDEX(Products!$C$2:$C$101,MATCH(D186,Products!$A$2:$A$101,0))</f>
        <v>Sports &amp; Outdoors</v>
      </c>
      <c r="G186" s="6" t="n">
        <f aca="false">Orders!E186</f>
        <v>1</v>
      </c>
      <c r="H186" s="16" t="n">
        <f aca="false">INDEX(Products!$D$2:$D$101,MATCH(D186,Products!$A$2:$A$101,0))</f>
        <v>599</v>
      </c>
      <c r="I186" s="16" t="n">
        <f aca="false">INDEX(Products!$E$2:$E$101,MATCH(D186,Products!$A$2:$A$101,0))</f>
        <v>250</v>
      </c>
      <c r="J186" s="20" t="n">
        <f aca="false">Orders!F186</f>
        <v>0.1</v>
      </c>
      <c r="K186" s="6" t="n">
        <f aca="false">G186*H186</f>
        <v>599</v>
      </c>
      <c r="L186" s="6" t="n">
        <f aca="false">K186*J186</f>
        <v>59.9</v>
      </c>
      <c r="M186" s="6" t="n">
        <f aca="false">K186-L186</f>
        <v>539.1</v>
      </c>
      <c r="N186" s="6" t="n">
        <f aca="false">G186*I186</f>
        <v>250</v>
      </c>
      <c r="O186" s="6" t="n">
        <f aca="false">M186-N186</f>
        <v>289.1</v>
      </c>
      <c r="P186" s="21" t="n">
        <f aca="false">IFERROR(O186/M186,0)</f>
        <v>0.53626414394361</v>
      </c>
      <c r="Q186" s="6" t="str">
        <f aca="false">Orders!H186</f>
        <v>Shipped</v>
      </c>
      <c r="R186" s="1" t="str">
        <f aca="false">INDEX(Customers!$C$2:$C$301,MATCH(C186,Customers!$A$2:$A$301,0))</f>
        <v>Ahmedabad</v>
      </c>
      <c r="S186" s="1" t="str">
        <f aca="false">INDEX(Customers!$E$2:$E$301,MATCH(C186,Customers!$A$2:$A$301,0))</f>
        <v>New</v>
      </c>
      <c r="T186" s="6" t="str">
        <f aca="false">Orders!I186</f>
        <v>Website</v>
      </c>
      <c r="U186" s="1" t="str">
        <f aca="false">IF(Q186="Delivered","Completed",IF(Q186="Cancelled","Cancelled",IF(Q186="Returned","Returned","In Progress")))</f>
        <v>In Progress</v>
      </c>
      <c r="V186" s="1" t="str">
        <f aca="false">IF(M186&gt;=10000,"High Value",IF(M186&gt;=5000,"Medium Value","Low Value"))</f>
        <v>Low Value</v>
      </c>
      <c r="W186" s="1" t="str">
        <f aca="false">IF(O186&gt;0,"Profitable",IF(O186=0,"Break-even","Loss"))</f>
        <v>Profitable</v>
      </c>
      <c r="X186" s="1" t="str">
        <f aca="false">IF(Q186="Cancelled","Not Applicable",IF(Q186="Processing","Pending",IF(B186="","Unknown",IF(Orders!J186="","Unknown",IF(Orders!J186&lt;=3,"Fast",IF(Orders!J186&lt;=6,"Standard","Slow"))))))</f>
        <v>Standard</v>
      </c>
      <c r="Y186" s="1" t="n">
        <f aca="false">IF(OR(Q186="Cancelled",Q186="Returned"),0,O186)</f>
        <v>289.1</v>
      </c>
    </row>
    <row r="187" customFormat="false" ht="15" hidden="false" customHeight="false" outlineLevel="0" collapsed="false">
      <c r="A187" s="6" t="str">
        <f aca="false">Orders!A187</f>
        <v>O000186</v>
      </c>
      <c r="B187" s="19" t="n">
        <f aca="false">Orders!B187</f>
        <v>45865</v>
      </c>
      <c r="C187" s="6" t="str">
        <f aca="false">Orders!C187</f>
        <v>C0253</v>
      </c>
      <c r="D187" s="6" t="str">
        <f aca="false">Orders!D187</f>
        <v>P1017</v>
      </c>
      <c r="E187" s="6" t="str">
        <f aca="false">INDEX(Products!$B$2:$B$101,MATCH(D187,Products!$A$2:$A$101,0))</f>
        <v>Denim Jeans</v>
      </c>
      <c r="F187" s="1" t="str">
        <f aca="false">INDEX(Products!$C$2:$C$101,MATCH(D187,Products!$A$2:$A$101,0))</f>
        <v>Fashion</v>
      </c>
      <c r="G187" s="6" t="n">
        <f aca="false">Orders!E187</f>
        <v>1</v>
      </c>
      <c r="H187" s="16" t="n">
        <f aca="false">INDEX(Products!$D$2:$D$101,MATCH(D187,Products!$A$2:$A$101,0))</f>
        <v>1299</v>
      </c>
      <c r="I187" s="16" t="n">
        <f aca="false">INDEX(Products!$E$2:$E$101,MATCH(D187,Products!$A$2:$A$101,0))</f>
        <v>650</v>
      </c>
      <c r="J187" s="20" t="n">
        <f aca="false">Orders!F187</f>
        <v>0.05</v>
      </c>
      <c r="K187" s="6" t="n">
        <f aca="false">G187*H187</f>
        <v>1299</v>
      </c>
      <c r="L187" s="6" t="n">
        <f aca="false">K187*J187</f>
        <v>64.95</v>
      </c>
      <c r="M187" s="6" t="n">
        <f aca="false">K187-L187</f>
        <v>1234.05</v>
      </c>
      <c r="N187" s="6" t="n">
        <f aca="false">G187*I187</f>
        <v>650</v>
      </c>
      <c r="O187" s="6" t="n">
        <f aca="false">M187-N187</f>
        <v>584.05</v>
      </c>
      <c r="P187" s="21" t="n">
        <f aca="false">IFERROR(O187/M187,0)</f>
        <v>0.473279040557514</v>
      </c>
      <c r="Q187" s="6" t="str">
        <f aca="false">Orders!H187</f>
        <v>Delivered</v>
      </c>
      <c r="R187" s="1" t="str">
        <f aca="false">INDEX(Customers!$C$2:$C$301,MATCH(C187,Customers!$A$2:$A$301,0))</f>
        <v>Kochi</v>
      </c>
      <c r="S187" s="1" t="str">
        <f aca="false">INDEX(Customers!$E$2:$E$301,MATCH(C187,Customers!$A$2:$A$301,0))</f>
        <v>New</v>
      </c>
      <c r="T187" s="6" t="str">
        <f aca="false">Orders!I187</f>
        <v>Marketplace</v>
      </c>
      <c r="U187" s="1" t="str">
        <f aca="false">IF(Q187="Delivered","Completed",IF(Q187="Cancelled","Cancelled",IF(Q187="Returned","Returned","In Progress")))</f>
        <v>Completed</v>
      </c>
      <c r="V187" s="1" t="str">
        <f aca="false">IF(M187&gt;=10000,"High Value",IF(M187&gt;=5000,"Medium Value","Low Value"))</f>
        <v>Low Value</v>
      </c>
      <c r="W187" s="1" t="str">
        <f aca="false">IF(O187&gt;0,"Profitable",IF(O187=0,"Break-even","Loss"))</f>
        <v>Profitable</v>
      </c>
      <c r="X187" s="1" t="str">
        <f aca="false">IF(Q187="Cancelled","Not Applicable",IF(Q187="Processing","Pending",IF(B187="","Unknown",IF(Orders!J187="","Unknown",IF(Orders!J187&lt;=3,"Fast",IF(Orders!J187&lt;=6,"Standard","Slow"))))))</f>
        <v>Fast</v>
      </c>
      <c r="Y187" s="1" t="n">
        <f aca="false">IF(OR(Q187="Cancelled",Q187="Returned"),0,O187)</f>
        <v>584.05</v>
      </c>
    </row>
    <row r="188" customFormat="false" ht="15" hidden="false" customHeight="false" outlineLevel="0" collapsed="false">
      <c r="A188" s="6" t="str">
        <f aca="false">Orders!A188</f>
        <v>O000187</v>
      </c>
      <c r="B188" s="19" t="n">
        <f aca="false">Orders!B188</f>
        <v>45983</v>
      </c>
      <c r="C188" s="6" t="str">
        <f aca="false">Orders!C188</f>
        <v>C0190</v>
      </c>
      <c r="D188" s="6" t="str">
        <f aca="false">Orders!D188</f>
        <v>P1080</v>
      </c>
      <c r="E188" s="6" t="str">
        <f aca="false">INDEX(Products!$B$2:$B$101,MATCH(D188,Products!$A$2:$A$101,0))</f>
        <v>Calculator</v>
      </c>
      <c r="F188" s="1" t="str">
        <f aca="false">INDEX(Products!$C$2:$C$101,MATCH(D188,Products!$A$2:$A$101,0))</f>
        <v>Books &amp; Stationery</v>
      </c>
      <c r="G188" s="6" t="n">
        <f aca="false">Orders!E188</f>
        <v>1</v>
      </c>
      <c r="H188" s="16" t="n">
        <f aca="false">INDEX(Products!$D$2:$D$101,MATCH(D188,Products!$A$2:$A$101,0))</f>
        <v>599</v>
      </c>
      <c r="I188" s="16" t="n">
        <f aca="false">INDEX(Products!$E$2:$E$101,MATCH(D188,Products!$A$2:$A$101,0))</f>
        <v>300</v>
      </c>
      <c r="J188" s="20" t="n">
        <f aca="false">Orders!F188</f>
        <v>0.25</v>
      </c>
      <c r="K188" s="6" t="n">
        <f aca="false">G188*H188</f>
        <v>599</v>
      </c>
      <c r="L188" s="6" t="n">
        <f aca="false">K188*J188</f>
        <v>149.75</v>
      </c>
      <c r="M188" s="6" t="n">
        <f aca="false">K188-L188</f>
        <v>449.25</v>
      </c>
      <c r="N188" s="6" t="n">
        <f aca="false">G188*I188</f>
        <v>300</v>
      </c>
      <c r="O188" s="6" t="n">
        <f aca="false">M188-N188</f>
        <v>149.25</v>
      </c>
      <c r="P188" s="21" t="n">
        <f aca="false">IFERROR(O188/M188,0)</f>
        <v>0.332220367278798</v>
      </c>
      <c r="Q188" s="6" t="str">
        <f aca="false">Orders!H188</f>
        <v>Delivered</v>
      </c>
      <c r="R188" s="1" t="str">
        <f aca="false">INDEX(Customers!$C$2:$C$301,MATCH(C188,Customers!$A$2:$A$301,0))</f>
        <v>Lucknow</v>
      </c>
      <c r="S188" s="1" t="str">
        <f aca="false">INDEX(Customers!$E$2:$E$301,MATCH(C188,Customers!$A$2:$A$301,0))</f>
        <v>Returning</v>
      </c>
      <c r="T188" s="6" t="str">
        <f aca="false">Orders!I188</f>
        <v>Marketplace</v>
      </c>
      <c r="U188" s="1" t="str">
        <f aca="false">IF(Q188="Delivered","Completed",IF(Q188="Cancelled","Cancelled",IF(Q188="Returned","Returned","In Progress")))</f>
        <v>Completed</v>
      </c>
      <c r="V188" s="1" t="str">
        <f aca="false">IF(M188&gt;=10000,"High Value",IF(M188&gt;=5000,"Medium Value","Low Value"))</f>
        <v>Low Value</v>
      </c>
      <c r="W188" s="1" t="str">
        <f aca="false">IF(O188&gt;0,"Profitable",IF(O188=0,"Break-even","Loss"))</f>
        <v>Profitable</v>
      </c>
      <c r="X188" s="1" t="str">
        <f aca="false">IF(Q188="Cancelled","Not Applicable",IF(Q188="Processing","Pending",IF(B188="","Unknown",IF(Orders!J188="","Unknown",IF(Orders!J188&lt;=3,"Fast",IF(Orders!J188&lt;=6,"Standard","Slow"))))))</f>
        <v>Fast</v>
      </c>
      <c r="Y188" s="1" t="n">
        <f aca="false">IF(OR(Q188="Cancelled",Q188="Returned"),0,O188)</f>
        <v>149.25</v>
      </c>
    </row>
    <row r="189" customFormat="false" ht="23.85" hidden="false" customHeight="false" outlineLevel="0" collapsed="false">
      <c r="A189" s="6" t="str">
        <f aca="false">Orders!A189</f>
        <v>O000188</v>
      </c>
      <c r="B189" s="19" t="n">
        <f aca="false">Orders!B189</f>
        <v>45794</v>
      </c>
      <c r="C189" s="6" t="str">
        <f aca="false">Orders!C189</f>
        <v>C0002</v>
      </c>
      <c r="D189" s="6" t="str">
        <f aca="false">Orders!D189</f>
        <v>P1081</v>
      </c>
      <c r="E189" s="6" t="str">
        <f aca="false">INDEX(Products!$B$2:$B$101,MATCH(D189,Products!$A$2:$A$101,0))</f>
        <v>Sticky Notes Pack</v>
      </c>
      <c r="F189" s="1" t="str">
        <f aca="false">INDEX(Products!$C$2:$C$101,MATCH(D189,Products!$A$2:$A$101,0))</f>
        <v>Books &amp; Stationery</v>
      </c>
      <c r="G189" s="6" t="n">
        <f aca="false">Orders!E189</f>
        <v>1</v>
      </c>
      <c r="H189" s="16" t="n">
        <f aca="false">INDEX(Products!$D$2:$D$101,MATCH(D189,Products!$A$2:$A$101,0))</f>
        <v>149</v>
      </c>
      <c r="I189" s="16" t="n">
        <f aca="false">INDEX(Products!$E$2:$E$101,MATCH(D189,Products!$A$2:$A$101,0))</f>
        <v>45</v>
      </c>
      <c r="J189" s="20" t="n">
        <f aca="false">Orders!F189</f>
        <v>0</v>
      </c>
      <c r="K189" s="6" t="n">
        <f aca="false">G189*H189</f>
        <v>149</v>
      </c>
      <c r="L189" s="6" t="n">
        <f aca="false">K189*J189</f>
        <v>0</v>
      </c>
      <c r="M189" s="6" t="n">
        <f aca="false">K189-L189</f>
        <v>149</v>
      </c>
      <c r="N189" s="6" t="n">
        <f aca="false">G189*I189</f>
        <v>45</v>
      </c>
      <c r="O189" s="6" t="n">
        <f aca="false">M189-N189</f>
        <v>104</v>
      </c>
      <c r="P189" s="21" t="n">
        <f aca="false">IFERROR(O189/M189,0)</f>
        <v>0.697986577181208</v>
      </c>
      <c r="Q189" s="6" t="str">
        <f aca="false">Orders!H189</f>
        <v>Delivered</v>
      </c>
      <c r="R189" s="1" t="str">
        <f aca="false">INDEX(Customers!$C$2:$C$301,MATCH(C189,Customers!$A$2:$A$301,0))</f>
        <v>Mumbai</v>
      </c>
      <c r="S189" s="1" t="str">
        <f aca="false">INDEX(Customers!$E$2:$E$301,MATCH(C189,Customers!$A$2:$A$301,0))</f>
        <v>New</v>
      </c>
      <c r="T189" s="6" t="str">
        <f aca="false">Orders!I189</f>
        <v>Marketplace</v>
      </c>
      <c r="U189" s="1" t="str">
        <f aca="false">IF(Q189="Delivered","Completed",IF(Q189="Cancelled","Cancelled",IF(Q189="Returned","Returned","In Progress")))</f>
        <v>Completed</v>
      </c>
      <c r="V189" s="1" t="str">
        <f aca="false">IF(M189&gt;=10000,"High Value",IF(M189&gt;=5000,"Medium Value","Low Value"))</f>
        <v>Low Value</v>
      </c>
      <c r="W189" s="1" t="str">
        <f aca="false">IF(O189&gt;0,"Profitable",IF(O189=0,"Break-even","Loss"))</f>
        <v>Profitable</v>
      </c>
      <c r="X189" s="1" t="str">
        <f aca="false">IF(Q189="Cancelled","Not Applicable",IF(Q189="Processing","Pending",IF(B189="","Unknown",IF(Orders!J189="","Unknown",IF(Orders!J189&lt;=3,"Fast",IF(Orders!J189&lt;=6,"Standard","Slow"))))))</f>
        <v>Standard</v>
      </c>
      <c r="Y189" s="1" t="n">
        <f aca="false">IF(OR(Q189="Cancelled",Q189="Returned"),0,O189)</f>
        <v>104</v>
      </c>
    </row>
    <row r="190" customFormat="false" ht="23.85" hidden="false" customHeight="false" outlineLevel="0" collapsed="false">
      <c r="A190" s="6" t="str">
        <f aca="false">Orders!A190</f>
        <v>O000189</v>
      </c>
      <c r="B190" s="19" t="n">
        <f aca="false">Orders!B190</f>
        <v>45995</v>
      </c>
      <c r="C190" s="6" t="str">
        <f aca="false">Orders!C190</f>
        <v>C0271</v>
      </c>
      <c r="D190" s="6" t="str">
        <f aca="false">Orders!D190</f>
        <v>P1099</v>
      </c>
      <c r="E190" s="6" t="str">
        <f aca="false">INDEX(Products!$B$2:$B$101,MATCH(D190,Products!$A$2:$A$101,0))</f>
        <v>Sandwich Maker</v>
      </c>
      <c r="F190" s="1" t="str">
        <f aca="false">INDEX(Products!$C$2:$C$101,MATCH(D190,Products!$A$2:$A$101,0))</f>
        <v>Appliances</v>
      </c>
      <c r="G190" s="6" t="n">
        <f aca="false">Orders!E190</f>
        <v>3</v>
      </c>
      <c r="H190" s="16" t="n">
        <f aca="false">INDEX(Products!$D$2:$D$101,MATCH(D190,Products!$A$2:$A$101,0))</f>
        <v>1299</v>
      </c>
      <c r="I190" s="16" t="n">
        <f aca="false">INDEX(Products!$E$2:$E$101,MATCH(D190,Products!$A$2:$A$101,0))</f>
        <v>750</v>
      </c>
      <c r="J190" s="20" t="n">
        <f aca="false">Orders!F190</f>
        <v>0.2</v>
      </c>
      <c r="K190" s="6" t="n">
        <f aca="false">G190*H190</f>
        <v>3897</v>
      </c>
      <c r="L190" s="6" t="n">
        <f aca="false">K190*J190</f>
        <v>779.4</v>
      </c>
      <c r="M190" s="6" t="n">
        <f aca="false">K190-L190</f>
        <v>3117.6</v>
      </c>
      <c r="N190" s="6" t="n">
        <f aca="false">G190*I190</f>
        <v>2250</v>
      </c>
      <c r="O190" s="6" t="n">
        <f aca="false">M190-N190</f>
        <v>867.6</v>
      </c>
      <c r="P190" s="21" t="n">
        <f aca="false">IFERROR(O190/M190,0)</f>
        <v>0.278290993071594</v>
      </c>
      <c r="Q190" s="6" t="str">
        <f aca="false">Orders!H190</f>
        <v>Delivered</v>
      </c>
      <c r="R190" s="1" t="str">
        <f aca="false">INDEX(Customers!$C$2:$C$301,MATCH(C190,Customers!$A$2:$A$301,0))</f>
        <v>Gurugram</v>
      </c>
      <c r="S190" s="1" t="str">
        <f aca="false">INDEX(Customers!$E$2:$E$301,MATCH(C190,Customers!$A$2:$A$301,0))</f>
        <v>New</v>
      </c>
      <c r="T190" s="6" t="str">
        <f aca="false">Orders!I190</f>
        <v>Mobile App</v>
      </c>
      <c r="U190" s="1" t="str">
        <f aca="false">IF(Q190="Delivered","Completed",IF(Q190="Cancelled","Cancelled",IF(Q190="Returned","Returned","In Progress")))</f>
        <v>Completed</v>
      </c>
      <c r="V190" s="1" t="str">
        <f aca="false">IF(M190&gt;=10000,"High Value",IF(M190&gt;=5000,"Medium Value","Low Value"))</f>
        <v>Low Value</v>
      </c>
      <c r="W190" s="1" t="str">
        <f aca="false">IF(O190&gt;0,"Profitable",IF(O190=0,"Break-even","Loss"))</f>
        <v>Profitable</v>
      </c>
      <c r="X190" s="1" t="str">
        <f aca="false">IF(Q190="Cancelled","Not Applicable",IF(Q190="Processing","Pending",IF(B190="","Unknown",IF(Orders!J190="","Unknown",IF(Orders!J190&lt;=3,"Fast",IF(Orders!J190&lt;=6,"Standard","Slow"))))))</f>
        <v>Slow</v>
      </c>
      <c r="Y190" s="1" t="n">
        <f aca="false">IF(OR(Q190="Cancelled",Q190="Returned"),0,O190)</f>
        <v>867.6</v>
      </c>
    </row>
    <row r="191" customFormat="false" ht="15" hidden="false" customHeight="false" outlineLevel="0" collapsed="false">
      <c r="A191" s="6" t="str">
        <f aca="false">Orders!A191</f>
        <v>O000190</v>
      </c>
      <c r="B191" s="19" t="n">
        <f aca="false">Orders!B191</f>
        <v>45980</v>
      </c>
      <c r="C191" s="6" t="str">
        <f aca="false">Orders!C191</f>
        <v>C0196</v>
      </c>
      <c r="D191" s="6" t="str">
        <f aca="false">Orders!D191</f>
        <v>P1015</v>
      </c>
      <c r="E191" s="6" t="str">
        <f aca="false">INDEX(Products!$B$2:$B$101,MATCH(D191,Products!$A$2:$A$101,0))</f>
        <v>Portable SSD</v>
      </c>
      <c r="F191" s="1" t="str">
        <f aca="false">INDEX(Products!$C$2:$C$101,MATCH(D191,Products!$A$2:$A$101,0))</f>
        <v>Electronics</v>
      </c>
      <c r="G191" s="6" t="n">
        <f aca="false">Orders!E191</f>
        <v>1</v>
      </c>
      <c r="H191" s="16" t="n">
        <f aca="false">INDEX(Products!$D$2:$D$101,MATCH(D191,Products!$A$2:$A$101,0))</f>
        <v>3999</v>
      </c>
      <c r="I191" s="16" t="n">
        <f aca="false">INDEX(Products!$E$2:$E$101,MATCH(D191,Products!$A$2:$A$101,0))</f>
        <v>2800</v>
      </c>
      <c r="J191" s="20" t="n">
        <f aca="false">Orders!F191</f>
        <v>0</v>
      </c>
      <c r="K191" s="6" t="n">
        <f aca="false">G191*H191</f>
        <v>3999</v>
      </c>
      <c r="L191" s="6" t="n">
        <f aca="false">K191*J191</f>
        <v>0</v>
      </c>
      <c r="M191" s="6" t="n">
        <f aca="false">K191-L191</f>
        <v>3999</v>
      </c>
      <c r="N191" s="6" t="n">
        <f aca="false">G191*I191</f>
        <v>2800</v>
      </c>
      <c r="O191" s="6" t="n">
        <f aca="false">M191-N191</f>
        <v>1199</v>
      </c>
      <c r="P191" s="21" t="n">
        <f aca="false">IFERROR(O191/M191,0)</f>
        <v>0.29982495623906</v>
      </c>
      <c r="Q191" s="6" t="str">
        <f aca="false">Orders!H191</f>
        <v>Delivered</v>
      </c>
      <c r="R191" s="1" t="str">
        <f aca="false">INDEX(Customers!$C$2:$C$301,MATCH(C191,Customers!$A$2:$A$301,0))</f>
        <v>Chandigarh</v>
      </c>
      <c r="S191" s="1" t="str">
        <f aca="false">INDEX(Customers!$E$2:$E$301,MATCH(C191,Customers!$A$2:$A$301,0))</f>
        <v>Returning</v>
      </c>
      <c r="T191" s="6" t="str">
        <f aca="false">Orders!I191</f>
        <v>Website</v>
      </c>
      <c r="U191" s="1" t="str">
        <f aca="false">IF(Q191="Delivered","Completed",IF(Q191="Cancelled","Cancelled",IF(Q191="Returned","Returned","In Progress")))</f>
        <v>Completed</v>
      </c>
      <c r="V191" s="1" t="str">
        <f aca="false">IF(M191&gt;=10000,"High Value",IF(M191&gt;=5000,"Medium Value","Low Value"))</f>
        <v>Low Value</v>
      </c>
      <c r="W191" s="1" t="str">
        <f aca="false">IF(O191&gt;0,"Profitable",IF(O191=0,"Break-even","Loss"))</f>
        <v>Profitable</v>
      </c>
      <c r="X191" s="1" t="str">
        <f aca="false">IF(Q191="Cancelled","Not Applicable",IF(Q191="Processing","Pending",IF(B191="","Unknown",IF(Orders!J191="","Unknown",IF(Orders!J191&lt;=3,"Fast",IF(Orders!J191&lt;=6,"Standard","Slow"))))))</f>
        <v>Standard</v>
      </c>
      <c r="Y191" s="1" t="n">
        <f aca="false">IF(OR(Q191="Cancelled",Q191="Returned"),0,O191)</f>
        <v>1199</v>
      </c>
    </row>
    <row r="192" customFormat="false" ht="15" hidden="false" customHeight="false" outlineLevel="0" collapsed="false">
      <c r="A192" s="6" t="str">
        <f aca="false">Orders!A192</f>
        <v>O000191</v>
      </c>
      <c r="B192" s="19" t="n">
        <f aca="false">Orders!B192</f>
        <v>45980</v>
      </c>
      <c r="C192" s="6" t="str">
        <f aca="false">Orders!C192</f>
        <v>C0226</v>
      </c>
      <c r="D192" s="6" t="str">
        <f aca="false">Orders!D192</f>
        <v>P1079</v>
      </c>
      <c r="E192" s="6" t="str">
        <f aca="false">INDEX(Products!$B$2:$B$101,MATCH(D192,Products!$A$2:$A$101,0))</f>
        <v>Art Supply Kit</v>
      </c>
      <c r="F192" s="1" t="str">
        <f aca="false">INDEX(Products!$C$2:$C$101,MATCH(D192,Products!$A$2:$A$101,0))</f>
        <v>Books &amp; Stationery</v>
      </c>
      <c r="G192" s="6" t="n">
        <f aca="false">Orders!E192</f>
        <v>1</v>
      </c>
      <c r="H192" s="16" t="n">
        <f aca="false">INDEX(Products!$D$2:$D$101,MATCH(D192,Products!$A$2:$A$101,0))</f>
        <v>699</v>
      </c>
      <c r="I192" s="16" t="n">
        <f aca="false">INDEX(Products!$E$2:$E$101,MATCH(D192,Products!$A$2:$A$101,0))</f>
        <v>350</v>
      </c>
      <c r="J192" s="20" t="n">
        <f aca="false">Orders!F192</f>
        <v>0.2</v>
      </c>
      <c r="K192" s="6" t="n">
        <f aca="false">G192*H192</f>
        <v>699</v>
      </c>
      <c r="L192" s="6" t="n">
        <f aca="false">K192*J192</f>
        <v>139.8</v>
      </c>
      <c r="M192" s="6" t="n">
        <f aca="false">K192-L192</f>
        <v>559.2</v>
      </c>
      <c r="N192" s="6" t="n">
        <f aca="false">G192*I192</f>
        <v>350</v>
      </c>
      <c r="O192" s="6" t="n">
        <f aca="false">M192-N192</f>
        <v>209.2</v>
      </c>
      <c r="P192" s="21" t="n">
        <f aca="false">IFERROR(O192/M192,0)</f>
        <v>0.374105865522175</v>
      </c>
      <c r="Q192" s="6" t="str">
        <f aca="false">Orders!H192</f>
        <v>Delivered</v>
      </c>
      <c r="R192" s="1" t="str">
        <f aca="false">INDEX(Customers!$C$2:$C$301,MATCH(C192,Customers!$A$2:$A$301,0))</f>
        <v>Kolkata</v>
      </c>
      <c r="S192" s="1" t="str">
        <f aca="false">INDEX(Customers!$E$2:$E$301,MATCH(C192,Customers!$A$2:$A$301,0))</f>
        <v>Returning</v>
      </c>
      <c r="T192" s="6" t="str">
        <f aca="false">Orders!I192</f>
        <v>Marketplace</v>
      </c>
      <c r="U192" s="1" t="str">
        <f aca="false">IF(Q192="Delivered","Completed",IF(Q192="Cancelled","Cancelled",IF(Q192="Returned","Returned","In Progress")))</f>
        <v>Completed</v>
      </c>
      <c r="V192" s="1" t="str">
        <f aca="false">IF(M192&gt;=10000,"High Value",IF(M192&gt;=5000,"Medium Value","Low Value"))</f>
        <v>Low Value</v>
      </c>
      <c r="W192" s="1" t="str">
        <f aca="false">IF(O192&gt;0,"Profitable",IF(O192=0,"Break-even","Loss"))</f>
        <v>Profitable</v>
      </c>
      <c r="X192" s="1" t="str">
        <f aca="false">IF(Q192="Cancelled","Not Applicable",IF(Q192="Processing","Pending",IF(B192="","Unknown",IF(Orders!J192="","Unknown",IF(Orders!J192&lt;=3,"Fast",IF(Orders!J192&lt;=6,"Standard","Slow"))))))</f>
        <v>Standard</v>
      </c>
      <c r="Y192" s="1" t="n">
        <f aca="false">IF(OR(Q192="Cancelled",Q192="Returned"),0,O192)</f>
        <v>209.2</v>
      </c>
    </row>
    <row r="193" customFormat="false" ht="15" hidden="false" customHeight="false" outlineLevel="0" collapsed="false">
      <c r="A193" s="6" t="str">
        <f aca="false">Orders!A193</f>
        <v>O000192</v>
      </c>
      <c r="B193" s="19" t="n">
        <f aca="false">Orders!B193</f>
        <v>45885</v>
      </c>
      <c r="C193" s="6" t="str">
        <f aca="false">Orders!C193</f>
        <v>C0039</v>
      </c>
      <c r="D193" s="6" t="str">
        <f aca="false">Orders!D193</f>
        <v>P1091</v>
      </c>
      <c r="E193" s="6" t="str">
        <f aca="false">INDEX(Products!$B$2:$B$101,MATCH(D193,Products!$A$2:$A$101,0))</f>
        <v>Rice Cooker</v>
      </c>
      <c r="F193" s="1" t="str">
        <f aca="false">INDEX(Products!$C$2:$C$101,MATCH(D193,Products!$A$2:$A$101,0))</f>
        <v>Appliances</v>
      </c>
      <c r="G193" s="6" t="n">
        <f aca="false">Orders!E193</f>
        <v>1</v>
      </c>
      <c r="H193" s="16" t="n">
        <f aca="false">INDEX(Products!$D$2:$D$101,MATCH(D193,Products!$A$2:$A$101,0))</f>
        <v>1999</v>
      </c>
      <c r="I193" s="16" t="n">
        <f aca="false">INDEX(Products!$E$2:$E$101,MATCH(D193,Products!$A$2:$A$101,0))</f>
        <v>1200</v>
      </c>
      <c r="J193" s="20" t="n">
        <f aca="false">Orders!F193</f>
        <v>0.05</v>
      </c>
      <c r="K193" s="6" t="n">
        <f aca="false">G193*H193</f>
        <v>1999</v>
      </c>
      <c r="L193" s="6" t="n">
        <f aca="false">K193*J193</f>
        <v>99.95</v>
      </c>
      <c r="M193" s="6" t="n">
        <f aca="false">K193-L193</f>
        <v>1899.05</v>
      </c>
      <c r="N193" s="6" t="n">
        <f aca="false">G193*I193</f>
        <v>1200</v>
      </c>
      <c r="O193" s="6" t="n">
        <f aca="false">M193-N193</f>
        <v>699.05</v>
      </c>
      <c r="P193" s="21" t="n">
        <f aca="false">IFERROR(O193/M193,0)</f>
        <v>0.368105105184171</v>
      </c>
      <c r="Q193" s="6" t="str">
        <f aca="false">Orders!H193</f>
        <v>Delivered</v>
      </c>
      <c r="R193" s="1" t="str">
        <f aca="false">INDEX(Customers!$C$2:$C$301,MATCH(C193,Customers!$A$2:$A$301,0))</f>
        <v>Coimbatore</v>
      </c>
      <c r="S193" s="1" t="str">
        <f aca="false">INDEX(Customers!$E$2:$E$301,MATCH(C193,Customers!$A$2:$A$301,0))</f>
        <v>Returning</v>
      </c>
      <c r="T193" s="6" t="str">
        <f aca="false">Orders!I193</f>
        <v>Mobile App</v>
      </c>
      <c r="U193" s="1" t="str">
        <f aca="false">IF(Q193="Delivered","Completed",IF(Q193="Cancelled","Cancelled",IF(Q193="Returned","Returned","In Progress")))</f>
        <v>Completed</v>
      </c>
      <c r="V193" s="1" t="str">
        <f aca="false">IF(M193&gt;=10000,"High Value",IF(M193&gt;=5000,"Medium Value","Low Value"))</f>
        <v>Low Value</v>
      </c>
      <c r="W193" s="1" t="str">
        <f aca="false">IF(O193&gt;0,"Profitable",IF(O193=0,"Break-even","Loss"))</f>
        <v>Profitable</v>
      </c>
      <c r="X193" s="1" t="str">
        <f aca="false">IF(Q193="Cancelled","Not Applicable",IF(Q193="Processing","Pending",IF(B193="","Unknown",IF(Orders!J193="","Unknown",IF(Orders!J193&lt;=3,"Fast",IF(Orders!J193&lt;=6,"Standard","Slow"))))))</f>
        <v>Standard</v>
      </c>
      <c r="Y193" s="1" t="n">
        <f aca="false">IF(OR(Q193="Cancelled",Q193="Returned"),0,O193)</f>
        <v>699.05</v>
      </c>
    </row>
    <row r="194" customFormat="false" ht="15" hidden="false" customHeight="false" outlineLevel="0" collapsed="false">
      <c r="A194" s="6" t="str">
        <f aca="false">Orders!A194</f>
        <v>O000193</v>
      </c>
      <c r="B194" s="19" t="n">
        <f aca="false">Orders!B194</f>
        <v>45901</v>
      </c>
      <c r="C194" s="6" t="str">
        <f aca="false">Orders!C194</f>
        <v>C0197</v>
      </c>
      <c r="D194" s="6" t="str">
        <f aca="false">Orders!D194</f>
        <v>P1009</v>
      </c>
      <c r="E194" s="6" t="str">
        <f aca="false">INDEX(Products!$B$2:$B$101,MATCH(D194,Products!$A$2:$A$101,0))</f>
        <v>Laptop Sleeve</v>
      </c>
      <c r="F194" s="1" t="str">
        <f aca="false">INDEX(Products!$C$2:$C$101,MATCH(D194,Products!$A$2:$A$101,0))</f>
        <v>Electronics</v>
      </c>
      <c r="G194" s="6" t="n">
        <f aca="false">Orders!E194</f>
        <v>1</v>
      </c>
      <c r="H194" s="16" t="n">
        <f aca="false">INDEX(Products!$D$2:$D$101,MATCH(D194,Products!$A$2:$A$101,0))</f>
        <v>799</v>
      </c>
      <c r="I194" s="16" t="n">
        <f aca="false">INDEX(Products!$E$2:$E$101,MATCH(D194,Products!$A$2:$A$101,0))</f>
        <v>350</v>
      </c>
      <c r="J194" s="20" t="n">
        <f aca="false">Orders!F194</f>
        <v>0.15</v>
      </c>
      <c r="K194" s="6" t="n">
        <f aca="false">G194*H194</f>
        <v>799</v>
      </c>
      <c r="L194" s="6" t="n">
        <f aca="false">K194*J194</f>
        <v>119.85</v>
      </c>
      <c r="M194" s="6" t="n">
        <f aca="false">K194-L194</f>
        <v>679.15</v>
      </c>
      <c r="N194" s="6" t="n">
        <f aca="false">G194*I194</f>
        <v>350</v>
      </c>
      <c r="O194" s="6" t="n">
        <f aca="false">M194-N194</f>
        <v>329.15</v>
      </c>
      <c r="P194" s="21" t="n">
        <f aca="false">IFERROR(O194/M194,0)</f>
        <v>0.484649930059633</v>
      </c>
      <c r="Q194" s="6" t="str">
        <f aca="false">Orders!H194</f>
        <v>Shipped</v>
      </c>
      <c r="R194" s="1" t="str">
        <f aca="false">INDEX(Customers!$C$2:$C$301,MATCH(C194,Customers!$A$2:$A$301,0))</f>
        <v>Surat</v>
      </c>
      <c r="S194" s="1" t="str">
        <f aca="false">INDEX(Customers!$E$2:$E$301,MATCH(C194,Customers!$A$2:$A$301,0))</f>
        <v>Returning</v>
      </c>
      <c r="T194" s="6" t="str">
        <f aca="false">Orders!I194</f>
        <v>Mobile App</v>
      </c>
      <c r="U194" s="1" t="str">
        <f aca="false">IF(Q194="Delivered","Completed",IF(Q194="Cancelled","Cancelled",IF(Q194="Returned","Returned","In Progress")))</f>
        <v>In Progress</v>
      </c>
      <c r="V194" s="1" t="str">
        <f aca="false">IF(M194&gt;=10000,"High Value",IF(M194&gt;=5000,"Medium Value","Low Value"))</f>
        <v>Low Value</v>
      </c>
      <c r="W194" s="1" t="str">
        <f aca="false">IF(O194&gt;0,"Profitable",IF(O194=0,"Break-even","Loss"))</f>
        <v>Profitable</v>
      </c>
      <c r="X194" s="1" t="str">
        <f aca="false">IF(Q194="Cancelled","Not Applicable",IF(Q194="Processing","Pending",IF(B194="","Unknown",IF(Orders!J194="","Unknown",IF(Orders!J194&lt;=3,"Fast",IF(Orders!J194&lt;=6,"Standard","Slow"))))))</f>
        <v>Slow</v>
      </c>
      <c r="Y194" s="1" t="n">
        <f aca="false">IF(OR(Q194="Cancelled",Q194="Returned"),0,O194)</f>
        <v>329.15</v>
      </c>
    </row>
    <row r="195" customFormat="false" ht="15" hidden="false" customHeight="false" outlineLevel="0" collapsed="false">
      <c r="A195" s="6" t="str">
        <f aca="false">Orders!A195</f>
        <v>O000194</v>
      </c>
      <c r="B195" s="19" t="n">
        <f aca="false">Orders!B195</f>
        <v>45938</v>
      </c>
      <c r="C195" s="6" t="str">
        <f aca="false">Orders!C195</f>
        <v>C0202</v>
      </c>
      <c r="D195" s="6" t="str">
        <f aca="false">Orders!D195</f>
        <v>P1013</v>
      </c>
      <c r="E195" s="6" t="str">
        <f aca="false">INDEX(Products!$B$2:$B$101,MATCH(D195,Products!$A$2:$A$101,0))</f>
        <v>Memory Card</v>
      </c>
      <c r="F195" s="1" t="str">
        <f aca="false">INDEX(Products!$C$2:$C$101,MATCH(D195,Products!$A$2:$A$101,0))</f>
        <v>Electronics</v>
      </c>
      <c r="G195" s="6" t="n">
        <f aca="false">Orders!E195</f>
        <v>2</v>
      </c>
      <c r="H195" s="16" t="n">
        <f aca="false">INDEX(Products!$D$2:$D$101,MATCH(D195,Products!$A$2:$A$101,0))</f>
        <v>699</v>
      </c>
      <c r="I195" s="16" t="n">
        <f aca="false">INDEX(Products!$E$2:$E$101,MATCH(D195,Products!$A$2:$A$101,0))</f>
        <v>400</v>
      </c>
      <c r="J195" s="20" t="n">
        <f aca="false">Orders!F195</f>
        <v>0.05</v>
      </c>
      <c r="K195" s="6" t="n">
        <f aca="false">G195*H195</f>
        <v>1398</v>
      </c>
      <c r="L195" s="6" t="n">
        <f aca="false">K195*J195</f>
        <v>69.9</v>
      </c>
      <c r="M195" s="6" t="n">
        <f aca="false">K195-L195</f>
        <v>1328.1</v>
      </c>
      <c r="N195" s="6" t="n">
        <f aca="false">G195*I195</f>
        <v>800</v>
      </c>
      <c r="O195" s="6" t="n">
        <f aca="false">M195-N195</f>
        <v>528.1</v>
      </c>
      <c r="P195" s="21" t="n">
        <f aca="false">IFERROR(O195/M195,0)</f>
        <v>0.397635720201792</v>
      </c>
      <c r="Q195" s="6" t="str">
        <f aca="false">Orders!H195</f>
        <v>Delivered</v>
      </c>
      <c r="R195" s="1" t="str">
        <f aca="false">INDEX(Customers!$C$2:$C$301,MATCH(C195,Customers!$A$2:$A$301,0))</f>
        <v>Mumbai</v>
      </c>
      <c r="S195" s="1" t="str">
        <f aca="false">INDEX(Customers!$E$2:$E$301,MATCH(C195,Customers!$A$2:$A$301,0))</f>
        <v>New</v>
      </c>
      <c r="T195" s="6" t="str">
        <f aca="false">Orders!I195</f>
        <v>Mobile App</v>
      </c>
      <c r="U195" s="1" t="str">
        <f aca="false">IF(Q195="Delivered","Completed",IF(Q195="Cancelled","Cancelled",IF(Q195="Returned","Returned","In Progress")))</f>
        <v>Completed</v>
      </c>
      <c r="V195" s="1" t="str">
        <f aca="false">IF(M195&gt;=10000,"High Value",IF(M195&gt;=5000,"Medium Value","Low Value"))</f>
        <v>Low Value</v>
      </c>
      <c r="W195" s="1" t="str">
        <f aca="false">IF(O195&gt;0,"Profitable",IF(O195=0,"Break-even","Loss"))</f>
        <v>Profitable</v>
      </c>
      <c r="X195" s="1" t="str">
        <f aca="false">IF(Q195="Cancelled","Not Applicable",IF(Q195="Processing","Pending",IF(B195="","Unknown",IF(Orders!J195="","Unknown",IF(Orders!J195&lt;=3,"Fast",IF(Orders!J195&lt;=6,"Standard","Slow"))))))</f>
        <v>Standard</v>
      </c>
      <c r="Y195" s="1" t="n">
        <f aca="false">IF(OR(Q195="Cancelled",Q195="Returned"),0,O195)</f>
        <v>528.1</v>
      </c>
    </row>
    <row r="196" customFormat="false" ht="15" hidden="false" customHeight="false" outlineLevel="0" collapsed="false">
      <c r="A196" s="6" t="str">
        <f aca="false">Orders!A196</f>
        <v>O000195</v>
      </c>
      <c r="B196" s="19" t="n">
        <f aca="false">Orders!B196</f>
        <v>45882</v>
      </c>
      <c r="C196" s="6" t="str">
        <f aca="false">Orders!C196</f>
        <v>C0090</v>
      </c>
      <c r="D196" s="6" t="str">
        <f aca="false">Orders!D196</f>
        <v>P1007</v>
      </c>
      <c r="E196" s="6" t="str">
        <f aca="false">INDEX(Products!$B$2:$B$101,MATCH(D196,Products!$A$2:$A$101,0))</f>
        <v>Keyboard</v>
      </c>
      <c r="F196" s="1" t="str">
        <f aca="false">INDEX(Products!$C$2:$C$101,MATCH(D196,Products!$A$2:$A$101,0))</f>
        <v>Electronics</v>
      </c>
      <c r="G196" s="6" t="n">
        <f aca="false">Orders!E196</f>
        <v>1</v>
      </c>
      <c r="H196" s="16" t="n">
        <f aca="false">INDEX(Products!$D$2:$D$101,MATCH(D196,Products!$A$2:$A$101,0))</f>
        <v>999</v>
      </c>
      <c r="I196" s="16" t="n">
        <f aca="false">INDEX(Products!$E$2:$E$101,MATCH(D196,Products!$A$2:$A$101,0))</f>
        <v>480</v>
      </c>
      <c r="J196" s="20" t="n">
        <f aca="false">Orders!F196</f>
        <v>0.05</v>
      </c>
      <c r="K196" s="6" t="n">
        <f aca="false">G196*H196</f>
        <v>999</v>
      </c>
      <c r="L196" s="6" t="n">
        <f aca="false">K196*J196</f>
        <v>49.95</v>
      </c>
      <c r="M196" s="6" t="n">
        <f aca="false">K196-L196</f>
        <v>949.05</v>
      </c>
      <c r="N196" s="6" t="n">
        <f aca="false">G196*I196</f>
        <v>480</v>
      </c>
      <c r="O196" s="6" t="n">
        <f aca="false">M196-N196</f>
        <v>469.05</v>
      </c>
      <c r="P196" s="21" t="n">
        <f aca="false">IFERROR(O196/M196,0)</f>
        <v>0.494231073178442</v>
      </c>
      <c r="Q196" s="6" t="str">
        <f aca="false">Orders!H196</f>
        <v>Delivered</v>
      </c>
      <c r="R196" s="1" t="str">
        <f aca="false">INDEX(Customers!$C$2:$C$301,MATCH(C196,Customers!$A$2:$A$301,0))</f>
        <v>Lucknow</v>
      </c>
      <c r="S196" s="1" t="str">
        <f aca="false">INDEX(Customers!$E$2:$E$301,MATCH(C196,Customers!$A$2:$A$301,0))</f>
        <v>New</v>
      </c>
      <c r="T196" s="6" t="str">
        <f aca="false">Orders!I196</f>
        <v>Marketplace</v>
      </c>
      <c r="U196" s="1" t="str">
        <f aca="false">IF(Q196="Delivered","Completed",IF(Q196="Cancelled","Cancelled",IF(Q196="Returned","Returned","In Progress")))</f>
        <v>Completed</v>
      </c>
      <c r="V196" s="1" t="str">
        <f aca="false">IF(M196&gt;=10000,"High Value",IF(M196&gt;=5000,"Medium Value","Low Value"))</f>
        <v>Low Value</v>
      </c>
      <c r="W196" s="1" t="str">
        <f aca="false">IF(O196&gt;0,"Profitable",IF(O196=0,"Break-even","Loss"))</f>
        <v>Profitable</v>
      </c>
      <c r="X196" s="1" t="str">
        <f aca="false">IF(Q196="Cancelled","Not Applicable",IF(Q196="Processing","Pending",IF(B196="","Unknown",IF(Orders!J196="","Unknown",IF(Orders!J196&lt;=3,"Fast",IF(Orders!J196&lt;=6,"Standard","Slow"))))))</f>
        <v>Slow</v>
      </c>
      <c r="Y196" s="1" t="n">
        <f aca="false">IF(OR(Q196="Cancelled",Q196="Returned"),0,O196)</f>
        <v>469.05</v>
      </c>
    </row>
    <row r="197" customFormat="false" ht="15" hidden="false" customHeight="false" outlineLevel="0" collapsed="false">
      <c r="A197" s="6" t="str">
        <f aca="false">Orders!A197</f>
        <v>O000196</v>
      </c>
      <c r="B197" s="19" t="n">
        <f aca="false">Orders!B197</f>
        <v>45802</v>
      </c>
      <c r="C197" s="6" t="str">
        <f aca="false">Orders!C197</f>
        <v>C0249</v>
      </c>
      <c r="D197" s="6" t="str">
        <f aca="false">Orders!D197</f>
        <v>P1005</v>
      </c>
      <c r="E197" s="6" t="str">
        <f aca="false">INDEX(Products!$B$2:$B$101,MATCH(D197,Products!$A$2:$A$101,0))</f>
        <v>Power Bank</v>
      </c>
      <c r="F197" s="1" t="str">
        <f aca="false">INDEX(Products!$C$2:$C$101,MATCH(D197,Products!$A$2:$A$101,0))</f>
        <v>Electronics</v>
      </c>
      <c r="G197" s="6" t="n">
        <f aca="false">Orders!E197</f>
        <v>1</v>
      </c>
      <c r="H197" s="16" t="n">
        <f aca="false">INDEX(Products!$D$2:$D$101,MATCH(D197,Products!$A$2:$A$101,0))</f>
        <v>1199</v>
      </c>
      <c r="I197" s="16" t="n">
        <f aca="false">INDEX(Products!$E$2:$E$101,MATCH(D197,Products!$A$2:$A$101,0))</f>
        <v>650</v>
      </c>
      <c r="J197" s="20" t="n">
        <f aca="false">Orders!F197</f>
        <v>0.15</v>
      </c>
      <c r="K197" s="6" t="n">
        <f aca="false">G197*H197</f>
        <v>1199</v>
      </c>
      <c r="L197" s="6" t="n">
        <f aca="false">K197*J197</f>
        <v>179.85</v>
      </c>
      <c r="M197" s="6" t="n">
        <f aca="false">K197-L197</f>
        <v>1019.15</v>
      </c>
      <c r="N197" s="6" t="n">
        <f aca="false">G197*I197</f>
        <v>650</v>
      </c>
      <c r="O197" s="6" t="n">
        <f aca="false">M197-N197</f>
        <v>369.15</v>
      </c>
      <c r="P197" s="21" t="n">
        <f aca="false">IFERROR(O197/M197,0)</f>
        <v>0.362213609380366</v>
      </c>
      <c r="Q197" s="6" t="str">
        <f aca="false">Orders!H197</f>
        <v>Shipped</v>
      </c>
      <c r="R197" s="1" t="str">
        <f aca="false">INDEX(Customers!$C$2:$C$301,MATCH(C197,Customers!$A$2:$A$301,0))</f>
        <v>Ahmedabad</v>
      </c>
      <c r="S197" s="1" t="str">
        <f aca="false">INDEX(Customers!$E$2:$E$301,MATCH(C197,Customers!$A$2:$A$301,0))</f>
        <v>New</v>
      </c>
      <c r="T197" s="6" t="str">
        <f aca="false">Orders!I197</f>
        <v>Website</v>
      </c>
      <c r="U197" s="1" t="str">
        <f aca="false">IF(Q197="Delivered","Completed",IF(Q197="Cancelled","Cancelled",IF(Q197="Returned","Returned","In Progress")))</f>
        <v>In Progress</v>
      </c>
      <c r="V197" s="1" t="str">
        <f aca="false">IF(M197&gt;=10000,"High Value",IF(M197&gt;=5000,"Medium Value","Low Value"))</f>
        <v>Low Value</v>
      </c>
      <c r="W197" s="1" t="str">
        <f aca="false">IF(O197&gt;0,"Profitable",IF(O197=0,"Break-even","Loss"))</f>
        <v>Profitable</v>
      </c>
      <c r="X197" s="1" t="str">
        <f aca="false">IF(Q197="Cancelled","Not Applicable",IF(Q197="Processing","Pending",IF(B197="","Unknown",IF(Orders!J197="","Unknown",IF(Orders!J197&lt;=3,"Fast",IF(Orders!J197&lt;=6,"Standard","Slow"))))))</f>
        <v>Slow</v>
      </c>
      <c r="Y197" s="1" t="n">
        <f aca="false">IF(OR(Q197="Cancelled",Q197="Returned"),0,O197)</f>
        <v>369.15</v>
      </c>
    </row>
    <row r="198" customFormat="false" ht="15" hidden="false" customHeight="false" outlineLevel="0" collapsed="false">
      <c r="A198" s="6" t="str">
        <f aca="false">Orders!A198</f>
        <v>O000197</v>
      </c>
      <c r="B198" s="19" t="n">
        <f aca="false">Orders!B198</f>
        <v>45746</v>
      </c>
      <c r="C198" s="6" t="str">
        <f aca="false">Orders!C198</f>
        <v>C0139</v>
      </c>
      <c r="D198" s="6" t="str">
        <f aca="false">Orders!D198</f>
        <v>P1030</v>
      </c>
      <c r="E198" s="6" t="str">
        <f aca="false">INDEX(Products!$B$2:$B$101,MATCH(D198,Products!$A$2:$A$101,0))</f>
        <v>Formal Shoes</v>
      </c>
      <c r="F198" s="1" t="str">
        <f aca="false">INDEX(Products!$C$2:$C$101,MATCH(D198,Products!$A$2:$A$101,0))</f>
        <v>Fashion</v>
      </c>
      <c r="G198" s="6" t="n">
        <f aca="false">Orders!E198</f>
        <v>4</v>
      </c>
      <c r="H198" s="16" t="n">
        <f aca="false">INDEX(Products!$D$2:$D$101,MATCH(D198,Products!$A$2:$A$101,0))</f>
        <v>2299</v>
      </c>
      <c r="I198" s="16" t="n">
        <f aca="false">INDEX(Products!$E$2:$E$101,MATCH(D198,Products!$A$2:$A$101,0))</f>
        <v>1300</v>
      </c>
      <c r="J198" s="20" t="n">
        <f aca="false">Orders!F198</f>
        <v>0.1</v>
      </c>
      <c r="K198" s="6" t="n">
        <f aca="false">G198*H198</f>
        <v>9196</v>
      </c>
      <c r="L198" s="6" t="n">
        <f aca="false">K198*J198</f>
        <v>919.6</v>
      </c>
      <c r="M198" s="6" t="n">
        <f aca="false">K198-L198</f>
        <v>8276.4</v>
      </c>
      <c r="N198" s="6" t="n">
        <f aca="false">G198*I198</f>
        <v>5200</v>
      </c>
      <c r="O198" s="6" t="n">
        <f aca="false">M198-N198</f>
        <v>3076.4</v>
      </c>
      <c r="P198" s="21" t="n">
        <f aca="false">IFERROR(O198/M198,0)</f>
        <v>0.371707505678798</v>
      </c>
      <c r="Q198" s="6" t="str">
        <f aca="false">Orders!H198</f>
        <v>Cancelled</v>
      </c>
      <c r="R198" s="1" t="str">
        <f aca="false">INDEX(Customers!$C$2:$C$301,MATCH(C198,Customers!$A$2:$A$301,0))</f>
        <v>Coimbatore</v>
      </c>
      <c r="S198" s="1" t="str">
        <f aca="false">INDEX(Customers!$E$2:$E$301,MATCH(C198,Customers!$A$2:$A$301,0))</f>
        <v>Returning</v>
      </c>
      <c r="T198" s="6" t="str">
        <f aca="false">Orders!I198</f>
        <v>Mobile App</v>
      </c>
      <c r="U198" s="1" t="str">
        <f aca="false">IF(Q198="Delivered","Completed",IF(Q198="Cancelled","Cancelled",IF(Q198="Returned","Returned","In Progress")))</f>
        <v>Cancelled</v>
      </c>
      <c r="V198" s="1" t="str">
        <f aca="false">IF(M198&gt;=10000,"High Value",IF(M198&gt;=5000,"Medium Value","Low Value"))</f>
        <v>Medium Value</v>
      </c>
      <c r="W198" s="1" t="str">
        <f aca="false">IF(O198&gt;0,"Profitable",IF(O198=0,"Break-even","Loss"))</f>
        <v>Profitable</v>
      </c>
      <c r="X198" s="1" t="str">
        <f aca="false">IF(Q198="Cancelled","Not Applicable",IF(Q198="Processing","Pending",IF(B198="","Unknown",IF(Orders!J198="","Unknown",IF(Orders!J198&lt;=3,"Fast",IF(Orders!J198&lt;=6,"Standard","Slow"))))))</f>
        <v>Not Applicable</v>
      </c>
      <c r="Y198" s="1" t="n">
        <f aca="false">IF(OR(Q198="Cancelled",Q198="Returned"),0,O198)</f>
        <v>0</v>
      </c>
    </row>
    <row r="199" customFormat="false" ht="15" hidden="false" customHeight="false" outlineLevel="0" collapsed="false">
      <c r="A199" s="6" t="str">
        <f aca="false">Orders!A199</f>
        <v>O000198</v>
      </c>
      <c r="B199" s="19" t="n">
        <f aca="false">Orders!B199</f>
        <v>45672</v>
      </c>
      <c r="C199" s="6" t="str">
        <f aca="false">Orders!C199</f>
        <v>C0013</v>
      </c>
      <c r="D199" s="6" t="str">
        <f aca="false">Orders!D199</f>
        <v>P1085</v>
      </c>
      <c r="E199" s="6" t="str">
        <f aca="false">INDEX(Products!$B$2:$B$101,MATCH(D199,Products!$A$2:$A$101,0))</f>
        <v>Marker Set</v>
      </c>
      <c r="F199" s="1" t="str">
        <f aca="false">INDEX(Products!$C$2:$C$101,MATCH(D199,Products!$A$2:$A$101,0))</f>
        <v>Books &amp; Stationery</v>
      </c>
      <c r="G199" s="6" t="n">
        <f aca="false">Orders!E199</f>
        <v>1</v>
      </c>
      <c r="H199" s="16" t="n">
        <f aca="false">INDEX(Products!$D$2:$D$101,MATCH(D199,Products!$A$2:$A$101,0))</f>
        <v>299</v>
      </c>
      <c r="I199" s="16" t="n">
        <f aca="false">INDEX(Products!$E$2:$E$101,MATCH(D199,Products!$A$2:$A$101,0))</f>
        <v>110</v>
      </c>
      <c r="J199" s="20" t="n">
        <f aca="false">Orders!F199</f>
        <v>0</v>
      </c>
      <c r="K199" s="6" t="n">
        <f aca="false">G199*H199</f>
        <v>299</v>
      </c>
      <c r="L199" s="6" t="n">
        <f aca="false">K199*J199</f>
        <v>0</v>
      </c>
      <c r="M199" s="6" t="n">
        <f aca="false">K199-L199</f>
        <v>299</v>
      </c>
      <c r="N199" s="6" t="n">
        <f aca="false">G199*I199</f>
        <v>110</v>
      </c>
      <c r="O199" s="6" t="n">
        <f aca="false">M199-N199</f>
        <v>189</v>
      </c>
      <c r="P199" s="21" t="n">
        <f aca="false">IFERROR(O199/M199,0)</f>
        <v>0.632107023411371</v>
      </c>
      <c r="Q199" s="6" t="str">
        <f aca="false">Orders!H199</f>
        <v>Delivered</v>
      </c>
      <c r="R199" s="1" t="str">
        <f aca="false">INDEX(Customers!$C$2:$C$301,MATCH(C199,Customers!$A$2:$A$301,0))</f>
        <v>Kochi</v>
      </c>
      <c r="S199" s="1" t="str">
        <f aca="false">INDEX(Customers!$E$2:$E$301,MATCH(C199,Customers!$A$2:$A$301,0))</f>
        <v>Returning</v>
      </c>
      <c r="T199" s="6" t="str">
        <f aca="false">Orders!I199</f>
        <v>Mobile App</v>
      </c>
      <c r="U199" s="1" t="str">
        <f aca="false">IF(Q199="Delivered","Completed",IF(Q199="Cancelled","Cancelled",IF(Q199="Returned","Returned","In Progress")))</f>
        <v>Completed</v>
      </c>
      <c r="V199" s="1" t="str">
        <f aca="false">IF(M199&gt;=10000,"High Value",IF(M199&gt;=5000,"Medium Value","Low Value"))</f>
        <v>Low Value</v>
      </c>
      <c r="W199" s="1" t="str">
        <f aca="false">IF(O199&gt;0,"Profitable",IF(O199=0,"Break-even","Loss"))</f>
        <v>Profitable</v>
      </c>
      <c r="X199" s="1" t="str">
        <f aca="false">IF(Q199="Cancelled","Not Applicable",IF(Q199="Processing","Pending",IF(B199="","Unknown",IF(Orders!J199="","Unknown",IF(Orders!J199&lt;=3,"Fast",IF(Orders!J199&lt;=6,"Standard","Slow"))))))</f>
        <v>Standard</v>
      </c>
      <c r="Y199" s="1" t="n">
        <f aca="false">IF(OR(Q199="Cancelled",Q199="Returned"),0,O199)</f>
        <v>189</v>
      </c>
    </row>
    <row r="200" customFormat="false" ht="15" hidden="false" customHeight="false" outlineLevel="0" collapsed="false">
      <c r="A200" s="6" t="str">
        <f aca="false">Orders!A200</f>
        <v>O000199</v>
      </c>
      <c r="B200" s="19" t="n">
        <f aca="false">Orders!B200</f>
        <v>45889</v>
      </c>
      <c r="C200" s="6" t="str">
        <f aca="false">Orders!C200</f>
        <v>C0241</v>
      </c>
      <c r="D200" s="6" t="str">
        <f aca="false">Orders!D200</f>
        <v>P1023</v>
      </c>
      <c r="E200" s="6" t="str">
        <f aca="false">INDEX(Products!$B$2:$B$101,MATCH(D200,Products!$A$2:$A$101,0))</f>
        <v>Sports Cap</v>
      </c>
      <c r="F200" s="1" t="str">
        <f aca="false">INDEX(Products!$C$2:$C$101,MATCH(D200,Products!$A$2:$A$101,0))</f>
        <v>Fashion</v>
      </c>
      <c r="G200" s="6" t="n">
        <f aca="false">Orders!E200</f>
        <v>2</v>
      </c>
      <c r="H200" s="16" t="n">
        <f aca="false">INDEX(Products!$D$2:$D$101,MATCH(D200,Products!$A$2:$A$101,0))</f>
        <v>349</v>
      </c>
      <c r="I200" s="16" t="n">
        <f aca="false">INDEX(Products!$E$2:$E$101,MATCH(D200,Products!$A$2:$A$101,0))</f>
        <v>120</v>
      </c>
      <c r="J200" s="20" t="n">
        <f aca="false">Orders!F200</f>
        <v>0.05</v>
      </c>
      <c r="K200" s="6" t="n">
        <f aca="false">G200*H200</f>
        <v>698</v>
      </c>
      <c r="L200" s="6" t="n">
        <f aca="false">K200*J200</f>
        <v>34.9</v>
      </c>
      <c r="M200" s="6" t="n">
        <f aca="false">K200-L200</f>
        <v>663.1</v>
      </c>
      <c r="N200" s="6" t="n">
        <f aca="false">G200*I200</f>
        <v>240</v>
      </c>
      <c r="O200" s="6" t="n">
        <f aca="false">M200-N200</f>
        <v>423.1</v>
      </c>
      <c r="P200" s="21" t="n">
        <f aca="false">IFERROR(O200/M200,0)</f>
        <v>0.63806364047655</v>
      </c>
      <c r="Q200" s="6" t="str">
        <f aca="false">Orders!H200</f>
        <v>Shipped</v>
      </c>
      <c r="R200" s="1" t="str">
        <f aca="false">INDEX(Customers!$C$2:$C$301,MATCH(C200,Customers!$A$2:$A$301,0))</f>
        <v>Delhi</v>
      </c>
      <c r="S200" s="1" t="str">
        <f aca="false">INDEX(Customers!$E$2:$E$301,MATCH(C200,Customers!$A$2:$A$301,0))</f>
        <v>Returning</v>
      </c>
      <c r="T200" s="6" t="str">
        <f aca="false">Orders!I200</f>
        <v>Website</v>
      </c>
      <c r="U200" s="1" t="str">
        <f aca="false">IF(Q200="Delivered","Completed",IF(Q200="Cancelled","Cancelled",IF(Q200="Returned","Returned","In Progress")))</f>
        <v>In Progress</v>
      </c>
      <c r="V200" s="1" t="str">
        <f aca="false">IF(M200&gt;=10000,"High Value",IF(M200&gt;=5000,"Medium Value","Low Value"))</f>
        <v>Low Value</v>
      </c>
      <c r="W200" s="1" t="str">
        <f aca="false">IF(O200&gt;0,"Profitable",IF(O200=0,"Break-even","Loss"))</f>
        <v>Profitable</v>
      </c>
      <c r="X200" s="1" t="str">
        <f aca="false">IF(Q200="Cancelled","Not Applicable",IF(Q200="Processing","Pending",IF(B200="","Unknown",IF(Orders!J200="","Unknown",IF(Orders!J200&lt;=3,"Fast",IF(Orders!J200&lt;=6,"Standard","Slow"))))))</f>
        <v>Slow</v>
      </c>
      <c r="Y200" s="1" t="n">
        <f aca="false">IF(OR(Q200="Cancelled",Q200="Returned"),0,O200)</f>
        <v>423.1</v>
      </c>
    </row>
    <row r="201" customFormat="false" ht="23.85" hidden="false" customHeight="false" outlineLevel="0" collapsed="false">
      <c r="A201" s="6" t="str">
        <f aca="false">Orders!A201</f>
        <v>O000200</v>
      </c>
      <c r="B201" s="19" t="n">
        <f aca="false">Orders!B201</f>
        <v>45779</v>
      </c>
      <c r="C201" s="6" t="str">
        <f aca="false">Orders!C201</f>
        <v>C0225</v>
      </c>
      <c r="D201" s="6" t="str">
        <f aca="false">Orders!D201</f>
        <v>P1001</v>
      </c>
      <c r="E201" s="6" t="str">
        <f aca="false">INDEX(Products!$B$2:$B$101,MATCH(D201,Products!$A$2:$A$101,0))</f>
        <v>Wireless Earbuds</v>
      </c>
      <c r="F201" s="1" t="str">
        <f aca="false">INDEX(Products!$C$2:$C$101,MATCH(D201,Products!$A$2:$A$101,0))</f>
        <v>Electronics</v>
      </c>
      <c r="G201" s="6" t="n">
        <f aca="false">Orders!E201</f>
        <v>1</v>
      </c>
      <c r="H201" s="16" t="n">
        <f aca="false">INDEX(Products!$D$2:$D$101,MATCH(D201,Products!$A$2:$A$101,0))</f>
        <v>899</v>
      </c>
      <c r="I201" s="16" t="n">
        <f aca="false">INDEX(Products!$E$2:$E$101,MATCH(D201,Products!$A$2:$A$101,0))</f>
        <v>499</v>
      </c>
      <c r="J201" s="20" t="n">
        <f aca="false">Orders!F201</f>
        <v>0.05</v>
      </c>
      <c r="K201" s="6" t="n">
        <f aca="false">G201*H201</f>
        <v>899</v>
      </c>
      <c r="L201" s="6" t="n">
        <f aca="false">K201*J201</f>
        <v>44.95</v>
      </c>
      <c r="M201" s="6" t="n">
        <f aca="false">K201-L201</f>
        <v>854.05</v>
      </c>
      <c r="N201" s="6" t="n">
        <f aca="false">G201*I201</f>
        <v>499</v>
      </c>
      <c r="O201" s="6" t="n">
        <f aca="false">M201-N201</f>
        <v>355.05</v>
      </c>
      <c r="P201" s="21" t="n">
        <f aca="false">IFERROR(O201/M201,0)</f>
        <v>0.415725074644342</v>
      </c>
      <c r="Q201" s="6" t="str">
        <f aca="false">Orders!H201</f>
        <v>Cancelled</v>
      </c>
      <c r="R201" s="1" t="str">
        <f aca="false">INDEX(Customers!$C$2:$C$301,MATCH(C201,Customers!$A$2:$A$301,0))</f>
        <v>Chennai</v>
      </c>
      <c r="S201" s="1" t="str">
        <f aca="false">INDEX(Customers!$E$2:$E$301,MATCH(C201,Customers!$A$2:$A$301,0))</f>
        <v>Returning</v>
      </c>
      <c r="T201" s="6" t="str">
        <f aca="false">Orders!I201</f>
        <v>Website</v>
      </c>
      <c r="U201" s="1" t="str">
        <f aca="false">IF(Q201="Delivered","Completed",IF(Q201="Cancelled","Cancelled",IF(Q201="Returned","Returned","In Progress")))</f>
        <v>Cancelled</v>
      </c>
      <c r="V201" s="1" t="str">
        <f aca="false">IF(M201&gt;=10000,"High Value",IF(M201&gt;=5000,"Medium Value","Low Value"))</f>
        <v>Low Value</v>
      </c>
      <c r="W201" s="1" t="str">
        <f aca="false">IF(O201&gt;0,"Profitable",IF(O201=0,"Break-even","Loss"))</f>
        <v>Profitable</v>
      </c>
      <c r="X201" s="1" t="str">
        <f aca="false">IF(Q201="Cancelled","Not Applicable",IF(Q201="Processing","Pending",IF(B201="","Unknown",IF(Orders!J201="","Unknown",IF(Orders!J201&lt;=3,"Fast",IF(Orders!J201&lt;=6,"Standard","Slow"))))))</f>
        <v>Not Applicable</v>
      </c>
      <c r="Y201" s="1" t="n">
        <f aca="false">IF(OR(Q201="Cancelled",Q201="Returned"),0,O201)</f>
        <v>0</v>
      </c>
    </row>
    <row r="202" customFormat="false" ht="15" hidden="false" customHeight="false" outlineLevel="0" collapsed="false">
      <c r="A202" s="6" t="str">
        <f aca="false">Orders!A202</f>
        <v>O000201</v>
      </c>
      <c r="B202" s="19" t="n">
        <f aca="false">Orders!B202</f>
        <v>45900</v>
      </c>
      <c r="C202" s="6" t="str">
        <f aca="false">Orders!C202</f>
        <v>C0183</v>
      </c>
      <c r="D202" s="6" t="str">
        <f aca="false">Orders!D202</f>
        <v>P1085</v>
      </c>
      <c r="E202" s="6" t="str">
        <f aca="false">INDEX(Products!$B$2:$B$101,MATCH(D202,Products!$A$2:$A$101,0))</f>
        <v>Marker Set</v>
      </c>
      <c r="F202" s="1" t="str">
        <f aca="false">INDEX(Products!$C$2:$C$101,MATCH(D202,Products!$A$2:$A$101,0))</f>
        <v>Books &amp; Stationery</v>
      </c>
      <c r="G202" s="6" t="n">
        <f aca="false">Orders!E202</f>
        <v>3</v>
      </c>
      <c r="H202" s="16" t="n">
        <f aca="false">INDEX(Products!$D$2:$D$101,MATCH(D202,Products!$A$2:$A$101,0))</f>
        <v>299</v>
      </c>
      <c r="I202" s="16" t="n">
        <f aca="false">INDEX(Products!$E$2:$E$101,MATCH(D202,Products!$A$2:$A$101,0))</f>
        <v>110</v>
      </c>
      <c r="J202" s="20" t="n">
        <f aca="false">Orders!F202</f>
        <v>0.2</v>
      </c>
      <c r="K202" s="6" t="n">
        <f aca="false">G202*H202</f>
        <v>897</v>
      </c>
      <c r="L202" s="6" t="n">
        <f aca="false">K202*J202</f>
        <v>179.4</v>
      </c>
      <c r="M202" s="6" t="n">
        <f aca="false">K202-L202</f>
        <v>717.6</v>
      </c>
      <c r="N202" s="6" t="n">
        <f aca="false">G202*I202</f>
        <v>330</v>
      </c>
      <c r="O202" s="6" t="n">
        <f aca="false">M202-N202</f>
        <v>387.6</v>
      </c>
      <c r="P202" s="21" t="n">
        <f aca="false">IFERROR(O202/M202,0)</f>
        <v>0.540133779264214</v>
      </c>
      <c r="Q202" s="6" t="str">
        <f aca="false">Orders!H202</f>
        <v>Delivered</v>
      </c>
      <c r="R202" s="1" t="str">
        <f aca="false">INDEX(Customers!$C$2:$C$301,MATCH(C202,Customers!$A$2:$A$301,0))</f>
        <v>Bengaluru</v>
      </c>
      <c r="S202" s="1" t="str">
        <f aca="false">INDEX(Customers!$E$2:$E$301,MATCH(C202,Customers!$A$2:$A$301,0))</f>
        <v>New</v>
      </c>
      <c r="T202" s="6" t="str">
        <f aca="false">Orders!I202</f>
        <v>Mobile App</v>
      </c>
      <c r="U202" s="1" t="str">
        <f aca="false">IF(Q202="Delivered","Completed",IF(Q202="Cancelled","Cancelled",IF(Q202="Returned","Returned","In Progress")))</f>
        <v>Completed</v>
      </c>
      <c r="V202" s="1" t="str">
        <f aca="false">IF(M202&gt;=10000,"High Value",IF(M202&gt;=5000,"Medium Value","Low Value"))</f>
        <v>Low Value</v>
      </c>
      <c r="W202" s="1" t="str">
        <f aca="false">IF(O202&gt;0,"Profitable",IF(O202=0,"Break-even","Loss"))</f>
        <v>Profitable</v>
      </c>
      <c r="X202" s="1" t="str">
        <f aca="false">IF(Q202="Cancelled","Not Applicable",IF(Q202="Processing","Pending",IF(B202="","Unknown",IF(Orders!J202="","Unknown",IF(Orders!J202&lt;=3,"Fast",IF(Orders!J202&lt;=6,"Standard","Slow"))))))</f>
        <v>Standard</v>
      </c>
      <c r="Y202" s="1" t="n">
        <f aca="false">IF(OR(Q202="Cancelled",Q202="Returned"),0,O202)</f>
        <v>387.6</v>
      </c>
    </row>
    <row r="203" customFormat="false" ht="15" hidden="false" customHeight="false" outlineLevel="0" collapsed="false">
      <c r="A203" s="6" t="str">
        <f aca="false">Orders!A203</f>
        <v>O000202</v>
      </c>
      <c r="B203" s="19" t="n">
        <f aca="false">Orders!B203</f>
        <v>45854</v>
      </c>
      <c r="C203" s="6" t="str">
        <f aca="false">Orders!C203</f>
        <v>C0029</v>
      </c>
      <c r="D203" s="6" t="str">
        <f aca="false">Orders!D203</f>
        <v>P1032</v>
      </c>
      <c r="E203" s="6" t="str">
        <f aca="false">INDEX(Products!$B$2:$B$101,MATCH(D203,Products!$A$2:$A$101,0))</f>
        <v>Water Bottle</v>
      </c>
      <c r="F203" s="1" t="str">
        <f aca="false">INDEX(Products!$C$2:$C$101,MATCH(D203,Products!$A$2:$A$101,0))</f>
        <v>Home &amp; Kitchen</v>
      </c>
      <c r="G203" s="6" t="n">
        <f aca="false">Orders!E203</f>
        <v>2</v>
      </c>
      <c r="H203" s="16" t="n">
        <f aca="false">INDEX(Products!$D$2:$D$101,MATCH(D203,Products!$A$2:$A$101,0))</f>
        <v>399</v>
      </c>
      <c r="I203" s="16" t="n">
        <f aca="false">INDEX(Products!$E$2:$E$101,MATCH(D203,Products!$A$2:$A$101,0))</f>
        <v>150</v>
      </c>
      <c r="J203" s="20" t="n">
        <f aca="false">Orders!F203</f>
        <v>0.05</v>
      </c>
      <c r="K203" s="6" t="n">
        <f aca="false">G203*H203</f>
        <v>798</v>
      </c>
      <c r="L203" s="6" t="n">
        <f aca="false">K203*J203</f>
        <v>39.9</v>
      </c>
      <c r="M203" s="6" t="n">
        <f aca="false">K203-L203</f>
        <v>758.1</v>
      </c>
      <c r="N203" s="6" t="n">
        <f aca="false">G203*I203</f>
        <v>300</v>
      </c>
      <c r="O203" s="6" t="n">
        <f aca="false">M203-N203</f>
        <v>458.1</v>
      </c>
      <c r="P203" s="21" t="n">
        <f aca="false">IFERROR(O203/M203,0)</f>
        <v>0.604273842500989</v>
      </c>
      <c r="Q203" s="6" t="str">
        <f aca="false">Orders!H203</f>
        <v>Delivered</v>
      </c>
      <c r="R203" s="1" t="str">
        <f aca="false">INDEX(Customers!$C$2:$C$301,MATCH(C203,Customers!$A$2:$A$301,0))</f>
        <v>Ahmedabad</v>
      </c>
      <c r="S203" s="1" t="str">
        <f aca="false">INDEX(Customers!$E$2:$E$301,MATCH(C203,Customers!$A$2:$A$301,0))</f>
        <v>Returning</v>
      </c>
      <c r="T203" s="6" t="str">
        <f aca="false">Orders!I203</f>
        <v>Website</v>
      </c>
      <c r="U203" s="1" t="str">
        <f aca="false">IF(Q203="Delivered","Completed",IF(Q203="Cancelled","Cancelled",IF(Q203="Returned","Returned","In Progress")))</f>
        <v>Completed</v>
      </c>
      <c r="V203" s="1" t="str">
        <f aca="false">IF(M203&gt;=10000,"High Value",IF(M203&gt;=5000,"Medium Value","Low Value"))</f>
        <v>Low Value</v>
      </c>
      <c r="W203" s="1" t="str">
        <f aca="false">IF(O203&gt;0,"Profitable",IF(O203=0,"Break-even","Loss"))</f>
        <v>Profitable</v>
      </c>
      <c r="X203" s="1" t="str">
        <f aca="false">IF(Q203="Cancelled","Not Applicable",IF(Q203="Processing","Pending",IF(B203="","Unknown",IF(Orders!J203="","Unknown",IF(Orders!J203&lt;=3,"Fast",IF(Orders!J203&lt;=6,"Standard","Slow"))))))</f>
        <v>Standard</v>
      </c>
      <c r="Y203" s="1" t="n">
        <f aca="false">IF(OR(Q203="Cancelled",Q203="Returned"),0,O203)</f>
        <v>458.1</v>
      </c>
    </row>
    <row r="204" customFormat="false" ht="15" hidden="false" customHeight="false" outlineLevel="0" collapsed="false">
      <c r="A204" s="6" t="str">
        <f aca="false">Orders!A204</f>
        <v>O000203</v>
      </c>
      <c r="B204" s="19" t="n">
        <f aca="false">Orders!B204</f>
        <v>45992</v>
      </c>
      <c r="C204" s="6" t="str">
        <f aca="false">Orders!C204</f>
        <v>C0047</v>
      </c>
      <c r="D204" s="6" t="str">
        <f aca="false">Orders!D204</f>
        <v>P1087</v>
      </c>
      <c r="E204" s="6" t="str">
        <f aca="false">INDEX(Products!$B$2:$B$101,MATCH(D204,Products!$A$2:$A$101,0))</f>
        <v>Book Stand</v>
      </c>
      <c r="F204" s="1" t="str">
        <f aca="false">INDEX(Products!$C$2:$C$101,MATCH(D204,Products!$A$2:$A$101,0))</f>
        <v>Books &amp; Stationery</v>
      </c>
      <c r="G204" s="6" t="n">
        <f aca="false">Orders!E204</f>
        <v>1</v>
      </c>
      <c r="H204" s="16" t="n">
        <f aca="false">INDEX(Products!$D$2:$D$101,MATCH(D204,Products!$A$2:$A$101,0))</f>
        <v>449</v>
      </c>
      <c r="I204" s="16" t="n">
        <f aca="false">INDEX(Products!$E$2:$E$101,MATCH(D204,Products!$A$2:$A$101,0))</f>
        <v>200</v>
      </c>
      <c r="J204" s="20" t="n">
        <f aca="false">Orders!F204</f>
        <v>0.15</v>
      </c>
      <c r="K204" s="6" t="n">
        <f aca="false">G204*H204</f>
        <v>449</v>
      </c>
      <c r="L204" s="6" t="n">
        <f aca="false">K204*J204</f>
        <v>67.35</v>
      </c>
      <c r="M204" s="6" t="n">
        <f aca="false">K204-L204</f>
        <v>381.65</v>
      </c>
      <c r="N204" s="6" t="n">
        <f aca="false">G204*I204</f>
        <v>200</v>
      </c>
      <c r="O204" s="6" t="n">
        <f aca="false">M204-N204</f>
        <v>181.65</v>
      </c>
      <c r="P204" s="21" t="n">
        <f aca="false">IFERROR(O204/M204,0)</f>
        <v>0.475959648892965</v>
      </c>
      <c r="Q204" s="6" t="str">
        <f aca="false">Orders!H204</f>
        <v>Shipped</v>
      </c>
      <c r="R204" s="1" t="str">
        <f aca="false">INDEX(Customers!$C$2:$C$301,MATCH(C204,Customers!$A$2:$A$301,0))</f>
        <v>Pune</v>
      </c>
      <c r="S204" s="1" t="str">
        <f aca="false">INDEX(Customers!$E$2:$E$301,MATCH(C204,Customers!$A$2:$A$301,0))</f>
        <v>VIP</v>
      </c>
      <c r="T204" s="6" t="str">
        <f aca="false">Orders!I204</f>
        <v>Marketplace</v>
      </c>
      <c r="U204" s="1" t="str">
        <f aca="false">IF(Q204="Delivered","Completed",IF(Q204="Cancelled","Cancelled",IF(Q204="Returned","Returned","In Progress")))</f>
        <v>In Progress</v>
      </c>
      <c r="V204" s="1" t="str">
        <f aca="false">IF(M204&gt;=10000,"High Value",IF(M204&gt;=5000,"Medium Value","Low Value"))</f>
        <v>Low Value</v>
      </c>
      <c r="W204" s="1" t="str">
        <f aca="false">IF(O204&gt;0,"Profitable",IF(O204=0,"Break-even","Loss"))</f>
        <v>Profitable</v>
      </c>
      <c r="X204" s="1" t="str">
        <f aca="false">IF(Q204="Cancelled","Not Applicable",IF(Q204="Processing","Pending",IF(B204="","Unknown",IF(Orders!J204="","Unknown",IF(Orders!J204&lt;=3,"Fast",IF(Orders!J204&lt;=6,"Standard","Slow"))))))</f>
        <v>Fast</v>
      </c>
      <c r="Y204" s="1" t="n">
        <f aca="false">IF(OR(Q204="Cancelled",Q204="Returned"),0,O204)</f>
        <v>181.65</v>
      </c>
    </row>
    <row r="205" customFormat="false" ht="15" hidden="false" customHeight="false" outlineLevel="0" collapsed="false">
      <c r="A205" s="6" t="str">
        <f aca="false">Orders!A205</f>
        <v>O000204</v>
      </c>
      <c r="B205" s="19" t="n">
        <f aca="false">Orders!B205</f>
        <v>45848</v>
      </c>
      <c r="C205" s="6" t="str">
        <f aca="false">Orders!C205</f>
        <v>C0196</v>
      </c>
      <c r="D205" s="6" t="str">
        <f aca="false">Orders!D205</f>
        <v>P1017</v>
      </c>
      <c r="E205" s="6" t="str">
        <f aca="false">INDEX(Products!$B$2:$B$101,MATCH(D205,Products!$A$2:$A$101,0))</f>
        <v>Denim Jeans</v>
      </c>
      <c r="F205" s="1" t="str">
        <f aca="false">INDEX(Products!$C$2:$C$101,MATCH(D205,Products!$A$2:$A$101,0))</f>
        <v>Fashion</v>
      </c>
      <c r="G205" s="6" t="n">
        <f aca="false">Orders!E205</f>
        <v>1</v>
      </c>
      <c r="H205" s="16" t="n">
        <f aca="false">INDEX(Products!$D$2:$D$101,MATCH(D205,Products!$A$2:$A$101,0))</f>
        <v>1299</v>
      </c>
      <c r="I205" s="16" t="n">
        <f aca="false">INDEX(Products!$E$2:$E$101,MATCH(D205,Products!$A$2:$A$101,0))</f>
        <v>650</v>
      </c>
      <c r="J205" s="20" t="n">
        <f aca="false">Orders!F205</f>
        <v>0.1</v>
      </c>
      <c r="K205" s="6" t="n">
        <f aca="false">G205*H205</f>
        <v>1299</v>
      </c>
      <c r="L205" s="6" t="n">
        <f aca="false">K205*J205</f>
        <v>129.9</v>
      </c>
      <c r="M205" s="6" t="n">
        <f aca="false">K205-L205</f>
        <v>1169.1</v>
      </c>
      <c r="N205" s="6" t="n">
        <f aca="false">G205*I205</f>
        <v>650</v>
      </c>
      <c r="O205" s="6" t="n">
        <f aca="false">M205-N205</f>
        <v>519.1</v>
      </c>
      <c r="P205" s="21" t="n">
        <f aca="false">IFERROR(O205/M205,0)</f>
        <v>0.444016765032931</v>
      </c>
      <c r="Q205" s="6" t="str">
        <f aca="false">Orders!H205</f>
        <v>Shipped</v>
      </c>
      <c r="R205" s="1" t="str">
        <f aca="false">INDEX(Customers!$C$2:$C$301,MATCH(C205,Customers!$A$2:$A$301,0))</f>
        <v>Chandigarh</v>
      </c>
      <c r="S205" s="1" t="str">
        <f aca="false">INDEX(Customers!$E$2:$E$301,MATCH(C205,Customers!$A$2:$A$301,0))</f>
        <v>Returning</v>
      </c>
      <c r="T205" s="6" t="str">
        <f aca="false">Orders!I205</f>
        <v>Mobile App</v>
      </c>
      <c r="U205" s="1" t="str">
        <f aca="false">IF(Q205="Delivered","Completed",IF(Q205="Cancelled","Cancelled",IF(Q205="Returned","Returned","In Progress")))</f>
        <v>In Progress</v>
      </c>
      <c r="V205" s="1" t="str">
        <f aca="false">IF(M205&gt;=10000,"High Value",IF(M205&gt;=5000,"Medium Value","Low Value"))</f>
        <v>Low Value</v>
      </c>
      <c r="W205" s="1" t="str">
        <f aca="false">IF(O205&gt;0,"Profitable",IF(O205=0,"Break-even","Loss"))</f>
        <v>Profitable</v>
      </c>
      <c r="X205" s="1" t="str">
        <f aca="false">IF(Q205="Cancelled","Not Applicable",IF(Q205="Processing","Pending",IF(B205="","Unknown",IF(Orders!J205="","Unknown",IF(Orders!J205&lt;=3,"Fast",IF(Orders!J205&lt;=6,"Standard","Slow"))))))</f>
        <v>Slow</v>
      </c>
      <c r="Y205" s="1" t="n">
        <f aca="false">IF(OR(Q205="Cancelled",Q205="Returned"),0,O205)</f>
        <v>519.1</v>
      </c>
    </row>
    <row r="206" customFormat="false" ht="15" hidden="false" customHeight="false" outlineLevel="0" collapsed="false">
      <c r="A206" s="6" t="str">
        <f aca="false">Orders!A206</f>
        <v>O000205</v>
      </c>
      <c r="B206" s="19" t="n">
        <f aca="false">Orders!B206</f>
        <v>45812</v>
      </c>
      <c r="C206" s="6" t="str">
        <f aca="false">Orders!C206</f>
        <v>C0197</v>
      </c>
      <c r="D206" s="6" t="str">
        <f aca="false">Orders!D206</f>
        <v>P1029</v>
      </c>
      <c r="E206" s="6" t="str">
        <f aca="false">INDEX(Products!$B$2:$B$101,MATCH(D206,Products!$A$2:$A$101,0))</f>
        <v>Scarf</v>
      </c>
      <c r="F206" s="1" t="str">
        <f aca="false">INDEX(Products!$C$2:$C$101,MATCH(D206,Products!$A$2:$A$101,0))</f>
        <v>Fashion</v>
      </c>
      <c r="G206" s="6" t="n">
        <f aca="false">Orders!E206</f>
        <v>1</v>
      </c>
      <c r="H206" s="16" t="n">
        <f aca="false">INDEX(Products!$D$2:$D$101,MATCH(D206,Products!$A$2:$A$101,0))</f>
        <v>299</v>
      </c>
      <c r="I206" s="16" t="n">
        <f aca="false">INDEX(Products!$E$2:$E$101,MATCH(D206,Products!$A$2:$A$101,0))</f>
        <v>100</v>
      </c>
      <c r="J206" s="20" t="n">
        <f aca="false">Orders!F206</f>
        <v>0.15</v>
      </c>
      <c r="K206" s="6" t="n">
        <f aca="false">G206*H206</f>
        <v>299</v>
      </c>
      <c r="L206" s="6" t="n">
        <f aca="false">K206*J206</f>
        <v>44.85</v>
      </c>
      <c r="M206" s="6" t="n">
        <f aca="false">K206-L206</f>
        <v>254.15</v>
      </c>
      <c r="N206" s="6" t="n">
        <f aca="false">G206*I206</f>
        <v>100</v>
      </c>
      <c r="O206" s="6" t="n">
        <f aca="false">M206-N206</f>
        <v>154.15</v>
      </c>
      <c r="P206" s="21" t="n">
        <f aca="false">IFERROR(O206/M206,0)</f>
        <v>0.606531575841039</v>
      </c>
      <c r="Q206" s="6" t="str">
        <f aca="false">Orders!H206</f>
        <v>Delivered</v>
      </c>
      <c r="R206" s="1" t="str">
        <f aca="false">INDEX(Customers!$C$2:$C$301,MATCH(C206,Customers!$A$2:$A$301,0))</f>
        <v>Surat</v>
      </c>
      <c r="S206" s="1" t="str">
        <f aca="false">INDEX(Customers!$E$2:$E$301,MATCH(C206,Customers!$A$2:$A$301,0))</f>
        <v>Returning</v>
      </c>
      <c r="T206" s="6" t="str">
        <f aca="false">Orders!I206</f>
        <v>Marketplace</v>
      </c>
      <c r="U206" s="1" t="str">
        <f aca="false">IF(Q206="Delivered","Completed",IF(Q206="Cancelled","Cancelled",IF(Q206="Returned","Returned","In Progress")))</f>
        <v>Completed</v>
      </c>
      <c r="V206" s="1" t="str">
        <f aca="false">IF(M206&gt;=10000,"High Value",IF(M206&gt;=5000,"Medium Value","Low Value"))</f>
        <v>Low Value</v>
      </c>
      <c r="W206" s="1" t="str">
        <f aca="false">IF(O206&gt;0,"Profitable",IF(O206=0,"Break-even","Loss"))</f>
        <v>Profitable</v>
      </c>
      <c r="X206" s="1" t="str">
        <f aca="false">IF(Q206="Cancelled","Not Applicable",IF(Q206="Processing","Pending",IF(B206="","Unknown",IF(Orders!J206="","Unknown",IF(Orders!J206&lt;=3,"Fast",IF(Orders!J206&lt;=6,"Standard","Slow"))))))</f>
        <v>Slow</v>
      </c>
      <c r="Y206" s="1" t="n">
        <f aca="false">IF(OR(Q206="Cancelled",Q206="Returned"),0,O206)</f>
        <v>154.15</v>
      </c>
    </row>
    <row r="207" customFormat="false" ht="15" hidden="false" customHeight="false" outlineLevel="0" collapsed="false">
      <c r="A207" s="6" t="str">
        <f aca="false">Orders!A207</f>
        <v>O000206</v>
      </c>
      <c r="B207" s="19" t="n">
        <f aca="false">Orders!B207</f>
        <v>45780</v>
      </c>
      <c r="C207" s="6" t="str">
        <f aca="false">Orders!C207</f>
        <v>C0058</v>
      </c>
      <c r="D207" s="6" t="str">
        <f aca="false">Orders!D207</f>
        <v>P1004</v>
      </c>
      <c r="E207" s="6" t="str">
        <f aca="false">INDEX(Products!$B$2:$B$101,MATCH(D207,Products!$A$2:$A$101,0))</f>
        <v>USB-C Cable</v>
      </c>
      <c r="F207" s="1" t="str">
        <f aca="false">INDEX(Products!$C$2:$C$101,MATCH(D207,Products!$A$2:$A$101,0))</f>
        <v>Electronics</v>
      </c>
      <c r="G207" s="6" t="n">
        <f aca="false">Orders!E207</f>
        <v>3</v>
      </c>
      <c r="H207" s="16" t="n">
        <f aca="false">INDEX(Products!$D$2:$D$101,MATCH(D207,Products!$A$2:$A$101,0))</f>
        <v>299</v>
      </c>
      <c r="I207" s="16" t="n">
        <f aca="false">INDEX(Products!$E$2:$E$101,MATCH(D207,Products!$A$2:$A$101,0))</f>
        <v>120</v>
      </c>
      <c r="J207" s="20" t="n">
        <f aca="false">Orders!F207</f>
        <v>0.15</v>
      </c>
      <c r="K207" s="6" t="n">
        <f aca="false">G207*H207</f>
        <v>897</v>
      </c>
      <c r="L207" s="6" t="n">
        <f aca="false">K207*J207</f>
        <v>134.55</v>
      </c>
      <c r="M207" s="6" t="n">
        <f aca="false">K207-L207</f>
        <v>762.45</v>
      </c>
      <c r="N207" s="6" t="n">
        <f aca="false">G207*I207</f>
        <v>360</v>
      </c>
      <c r="O207" s="6" t="n">
        <f aca="false">M207-N207</f>
        <v>402.45</v>
      </c>
      <c r="P207" s="21" t="n">
        <f aca="false">IFERROR(O207/M207,0)</f>
        <v>0.527837891009247</v>
      </c>
      <c r="Q207" s="6" t="str">
        <f aca="false">Orders!H207</f>
        <v>Delivered</v>
      </c>
      <c r="R207" s="1" t="str">
        <f aca="false">INDEX(Customers!$C$2:$C$301,MATCH(C207,Customers!$A$2:$A$301,0))</f>
        <v>Nagpur</v>
      </c>
      <c r="S207" s="1" t="str">
        <f aca="false">INDEX(Customers!$E$2:$E$301,MATCH(C207,Customers!$A$2:$A$301,0))</f>
        <v>New</v>
      </c>
      <c r="T207" s="6" t="str">
        <f aca="false">Orders!I207</f>
        <v>Marketplace</v>
      </c>
      <c r="U207" s="1" t="str">
        <f aca="false">IF(Q207="Delivered","Completed",IF(Q207="Cancelled","Cancelled",IF(Q207="Returned","Returned","In Progress")))</f>
        <v>Completed</v>
      </c>
      <c r="V207" s="1" t="str">
        <f aca="false">IF(M207&gt;=10000,"High Value",IF(M207&gt;=5000,"Medium Value","Low Value"))</f>
        <v>Low Value</v>
      </c>
      <c r="W207" s="1" t="str">
        <f aca="false">IF(O207&gt;0,"Profitable",IF(O207=0,"Break-even","Loss"))</f>
        <v>Profitable</v>
      </c>
      <c r="X207" s="1" t="str">
        <f aca="false">IF(Q207="Cancelled","Not Applicable",IF(Q207="Processing","Pending",IF(B207="","Unknown",IF(Orders!J207="","Unknown",IF(Orders!J207&lt;=3,"Fast",IF(Orders!J207&lt;=6,"Standard","Slow"))))))</f>
        <v>Fast</v>
      </c>
      <c r="Y207" s="1" t="n">
        <f aca="false">IF(OR(Q207="Cancelled",Q207="Returned"),0,O207)</f>
        <v>402.45</v>
      </c>
    </row>
    <row r="208" customFormat="false" ht="15" hidden="false" customHeight="false" outlineLevel="0" collapsed="false">
      <c r="A208" s="6" t="str">
        <f aca="false">Orders!A208</f>
        <v>O000207</v>
      </c>
      <c r="B208" s="19" t="n">
        <f aca="false">Orders!B208</f>
        <v>45664</v>
      </c>
      <c r="C208" s="6" t="str">
        <f aca="false">Orders!C208</f>
        <v>C0003</v>
      </c>
      <c r="D208" s="6" t="str">
        <f aca="false">Orders!D208</f>
        <v>P1017</v>
      </c>
      <c r="E208" s="6" t="str">
        <f aca="false">INDEX(Products!$B$2:$B$101,MATCH(D208,Products!$A$2:$A$101,0))</f>
        <v>Denim Jeans</v>
      </c>
      <c r="F208" s="1" t="str">
        <f aca="false">INDEX(Products!$C$2:$C$101,MATCH(D208,Products!$A$2:$A$101,0))</f>
        <v>Fashion</v>
      </c>
      <c r="G208" s="6" t="n">
        <f aca="false">Orders!E208</f>
        <v>1</v>
      </c>
      <c r="H208" s="16" t="n">
        <f aca="false">INDEX(Products!$D$2:$D$101,MATCH(D208,Products!$A$2:$A$101,0))</f>
        <v>1299</v>
      </c>
      <c r="I208" s="16" t="n">
        <f aca="false">INDEX(Products!$E$2:$E$101,MATCH(D208,Products!$A$2:$A$101,0))</f>
        <v>650</v>
      </c>
      <c r="J208" s="20" t="n">
        <f aca="false">Orders!F208</f>
        <v>0.1</v>
      </c>
      <c r="K208" s="6" t="n">
        <f aca="false">G208*H208</f>
        <v>1299</v>
      </c>
      <c r="L208" s="6" t="n">
        <f aca="false">K208*J208</f>
        <v>129.9</v>
      </c>
      <c r="M208" s="6" t="n">
        <f aca="false">K208-L208</f>
        <v>1169.1</v>
      </c>
      <c r="N208" s="6" t="n">
        <f aca="false">G208*I208</f>
        <v>650</v>
      </c>
      <c r="O208" s="6" t="n">
        <f aca="false">M208-N208</f>
        <v>519.1</v>
      </c>
      <c r="P208" s="21" t="n">
        <f aca="false">IFERROR(O208/M208,0)</f>
        <v>0.444016765032931</v>
      </c>
      <c r="Q208" s="6" t="str">
        <f aca="false">Orders!H208</f>
        <v>Delivered</v>
      </c>
      <c r="R208" s="1" t="str">
        <f aca="false">INDEX(Customers!$C$2:$C$301,MATCH(C208,Customers!$A$2:$A$301,0))</f>
        <v>Bengaluru</v>
      </c>
      <c r="S208" s="1" t="str">
        <f aca="false">INDEX(Customers!$E$2:$E$301,MATCH(C208,Customers!$A$2:$A$301,0))</f>
        <v>Returning</v>
      </c>
      <c r="T208" s="6" t="str">
        <f aca="false">Orders!I208</f>
        <v>Mobile App</v>
      </c>
      <c r="U208" s="1" t="str">
        <f aca="false">IF(Q208="Delivered","Completed",IF(Q208="Cancelled","Cancelled",IF(Q208="Returned","Returned","In Progress")))</f>
        <v>Completed</v>
      </c>
      <c r="V208" s="1" t="str">
        <f aca="false">IF(M208&gt;=10000,"High Value",IF(M208&gt;=5000,"Medium Value","Low Value"))</f>
        <v>Low Value</v>
      </c>
      <c r="W208" s="1" t="str">
        <f aca="false">IF(O208&gt;0,"Profitable",IF(O208=0,"Break-even","Loss"))</f>
        <v>Profitable</v>
      </c>
      <c r="X208" s="1" t="str">
        <f aca="false">IF(Q208="Cancelled","Not Applicable",IF(Q208="Processing","Pending",IF(B208="","Unknown",IF(Orders!J208="","Unknown",IF(Orders!J208&lt;=3,"Fast",IF(Orders!J208&lt;=6,"Standard","Slow"))))))</f>
        <v>Standard</v>
      </c>
      <c r="Y208" s="1" t="n">
        <f aca="false">IF(OR(Q208="Cancelled",Q208="Returned"),0,O208)</f>
        <v>519.1</v>
      </c>
    </row>
    <row r="209" customFormat="false" ht="23.85" hidden="false" customHeight="false" outlineLevel="0" collapsed="false">
      <c r="A209" s="6" t="str">
        <f aca="false">Orders!A209</f>
        <v>O000208</v>
      </c>
      <c r="B209" s="19" t="n">
        <f aca="false">Orders!B209</f>
        <v>45785</v>
      </c>
      <c r="C209" s="6" t="str">
        <f aca="false">Orders!C209</f>
        <v>C0223</v>
      </c>
      <c r="D209" s="6" t="str">
        <f aca="false">Orders!D209</f>
        <v>P1069</v>
      </c>
      <c r="E209" s="6" t="str">
        <f aca="false">INDEX(Products!$B$2:$B$101,MATCH(D209,Products!$A$2:$A$101,0))</f>
        <v>Sports Duffel Bag</v>
      </c>
      <c r="F209" s="1" t="str">
        <f aca="false">INDEX(Products!$C$2:$C$101,MATCH(D209,Products!$A$2:$A$101,0))</f>
        <v>Sports &amp; Outdoors</v>
      </c>
      <c r="G209" s="6" t="n">
        <f aca="false">Orders!E209</f>
        <v>1</v>
      </c>
      <c r="H209" s="16" t="n">
        <f aca="false">INDEX(Products!$D$2:$D$101,MATCH(D209,Products!$A$2:$A$101,0))</f>
        <v>999</v>
      </c>
      <c r="I209" s="16" t="n">
        <f aca="false">INDEX(Products!$E$2:$E$101,MATCH(D209,Products!$A$2:$A$101,0))</f>
        <v>500</v>
      </c>
      <c r="J209" s="20" t="n">
        <f aca="false">Orders!F209</f>
        <v>0</v>
      </c>
      <c r="K209" s="6" t="n">
        <f aca="false">G209*H209</f>
        <v>999</v>
      </c>
      <c r="L209" s="6" t="n">
        <f aca="false">K209*J209</f>
        <v>0</v>
      </c>
      <c r="M209" s="6" t="n">
        <f aca="false">K209-L209</f>
        <v>999</v>
      </c>
      <c r="N209" s="6" t="n">
        <f aca="false">G209*I209</f>
        <v>500</v>
      </c>
      <c r="O209" s="6" t="n">
        <f aca="false">M209-N209</f>
        <v>499</v>
      </c>
      <c r="P209" s="21" t="n">
        <f aca="false">IFERROR(O209/M209,0)</f>
        <v>0.4994994994995</v>
      </c>
      <c r="Q209" s="6" t="str">
        <f aca="false">Orders!H209</f>
        <v>Delivered</v>
      </c>
      <c r="R209" s="1" t="str">
        <f aca="false">INDEX(Customers!$C$2:$C$301,MATCH(C209,Customers!$A$2:$A$301,0))</f>
        <v>Bengaluru</v>
      </c>
      <c r="S209" s="1" t="str">
        <f aca="false">INDEX(Customers!$E$2:$E$301,MATCH(C209,Customers!$A$2:$A$301,0))</f>
        <v>VIP</v>
      </c>
      <c r="T209" s="6" t="str">
        <f aca="false">Orders!I209</f>
        <v>Mobile App</v>
      </c>
      <c r="U209" s="1" t="str">
        <f aca="false">IF(Q209="Delivered","Completed",IF(Q209="Cancelled","Cancelled",IF(Q209="Returned","Returned","In Progress")))</f>
        <v>Completed</v>
      </c>
      <c r="V209" s="1" t="str">
        <f aca="false">IF(M209&gt;=10000,"High Value",IF(M209&gt;=5000,"Medium Value","Low Value"))</f>
        <v>Low Value</v>
      </c>
      <c r="W209" s="1" t="str">
        <f aca="false">IF(O209&gt;0,"Profitable",IF(O209=0,"Break-even","Loss"))</f>
        <v>Profitable</v>
      </c>
      <c r="X209" s="1" t="str">
        <f aca="false">IF(Q209="Cancelled","Not Applicable",IF(Q209="Processing","Pending",IF(B209="","Unknown",IF(Orders!J209="","Unknown",IF(Orders!J209&lt;=3,"Fast",IF(Orders!J209&lt;=6,"Standard","Slow"))))))</f>
        <v>Slow</v>
      </c>
      <c r="Y209" s="1" t="n">
        <f aca="false">IF(OR(Q209="Cancelled",Q209="Returned"),0,O209)</f>
        <v>499</v>
      </c>
    </row>
    <row r="210" customFormat="false" ht="15" hidden="false" customHeight="false" outlineLevel="0" collapsed="false">
      <c r="A210" s="6" t="str">
        <f aca="false">Orders!A210</f>
        <v>O000209</v>
      </c>
      <c r="B210" s="19" t="n">
        <f aca="false">Orders!B210</f>
        <v>45731</v>
      </c>
      <c r="C210" s="6" t="str">
        <f aca="false">Orders!C210</f>
        <v>C0289</v>
      </c>
      <c r="D210" s="6" t="str">
        <f aca="false">Orders!D210</f>
        <v>P1087</v>
      </c>
      <c r="E210" s="6" t="str">
        <f aca="false">INDEX(Products!$B$2:$B$101,MATCH(D210,Products!$A$2:$A$101,0))</f>
        <v>Book Stand</v>
      </c>
      <c r="F210" s="1" t="str">
        <f aca="false">INDEX(Products!$C$2:$C$101,MATCH(D210,Products!$A$2:$A$101,0))</f>
        <v>Books &amp; Stationery</v>
      </c>
      <c r="G210" s="6" t="n">
        <f aca="false">Orders!E210</f>
        <v>1</v>
      </c>
      <c r="H210" s="16" t="n">
        <f aca="false">INDEX(Products!$D$2:$D$101,MATCH(D210,Products!$A$2:$A$101,0))</f>
        <v>449</v>
      </c>
      <c r="I210" s="16" t="n">
        <f aca="false">INDEX(Products!$E$2:$E$101,MATCH(D210,Products!$A$2:$A$101,0))</f>
        <v>200</v>
      </c>
      <c r="J210" s="20" t="n">
        <f aca="false">Orders!F210</f>
        <v>0.15</v>
      </c>
      <c r="K210" s="6" t="n">
        <f aca="false">G210*H210</f>
        <v>449</v>
      </c>
      <c r="L210" s="6" t="n">
        <f aca="false">K210*J210</f>
        <v>67.35</v>
      </c>
      <c r="M210" s="6" t="n">
        <f aca="false">K210-L210</f>
        <v>381.65</v>
      </c>
      <c r="N210" s="6" t="n">
        <f aca="false">G210*I210</f>
        <v>200</v>
      </c>
      <c r="O210" s="6" t="n">
        <f aca="false">M210-N210</f>
        <v>181.65</v>
      </c>
      <c r="P210" s="21" t="n">
        <f aca="false">IFERROR(O210/M210,0)</f>
        <v>0.475959648892965</v>
      </c>
      <c r="Q210" s="6" t="str">
        <f aca="false">Orders!H210</f>
        <v>Delivered</v>
      </c>
      <c r="R210" s="1" t="str">
        <f aca="false">INDEX(Customers!$C$2:$C$301,MATCH(C210,Customers!$A$2:$A$301,0))</f>
        <v>Ahmedabad</v>
      </c>
      <c r="S210" s="1" t="str">
        <f aca="false">INDEX(Customers!$E$2:$E$301,MATCH(C210,Customers!$A$2:$A$301,0))</f>
        <v>Returning</v>
      </c>
      <c r="T210" s="6" t="str">
        <f aca="false">Orders!I210</f>
        <v>Mobile App</v>
      </c>
      <c r="U210" s="1" t="str">
        <f aca="false">IF(Q210="Delivered","Completed",IF(Q210="Cancelled","Cancelled",IF(Q210="Returned","Returned","In Progress")))</f>
        <v>Completed</v>
      </c>
      <c r="V210" s="1" t="str">
        <f aca="false">IF(M210&gt;=10000,"High Value",IF(M210&gt;=5000,"Medium Value","Low Value"))</f>
        <v>Low Value</v>
      </c>
      <c r="W210" s="1" t="str">
        <f aca="false">IF(O210&gt;0,"Profitable",IF(O210=0,"Break-even","Loss"))</f>
        <v>Profitable</v>
      </c>
      <c r="X210" s="1" t="str">
        <f aca="false">IF(Q210="Cancelled","Not Applicable",IF(Q210="Processing","Pending",IF(B210="","Unknown",IF(Orders!J210="","Unknown",IF(Orders!J210&lt;=3,"Fast",IF(Orders!J210&lt;=6,"Standard","Slow"))))))</f>
        <v>Fast</v>
      </c>
      <c r="Y210" s="1" t="n">
        <f aca="false">IF(OR(Q210="Cancelled",Q210="Returned"),0,O210)</f>
        <v>181.65</v>
      </c>
    </row>
    <row r="211" customFormat="false" ht="15" hidden="false" customHeight="false" outlineLevel="0" collapsed="false">
      <c r="A211" s="6" t="str">
        <f aca="false">Orders!A211</f>
        <v>O000210</v>
      </c>
      <c r="B211" s="19" t="n">
        <f aca="false">Orders!B211</f>
        <v>45784</v>
      </c>
      <c r="C211" s="6" t="str">
        <f aca="false">Orders!C211</f>
        <v>C0194</v>
      </c>
      <c r="D211" s="6" t="str">
        <f aca="false">Orders!D211</f>
        <v>P1083</v>
      </c>
      <c r="E211" s="6" t="str">
        <f aca="false">INDEX(Products!$B$2:$B$101,MATCH(D211,Products!$A$2:$A$101,0))</f>
        <v>Reading Light</v>
      </c>
      <c r="F211" s="1" t="str">
        <f aca="false">INDEX(Products!$C$2:$C$101,MATCH(D211,Products!$A$2:$A$101,0))</f>
        <v>Books &amp; Stationery</v>
      </c>
      <c r="G211" s="6" t="n">
        <f aca="false">Orders!E211</f>
        <v>1</v>
      </c>
      <c r="H211" s="16" t="n">
        <f aca="false">INDEX(Products!$D$2:$D$101,MATCH(D211,Products!$A$2:$A$101,0))</f>
        <v>399</v>
      </c>
      <c r="I211" s="16" t="n">
        <f aca="false">INDEX(Products!$E$2:$E$101,MATCH(D211,Products!$A$2:$A$101,0))</f>
        <v>180</v>
      </c>
      <c r="J211" s="20" t="n">
        <f aca="false">Orders!F211</f>
        <v>0.1</v>
      </c>
      <c r="K211" s="6" t="n">
        <f aca="false">G211*H211</f>
        <v>399</v>
      </c>
      <c r="L211" s="6" t="n">
        <f aca="false">K211*J211</f>
        <v>39.9</v>
      </c>
      <c r="M211" s="6" t="n">
        <f aca="false">K211-L211</f>
        <v>359.1</v>
      </c>
      <c r="N211" s="6" t="n">
        <f aca="false">G211*I211</f>
        <v>180</v>
      </c>
      <c r="O211" s="6" t="n">
        <f aca="false">M211-N211</f>
        <v>179.1</v>
      </c>
      <c r="P211" s="21" t="n">
        <f aca="false">IFERROR(O211/M211,0)</f>
        <v>0.49874686716792</v>
      </c>
      <c r="Q211" s="6" t="str">
        <f aca="false">Orders!H211</f>
        <v>Delivered</v>
      </c>
      <c r="R211" s="1" t="str">
        <f aca="false">INDEX(Customers!$C$2:$C$301,MATCH(C211,Customers!$A$2:$A$301,0))</f>
        <v>Indore</v>
      </c>
      <c r="S211" s="1" t="str">
        <f aca="false">INDEX(Customers!$E$2:$E$301,MATCH(C211,Customers!$A$2:$A$301,0))</f>
        <v>Returning</v>
      </c>
      <c r="T211" s="6" t="str">
        <f aca="false">Orders!I211</f>
        <v>Website</v>
      </c>
      <c r="U211" s="1" t="str">
        <f aca="false">IF(Q211="Delivered","Completed",IF(Q211="Cancelled","Cancelled",IF(Q211="Returned","Returned","In Progress")))</f>
        <v>Completed</v>
      </c>
      <c r="V211" s="1" t="str">
        <f aca="false">IF(M211&gt;=10000,"High Value",IF(M211&gt;=5000,"Medium Value","Low Value"))</f>
        <v>Low Value</v>
      </c>
      <c r="W211" s="1" t="str">
        <f aca="false">IF(O211&gt;0,"Profitable",IF(O211=0,"Break-even","Loss"))</f>
        <v>Profitable</v>
      </c>
      <c r="X211" s="1" t="str">
        <f aca="false">IF(Q211="Cancelled","Not Applicable",IF(Q211="Processing","Pending",IF(B211="","Unknown",IF(Orders!J211="","Unknown",IF(Orders!J211&lt;=3,"Fast",IF(Orders!J211&lt;=6,"Standard","Slow"))))))</f>
        <v>Standard</v>
      </c>
      <c r="Y211" s="1" t="n">
        <f aca="false">IF(OR(Q211="Cancelled",Q211="Returned"),0,O211)</f>
        <v>179.1</v>
      </c>
    </row>
    <row r="212" customFormat="false" ht="15" hidden="false" customHeight="false" outlineLevel="0" collapsed="false">
      <c r="A212" s="6" t="str">
        <f aca="false">Orders!A212</f>
        <v>O000211</v>
      </c>
      <c r="B212" s="19" t="n">
        <f aca="false">Orders!B212</f>
        <v>46011</v>
      </c>
      <c r="C212" s="6" t="str">
        <f aca="false">Orders!C212</f>
        <v>C0259</v>
      </c>
      <c r="D212" s="6" t="str">
        <f aca="false">Orders!D212</f>
        <v>P1086</v>
      </c>
      <c r="E212" s="6" t="str">
        <f aca="false">INDEX(Products!$B$2:$B$101,MATCH(D212,Products!$A$2:$A$101,0))</f>
        <v>Geometry Box</v>
      </c>
      <c r="F212" s="1" t="str">
        <f aca="false">INDEX(Products!$C$2:$C$101,MATCH(D212,Products!$A$2:$A$101,0))</f>
        <v>Books &amp; Stationery</v>
      </c>
      <c r="G212" s="6" t="n">
        <f aca="false">Orders!E212</f>
        <v>1</v>
      </c>
      <c r="H212" s="16" t="n">
        <f aca="false">INDEX(Products!$D$2:$D$101,MATCH(D212,Products!$A$2:$A$101,0))</f>
        <v>199</v>
      </c>
      <c r="I212" s="16" t="n">
        <f aca="false">INDEX(Products!$E$2:$E$101,MATCH(D212,Products!$A$2:$A$101,0))</f>
        <v>70</v>
      </c>
      <c r="J212" s="20" t="n">
        <f aca="false">Orders!F212</f>
        <v>0</v>
      </c>
      <c r="K212" s="6" t="n">
        <f aca="false">G212*H212</f>
        <v>199</v>
      </c>
      <c r="L212" s="6" t="n">
        <f aca="false">K212*J212</f>
        <v>0</v>
      </c>
      <c r="M212" s="6" t="n">
        <f aca="false">K212-L212</f>
        <v>199</v>
      </c>
      <c r="N212" s="6" t="n">
        <f aca="false">G212*I212</f>
        <v>70</v>
      </c>
      <c r="O212" s="6" t="n">
        <f aca="false">M212-N212</f>
        <v>129</v>
      </c>
      <c r="P212" s="21" t="n">
        <f aca="false">IFERROR(O212/M212,0)</f>
        <v>0.648241206030151</v>
      </c>
      <c r="Q212" s="6" t="str">
        <f aca="false">Orders!H212</f>
        <v>Delivered</v>
      </c>
      <c r="R212" s="1" t="str">
        <f aca="false">INDEX(Customers!$C$2:$C$301,MATCH(C212,Customers!$A$2:$A$301,0))</f>
        <v>Coimbatore</v>
      </c>
      <c r="S212" s="1" t="str">
        <f aca="false">INDEX(Customers!$E$2:$E$301,MATCH(C212,Customers!$A$2:$A$301,0))</f>
        <v>New</v>
      </c>
      <c r="T212" s="6" t="str">
        <f aca="false">Orders!I212</f>
        <v>Mobile App</v>
      </c>
      <c r="U212" s="1" t="str">
        <f aca="false">IF(Q212="Delivered","Completed",IF(Q212="Cancelled","Cancelled",IF(Q212="Returned","Returned","In Progress")))</f>
        <v>Completed</v>
      </c>
      <c r="V212" s="1" t="str">
        <f aca="false">IF(M212&gt;=10000,"High Value",IF(M212&gt;=5000,"Medium Value","Low Value"))</f>
        <v>Low Value</v>
      </c>
      <c r="W212" s="1" t="str">
        <f aca="false">IF(O212&gt;0,"Profitable",IF(O212=0,"Break-even","Loss"))</f>
        <v>Profitable</v>
      </c>
      <c r="X212" s="1" t="str">
        <f aca="false">IF(Q212="Cancelled","Not Applicable",IF(Q212="Processing","Pending",IF(B212="","Unknown",IF(Orders!J212="","Unknown",IF(Orders!J212&lt;=3,"Fast",IF(Orders!J212&lt;=6,"Standard","Slow"))))))</f>
        <v>Slow</v>
      </c>
      <c r="Y212" s="1" t="n">
        <f aca="false">IF(OR(Q212="Cancelled",Q212="Returned"),0,O212)</f>
        <v>129</v>
      </c>
    </row>
    <row r="213" customFormat="false" ht="15" hidden="false" customHeight="false" outlineLevel="0" collapsed="false">
      <c r="A213" s="6" t="str">
        <f aca="false">Orders!A213</f>
        <v>O000212</v>
      </c>
      <c r="B213" s="19" t="n">
        <f aca="false">Orders!B213</f>
        <v>45901</v>
      </c>
      <c r="C213" s="6" t="str">
        <f aca="false">Orders!C213</f>
        <v>C0263</v>
      </c>
      <c r="D213" s="6" t="str">
        <f aca="false">Orders!D213</f>
        <v>P1073</v>
      </c>
      <c r="E213" s="6" t="str">
        <f aca="false">INDEX(Products!$B$2:$B$101,MATCH(D213,Products!$A$2:$A$101,0))</f>
        <v>Hiking Backpack</v>
      </c>
      <c r="F213" s="1" t="str">
        <f aca="false">INDEX(Products!$C$2:$C$101,MATCH(D213,Products!$A$2:$A$101,0))</f>
        <v>Sports &amp; Outdoors</v>
      </c>
      <c r="G213" s="6" t="n">
        <f aca="false">Orders!E213</f>
        <v>5</v>
      </c>
      <c r="H213" s="16" t="n">
        <f aca="false">INDEX(Products!$D$2:$D$101,MATCH(D213,Products!$A$2:$A$101,0))</f>
        <v>1999</v>
      </c>
      <c r="I213" s="16" t="n">
        <f aca="false">INDEX(Products!$E$2:$E$101,MATCH(D213,Products!$A$2:$A$101,0))</f>
        <v>1100</v>
      </c>
      <c r="J213" s="20" t="n">
        <f aca="false">Orders!F213</f>
        <v>0.25</v>
      </c>
      <c r="K213" s="6" t="n">
        <f aca="false">G213*H213</f>
        <v>9995</v>
      </c>
      <c r="L213" s="6" t="n">
        <f aca="false">K213*J213</f>
        <v>2498.75</v>
      </c>
      <c r="M213" s="6" t="n">
        <f aca="false">K213-L213</f>
        <v>7496.25</v>
      </c>
      <c r="N213" s="6" t="n">
        <f aca="false">G213*I213</f>
        <v>5500</v>
      </c>
      <c r="O213" s="6" t="n">
        <f aca="false">M213-N213</f>
        <v>1996.25</v>
      </c>
      <c r="P213" s="21" t="n">
        <f aca="false">IFERROR(O213/M213,0)</f>
        <v>0.266299816574954</v>
      </c>
      <c r="Q213" s="6" t="str">
        <f aca="false">Orders!H213</f>
        <v>Delivered</v>
      </c>
      <c r="R213" s="1" t="str">
        <f aca="false">INDEX(Customers!$C$2:$C$301,MATCH(C213,Customers!$A$2:$A$301,0))</f>
        <v>Bengaluru</v>
      </c>
      <c r="S213" s="1" t="str">
        <f aca="false">INDEX(Customers!$E$2:$E$301,MATCH(C213,Customers!$A$2:$A$301,0))</f>
        <v>VIP</v>
      </c>
      <c r="T213" s="6" t="str">
        <f aca="false">Orders!I213</f>
        <v>Mobile App</v>
      </c>
      <c r="U213" s="1" t="str">
        <f aca="false">IF(Q213="Delivered","Completed",IF(Q213="Cancelled","Cancelled",IF(Q213="Returned","Returned","In Progress")))</f>
        <v>Completed</v>
      </c>
      <c r="V213" s="1" t="str">
        <f aca="false">IF(M213&gt;=10000,"High Value",IF(M213&gt;=5000,"Medium Value","Low Value"))</f>
        <v>Medium Value</v>
      </c>
      <c r="W213" s="1" t="str">
        <f aca="false">IF(O213&gt;0,"Profitable",IF(O213=0,"Break-even","Loss"))</f>
        <v>Profitable</v>
      </c>
      <c r="X213" s="1" t="str">
        <f aca="false">IF(Q213="Cancelled","Not Applicable",IF(Q213="Processing","Pending",IF(B213="","Unknown",IF(Orders!J213="","Unknown",IF(Orders!J213&lt;=3,"Fast",IF(Orders!J213&lt;=6,"Standard","Slow"))))))</f>
        <v>Fast</v>
      </c>
      <c r="Y213" s="1" t="n">
        <f aca="false">IF(OR(Q213="Cancelled",Q213="Returned"),0,O213)</f>
        <v>1996.25</v>
      </c>
    </row>
    <row r="214" customFormat="false" ht="15" hidden="false" customHeight="false" outlineLevel="0" collapsed="false">
      <c r="A214" s="6" t="str">
        <f aca="false">Orders!A214</f>
        <v>O000213</v>
      </c>
      <c r="B214" s="19" t="n">
        <f aca="false">Orders!B214</f>
        <v>46008</v>
      </c>
      <c r="C214" s="6" t="str">
        <f aca="false">Orders!C214</f>
        <v>C0053</v>
      </c>
      <c r="D214" s="6" t="str">
        <f aca="false">Orders!D214</f>
        <v>P1023</v>
      </c>
      <c r="E214" s="6" t="str">
        <f aca="false">INDEX(Products!$B$2:$B$101,MATCH(D214,Products!$A$2:$A$101,0))</f>
        <v>Sports Cap</v>
      </c>
      <c r="F214" s="1" t="str">
        <f aca="false">INDEX(Products!$C$2:$C$101,MATCH(D214,Products!$A$2:$A$101,0))</f>
        <v>Fashion</v>
      </c>
      <c r="G214" s="6" t="n">
        <f aca="false">Orders!E214</f>
        <v>1</v>
      </c>
      <c r="H214" s="16" t="n">
        <f aca="false">INDEX(Products!$D$2:$D$101,MATCH(D214,Products!$A$2:$A$101,0))</f>
        <v>349</v>
      </c>
      <c r="I214" s="16" t="n">
        <f aca="false">INDEX(Products!$E$2:$E$101,MATCH(D214,Products!$A$2:$A$101,0))</f>
        <v>120</v>
      </c>
      <c r="J214" s="20" t="n">
        <f aca="false">Orders!F214</f>
        <v>0.2</v>
      </c>
      <c r="K214" s="6" t="n">
        <f aca="false">G214*H214</f>
        <v>349</v>
      </c>
      <c r="L214" s="6" t="n">
        <f aca="false">K214*J214</f>
        <v>69.8</v>
      </c>
      <c r="M214" s="6" t="n">
        <f aca="false">K214-L214</f>
        <v>279.2</v>
      </c>
      <c r="N214" s="6" t="n">
        <f aca="false">G214*I214</f>
        <v>120</v>
      </c>
      <c r="O214" s="6" t="n">
        <f aca="false">M214-N214</f>
        <v>159.2</v>
      </c>
      <c r="P214" s="21" t="n">
        <f aca="false">IFERROR(O214/M214,0)</f>
        <v>0.570200573065903</v>
      </c>
      <c r="Q214" s="6" t="str">
        <f aca="false">Orders!H214</f>
        <v>Shipped</v>
      </c>
      <c r="R214" s="1" t="str">
        <f aca="false">INDEX(Customers!$C$2:$C$301,MATCH(C214,Customers!$A$2:$A$301,0))</f>
        <v>Kochi</v>
      </c>
      <c r="S214" s="1" t="str">
        <f aca="false">INDEX(Customers!$E$2:$E$301,MATCH(C214,Customers!$A$2:$A$301,0))</f>
        <v>Returning</v>
      </c>
      <c r="T214" s="6" t="str">
        <f aca="false">Orders!I214</f>
        <v>Mobile App</v>
      </c>
      <c r="U214" s="1" t="str">
        <f aca="false">IF(Q214="Delivered","Completed",IF(Q214="Cancelled","Cancelled",IF(Q214="Returned","Returned","In Progress")))</f>
        <v>In Progress</v>
      </c>
      <c r="V214" s="1" t="str">
        <f aca="false">IF(M214&gt;=10000,"High Value",IF(M214&gt;=5000,"Medium Value","Low Value"))</f>
        <v>Low Value</v>
      </c>
      <c r="W214" s="1" t="str">
        <f aca="false">IF(O214&gt;0,"Profitable",IF(O214=0,"Break-even","Loss"))</f>
        <v>Profitable</v>
      </c>
      <c r="X214" s="1" t="str">
        <f aca="false">IF(Q214="Cancelled","Not Applicable",IF(Q214="Processing","Pending",IF(B214="","Unknown",IF(Orders!J214="","Unknown",IF(Orders!J214&lt;=3,"Fast",IF(Orders!J214&lt;=6,"Standard","Slow"))))))</f>
        <v>Slow</v>
      </c>
      <c r="Y214" s="1" t="n">
        <f aca="false">IF(OR(Q214="Cancelled",Q214="Returned"),0,O214)</f>
        <v>159.2</v>
      </c>
    </row>
    <row r="215" customFormat="false" ht="23.85" hidden="false" customHeight="false" outlineLevel="0" collapsed="false">
      <c r="A215" s="6" t="str">
        <f aca="false">Orders!A215</f>
        <v>O000214</v>
      </c>
      <c r="B215" s="19" t="n">
        <f aca="false">Orders!B215</f>
        <v>45778</v>
      </c>
      <c r="C215" s="6" t="str">
        <f aca="false">Orders!C215</f>
        <v>C0229</v>
      </c>
      <c r="D215" s="6" t="str">
        <f aca="false">Orders!D215</f>
        <v>P1070</v>
      </c>
      <c r="E215" s="6" t="str">
        <f aca="false">INDEX(Products!$B$2:$B$101,MATCH(D215,Products!$A$2:$A$101,0))</f>
        <v>Knee Support Pair</v>
      </c>
      <c r="F215" s="1" t="str">
        <f aca="false">INDEX(Products!$C$2:$C$101,MATCH(D215,Products!$A$2:$A$101,0))</f>
        <v>Sports &amp; Outdoors</v>
      </c>
      <c r="G215" s="6" t="n">
        <f aca="false">Orders!E215</f>
        <v>1</v>
      </c>
      <c r="H215" s="16" t="n">
        <f aca="false">INDEX(Products!$D$2:$D$101,MATCH(D215,Products!$A$2:$A$101,0))</f>
        <v>449</v>
      </c>
      <c r="I215" s="16" t="n">
        <f aca="false">INDEX(Products!$E$2:$E$101,MATCH(D215,Products!$A$2:$A$101,0))</f>
        <v>180</v>
      </c>
      <c r="J215" s="20" t="n">
        <f aca="false">Orders!F215</f>
        <v>0.1</v>
      </c>
      <c r="K215" s="6" t="n">
        <f aca="false">G215*H215</f>
        <v>449</v>
      </c>
      <c r="L215" s="6" t="n">
        <f aca="false">K215*J215</f>
        <v>44.9</v>
      </c>
      <c r="M215" s="6" t="n">
        <f aca="false">K215-L215</f>
        <v>404.1</v>
      </c>
      <c r="N215" s="6" t="n">
        <f aca="false">G215*I215</f>
        <v>180</v>
      </c>
      <c r="O215" s="6" t="n">
        <f aca="false">M215-N215</f>
        <v>224.1</v>
      </c>
      <c r="P215" s="21" t="n">
        <f aca="false">IFERROR(O215/M215,0)</f>
        <v>0.55456570155902</v>
      </c>
      <c r="Q215" s="6" t="str">
        <f aca="false">Orders!H215</f>
        <v>Delivered</v>
      </c>
      <c r="R215" s="1" t="str">
        <f aca="false">INDEX(Customers!$C$2:$C$301,MATCH(C215,Customers!$A$2:$A$301,0))</f>
        <v>Ahmedabad</v>
      </c>
      <c r="S215" s="1" t="str">
        <f aca="false">INDEX(Customers!$E$2:$E$301,MATCH(C215,Customers!$A$2:$A$301,0))</f>
        <v>Returning</v>
      </c>
      <c r="T215" s="6" t="str">
        <f aca="false">Orders!I215</f>
        <v>Marketplace</v>
      </c>
      <c r="U215" s="1" t="str">
        <f aca="false">IF(Q215="Delivered","Completed",IF(Q215="Cancelled","Cancelled",IF(Q215="Returned","Returned","In Progress")))</f>
        <v>Completed</v>
      </c>
      <c r="V215" s="1" t="str">
        <f aca="false">IF(M215&gt;=10000,"High Value",IF(M215&gt;=5000,"Medium Value","Low Value"))</f>
        <v>Low Value</v>
      </c>
      <c r="W215" s="1" t="str">
        <f aca="false">IF(O215&gt;0,"Profitable",IF(O215=0,"Break-even","Loss"))</f>
        <v>Profitable</v>
      </c>
      <c r="X215" s="1" t="str">
        <f aca="false">IF(Q215="Cancelled","Not Applicable",IF(Q215="Processing","Pending",IF(B215="","Unknown",IF(Orders!J215="","Unknown",IF(Orders!J215&lt;=3,"Fast",IF(Orders!J215&lt;=6,"Standard","Slow"))))))</f>
        <v>Slow</v>
      </c>
      <c r="Y215" s="1" t="n">
        <f aca="false">IF(OR(Q215="Cancelled",Q215="Returned"),0,O215)</f>
        <v>224.1</v>
      </c>
    </row>
    <row r="216" customFormat="false" ht="15" hidden="false" customHeight="false" outlineLevel="0" collapsed="false">
      <c r="A216" s="6" t="str">
        <f aca="false">Orders!A216</f>
        <v>O000215</v>
      </c>
      <c r="B216" s="19" t="n">
        <f aca="false">Orders!B216</f>
        <v>45925</v>
      </c>
      <c r="C216" s="6" t="str">
        <f aca="false">Orders!C216</f>
        <v>C0261</v>
      </c>
      <c r="D216" s="6" t="str">
        <f aca="false">Orders!D216</f>
        <v>P1017</v>
      </c>
      <c r="E216" s="6" t="str">
        <f aca="false">INDEX(Products!$B$2:$B$101,MATCH(D216,Products!$A$2:$A$101,0))</f>
        <v>Denim Jeans</v>
      </c>
      <c r="F216" s="1" t="str">
        <f aca="false">INDEX(Products!$C$2:$C$101,MATCH(D216,Products!$A$2:$A$101,0))</f>
        <v>Fashion</v>
      </c>
      <c r="G216" s="6" t="n">
        <f aca="false">Orders!E216</f>
        <v>1</v>
      </c>
      <c r="H216" s="16" t="n">
        <f aca="false">INDEX(Products!$D$2:$D$101,MATCH(D216,Products!$A$2:$A$101,0))</f>
        <v>1299</v>
      </c>
      <c r="I216" s="16" t="n">
        <f aca="false">INDEX(Products!$E$2:$E$101,MATCH(D216,Products!$A$2:$A$101,0))</f>
        <v>650</v>
      </c>
      <c r="J216" s="20" t="n">
        <f aca="false">Orders!F216</f>
        <v>0.2</v>
      </c>
      <c r="K216" s="6" t="n">
        <f aca="false">G216*H216</f>
        <v>1299</v>
      </c>
      <c r="L216" s="6" t="n">
        <f aca="false">K216*J216</f>
        <v>259.8</v>
      </c>
      <c r="M216" s="6" t="n">
        <f aca="false">K216-L216</f>
        <v>1039.2</v>
      </c>
      <c r="N216" s="6" t="n">
        <f aca="false">G216*I216</f>
        <v>650</v>
      </c>
      <c r="O216" s="6" t="n">
        <f aca="false">M216-N216</f>
        <v>389.2</v>
      </c>
      <c r="P216" s="21" t="n">
        <f aca="false">IFERROR(O216/M216,0)</f>
        <v>0.374518860662048</v>
      </c>
      <c r="Q216" s="6" t="str">
        <f aca="false">Orders!H216</f>
        <v>Delivered</v>
      </c>
      <c r="R216" s="1" t="str">
        <f aca="false">INDEX(Customers!$C$2:$C$301,MATCH(C216,Customers!$A$2:$A$301,0))</f>
        <v>Delhi</v>
      </c>
      <c r="S216" s="1" t="str">
        <f aca="false">INDEX(Customers!$E$2:$E$301,MATCH(C216,Customers!$A$2:$A$301,0))</f>
        <v>Returning</v>
      </c>
      <c r="T216" s="6" t="str">
        <f aca="false">Orders!I216</f>
        <v>Marketplace</v>
      </c>
      <c r="U216" s="1" t="str">
        <f aca="false">IF(Q216="Delivered","Completed",IF(Q216="Cancelled","Cancelled",IF(Q216="Returned","Returned","In Progress")))</f>
        <v>Completed</v>
      </c>
      <c r="V216" s="1" t="str">
        <f aca="false">IF(M216&gt;=10000,"High Value",IF(M216&gt;=5000,"Medium Value","Low Value"))</f>
        <v>Low Value</v>
      </c>
      <c r="W216" s="1" t="str">
        <f aca="false">IF(O216&gt;0,"Profitable",IF(O216=0,"Break-even","Loss"))</f>
        <v>Profitable</v>
      </c>
      <c r="X216" s="1" t="str">
        <f aca="false">IF(Q216="Cancelled","Not Applicable",IF(Q216="Processing","Pending",IF(B216="","Unknown",IF(Orders!J216="","Unknown",IF(Orders!J216&lt;=3,"Fast",IF(Orders!J216&lt;=6,"Standard","Slow"))))))</f>
        <v>Standard</v>
      </c>
      <c r="Y216" s="1" t="n">
        <f aca="false">IF(OR(Q216="Cancelled",Q216="Returned"),0,O216)</f>
        <v>389.2</v>
      </c>
    </row>
    <row r="217" customFormat="false" ht="15" hidden="false" customHeight="false" outlineLevel="0" collapsed="false">
      <c r="A217" s="6" t="str">
        <f aca="false">Orders!A217</f>
        <v>O000216</v>
      </c>
      <c r="B217" s="19" t="n">
        <f aca="false">Orders!B217</f>
        <v>45709</v>
      </c>
      <c r="C217" s="6" t="str">
        <f aca="false">Orders!C217</f>
        <v>C0089</v>
      </c>
      <c r="D217" s="6" t="str">
        <f aca="false">Orders!D217</f>
        <v>P1078</v>
      </c>
      <c r="E217" s="6" t="str">
        <f aca="false">INDEX(Products!$B$2:$B$101,MATCH(D217,Products!$A$2:$A$101,0))</f>
        <v>Sketchbook</v>
      </c>
      <c r="F217" s="1" t="str">
        <f aca="false">INDEX(Products!$C$2:$C$101,MATCH(D217,Products!$A$2:$A$101,0))</f>
        <v>Books &amp; Stationery</v>
      </c>
      <c r="G217" s="6" t="n">
        <f aca="false">Orders!E217</f>
        <v>3</v>
      </c>
      <c r="H217" s="16" t="n">
        <f aca="false">INDEX(Products!$D$2:$D$101,MATCH(D217,Products!$A$2:$A$101,0))</f>
        <v>249</v>
      </c>
      <c r="I217" s="16" t="n">
        <f aca="false">INDEX(Products!$E$2:$E$101,MATCH(D217,Products!$A$2:$A$101,0))</f>
        <v>90</v>
      </c>
      <c r="J217" s="20" t="n">
        <f aca="false">Orders!F217</f>
        <v>0</v>
      </c>
      <c r="K217" s="6" t="n">
        <f aca="false">G217*H217</f>
        <v>747</v>
      </c>
      <c r="L217" s="6" t="n">
        <f aca="false">K217*J217</f>
        <v>0</v>
      </c>
      <c r="M217" s="6" t="n">
        <f aca="false">K217-L217</f>
        <v>747</v>
      </c>
      <c r="N217" s="6" t="n">
        <f aca="false">G217*I217</f>
        <v>270</v>
      </c>
      <c r="O217" s="6" t="n">
        <f aca="false">M217-N217</f>
        <v>477</v>
      </c>
      <c r="P217" s="21" t="n">
        <f aca="false">IFERROR(O217/M217,0)</f>
        <v>0.63855421686747</v>
      </c>
      <c r="Q217" s="6" t="str">
        <f aca="false">Orders!H217</f>
        <v>Delivered</v>
      </c>
      <c r="R217" s="1" t="str">
        <f aca="false">INDEX(Customers!$C$2:$C$301,MATCH(C217,Customers!$A$2:$A$301,0))</f>
        <v>Ahmedabad</v>
      </c>
      <c r="S217" s="1" t="str">
        <f aca="false">INDEX(Customers!$E$2:$E$301,MATCH(C217,Customers!$A$2:$A$301,0))</f>
        <v>New</v>
      </c>
      <c r="T217" s="6" t="str">
        <f aca="false">Orders!I217</f>
        <v>Website</v>
      </c>
      <c r="U217" s="1" t="str">
        <f aca="false">IF(Q217="Delivered","Completed",IF(Q217="Cancelled","Cancelled",IF(Q217="Returned","Returned","In Progress")))</f>
        <v>Completed</v>
      </c>
      <c r="V217" s="1" t="str">
        <f aca="false">IF(M217&gt;=10000,"High Value",IF(M217&gt;=5000,"Medium Value","Low Value"))</f>
        <v>Low Value</v>
      </c>
      <c r="W217" s="1" t="str">
        <f aca="false">IF(O217&gt;0,"Profitable",IF(O217=0,"Break-even","Loss"))</f>
        <v>Profitable</v>
      </c>
      <c r="X217" s="1" t="str">
        <f aca="false">IF(Q217="Cancelled","Not Applicable",IF(Q217="Processing","Pending",IF(B217="","Unknown",IF(Orders!J217="","Unknown",IF(Orders!J217&lt;=3,"Fast",IF(Orders!J217&lt;=6,"Standard","Slow"))))))</f>
        <v>Slow</v>
      </c>
      <c r="Y217" s="1" t="n">
        <f aca="false">IF(OR(Q217="Cancelled",Q217="Returned"),0,O217)</f>
        <v>477</v>
      </c>
    </row>
    <row r="218" customFormat="false" ht="15" hidden="false" customHeight="false" outlineLevel="0" collapsed="false">
      <c r="A218" s="6" t="str">
        <f aca="false">Orders!A218</f>
        <v>O000217</v>
      </c>
      <c r="B218" s="19" t="n">
        <f aca="false">Orders!B218</f>
        <v>45884</v>
      </c>
      <c r="C218" s="6" t="str">
        <f aca="false">Orders!C218</f>
        <v>C0072</v>
      </c>
      <c r="D218" s="6" t="str">
        <f aca="false">Orders!D218</f>
        <v>P1028</v>
      </c>
      <c r="E218" s="6" t="str">
        <f aca="false">INDEX(Products!$B$2:$B$101,MATCH(D218,Products!$A$2:$A$101,0))</f>
        <v>Sneakers</v>
      </c>
      <c r="F218" s="1" t="str">
        <f aca="false">INDEX(Products!$C$2:$C$101,MATCH(D218,Products!$A$2:$A$101,0))</f>
        <v>Fashion</v>
      </c>
      <c r="G218" s="6" t="n">
        <f aca="false">Orders!E218</f>
        <v>1</v>
      </c>
      <c r="H218" s="16" t="n">
        <f aca="false">INDEX(Products!$D$2:$D$101,MATCH(D218,Products!$A$2:$A$101,0))</f>
        <v>1799</v>
      </c>
      <c r="I218" s="16" t="n">
        <f aca="false">INDEX(Products!$E$2:$E$101,MATCH(D218,Products!$A$2:$A$101,0))</f>
        <v>950</v>
      </c>
      <c r="J218" s="20" t="n">
        <f aca="false">Orders!F218</f>
        <v>0.25</v>
      </c>
      <c r="K218" s="6" t="n">
        <f aca="false">G218*H218</f>
        <v>1799</v>
      </c>
      <c r="L218" s="6" t="n">
        <f aca="false">K218*J218</f>
        <v>449.75</v>
      </c>
      <c r="M218" s="6" t="n">
        <f aca="false">K218-L218</f>
        <v>1349.25</v>
      </c>
      <c r="N218" s="6" t="n">
        <f aca="false">G218*I218</f>
        <v>950</v>
      </c>
      <c r="O218" s="6" t="n">
        <f aca="false">M218-N218</f>
        <v>399.25</v>
      </c>
      <c r="P218" s="21" t="n">
        <f aca="false">IFERROR(O218/M218,0)</f>
        <v>0.295905132481008</v>
      </c>
      <c r="Q218" s="6" t="str">
        <f aca="false">Orders!H218</f>
        <v>Shipped</v>
      </c>
      <c r="R218" s="1" t="str">
        <f aca="false">INDEX(Customers!$C$2:$C$301,MATCH(C218,Customers!$A$2:$A$301,0))</f>
        <v>Noida</v>
      </c>
      <c r="S218" s="1" t="str">
        <f aca="false">INDEX(Customers!$E$2:$E$301,MATCH(C218,Customers!$A$2:$A$301,0))</f>
        <v>Returning</v>
      </c>
      <c r="T218" s="6" t="str">
        <f aca="false">Orders!I218</f>
        <v>Website</v>
      </c>
      <c r="U218" s="1" t="str">
        <f aca="false">IF(Q218="Delivered","Completed",IF(Q218="Cancelled","Cancelled",IF(Q218="Returned","Returned","In Progress")))</f>
        <v>In Progress</v>
      </c>
      <c r="V218" s="1" t="str">
        <f aca="false">IF(M218&gt;=10000,"High Value",IF(M218&gt;=5000,"Medium Value","Low Value"))</f>
        <v>Low Value</v>
      </c>
      <c r="W218" s="1" t="str">
        <f aca="false">IF(O218&gt;0,"Profitable",IF(O218=0,"Break-even","Loss"))</f>
        <v>Profitable</v>
      </c>
      <c r="X218" s="1" t="str">
        <f aca="false">IF(Q218="Cancelled","Not Applicable",IF(Q218="Processing","Pending",IF(B218="","Unknown",IF(Orders!J218="","Unknown",IF(Orders!J218&lt;=3,"Fast",IF(Orders!J218&lt;=6,"Standard","Slow"))))))</f>
        <v>Fast</v>
      </c>
      <c r="Y218" s="1" t="n">
        <f aca="false">IF(OR(Q218="Cancelled",Q218="Returned"),0,O218)</f>
        <v>399.25</v>
      </c>
    </row>
    <row r="219" customFormat="false" ht="15" hidden="false" customHeight="false" outlineLevel="0" collapsed="false">
      <c r="A219" s="6" t="str">
        <f aca="false">Orders!A219</f>
        <v>O000218</v>
      </c>
      <c r="B219" s="19" t="n">
        <f aca="false">Orders!B219</f>
        <v>45764</v>
      </c>
      <c r="C219" s="6" t="str">
        <f aca="false">Orders!C219</f>
        <v>C0010</v>
      </c>
      <c r="D219" s="6" t="str">
        <f aca="false">Orders!D219</f>
        <v>P1039</v>
      </c>
      <c r="E219" s="6" t="str">
        <f aca="false">INDEX(Products!$B$2:$B$101,MATCH(D219,Products!$A$2:$A$101,0))</f>
        <v>Wall Clock</v>
      </c>
      <c r="F219" s="1" t="str">
        <f aca="false">INDEX(Products!$C$2:$C$101,MATCH(D219,Products!$A$2:$A$101,0))</f>
        <v>Home &amp; Kitchen</v>
      </c>
      <c r="G219" s="6" t="n">
        <f aca="false">Orders!E219</f>
        <v>1</v>
      </c>
      <c r="H219" s="16" t="n">
        <f aca="false">INDEX(Products!$D$2:$D$101,MATCH(D219,Products!$A$2:$A$101,0))</f>
        <v>699</v>
      </c>
      <c r="I219" s="16" t="n">
        <f aca="false">INDEX(Products!$E$2:$E$101,MATCH(D219,Products!$A$2:$A$101,0))</f>
        <v>300</v>
      </c>
      <c r="J219" s="20" t="n">
        <f aca="false">Orders!F219</f>
        <v>0.2</v>
      </c>
      <c r="K219" s="6" t="n">
        <f aca="false">G219*H219</f>
        <v>699</v>
      </c>
      <c r="L219" s="6" t="n">
        <f aca="false">K219*J219</f>
        <v>139.8</v>
      </c>
      <c r="M219" s="6" t="n">
        <f aca="false">K219-L219</f>
        <v>559.2</v>
      </c>
      <c r="N219" s="6" t="n">
        <f aca="false">G219*I219</f>
        <v>300</v>
      </c>
      <c r="O219" s="6" t="n">
        <f aca="false">M219-N219</f>
        <v>259.2</v>
      </c>
      <c r="P219" s="21" t="n">
        <f aca="false">IFERROR(O219/M219,0)</f>
        <v>0.463519313304721</v>
      </c>
      <c r="Q219" s="6" t="str">
        <f aca="false">Orders!H219</f>
        <v>Processing</v>
      </c>
      <c r="R219" s="1" t="str">
        <f aca="false">INDEX(Customers!$C$2:$C$301,MATCH(C219,Customers!$A$2:$A$301,0))</f>
        <v>Lucknow</v>
      </c>
      <c r="S219" s="1" t="str">
        <f aca="false">INDEX(Customers!$E$2:$E$301,MATCH(C219,Customers!$A$2:$A$301,0))</f>
        <v>Returning</v>
      </c>
      <c r="T219" s="6" t="str">
        <f aca="false">Orders!I219</f>
        <v>Marketplace</v>
      </c>
      <c r="U219" s="1" t="str">
        <f aca="false">IF(Q219="Delivered","Completed",IF(Q219="Cancelled","Cancelled",IF(Q219="Returned","Returned","In Progress")))</f>
        <v>In Progress</v>
      </c>
      <c r="V219" s="1" t="str">
        <f aca="false">IF(M219&gt;=10000,"High Value",IF(M219&gt;=5000,"Medium Value","Low Value"))</f>
        <v>Low Value</v>
      </c>
      <c r="W219" s="1" t="str">
        <f aca="false">IF(O219&gt;0,"Profitable",IF(O219=0,"Break-even","Loss"))</f>
        <v>Profitable</v>
      </c>
      <c r="X219" s="1" t="str">
        <f aca="false">IF(Q219="Cancelled","Not Applicable",IF(Q219="Processing","Pending",IF(B219="","Unknown",IF(Orders!J219="","Unknown",IF(Orders!J219&lt;=3,"Fast",IF(Orders!J219&lt;=6,"Standard","Slow"))))))</f>
        <v>Pending</v>
      </c>
      <c r="Y219" s="1" t="n">
        <f aca="false">IF(OR(Q219="Cancelled",Q219="Returned"),0,O219)</f>
        <v>259.2</v>
      </c>
    </row>
    <row r="220" customFormat="false" ht="15" hidden="false" customHeight="false" outlineLevel="0" collapsed="false">
      <c r="A220" s="6" t="str">
        <f aca="false">Orders!A220</f>
        <v>O000219</v>
      </c>
      <c r="B220" s="19" t="n">
        <f aca="false">Orders!B220</f>
        <v>45808</v>
      </c>
      <c r="C220" s="6" t="str">
        <f aca="false">Orders!C220</f>
        <v>C0138</v>
      </c>
      <c r="D220" s="6" t="str">
        <f aca="false">Orders!D220</f>
        <v>P1086</v>
      </c>
      <c r="E220" s="6" t="str">
        <f aca="false">INDEX(Products!$B$2:$B$101,MATCH(D220,Products!$A$2:$A$101,0))</f>
        <v>Geometry Box</v>
      </c>
      <c r="F220" s="1" t="str">
        <f aca="false">INDEX(Products!$C$2:$C$101,MATCH(D220,Products!$A$2:$A$101,0))</f>
        <v>Books &amp; Stationery</v>
      </c>
      <c r="G220" s="6" t="n">
        <f aca="false">Orders!E220</f>
        <v>2</v>
      </c>
      <c r="H220" s="16" t="n">
        <f aca="false">INDEX(Products!$D$2:$D$101,MATCH(D220,Products!$A$2:$A$101,0))</f>
        <v>199</v>
      </c>
      <c r="I220" s="16" t="n">
        <f aca="false">INDEX(Products!$E$2:$E$101,MATCH(D220,Products!$A$2:$A$101,0))</f>
        <v>70</v>
      </c>
      <c r="J220" s="20" t="n">
        <f aca="false">Orders!F220</f>
        <v>0.1</v>
      </c>
      <c r="K220" s="6" t="n">
        <f aca="false">G220*H220</f>
        <v>398</v>
      </c>
      <c r="L220" s="6" t="n">
        <f aca="false">K220*J220</f>
        <v>39.8</v>
      </c>
      <c r="M220" s="6" t="n">
        <f aca="false">K220-L220</f>
        <v>358.2</v>
      </c>
      <c r="N220" s="6" t="n">
        <f aca="false">G220*I220</f>
        <v>140</v>
      </c>
      <c r="O220" s="6" t="n">
        <f aca="false">M220-N220</f>
        <v>218.2</v>
      </c>
      <c r="P220" s="21" t="n">
        <f aca="false">IFERROR(O220/M220,0)</f>
        <v>0.609156895589056</v>
      </c>
      <c r="Q220" s="6" t="str">
        <f aca="false">Orders!H220</f>
        <v>Returned</v>
      </c>
      <c r="R220" s="1" t="str">
        <f aca="false">INDEX(Customers!$C$2:$C$301,MATCH(C220,Customers!$A$2:$A$301,0))</f>
        <v>Nagpur</v>
      </c>
      <c r="S220" s="1" t="str">
        <f aca="false">INDEX(Customers!$E$2:$E$301,MATCH(C220,Customers!$A$2:$A$301,0))</f>
        <v>Returning</v>
      </c>
      <c r="T220" s="6" t="str">
        <f aca="false">Orders!I220</f>
        <v>Marketplace</v>
      </c>
      <c r="U220" s="1" t="str">
        <f aca="false">IF(Q220="Delivered","Completed",IF(Q220="Cancelled","Cancelled",IF(Q220="Returned","Returned","In Progress")))</f>
        <v>Returned</v>
      </c>
      <c r="V220" s="1" t="str">
        <f aca="false">IF(M220&gt;=10000,"High Value",IF(M220&gt;=5000,"Medium Value","Low Value"))</f>
        <v>Low Value</v>
      </c>
      <c r="W220" s="1" t="str">
        <f aca="false">IF(O220&gt;0,"Profitable",IF(O220=0,"Break-even","Loss"))</f>
        <v>Profitable</v>
      </c>
      <c r="X220" s="1" t="str">
        <f aca="false">IF(Q220="Cancelled","Not Applicable",IF(Q220="Processing","Pending",IF(B220="","Unknown",IF(Orders!J220="","Unknown",IF(Orders!J220&lt;=3,"Fast",IF(Orders!J220&lt;=6,"Standard","Slow"))))))</f>
        <v>Slow</v>
      </c>
      <c r="Y220" s="1" t="n">
        <f aca="false">IF(OR(Q220="Cancelled",Q220="Returned"),0,O220)</f>
        <v>0</v>
      </c>
    </row>
    <row r="221" customFormat="false" ht="15" hidden="false" customHeight="false" outlineLevel="0" collapsed="false">
      <c r="A221" s="6" t="str">
        <f aca="false">Orders!A221</f>
        <v>O000220</v>
      </c>
      <c r="B221" s="19" t="n">
        <f aca="false">Orders!B221</f>
        <v>45946</v>
      </c>
      <c r="C221" s="6" t="str">
        <f aca="false">Orders!C221</f>
        <v>C0115</v>
      </c>
      <c r="D221" s="6" t="str">
        <f aca="false">Orders!D221</f>
        <v>P1054</v>
      </c>
      <c r="E221" s="6" t="str">
        <f aca="false">INDEX(Products!$B$2:$B$101,MATCH(D221,Products!$A$2:$A$101,0))</f>
        <v>Face Mask Pack</v>
      </c>
      <c r="F221" s="1" t="str">
        <f aca="false">INDEX(Products!$C$2:$C$101,MATCH(D221,Products!$A$2:$A$101,0))</f>
        <v>Beauty</v>
      </c>
      <c r="G221" s="6" t="n">
        <f aca="false">Orders!E221</f>
        <v>5</v>
      </c>
      <c r="H221" s="16" t="n">
        <f aca="false">INDEX(Products!$D$2:$D$101,MATCH(D221,Products!$A$2:$A$101,0))</f>
        <v>299</v>
      </c>
      <c r="I221" s="16" t="n">
        <f aca="false">INDEX(Products!$E$2:$E$101,MATCH(D221,Products!$A$2:$A$101,0))</f>
        <v>110</v>
      </c>
      <c r="J221" s="20" t="n">
        <f aca="false">Orders!F221</f>
        <v>0.1</v>
      </c>
      <c r="K221" s="6" t="n">
        <f aca="false">G221*H221</f>
        <v>1495</v>
      </c>
      <c r="L221" s="6" t="n">
        <f aca="false">K221*J221</f>
        <v>149.5</v>
      </c>
      <c r="M221" s="6" t="n">
        <f aca="false">K221-L221</f>
        <v>1345.5</v>
      </c>
      <c r="N221" s="6" t="n">
        <f aca="false">G221*I221</f>
        <v>550</v>
      </c>
      <c r="O221" s="6" t="n">
        <f aca="false">M221-N221</f>
        <v>795.5</v>
      </c>
      <c r="P221" s="21" t="n">
        <f aca="false">IFERROR(O221/M221,0)</f>
        <v>0.591230026012635</v>
      </c>
      <c r="Q221" s="6" t="str">
        <f aca="false">Orders!H221</f>
        <v>Shipped</v>
      </c>
      <c r="R221" s="1" t="str">
        <f aca="false">INDEX(Customers!$C$2:$C$301,MATCH(C221,Customers!$A$2:$A$301,0))</f>
        <v>Bhopal</v>
      </c>
      <c r="S221" s="1" t="str">
        <f aca="false">INDEX(Customers!$E$2:$E$301,MATCH(C221,Customers!$A$2:$A$301,0))</f>
        <v>Returning</v>
      </c>
      <c r="T221" s="6" t="str">
        <f aca="false">Orders!I221</f>
        <v>Website</v>
      </c>
      <c r="U221" s="1" t="str">
        <f aca="false">IF(Q221="Delivered","Completed",IF(Q221="Cancelled","Cancelled",IF(Q221="Returned","Returned","In Progress")))</f>
        <v>In Progress</v>
      </c>
      <c r="V221" s="1" t="str">
        <f aca="false">IF(M221&gt;=10000,"High Value",IF(M221&gt;=5000,"Medium Value","Low Value"))</f>
        <v>Low Value</v>
      </c>
      <c r="W221" s="1" t="str">
        <f aca="false">IF(O221&gt;0,"Profitable",IF(O221=0,"Break-even","Loss"))</f>
        <v>Profitable</v>
      </c>
      <c r="X221" s="1" t="str">
        <f aca="false">IF(Q221="Cancelled","Not Applicable",IF(Q221="Processing","Pending",IF(B221="","Unknown",IF(Orders!J221="","Unknown",IF(Orders!J221&lt;=3,"Fast",IF(Orders!J221&lt;=6,"Standard","Slow"))))))</f>
        <v>Fast</v>
      </c>
      <c r="Y221" s="1" t="n">
        <f aca="false">IF(OR(Q221="Cancelled",Q221="Returned"),0,O221)</f>
        <v>795.5</v>
      </c>
    </row>
    <row r="222" customFormat="false" ht="15" hidden="false" customHeight="false" outlineLevel="0" collapsed="false">
      <c r="A222" s="6" t="str">
        <f aca="false">Orders!A222</f>
        <v>O000221</v>
      </c>
      <c r="B222" s="19" t="n">
        <f aca="false">Orders!B222</f>
        <v>45801</v>
      </c>
      <c r="C222" s="6" t="str">
        <f aca="false">Orders!C222</f>
        <v>C0214</v>
      </c>
      <c r="D222" s="6" t="str">
        <f aca="false">Orders!D222</f>
        <v>P1045</v>
      </c>
      <c r="E222" s="6" t="str">
        <f aca="false">INDEX(Products!$B$2:$B$101,MATCH(D222,Products!$A$2:$A$101,0))</f>
        <v>Lunch Box</v>
      </c>
      <c r="F222" s="1" t="str">
        <f aca="false">INDEX(Products!$C$2:$C$101,MATCH(D222,Products!$A$2:$A$101,0))</f>
        <v>Home &amp; Kitchen</v>
      </c>
      <c r="G222" s="6" t="n">
        <f aca="false">Orders!E222</f>
        <v>2</v>
      </c>
      <c r="H222" s="16" t="n">
        <f aca="false">INDEX(Products!$D$2:$D$101,MATCH(D222,Products!$A$2:$A$101,0))</f>
        <v>449</v>
      </c>
      <c r="I222" s="16" t="n">
        <f aca="false">INDEX(Products!$E$2:$E$101,MATCH(D222,Products!$A$2:$A$101,0))</f>
        <v>180</v>
      </c>
      <c r="J222" s="20" t="n">
        <f aca="false">Orders!F222</f>
        <v>0.25</v>
      </c>
      <c r="K222" s="6" t="n">
        <f aca="false">G222*H222</f>
        <v>898</v>
      </c>
      <c r="L222" s="6" t="n">
        <f aca="false">K222*J222</f>
        <v>224.5</v>
      </c>
      <c r="M222" s="6" t="n">
        <f aca="false">K222-L222</f>
        <v>673.5</v>
      </c>
      <c r="N222" s="6" t="n">
        <f aca="false">G222*I222</f>
        <v>360</v>
      </c>
      <c r="O222" s="6" t="n">
        <f aca="false">M222-N222</f>
        <v>313.5</v>
      </c>
      <c r="P222" s="21" t="n">
        <f aca="false">IFERROR(O222/M222,0)</f>
        <v>0.465478841870824</v>
      </c>
      <c r="Q222" s="6" t="str">
        <f aca="false">Orders!H222</f>
        <v>Delivered</v>
      </c>
      <c r="R222" s="1" t="str">
        <f aca="false">INDEX(Customers!$C$2:$C$301,MATCH(C222,Customers!$A$2:$A$301,0))</f>
        <v>Indore</v>
      </c>
      <c r="S222" s="1" t="str">
        <f aca="false">INDEX(Customers!$E$2:$E$301,MATCH(C222,Customers!$A$2:$A$301,0))</f>
        <v>Returning</v>
      </c>
      <c r="T222" s="6" t="str">
        <f aca="false">Orders!I222</f>
        <v>Marketplace</v>
      </c>
      <c r="U222" s="1" t="str">
        <f aca="false">IF(Q222="Delivered","Completed",IF(Q222="Cancelled","Cancelled",IF(Q222="Returned","Returned","In Progress")))</f>
        <v>Completed</v>
      </c>
      <c r="V222" s="1" t="str">
        <f aca="false">IF(M222&gt;=10000,"High Value",IF(M222&gt;=5000,"Medium Value","Low Value"))</f>
        <v>Low Value</v>
      </c>
      <c r="W222" s="1" t="str">
        <f aca="false">IF(O222&gt;0,"Profitable",IF(O222=0,"Break-even","Loss"))</f>
        <v>Profitable</v>
      </c>
      <c r="X222" s="1" t="str">
        <f aca="false">IF(Q222="Cancelled","Not Applicable",IF(Q222="Processing","Pending",IF(B222="","Unknown",IF(Orders!J222="","Unknown",IF(Orders!J222&lt;=3,"Fast",IF(Orders!J222&lt;=6,"Standard","Slow"))))))</f>
        <v>Fast</v>
      </c>
      <c r="Y222" s="1" t="n">
        <f aca="false">IF(OR(Q222="Cancelled",Q222="Returned"),0,O222)</f>
        <v>313.5</v>
      </c>
    </row>
    <row r="223" customFormat="false" ht="15" hidden="false" customHeight="false" outlineLevel="0" collapsed="false">
      <c r="A223" s="6" t="str">
        <f aca="false">Orders!A223</f>
        <v>O000222</v>
      </c>
      <c r="B223" s="19" t="n">
        <f aca="false">Orders!B223</f>
        <v>45844</v>
      </c>
      <c r="C223" s="6" t="str">
        <f aca="false">Orders!C223</f>
        <v>C0111</v>
      </c>
      <c r="D223" s="6" t="str">
        <f aca="false">Orders!D223</f>
        <v>P1013</v>
      </c>
      <c r="E223" s="6" t="str">
        <f aca="false">INDEX(Products!$B$2:$B$101,MATCH(D223,Products!$A$2:$A$101,0))</f>
        <v>Memory Card</v>
      </c>
      <c r="F223" s="1" t="str">
        <f aca="false">INDEX(Products!$C$2:$C$101,MATCH(D223,Products!$A$2:$A$101,0))</f>
        <v>Electronics</v>
      </c>
      <c r="G223" s="6" t="n">
        <f aca="false">Orders!E223</f>
        <v>1</v>
      </c>
      <c r="H223" s="16" t="n">
        <f aca="false">INDEX(Products!$D$2:$D$101,MATCH(D223,Products!$A$2:$A$101,0))</f>
        <v>699</v>
      </c>
      <c r="I223" s="16" t="n">
        <f aca="false">INDEX(Products!$E$2:$E$101,MATCH(D223,Products!$A$2:$A$101,0))</f>
        <v>400</v>
      </c>
      <c r="J223" s="20" t="n">
        <f aca="false">Orders!F223</f>
        <v>0.05</v>
      </c>
      <c r="K223" s="6" t="n">
        <f aca="false">G223*H223</f>
        <v>699</v>
      </c>
      <c r="L223" s="6" t="n">
        <f aca="false">K223*J223</f>
        <v>34.95</v>
      </c>
      <c r="M223" s="6" t="n">
        <f aca="false">K223-L223</f>
        <v>664.05</v>
      </c>
      <c r="N223" s="6" t="n">
        <f aca="false">G223*I223</f>
        <v>400</v>
      </c>
      <c r="O223" s="6" t="n">
        <f aca="false">M223-N223</f>
        <v>264.05</v>
      </c>
      <c r="P223" s="21" t="n">
        <f aca="false">IFERROR(O223/M223,0)</f>
        <v>0.397635720201792</v>
      </c>
      <c r="Q223" s="6" t="str">
        <f aca="false">Orders!H223</f>
        <v>Shipped</v>
      </c>
      <c r="R223" s="1" t="str">
        <f aca="false">INDEX(Customers!$C$2:$C$301,MATCH(C223,Customers!$A$2:$A$301,0))</f>
        <v>Gurugram</v>
      </c>
      <c r="S223" s="1" t="str">
        <f aca="false">INDEX(Customers!$E$2:$E$301,MATCH(C223,Customers!$A$2:$A$301,0))</f>
        <v>Returning</v>
      </c>
      <c r="T223" s="6" t="str">
        <f aca="false">Orders!I223</f>
        <v>Marketplace</v>
      </c>
      <c r="U223" s="1" t="str">
        <f aca="false">IF(Q223="Delivered","Completed",IF(Q223="Cancelled","Cancelled",IF(Q223="Returned","Returned","In Progress")))</f>
        <v>In Progress</v>
      </c>
      <c r="V223" s="1" t="str">
        <f aca="false">IF(M223&gt;=10000,"High Value",IF(M223&gt;=5000,"Medium Value","Low Value"))</f>
        <v>Low Value</v>
      </c>
      <c r="W223" s="1" t="str">
        <f aca="false">IF(O223&gt;0,"Profitable",IF(O223=0,"Break-even","Loss"))</f>
        <v>Profitable</v>
      </c>
      <c r="X223" s="1" t="str">
        <f aca="false">IF(Q223="Cancelled","Not Applicable",IF(Q223="Processing","Pending",IF(B223="","Unknown",IF(Orders!J223="","Unknown",IF(Orders!J223&lt;=3,"Fast",IF(Orders!J223&lt;=6,"Standard","Slow"))))))</f>
        <v>Slow</v>
      </c>
      <c r="Y223" s="1" t="n">
        <f aca="false">IF(OR(Q223="Cancelled",Q223="Returned"),0,O223)</f>
        <v>264.05</v>
      </c>
    </row>
    <row r="224" customFormat="false" ht="15" hidden="false" customHeight="false" outlineLevel="0" collapsed="false">
      <c r="A224" s="6" t="str">
        <f aca="false">Orders!A224</f>
        <v>O000223</v>
      </c>
      <c r="B224" s="19" t="n">
        <f aca="false">Orders!B224</f>
        <v>45779</v>
      </c>
      <c r="C224" s="6" t="str">
        <f aca="false">Orders!C224</f>
        <v>C0085</v>
      </c>
      <c r="D224" s="6" t="str">
        <f aca="false">Orders!D224</f>
        <v>P1083</v>
      </c>
      <c r="E224" s="6" t="str">
        <f aca="false">INDEX(Products!$B$2:$B$101,MATCH(D224,Products!$A$2:$A$101,0))</f>
        <v>Reading Light</v>
      </c>
      <c r="F224" s="1" t="str">
        <f aca="false">INDEX(Products!$C$2:$C$101,MATCH(D224,Products!$A$2:$A$101,0))</f>
        <v>Books &amp; Stationery</v>
      </c>
      <c r="G224" s="6" t="n">
        <f aca="false">Orders!E224</f>
        <v>2</v>
      </c>
      <c r="H224" s="16" t="n">
        <f aca="false">INDEX(Products!$D$2:$D$101,MATCH(D224,Products!$A$2:$A$101,0))</f>
        <v>399</v>
      </c>
      <c r="I224" s="16" t="n">
        <f aca="false">INDEX(Products!$E$2:$E$101,MATCH(D224,Products!$A$2:$A$101,0))</f>
        <v>180</v>
      </c>
      <c r="J224" s="20" t="n">
        <f aca="false">Orders!F224</f>
        <v>0</v>
      </c>
      <c r="K224" s="6" t="n">
        <f aca="false">G224*H224</f>
        <v>798</v>
      </c>
      <c r="L224" s="6" t="n">
        <f aca="false">K224*J224</f>
        <v>0</v>
      </c>
      <c r="M224" s="6" t="n">
        <f aca="false">K224-L224</f>
        <v>798</v>
      </c>
      <c r="N224" s="6" t="n">
        <f aca="false">G224*I224</f>
        <v>360</v>
      </c>
      <c r="O224" s="6" t="n">
        <f aca="false">M224-N224</f>
        <v>438</v>
      </c>
      <c r="P224" s="21" t="n">
        <f aca="false">IFERROR(O224/M224,0)</f>
        <v>0.548872180451128</v>
      </c>
      <c r="Q224" s="6" t="str">
        <f aca="false">Orders!H224</f>
        <v>Delivered</v>
      </c>
      <c r="R224" s="1" t="str">
        <f aca="false">INDEX(Customers!$C$2:$C$301,MATCH(C224,Customers!$A$2:$A$301,0))</f>
        <v>Chennai</v>
      </c>
      <c r="S224" s="1" t="str">
        <f aca="false">INDEX(Customers!$E$2:$E$301,MATCH(C224,Customers!$A$2:$A$301,0))</f>
        <v>VIP</v>
      </c>
      <c r="T224" s="6" t="str">
        <f aca="false">Orders!I224</f>
        <v>Website</v>
      </c>
      <c r="U224" s="1" t="str">
        <f aca="false">IF(Q224="Delivered","Completed",IF(Q224="Cancelled","Cancelled",IF(Q224="Returned","Returned","In Progress")))</f>
        <v>Completed</v>
      </c>
      <c r="V224" s="1" t="str">
        <f aca="false">IF(M224&gt;=10000,"High Value",IF(M224&gt;=5000,"Medium Value","Low Value"))</f>
        <v>Low Value</v>
      </c>
      <c r="W224" s="1" t="str">
        <f aca="false">IF(O224&gt;0,"Profitable",IF(O224=0,"Break-even","Loss"))</f>
        <v>Profitable</v>
      </c>
      <c r="X224" s="1" t="str">
        <f aca="false">IF(Q224="Cancelled","Not Applicable",IF(Q224="Processing","Pending",IF(B224="","Unknown",IF(Orders!J224="","Unknown",IF(Orders!J224&lt;=3,"Fast",IF(Orders!J224&lt;=6,"Standard","Slow"))))))</f>
        <v>Standard</v>
      </c>
      <c r="Y224" s="1" t="n">
        <f aca="false">IF(OR(Q224="Cancelled",Q224="Returned"),0,O224)</f>
        <v>438</v>
      </c>
    </row>
    <row r="225" customFormat="false" ht="15" hidden="false" customHeight="false" outlineLevel="0" collapsed="false">
      <c r="A225" s="6" t="str">
        <f aca="false">Orders!A225</f>
        <v>O000224</v>
      </c>
      <c r="B225" s="19" t="n">
        <f aca="false">Orders!B225</f>
        <v>45998</v>
      </c>
      <c r="C225" s="6" t="str">
        <f aca="false">Orders!C225</f>
        <v>C0050</v>
      </c>
      <c r="D225" s="6" t="str">
        <f aca="false">Orders!D225</f>
        <v>P1074</v>
      </c>
      <c r="E225" s="6" t="str">
        <f aca="false">INDEX(Products!$B$2:$B$101,MATCH(D225,Products!$A$2:$A$101,0))</f>
        <v>Notebook Pack</v>
      </c>
      <c r="F225" s="1" t="str">
        <f aca="false">INDEX(Products!$C$2:$C$101,MATCH(D225,Products!$A$2:$A$101,0))</f>
        <v>Books &amp; Stationery</v>
      </c>
      <c r="G225" s="6" t="n">
        <f aca="false">Orders!E225</f>
        <v>2</v>
      </c>
      <c r="H225" s="16" t="n">
        <f aca="false">INDEX(Products!$D$2:$D$101,MATCH(D225,Products!$A$2:$A$101,0))</f>
        <v>299</v>
      </c>
      <c r="I225" s="16" t="n">
        <f aca="false">INDEX(Products!$E$2:$E$101,MATCH(D225,Products!$A$2:$A$101,0))</f>
        <v>110</v>
      </c>
      <c r="J225" s="20" t="n">
        <f aca="false">Orders!F225</f>
        <v>0.05</v>
      </c>
      <c r="K225" s="6" t="n">
        <f aca="false">G225*H225</f>
        <v>598</v>
      </c>
      <c r="L225" s="6" t="n">
        <f aca="false">K225*J225</f>
        <v>29.9</v>
      </c>
      <c r="M225" s="6" t="n">
        <f aca="false">K225-L225</f>
        <v>568.1</v>
      </c>
      <c r="N225" s="6" t="n">
        <f aca="false">G225*I225</f>
        <v>220</v>
      </c>
      <c r="O225" s="6" t="n">
        <f aca="false">M225-N225</f>
        <v>348.1</v>
      </c>
      <c r="P225" s="21" t="n">
        <f aca="false">IFERROR(O225/M225,0)</f>
        <v>0.612744235169864</v>
      </c>
      <c r="Q225" s="6" t="str">
        <f aca="false">Orders!H225</f>
        <v>Delivered</v>
      </c>
      <c r="R225" s="1" t="str">
        <f aca="false">INDEX(Customers!$C$2:$C$301,MATCH(C225,Customers!$A$2:$A$301,0))</f>
        <v>Lucknow</v>
      </c>
      <c r="S225" s="1" t="str">
        <f aca="false">INDEX(Customers!$E$2:$E$301,MATCH(C225,Customers!$A$2:$A$301,0))</f>
        <v>New</v>
      </c>
      <c r="T225" s="6" t="str">
        <f aca="false">Orders!I225</f>
        <v>Marketplace</v>
      </c>
      <c r="U225" s="1" t="str">
        <f aca="false">IF(Q225="Delivered","Completed",IF(Q225="Cancelled","Cancelled",IF(Q225="Returned","Returned","In Progress")))</f>
        <v>Completed</v>
      </c>
      <c r="V225" s="1" t="str">
        <f aca="false">IF(M225&gt;=10000,"High Value",IF(M225&gt;=5000,"Medium Value","Low Value"))</f>
        <v>Low Value</v>
      </c>
      <c r="W225" s="1" t="str">
        <f aca="false">IF(O225&gt;0,"Profitable",IF(O225=0,"Break-even","Loss"))</f>
        <v>Profitable</v>
      </c>
      <c r="X225" s="1" t="str">
        <f aca="false">IF(Q225="Cancelled","Not Applicable",IF(Q225="Processing","Pending",IF(B225="","Unknown",IF(Orders!J225="","Unknown",IF(Orders!J225&lt;=3,"Fast",IF(Orders!J225&lt;=6,"Standard","Slow"))))))</f>
        <v>Fast</v>
      </c>
      <c r="Y225" s="1" t="n">
        <f aca="false">IF(OR(Q225="Cancelled",Q225="Returned"),0,O225)</f>
        <v>348.1</v>
      </c>
    </row>
    <row r="226" customFormat="false" ht="15" hidden="false" customHeight="false" outlineLevel="0" collapsed="false">
      <c r="A226" s="6" t="str">
        <f aca="false">Orders!A226</f>
        <v>O000225</v>
      </c>
      <c r="B226" s="19" t="n">
        <f aca="false">Orders!B226</f>
        <v>45821</v>
      </c>
      <c r="C226" s="6" t="str">
        <f aca="false">Orders!C226</f>
        <v>C0040</v>
      </c>
      <c r="D226" s="6" t="str">
        <f aca="false">Orders!D226</f>
        <v>P1019</v>
      </c>
      <c r="E226" s="6" t="str">
        <f aca="false">INDEX(Products!$B$2:$B$101,MATCH(D226,Products!$A$2:$A$101,0))</f>
        <v>Running Shoes</v>
      </c>
      <c r="F226" s="1" t="str">
        <f aca="false">INDEX(Products!$C$2:$C$101,MATCH(D226,Products!$A$2:$A$101,0))</f>
        <v>Fashion</v>
      </c>
      <c r="G226" s="6" t="n">
        <f aca="false">Orders!E226</f>
        <v>2</v>
      </c>
      <c r="H226" s="16" t="n">
        <f aca="false">INDEX(Products!$D$2:$D$101,MATCH(D226,Products!$A$2:$A$101,0))</f>
        <v>1999</v>
      </c>
      <c r="I226" s="16" t="n">
        <f aca="false">INDEX(Products!$E$2:$E$101,MATCH(D226,Products!$A$2:$A$101,0))</f>
        <v>1100</v>
      </c>
      <c r="J226" s="20" t="n">
        <f aca="false">Orders!F226</f>
        <v>0.15</v>
      </c>
      <c r="K226" s="6" t="n">
        <f aca="false">G226*H226</f>
        <v>3998</v>
      </c>
      <c r="L226" s="6" t="n">
        <f aca="false">K226*J226</f>
        <v>599.7</v>
      </c>
      <c r="M226" s="6" t="n">
        <f aca="false">K226-L226</f>
        <v>3398.3</v>
      </c>
      <c r="N226" s="6" t="n">
        <f aca="false">G226*I226</f>
        <v>2200</v>
      </c>
      <c r="O226" s="6" t="n">
        <f aca="false">M226-N226</f>
        <v>1198.3</v>
      </c>
      <c r="P226" s="21" t="n">
        <f aca="false">IFERROR(O226/M226,0)</f>
        <v>0.352617485213195</v>
      </c>
      <c r="Q226" s="6" t="str">
        <f aca="false">Orders!H226</f>
        <v>Processing</v>
      </c>
      <c r="R226" s="1" t="str">
        <f aca="false">INDEX(Customers!$C$2:$C$301,MATCH(C226,Customers!$A$2:$A$301,0))</f>
        <v>Visakhapatnam</v>
      </c>
      <c r="S226" s="1" t="str">
        <f aca="false">INDEX(Customers!$E$2:$E$301,MATCH(C226,Customers!$A$2:$A$301,0))</f>
        <v>Returning</v>
      </c>
      <c r="T226" s="6" t="str">
        <f aca="false">Orders!I226</f>
        <v>Marketplace</v>
      </c>
      <c r="U226" s="1" t="str">
        <f aca="false">IF(Q226="Delivered","Completed",IF(Q226="Cancelled","Cancelled",IF(Q226="Returned","Returned","In Progress")))</f>
        <v>In Progress</v>
      </c>
      <c r="V226" s="1" t="str">
        <f aca="false">IF(M226&gt;=10000,"High Value",IF(M226&gt;=5000,"Medium Value","Low Value"))</f>
        <v>Low Value</v>
      </c>
      <c r="W226" s="1" t="str">
        <f aca="false">IF(O226&gt;0,"Profitable",IF(O226=0,"Break-even","Loss"))</f>
        <v>Profitable</v>
      </c>
      <c r="X226" s="1" t="str">
        <f aca="false">IF(Q226="Cancelled","Not Applicable",IF(Q226="Processing","Pending",IF(B226="","Unknown",IF(Orders!J226="","Unknown",IF(Orders!J226&lt;=3,"Fast",IF(Orders!J226&lt;=6,"Standard","Slow"))))))</f>
        <v>Pending</v>
      </c>
      <c r="Y226" s="1" t="n">
        <f aca="false">IF(OR(Q226="Cancelled",Q226="Returned"),0,O226)</f>
        <v>1198.3</v>
      </c>
    </row>
    <row r="227" customFormat="false" ht="15" hidden="false" customHeight="false" outlineLevel="0" collapsed="false">
      <c r="A227" s="6" t="str">
        <f aca="false">Orders!A227</f>
        <v>O000226</v>
      </c>
      <c r="B227" s="19" t="n">
        <f aca="false">Orders!B227</f>
        <v>45907</v>
      </c>
      <c r="C227" s="6" t="str">
        <f aca="false">Orders!C227</f>
        <v>C0262</v>
      </c>
      <c r="D227" s="6" t="str">
        <f aca="false">Orders!D227</f>
        <v>P1043</v>
      </c>
      <c r="E227" s="6" t="str">
        <f aca="false">INDEX(Products!$B$2:$B$101,MATCH(D227,Products!$A$2:$A$101,0))</f>
        <v>Kitchen Rack</v>
      </c>
      <c r="F227" s="1" t="str">
        <f aca="false">INDEX(Products!$C$2:$C$101,MATCH(D227,Products!$A$2:$A$101,0))</f>
        <v>Home &amp; Kitchen</v>
      </c>
      <c r="G227" s="6" t="n">
        <f aca="false">Orders!E227</f>
        <v>1</v>
      </c>
      <c r="H227" s="16" t="n">
        <f aca="false">INDEX(Products!$D$2:$D$101,MATCH(D227,Products!$A$2:$A$101,0))</f>
        <v>1299</v>
      </c>
      <c r="I227" s="16" t="n">
        <f aca="false">INDEX(Products!$E$2:$E$101,MATCH(D227,Products!$A$2:$A$101,0))</f>
        <v>700</v>
      </c>
      <c r="J227" s="20" t="n">
        <f aca="false">Orders!F227</f>
        <v>0.15</v>
      </c>
      <c r="K227" s="6" t="n">
        <f aca="false">G227*H227</f>
        <v>1299</v>
      </c>
      <c r="L227" s="6" t="n">
        <f aca="false">K227*J227</f>
        <v>194.85</v>
      </c>
      <c r="M227" s="6" t="n">
        <f aca="false">K227-L227</f>
        <v>1104.15</v>
      </c>
      <c r="N227" s="6" t="n">
        <f aca="false">G227*I227</f>
        <v>700</v>
      </c>
      <c r="O227" s="6" t="n">
        <f aca="false">M227-N227</f>
        <v>404.15</v>
      </c>
      <c r="P227" s="21" t="n">
        <f aca="false">IFERROR(O227/M227,0)</f>
        <v>0.36602816646289</v>
      </c>
      <c r="Q227" s="6" t="str">
        <f aca="false">Orders!H227</f>
        <v>Delivered</v>
      </c>
      <c r="R227" s="1" t="str">
        <f aca="false">INDEX(Customers!$C$2:$C$301,MATCH(C227,Customers!$A$2:$A$301,0))</f>
        <v>Mumbai</v>
      </c>
      <c r="S227" s="1" t="str">
        <f aca="false">INDEX(Customers!$E$2:$E$301,MATCH(C227,Customers!$A$2:$A$301,0))</f>
        <v>Returning</v>
      </c>
      <c r="T227" s="6" t="str">
        <f aca="false">Orders!I227</f>
        <v>Website</v>
      </c>
      <c r="U227" s="1" t="str">
        <f aca="false">IF(Q227="Delivered","Completed",IF(Q227="Cancelled","Cancelled",IF(Q227="Returned","Returned","In Progress")))</f>
        <v>Completed</v>
      </c>
      <c r="V227" s="1" t="str">
        <f aca="false">IF(M227&gt;=10000,"High Value",IF(M227&gt;=5000,"Medium Value","Low Value"))</f>
        <v>Low Value</v>
      </c>
      <c r="W227" s="1" t="str">
        <f aca="false">IF(O227&gt;0,"Profitable",IF(O227=0,"Break-even","Loss"))</f>
        <v>Profitable</v>
      </c>
      <c r="X227" s="1" t="str">
        <f aca="false">IF(Q227="Cancelled","Not Applicable",IF(Q227="Processing","Pending",IF(B227="","Unknown",IF(Orders!J227="","Unknown",IF(Orders!J227&lt;=3,"Fast",IF(Orders!J227&lt;=6,"Standard","Slow"))))))</f>
        <v>Slow</v>
      </c>
      <c r="Y227" s="1" t="n">
        <f aca="false">IF(OR(Q227="Cancelled",Q227="Returned"),0,O227)</f>
        <v>404.15</v>
      </c>
    </row>
    <row r="228" customFormat="false" ht="15" hidden="false" customHeight="false" outlineLevel="0" collapsed="false">
      <c r="A228" s="6" t="str">
        <f aca="false">Orders!A228</f>
        <v>O000227</v>
      </c>
      <c r="B228" s="19" t="n">
        <f aca="false">Orders!B228</f>
        <v>45980</v>
      </c>
      <c r="C228" s="6" t="str">
        <f aca="false">Orders!C228</f>
        <v>C0074</v>
      </c>
      <c r="D228" s="6" t="str">
        <f aca="false">Orders!D228</f>
        <v>P1057</v>
      </c>
      <c r="E228" s="6" t="str">
        <f aca="false">INDEX(Products!$B$2:$B$101,MATCH(D228,Products!$A$2:$A$101,0))</f>
        <v>Comb Set</v>
      </c>
      <c r="F228" s="1" t="str">
        <f aca="false">INDEX(Products!$C$2:$C$101,MATCH(D228,Products!$A$2:$A$101,0))</f>
        <v>Beauty</v>
      </c>
      <c r="G228" s="6" t="n">
        <f aca="false">Orders!E228</f>
        <v>2</v>
      </c>
      <c r="H228" s="16" t="n">
        <f aca="false">INDEX(Products!$D$2:$D$101,MATCH(D228,Products!$A$2:$A$101,0))</f>
        <v>199</v>
      </c>
      <c r="I228" s="16" t="n">
        <f aca="false">INDEX(Products!$E$2:$E$101,MATCH(D228,Products!$A$2:$A$101,0))</f>
        <v>65</v>
      </c>
      <c r="J228" s="20" t="n">
        <f aca="false">Orders!F228</f>
        <v>0.15</v>
      </c>
      <c r="K228" s="6" t="n">
        <f aca="false">G228*H228</f>
        <v>398</v>
      </c>
      <c r="L228" s="6" t="n">
        <f aca="false">K228*J228</f>
        <v>59.7</v>
      </c>
      <c r="M228" s="6" t="n">
        <f aca="false">K228-L228</f>
        <v>338.3</v>
      </c>
      <c r="N228" s="6" t="n">
        <f aca="false">G228*I228</f>
        <v>130</v>
      </c>
      <c r="O228" s="6" t="n">
        <f aca="false">M228-N228</f>
        <v>208.3</v>
      </c>
      <c r="P228" s="21" t="n">
        <f aca="false">IFERROR(O228/M228,0)</f>
        <v>0.615725687259829</v>
      </c>
      <c r="Q228" s="6" t="str">
        <f aca="false">Orders!H228</f>
        <v>Delivered</v>
      </c>
      <c r="R228" s="1" t="str">
        <f aca="false">INDEX(Customers!$C$2:$C$301,MATCH(C228,Customers!$A$2:$A$301,0))</f>
        <v>Indore</v>
      </c>
      <c r="S228" s="1" t="str">
        <f aca="false">INDEX(Customers!$E$2:$E$301,MATCH(C228,Customers!$A$2:$A$301,0))</f>
        <v>New</v>
      </c>
      <c r="T228" s="6" t="str">
        <f aca="false">Orders!I228</f>
        <v>Website</v>
      </c>
      <c r="U228" s="1" t="str">
        <f aca="false">IF(Q228="Delivered","Completed",IF(Q228="Cancelled","Cancelled",IF(Q228="Returned","Returned","In Progress")))</f>
        <v>Completed</v>
      </c>
      <c r="V228" s="1" t="str">
        <f aca="false">IF(M228&gt;=10000,"High Value",IF(M228&gt;=5000,"Medium Value","Low Value"))</f>
        <v>Low Value</v>
      </c>
      <c r="W228" s="1" t="str">
        <f aca="false">IF(O228&gt;0,"Profitable",IF(O228=0,"Break-even","Loss"))</f>
        <v>Profitable</v>
      </c>
      <c r="X228" s="1" t="str">
        <f aca="false">IF(Q228="Cancelled","Not Applicable",IF(Q228="Processing","Pending",IF(B228="","Unknown",IF(Orders!J228="","Unknown",IF(Orders!J228&lt;=3,"Fast",IF(Orders!J228&lt;=6,"Standard","Slow"))))))</f>
        <v>Fast</v>
      </c>
      <c r="Y228" s="1" t="n">
        <f aca="false">IF(OR(Q228="Cancelled",Q228="Returned"),0,O228)</f>
        <v>208.3</v>
      </c>
    </row>
    <row r="229" customFormat="false" ht="15" hidden="false" customHeight="false" outlineLevel="0" collapsed="false">
      <c r="A229" s="6" t="str">
        <f aca="false">Orders!A229</f>
        <v>O000228</v>
      </c>
      <c r="B229" s="19" t="n">
        <f aca="false">Orders!B229</f>
        <v>45691</v>
      </c>
      <c r="C229" s="6" t="str">
        <f aca="false">Orders!C229</f>
        <v>C0036</v>
      </c>
      <c r="D229" s="6" t="str">
        <f aca="false">Orders!D229</f>
        <v>P1039</v>
      </c>
      <c r="E229" s="6" t="str">
        <f aca="false">INDEX(Products!$B$2:$B$101,MATCH(D229,Products!$A$2:$A$101,0))</f>
        <v>Wall Clock</v>
      </c>
      <c r="F229" s="1" t="str">
        <f aca="false">INDEX(Products!$C$2:$C$101,MATCH(D229,Products!$A$2:$A$101,0))</f>
        <v>Home &amp; Kitchen</v>
      </c>
      <c r="G229" s="6" t="n">
        <f aca="false">Orders!E229</f>
        <v>1</v>
      </c>
      <c r="H229" s="16" t="n">
        <f aca="false">INDEX(Products!$D$2:$D$101,MATCH(D229,Products!$A$2:$A$101,0))</f>
        <v>699</v>
      </c>
      <c r="I229" s="16" t="n">
        <f aca="false">INDEX(Products!$E$2:$E$101,MATCH(D229,Products!$A$2:$A$101,0))</f>
        <v>300</v>
      </c>
      <c r="J229" s="20" t="n">
        <f aca="false">Orders!F229</f>
        <v>0.1</v>
      </c>
      <c r="K229" s="6" t="n">
        <f aca="false">G229*H229</f>
        <v>699</v>
      </c>
      <c r="L229" s="6" t="n">
        <f aca="false">K229*J229</f>
        <v>69.9</v>
      </c>
      <c r="M229" s="6" t="n">
        <f aca="false">K229-L229</f>
        <v>629.1</v>
      </c>
      <c r="N229" s="6" t="n">
        <f aca="false">G229*I229</f>
        <v>300</v>
      </c>
      <c r="O229" s="6" t="n">
        <f aca="false">M229-N229</f>
        <v>329.1</v>
      </c>
      <c r="P229" s="21" t="n">
        <f aca="false">IFERROR(O229/M229,0)</f>
        <v>0.523128278493085</v>
      </c>
      <c r="Q229" s="6" t="str">
        <f aca="false">Orders!H229</f>
        <v>Delivered</v>
      </c>
      <c r="R229" s="1" t="str">
        <f aca="false">INDEX(Customers!$C$2:$C$301,MATCH(C229,Customers!$A$2:$A$301,0))</f>
        <v>Chandigarh</v>
      </c>
      <c r="S229" s="1" t="str">
        <f aca="false">INDEX(Customers!$E$2:$E$301,MATCH(C229,Customers!$A$2:$A$301,0))</f>
        <v>New</v>
      </c>
      <c r="T229" s="6" t="str">
        <f aca="false">Orders!I229</f>
        <v>Website</v>
      </c>
      <c r="U229" s="1" t="str">
        <f aca="false">IF(Q229="Delivered","Completed",IF(Q229="Cancelled","Cancelled",IF(Q229="Returned","Returned","In Progress")))</f>
        <v>Completed</v>
      </c>
      <c r="V229" s="1" t="str">
        <f aca="false">IF(M229&gt;=10000,"High Value",IF(M229&gt;=5000,"Medium Value","Low Value"))</f>
        <v>Low Value</v>
      </c>
      <c r="W229" s="1" t="str">
        <f aca="false">IF(O229&gt;0,"Profitable",IF(O229=0,"Break-even","Loss"))</f>
        <v>Profitable</v>
      </c>
      <c r="X229" s="1" t="str">
        <f aca="false">IF(Q229="Cancelled","Not Applicable",IF(Q229="Processing","Pending",IF(B229="","Unknown",IF(Orders!J229="","Unknown",IF(Orders!J229&lt;=3,"Fast",IF(Orders!J229&lt;=6,"Standard","Slow"))))))</f>
        <v>Fast</v>
      </c>
      <c r="Y229" s="1" t="n">
        <f aca="false">IF(OR(Q229="Cancelled",Q229="Returned"),0,O229)</f>
        <v>329.1</v>
      </c>
    </row>
    <row r="230" customFormat="false" ht="15" hidden="false" customHeight="false" outlineLevel="0" collapsed="false">
      <c r="A230" s="6" t="str">
        <f aca="false">Orders!A230</f>
        <v>O000229</v>
      </c>
      <c r="B230" s="19" t="n">
        <f aca="false">Orders!B230</f>
        <v>45664</v>
      </c>
      <c r="C230" s="6" t="str">
        <f aca="false">Orders!C230</f>
        <v>C0166</v>
      </c>
      <c r="D230" s="6" t="str">
        <f aca="false">Orders!D230</f>
        <v>P1052</v>
      </c>
      <c r="E230" s="6" t="str">
        <f aca="false">INDEX(Products!$B$2:$B$101,MATCH(D230,Products!$A$2:$A$101,0))</f>
        <v>Lip Balm Set</v>
      </c>
      <c r="F230" s="1" t="str">
        <f aca="false">INDEX(Products!$C$2:$C$101,MATCH(D230,Products!$A$2:$A$101,0))</f>
        <v>Beauty</v>
      </c>
      <c r="G230" s="6" t="n">
        <f aca="false">Orders!E230</f>
        <v>1</v>
      </c>
      <c r="H230" s="16" t="n">
        <f aca="false">INDEX(Products!$D$2:$D$101,MATCH(D230,Products!$A$2:$A$101,0))</f>
        <v>249</v>
      </c>
      <c r="I230" s="16" t="n">
        <f aca="false">INDEX(Products!$E$2:$E$101,MATCH(D230,Products!$A$2:$A$101,0))</f>
        <v>90</v>
      </c>
      <c r="J230" s="20" t="n">
        <f aca="false">Orders!F230</f>
        <v>0.15</v>
      </c>
      <c r="K230" s="6" t="n">
        <f aca="false">G230*H230</f>
        <v>249</v>
      </c>
      <c r="L230" s="6" t="n">
        <f aca="false">K230*J230</f>
        <v>37.35</v>
      </c>
      <c r="M230" s="6" t="n">
        <f aca="false">K230-L230</f>
        <v>211.65</v>
      </c>
      <c r="N230" s="6" t="n">
        <f aca="false">G230*I230</f>
        <v>90</v>
      </c>
      <c r="O230" s="6" t="n">
        <f aca="false">M230-N230</f>
        <v>121.65</v>
      </c>
      <c r="P230" s="21" t="n">
        <f aca="false">IFERROR(O230/M230,0)</f>
        <v>0.574769666902906</v>
      </c>
      <c r="Q230" s="6" t="str">
        <f aca="false">Orders!H230</f>
        <v>Delivered</v>
      </c>
      <c r="R230" s="1" t="str">
        <f aca="false">INDEX(Customers!$C$2:$C$301,MATCH(C230,Customers!$A$2:$A$301,0))</f>
        <v>Kolkata</v>
      </c>
      <c r="S230" s="1" t="str">
        <f aca="false">INDEX(Customers!$E$2:$E$301,MATCH(C230,Customers!$A$2:$A$301,0))</f>
        <v>New</v>
      </c>
      <c r="T230" s="6" t="str">
        <f aca="false">Orders!I230</f>
        <v>Marketplace</v>
      </c>
      <c r="U230" s="1" t="str">
        <f aca="false">IF(Q230="Delivered","Completed",IF(Q230="Cancelled","Cancelled",IF(Q230="Returned","Returned","In Progress")))</f>
        <v>Completed</v>
      </c>
      <c r="V230" s="1" t="str">
        <f aca="false">IF(M230&gt;=10000,"High Value",IF(M230&gt;=5000,"Medium Value","Low Value"))</f>
        <v>Low Value</v>
      </c>
      <c r="W230" s="1" t="str">
        <f aca="false">IF(O230&gt;0,"Profitable",IF(O230=0,"Break-even","Loss"))</f>
        <v>Profitable</v>
      </c>
      <c r="X230" s="1" t="str">
        <f aca="false">IF(Q230="Cancelled","Not Applicable",IF(Q230="Processing","Pending",IF(B230="","Unknown",IF(Orders!J230="","Unknown",IF(Orders!J230&lt;=3,"Fast",IF(Orders!J230&lt;=6,"Standard","Slow"))))))</f>
        <v>Standard</v>
      </c>
      <c r="Y230" s="1" t="n">
        <f aca="false">IF(OR(Q230="Cancelled",Q230="Returned"),0,O230)</f>
        <v>121.65</v>
      </c>
    </row>
    <row r="231" customFormat="false" ht="15" hidden="false" customHeight="false" outlineLevel="0" collapsed="false">
      <c r="A231" s="6" t="str">
        <f aca="false">Orders!A231</f>
        <v>O000230</v>
      </c>
      <c r="B231" s="19" t="n">
        <f aca="false">Orders!B231</f>
        <v>45935</v>
      </c>
      <c r="C231" s="6" t="str">
        <f aca="false">Orders!C231</f>
        <v>C0215</v>
      </c>
      <c r="D231" s="6" t="str">
        <f aca="false">Orders!D231</f>
        <v>P1015</v>
      </c>
      <c r="E231" s="6" t="str">
        <f aca="false">INDEX(Products!$B$2:$B$101,MATCH(D231,Products!$A$2:$A$101,0))</f>
        <v>Portable SSD</v>
      </c>
      <c r="F231" s="1" t="str">
        <f aca="false">INDEX(Products!$C$2:$C$101,MATCH(D231,Products!$A$2:$A$101,0))</f>
        <v>Electronics</v>
      </c>
      <c r="G231" s="6" t="n">
        <f aca="false">Orders!E231</f>
        <v>1</v>
      </c>
      <c r="H231" s="16" t="n">
        <f aca="false">INDEX(Products!$D$2:$D$101,MATCH(D231,Products!$A$2:$A$101,0))</f>
        <v>3999</v>
      </c>
      <c r="I231" s="16" t="n">
        <f aca="false">INDEX(Products!$E$2:$E$101,MATCH(D231,Products!$A$2:$A$101,0))</f>
        <v>2800</v>
      </c>
      <c r="J231" s="20" t="n">
        <f aca="false">Orders!F231</f>
        <v>0.05</v>
      </c>
      <c r="K231" s="6" t="n">
        <f aca="false">G231*H231</f>
        <v>3999</v>
      </c>
      <c r="L231" s="6" t="n">
        <f aca="false">K231*J231</f>
        <v>199.95</v>
      </c>
      <c r="M231" s="6" t="n">
        <f aca="false">K231-L231</f>
        <v>3799.05</v>
      </c>
      <c r="N231" s="6" t="n">
        <f aca="false">G231*I231</f>
        <v>2800</v>
      </c>
      <c r="O231" s="6" t="n">
        <f aca="false">M231-N231</f>
        <v>999.05</v>
      </c>
      <c r="P231" s="21" t="n">
        <f aca="false">IFERROR(O231/M231,0)</f>
        <v>0.262973638146379</v>
      </c>
      <c r="Q231" s="6" t="str">
        <f aca="false">Orders!H231</f>
        <v>Cancelled</v>
      </c>
      <c r="R231" s="1" t="str">
        <f aca="false">INDEX(Customers!$C$2:$C$301,MATCH(C231,Customers!$A$2:$A$301,0))</f>
        <v>Bhopal</v>
      </c>
      <c r="S231" s="1" t="str">
        <f aca="false">INDEX(Customers!$E$2:$E$301,MATCH(C231,Customers!$A$2:$A$301,0))</f>
        <v>Returning</v>
      </c>
      <c r="T231" s="6" t="str">
        <f aca="false">Orders!I231</f>
        <v>Mobile App</v>
      </c>
      <c r="U231" s="1" t="str">
        <f aca="false">IF(Q231="Delivered","Completed",IF(Q231="Cancelled","Cancelled",IF(Q231="Returned","Returned","In Progress")))</f>
        <v>Cancelled</v>
      </c>
      <c r="V231" s="1" t="str">
        <f aca="false">IF(M231&gt;=10000,"High Value",IF(M231&gt;=5000,"Medium Value","Low Value"))</f>
        <v>Low Value</v>
      </c>
      <c r="W231" s="1" t="str">
        <f aca="false">IF(O231&gt;0,"Profitable",IF(O231=0,"Break-even","Loss"))</f>
        <v>Profitable</v>
      </c>
      <c r="X231" s="1" t="str">
        <f aca="false">IF(Q231="Cancelled","Not Applicable",IF(Q231="Processing","Pending",IF(B231="","Unknown",IF(Orders!J231="","Unknown",IF(Orders!J231&lt;=3,"Fast",IF(Orders!J231&lt;=6,"Standard","Slow"))))))</f>
        <v>Not Applicable</v>
      </c>
      <c r="Y231" s="1" t="n">
        <f aca="false">IF(OR(Q231="Cancelled",Q231="Returned"),0,O231)</f>
        <v>0</v>
      </c>
    </row>
    <row r="232" customFormat="false" ht="23.85" hidden="false" customHeight="false" outlineLevel="0" collapsed="false">
      <c r="A232" s="6" t="str">
        <f aca="false">Orders!A232</f>
        <v>O000231</v>
      </c>
      <c r="B232" s="19" t="n">
        <f aca="false">Orders!B232</f>
        <v>45960</v>
      </c>
      <c r="C232" s="6" t="str">
        <f aca="false">Orders!C232</f>
        <v>C0219</v>
      </c>
      <c r="D232" s="6" t="str">
        <f aca="false">Orders!D232</f>
        <v>P1070</v>
      </c>
      <c r="E232" s="6" t="str">
        <f aca="false">INDEX(Products!$B$2:$B$101,MATCH(D232,Products!$A$2:$A$101,0))</f>
        <v>Knee Support Pair</v>
      </c>
      <c r="F232" s="1" t="str">
        <f aca="false">INDEX(Products!$C$2:$C$101,MATCH(D232,Products!$A$2:$A$101,0))</f>
        <v>Sports &amp; Outdoors</v>
      </c>
      <c r="G232" s="6" t="n">
        <f aca="false">Orders!E232</f>
        <v>1</v>
      </c>
      <c r="H232" s="16" t="n">
        <f aca="false">INDEX(Products!$D$2:$D$101,MATCH(D232,Products!$A$2:$A$101,0))</f>
        <v>449</v>
      </c>
      <c r="I232" s="16" t="n">
        <f aca="false">INDEX(Products!$E$2:$E$101,MATCH(D232,Products!$A$2:$A$101,0))</f>
        <v>180</v>
      </c>
      <c r="J232" s="20" t="n">
        <f aca="false">Orders!F232</f>
        <v>0.15</v>
      </c>
      <c r="K232" s="6" t="n">
        <f aca="false">G232*H232</f>
        <v>449</v>
      </c>
      <c r="L232" s="6" t="n">
        <f aca="false">K232*J232</f>
        <v>67.35</v>
      </c>
      <c r="M232" s="6" t="n">
        <f aca="false">K232-L232</f>
        <v>381.65</v>
      </c>
      <c r="N232" s="6" t="n">
        <f aca="false">G232*I232</f>
        <v>180</v>
      </c>
      <c r="O232" s="6" t="n">
        <f aca="false">M232-N232</f>
        <v>201.65</v>
      </c>
      <c r="P232" s="21" t="n">
        <f aca="false">IFERROR(O232/M232,0)</f>
        <v>0.528363684003668</v>
      </c>
      <c r="Q232" s="6" t="str">
        <f aca="false">Orders!H232</f>
        <v>Processing</v>
      </c>
      <c r="R232" s="1" t="str">
        <f aca="false">INDEX(Customers!$C$2:$C$301,MATCH(C232,Customers!$A$2:$A$301,0))</f>
        <v>Coimbatore</v>
      </c>
      <c r="S232" s="1" t="str">
        <f aca="false">INDEX(Customers!$E$2:$E$301,MATCH(C232,Customers!$A$2:$A$301,0))</f>
        <v>New</v>
      </c>
      <c r="T232" s="6" t="str">
        <f aca="false">Orders!I232</f>
        <v>Mobile App</v>
      </c>
      <c r="U232" s="1" t="str">
        <f aca="false">IF(Q232="Delivered","Completed",IF(Q232="Cancelled","Cancelled",IF(Q232="Returned","Returned","In Progress")))</f>
        <v>In Progress</v>
      </c>
      <c r="V232" s="1" t="str">
        <f aca="false">IF(M232&gt;=10000,"High Value",IF(M232&gt;=5000,"Medium Value","Low Value"))</f>
        <v>Low Value</v>
      </c>
      <c r="W232" s="1" t="str">
        <f aca="false">IF(O232&gt;0,"Profitable",IF(O232=0,"Break-even","Loss"))</f>
        <v>Profitable</v>
      </c>
      <c r="X232" s="1" t="str">
        <f aca="false">IF(Q232="Cancelled","Not Applicable",IF(Q232="Processing","Pending",IF(B232="","Unknown",IF(Orders!J232="","Unknown",IF(Orders!J232&lt;=3,"Fast",IF(Orders!J232&lt;=6,"Standard","Slow"))))))</f>
        <v>Pending</v>
      </c>
      <c r="Y232" s="1" t="n">
        <f aca="false">IF(OR(Q232="Cancelled",Q232="Returned"),0,O232)</f>
        <v>201.65</v>
      </c>
    </row>
    <row r="233" customFormat="false" ht="15" hidden="false" customHeight="false" outlineLevel="0" collapsed="false">
      <c r="A233" s="6" t="str">
        <f aca="false">Orders!A233</f>
        <v>O000232</v>
      </c>
      <c r="B233" s="19" t="n">
        <f aca="false">Orders!B233</f>
        <v>45664</v>
      </c>
      <c r="C233" s="6" t="str">
        <f aca="false">Orders!C233</f>
        <v>C0151</v>
      </c>
      <c r="D233" s="6" t="str">
        <f aca="false">Orders!D233</f>
        <v>P1044</v>
      </c>
      <c r="E233" s="6" t="str">
        <f aca="false">INDEX(Products!$B$2:$B$101,MATCH(D233,Products!$A$2:$A$101,0))</f>
        <v>Doormat</v>
      </c>
      <c r="F233" s="1" t="str">
        <f aca="false">INDEX(Products!$C$2:$C$101,MATCH(D233,Products!$A$2:$A$101,0))</f>
        <v>Home &amp; Kitchen</v>
      </c>
      <c r="G233" s="6" t="n">
        <f aca="false">Orders!E233</f>
        <v>1</v>
      </c>
      <c r="H233" s="16" t="n">
        <f aca="false">INDEX(Products!$D$2:$D$101,MATCH(D233,Products!$A$2:$A$101,0))</f>
        <v>299</v>
      </c>
      <c r="I233" s="16" t="n">
        <f aca="false">INDEX(Products!$E$2:$E$101,MATCH(D233,Products!$A$2:$A$101,0))</f>
        <v>100</v>
      </c>
      <c r="J233" s="20" t="n">
        <f aca="false">Orders!F233</f>
        <v>0.1</v>
      </c>
      <c r="K233" s="6" t="n">
        <f aca="false">G233*H233</f>
        <v>299</v>
      </c>
      <c r="L233" s="6" t="n">
        <f aca="false">K233*J233</f>
        <v>29.9</v>
      </c>
      <c r="M233" s="6" t="n">
        <f aca="false">K233-L233</f>
        <v>269.1</v>
      </c>
      <c r="N233" s="6" t="n">
        <f aca="false">G233*I233</f>
        <v>100</v>
      </c>
      <c r="O233" s="6" t="n">
        <f aca="false">M233-N233</f>
        <v>169.1</v>
      </c>
      <c r="P233" s="21" t="n">
        <f aca="false">IFERROR(O233/M233,0)</f>
        <v>0.628390932738759</v>
      </c>
      <c r="Q233" s="6" t="str">
        <f aca="false">Orders!H233</f>
        <v>Shipped</v>
      </c>
      <c r="R233" s="1" t="str">
        <f aca="false">INDEX(Customers!$C$2:$C$301,MATCH(C233,Customers!$A$2:$A$301,0))</f>
        <v>Gurugram</v>
      </c>
      <c r="S233" s="1" t="str">
        <f aca="false">INDEX(Customers!$E$2:$E$301,MATCH(C233,Customers!$A$2:$A$301,0))</f>
        <v>New</v>
      </c>
      <c r="T233" s="6" t="str">
        <f aca="false">Orders!I233</f>
        <v>Mobile App</v>
      </c>
      <c r="U233" s="1" t="str">
        <f aca="false">IF(Q233="Delivered","Completed",IF(Q233="Cancelled","Cancelled",IF(Q233="Returned","Returned","In Progress")))</f>
        <v>In Progress</v>
      </c>
      <c r="V233" s="1" t="str">
        <f aca="false">IF(M233&gt;=10000,"High Value",IF(M233&gt;=5000,"Medium Value","Low Value"))</f>
        <v>Low Value</v>
      </c>
      <c r="W233" s="1" t="str">
        <f aca="false">IF(O233&gt;0,"Profitable",IF(O233=0,"Break-even","Loss"))</f>
        <v>Profitable</v>
      </c>
      <c r="X233" s="1" t="str">
        <f aca="false">IF(Q233="Cancelled","Not Applicable",IF(Q233="Processing","Pending",IF(B233="","Unknown",IF(Orders!J233="","Unknown",IF(Orders!J233&lt;=3,"Fast",IF(Orders!J233&lt;=6,"Standard","Slow"))))))</f>
        <v>Standard</v>
      </c>
      <c r="Y233" s="1" t="n">
        <f aca="false">IF(OR(Q233="Cancelled",Q233="Returned"),0,O233)</f>
        <v>169.1</v>
      </c>
    </row>
    <row r="234" customFormat="false" ht="15" hidden="false" customHeight="false" outlineLevel="0" collapsed="false">
      <c r="A234" s="6" t="str">
        <f aca="false">Orders!A234</f>
        <v>O000233</v>
      </c>
      <c r="B234" s="19" t="n">
        <f aca="false">Orders!B234</f>
        <v>45856</v>
      </c>
      <c r="C234" s="6" t="str">
        <f aca="false">Orders!C234</f>
        <v>C0008</v>
      </c>
      <c r="D234" s="6" t="str">
        <f aca="false">Orders!D234</f>
        <v>P1028</v>
      </c>
      <c r="E234" s="6" t="str">
        <f aca="false">INDEX(Products!$B$2:$B$101,MATCH(D234,Products!$A$2:$A$101,0))</f>
        <v>Sneakers</v>
      </c>
      <c r="F234" s="1" t="str">
        <f aca="false">INDEX(Products!$C$2:$C$101,MATCH(D234,Products!$A$2:$A$101,0))</f>
        <v>Fashion</v>
      </c>
      <c r="G234" s="6" t="n">
        <f aca="false">Orders!E234</f>
        <v>1</v>
      </c>
      <c r="H234" s="16" t="n">
        <f aca="false">INDEX(Products!$D$2:$D$101,MATCH(D234,Products!$A$2:$A$101,0))</f>
        <v>1799</v>
      </c>
      <c r="I234" s="16" t="n">
        <f aca="false">INDEX(Products!$E$2:$E$101,MATCH(D234,Products!$A$2:$A$101,0))</f>
        <v>950</v>
      </c>
      <c r="J234" s="20" t="n">
        <f aca="false">Orders!F234</f>
        <v>0.05</v>
      </c>
      <c r="K234" s="6" t="n">
        <f aca="false">G234*H234</f>
        <v>1799</v>
      </c>
      <c r="L234" s="6" t="n">
        <f aca="false">K234*J234</f>
        <v>89.95</v>
      </c>
      <c r="M234" s="6" t="n">
        <f aca="false">K234-L234</f>
        <v>1709.05</v>
      </c>
      <c r="N234" s="6" t="n">
        <f aca="false">G234*I234</f>
        <v>950</v>
      </c>
      <c r="O234" s="6" t="n">
        <f aca="false">M234-N234</f>
        <v>759.05</v>
      </c>
      <c r="P234" s="21" t="n">
        <f aca="false">IFERROR(O234/M234,0)</f>
        <v>0.444135630906059</v>
      </c>
      <c r="Q234" s="6" t="str">
        <f aca="false">Orders!H234</f>
        <v>Delivered</v>
      </c>
      <c r="R234" s="1" t="str">
        <f aca="false">INDEX(Customers!$C$2:$C$301,MATCH(C234,Customers!$A$2:$A$301,0))</f>
        <v>Jaipur</v>
      </c>
      <c r="S234" s="1" t="str">
        <f aca="false">INDEX(Customers!$E$2:$E$301,MATCH(C234,Customers!$A$2:$A$301,0))</f>
        <v>New</v>
      </c>
      <c r="T234" s="6" t="str">
        <f aca="false">Orders!I234</f>
        <v>Mobile App</v>
      </c>
      <c r="U234" s="1" t="str">
        <f aca="false">IF(Q234="Delivered","Completed",IF(Q234="Cancelled","Cancelled",IF(Q234="Returned","Returned","In Progress")))</f>
        <v>Completed</v>
      </c>
      <c r="V234" s="1" t="str">
        <f aca="false">IF(M234&gt;=10000,"High Value",IF(M234&gt;=5000,"Medium Value","Low Value"))</f>
        <v>Low Value</v>
      </c>
      <c r="W234" s="1" t="str">
        <f aca="false">IF(O234&gt;0,"Profitable",IF(O234=0,"Break-even","Loss"))</f>
        <v>Profitable</v>
      </c>
      <c r="X234" s="1" t="str">
        <f aca="false">IF(Q234="Cancelled","Not Applicable",IF(Q234="Processing","Pending",IF(B234="","Unknown",IF(Orders!J234="","Unknown",IF(Orders!J234&lt;=3,"Fast",IF(Orders!J234&lt;=6,"Standard","Slow"))))))</f>
        <v>Standard</v>
      </c>
      <c r="Y234" s="1" t="n">
        <f aca="false">IF(OR(Q234="Cancelled",Q234="Returned"),0,O234)</f>
        <v>759.05</v>
      </c>
    </row>
    <row r="235" customFormat="false" ht="15" hidden="false" customHeight="false" outlineLevel="0" collapsed="false">
      <c r="A235" s="6" t="str">
        <f aca="false">Orders!A235</f>
        <v>O000234</v>
      </c>
      <c r="B235" s="19" t="n">
        <f aca="false">Orders!B235</f>
        <v>45872</v>
      </c>
      <c r="C235" s="6" t="str">
        <f aca="false">Orders!C235</f>
        <v>C0118</v>
      </c>
      <c r="D235" s="6" t="str">
        <f aca="false">Orders!D235</f>
        <v>P1087</v>
      </c>
      <c r="E235" s="6" t="str">
        <f aca="false">INDEX(Products!$B$2:$B$101,MATCH(D235,Products!$A$2:$A$101,0))</f>
        <v>Book Stand</v>
      </c>
      <c r="F235" s="1" t="str">
        <f aca="false">INDEX(Products!$C$2:$C$101,MATCH(D235,Products!$A$2:$A$101,0))</f>
        <v>Books &amp; Stationery</v>
      </c>
      <c r="G235" s="6" t="n">
        <f aca="false">Orders!E235</f>
        <v>2</v>
      </c>
      <c r="H235" s="16" t="n">
        <f aca="false">INDEX(Products!$D$2:$D$101,MATCH(D235,Products!$A$2:$A$101,0))</f>
        <v>449</v>
      </c>
      <c r="I235" s="16" t="n">
        <f aca="false">INDEX(Products!$E$2:$E$101,MATCH(D235,Products!$A$2:$A$101,0))</f>
        <v>200</v>
      </c>
      <c r="J235" s="20" t="n">
        <f aca="false">Orders!F235</f>
        <v>0.15</v>
      </c>
      <c r="K235" s="6" t="n">
        <f aca="false">G235*H235</f>
        <v>898</v>
      </c>
      <c r="L235" s="6" t="n">
        <f aca="false">K235*J235</f>
        <v>134.7</v>
      </c>
      <c r="M235" s="6" t="n">
        <f aca="false">K235-L235</f>
        <v>763.3</v>
      </c>
      <c r="N235" s="6" t="n">
        <f aca="false">G235*I235</f>
        <v>400</v>
      </c>
      <c r="O235" s="6" t="n">
        <f aca="false">M235-N235</f>
        <v>363.3</v>
      </c>
      <c r="P235" s="21" t="n">
        <f aca="false">IFERROR(O235/M235,0)</f>
        <v>0.475959648892965</v>
      </c>
      <c r="Q235" s="6" t="str">
        <f aca="false">Orders!H235</f>
        <v>Shipped</v>
      </c>
      <c r="R235" s="1" t="str">
        <f aca="false">INDEX(Customers!$C$2:$C$301,MATCH(C235,Customers!$A$2:$A$301,0))</f>
        <v>Nagpur</v>
      </c>
      <c r="S235" s="1" t="str">
        <f aca="false">INDEX(Customers!$E$2:$E$301,MATCH(C235,Customers!$A$2:$A$301,0))</f>
        <v>Returning</v>
      </c>
      <c r="T235" s="6" t="str">
        <f aca="false">Orders!I235</f>
        <v>Website</v>
      </c>
      <c r="U235" s="1" t="str">
        <f aca="false">IF(Q235="Delivered","Completed",IF(Q235="Cancelled","Cancelled",IF(Q235="Returned","Returned","In Progress")))</f>
        <v>In Progress</v>
      </c>
      <c r="V235" s="1" t="str">
        <f aca="false">IF(M235&gt;=10000,"High Value",IF(M235&gt;=5000,"Medium Value","Low Value"))</f>
        <v>Low Value</v>
      </c>
      <c r="W235" s="1" t="str">
        <f aca="false">IF(O235&gt;0,"Profitable",IF(O235=0,"Break-even","Loss"))</f>
        <v>Profitable</v>
      </c>
      <c r="X235" s="1" t="str">
        <f aca="false">IF(Q235="Cancelled","Not Applicable",IF(Q235="Processing","Pending",IF(B235="","Unknown",IF(Orders!J235="","Unknown",IF(Orders!J235&lt;=3,"Fast",IF(Orders!J235&lt;=6,"Standard","Slow"))))))</f>
        <v>Slow</v>
      </c>
      <c r="Y235" s="1" t="n">
        <f aca="false">IF(OR(Q235="Cancelled",Q235="Returned"),0,O235)</f>
        <v>363.3</v>
      </c>
    </row>
    <row r="236" customFormat="false" ht="15" hidden="false" customHeight="false" outlineLevel="0" collapsed="false">
      <c r="A236" s="6" t="str">
        <f aca="false">Orders!A236</f>
        <v>O000235</v>
      </c>
      <c r="B236" s="19" t="n">
        <f aca="false">Orders!B236</f>
        <v>45811</v>
      </c>
      <c r="C236" s="6" t="str">
        <f aca="false">Orders!C236</f>
        <v>C0108</v>
      </c>
      <c r="D236" s="6" t="str">
        <f aca="false">Orders!D236</f>
        <v>P1085</v>
      </c>
      <c r="E236" s="6" t="str">
        <f aca="false">INDEX(Products!$B$2:$B$101,MATCH(D236,Products!$A$2:$A$101,0))</f>
        <v>Marker Set</v>
      </c>
      <c r="F236" s="1" t="str">
        <f aca="false">INDEX(Products!$C$2:$C$101,MATCH(D236,Products!$A$2:$A$101,0))</f>
        <v>Books &amp; Stationery</v>
      </c>
      <c r="G236" s="6" t="n">
        <f aca="false">Orders!E236</f>
        <v>1</v>
      </c>
      <c r="H236" s="16" t="n">
        <f aca="false">INDEX(Products!$D$2:$D$101,MATCH(D236,Products!$A$2:$A$101,0))</f>
        <v>299</v>
      </c>
      <c r="I236" s="16" t="n">
        <f aca="false">INDEX(Products!$E$2:$E$101,MATCH(D236,Products!$A$2:$A$101,0))</f>
        <v>110</v>
      </c>
      <c r="J236" s="20" t="n">
        <f aca="false">Orders!F236</f>
        <v>0</v>
      </c>
      <c r="K236" s="6" t="n">
        <f aca="false">G236*H236</f>
        <v>299</v>
      </c>
      <c r="L236" s="6" t="n">
        <f aca="false">K236*J236</f>
        <v>0</v>
      </c>
      <c r="M236" s="6" t="n">
        <f aca="false">K236-L236</f>
        <v>299</v>
      </c>
      <c r="N236" s="6" t="n">
        <f aca="false">G236*I236</f>
        <v>110</v>
      </c>
      <c r="O236" s="6" t="n">
        <f aca="false">M236-N236</f>
        <v>189</v>
      </c>
      <c r="P236" s="21" t="n">
        <f aca="false">IFERROR(O236/M236,0)</f>
        <v>0.632107023411371</v>
      </c>
      <c r="Q236" s="6" t="str">
        <f aca="false">Orders!H236</f>
        <v>Delivered</v>
      </c>
      <c r="R236" s="1" t="str">
        <f aca="false">INDEX(Customers!$C$2:$C$301,MATCH(C236,Customers!$A$2:$A$301,0))</f>
        <v>Jaipur</v>
      </c>
      <c r="S236" s="1" t="str">
        <f aca="false">INDEX(Customers!$E$2:$E$301,MATCH(C236,Customers!$A$2:$A$301,0))</f>
        <v>Returning</v>
      </c>
      <c r="T236" s="6" t="str">
        <f aca="false">Orders!I236</f>
        <v>Marketplace</v>
      </c>
      <c r="U236" s="1" t="str">
        <f aca="false">IF(Q236="Delivered","Completed",IF(Q236="Cancelled","Cancelled",IF(Q236="Returned","Returned","In Progress")))</f>
        <v>Completed</v>
      </c>
      <c r="V236" s="1" t="str">
        <f aca="false">IF(M236&gt;=10000,"High Value",IF(M236&gt;=5000,"Medium Value","Low Value"))</f>
        <v>Low Value</v>
      </c>
      <c r="W236" s="1" t="str">
        <f aca="false">IF(O236&gt;0,"Profitable",IF(O236=0,"Break-even","Loss"))</f>
        <v>Profitable</v>
      </c>
      <c r="X236" s="1" t="str">
        <f aca="false">IF(Q236="Cancelled","Not Applicable",IF(Q236="Processing","Pending",IF(B236="","Unknown",IF(Orders!J236="","Unknown",IF(Orders!J236&lt;=3,"Fast",IF(Orders!J236&lt;=6,"Standard","Slow"))))))</f>
        <v>Standard</v>
      </c>
      <c r="Y236" s="1" t="n">
        <f aca="false">IF(OR(Q236="Cancelled",Q236="Returned"),0,O236)</f>
        <v>189</v>
      </c>
    </row>
    <row r="237" customFormat="false" ht="15" hidden="false" customHeight="false" outlineLevel="0" collapsed="false">
      <c r="A237" s="6" t="str">
        <f aca="false">Orders!A237</f>
        <v>O000236</v>
      </c>
      <c r="B237" s="19" t="n">
        <f aca="false">Orders!B237</f>
        <v>45686</v>
      </c>
      <c r="C237" s="6" t="str">
        <f aca="false">Orders!C237</f>
        <v>C0080</v>
      </c>
      <c r="D237" s="6" t="str">
        <f aca="false">Orders!D237</f>
        <v>P1015</v>
      </c>
      <c r="E237" s="6" t="str">
        <f aca="false">INDEX(Products!$B$2:$B$101,MATCH(D237,Products!$A$2:$A$101,0))</f>
        <v>Portable SSD</v>
      </c>
      <c r="F237" s="1" t="str">
        <f aca="false">INDEX(Products!$C$2:$C$101,MATCH(D237,Products!$A$2:$A$101,0))</f>
        <v>Electronics</v>
      </c>
      <c r="G237" s="6" t="n">
        <f aca="false">Orders!E237</f>
        <v>1</v>
      </c>
      <c r="H237" s="16" t="n">
        <f aca="false">INDEX(Products!$D$2:$D$101,MATCH(D237,Products!$A$2:$A$101,0))</f>
        <v>3999</v>
      </c>
      <c r="I237" s="16" t="n">
        <f aca="false">INDEX(Products!$E$2:$E$101,MATCH(D237,Products!$A$2:$A$101,0))</f>
        <v>2800</v>
      </c>
      <c r="J237" s="20" t="n">
        <f aca="false">Orders!F237</f>
        <v>0.05</v>
      </c>
      <c r="K237" s="6" t="n">
        <f aca="false">G237*H237</f>
        <v>3999</v>
      </c>
      <c r="L237" s="6" t="n">
        <f aca="false">K237*J237</f>
        <v>199.95</v>
      </c>
      <c r="M237" s="6" t="n">
        <f aca="false">K237-L237</f>
        <v>3799.05</v>
      </c>
      <c r="N237" s="6" t="n">
        <f aca="false">G237*I237</f>
        <v>2800</v>
      </c>
      <c r="O237" s="6" t="n">
        <f aca="false">M237-N237</f>
        <v>999.05</v>
      </c>
      <c r="P237" s="21" t="n">
        <f aca="false">IFERROR(O237/M237,0)</f>
        <v>0.262973638146379</v>
      </c>
      <c r="Q237" s="6" t="str">
        <f aca="false">Orders!H237</f>
        <v>Delivered</v>
      </c>
      <c r="R237" s="1" t="str">
        <f aca="false">INDEX(Customers!$C$2:$C$301,MATCH(C237,Customers!$A$2:$A$301,0))</f>
        <v>Visakhapatnam</v>
      </c>
      <c r="S237" s="1" t="str">
        <f aca="false">INDEX(Customers!$E$2:$E$301,MATCH(C237,Customers!$A$2:$A$301,0))</f>
        <v>New</v>
      </c>
      <c r="T237" s="6" t="str">
        <f aca="false">Orders!I237</f>
        <v>Mobile App</v>
      </c>
      <c r="U237" s="1" t="str">
        <f aca="false">IF(Q237="Delivered","Completed",IF(Q237="Cancelled","Cancelled",IF(Q237="Returned","Returned","In Progress")))</f>
        <v>Completed</v>
      </c>
      <c r="V237" s="1" t="str">
        <f aca="false">IF(M237&gt;=10000,"High Value",IF(M237&gt;=5000,"Medium Value","Low Value"))</f>
        <v>Low Value</v>
      </c>
      <c r="W237" s="1" t="str">
        <f aca="false">IF(O237&gt;0,"Profitable",IF(O237=0,"Break-even","Loss"))</f>
        <v>Profitable</v>
      </c>
      <c r="X237" s="1" t="str">
        <f aca="false">IF(Q237="Cancelled","Not Applicable",IF(Q237="Processing","Pending",IF(B237="","Unknown",IF(Orders!J237="","Unknown",IF(Orders!J237&lt;=3,"Fast",IF(Orders!J237&lt;=6,"Standard","Slow"))))))</f>
        <v>Slow</v>
      </c>
      <c r="Y237" s="1" t="n">
        <f aca="false">IF(OR(Q237="Cancelled",Q237="Returned"),0,O237)</f>
        <v>999.05</v>
      </c>
    </row>
    <row r="238" customFormat="false" ht="15" hidden="false" customHeight="false" outlineLevel="0" collapsed="false">
      <c r="A238" s="6" t="str">
        <f aca="false">Orders!A238</f>
        <v>O000237</v>
      </c>
      <c r="B238" s="19" t="n">
        <f aca="false">Orders!B238</f>
        <v>45922</v>
      </c>
      <c r="C238" s="6" t="str">
        <f aca="false">Orders!C238</f>
        <v>C0266</v>
      </c>
      <c r="D238" s="6" t="str">
        <f aca="false">Orders!D238</f>
        <v>P1067</v>
      </c>
      <c r="E238" s="6" t="str">
        <f aca="false">INDEX(Products!$B$2:$B$101,MATCH(D238,Products!$A$2:$A$101,0))</f>
        <v>Camping Torch</v>
      </c>
      <c r="F238" s="1" t="str">
        <f aca="false">INDEX(Products!$C$2:$C$101,MATCH(D238,Products!$A$2:$A$101,0))</f>
        <v>Sports &amp; Outdoors</v>
      </c>
      <c r="G238" s="6" t="n">
        <f aca="false">Orders!E238</f>
        <v>5</v>
      </c>
      <c r="H238" s="16" t="n">
        <f aca="false">INDEX(Products!$D$2:$D$101,MATCH(D238,Products!$A$2:$A$101,0))</f>
        <v>599</v>
      </c>
      <c r="I238" s="16" t="n">
        <f aca="false">INDEX(Products!$E$2:$E$101,MATCH(D238,Products!$A$2:$A$101,0))</f>
        <v>250</v>
      </c>
      <c r="J238" s="20" t="n">
        <f aca="false">Orders!F238</f>
        <v>0.2</v>
      </c>
      <c r="K238" s="6" t="n">
        <f aca="false">G238*H238</f>
        <v>2995</v>
      </c>
      <c r="L238" s="6" t="n">
        <f aca="false">K238*J238</f>
        <v>599</v>
      </c>
      <c r="M238" s="6" t="n">
        <f aca="false">K238-L238</f>
        <v>2396</v>
      </c>
      <c r="N238" s="6" t="n">
        <f aca="false">G238*I238</f>
        <v>1250</v>
      </c>
      <c r="O238" s="6" t="n">
        <f aca="false">M238-N238</f>
        <v>1146</v>
      </c>
      <c r="P238" s="21" t="n">
        <f aca="false">IFERROR(O238/M238,0)</f>
        <v>0.478297161936561</v>
      </c>
      <c r="Q238" s="6" t="str">
        <f aca="false">Orders!H238</f>
        <v>Delivered</v>
      </c>
      <c r="R238" s="1" t="str">
        <f aca="false">INDEX(Customers!$C$2:$C$301,MATCH(C238,Customers!$A$2:$A$301,0))</f>
        <v>Kolkata</v>
      </c>
      <c r="S238" s="1" t="str">
        <f aca="false">INDEX(Customers!$E$2:$E$301,MATCH(C238,Customers!$A$2:$A$301,0))</f>
        <v>Returning</v>
      </c>
      <c r="T238" s="6" t="str">
        <f aca="false">Orders!I238</f>
        <v>Mobile App</v>
      </c>
      <c r="U238" s="1" t="str">
        <f aca="false">IF(Q238="Delivered","Completed",IF(Q238="Cancelled","Cancelled",IF(Q238="Returned","Returned","In Progress")))</f>
        <v>Completed</v>
      </c>
      <c r="V238" s="1" t="str">
        <f aca="false">IF(M238&gt;=10000,"High Value",IF(M238&gt;=5000,"Medium Value","Low Value"))</f>
        <v>Low Value</v>
      </c>
      <c r="W238" s="1" t="str">
        <f aca="false">IF(O238&gt;0,"Profitable",IF(O238=0,"Break-even","Loss"))</f>
        <v>Profitable</v>
      </c>
      <c r="X238" s="1" t="str">
        <f aca="false">IF(Q238="Cancelled","Not Applicable",IF(Q238="Processing","Pending",IF(B238="","Unknown",IF(Orders!J238="","Unknown",IF(Orders!J238&lt;=3,"Fast",IF(Orders!J238&lt;=6,"Standard","Slow"))))))</f>
        <v>Standard</v>
      </c>
      <c r="Y238" s="1" t="n">
        <f aca="false">IF(OR(Q238="Cancelled",Q238="Returned"),0,O238)</f>
        <v>1146</v>
      </c>
    </row>
    <row r="239" customFormat="false" ht="23.85" hidden="false" customHeight="false" outlineLevel="0" collapsed="false">
      <c r="A239" s="6" t="str">
        <f aca="false">Orders!A239</f>
        <v>O000238</v>
      </c>
      <c r="B239" s="19" t="n">
        <f aca="false">Orders!B239</f>
        <v>45697</v>
      </c>
      <c r="C239" s="6" t="str">
        <f aca="false">Orders!C239</f>
        <v>C0181</v>
      </c>
      <c r="D239" s="6" t="str">
        <f aca="false">Orders!D239</f>
        <v>P1070</v>
      </c>
      <c r="E239" s="6" t="str">
        <f aca="false">INDEX(Products!$B$2:$B$101,MATCH(D239,Products!$A$2:$A$101,0))</f>
        <v>Knee Support Pair</v>
      </c>
      <c r="F239" s="1" t="str">
        <f aca="false">INDEX(Products!$C$2:$C$101,MATCH(D239,Products!$A$2:$A$101,0))</f>
        <v>Sports &amp; Outdoors</v>
      </c>
      <c r="G239" s="6" t="n">
        <f aca="false">Orders!E239</f>
        <v>3</v>
      </c>
      <c r="H239" s="16" t="n">
        <f aca="false">INDEX(Products!$D$2:$D$101,MATCH(D239,Products!$A$2:$A$101,0))</f>
        <v>449</v>
      </c>
      <c r="I239" s="16" t="n">
        <f aca="false">INDEX(Products!$E$2:$E$101,MATCH(D239,Products!$A$2:$A$101,0))</f>
        <v>180</v>
      </c>
      <c r="J239" s="20" t="n">
        <f aca="false">Orders!F239</f>
        <v>0.15</v>
      </c>
      <c r="K239" s="6" t="n">
        <f aca="false">G239*H239</f>
        <v>1347</v>
      </c>
      <c r="L239" s="6" t="n">
        <f aca="false">K239*J239</f>
        <v>202.05</v>
      </c>
      <c r="M239" s="6" t="n">
        <f aca="false">K239-L239</f>
        <v>1144.95</v>
      </c>
      <c r="N239" s="6" t="n">
        <f aca="false">G239*I239</f>
        <v>540</v>
      </c>
      <c r="O239" s="6" t="n">
        <f aca="false">M239-N239</f>
        <v>604.95</v>
      </c>
      <c r="P239" s="21" t="n">
        <f aca="false">IFERROR(O239/M239,0)</f>
        <v>0.528363684003668</v>
      </c>
      <c r="Q239" s="6" t="str">
        <f aca="false">Orders!H239</f>
        <v>Processing</v>
      </c>
      <c r="R239" s="1" t="str">
        <f aca="false">INDEX(Customers!$C$2:$C$301,MATCH(C239,Customers!$A$2:$A$301,0))</f>
        <v>Delhi</v>
      </c>
      <c r="S239" s="1" t="str">
        <f aca="false">INDEX(Customers!$E$2:$E$301,MATCH(C239,Customers!$A$2:$A$301,0))</f>
        <v>New</v>
      </c>
      <c r="T239" s="6" t="str">
        <f aca="false">Orders!I239</f>
        <v>Mobile App</v>
      </c>
      <c r="U239" s="1" t="str">
        <f aca="false">IF(Q239="Delivered","Completed",IF(Q239="Cancelled","Cancelled",IF(Q239="Returned","Returned","In Progress")))</f>
        <v>In Progress</v>
      </c>
      <c r="V239" s="1" t="str">
        <f aca="false">IF(M239&gt;=10000,"High Value",IF(M239&gt;=5000,"Medium Value","Low Value"))</f>
        <v>Low Value</v>
      </c>
      <c r="W239" s="1" t="str">
        <f aca="false">IF(O239&gt;0,"Profitable",IF(O239=0,"Break-even","Loss"))</f>
        <v>Profitable</v>
      </c>
      <c r="X239" s="1" t="str">
        <f aca="false">IF(Q239="Cancelled","Not Applicable",IF(Q239="Processing","Pending",IF(B239="","Unknown",IF(Orders!J239="","Unknown",IF(Orders!J239&lt;=3,"Fast",IF(Orders!J239&lt;=6,"Standard","Slow"))))))</f>
        <v>Pending</v>
      </c>
      <c r="Y239" s="1" t="n">
        <f aca="false">IF(OR(Q239="Cancelled",Q239="Returned"),0,O239)</f>
        <v>604.95</v>
      </c>
    </row>
    <row r="240" customFormat="false" ht="15" hidden="false" customHeight="false" outlineLevel="0" collapsed="false">
      <c r="A240" s="6" t="str">
        <f aca="false">Orders!A240</f>
        <v>O000239</v>
      </c>
      <c r="B240" s="19" t="n">
        <f aca="false">Orders!B240</f>
        <v>45811</v>
      </c>
      <c r="C240" s="6" t="str">
        <f aca="false">Orders!C240</f>
        <v>C0117</v>
      </c>
      <c r="D240" s="6" t="str">
        <f aca="false">Orders!D240</f>
        <v>P1022</v>
      </c>
      <c r="E240" s="6" t="str">
        <f aca="false">INDEX(Products!$B$2:$B$101,MATCH(D240,Products!$A$2:$A$101,0))</f>
        <v>Wallet</v>
      </c>
      <c r="F240" s="1" t="str">
        <f aca="false">INDEX(Products!$C$2:$C$101,MATCH(D240,Products!$A$2:$A$101,0))</f>
        <v>Fashion</v>
      </c>
      <c r="G240" s="6" t="n">
        <f aca="false">Orders!E240</f>
        <v>1</v>
      </c>
      <c r="H240" s="16" t="n">
        <f aca="false">INDEX(Products!$D$2:$D$101,MATCH(D240,Products!$A$2:$A$101,0))</f>
        <v>499</v>
      </c>
      <c r="I240" s="16" t="n">
        <f aca="false">INDEX(Products!$E$2:$E$101,MATCH(D240,Products!$A$2:$A$101,0))</f>
        <v>200</v>
      </c>
      <c r="J240" s="20" t="n">
        <f aca="false">Orders!F240</f>
        <v>0.1</v>
      </c>
      <c r="K240" s="6" t="n">
        <f aca="false">G240*H240</f>
        <v>499</v>
      </c>
      <c r="L240" s="6" t="n">
        <f aca="false">K240*J240</f>
        <v>49.9</v>
      </c>
      <c r="M240" s="6" t="n">
        <f aca="false">K240-L240</f>
        <v>449.1</v>
      </c>
      <c r="N240" s="6" t="n">
        <f aca="false">G240*I240</f>
        <v>200</v>
      </c>
      <c r="O240" s="6" t="n">
        <f aca="false">M240-N240</f>
        <v>249.1</v>
      </c>
      <c r="P240" s="21" t="n">
        <f aca="false">IFERROR(O240/M240,0)</f>
        <v>0.554664885326208</v>
      </c>
      <c r="Q240" s="6" t="str">
        <f aca="false">Orders!H240</f>
        <v>Delivered</v>
      </c>
      <c r="R240" s="1" t="str">
        <f aca="false">INDEX(Customers!$C$2:$C$301,MATCH(C240,Customers!$A$2:$A$301,0))</f>
        <v>Surat</v>
      </c>
      <c r="S240" s="1" t="str">
        <f aca="false">INDEX(Customers!$E$2:$E$301,MATCH(C240,Customers!$A$2:$A$301,0))</f>
        <v>Returning</v>
      </c>
      <c r="T240" s="6" t="str">
        <f aca="false">Orders!I240</f>
        <v>Marketplace</v>
      </c>
      <c r="U240" s="1" t="str">
        <f aca="false">IF(Q240="Delivered","Completed",IF(Q240="Cancelled","Cancelled",IF(Q240="Returned","Returned","In Progress")))</f>
        <v>Completed</v>
      </c>
      <c r="V240" s="1" t="str">
        <f aca="false">IF(M240&gt;=10000,"High Value",IF(M240&gt;=5000,"Medium Value","Low Value"))</f>
        <v>Low Value</v>
      </c>
      <c r="W240" s="1" t="str">
        <f aca="false">IF(O240&gt;0,"Profitable",IF(O240=0,"Break-even","Loss"))</f>
        <v>Profitable</v>
      </c>
      <c r="X240" s="1" t="str">
        <f aca="false">IF(Q240="Cancelled","Not Applicable",IF(Q240="Processing","Pending",IF(B240="","Unknown",IF(Orders!J240="","Unknown",IF(Orders!J240&lt;=3,"Fast",IF(Orders!J240&lt;=6,"Standard","Slow"))))))</f>
        <v>Standard</v>
      </c>
      <c r="Y240" s="1" t="n">
        <f aca="false">IF(OR(Q240="Cancelled",Q240="Returned"),0,O240)</f>
        <v>249.1</v>
      </c>
    </row>
    <row r="241" customFormat="false" ht="15" hidden="false" customHeight="false" outlineLevel="0" collapsed="false">
      <c r="A241" s="6" t="str">
        <f aca="false">Orders!A241</f>
        <v>O000240</v>
      </c>
      <c r="B241" s="19" t="n">
        <f aca="false">Orders!B241</f>
        <v>45984</v>
      </c>
      <c r="C241" s="6" t="str">
        <f aca="false">Orders!C241</f>
        <v>C0003</v>
      </c>
      <c r="D241" s="6" t="str">
        <f aca="false">Orders!D241</f>
        <v>P1030</v>
      </c>
      <c r="E241" s="6" t="str">
        <f aca="false">INDEX(Products!$B$2:$B$101,MATCH(D241,Products!$A$2:$A$101,0))</f>
        <v>Formal Shoes</v>
      </c>
      <c r="F241" s="1" t="str">
        <f aca="false">INDEX(Products!$C$2:$C$101,MATCH(D241,Products!$A$2:$A$101,0))</f>
        <v>Fashion</v>
      </c>
      <c r="G241" s="6" t="n">
        <f aca="false">Orders!E241</f>
        <v>3</v>
      </c>
      <c r="H241" s="16" t="n">
        <f aca="false">INDEX(Products!$D$2:$D$101,MATCH(D241,Products!$A$2:$A$101,0))</f>
        <v>2299</v>
      </c>
      <c r="I241" s="16" t="n">
        <f aca="false">INDEX(Products!$E$2:$E$101,MATCH(D241,Products!$A$2:$A$101,0))</f>
        <v>1300</v>
      </c>
      <c r="J241" s="20" t="n">
        <f aca="false">Orders!F241</f>
        <v>0.15</v>
      </c>
      <c r="K241" s="6" t="n">
        <f aca="false">G241*H241</f>
        <v>6897</v>
      </c>
      <c r="L241" s="6" t="n">
        <f aca="false">K241*J241</f>
        <v>1034.55</v>
      </c>
      <c r="M241" s="6" t="n">
        <f aca="false">K241-L241</f>
        <v>5862.45</v>
      </c>
      <c r="N241" s="6" t="n">
        <f aca="false">G241*I241</f>
        <v>3900</v>
      </c>
      <c r="O241" s="6" t="n">
        <f aca="false">M241-N241</f>
        <v>1962.45</v>
      </c>
      <c r="P241" s="21" t="n">
        <f aca="false">IFERROR(O241/M241,0)</f>
        <v>0.334749123659903</v>
      </c>
      <c r="Q241" s="6" t="str">
        <f aca="false">Orders!H241</f>
        <v>Returned</v>
      </c>
      <c r="R241" s="1" t="str">
        <f aca="false">INDEX(Customers!$C$2:$C$301,MATCH(C241,Customers!$A$2:$A$301,0))</f>
        <v>Bengaluru</v>
      </c>
      <c r="S241" s="1" t="str">
        <f aca="false">INDEX(Customers!$E$2:$E$301,MATCH(C241,Customers!$A$2:$A$301,0))</f>
        <v>Returning</v>
      </c>
      <c r="T241" s="6" t="str">
        <f aca="false">Orders!I241</f>
        <v>Marketplace</v>
      </c>
      <c r="U241" s="1" t="str">
        <f aca="false">IF(Q241="Delivered","Completed",IF(Q241="Cancelled","Cancelled",IF(Q241="Returned","Returned","In Progress")))</f>
        <v>Returned</v>
      </c>
      <c r="V241" s="1" t="str">
        <f aca="false">IF(M241&gt;=10000,"High Value",IF(M241&gt;=5000,"Medium Value","Low Value"))</f>
        <v>Medium Value</v>
      </c>
      <c r="W241" s="1" t="str">
        <f aca="false">IF(O241&gt;0,"Profitable",IF(O241=0,"Break-even","Loss"))</f>
        <v>Profitable</v>
      </c>
      <c r="X241" s="1" t="str">
        <f aca="false">IF(Q241="Cancelled","Not Applicable",IF(Q241="Processing","Pending",IF(B241="","Unknown",IF(Orders!J241="","Unknown",IF(Orders!J241&lt;=3,"Fast",IF(Orders!J241&lt;=6,"Standard","Slow"))))))</f>
        <v>Slow</v>
      </c>
      <c r="Y241" s="1" t="n">
        <f aca="false">IF(OR(Q241="Cancelled",Q241="Returned"),0,O241)</f>
        <v>0</v>
      </c>
    </row>
    <row r="242" customFormat="false" ht="23.85" hidden="false" customHeight="false" outlineLevel="0" collapsed="false">
      <c r="A242" s="6" t="str">
        <f aca="false">Orders!A242</f>
        <v>O000241</v>
      </c>
      <c r="B242" s="19" t="n">
        <f aca="false">Orders!B242</f>
        <v>45926</v>
      </c>
      <c r="C242" s="6" t="str">
        <f aca="false">Orders!C242</f>
        <v>C0018</v>
      </c>
      <c r="D242" s="6" t="str">
        <f aca="false">Orders!D242</f>
        <v>P1046</v>
      </c>
      <c r="E242" s="6" t="str">
        <f aca="false">INDEX(Products!$B$2:$B$101,MATCH(D242,Products!$A$2:$A$101,0))</f>
        <v>Face Moisturizer</v>
      </c>
      <c r="F242" s="1" t="str">
        <f aca="false">INDEX(Products!$C$2:$C$101,MATCH(D242,Products!$A$2:$A$101,0))</f>
        <v>Beauty</v>
      </c>
      <c r="G242" s="6" t="n">
        <f aca="false">Orders!E242</f>
        <v>2</v>
      </c>
      <c r="H242" s="16" t="n">
        <f aca="false">INDEX(Products!$D$2:$D$101,MATCH(D242,Products!$A$2:$A$101,0))</f>
        <v>499</v>
      </c>
      <c r="I242" s="16" t="n">
        <f aca="false">INDEX(Products!$E$2:$E$101,MATCH(D242,Products!$A$2:$A$101,0))</f>
        <v>220</v>
      </c>
      <c r="J242" s="20" t="n">
        <f aca="false">Orders!F242</f>
        <v>0.1</v>
      </c>
      <c r="K242" s="6" t="n">
        <f aca="false">G242*H242</f>
        <v>998</v>
      </c>
      <c r="L242" s="6" t="n">
        <f aca="false">K242*J242</f>
        <v>99.8</v>
      </c>
      <c r="M242" s="6" t="n">
        <f aca="false">K242-L242</f>
        <v>898.2</v>
      </c>
      <c r="N242" s="6" t="n">
        <f aca="false">G242*I242</f>
        <v>440</v>
      </c>
      <c r="O242" s="6" t="n">
        <f aca="false">M242-N242</f>
        <v>458.2</v>
      </c>
      <c r="P242" s="21" t="n">
        <f aca="false">IFERROR(O242/M242,0)</f>
        <v>0.510131373858829</v>
      </c>
      <c r="Q242" s="6" t="str">
        <f aca="false">Orders!H242</f>
        <v>Delivered</v>
      </c>
      <c r="R242" s="1" t="str">
        <f aca="false">INDEX(Customers!$C$2:$C$301,MATCH(C242,Customers!$A$2:$A$301,0))</f>
        <v>Nagpur</v>
      </c>
      <c r="S242" s="1" t="str">
        <f aca="false">INDEX(Customers!$E$2:$E$301,MATCH(C242,Customers!$A$2:$A$301,0))</f>
        <v>New</v>
      </c>
      <c r="T242" s="6" t="str">
        <f aca="false">Orders!I242</f>
        <v>Mobile App</v>
      </c>
      <c r="U242" s="1" t="str">
        <f aca="false">IF(Q242="Delivered","Completed",IF(Q242="Cancelled","Cancelled",IF(Q242="Returned","Returned","In Progress")))</f>
        <v>Completed</v>
      </c>
      <c r="V242" s="1" t="str">
        <f aca="false">IF(M242&gt;=10000,"High Value",IF(M242&gt;=5000,"Medium Value","Low Value"))</f>
        <v>Low Value</v>
      </c>
      <c r="W242" s="1" t="str">
        <f aca="false">IF(O242&gt;0,"Profitable",IF(O242=0,"Break-even","Loss"))</f>
        <v>Profitable</v>
      </c>
      <c r="X242" s="1" t="str">
        <f aca="false">IF(Q242="Cancelled","Not Applicable",IF(Q242="Processing","Pending",IF(B242="","Unknown",IF(Orders!J242="","Unknown",IF(Orders!J242&lt;=3,"Fast",IF(Orders!J242&lt;=6,"Standard","Slow"))))))</f>
        <v>Slow</v>
      </c>
      <c r="Y242" s="1" t="n">
        <f aca="false">IF(OR(Q242="Cancelled",Q242="Returned"),0,O242)</f>
        <v>458.2</v>
      </c>
    </row>
    <row r="243" customFormat="false" ht="15" hidden="false" customHeight="false" outlineLevel="0" collapsed="false">
      <c r="A243" s="6" t="str">
        <f aca="false">Orders!A243</f>
        <v>O000242</v>
      </c>
      <c r="B243" s="19" t="n">
        <f aca="false">Orders!B243</f>
        <v>45999</v>
      </c>
      <c r="C243" s="6" t="str">
        <f aca="false">Orders!C243</f>
        <v>C0143</v>
      </c>
      <c r="D243" s="6" t="str">
        <f aca="false">Orders!D243</f>
        <v>P1094</v>
      </c>
      <c r="E243" s="6" t="str">
        <f aca="false">INDEX(Products!$B$2:$B$101,MATCH(D243,Products!$A$2:$A$101,0))</f>
        <v>Room Heater</v>
      </c>
      <c r="F243" s="1" t="str">
        <f aca="false">INDEX(Products!$C$2:$C$101,MATCH(D243,Products!$A$2:$A$101,0))</f>
        <v>Appliances</v>
      </c>
      <c r="G243" s="6" t="n">
        <f aca="false">Orders!E243</f>
        <v>1</v>
      </c>
      <c r="H243" s="16" t="n">
        <f aca="false">INDEX(Products!$D$2:$D$101,MATCH(D243,Products!$A$2:$A$101,0))</f>
        <v>1999</v>
      </c>
      <c r="I243" s="16" t="n">
        <f aca="false">INDEX(Products!$E$2:$E$101,MATCH(D243,Products!$A$2:$A$101,0))</f>
        <v>1250</v>
      </c>
      <c r="J243" s="20" t="n">
        <f aca="false">Orders!F243</f>
        <v>0.1</v>
      </c>
      <c r="K243" s="6" t="n">
        <f aca="false">G243*H243</f>
        <v>1999</v>
      </c>
      <c r="L243" s="6" t="n">
        <f aca="false">K243*J243</f>
        <v>199.9</v>
      </c>
      <c r="M243" s="6" t="n">
        <f aca="false">K243-L243</f>
        <v>1799.1</v>
      </c>
      <c r="N243" s="6" t="n">
        <f aca="false">G243*I243</f>
        <v>1250</v>
      </c>
      <c r="O243" s="6" t="n">
        <f aca="false">M243-N243</f>
        <v>549.1</v>
      </c>
      <c r="P243" s="21" t="n">
        <f aca="false">IFERROR(O243/M243,0)</f>
        <v>0.305208159635373</v>
      </c>
      <c r="Q243" s="6" t="str">
        <f aca="false">Orders!H243</f>
        <v>Delivered</v>
      </c>
      <c r="R243" s="1" t="str">
        <f aca="false">INDEX(Customers!$C$2:$C$301,MATCH(C243,Customers!$A$2:$A$301,0))</f>
        <v>Bengaluru</v>
      </c>
      <c r="S243" s="1" t="str">
        <f aca="false">INDEX(Customers!$E$2:$E$301,MATCH(C243,Customers!$A$2:$A$301,0))</f>
        <v>Returning</v>
      </c>
      <c r="T243" s="6" t="str">
        <f aca="false">Orders!I243</f>
        <v>Marketplace</v>
      </c>
      <c r="U243" s="1" t="str">
        <f aca="false">IF(Q243="Delivered","Completed",IF(Q243="Cancelled","Cancelled",IF(Q243="Returned","Returned","In Progress")))</f>
        <v>Completed</v>
      </c>
      <c r="V243" s="1" t="str">
        <f aca="false">IF(M243&gt;=10000,"High Value",IF(M243&gt;=5000,"Medium Value","Low Value"))</f>
        <v>Low Value</v>
      </c>
      <c r="W243" s="1" t="str">
        <f aca="false">IF(O243&gt;0,"Profitable",IF(O243=0,"Break-even","Loss"))</f>
        <v>Profitable</v>
      </c>
      <c r="X243" s="1" t="str">
        <f aca="false">IF(Q243="Cancelled","Not Applicable",IF(Q243="Processing","Pending",IF(B243="","Unknown",IF(Orders!J243="","Unknown",IF(Orders!J243&lt;=3,"Fast",IF(Orders!J243&lt;=6,"Standard","Slow"))))))</f>
        <v>Standard</v>
      </c>
      <c r="Y243" s="1" t="n">
        <f aca="false">IF(OR(Q243="Cancelled",Q243="Returned"),0,O243)</f>
        <v>549.1</v>
      </c>
    </row>
    <row r="244" customFormat="false" ht="23.85" hidden="false" customHeight="false" outlineLevel="0" collapsed="false">
      <c r="A244" s="6" t="str">
        <f aca="false">Orders!A244</f>
        <v>O000243</v>
      </c>
      <c r="B244" s="19" t="n">
        <f aca="false">Orders!B244</f>
        <v>45861</v>
      </c>
      <c r="C244" s="6" t="str">
        <f aca="false">Orders!C244</f>
        <v>C0184</v>
      </c>
      <c r="D244" s="6" t="str">
        <f aca="false">Orders!D244</f>
        <v>P1053</v>
      </c>
      <c r="E244" s="6" t="str">
        <f aca="false">INDEX(Products!$B$2:$B$101,MATCH(D244,Products!$A$2:$A$101,0))</f>
        <v>Makeup Brush Set</v>
      </c>
      <c r="F244" s="1" t="str">
        <f aca="false">INDEX(Products!$C$2:$C$101,MATCH(D244,Products!$A$2:$A$101,0))</f>
        <v>Beauty</v>
      </c>
      <c r="G244" s="6" t="n">
        <f aca="false">Orders!E244</f>
        <v>2</v>
      </c>
      <c r="H244" s="16" t="n">
        <f aca="false">INDEX(Products!$D$2:$D$101,MATCH(D244,Products!$A$2:$A$101,0))</f>
        <v>599</v>
      </c>
      <c r="I244" s="16" t="n">
        <f aca="false">INDEX(Products!$E$2:$E$101,MATCH(D244,Products!$A$2:$A$101,0))</f>
        <v>250</v>
      </c>
      <c r="J244" s="20" t="n">
        <f aca="false">Orders!F244</f>
        <v>0.1</v>
      </c>
      <c r="K244" s="6" t="n">
        <f aca="false">G244*H244</f>
        <v>1198</v>
      </c>
      <c r="L244" s="6" t="n">
        <f aca="false">K244*J244</f>
        <v>119.8</v>
      </c>
      <c r="M244" s="6" t="n">
        <f aca="false">K244-L244</f>
        <v>1078.2</v>
      </c>
      <c r="N244" s="6" t="n">
        <f aca="false">G244*I244</f>
        <v>500</v>
      </c>
      <c r="O244" s="6" t="n">
        <f aca="false">M244-N244</f>
        <v>578.2</v>
      </c>
      <c r="P244" s="21" t="n">
        <f aca="false">IFERROR(O244/M244,0)</f>
        <v>0.53626414394361</v>
      </c>
      <c r="Q244" s="6" t="str">
        <f aca="false">Orders!H244</f>
        <v>Processing</v>
      </c>
      <c r="R244" s="1" t="str">
        <f aca="false">INDEX(Customers!$C$2:$C$301,MATCH(C244,Customers!$A$2:$A$301,0))</f>
        <v>Hyderabad</v>
      </c>
      <c r="S244" s="1" t="str">
        <f aca="false">INDEX(Customers!$E$2:$E$301,MATCH(C244,Customers!$A$2:$A$301,0))</f>
        <v>Returning</v>
      </c>
      <c r="T244" s="6" t="str">
        <f aca="false">Orders!I244</f>
        <v>Marketplace</v>
      </c>
      <c r="U244" s="1" t="str">
        <f aca="false">IF(Q244="Delivered","Completed",IF(Q244="Cancelled","Cancelled",IF(Q244="Returned","Returned","In Progress")))</f>
        <v>In Progress</v>
      </c>
      <c r="V244" s="1" t="str">
        <f aca="false">IF(M244&gt;=10000,"High Value",IF(M244&gt;=5000,"Medium Value","Low Value"))</f>
        <v>Low Value</v>
      </c>
      <c r="W244" s="1" t="str">
        <f aca="false">IF(O244&gt;0,"Profitable",IF(O244=0,"Break-even","Loss"))</f>
        <v>Profitable</v>
      </c>
      <c r="X244" s="1" t="str">
        <f aca="false">IF(Q244="Cancelled","Not Applicable",IF(Q244="Processing","Pending",IF(B244="","Unknown",IF(Orders!J244="","Unknown",IF(Orders!J244&lt;=3,"Fast",IF(Orders!J244&lt;=6,"Standard","Slow"))))))</f>
        <v>Pending</v>
      </c>
      <c r="Y244" s="1" t="n">
        <f aca="false">IF(OR(Q244="Cancelled",Q244="Returned"),0,O244)</f>
        <v>578.2</v>
      </c>
    </row>
    <row r="245" customFormat="false" ht="15" hidden="false" customHeight="false" outlineLevel="0" collapsed="false">
      <c r="A245" s="6" t="str">
        <f aca="false">Orders!A245</f>
        <v>O000244</v>
      </c>
      <c r="B245" s="19" t="n">
        <f aca="false">Orders!B245</f>
        <v>45910</v>
      </c>
      <c r="C245" s="6" t="str">
        <f aca="false">Orders!C245</f>
        <v>C0136</v>
      </c>
      <c r="D245" s="6" t="str">
        <f aca="false">Orders!D245</f>
        <v>P1043</v>
      </c>
      <c r="E245" s="6" t="str">
        <f aca="false">INDEX(Products!$B$2:$B$101,MATCH(D245,Products!$A$2:$A$101,0))</f>
        <v>Kitchen Rack</v>
      </c>
      <c r="F245" s="1" t="str">
        <f aca="false">INDEX(Products!$C$2:$C$101,MATCH(D245,Products!$A$2:$A$101,0))</f>
        <v>Home &amp; Kitchen</v>
      </c>
      <c r="G245" s="6" t="n">
        <f aca="false">Orders!E245</f>
        <v>2</v>
      </c>
      <c r="H245" s="16" t="n">
        <f aca="false">INDEX(Products!$D$2:$D$101,MATCH(D245,Products!$A$2:$A$101,0))</f>
        <v>1299</v>
      </c>
      <c r="I245" s="16" t="n">
        <f aca="false">INDEX(Products!$E$2:$E$101,MATCH(D245,Products!$A$2:$A$101,0))</f>
        <v>700</v>
      </c>
      <c r="J245" s="20" t="n">
        <f aca="false">Orders!F245</f>
        <v>0.1</v>
      </c>
      <c r="K245" s="6" t="n">
        <f aca="false">G245*H245</f>
        <v>2598</v>
      </c>
      <c r="L245" s="6" t="n">
        <f aca="false">K245*J245</f>
        <v>259.8</v>
      </c>
      <c r="M245" s="6" t="n">
        <f aca="false">K245-L245</f>
        <v>2338.2</v>
      </c>
      <c r="N245" s="6" t="n">
        <f aca="false">G245*I245</f>
        <v>1400</v>
      </c>
      <c r="O245" s="6" t="n">
        <f aca="false">M245-N245</f>
        <v>938.2</v>
      </c>
      <c r="P245" s="21" t="n">
        <f aca="false">IFERROR(O245/M245,0)</f>
        <v>0.401248823881618</v>
      </c>
      <c r="Q245" s="6" t="str">
        <f aca="false">Orders!H245</f>
        <v>Delivered</v>
      </c>
      <c r="R245" s="1" t="str">
        <f aca="false">INDEX(Customers!$C$2:$C$301,MATCH(C245,Customers!$A$2:$A$301,0))</f>
        <v>Chandigarh</v>
      </c>
      <c r="S245" s="1" t="str">
        <f aca="false">INDEX(Customers!$E$2:$E$301,MATCH(C245,Customers!$A$2:$A$301,0))</f>
        <v>New</v>
      </c>
      <c r="T245" s="6" t="str">
        <f aca="false">Orders!I245</f>
        <v>Mobile App</v>
      </c>
      <c r="U245" s="1" t="str">
        <f aca="false">IF(Q245="Delivered","Completed",IF(Q245="Cancelled","Cancelled",IF(Q245="Returned","Returned","In Progress")))</f>
        <v>Completed</v>
      </c>
      <c r="V245" s="1" t="str">
        <f aca="false">IF(M245&gt;=10000,"High Value",IF(M245&gt;=5000,"Medium Value","Low Value"))</f>
        <v>Low Value</v>
      </c>
      <c r="W245" s="1" t="str">
        <f aca="false">IF(O245&gt;0,"Profitable",IF(O245=0,"Break-even","Loss"))</f>
        <v>Profitable</v>
      </c>
      <c r="X245" s="1" t="str">
        <f aca="false">IF(Q245="Cancelled","Not Applicable",IF(Q245="Processing","Pending",IF(B245="","Unknown",IF(Orders!J245="","Unknown",IF(Orders!J245&lt;=3,"Fast",IF(Orders!J245&lt;=6,"Standard","Slow"))))))</f>
        <v>Fast</v>
      </c>
      <c r="Y245" s="1" t="n">
        <f aca="false">IF(OR(Q245="Cancelled",Q245="Returned"),0,O245)</f>
        <v>938.2</v>
      </c>
    </row>
    <row r="246" customFormat="false" ht="15" hidden="false" customHeight="false" outlineLevel="0" collapsed="false">
      <c r="A246" s="6" t="str">
        <f aca="false">Orders!A246</f>
        <v>O000245</v>
      </c>
      <c r="B246" s="19" t="n">
        <f aca="false">Orders!B246</f>
        <v>45691</v>
      </c>
      <c r="C246" s="6" t="str">
        <f aca="false">Orders!C246</f>
        <v>C0231</v>
      </c>
      <c r="D246" s="6" t="str">
        <f aca="false">Orders!D246</f>
        <v>P1020</v>
      </c>
      <c r="E246" s="6" t="str">
        <f aca="false">INDEX(Products!$B$2:$B$101,MATCH(D246,Products!$A$2:$A$101,0))</f>
        <v>Backpack</v>
      </c>
      <c r="F246" s="1" t="str">
        <f aca="false">INDEX(Products!$C$2:$C$101,MATCH(D246,Products!$A$2:$A$101,0))</f>
        <v>Fashion</v>
      </c>
      <c r="G246" s="6" t="n">
        <f aca="false">Orders!E246</f>
        <v>3</v>
      </c>
      <c r="H246" s="16" t="n">
        <f aca="false">INDEX(Products!$D$2:$D$101,MATCH(D246,Products!$A$2:$A$101,0))</f>
        <v>1199</v>
      </c>
      <c r="I246" s="16" t="n">
        <f aca="false">INDEX(Products!$E$2:$E$101,MATCH(D246,Products!$A$2:$A$101,0))</f>
        <v>600</v>
      </c>
      <c r="J246" s="20" t="n">
        <f aca="false">Orders!F246</f>
        <v>0.1</v>
      </c>
      <c r="K246" s="6" t="n">
        <f aca="false">G246*H246</f>
        <v>3597</v>
      </c>
      <c r="L246" s="6" t="n">
        <f aca="false">K246*J246</f>
        <v>359.7</v>
      </c>
      <c r="M246" s="6" t="n">
        <f aca="false">K246-L246</f>
        <v>3237.3</v>
      </c>
      <c r="N246" s="6" t="n">
        <f aca="false">G246*I246</f>
        <v>1800</v>
      </c>
      <c r="O246" s="6" t="n">
        <f aca="false">M246-N246</f>
        <v>1437.3</v>
      </c>
      <c r="P246" s="21" t="n">
        <f aca="false">IFERROR(O246/M246,0)</f>
        <v>0.443981095357242</v>
      </c>
      <c r="Q246" s="6" t="str">
        <f aca="false">Orders!H246</f>
        <v>Delivered</v>
      </c>
      <c r="R246" s="1" t="str">
        <f aca="false">INDEX(Customers!$C$2:$C$301,MATCH(C246,Customers!$A$2:$A$301,0))</f>
        <v>Gurugram</v>
      </c>
      <c r="S246" s="1" t="str">
        <f aca="false">INDEX(Customers!$E$2:$E$301,MATCH(C246,Customers!$A$2:$A$301,0))</f>
        <v>New</v>
      </c>
      <c r="T246" s="6" t="str">
        <f aca="false">Orders!I246</f>
        <v>Mobile App</v>
      </c>
      <c r="U246" s="1" t="str">
        <f aca="false">IF(Q246="Delivered","Completed",IF(Q246="Cancelled","Cancelled",IF(Q246="Returned","Returned","In Progress")))</f>
        <v>Completed</v>
      </c>
      <c r="V246" s="1" t="str">
        <f aca="false">IF(M246&gt;=10000,"High Value",IF(M246&gt;=5000,"Medium Value","Low Value"))</f>
        <v>Low Value</v>
      </c>
      <c r="W246" s="1" t="str">
        <f aca="false">IF(O246&gt;0,"Profitable",IF(O246=0,"Break-even","Loss"))</f>
        <v>Profitable</v>
      </c>
      <c r="X246" s="1" t="str">
        <f aca="false">IF(Q246="Cancelled","Not Applicable",IF(Q246="Processing","Pending",IF(B246="","Unknown",IF(Orders!J246="","Unknown",IF(Orders!J246&lt;=3,"Fast",IF(Orders!J246&lt;=6,"Standard","Slow"))))))</f>
        <v>Fast</v>
      </c>
      <c r="Y246" s="1" t="n">
        <f aca="false">IF(OR(Q246="Cancelled",Q246="Returned"),0,O246)</f>
        <v>1437.3</v>
      </c>
    </row>
    <row r="247" customFormat="false" ht="15" hidden="false" customHeight="false" outlineLevel="0" collapsed="false">
      <c r="A247" s="6" t="str">
        <f aca="false">Orders!A247</f>
        <v>O000246</v>
      </c>
      <c r="B247" s="19" t="n">
        <f aca="false">Orders!B247</f>
        <v>45932</v>
      </c>
      <c r="C247" s="6" t="str">
        <f aca="false">Orders!C247</f>
        <v>C0299</v>
      </c>
      <c r="D247" s="6" t="str">
        <f aca="false">Orders!D247</f>
        <v>P1084</v>
      </c>
      <c r="E247" s="6" t="str">
        <f aca="false">INDEX(Products!$B$2:$B$101,MATCH(D247,Products!$A$2:$A$101,0))</f>
        <v>Whiteboard</v>
      </c>
      <c r="F247" s="1" t="str">
        <f aca="false">INDEX(Products!$C$2:$C$101,MATCH(D247,Products!$A$2:$A$101,0))</f>
        <v>Books &amp; Stationery</v>
      </c>
      <c r="G247" s="6" t="n">
        <f aca="false">Orders!E247</f>
        <v>1</v>
      </c>
      <c r="H247" s="16" t="n">
        <f aca="false">INDEX(Products!$D$2:$D$101,MATCH(D247,Products!$A$2:$A$101,0))</f>
        <v>799</v>
      </c>
      <c r="I247" s="16" t="n">
        <f aca="false">INDEX(Products!$E$2:$E$101,MATCH(D247,Products!$A$2:$A$101,0))</f>
        <v>420</v>
      </c>
      <c r="J247" s="20" t="n">
        <f aca="false">Orders!F247</f>
        <v>0</v>
      </c>
      <c r="K247" s="6" t="n">
        <f aca="false">G247*H247</f>
        <v>799</v>
      </c>
      <c r="L247" s="6" t="n">
        <f aca="false">K247*J247</f>
        <v>0</v>
      </c>
      <c r="M247" s="6" t="n">
        <f aca="false">K247-L247</f>
        <v>799</v>
      </c>
      <c r="N247" s="6" t="n">
        <f aca="false">G247*I247</f>
        <v>420</v>
      </c>
      <c r="O247" s="6" t="n">
        <f aca="false">M247-N247</f>
        <v>379</v>
      </c>
      <c r="P247" s="21" t="n">
        <f aca="false">IFERROR(O247/M247,0)</f>
        <v>0.474342928660826</v>
      </c>
      <c r="Q247" s="6" t="str">
        <f aca="false">Orders!H247</f>
        <v>Cancelled</v>
      </c>
      <c r="R247" s="1" t="str">
        <f aca="false">INDEX(Customers!$C$2:$C$301,MATCH(C247,Customers!$A$2:$A$301,0))</f>
        <v>Coimbatore</v>
      </c>
      <c r="S247" s="1" t="str">
        <f aca="false">INDEX(Customers!$E$2:$E$301,MATCH(C247,Customers!$A$2:$A$301,0))</f>
        <v>Returning</v>
      </c>
      <c r="T247" s="6" t="str">
        <f aca="false">Orders!I247</f>
        <v>Website</v>
      </c>
      <c r="U247" s="1" t="str">
        <f aca="false">IF(Q247="Delivered","Completed",IF(Q247="Cancelled","Cancelled",IF(Q247="Returned","Returned","In Progress")))</f>
        <v>Cancelled</v>
      </c>
      <c r="V247" s="1" t="str">
        <f aca="false">IF(M247&gt;=10000,"High Value",IF(M247&gt;=5000,"Medium Value","Low Value"))</f>
        <v>Low Value</v>
      </c>
      <c r="W247" s="1" t="str">
        <f aca="false">IF(O247&gt;0,"Profitable",IF(O247=0,"Break-even","Loss"))</f>
        <v>Profitable</v>
      </c>
      <c r="X247" s="1" t="str">
        <f aca="false">IF(Q247="Cancelled","Not Applicable",IF(Q247="Processing","Pending",IF(B247="","Unknown",IF(Orders!J247="","Unknown",IF(Orders!J247&lt;=3,"Fast",IF(Orders!J247&lt;=6,"Standard","Slow"))))))</f>
        <v>Not Applicable</v>
      </c>
      <c r="Y247" s="1" t="n">
        <f aca="false">IF(OR(Q247="Cancelled",Q247="Returned"),0,O247)</f>
        <v>0</v>
      </c>
    </row>
    <row r="248" customFormat="false" ht="15" hidden="false" customHeight="false" outlineLevel="0" collapsed="false">
      <c r="A248" s="6" t="str">
        <f aca="false">Orders!A248</f>
        <v>O000247</v>
      </c>
      <c r="B248" s="19" t="n">
        <f aca="false">Orders!B248</f>
        <v>45952</v>
      </c>
      <c r="C248" s="6" t="str">
        <f aca="false">Orders!C248</f>
        <v>C0196</v>
      </c>
      <c r="D248" s="6" t="str">
        <f aca="false">Orders!D248</f>
        <v>P1078</v>
      </c>
      <c r="E248" s="6" t="str">
        <f aca="false">INDEX(Products!$B$2:$B$101,MATCH(D248,Products!$A$2:$A$101,0))</f>
        <v>Sketchbook</v>
      </c>
      <c r="F248" s="1" t="str">
        <f aca="false">INDEX(Products!$C$2:$C$101,MATCH(D248,Products!$A$2:$A$101,0))</f>
        <v>Books &amp; Stationery</v>
      </c>
      <c r="G248" s="6" t="n">
        <f aca="false">Orders!E248</f>
        <v>1</v>
      </c>
      <c r="H248" s="16" t="n">
        <f aca="false">INDEX(Products!$D$2:$D$101,MATCH(D248,Products!$A$2:$A$101,0))</f>
        <v>249</v>
      </c>
      <c r="I248" s="16" t="n">
        <f aca="false">INDEX(Products!$E$2:$E$101,MATCH(D248,Products!$A$2:$A$101,0))</f>
        <v>90</v>
      </c>
      <c r="J248" s="20" t="n">
        <f aca="false">Orders!F248</f>
        <v>0.15</v>
      </c>
      <c r="K248" s="6" t="n">
        <f aca="false">G248*H248</f>
        <v>249</v>
      </c>
      <c r="L248" s="6" t="n">
        <f aca="false">K248*J248</f>
        <v>37.35</v>
      </c>
      <c r="M248" s="6" t="n">
        <f aca="false">K248-L248</f>
        <v>211.65</v>
      </c>
      <c r="N248" s="6" t="n">
        <f aca="false">G248*I248</f>
        <v>90</v>
      </c>
      <c r="O248" s="6" t="n">
        <f aca="false">M248-N248</f>
        <v>121.65</v>
      </c>
      <c r="P248" s="21" t="n">
        <f aca="false">IFERROR(O248/M248,0)</f>
        <v>0.574769666902906</v>
      </c>
      <c r="Q248" s="6" t="str">
        <f aca="false">Orders!H248</f>
        <v>Delivered</v>
      </c>
      <c r="R248" s="1" t="str">
        <f aca="false">INDEX(Customers!$C$2:$C$301,MATCH(C248,Customers!$A$2:$A$301,0))</f>
        <v>Chandigarh</v>
      </c>
      <c r="S248" s="1" t="str">
        <f aca="false">INDEX(Customers!$E$2:$E$301,MATCH(C248,Customers!$A$2:$A$301,0))</f>
        <v>Returning</v>
      </c>
      <c r="T248" s="6" t="str">
        <f aca="false">Orders!I248</f>
        <v>Mobile App</v>
      </c>
      <c r="U248" s="1" t="str">
        <f aca="false">IF(Q248="Delivered","Completed",IF(Q248="Cancelled","Cancelled",IF(Q248="Returned","Returned","In Progress")))</f>
        <v>Completed</v>
      </c>
      <c r="V248" s="1" t="str">
        <f aca="false">IF(M248&gt;=10000,"High Value",IF(M248&gt;=5000,"Medium Value","Low Value"))</f>
        <v>Low Value</v>
      </c>
      <c r="W248" s="1" t="str">
        <f aca="false">IF(O248&gt;0,"Profitable",IF(O248=0,"Break-even","Loss"))</f>
        <v>Profitable</v>
      </c>
      <c r="X248" s="1" t="str">
        <f aca="false">IF(Q248="Cancelled","Not Applicable",IF(Q248="Processing","Pending",IF(B248="","Unknown",IF(Orders!J248="","Unknown",IF(Orders!J248&lt;=3,"Fast",IF(Orders!J248&lt;=6,"Standard","Slow"))))))</f>
        <v>Standard</v>
      </c>
      <c r="Y248" s="1" t="n">
        <f aca="false">IF(OR(Q248="Cancelled",Q248="Returned"),0,O248)</f>
        <v>121.65</v>
      </c>
    </row>
    <row r="249" customFormat="false" ht="15" hidden="false" customHeight="false" outlineLevel="0" collapsed="false">
      <c r="A249" s="6" t="str">
        <f aca="false">Orders!A249</f>
        <v>O000248</v>
      </c>
      <c r="B249" s="19" t="n">
        <f aca="false">Orders!B249</f>
        <v>45698</v>
      </c>
      <c r="C249" s="6" t="str">
        <f aca="false">Orders!C249</f>
        <v>C0143</v>
      </c>
      <c r="D249" s="6" t="str">
        <f aca="false">Orders!D249</f>
        <v>P1089</v>
      </c>
      <c r="E249" s="6" t="str">
        <f aca="false">INDEX(Products!$B$2:$B$101,MATCH(D249,Products!$A$2:$A$101,0))</f>
        <v>Mixer Grinder</v>
      </c>
      <c r="F249" s="1" t="str">
        <f aca="false">INDEX(Products!$C$2:$C$101,MATCH(D249,Products!$A$2:$A$101,0))</f>
        <v>Appliances</v>
      </c>
      <c r="G249" s="6" t="n">
        <f aca="false">Orders!E249</f>
        <v>2</v>
      </c>
      <c r="H249" s="16" t="n">
        <f aca="false">INDEX(Products!$D$2:$D$101,MATCH(D249,Products!$A$2:$A$101,0))</f>
        <v>2499</v>
      </c>
      <c r="I249" s="16" t="n">
        <f aca="false">INDEX(Products!$E$2:$E$101,MATCH(D249,Products!$A$2:$A$101,0))</f>
        <v>1550</v>
      </c>
      <c r="J249" s="20" t="n">
        <f aca="false">Orders!F249</f>
        <v>0.05</v>
      </c>
      <c r="K249" s="6" t="n">
        <f aca="false">G249*H249</f>
        <v>4998</v>
      </c>
      <c r="L249" s="6" t="n">
        <f aca="false">K249*J249</f>
        <v>249.9</v>
      </c>
      <c r="M249" s="6" t="n">
        <f aca="false">K249-L249</f>
        <v>4748.1</v>
      </c>
      <c r="N249" s="6" t="n">
        <f aca="false">G249*I249</f>
        <v>3100</v>
      </c>
      <c r="O249" s="6" t="n">
        <f aca="false">M249-N249</f>
        <v>1648.1</v>
      </c>
      <c r="P249" s="21" t="n">
        <f aca="false">IFERROR(O249/M249,0)</f>
        <v>0.347107263958215</v>
      </c>
      <c r="Q249" s="6" t="str">
        <f aca="false">Orders!H249</f>
        <v>Processing</v>
      </c>
      <c r="R249" s="1" t="str">
        <f aca="false">INDEX(Customers!$C$2:$C$301,MATCH(C249,Customers!$A$2:$A$301,0))</f>
        <v>Bengaluru</v>
      </c>
      <c r="S249" s="1" t="str">
        <f aca="false">INDEX(Customers!$E$2:$E$301,MATCH(C249,Customers!$A$2:$A$301,0))</f>
        <v>Returning</v>
      </c>
      <c r="T249" s="6" t="str">
        <f aca="false">Orders!I249</f>
        <v>Website</v>
      </c>
      <c r="U249" s="1" t="str">
        <f aca="false">IF(Q249="Delivered","Completed",IF(Q249="Cancelled","Cancelled",IF(Q249="Returned","Returned","In Progress")))</f>
        <v>In Progress</v>
      </c>
      <c r="V249" s="1" t="str">
        <f aca="false">IF(M249&gt;=10000,"High Value",IF(M249&gt;=5000,"Medium Value","Low Value"))</f>
        <v>Low Value</v>
      </c>
      <c r="W249" s="1" t="str">
        <f aca="false">IF(O249&gt;0,"Profitable",IF(O249=0,"Break-even","Loss"))</f>
        <v>Profitable</v>
      </c>
      <c r="X249" s="1" t="str">
        <f aca="false">IF(Q249="Cancelled","Not Applicable",IF(Q249="Processing","Pending",IF(B249="","Unknown",IF(Orders!J249="","Unknown",IF(Orders!J249&lt;=3,"Fast",IF(Orders!J249&lt;=6,"Standard","Slow"))))))</f>
        <v>Pending</v>
      </c>
      <c r="Y249" s="1" t="n">
        <f aca="false">IF(OR(Q249="Cancelled",Q249="Returned"),0,O249)</f>
        <v>1648.1</v>
      </c>
    </row>
    <row r="250" customFormat="false" ht="15" hidden="false" customHeight="false" outlineLevel="0" collapsed="false">
      <c r="A250" s="6" t="str">
        <f aca="false">Orders!A250</f>
        <v>O000249</v>
      </c>
      <c r="B250" s="19" t="n">
        <f aca="false">Orders!B250</f>
        <v>46000</v>
      </c>
      <c r="C250" s="6" t="str">
        <f aca="false">Orders!C250</f>
        <v>C0112</v>
      </c>
      <c r="D250" s="6" t="str">
        <f aca="false">Orders!D250</f>
        <v>P1066</v>
      </c>
      <c r="E250" s="6" t="str">
        <f aca="false">INDEX(Products!$B$2:$B$101,MATCH(D250,Products!$A$2:$A$101,0))</f>
        <v>Gym Gloves</v>
      </c>
      <c r="F250" s="1" t="str">
        <f aca="false">INDEX(Products!$C$2:$C$101,MATCH(D250,Products!$A$2:$A$101,0))</f>
        <v>Sports &amp; Outdoors</v>
      </c>
      <c r="G250" s="6" t="n">
        <f aca="false">Orders!E250</f>
        <v>1</v>
      </c>
      <c r="H250" s="16" t="n">
        <f aca="false">INDEX(Products!$D$2:$D$101,MATCH(D250,Products!$A$2:$A$101,0))</f>
        <v>499</v>
      </c>
      <c r="I250" s="16" t="n">
        <f aca="false">INDEX(Products!$E$2:$E$101,MATCH(D250,Products!$A$2:$A$101,0))</f>
        <v>200</v>
      </c>
      <c r="J250" s="20" t="n">
        <f aca="false">Orders!F250</f>
        <v>0.25</v>
      </c>
      <c r="K250" s="6" t="n">
        <f aca="false">G250*H250</f>
        <v>499</v>
      </c>
      <c r="L250" s="6" t="n">
        <f aca="false">K250*J250</f>
        <v>124.75</v>
      </c>
      <c r="M250" s="6" t="n">
        <f aca="false">K250-L250</f>
        <v>374.25</v>
      </c>
      <c r="N250" s="6" t="n">
        <f aca="false">G250*I250</f>
        <v>200</v>
      </c>
      <c r="O250" s="6" t="n">
        <f aca="false">M250-N250</f>
        <v>174.25</v>
      </c>
      <c r="P250" s="21" t="n">
        <f aca="false">IFERROR(O250/M250,0)</f>
        <v>0.46559786239145</v>
      </c>
      <c r="Q250" s="6" t="str">
        <f aca="false">Orders!H250</f>
        <v>Delivered</v>
      </c>
      <c r="R250" s="1" t="str">
        <f aca="false">INDEX(Customers!$C$2:$C$301,MATCH(C250,Customers!$A$2:$A$301,0))</f>
        <v>Noida</v>
      </c>
      <c r="S250" s="1" t="str">
        <f aca="false">INDEX(Customers!$E$2:$E$301,MATCH(C250,Customers!$A$2:$A$301,0))</f>
        <v>New</v>
      </c>
      <c r="T250" s="6" t="str">
        <f aca="false">Orders!I250</f>
        <v>Website</v>
      </c>
      <c r="U250" s="1" t="str">
        <f aca="false">IF(Q250="Delivered","Completed",IF(Q250="Cancelled","Cancelled",IF(Q250="Returned","Returned","In Progress")))</f>
        <v>Completed</v>
      </c>
      <c r="V250" s="1" t="str">
        <f aca="false">IF(M250&gt;=10000,"High Value",IF(M250&gt;=5000,"Medium Value","Low Value"))</f>
        <v>Low Value</v>
      </c>
      <c r="W250" s="1" t="str">
        <f aca="false">IF(O250&gt;0,"Profitable",IF(O250=0,"Break-even","Loss"))</f>
        <v>Profitable</v>
      </c>
      <c r="X250" s="1" t="str">
        <f aca="false">IF(Q250="Cancelled","Not Applicable",IF(Q250="Processing","Pending",IF(B250="","Unknown",IF(Orders!J250="","Unknown",IF(Orders!J250&lt;=3,"Fast",IF(Orders!J250&lt;=6,"Standard","Slow"))))))</f>
        <v>Slow</v>
      </c>
      <c r="Y250" s="1" t="n">
        <f aca="false">IF(OR(Q250="Cancelled",Q250="Returned"),0,O250)</f>
        <v>174.25</v>
      </c>
    </row>
    <row r="251" customFormat="false" ht="15" hidden="false" customHeight="false" outlineLevel="0" collapsed="false">
      <c r="A251" s="6" t="str">
        <f aca="false">Orders!A251</f>
        <v>O000250</v>
      </c>
      <c r="B251" s="19" t="n">
        <f aca="false">Orders!B251</f>
        <v>45796</v>
      </c>
      <c r="C251" s="6" t="str">
        <f aca="false">Orders!C251</f>
        <v>C0031</v>
      </c>
      <c r="D251" s="6" t="str">
        <f aca="false">Orders!D251</f>
        <v>P1020</v>
      </c>
      <c r="E251" s="6" t="str">
        <f aca="false">INDEX(Products!$B$2:$B$101,MATCH(D251,Products!$A$2:$A$101,0))</f>
        <v>Backpack</v>
      </c>
      <c r="F251" s="1" t="str">
        <f aca="false">INDEX(Products!$C$2:$C$101,MATCH(D251,Products!$A$2:$A$101,0))</f>
        <v>Fashion</v>
      </c>
      <c r="G251" s="6" t="n">
        <f aca="false">Orders!E251</f>
        <v>1</v>
      </c>
      <c r="H251" s="16" t="n">
        <f aca="false">INDEX(Products!$D$2:$D$101,MATCH(D251,Products!$A$2:$A$101,0))</f>
        <v>1199</v>
      </c>
      <c r="I251" s="16" t="n">
        <f aca="false">INDEX(Products!$E$2:$E$101,MATCH(D251,Products!$A$2:$A$101,0))</f>
        <v>600</v>
      </c>
      <c r="J251" s="20" t="n">
        <f aca="false">Orders!F251</f>
        <v>0</v>
      </c>
      <c r="K251" s="6" t="n">
        <f aca="false">G251*H251</f>
        <v>1199</v>
      </c>
      <c r="L251" s="6" t="n">
        <f aca="false">K251*J251</f>
        <v>0</v>
      </c>
      <c r="M251" s="6" t="n">
        <f aca="false">K251-L251</f>
        <v>1199</v>
      </c>
      <c r="N251" s="6" t="n">
        <f aca="false">G251*I251</f>
        <v>600</v>
      </c>
      <c r="O251" s="6" t="n">
        <f aca="false">M251-N251</f>
        <v>599</v>
      </c>
      <c r="P251" s="21" t="n">
        <f aca="false">IFERROR(O251/M251,0)</f>
        <v>0.499582985821518</v>
      </c>
      <c r="Q251" s="6" t="str">
        <f aca="false">Orders!H251</f>
        <v>Delivered</v>
      </c>
      <c r="R251" s="1" t="str">
        <f aca="false">INDEX(Customers!$C$2:$C$301,MATCH(C251,Customers!$A$2:$A$301,0))</f>
        <v>Gurugram</v>
      </c>
      <c r="S251" s="1" t="str">
        <f aca="false">INDEX(Customers!$E$2:$E$301,MATCH(C251,Customers!$A$2:$A$301,0))</f>
        <v>Returning</v>
      </c>
      <c r="T251" s="6" t="str">
        <f aca="false">Orders!I251</f>
        <v>Website</v>
      </c>
      <c r="U251" s="1" t="str">
        <f aca="false">IF(Q251="Delivered","Completed",IF(Q251="Cancelled","Cancelled",IF(Q251="Returned","Returned","In Progress")))</f>
        <v>Completed</v>
      </c>
      <c r="V251" s="1" t="str">
        <f aca="false">IF(M251&gt;=10000,"High Value",IF(M251&gt;=5000,"Medium Value","Low Value"))</f>
        <v>Low Value</v>
      </c>
      <c r="W251" s="1" t="str">
        <f aca="false">IF(O251&gt;0,"Profitable",IF(O251=0,"Break-even","Loss"))</f>
        <v>Profitable</v>
      </c>
      <c r="X251" s="1" t="str">
        <f aca="false">IF(Q251="Cancelled","Not Applicable",IF(Q251="Processing","Pending",IF(B251="","Unknown",IF(Orders!J251="","Unknown",IF(Orders!J251&lt;=3,"Fast",IF(Orders!J251&lt;=6,"Standard","Slow"))))))</f>
        <v>Slow</v>
      </c>
      <c r="Y251" s="1" t="n">
        <f aca="false">IF(OR(Q251="Cancelled",Q251="Returned"),0,O251)</f>
        <v>599</v>
      </c>
    </row>
    <row r="252" customFormat="false" ht="15" hidden="false" customHeight="false" outlineLevel="0" collapsed="false">
      <c r="A252" s="6" t="str">
        <f aca="false">Orders!A252</f>
        <v>O000251</v>
      </c>
      <c r="B252" s="19" t="n">
        <f aca="false">Orders!B252</f>
        <v>45977</v>
      </c>
      <c r="C252" s="6" t="str">
        <f aca="false">Orders!C252</f>
        <v>C0017</v>
      </c>
      <c r="D252" s="6" t="str">
        <f aca="false">Orders!D252</f>
        <v>P1004</v>
      </c>
      <c r="E252" s="6" t="str">
        <f aca="false">INDEX(Products!$B$2:$B$101,MATCH(D252,Products!$A$2:$A$101,0))</f>
        <v>USB-C Cable</v>
      </c>
      <c r="F252" s="1" t="str">
        <f aca="false">INDEX(Products!$C$2:$C$101,MATCH(D252,Products!$A$2:$A$101,0))</f>
        <v>Electronics</v>
      </c>
      <c r="G252" s="6" t="n">
        <f aca="false">Orders!E252</f>
        <v>1</v>
      </c>
      <c r="H252" s="16" t="n">
        <f aca="false">INDEX(Products!$D$2:$D$101,MATCH(D252,Products!$A$2:$A$101,0))</f>
        <v>299</v>
      </c>
      <c r="I252" s="16" t="n">
        <f aca="false">INDEX(Products!$E$2:$E$101,MATCH(D252,Products!$A$2:$A$101,0))</f>
        <v>120</v>
      </c>
      <c r="J252" s="20" t="n">
        <f aca="false">Orders!F252</f>
        <v>0.05</v>
      </c>
      <c r="K252" s="6" t="n">
        <f aca="false">G252*H252</f>
        <v>299</v>
      </c>
      <c r="L252" s="6" t="n">
        <f aca="false">K252*J252</f>
        <v>14.95</v>
      </c>
      <c r="M252" s="6" t="n">
        <f aca="false">K252-L252</f>
        <v>284.05</v>
      </c>
      <c r="N252" s="6" t="n">
        <f aca="false">G252*I252</f>
        <v>120</v>
      </c>
      <c r="O252" s="6" t="n">
        <f aca="false">M252-N252</f>
        <v>164.05</v>
      </c>
      <c r="P252" s="21" t="n">
        <f aca="false">IFERROR(O252/M252,0)</f>
        <v>0.577539165639852</v>
      </c>
      <c r="Q252" s="6" t="str">
        <f aca="false">Orders!H252</f>
        <v>Delivered</v>
      </c>
      <c r="R252" s="1" t="str">
        <f aca="false">INDEX(Customers!$C$2:$C$301,MATCH(C252,Customers!$A$2:$A$301,0))</f>
        <v>Surat</v>
      </c>
      <c r="S252" s="1" t="str">
        <f aca="false">INDEX(Customers!$E$2:$E$301,MATCH(C252,Customers!$A$2:$A$301,0))</f>
        <v>Returning</v>
      </c>
      <c r="T252" s="6" t="str">
        <f aca="false">Orders!I252</f>
        <v>Website</v>
      </c>
      <c r="U252" s="1" t="str">
        <f aca="false">IF(Q252="Delivered","Completed",IF(Q252="Cancelled","Cancelled",IF(Q252="Returned","Returned","In Progress")))</f>
        <v>Completed</v>
      </c>
      <c r="V252" s="1" t="str">
        <f aca="false">IF(M252&gt;=10000,"High Value",IF(M252&gt;=5000,"Medium Value","Low Value"))</f>
        <v>Low Value</v>
      </c>
      <c r="W252" s="1" t="str">
        <f aca="false">IF(O252&gt;0,"Profitable",IF(O252=0,"Break-even","Loss"))</f>
        <v>Profitable</v>
      </c>
      <c r="X252" s="1" t="str">
        <f aca="false">IF(Q252="Cancelled","Not Applicable",IF(Q252="Processing","Pending",IF(B252="","Unknown",IF(Orders!J252="","Unknown",IF(Orders!J252&lt;=3,"Fast",IF(Orders!J252&lt;=6,"Standard","Slow"))))))</f>
        <v>Standard</v>
      </c>
      <c r="Y252" s="1" t="n">
        <f aca="false">IF(OR(Q252="Cancelled",Q252="Returned"),0,O252)</f>
        <v>164.05</v>
      </c>
    </row>
    <row r="253" customFormat="false" ht="15" hidden="false" customHeight="false" outlineLevel="0" collapsed="false">
      <c r="A253" s="6" t="str">
        <f aca="false">Orders!A253</f>
        <v>O000252</v>
      </c>
      <c r="B253" s="19" t="n">
        <f aca="false">Orders!B253</f>
        <v>45991</v>
      </c>
      <c r="C253" s="6" t="str">
        <f aca="false">Orders!C253</f>
        <v>C0218</v>
      </c>
      <c r="D253" s="6" t="str">
        <f aca="false">Orders!D253</f>
        <v>P1067</v>
      </c>
      <c r="E253" s="6" t="str">
        <f aca="false">INDEX(Products!$B$2:$B$101,MATCH(D253,Products!$A$2:$A$101,0))</f>
        <v>Camping Torch</v>
      </c>
      <c r="F253" s="1" t="str">
        <f aca="false">INDEX(Products!$C$2:$C$101,MATCH(D253,Products!$A$2:$A$101,0))</f>
        <v>Sports &amp; Outdoors</v>
      </c>
      <c r="G253" s="6" t="n">
        <f aca="false">Orders!E253</f>
        <v>2</v>
      </c>
      <c r="H253" s="16" t="n">
        <f aca="false">INDEX(Products!$D$2:$D$101,MATCH(D253,Products!$A$2:$A$101,0))</f>
        <v>599</v>
      </c>
      <c r="I253" s="16" t="n">
        <f aca="false">INDEX(Products!$E$2:$E$101,MATCH(D253,Products!$A$2:$A$101,0))</f>
        <v>250</v>
      </c>
      <c r="J253" s="20" t="n">
        <f aca="false">Orders!F253</f>
        <v>0</v>
      </c>
      <c r="K253" s="6" t="n">
        <f aca="false">G253*H253</f>
        <v>1198</v>
      </c>
      <c r="L253" s="6" t="n">
        <f aca="false">K253*J253</f>
        <v>0</v>
      </c>
      <c r="M253" s="6" t="n">
        <f aca="false">K253-L253</f>
        <v>1198</v>
      </c>
      <c r="N253" s="6" t="n">
        <f aca="false">G253*I253</f>
        <v>500</v>
      </c>
      <c r="O253" s="6" t="n">
        <f aca="false">M253-N253</f>
        <v>698</v>
      </c>
      <c r="P253" s="21" t="n">
        <f aca="false">IFERROR(O253/M253,0)</f>
        <v>0.582637729549249</v>
      </c>
      <c r="Q253" s="6" t="str">
        <f aca="false">Orders!H253</f>
        <v>Delivered</v>
      </c>
      <c r="R253" s="1" t="str">
        <f aca="false">INDEX(Customers!$C$2:$C$301,MATCH(C253,Customers!$A$2:$A$301,0))</f>
        <v>Nagpur</v>
      </c>
      <c r="S253" s="1" t="str">
        <f aca="false">INDEX(Customers!$E$2:$E$301,MATCH(C253,Customers!$A$2:$A$301,0))</f>
        <v>VIP</v>
      </c>
      <c r="T253" s="6" t="str">
        <f aca="false">Orders!I253</f>
        <v>Mobile App</v>
      </c>
      <c r="U253" s="1" t="str">
        <f aca="false">IF(Q253="Delivered","Completed",IF(Q253="Cancelled","Cancelled",IF(Q253="Returned","Returned","In Progress")))</f>
        <v>Completed</v>
      </c>
      <c r="V253" s="1" t="str">
        <f aca="false">IF(M253&gt;=10000,"High Value",IF(M253&gt;=5000,"Medium Value","Low Value"))</f>
        <v>Low Value</v>
      </c>
      <c r="W253" s="1" t="str">
        <f aca="false">IF(O253&gt;0,"Profitable",IF(O253=0,"Break-even","Loss"))</f>
        <v>Profitable</v>
      </c>
      <c r="X253" s="1" t="str">
        <f aca="false">IF(Q253="Cancelled","Not Applicable",IF(Q253="Processing","Pending",IF(B253="","Unknown",IF(Orders!J253="","Unknown",IF(Orders!J253&lt;=3,"Fast",IF(Orders!J253&lt;=6,"Standard","Slow"))))))</f>
        <v>Standard</v>
      </c>
      <c r="Y253" s="1" t="n">
        <f aca="false">IF(OR(Q253="Cancelled",Q253="Returned"),0,O253)</f>
        <v>698</v>
      </c>
    </row>
    <row r="254" customFormat="false" ht="15" hidden="false" customHeight="false" outlineLevel="0" collapsed="false">
      <c r="A254" s="6" t="str">
        <f aca="false">Orders!A254</f>
        <v>O000253</v>
      </c>
      <c r="B254" s="19" t="n">
        <f aca="false">Orders!B254</f>
        <v>45701</v>
      </c>
      <c r="C254" s="6" t="str">
        <f aca="false">Orders!C254</f>
        <v>C0011</v>
      </c>
      <c r="D254" s="6" t="str">
        <f aca="false">Orders!D254</f>
        <v>P1056</v>
      </c>
      <c r="E254" s="6" t="str">
        <f aca="false">INDEX(Products!$B$2:$B$101,MATCH(D254,Products!$A$2:$A$101,0))</f>
        <v>Hair Dryer</v>
      </c>
      <c r="F254" s="1" t="str">
        <f aca="false">INDEX(Products!$C$2:$C$101,MATCH(D254,Products!$A$2:$A$101,0))</f>
        <v>Beauty</v>
      </c>
      <c r="G254" s="6" t="n">
        <f aca="false">Orders!E254</f>
        <v>1</v>
      </c>
      <c r="H254" s="16" t="n">
        <f aca="false">INDEX(Products!$D$2:$D$101,MATCH(D254,Products!$A$2:$A$101,0))</f>
        <v>1299</v>
      </c>
      <c r="I254" s="16" t="n">
        <f aca="false">INDEX(Products!$E$2:$E$101,MATCH(D254,Products!$A$2:$A$101,0))</f>
        <v>750</v>
      </c>
      <c r="J254" s="20" t="n">
        <f aca="false">Orders!F254</f>
        <v>0</v>
      </c>
      <c r="K254" s="6" t="n">
        <f aca="false">G254*H254</f>
        <v>1299</v>
      </c>
      <c r="L254" s="6" t="n">
        <f aca="false">K254*J254</f>
        <v>0</v>
      </c>
      <c r="M254" s="6" t="n">
        <f aca="false">K254-L254</f>
        <v>1299</v>
      </c>
      <c r="N254" s="6" t="n">
        <f aca="false">G254*I254</f>
        <v>750</v>
      </c>
      <c r="O254" s="6" t="n">
        <f aca="false">M254-N254</f>
        <v>549</v>
      </c>
      <c r="P254" s="21" t="n">
        <f aca="false">IFERROR(O254/M254,0)</f>
        <v>0.422632794457275</v>
      </c>
      <c r="Q254" s="6" t="str">
        <f aca="false">Orders!H254</f>
        <v>Delivered</v>
      </c>
      <c r="R254" s="1" t="str">
        <f aca="false">INDEX(Customers!$C$2:$C$301,MATCH(C254,Customers!$A$2:$A$301,0))</f>
        <v>Gurugram</v>
      </c>
      <c r="S254" s="1" t="str">
        <f aca="false">INDEX(Customers!$E$2:$E$301,MATCH(C254,Customers!$A$2:$A$301,0))</f>
        <v>New</v>
      </c>
      <c r="T254" s="6" t="str">
        <f aca="false">Orders!I254</f>
        <v>Mobile App</v>
      </c>
      <c r="U254" s="1" t="str">
        <f aca="false">IF(Q254="Delivered","Completed",IF(Q254="Cancelled","Cancelled",IF(Q254="Returned","Returned","In Progress")))</f>
        <v>Completed</v>
      </c>
      <c r="V254" s="1" t="str">
        <f aca="false">IF(M254&gt;=10000,"High Value",IF(M254&gt;=5000,"Medium Value","Low Value"))</f>
        <v>Low Value</v>
      </c>
      <c r="W254" s="1" t="str">
        <f aca="false">IF(O254&gt;0,"Profitable",IF(O254=0,"Break-even","Loss"))</f>
        <v>Profitable</v>
      </c>
      <c r="X254" s="1" t="str">
        <f aca="false">IF(Q254="Cancelled","Not Applicable",IF(Q254="Processing","Pending",IF(B254="","Unknown",IF(Orders!J254="","Unknown",IF(Orders!J254&lt;=3,"Fast",IF(Orders!J254&lt;=6,"Standard","Slow"))))))</f>
        <v>Slow</v>
      </c>
      <c r="Y254" s="1" t="n">
        <f aca="false">IF(OR(Q254="Cancelled",Q254="Returned"),0,O254)</f>
        <v>549</v>
      </c>
    </row>
    <row r="255" customFormat="false" ht="15" hidden="false" customHeight="false" outlineLevel="0" collapsed="false">
      <c r="A255" s="6" t="str">
        <f aca="false">Orders!A255</f>
        <v>O000254</v>
      </c>
      <c r="B255" s="19" t="n">
        <f aca="false">Orders!B255</f>
        <v>45950</v>
      </c>
      <c r="C255" s="6" t="str">
        <f aca="false">Orders!C255</f>
        <v>C0241</v>
      </c>
      <c r="D255" s="6" t="str">
        <f aca="false">Orders!D255</f>
        <v>P1075</v>
      </c>
      <c r="E255" s="6" t="str">
        <f aca="false">INDEX(Products!$B$2:$B$101,MATCH(D255,Products!$A$2:$A$101,0))</f>
        <v>Ball Pen Set</v>
      </c>
      <c r="F255" s="1" t="str">
        <f aca="false">INDEX(Products!$C$2:$C$101,MATCH(D255,Products!$A$2:$A$101,0))</f>
        <v>Books &amp; Stationery</v>
      </c>
      <c r="G255" s="6" t="n">
        <f aca="false">Orders!E255</f>
        <v>2</v>
      </c>
      <c r="H255" s="16" t="n">
        <f aca="false">INDEX(Products!$D$2:$D$101,MATCH(D255,Products!$A$2:$A$101,0))</f>
        <v>199</v>
      </c>
      <c r="I255" s="16" t="n">
        <f aca="false">INDEX(Products!$E$2:$E$101,MATCH(D255,Products!$A$2:$A$101,0))</f>
        <v>65</v>
      </c>
      <c r="J255" s="20" t="n">
        <f aca="false">Orders!F255</f>
        <v>0</v>
      </c>
      <c r="K255" s="6" t="n">
        <f aca="false">G255*H255</f>
        <v>398</v>
      </c>
      <c r="L255" s="6" t="n">
        <f aca="false">K255*J255</f>
        <v>0</v>
      </c>
      <c r="M255" s="6" t="n">
        <f aca="false">K255-L255</f>
        <v>398</v>
      </c>
      <c r="N255" s="6" t="n">
        <f aca="false">G255*I255</f>
        <v>130</v>
      </c>
      <c r="O255" s="6" t="n">
        <f aca="false">M255-N255</f>
        <v>268</v>
      </c>
      <c r="P255" s="21" t="n">
        <f aca="false">IFERROR(O255/M255,0)</f>
        <v>0.673366834170854</v>
      </c>
      <c r="Q255" s="6" t="str">
        <f aca="false">Orders!H255</f>
        <v>Delivered</v>
      </c>
      <c r="R255" s="1" t="str">
        <f aca="false">INDEX(Customers!$C$2:$C$301,MATCH(C255,Customers!$A$2:$A$301,0))</f>
        <v>Delhi</v>
      </c>
      <c r="S255" s="1" t="str">
        <f aca="false">INDEX(Customers!$E$2:$E$301,MATCH(C255,Customers!$A$2:$A$301,0))</f>
        <v>Returning</v>
      </c>
      <c r="T255" s="6" t="str">
        <f aca="false">Orders!I255</f>
        <v>Website</v>
      </c>
      <c r="U255" s="1" t="str">
        <f aca="false">IF(Q255="Delivered","Completed",IF(Q255="Cancelled","Cancelled",IF(Q255="Returned","Returned","In Progress")))</f>
        <v>Completed</v>
      </c>
      <c r="V255" s="1" t="str">
        <f aca="false">IF(M255&gt;=10000,"High Value",IF(M255&gt;=5000,"Medium Value","Low Value"))</f>
        <v>Low Value</v>
      </c>
      <c r="W255" s="1" t="str">
        <f aca="false">IF(O255&gt;0,"Profitable",IF(O255=0,"Break-even","Loss"))</f>
        <v>Profitable</v>
      </c>
      <c r="X255" s="1" t="str">
        <f aca="false">IF(Q255="Cancelled","Not Applicable",IF(Q255="Processing","Pending",IF(B255="","Unknown",IF(Orders!J255="","Unknown",IF(Orders!J255&lt;=3,"Fast",IF(Orders!J255&lt;=6,"Standard","Slow"))))))</f>
        <v>Fast</v>
      </c>
      <c r="Y255" s="1" t="n">
        <f aca="false">IF(OR(Q255="Cancelled",Q255="Returned"),0,O255)</f>
        <v>268</v>
      </c>
    </row>
    <row r="256" customFormat="false" ht="15" hidden="false" customHeight="false" outlineLevel="0" collapsed="false">
      <c r="A256" s="6" t="str">
        <f aca="false">Orders!A256</f>
        <v>O000255</v>
      </c>
      <c r="B256" s="19" t="n">
        <f aca="false">Orders!B256</f>
        <v>45694</v>
      </c>
      <c r="C256" s="6" t="str">
        <f aca="false">Orders!C256</f>
        <v>C0124</v>
      </c>
      <c r="D256" s="6" t="str">
        <f aca="false">Orders!D256</f>
        <v>P1073</v>
      </c>
      <c r="E256" s="6" t="str">
        <f aca="false">INDEX(Products!$B$2:$B$101,MATCH(D256,Products!$A$2:$A$101,0))</f>
        <v>Hiking Backpack</v>
      </c>
      <c r="F256" s="1" t="str">
        <f aca="false">INDEX(Products!$C$2:$C$101,MATCH(D256,Products!$A$2:$A$101,0))</f>
        <v>Sports &amp; Outdoors</v>
      </c>
      <c r="G256" s="6" t="n">
        <f aca="false">Orders!E256</f>
        <v>2</v>
      </c>
      <c r="H256" s="16" t="n">
        <f aca="false">INDEX(Products!$D$2:$D$101,MATCH(D256,Products!$A$2:$A$101,0))</f>
        <v>1999</v>
      </c>
      <c r="I256" s="16" t="n">
        <f aca="false">INDEX(Products!$E$2:$E$101,MATCH(D256,Products!$A$2:$A$101,0))</f>
        <v>1100</v>
      </c>
      <c r="J256" s="20" t="n">
        <f aca="false">Orders!F256</f>
        <v>0.05</v>
      </c>
      <c r="K256" s="6" t="n">
        <f aca="false">G256*H256</f>
        <v>3998</v>
      </c>
      <c r="L256" s="6" t="n">
        <f aca="false">K256*J256</f>
        <v>199.9</v>
      </c>
      <c r="M256" s="6" t="n">
        <f aca="false">K256-L256</f>
        <v>3798.1</v>
      </c>
      <c r="N256" s="6" t="n">
        <f aca="false">G256*I256</f>
        <v>2200</v>
      </c>
      <c r="O256" s="6" t="n">
        <f aca="false">M256-N256</f>
        <v>1598.1</v>
      </c>
      <c r="P256" s="21" t="n">
        <f aca="false">IFERROR(O256/M256,0)</f>
        <v>0.42076301308549</v>
      </c>
      <c r="Q256" s="6" t="str">
        <f aca="false">Orders!H256</f>
        <v>Delivered</v>
      </c>
      <c r="R256" s="1" t="str">
        <f aca="false">INDEX(Customers!$C$2:$C$301,MATCH(C256,Customers!$A$2:$A$301,0))</f>
        <v>Hyderabad</v>
      </c>
      <c r="S256" s="1" t="str">
        <f aca="false">INDEX(Customers!$E$2:$E$301,MATCH(C256,Customers!$A$2:$A$301,0))</f>
        <v>Returning</v>
      </c>
      <c r="T256" s="6" t="str">
        <f aca="false">Orders!I256</f>
        <v>Mobile App</v>
      </c>
      <c r="U256" s="1" t="str">
        <f aca="false">IF(Q256="Delivered","Completed",IF(Q256="Cancelled","Cancelled",IF(Q256="Returned","Returned","In Progress")))</f>
        <v>Completed</v>
      </c>
      <c r="V256" s="1" t="str">
        <f aca="false">IF(M256&gt;=10000,"High Value",IF(M256&gt;=5000,"Medium Value","Low Value"))</f>
        <v>Low Value</v>
      </c>
      <c r="W256" s="1" t="str">
        <f aca="false">IF(O256&gt;0,"Profitable",IF(O256=0,"Break-even","Loss"))</f>
        <v>Profitable</v>
      </c>
      <c r="X256" s="1" t="str">
        <f aca="false">IF(Q256="Cancelled","Not Applicable",IF(Q256="Processing","Pending",IF(B256="","Unknown",IF(Orders!J256="","Unknown",IF(Orders!J256&lt;=3,"Fast",IF(Orders!J256&lt;=6,"Standard","Slow"))))))</f>
        <v>Standard</v>
      </c>
      <c r="Y256" s="1" t="n">
        <f aca="false">IF(OR(Q256="Cancelled",Q256="Returned"),0,O256)</f>
        <v>1598.1</v>
      </c>
    </row>
    <row r="257" customFormat="false" ht="15" hidden="false" customHeight="false" outlineLevel="0" collapsed="false">
      <c r="A257" s="6" t="str">
        <f aca="false">Orders!A257</f>
        <v>O000256</v>
      </c>
      <c r="B257" s="19" t="n">
        <f aca="false">Orders!B257</f>
        <v>45914</v>
      </c>
      <c r="C257" s="6" t="str">
        <f aca="false">Orders!C257</f>
        <v>C0094</v>
      </c>
      <c r="D257" s="6" t="str">
        <f aca="false">Orders!D257</f>
        <v>P1040</v>
      </c>
      <c r="E257" s="6" t="str">
        <f aca="false">INDEX(Products!$B$2:$B$101,MATCH(D257,Products!$A$2:$A$101,0))</f>
        <v>Curtain Set</v>
      </c>
      <c r="F257" s="1" t="str">
        <f aca="false">INDEX(Products!$C$2:$C$101,MATCH(D257,Products!$A$2:$A$101,0))</f>
        <v>Home &amp; Kitchen</v>
      </c>
      <c r="G257" s="6" t="n">
        <f aca="false">Orders!E257</f>
        <v>1</v>
      </c>
      <c r="H257" s="16" t="n">
        <f aca="false">INDEX(Products!$D$2:$D$101,MATCH(D257,Products!$A$2:$A$101,0))</f>
        <v>1099</v>
      </c>
      <c r="I257" s="16" t="n">
        <f aca="false">INDEX(Products!$E$2:$E$101,MATCH(D257,Products!$A$2:$A$101,0))</f>
        <v>550</v>
      </c>
      <c r="J257" s="20" t="n">
        <f aca="false">Orders!F257</f>
        <v>0.15</v>
      </c>
      <c r="K257" s="6" t="n">
        <f aca="false">G257*H257</f>
        <v>1099</v>
      </c>
      <c r="L257" s="6" t="n">
        <f aca="false">K257*J257</f>
        <v>164.85</v>
      </c>
      <c r="M257" s="6" t="n">
        <f aca="false">K257-L257</f>
        <v>934.15</v>
      </c>
      <c r="N257" s="6" t="n">
        <f aca="false">G257*I257</f>
        <v>550</v>
      </c>
      <c r="O257" s="6" t="n">
        <f aca="false">M257-N257</f>
        <v>384.15</v>
      </c>
      <c r="P257" s="21" t="n">
        <f aca="false">IFERROR(O257/M257,0)</f>
        <v>0.411229459936841</v>
      </c>
      <c r="Q257" s="6" t="str">
        <f aca="false">Orders!H257</f>
        <v>Returned</v>
      </c>
      <c r="R257" s="1" t="str">
        <f aca="false">INDEX(Customers!$C$2:$C$301,MATCH(C257,Customers!$A$2:$A$301,0))</f>
        <v>Indore</v>
      </c>
      <c r="S257" s="1" t="str">
        <f aca="false">INDEX(Customers!$E$2:$E$301,MATCH(C257,Customers!$A$2:$A$301,0))</f>
        <v>VIP</v>
      </c>
      <c r="T257" s="6" t="str">
        <f aca="false">Orders!I257</f>
        <v>Website</v>
      </c>
      <c r="U257" s="1" t="str">
        <f aca="false">IF(Q257="Delivered","Completed",IF(Q257="Cancelled","Cancelled",IF(Q257="Returned","Returned","In Progress")))</f>
        <v>Returned</v>
      </c>
      <c r="V257" s="1" t="str">
        <f aca="false">IF(M257&gt;=10000,"High Value",IF(M257&gt;=5000,"Medium Value","Low Value"))</f>
        <v>Low Value</v>
      </c>
      <c r="W257" s="1" t="str">
        <f aca="false">IF(O257&gt;0,"Profitable",IF(O257=0,"Break-even","Loss"))</f>
        <v>Profitable</v>
      </c>
      <c r="X257" s="1" t="str">
        <f aca="false">IF(Q257="Cancelled","Not Applicable",IF(Q257="Processing","Pending",IF(B257="","Unknown",IF(Orders!J257="","Unknown",IF(Orders!J257&lt;=3,"Fast",IF(Orders!J257&lt;=6,"Standard","Slow"))))))</f>
        <v>Standard</v>
      </c>
      <c r="Y257" s="1" t="n">
        <f aca="false">IF(OR(Q257="Cancelled",Q257="Returned"),0,O257)</f>
        <v>0</v>
      </c>
    </row>
    <row r="258" customFormat="false" ht="15" hidden="false" customHeight="false" outlineLevel="0" collapsed="false">
      <c r="A258" s="6" t="str">
        <f aca="false">Orders!A258</f>
        <v>O000257</v>
      </c>
      <c r="B258" s="19" t="n">
        <f aca="false">Orders!B258</f>
        <v>45881</v>
      </c>
      <c r="C258" s="6" t="str">
        <f aca="false">Orders!C258</f>
        <v>C0247</v>
      </c>
      <c r="D258" s="6" t="str">
        <f aca="false">Orders!D258</f>
        <v>P1059</v>
      </c>
      <c r="E258" s="6" t="str">
        <f aca="false">INDEX(Products!$B$2:$B$101,MATCH(D258,Products!$A$2:$A$101,0))</f>
        <v>Bath Gift Set</v>
      </c>
      <c r="F258" s="1" t="str">
        <f aca="false">INDEX(Products!$C$2:$C$101,MATCH(D258,Products!$A$2:$A$101,0))</f>
        <v>Beauty</v>
      </c>
      <c r="G258" s="6" t="n">
        <f aca="false">Orders!E258</f>
        <v>1</v>
      </c>
      <c r="H258" s="16" t="n">
        <f aca="false">INDEX(Products!$D$2:$D$101,MATCH(D258,Products!$A$2:$A$101,0))</f>
        <v>699</v>
      </c>
      <c r="I258" s="16" t="n">
        <f aca="false">INDEX(Products!$E$2:$E$101,MATCH(D258,Products!$A$2:$A$101,0))</f>
        <v>350</v>
      </c>
      <c r="J258" s="20" t="n">
        <f aca="false">Orders!F258</f>
        <v>0.15</v>
      </c>
      <c r="K258" s="6" t="n">
        <f aca="false">G258*H258</f>
        <v>699</v>
      </c>
      <c r="L258" s="6" t="n">
        <f aca="false">K258*J258</f>
        <v>104.85</v>
      </c>
      <c r="M258" s="6" t="n">
        <f aca="false">K258-L258</f>
        <v>594.15</v>
      </c>
      <c r="N258" s="6" t="n">
        <f aca="false">G258*I258</f>
        <v>350</v>
      </c>
      <c r="O258" s="6" t="n">
        <f aca="false">M258-N258</f>
        <v>244.15</v>
      </c>
      <c r="P258" s="21" t="n">
        <f aca="false">IFERROR(O258/M258,0)</f>
        <v>0.410923167550282</v>
      </c>
      <c r="Q258" s="6" t="str">
        <f aca="false">Orders!H258</f>
        <v>Delivered</v>
      </c>
      <c r="R258" s="1" t="str">
        <f aca="false">INDEX(Customers!$C$2:$C$301,MATCH(C258,Customers!$A$2:$A$301,0))</f>
        <v>Pune</v>
      </c>
      <c r="S258" s="1" t="str">
        <f aca="false">INDEX(Customers!$E$2:$E$301,MATCH(C258,Customers!$A$2:$A$301,0))</f>
        <v>Returning</v>
      </c>
      <c r="T258" s="6" t="str">
        <f aca="false">Orders!I258</f>
        <v>Marketplace</v>
      </c>
      <c r="U258" s="1" t="str">
        <f aca="false">IF(Q258="Delivered","Completed",IF(Q258="Cancelled","Cancelled",IF(Q258="Returned","Returned","In Progress")))</f>
        <v>Completed</v>
      </c>
      <c r="V258" s="1" t="str">
        <f aca="false">IF(M258&gt;=10000,"High Value",IF(M258&gt;=5000,"Medium Value","Low Value"))</f>
        <v>Low Value</v>
      </c>
      <c r="W258" s="1" t="str">
        <f aca="false">IF(O258&gt;0,"Profitable",IF(O258=0,"Break-even","Loss"))</f>
        <v>Profitable</v>
      </c>
      <c r="X258" s="1" t="str">
        <f aca="false">IF(Q258="Cancelled","Not Applicable",IF(Q258="Processing","Pending",IF(B258="","Unknown",IF(Orders!J258="","Unknown",IF(Orders!J258&lt;=3,"Fast",IF(Orders!J258&lt;=6,"Standard","Slow"))))))</f>
        <v>Standard</v>
      </c>
      <c r="Y258" s="1" t="n">
        <f aca="false">IF(OR(Q258="Cancelled",Q258="Returned"),0,O258)</f>
        <v>244.15</v>
      </c>
    </row>
    <row r="259" customFormat="false" ht="15" hidden="false" customHeight="false" outlineLevel="0" collapsed="false">
      <c r="A259" s="6" t="str">
        <f aca="false">Orders!A259</f>
        <v>O000258</v>
      </c>
      <c r="B259" s="19" t="n">
        <f aca="false">Orders!B259</f>
        <v>45848</v>
      </c>
      <c r="C259" s="6" t="str">
        <f aca="false">Orders!C259</f>
        <v>C0215</v>
      </c>
      <c r="D259" s="6" t="str">
        <f aca="false">Orders!D259</f>
        <v>P1100</v>
      </c>
      <c r="E259" s="6" t="str">
        <f aca="false">INDEX(Products!$B$2:$B$101,MATCH(D259,Products!$A$2:$A$101,0))</f>
        <v>Coffee Maker</v>
      </c>
      <c r="F259" s="1" t="str">
        <f aca="false">INDEX(Products!$C$2:$C$101,MATCH(D259,Products!$A$2:$A$101,0))</f>
        <v>Appliances</v>
      </c>
      <c r="G259" s="6" t="n">
        <f aca="false">Orders!E259</f>
        <v>1</v>
      </c>
      <c r="H259" s="16" t="n">
        <f aca="false">INDEX(Products!$D$2:$D$101,MATCH(D259,Products!$A$2:$A$101,0))</f>
        <v>2499</v>
      </c>
      <c r="I259" s="16" t="n">
        <f aca="false">INDEX(Products!$E$2:$E$101,MATCH(D259,Products!$A$2:$A$101,0))</f>
        <v>1600</v>
      </c>
      <c r="J259" s="20" t="n">
        <f aca="false">Orders!F259</f>
        <v>0.2</v>
      </c>
      <c r="K259" s="6" t="n">
        <f aca="false">G259*H259</f>
        <v>2499</v>
      </c>
      <c r="L259" s="6" t="n">
        <f aca="false">K259*J259</f>
        <v>499.8</v>
      </c>
      <c r="M259" s="6" t="n">
        <f aca="false">K259-L259</f>
        <v>1999.2</v>
      </c>
      <c r="N259" s="6" t="n">
        <f aca="false">G259*I259</f>
        <v>1600</v>
      </c>
      <c r="O259" s="6" t="n">
        <f aca="false">M259-N259</f>
        <v>399.2</v>
      </c>
      <c r="P259" s="21" t="n">
        <f aca="false">IFERROR(O259/M259,0)</f>
        <v>0.19967987194878</v>
      </c>
      <c r="Q259" s="6" t="str">
        <f aca="false">Orders!H259</f>
        <v>Delivered</v>
      </c>
      <c r="R259" s="1" t="str">
        <f aca="false">INDEX(Customers!$C$2:$C$301,MATCH(C259,Customers!$A$2:$A$301,0))</f>
        <v>Bhopal</v>
      </c>
      <c r="S259" s="1" t="str">
        <f aca="false">INDEX(Customers!$E$2:$E$301,MATCH(C259,Customers!$A$2:$A$301,0))</f>
        <v>Returning</v>
      </c>
      <c r="T259" s="6" t="str">
        <f aca="false">Orders!I259</f>
        <v>Mobile App</v>
      </c>
      <c r="U259" s="1" t="str">
        <f aca="false">IF(Q259="Delivered","Completed",IF(Q259="Cancelled","Cancelled",IF(Q259="Returned","Returned","In Progress")))</f>
        <v>Completed</v>
      </c>
      <c r="V259" s="1" t="str">
        <f aca="false">IF(M259&gt;=10000,"High Value",IF(M259&gt;=5000,"Medium Value","Low Value"))</f>
        <v>Low Value</v>
      </c>
      <c r="W259" s="1" t="str">
        <f aca="false">IF(O259&gt;0,"Profitable",IF(O259=0,"Break-even","Loss"))</f>
        <v>Profitable</v>
      </c>
      <c r="X259" s="1" t="str">
        <f aca="false">IF(Q259="Cancelled","Not Applicable",IF(Q259="Processing","Pending",IF(B259="","Unknown",IF(Orders!J259="","Unknown",IF(Orders!J259&lt;=3,"Fast",IF(Orders!J259&lt;=6,"Standard","Slow"))))))</f>
        <v>Slow</v>
      </c>
      <c r="Y259" s="1" t="n">
        <f aca="false">IF(OR(Q259="Cancelled",Q259="Returned"),0,O259)</f>
        <v>399.2</v>
      </c>
    </row>
    <row r="260" customFormat="false" ht="15" hidden="false" customHeight="false" outlineLevel="0" collapsed="false">
      <c r="A260" s="6" t="str">
        <f aca="false">Orders!A260</f>
        <v>O000259</v>
      </c>
      <c r="B260" s="19" t="n">
        <f aca="false">Orders!B260</f>
        <v>45962</v>
      </c>
      <c r="C260" s="6" t="str">
        <f aca="false">Orders!C260</f>
        <v>C0282</v>
      </c>
      <c r="D260" s="6" t="str">
        <f aca="false">Orders!D260</f>
        <v>P1060</v>
      </c>
      <c r="E260" s="6" t="str">
        <f aca="false">INDEX(Products!$B$2:$B$101,MATCH(D260,Products!$A$2:$A$101,0))</f>
        <v>Yoga Mat</v>
      </c>
      <c r="F260" s="1" t="str">
        <f aca="false">INDEX(Products!$C$2:$C$101,MATCH(D260,Products!$A$2:$A$101,0))</f>
        <v>Sports &amp; Outdoors</v>
      </c>
      <c r="G260" s="6" t="n">
        <f aca="false">Orders!E260</f>
        <v>1</v>
      </c>
      <c r="H260" s="16" t="n">
        <f aca="false">INDEX(Products!$D$2:$D$101,MATCH(D260,Products!$A$2:$A$101,0))</f>
        <v>799</v>
      </c>
      <c r="I260" s="16" t="n">
        <f aca="false">INDEX(Products!$E$2:$E$101,MATCH(D260,Products!$A$2:$A$101,0))</f>
        <v>350</v>
      </c>
      <c r="J260" s="20" t="n">
        <f aca="false">Orders!F260</f>
        <v>0</v>
      </c>
      <c r="K260" s="6" t="n">
        <f aca="false">G260*H260</f>
        <v>799</v>
      </c>
      <c r="L260" s="6" t="n">
        <f aca="false">K260*J260</f>
        <v>0</v>
      </c>
      <c r="M260" s="6" t="n">
        <f aca="false">K260-L260</f>
        <v>799</v>
      </c>
      <c r="N260" s="6" t="n">
        <f aca="false">G260*I260</f>
        <v>350</v>
      </c>
      <c r="O260" s="6" t="n">
        <f aca="false">M260-N260</f>
        <v>449</v>
      </c>
      <c r="P260" s="21" t="n">
        <f aca="false">IFERROR(O260/M260,0)</f>
        <v>0.561952440550688</v>
      </c>
      <c r="Q260" s="6" t="str">
        <f aca="false">Orders!H260</f>
        <v>Delivered</v>
      </c>
      <c r="R260" s="1" t="str">
        <f aca="false">INDEX(Customers!$C$2:$C$301,MATCH(C260,Customers!$A$2:$A$301,0))</f>
        <v>Mumbai</v>
      </c>
      <c r="S260" s="1" t="str">
        <f aca="false">INDEX(Customers!$E$2:$E$301,MATCH(C260,Customers!$A$2:$A$301,0))</f>
        <v>Returning</v>
      </c>
      <c r="T260" s="6" t="str">
        <f aca="false">Orders!I260</f>
        <v>Mobile App</v>
      </c>
      <c r="U260" s="1" t="str">
        <f aca="false">IF(Q260="Delivered","Completed",IF(Q260="Cancelled","Cancelled",IF(Q260="Returned","Returned","In Progress")))</f>
        <v>Completed</v>
      </c>
      <c r="V260" s="1" t="str">
        <f aca="false">IF(M260&gt;=10000,"High Value",IF(M260&gt;=5000,"Medium Value","Low Value"))</f>
        <v>Low Value</v>
      </c>
      <c r="W260" s="1" t="str">
        <f aca="false">IF(O260&gt;0,"Profitable",IF(O260=0,"Break-even","Loss"))</f>
        <v>Profitable</v>
      </c>
      <c r="X260" s="1" t="str">
        <f aca="false">IF(Q260="Cancelled","Not Applicable",IF(Q260="Processing","Pending",IF(B260="","Unknown",IF(Orders!J260="","Unknown",IF(Orders!J260&lt;=3,"Fast",IF(Orders!J260&lt;=6,"Standard","Slow"))))))</f>
        <v>Standard</v>
      </c>
      <c r="Y260" s="1" t="n">
        <f aca="false">IF(OR(Q260="Cancelled",Q260="Returned"),0,O260)</f>
        <v>449</v>
      </c>
    </row>
    <row r="261" customFormat="false" ht="15" hidden="false" customHeight="false" outlineLevel="0" collapsed="false">
      <c r="A261" s="6" t="str">
        <f aca="false">Orders!A261</f>
        <v>O000260</v>
      </c>
      <c r="B261" s="19" t="n">
        <f aca="false">Orders!B261</f>
        <v>45831</v>
      </c>
      <c r="C261" s="6" t="str">
        <f aca="false">Orders!C261</f>
        <v>C0096</v>
      </c>
      <c r="D261" s="6" t="str">
        <f aca="false">Orders!D261</f>
        <v>P1021</v>
      </c>
      <c r="E261" s="6" t="str">
        <f aca="false">INDEX(Products!$B$2:$B$101,MATCH(D261,Products!$A$2:$A$101,0))</f>
        <v>Handbag</v>
      </c>
      <c r="F261" s="1" t="str">
        <f aca="false">INDEX(Products!$C$2:$C$101,MATCH(D261,Products!$A$2:$A$101,0))</f>
        <v>Fashion</v>
      </c>
      <c r="G261" s="6" t="n">
        <f aca="false">Orders!E261</f>
        <v>2</v>
      </c>
      <c r="H261" s="16" t="n">
        <f aca="false">INDEX(Products!$D$2:$D$101,MATCH(D261,Products!$A$2:$A$101,0))</f>
        <v>1499</v>
      </c>
      <c r="I261" s="16" t="n">
        <f aca="false">INDEX(Products!$E$2:$E$101,MATCH(D261,Products!$A$2:$A$101,0))</f>
        <v>700</v>
      </c>
      <c r="J261" s="20" t="n">
        <f aca="false">Orders!F261</f>
        <v>0.2</v>
      </c>
      <c r="K261" s="6" t="n">
        <f aca="false">G261*H261</f>
        <v>2998</v>
      </c>
      <c r="L261" s="6" t="n">
        <f aca="false">K261*J261</f>
        <v>599.6</v>
      </c>
      <c r="M261" s="6" t="n">
        <f aca="false">K261-L261</f>
        <v>2398.4</v>
      </c>
      <c r="N261" s="6" t="n">
        <f aca="false">G261*I261</f>
        <v>1400</v>
      </c>
      <c r="O261" s="6" t="n">
        <f aca="false">M261-N261</f>
        <v>998.4</v>
      </c>
      <c r="P261" s="21" t="n">
        <f aca="false">IFERROR(O261/M261,0)</f>
        <v>0.416277518345564</v>
      </c>
      <c r="Q261" s="6" t="str">
        <f aca="false">Orders!H261</f>
        <v>Delivered</v>
      </c>
      <c r="R261" s="1" t="str">
        <f aca="false">INDEX(Customers!$C$2:$C$301,MATCH(C261,Customers!$A$2:$A$301,0))</f>
        <v>Chandigarh</v>
      </c>
      <c r="S261" s="1" t="str">
        <f aca="false">INDEX(Customers!$E$2:$E$301,MATCH(C261,Customers!$A$2:$A$301,0))</f>
        <v>VIP</v>
      </c>
      <c r="T261" s="6" t="str">
        <f aca="false">Orders!I261</f>
        <v>Mobile App</v>
      </c>
      <c r="U261" s="1" t="str">
        <f aca="false">IF(Q261="Delivered","Completed",IF(Q261="Cancelled","Cancelled",IF(Q261="Returned","Returned","In Progress")))</f>
        <v>Completed</v>
      </c>
      <c r="V261" s="1" t="str">
        <f aca="false">IF(M261&gt;=10000,"High Value",IF(M261&gt;=5000,"Medium Value","Low Value"))</f>
        <v>Low Value</v>
      </c>
      <c r="W261" s="1" t="str">
        <f aca="false">IF(O261&gt;0,"Profitable",IF(O261=0,"Break-even","Loss"))</f>
        <v>Profitable</v>
      </c>
      <c r="X261" s="1" t="str">
        <f aca="false">IF(Q261="Cancelled","Not Applicable",IF(Q261="Processing","Pending",IF(B261="","Unknown",IF(Orders!J261="","Unknown",IF(Orders!J261&lt;=3,"Fast",IF(Orders!J261&lt;=6,"Standard","Slow"))))))</f>
        <v>Standard</v>
      </c>
      <c r="Y261" s="1" t="n">
        <f aca="false">IF(OR(Q261="Cancelled",Q261="Returned"),0,O261)</f>
        <v>998.4</v>
      </c>
    </row>
    <row r="262" customFormat="false" ht="15" hidden="false" customHeight="false" outlineLevel="0" collapsed="false">
      <c r="A262" s="6" t="str">
        <f aca="false">Orders!A262</f>
        <v>O000261</v>
      </c>
      <c r="B262" s="19" t="n">
        <f aca="false">Orders!B262</f>
        <v>45947</v>
      </c>
      <c r="C262" s="6" t="str">
        <f aca="false">Orders!C262</f>
        <v>C0178</v>
      </c>
      <c r="D262" s="6" t="str">
        <f aca="false">Orders!D262</f>
        <v>P1020</v>
      </c>
      <c r="E262" s="6" t="str">
        <f aca="false">INDEX(Products!$B$2:$B$101,MATCH(D262,Products!$A$2:$A$101,0))</f>
        <v>Backpack</v>
      </c>
      <c r="F262" s="1" t="str">
        <f aca="false">INDEX(Products!$C$2:$C$101,MATCH(D262,Products!$A$2:$A$101,0))</f>
        <v>Fashion</v>
      </c>
      <c r="G262" s="6" t="n">
        <f aca="false">Orders!E262</f>
        <v>3</v>
      </c>
      <c r="H262" s="16" t="n">
        <f aca="false">INDEX(Products!$D$2:$D$101,MATCH(D262,Products!$A$2:$A$101,0))</f>
        <v>1199</v>
      </c>
      <c r="I262" s="16" t="n">
        <f aca="false">INDEX(Products!$E$2:$E$101,MATCH(D262,Products!$A$2:$A$101,0))</f>
        <v>600</v>
      </c>
      <c r="J262" s="20" t="n">
        <f aca="false">Orders!F262</f>
        <v>0</v>
      </c>
      <c r="K262" s="6" t="n">
        <f aca="false">G262*H262</f>
        <v>3597</v>
      </c>
      <c r="L262" s="6" t="n">
        <f aca="false">K262*J262</f>
        <v>0</v>
      </c>
      <c r="M262" s="6" t="n">
        <f aca="false">K262-L262</f>
        <v>3597</v>
      </c>
      <c r="N262" s="6" t="n">
        <f aca="false">G262*I262</f>
        <v>1800</v>
      </c>
      <c r="O262" s="6" t="n">
        <f aca="false">M262-N262</f>
        <v>1797</v>
      </c>
      <c r="P262" s="21" t="n">
        <f aca="false">IFERROR(O262/M262,0)</f>
        <v>0.499582985821518</v>
      </c>
      <c r="Q262" s="6" t="str">
        <f aca="false">Orders!H262</f>
        <v>Delivered</v>
      </c>
      <c r="R262" s="1" t="str">
        <f aca="false">INDEX(Customers!$C$2:$C$301,MATCH(C262,Customers!$A$2:$A$301,0))</f>
        <v>Nagpur</v>
      </c>
      <c r="S262" s="1" t="str">
        <f aca="false">INDEX(Customers!$E$2:$E$301,MATCH(C262,Customers!$A$2:$A$301,0))</f>
        <v>VIP</v>
      </c>
      <c r="T262" s="6" t="str">
        <f aca="false">Orders!I262</f>
        <v>Website</v>
      </c>
      <c r="U262" s="1" t="str">
        <f aca="false">IF(Q262="Delivered","Completed",IF(Q262="Cancelled","Cancelled",IF(Q262="Returned","Returned","In Progress")))</f>
        <v>Completed</v>
      </c>
      <c r="V262" s="1" t="str">
        <f aca="false">IF(M262&gt;=10000,"High Value",IF(M262&gt;=5000,"Medium Value","Low Value"))</f>
        <v>Low Value</v>
      </c>
      <c r="W262" s="1" t="str">
        <f aca="false">IF(O262&gt;0,"Profitable",IF(O262=0,"Break-even","Loss"))</f>
        <v>Profitable</v>
      </c>
      <c r="X262" s="1" t="str">
        <f aca="false">IF(Q262="Cancelled","Not Applicable",IF(Q262="Processing","Pending",IF(B262="","Unknown",IF(Orders!J262="","Unknown",IF(Orders!J262&lt;=3,"Fast",IF(Orders!J262&lt;=6,"Standard","Slow"))))))</f>
        <v>Fast</v>
      </c>
      <c r="Y262" s="1" t="n">
        <f aca="false">IF(OR(Q262="Cancelled",Q262="Returned"),0,O262)</f>
        <v>1797</v>
      </c>
    </row>
    <row r="263" customFormat="false" ht="15" hidden="false" customHeight="false" outlineLevel="0" collapsed="false">
      <c r="A263" s="6" t="str">
        <f aca="false">Orders!A263</f>
        <v>O000262</v>
      </c>
      <c r="B263" s="19" t="n">
        <f aca="false">Orders!B263</f>
        <v>45967</v>
      </c>
      <c r="C263" s="6" t="str">
        <f aca="false">Orders!C263</f>
        <v>C0189</v>
      </c>
      <c r="D263" s="6" t="str">
        <f aca="false">Orders!D263</f>
        <v>P1023</v>
      </c>
      <c r="E263" s="6" t="str">
        <f aca="false">INDEX(Products!$B$2:$B$101,MATCH(D263,Products!$A$2:$A$101,0))</f>
        <v>Sports Cap</v>
      </c>
      <c r="F263" s="1" t="str">
        <f aca="false">INDEX(Products!$C$2:$C$101,MATCH(D263,Products!$A$2:$A$101,0))</f>
        <v>Fashion</v>
      </c>
      <c r="G263" s="6" t="n">
        <f aca="false">Orders!E263</f>
        <v>1</v>
      </c>
      <c r="H263" s="16" t="n">
        <f aca="false">INDEX(Products!$D$2:$D$101,MATCH(D263,Products!$A$2:$A$101,0))</f>
        <v>349</v>
      </c>
      <c r="I263" s="16" t="n">
        <f aca="false">INDEX(Products!$E$2:$E$101,MATCH(D263,Products!$A$2:$A$101,0))</f>
        <v>120</v>
      </c>
      <c r="J263" s="20" t="n">
        <f aca="false">Orders!F263</f>
        <v>0.1</v>
      </c>
      <c r="K263" s="6" t="n">
        <f aca="false">G263*H263</f>
        <v>349</v>
      </c>
      <c r="L263" s="6" t="n">
        <f aca="false">K263*J263</f>
        <v>34.9</v>
      </c>
      <c r="M263" s="6" t="n">
        <f aca="false">K263-L263</f>
        <v>314.1</v>
      </c>
      <c r="N263" s="6" t="n">
        <f aca="false">G263*I263</f>
        <v>120</v>
      </c>
      <c r="O263" s="6" t="n">
        <f aca="false">M263-N263</f>
        <v>194.1</v>
      </c>
      <c r="P263" s="21" t="n">
        <f aca="false">IFERROR(O263/M263,0)</f>
        <v>0.617956064947469</v>
      </c>
      <c r="Q263" s="6" t="str">
        <f aca="false">Orders!H263</f>
        <v>Delivered</v>
      </c>
      <c r="R263" s="1" t="str">
        <f aca="false">INDEX(Customers!$C$2:$C$301,MATCH(C263,Customers!$A$2:$A$301,0))</f>
        <v>Ahmedabad</v>
      </c>
      <c r="S263" s="1" t="str">
        <f aca="false">INDEX(Customers!$E$2:$E$301,MATCH(C263,Customers!$A$2:$A$301,0))</f>
        <v>New</v>
      </c>
      <c r="T263" s="6" t="str">
        <f aca="false">Orders!I263</f>
        <v>Mobile App</v>
      </c>
      <c r="U263" s="1" t="str">
        <f aca="false">IF(Q263="Delivered","Completed",IF(Q263="Cancelled","Cancelled",IF(Q263="Returned","Returned","In Progress")))</f>
        <v>Completed</v>
      </c>
      <c r="V263" s="1" t="str">
        <f aca="false">IF(M263&gt;=10000,"High Value",IF(M263&gt;=5000,"Medium Value","Low Value"))</f>
        <v>Low Value</v>
      </c>
      <c r="W263" s="1" t="str">
        <f aca="false">IF(O263&gt;0,"Profitable",IF(O263=0,"Break-even","Loss"))</f>
        <v>Profitable</v>
      </c>
      <c r="X263" s="1" t="str">
        <f aca="false">IF(Q263="Cancelled","Not Applicable",IF(Q263="Processing","Pending",IF(B263="","Unknown",IF(Orders!J263="","Unknown",IF(Orders!J263&lt;=3,"Fast",IF(Orders!J263&lt;=6,"Standard","Slow"))))))</f>
        <v>Slow</v>
      </c>
      <c r="Y263" s="1" t="n">
        <f aca="false">IF(OR(Q263="Cancelled",Q263="Returned"),0,O263)</f>
        <v>194.1</v>
      </c>
    </row>
    <row r="264" customFormat="false" ht="15" hidden="false" customHeight="false" outlineLevel="0" collapsed="false">
      <c r="A264" s="6" t="str">
        <f aca="false">Orders!A264</f>
        <v>O000263</v>
      </c>
      <c r="B264" s="19" t="n">
        <f aca="false">Orders!B264</f>
        <v>45846</v>
      </c>
      <c r="C264" s="6" t="str">
        <f aca="false">Orders!C264</f>
        <v>C0145</v>
      </c>
      <c r="D264" s="6" t="str">
        <f aca="false">Orders!D264</f>
        <v>P1019</v>
      </c>
      <c r="E264" s="6" t="str">
        <f aca="false">INDEX(Products!$B$2:$B$101,MATCH(D264,Products!$A$2:$A$101,0))</f>
        <v>Running Shoes</v>
      </c>
      <c r="F264" s="1" t="str">
        <f aca="false">INDEX(Products!$C$2:$C$101,MATCH(D264,Products!$A$2:$A$101,0))</f>
        <v>Fashion</v>
      </c>
      <c r="G264" s="6" t="n">
        <f aca="false">Orders!E264</f>
        <v>3</v>
      </c>
      <c r="H264" s="16" t="n">
        <f aca="false">INDEX(Products!$D$2:$D$101,MATCH(D264,Products!$A$2:$A$101,0))</f>
        <v>1999</v>
      </c>
      <c r="I264" s="16" t="n">
        <f aca="false">INDEX(Products!$E$2:$E$101,MATCH(D264,Products!$A$2:$A$101,0))</f>
        <v>1100</v>
      </c>
      <c r="J264" s="20" t="n">
        <f aca="false">Orders!F264</f>
        <v>0.15</v>
      </c>
      <c r="K264" s="6" t="n">
        <f aca="false">G264*H264</f>
        <v>5997</v>
      </c>
      <c r="L264" s="6" t="n">
        <f aca="false">K264*J264</f>
        <v>899.55</v>
      </c>
      <c r="M264" s="6" t="n">
        <f aca="false">K264-L264</f>
        <v>5097.45</v>
      </c>
      <c r="N264" s="6" t="n">
        <f aca="false">G264*I264</f>
        <v>3300</v>
      </c>
      <c r="O264" s="6" t="n">
        <f aca="false">M264-N264</f>
        <v>1797.45</v>
      </c>
      <c r="P264" s="21" t="n">
        <f aca="false">IFERROR(O264/M264,0)</f>
        <v>0.352617485213195</v>
      </c>
      <c r="Q264" s="6" t="str">
        <f aca="false">Orders!H264</f>
        <v>Returned</v>
      </c>
      <c r="R264" s="1" t="str">
        <f aca="false">INDEX(Customers!$C$2:$C$301,MATCH(C264,Customers!$A$2:$A$301,0))</f>
        <v>Chennai</v>
      </c>
      <c r="S264" s="1" t="str">
        <f aca="false">INDEX(Customers!$E$2:$E$301,MATCH(C264,Customers!$A$2:$A$301,0))</f>
        <v>New</v>
      </c>
      <c r="T264" s="6" t="str">
        <f aca="false">Orders!I264</f>
        <v>Website</v>
      </c>
      <c r="U264" s="1" t="str">
        <f aca="false">IF(Q264="Delivered","Completed",IF(Q264="Cancelled","Cancelled",IF(Q264="Returned","Returned","In Progress")))</f>
        <v>Returned</v>
      </c>
      <c r="V264" s="1" t="str">
        <f aca="false">IF(M264&gt;=10000,"High Value",IF(M264&gt;=5000,"Medium Value","Low Value"))</f>
        <v>Medium Value</v>
      </c>
      <c r="W264" s="1" t="str">
        <f aca="false">IF(O264&gt;0,"Profitable",IF(O264=0,"Break-even","Loss"))</f>
        <v>Profitable</v>
      </c>
      <c r="X264" s="1" t="str">
        <f aca="false">IF(Q264="Cancelled","Not Applicable",IF(Q264="Processing","Pending",IF(B264="","Unknown",IF(Orders!J264="","Unknown",IF(Orders!J264&lt;=3,"Fast",IF(Orders!J264&lt;=6,"Standard","Slow"))))))</f>
        <v>Fast</v>
      </c>
      <c r="Y264" s="1" t="n">
        <f aca="false">IF(OR(Q264="Cancelled",Q264="Returned"),0,O264)</f>
        <v>0</v>
      </c>
    </row>
    <row r="265" customFormat="false" ht="15" hidden="false" customHeight="false" outlineLevel="0" collapsed="false">
      <c r="A265" s="6" t="str">
        <f aca="false">Orders!A265</f>
        <v>O000264</v>
      </c>
      <c r="B265" s="19" t="n">
        <f aca="false">Orders!B265</f>
        <v>45695</v>
      </c>
      <c r="C265" s="6" t="str">
        <f aca="false">Orders!C265</f>
        <v>C0078</v>
      </c>
      <c r="D265" s="6" t="str">
        <f aca="false">Orders!D265</f>
        <v>P1068</v>
      </c>
      <c r="E265" s="6" t="str">
        <f aca="false">INDEX(Products!$B$2:$B$101,MATCH(D265,Products!$A$2:$A$101,0))</f>
        <v>Cycling Bottle</v>
      </c>
      <c r="F265" s="1" t="str">
        <f aca="false">INDEX(Products!$C$2:$C$101,MATCH(D265,Products!$A$2:$A$101,0))</f>
        <v>Sports &amp; Outdoors</v>
      </c>
      <c r="G265" s="6" t="n">
        <f aca="false">Orders!E265</f>
        <v>2</v>
      </c>
      <c r="H265" s="16" t="n">
        <f aca="false">INDEX(Products!$D$2:$D$101,MATCH(D265,Products!$A$2:$A$101,0))</f>
        <v>349</v>
      </c>
      <c r="I265" s="16" t="n">
        <f aca="false">INDEX(Products!$E$2:$E$101,MATCH(D265,Products!$A$2:$A$101,0))</f>
        <v>120</v>
      </c>
      <c r="J265" s="20" t="n">
        <f aca="false">Orders!F265</f>
        <v>0</v>
      </c>
      <c r="K265" s="6" t="n">
        <f aca="false">G265*H265</f>
        <v>698</v>
      </c>
      <c r="L265" s="6" t="n">
        <f aca="false">K265*J265</f>
        <v>0</v>
      </c>
      <c r="M265" s="6" t="n">
        <f aca="false">K265-L265</f>
        <v>698</v>
      </c>
      <c r="N265" s="6" t="n">
        <f aca="false">G265*I265</f>
        <v>240</v>
      </c>
      <c r="O265" s="6" t="n">
        <f aca="false">M265-N265</f>
        <v>458</v>
      </c>
      <c r="P265" s="21" t="n">
        <f aca="false">IFERROR(O265/M265,0)</f>
        <v>0.656160458452722</v>
      </c>
      <c r="Q265" s="6" t="str">
        <f aca="false">Orders!H265</f>
        <v>Cancelled</v>
      </c>
      <c r="R265" s="1" t="str">
        <f aca="false">INDEX(Customers!$C$2:$C$301,MATCH(C265,Customers!$A$2:$A$301,0))</f>
        <v>Nagpur</v>
      </c>
      <c r="S265" s="1" t="str">
        <f aca="false">INDEX(Customers!$E$2:$E$301,MATCH(C265,Customers!$A$2:$A$301,0))</f>
        <v>New</v>
      </c>
      <c r="T265" s="6" t="str">
        <f aca="false">Orders!I265</f>
        <v>Marketplace</v>
      </c>
      <c r="U265" s="1" t="str">
        <f aca="false">IF(Q265="Delivered","Completed",IF(Q265="Cancelled","Cancelled",IF(Q265="Returned","Returned","In Progress")))</f>
        <v>Cancelled</v>
      </c>
      <c r="V265" s="1" t="str">
        <f aca="false">IF(M265&gt;=10000,"High Value",IF(M265&gt;=5000,"Medium Value","Low Value"))</f>
        <v>Low Value</v>
      </c>
      <c r="W265" s="1" t="str">
        <f aca="false">IF(O265&gt;0,"Profitable",IF(O265=0,"Break-even","Loss"))</f>
        <v>Profitable</v>
      </c>
      <c r="X265" s="1" t="str">
        <f aca="false">IF(Q265="Cancelled","Not Applicable",IF(Q265="Processing","Pending",IF(B265="","Unknown",IF(Orders!J265="","Unknown",IF(Orders!J265&lt;=3,"Fast",IF(Orders!J265&lt;=6,"Standard","Slow"))))))</f>
        <v>Not Applicable</v>
      </c>
      <c r="Y265" s="1" t="n">
        <f aca="false">IF(OR(Q265="Cancelled",Q265="Returned"),0,O265)</f>
        <v>0</v>
      </c>
    </row>
    <row r="266" customFormat="false" ht="15" hidden="false" customHeight="false" outlineLevel="0" collapsed="false">
      <c r="A266" s="6" t="str">
        <f aca="false">Orders!A266</f>
        <v>O000265</v>
      </c>
      <c r="B266" s="19" t="n">
        <f aca="false">Orders!B266</f>
        <v>45912</v>
      </c>
      <c r="C266" s="6" t="str">
        <f aca="false">Orders!C266</f>
        <v>C0295</v>
      </c>
      <c r="D266" s="6" t="str">
        <f aca="false">Orders!D266</f>
        <v>P1017</v>
      </c>
      <c r="E266" s="6" t="str">
        <f aca="false">INDEX(Products!$B$2:$B$101,MATCH(D266,Products!$A$2:$A$101,0))</f>
        <v>Denim Jeans</v>
      </c>
      <c r="F266" s="1" t="str">
        <f aca="false">INDEX(Products!$C$2:$C$101,MATCH(D266,Products!$A$2:$A$101,0))</f>
        <v>Fashion</v>
      </c>
      <c r="G266" s="6" t="n">
        <f aca="false">Orders!E266</f>
        <v>3</v>
      </c>
      <c r="H266" s="16" t="n">
        <f aca="false">INDEX(Products!$D$2:$D$101,MATCH(D266,Products!$A$2:$A$101,0))</f>
        <v>1299</v>
      </c>
      <c r="I266" s="16" t="n">
        <f aca="false">INDEX(Products!$E$2:$E$101,MATCH(D266,Products!$A$2:$A$101,0))</f>
        <v>650</v>
      </c>
      <c r="J266" s="20" t="n">
        <f aca="false">Orders!F266</f>
        <v>0.1</v>
      </c>
      <c r="K266" s="6" t="n">
        <f aca="false">G266*H266</f>
        <v>3897</v>
      </c>
      <c r="L266" s="6" t="n">
        <f aca="false">K266*J266</f>
        <v>389.7</v>
      </c>
      <c r="M266" s="6" t="n">
        <f aca="false">K266-L266</f>
        <v>3507.3</v>
      </c>
      <c r="N266" s="6" t="n">
        <f aca="false">G266*I266</f>
        <v>1950</v>
      </c>
      <c r="O266" s="6" t="n">
        <f aca="false">M266-N266</f>
        <v>1557.3</v>
      </c>
      <c r="P266" s="21" t="n">
        <f aca="false">IFERROR(O266/M266,0)</f>
        <v>0.444016765032931</v>
      </c>
      <c r="Q266" s="6" t="str">
        <f aca="false">Orders!H266</f>
        <v>Delivered</v>
      </c>
      <c r="R266" s="1" t="str">
        <f aca="false">INDEX(Customers!$C$2:$C$301,MATCH(C266,Customers!$A$2:$A$301,0))</f>
        <v>Bhopal</v>
      </c>
      <c r="S266" s="1" t="str">
        <f aca="false">INDEX(Customers!$E$2:$E$301,MATCH(C266,Customers!$A$2:$A$301,0))</f>
        <v>Returning</v>
      </c>
      <c r="T266" s="6" t="str">
        <f aca="false">Orders!I266</f>
        <v>Mobile App</v>
      </c>
      <c r="U266" s="1" t="str">
        <f aca="false">IF(Q266="Delivered","Completed",IF(Q266="Cancelled","Cancelled",IF(Q266="Returned","Returned","In Progress")))</f>
        <v>Completed</v>
      </c>
      <c r="V266" s="1" t="str">
        <f aca="false">IF(M266&gt;=10000,"High Value",IF(M266&gt;=5000,"Medium Value","Low Value"))</f>
        <v>Low Value</v>
      </c>
      <c r="W266" s="1" t="str">
        <f aca="false">IF(O266&gt;0,"Profitable",IF(O266=0,"Break-even","Loss"))</f>
        <v>Profitable</v>
      </c>
      <c r="X266" s="1" t="str">
        <f aca="false">IF(Q266="Cancelled","Not Applicable",IF(Q266="Processing","Pending",IF(B266="","Unknown",IF(Orders!J266="","Unknown",IF(Orders!J266&lt;=3,"Fast",IF(Orders!J266&lt;=6,"Standard","Slow"))))))</f>
        <v>Slow</v>
      </c>
      <c r="Y266" s="1" t="n">
        <f aca="false">IF(OR(Q266="Cancelled",Q266="Returned"),0,O266)</f>
        <v>1557.3</v>
      </c>
    </row>
    <row r="267" customFormat="false" ht="15" hidden="false" customHeight="false" outlineLevel="0" collapsed="false">
      <c r="A267" s="6" t="str">
        <f aca="false">Orders!A267</f>
        <v>O000266</v>
      </c>
      <c r="B267" s="19" t="n">
        <f aca="false">Orders!B267</f>
        <v>45726</v>
      </c>
      <c r="C267" s="6" t="str">
        <f aca="false">Orders!C267</f>
        <v>C0265</v>
      </c>
      <c r="D267" s="6" t="str">
        <f aca="false">Orders!D267</f>
        <v>P1019</v>
      </c>
      <c r="E267" s="6" t="str">
        <f aca="false">INDEX(Products!$B$2:$B$101,MATCH(D267,Products!$A$2:$A$101,0))</f>
        <v>Running Shoes</v>
      </c>
      <c r="F267" s="1" t="str">
        <f aca="false">INDEX(Products!$C$2:$C$101,MATCH(D267,Products!$A$2:$A$101,0))</f>
        <v>Fashion</v>
      </c>
      <c r="G267" s="6" t="n">
        <f aca="false">Orders!E267</f>
        <v>4</v>
      </c>
      <c r="H267" s="16" t="n">
        <f aca="false">INDEX(Products!$D$2:$D$101,MATCH(D267,Products!$A$2:$A$101,0))</f>
        <v>1999</v>
      </c>
      <c r="I267" s="16" t="n">
        <f aca="false">INDEX(Products!$E$2:$E$101,MATCH(D267,Products!$A$2:$A$101,0))</f>
        <v>1100</v>
      </c>
      <c r="J267" s="20" t="n">
        <f aca="false">Orders!F267</f>
        <v>0.2</v>
      </c>
      <c r="K267" s="6" t="n">
        <f aca="false">G267*H267</f>
        <v>7996</v>
      </c>
      <c r="L267" s="6" t="n">
        <f aca="false">K267*J267</f>
        <v>1599.2</v>
      </c>
      <c r="M267" s="6" t="n">
        <f aca="false">K267-L267</f>
        <v>6396.8</v>
      </c>
      <c r="N267" s="6" t="n">
        <f aca="false">G267*I267</f>
        <v>4400</v>
      </c>
      <c r="O267" s="6" t="n">
        <f aca="false">M267-N267</f>
        <v>1996.8</v>
      </c>
      <c r="P267" s="21" t="n">
        <f aca="false">IFERROR(O267/M267,0)</f>
        <v>0.31215607803902</v>
      </c>
      <c r="Q267" s="6" t="str">
        <f aca="false">Orders!H267</f>
        <v>Delivered</v>
      </c>
      <c r="R267" s="1" t="str">
        <f aca="false">INDEX(Customers!$C$2:$C$301,MATCH(C267,Customers!$A$2:$A$301,0))</f>
        <v>Chennai</v>
      </c>
      <c r="S267" s="1" t="str">
        <f aca="false">INDEX(Customers!$E$2:$E$301,MATCH(C267,Customers!$A$2:$A$301,0))</f>
        <v>VIP</v>
      </c>
      <c r="T267" s="6" t="str">
        <f aca="false">Orders!I267</f>
        <v>Mobile App</v>
      </c>
      <c r="U267" s="1" t="str">
        <f aca="false">IF(Q267="Delivered","Completed",IF(Q267="Cancelled","Cancelled",IF(Q267="Returned","Returned","In Progress")))</f>
        <v>Completed</v>
      </c>
      <c r="V267" s="1" t="str">
        <f aca="false">IF(M267&gt;=10000,"High Value",IF(M267&gt;=5000,"Medium Value","Low Value"))</f>
        <v>Medium Value</v>
      </c>
      <c r="W267" s="1" t="str">
        <f aca="false">IF(O267&gt;0,"Profitable",IF(O267=0,"Break-even","Loss"))</f>
        <v>Profitable</v>
      </c>
      <c r="X267" s="1" t="str">
        <f aca="false">IF(Q267="Cancelled","Not Applicable",IF(Q267="Processing","Pending",IF(B267="","Unknown",IF(Orders!J267="","Unknown",IF(Orders!J267&lt;=3,"Fast",IF(Orders!J267&lt;=6,"Standard","Slow"))))))</f>
        <v>Standard</v>
      </c>
      <c r="Y267" s="1" t="n">
        <f aca="false">IF(OR(Q267="Cancelled",Q267="Returned"),0,O267)</f>
        <v>1996.8</v>
      </c>
    </row>
    <row r="268" customFormat="false" ht="15" hidden="false" customHeight="false" outlineLevel="0" collapsed="false">
      <c r="A268" s="6" t="str">
        <f aca="false">Orders!A268</f>
        <v>O000267</v>
      </c>
      <c r="B268" s="19" t="n">
        <f aca="false">Orders!B268</f>
        <v>45761</v>
      </c>
      <c r="C268" s="6" t="str">
        <f aca="false">Orders!C268</f>
        <v>C0246</v>
      </c>
      <c r="D268" s="6" t="str">
        <f aca="false">Orders!D268</f>
        <v>P1067</v>
      </c>
      <c r="E268" s="6" t="str">
        <f aca="false">INDEX(Products!$B$2:$B$101,MATCH(D268,Products!$A$2:$A$101,0))</f>
        <v>Camping Torch</v>
      </c>
      <c r="F268" s="1" t="str">
        <f aca="false">INDEX(Products!$C$2:$C$101,MATCH(D268,Products!$A$2:$A$101,0))</f>
        <v>Sports &amp; Outdoors</v>
      </c>
      <c r="G268" s="6" t="n">
        <f aca="false">Orders!E268</f>
        <v>3</v>
      </c>
      <c r="H268" s="16" t="n">
        <f aca="false">INDEX(Products!$D$2:$D$101,MATCH(D268,Products!$A$2:$A$101,0))</f>
        <v>599</v>
      </c>
      <c r="I268" s="16" t="n">
        <f aca="false">INDEX(Products!$E$2:$E$101,MATCH(D268,Products!$A$2:$A$101,0))</f>
        <v>250</v>
      </c>
      <c r="J268" s="20" t="n">
        <f aca="false">Orders!F268</f>
        <v>0.15</v>
      </c>
      <c r="K268" s="6" t="n">
        <f aca="false">G268*H268</f>
        <v>1797</v>
      </c>
      <c r="L268" s="6" t="n">
        <f aca="false">K268*J268</f>
        <v>269.55</v>
      </c>
      <c r="M268" s="6" t="n">
        <f aca="false">K268-L268</f>
        <v>1527.45</v>
      </c>
      <c r="N268" s="6" t="n">
        <f aca="false">G268*I268</f>
        <v>750</v>
      </c>
      <c r="O268" s="6" t="n">
        <f aca="false">M268-N268</f>
        <v>777.45</v>
      </c>
      <c r="P268" s="21" t="n">
        <f aca="false">IFERROR(O268/M268,0)</f>
        <v>0.508985564175587</v>
      </c>
      <c r="Q268" s="6" t="str">
        <f aca="false">Orders!H268</f>
        <v>Delivered</v>
      </c>
      <c r="R268" s="1" t="str">
        <f aca="false">INDEX(Customers!$C$2:$C$301,MATCH(C268,Customers!$A$2:$A$301,0))</f>
        <v>Kolkata</v>
      </c>
      <c r="S268" s="1" t="str">
        <f aca="false">INDEX(Customers!$E$2:$E$301,MATCH(C268,Customers!$A$2:$A$301,0))</f>
        <v>New</v>
      </c>
      <c r="T268" s="6" t="str">
        <f aca="false">Orders!I268</f>
        <v>Website</v>
      </c>
      <c r="U268" s="1" t="str">
        <f aca="false">IF(Q268="Delivered","Completed",IF(Q268="Cancelled","Cancelled",IF(Q268="Returned","Returned","In Progress")))</f>
        <v>Completed</v>
      </c>
      <c r="V268" s="1" t="str">
        <f aca="false">IF(M268&gt;=10000,"High Value",IF(M268&gt;=5000,"Medium Value","Low Value"))</f>
        <v>Low Value</v>
      </c>
      <c r="W268" s="1" t="str">
        <f aca="false">IF(O268&gt;0,"Profitable",IF(O268=0,"Break-even","Loss"))</f>
        <v>Profitable</v>
      </c>
      <c r="X268" s="1" t="str">
        <f aca="false">IF(Q268="Cancelled","Not Applicable",IF(Q268="Processing","Pending",IF(B268="","Unknown",IF(Orders!J268="","Unknown",IF(Orders!J268&lt;=3,"Fast",IF(Orders!J268&lt;=6,"Standard","Slow"))))))</f>
        <v>Fast</v>
      </c>
      <c r="Y268" s="1" t="n">
        <f aca="false">IF(OR(Q268="Cancelled",Q268="Returned"),0,O268)</f>
        <v>777.45</v>
      </c>
    </row>
    <row r="269" customFormat="false" ht="15" hidden="false" customHeight="false" outlineLevel="0" collapsed="false">
      <c r="A269" s="6" t="str">
        <f aca="false">Orders!A269</f>
        <v>O000268</v>
      </c>
      <c r="B269" s="19" t="n">
        <f aca="false">Orders!B269</f>
        <v>45991</v>
      </c>
      <c r="C269" s="6" t="str">
        <f aca="false">Orders!C269</f>
        <v>C0192</v>
      </c>
      <c r="D269" s="6" t="str">
        <f aca="false">Orders!D269</f>
        <v>P1044</v>
      </c>
      <c r="E269" s="6" t="str">
        <f aca="false">INDEX(Products!$B$2:$B$101,MATCH(D269,Products!$A$2:$A$101,0))</f>
        <v>Doormat</v>
      </c>
      <c r="F269" s="1" t="str">
        <f aca="false">INDEX(Products!$C$2:$C$101,MATCH(D269,Products!$A$2:$A$101,0))</f>
        <v>Home &amp; Kitchen</v>
      </c>
      <c r="G269" s="6" t="n">
        <f aca="false">Orders!E269</f>
        <v>2</v>
      </c>
      <c r="H269" s="16" t="n">
        <f aca="false">INDEX(Products!$D$2:$D$101,MATCH(D269,Products!$A$2:$A$101,0))</f>
        <v>299</v>
      </c>
      <c r="I269" s="16" t="n">
        <f aca="false">INDEX(Products!$E$2:$E$101,MATCH(D269,Products!$A$2:$A$101,0))</f>
        <v>100</v>
      </c>
      <c r="J269" s="20" t="n">
        <f aca="false">Orders!F269</f>
        <v>0.1</v>
      </c>
      <c r="K269" s="6" t="n">
        <f aca="false">G269*H269</f>
        <v>598</v>
      </c>
      <c r="L269" s="6" t="n">
        <f aca="false">K269*J269</f>
        <v>59.8</v>
      </c>
      <c r="M269" s="6" t="n">
        <f aca="false">K269-L269</f>
        <v>538.2</v>
      </c>
      <c r="N269" s="6" t="n">
        <f aca="false">G269*I269</f>
        <v>200</v>
      </c>
      <c r="O269" s="6" t="n">
        <f aca="false">M269-N269</f>
        <v>338.2</v>
      </c>
      <c r="P269" s="21" t="n">
        <f aca="false">IFERROR(O269/M269,0)</f>
        <v>0.628390932738759</v>
      </c>
      <c r="Q269" s="6" t="str">
        <f aca="false">Orders!H269</f>
        <v>Processing</v>
      </c>
      <c r="R269" s="1" t="str">
        <f aca="false">INDEX(Customers!$C$2:$C$301,MATCH(C269,Customers!$A$2:$A$301,0))</f>
        <v>Noida</v>
      </c>
      <c r="S269" s="1" t="str">
        <f aca="false">INDEX(Customers!$E$2:$E$301,MATCH(C269,Customers!$A$2:$A$301,0))</f>
        <v>Returning</v>
      </c>
      <c r="T269" s="6" t="str">
        <f aca="false">Orders!I269</f>
        <v>Mobile App</v>
      </c>
      <c r="U269" s="1" t="str">
        <f aca="false">IF(Q269="Delivered","Completed",IF(Q269="Cancelled","Cancelled",IF(Q269="Returned","Returned","In Progress")))</f>
        <v>In Progress</v>
      </c>
      <c r="V269" s="1" t="str">
        <f aca="false">IF(M269&gt;=10000,"High Value",IF(M269&gt;=5000,"Medium Value","Low Value"))</f>
        <v>Low Value</v>
      </c>
      <c r="W269" s="1" t="str">
        <f aca="false">IF(O269&gt;0,"Profitable",IF(O269=0,"Break-even","Loss"))</f>
        <v>Profitable</v>
      </c>
      <c r="X269" s="1" t="str">
        <f aca="false">IF(Q269="Cancelled","Not Applicable",IF(Q269="Processing","Pending",IF(B269="","Unknown",IF(Orders!J269="","Unknown",IF(Orders!J269&lt;=3,"Fast",IF(Orders!J269&lt;=6,"Standard","Slow"))))))</f>
        <v>Pending</v>
      </c>
      <c r="Y269" s="1" t="n">
        <f aca="false">IF(OR(Q269="Cancelled",Q269="Returned"),0,O269)</f>
        <v>338.2</v>
      </c>
    </row>
    <row r="270" customFormat="false" ht="15" hidden="false" customHeight="false" outlineLevel="0" collapsed="false">
      <c r="A270" s="6" t="str">
        <f aca="false">Orders!A270</f>
        <v>O000269</v>
      </c>
      <c r="B270" s="19" t="n">
        <f aca="false">Orders!B270</f>
        <v>45826</v>
      </c>
      <c r="C270" s="6" t="str">
        <f aca="false">Orders!C270</f>
        <v>C0212</v>
      </c>
      <c r="D270" s="6" t="str">
        <f aca="false">Orders!D270</f>
        <v>P1074</v>
      </c>
      <c r="E270" s="6" t="str">
        <f aca="false">INDEX(Products!$B$2:$B$101,MATCH(D270,Products!$A$2:$A$101,0))</f>
        <v>Notebook Pack</v>
      </c>
      <c r="F270" s="1" t="str">
        <f aca="false">INDEX(Products!$C$2:$C$101,MATCH(D270,Products!$A$2:$A$101,0))</f>
        <v>Books &amp; Stationery</v>
      </c>
      <c r="G270" s="6" t="n">
        <f aca="false">Orders!E270</f>
        <v>1</v>
      </c>
      <c r="H270" s="16" t="n">
        <f aca="false">INDEX(Products!$D$2:$D$101,MATCH(D270,Products!$A$2:$A$101,0))</f>
        <v>299</v>
      </c>
      <c r="I270" s="16" t="n">
        <f aca="false">INDEX(Products!$E$2:$E$101,MATCH(D270,Products!$A$2:$A$101,0))</f>
        <v>110</v>
      </c>
      <c r="J270" s="20" t="n">
        <f aca="false">Orders!F270</f>
        <v>0.25</v>
      </c>
      <c r="K270" s="6" t="n">
        <f aca="false">G270*H270</f>
        <v>299</v>
      </c>
      <c r="L270" s="6" t="n">
        <f aca="false">K270*J270</f>
        <v>74.75</v>
      </c>
      <c r="M270" s="6" t="n">
        <f aca="false">K270-L270</f>
        <v>224.25</v>
      </c>
      <c r="N270" s="6" t="n">
        <f aca="false">G270*I270</f>
        <v>110</v>
      </c>
      <c r="O270" s="6" t="n">
        <f aca="false">M270-N270</f>
        <v>114.25</v>
      </c>
      <c r="P270" s="21" t="n">
        <f aca="false">IFERROR(O270/M270,0)</f>
        <v>0.509476031215162</v>
      </c>
      <c r="Q270" s="6" t="str">
        <f aca="false">Orders!H270</f>
        <v>Delivered</v>
      </c>
      <c r="R270" s="1" t="str">
        <f aca="false">INDEX(Customers!$C$2:$C$301,MATCH(C270,Customers!$A$2:$A$301,0))</f>
        <v>Noida</v>
      </c>
      <c r="S270" s="1" t="str">
        <f aca="false">INDEX(Customers!$E$2:$E$301,MATCH(C270,Customers!$A$2:$A$301,0))</f>
        <v>Returning</v>
      </c>
      <c r="T270" s="6" t="str">
        <f aca="false">Orders!I270</f>
        <v>Mobile App</v>
      </c>
      <c r="U270" s="1" t="str">
        <f aca="false">IF(Q270="Delivered","Completed",IF(Q270="Cancelled","Cancelled",IF(Q270="Returned","Returned","In Progress")))</f>
        <v>Completed</v>
      </c>
      <c r="V270" s="1" t="str">
        <f aca="false">IF(M270&gt;=10000,"High Value",IF(M270&gt;=5000,"Medium Value","Low Value"))</f>
        <v>Low Value</v>
      </c>
      <c r="W270" s="1" t="str">
        <f aca="false">IF(O270&gt;0,"Profitable",IF(O270=0,"Break-even","Loss"))</f>
        <v>Profitable</v>
      </c>
      <c r="X270" s="1" t="str">
        <f aca="false">IF(Q270="Cancelled","Not Applicable",IF(Q270="Processing","Pending",IF(B270="","Unknown",IF(Orders!J270="","Unknown",IF(Orders!J270&lt;=3,"Fast",IF(Orders!J270&lt;=6,"Standard","Slow"))))))</f>
        <v>Slow</v>
      </c>
      <c r="Y270" s="1" t="n">
        <f aca="false">IF(OR(Q270="Cancelled",Q270="Returned"),0,O270)</f>
        <v>114.25</v>
      </c>
    </row>
    <row r="271" customFormat="false" ht="15" hidden="false" customHeight="false" outlineLevel="0" collapsed="false">
      <c r="A271" s="6" t="str">
        <f aca="false">Orders!A271</f>
        <v>O000270</v>
      </c>
      <c r="B271" s="19" t="n">
        <f aca="false">Orders!B271</f>
        <v>45847</v>
      </c>
      <c r="C271" s="6" t="str">
        <f aca="false">Orders!C271</f>
        <v>C0196</v>
      </c>
      <c r="D271" s="6" t="str">
        <f aca="false">Orders!D271</f>
        <v>P1037</v>
      </c>
      <c r="E271" s="6" t="str">
        <f aca="false">INDEX(Products!$B$2:$B$101,MATCH(D271,Products!$A$2:$A$101,0))</f>
        <v>Pillow Pair</v>
      </c>
      <c r="F271" s="1" t="str">
        <f aca="false">INDEX(Products!$C$2:$C$101,MATCH(D271,Products!$A$2:$A$101,0))</f>
        <v>Home &amp; Kitchen</v>
      </c>
      <c r="G271" s="6" t="n">
        <f aca="false">Orders!E271</f>
        <v>3</v>
      </c>
      <c r="H271" s="16" t="n">
        <f aca="false">INDEX(Products!$D$2:$D$101,MATCH(D271,Products!$A$2:$A$101,0))</f>
        <v>799</v>
      </c>
      <c r="I271" s="16" t="n">
        <f aca="false">INDEX(Products!$E$2:$E$101,MATCH(D271,Products!$A$2:$A$101,0))</f>
        <v>350</v>
      </c>
      <c r="J271" s="20" t="n">
        <f aca="false">Orders!F271</f>
        <v>0.1</v>
      </c>
      <c r="K271" s="6" t="n">
        <f aca="false">G271*H271</f>
        <v>2397</v>
      </c>
      <c r="L271" s="6" t="n">
        <f aca="false">K271*J271</f>
        <v>239.7</v>
      </c>
      <c r="M271" s="6" t="n">
        <f aca="false">K271-L271</f>
        <v>2157.3</v>
      </c>
      <c r="N271" s="6" t="n">
        <f aca="false">G271*I271</f>
        <v>1050</v>
      </c>
      <c r="O271" s="6" t="n">
        <f aca="false">M271-N271</f>
        <v>1107.3</v>
      </c>
      <c r="P271" s="21" t="n">
        <f aca="false">IFERROR(O271/M271,0)</f>
        <v>0.513280489500765</v>
      </c>
      <c r="Q271" s="6" t="str">
        <f aca="false">Orders!H271</f>
        <v>Delivered</v>
      </c>
      <c r="R271" s="1" t="str">
        <f aca="false">INDEX(Customers!$C$2:$C$301,MATCH(C271,Customers!$A$2:$A$301,0))</f>
        <v>Chandigarh</v>
      </c>
      <c r="S271" s="1" t="str">
        <f aca="false">INDEX(Customers!$E$2:$E$301,MATCH(C271,Customers!$A$2:$A$301,0))</f>
        <v>Returning</v>
      </c>
      <c r="T271" s="6" t="str">
        <f aca="false">Orders!I271</f>
        <v>Website</v>
      </c>
      <c r="U271" s="1" t="str">
        <f aca="false">IF(Q271="Delivered","Completed",IF(Q271="Cancelled","Cancelled",IF(Q271="Returned","Returned","In Progress")))</f>
        <v>Completed</v>
      </c>
      <c r="V271" s="1" t="str">
        <f aca="false">IF(M271&gt;=10000,"High Value",IF(M271&gt;=5000,"Medium Value","Low Value"))</f>
        <v>Low Value</v>
      </c>
      <c r="W271" s="1" t="str">
        <f aca="false">IF(O271&gt;0,"Profitable",IF(O271=0,"Break-even","Loss"))</f>
        <v>Profitable</v>
      </c>
      <c r="X271" s="1" t="str">
        <f aca="false">IF(Q271="Cancelled","Not Applicable",IF(Q271="Processing","Pending",IF(B271="","Unknown",IF(Orders!J271="","Unknown",IF(Orders!J271&lt;=3,"Fast",IF(Orders!J271&lt;=6,"Standard","Slow"))))))</f>
        <v>Fast</v>
      </c>
      <c r="Y271" s="1" t="n">
        <f aca="false">IF(OR(Q271="Cancelled",Q271="Returned"),0,O271)</f>
        <v>1107.3</v>
      </c>
    </row>
    <row r="272" customFormat="false" ht="15" hidden="false" customHeight="false" outlineLevel="0" collapsed="false">
      <c r="A272" s="6" t="str">
        <f aca="false">Orders!A272</f>
        <v>O000271</v>
      </c>
      <c r="B272" s="19" t="n">
        <f aca="false">Orders!B272</f>
        <v>45792</v>
      </c>
      <c r="C272" s="6" t="str">
        <f aca="false">Orders!C272</f>
        <v>C0162</v>
      </c>
      <c r="D272" s="6" t="str">
        <f aca="false">Orders!D272</f>
        <v>P1005</v>
      </c>
      <c r="E272" s="6" t="str">
        <f aca="false">INDEX(Products!$B$2:$B$101,MATCH(D272,Products!$A$2:$A$101,0))</f>
        <v>Power Bank</v>
      </c>
      <c r="F272" s="1" t="str">
        <f aca="false">INDEX(Products!$C$2:$C$101,MATCH(D272,Products!$A$2:$A$101,0))</f>
        <v>Electronics</v>
      </c>
      <c r="G272" s="6" t="n">
        <f aca="false">Orders!E272</f>
        <v>2</v>
      </c>
      <c r="H272" s="16" t="n">
        <f aca="false">INDEX(Products!$D$2:$D$101,MATCH(D272,Products!$A$2:$A$101,0))</f>
        <v>1199</v>
      </c>
      <c r="I272" s="16" t="n">
        <f aca="false">INDEX(Products!$E$2:$E$101,MATCH(D272,Products!$A$2:$A$101,0))</f>
        <v>650</v>
      </c>
      <c r="J272" s="20" t="n">
        <f aca="false">Orders!F272</f>
        <v>0.15</v>
      </c>
      <c r="K272" s="6" t="n">
        <f aca="false">G272*H272</f>
        <v>2398</v>
      </c>
      <c r="L272" s="6" t="n">
        <f aca="false">K272*J272</f>
        <v>359.7</v>
      </c>
      <c r="M272" s="6" t="n">
        <f aca="false">K272-L272</f>
        <v>2038.3</v>
      </c>
      <c r="N272" s="6" t="n">
        <f aca="false">G272*I272</f>
        <v>1300</v>
      </c>
      <c r="O272" s="6" t="n">
        <f aca="false">M272-N272</f>
        <v>738.3</v>
      </c>
      <c r="P272" s="21" t="n">
        <f aca="false">IFERROR(O272/M272,0)</f>
        <v>0.362213609380366</v>
      </c>
      <c r="Q272" s="6" t="str">
        <f aca="false">Orders!H272</f>
        <v>Processing</v>
      </c>
      <c r="R272" s="1" t="str">
        <f aca="false">INDEX(Customers!$C$2:$C$301,MATCH(C272,Customers!$A$2:$A$301,0))</f>
        <v>Mumbai</v>
      </c>
      <c r="S272" s="1" t="str">
        <f aca="false">INDEX(Customers!$E$2:$E$301,MATCH(C272,Customers!$A$2:$A$301,0))</f>
        <v>New</v>
      </c>
      <c r="T272" s="6" t="str">
        <f aca="false">Orders!I272</f>
        <v>Mobile App</v>
      </c>
      <c r="U272" s="1" t="str">
        <f aca="false">IF(Q272="Delivered","Completed",IF(Q272="Cancelled","Cancelled",IF(Q272="Returned","Returned","In Progress")))</f>
        <v>In Progress</v>
      </c>
      <c r="V272" s="1" t="str">
        <f aca="false">IF(M272&gt;=10000,"High Value",IF(M272&gt;=5000,"Medium Value","Low Value"))</f>
        <v>Low Value</v>
      </c>
      <c r="W272" s="1" t="str">
        <f aca="false">IF(O272&gt;0,"Profitable",IF(O272=0,"Break-even","Loss"))</f>
        <v>Profitable</v>
      </c>
      <c r="X272" s="1" t="str">
        <f aca="false">IF(Q272="Cancelled","Not Applicable",IF(Q272="Processing","Pending",IF(B272="","Unknown",IF(Orders!J272="","Unknown",IF(Orders!J272&lt;=3,"Fast",IF(Orders!J272&lt;=6,"Standard","Slow"))))))</f>
        <v>Pending</v>
      </c>
      <c r="Y272" s="1" t="n">
        <f aca="false">IF(OR(Q272="Cancelled",Q272="Returned"),0,O272)</f>
        <v>738.3</v>
      </c>
    </row>
    <row r="273" customFormat="false" ht="15" hidden="false" customHeight="false" outlineLevel="0" collapsed="false">
      <c r="A273" s="6" t="str">
        <f aca="false">Orders!A273</f>
        <v>O000272</v>
      </c>
      <c r="B273" s="19" t="n">
        <f aca="false">Orders!B273</f>
        <v>45810</v>
      </c>
      <c r="C273" s="6" t="str">
        <f aca="false">Orders!C273</f>
        <v>C0215</v>
      </c>
      <c r="D273" s="6" t="str">
        <f aca="false">Orders!D273</f>
        <v>P1096</v>
      </c>
      <c r="E273" s="6" t="str">
        <f aca="false">INDEX(Products!$B$2:$B$101,MATCH(D273,Products!$A$2:$A$101,0))</f>
        <v>Air Fryer</v>
      </c>
      <c r="F273" s="1" t="str">
        <f aca="false">INDEX(Products!$C$2:$C$101,MATCH(D273,Products!$A$2:$A$101,0))</f>
        <v>Appliances</v>
      </c>
      <c r="G273" s="6" t="n">
        <f aca="false">Orders!E273</f>
        <v>1</v>
      </c>
      <c r="H273" s="16" t="n">
        <f aca="false">INDEX(Products!$D$2:$D$101,MATCH(D273,Products!$A$2:$A$101,0))</f>
        <v>3999</v>
      </c>
      <c r="I273" s="16" t="n">
        <f aca="false">INDEX(Products!$E$2:$E$101,MATCH(D273,Products!$A$2:$A$101,0))</f>
        <v>2700</v>
      </c>
      <c r="J273" s="20" t="n">
        <f aca="false">Orders!F273</f>
        <v>0</v>
      </c>
      <c r="K273" s="6" t="n">
        <f aca="false">G273*H273</f>
        <v>3999</v>
      </c>
      <c r="L273" s="6" t="n">
        <f aca="false">K273*J273</f>
        <v>0</v>
      </c>
      <c r="M273" s="6" t="n">
        <f aca="false">K273-L273</f>
        <v>3999</v>
      </c>
      <c r="N273" s="6" t="n">
        <f aca="false">G273*I273</f>
        <v>2700</v>
      </c>
      <c r="O273" s="6" t="n">
        <f aca="false">M273-N273</f>
        <v>1299</v>
      </c>
      <c r="P273" s="21" t="n">
        <f aca="false">IFERROR(O273/M273,0)</f>
        <v>0.32483120780195</v>
      </c>
      <c r="Q273" s="6" t="str">
        <f aca="false">Orders!H273</f>
        <v>Delivered</v>
      </c>
      <c r="R273" s="1" t="str">
        <f aca="false">INDEX(Customers!$C$2:$C$301,MATCH(C273,Customers!$A$2:$A$301,0))</f>
        <v>Bhopal</v>
      </c>
      <c r="S273" s="1" t="str">
        <f aca="false">INDEX(Customers!$E$2:$E$301,MATCH(C273,Customers!$A$2:$A$301,0))</f>
        <v>Returning</v>
      </c>
      <c r="T273" s="6" t="str">
        <f aca="false">Orders!I273</f>
        <v>Marketplace</v>
      </c>
      <c r="U273" s="1" t="str">
        <f aca="false">IF(Q273="Delivered","Completed",IF(Q273="Cancelled","Cancelled",IF(Q273="Returned","Returned","In Progress")))</f>
        <v>Completed</v>
      </c>
      <c r="V273" s="1" t="str">
        <f aca="false">IF(M273&gt;=10000,"High Value",IF(M273&gt;=5000,"Medium Value","Low Value"))</f>
        <v>Low Value</v>
      </c>
      <c r="W273" s="1" t="str">
        <f aca="false">IF(O273&gt;0,"Profitable",IF(O273=0,"Break-even","Loss"))</f>
        <v>Profitable</v>
      </c>
      <c r="X273" s="1" t="str">
        <f aca="false">IF(Q273="Cancelled","Not Applicable",IF(Q273="Processing","Pending",IF(B273="","Unknown",IF(Orders!J273="","Unknown",IF(Orders!J273&lt;=3,"Fast",IF(Orders!J273&lt;=6,"Standard","Slow"))))))</f>
        <v>Fast</v>
      </c>
      <c r="Y273" s="1" t="n">
        <f aca="false">IF(OR(Q273="Cancelled",Q273="Returned"),0,O273)</f>
        <v>1299</v>
      </c>
    </row>
    <row r="274" customFormat="false" ht="15" hidden="false" customHeight="false" outlineLevel="0" collapsed="false">
      <c r="A274" s="6" t="str">
        <f aca="false">Orders!A274</f>
        <v>O000273</v>
      </c>
      <c r="B274" s="19" t="n">
        <f aca="false">Orders!B274</f>
        <v>45819</v>
      </c>
      <c r="C274" s="6" t="str">
        <f aca="false">Orders!C274</f>
        <v>C0020</v>
      </c>
      <c r="D274" s="6" t="str">
        <f aca="false">Orders!D274</f>
        <v>P1005</v>
      </c>
      <c r="E274" s="6" t="str">
        <f aca="false">INDEX(Products!$B$2:$B$101,MATCH(D274,Products!$A$2:$A$101,0))</f>
        <v>Power Bank</v>
      </c>
      <c r="F274" s="1" t="str">
        <f aca="false">INDEX(Products!$C$2:$C$101,MATCH(D274,Products!$A$2:$A$101,0))</f>
        <v>Electronics</v>
      </c>
      <c r="G274" s="6" t="n">
        <f aca="false">Orders!E274</f>
        <v>3</v>
      </c>
      <c r="H274" s="16" t="n">
        <f aca="false">INDEX(Products!$D$2:$D$101,MATCH(D274,Products!$A$2:$A$101,0))</f>
        <v>1199</v>
      </c>
      <c r="I274" s="16" t="n">
        <f aca="false">INDEX(Products!$E$2:$E$101,MATCH(D274,Products!$A$2:$A$101,0))</f>
        <v>650</v>
      </c>
      <c r="J274" s="20" t="n">
        <f aca="false">Orders!F274</f>
        <v>0.1</v>
      </c>
      <c r="K274" s="6" t="n">
        <f aca="false">G274*H274</f>
        <v>3597</v>
      </c>
      <c r="L274" s="6" t="n">
        <f aca="false">K274*J274</f>
        <v>359.7</v>
      </c>
      <c r="M274" s="6" t="n">
        <f aca="false">K274-L274</f>
        <v>3237.3</v>
      </c>
      <c r="N274" s="6" t="n">
        <f aca="false">G274*I274</f>
        <v>1950</v>
      </c>
      <c r="O274" s="6" t="n">
        <f aca="false">M274-N274</f>
        <v>1287.3</v>
      </c>
      <c r="P274" s="21" t="n">
        <f aca="false">IFERROR(O274/M274,0)</f>
        <v>0.397646186637012</v>
      </c>
      <c r="Q274" s="6" t="str">
        <f aca="false">Orders!H274</f>
        <v>Delivered</v>
      </c>
      <c r="R274" s="1" t="str">
        <f aca="false">INDEX(Customers!$C$2:$C$301,MATCH(C274,Customers!$A$2:$A$301,0))</f>
        <v>Visakhapatnam</v>
      </c>
      <c r="S274" s="1" t="str">
        <f aca="false">INDEX(Customers!$E$2:$E$301,MATCH(C274,Customers!$A$2:$A$301,0))</f>
        <v>Returning</v>
      </c>
      <c r="T274" s="6" t="str">
        <f aca="false">Orders!I274</f>
        <v>Mobile App</v>
      </c>
      <c r="U274" s="1" t="str">
        <f aca="false">IF(Q274="Delivered","Completed",IF(Q274="Cancelled","Cancelled",IF(Q274="Returned","Returned","In Progress")))</f>
        <v>Completed</v>
      </c>
      <c r="V274" s="1" t="str">
        <f aca="false">IF(M274&gt;=10000,"High Value",IF(M274&gt;=5000,"Medium Value","Low Value"))</f>
        <v>Low Value</v>
      </c>
      <c r="W274" s="1" t="str">
        <f aca="false">IF(O274&gt;0,"Profitable",IF(O274=0,"Break-even","Loss"))</f>
        <v>Profitable</v>
      </c>
      <c r="X274" s="1" t="str">
        <f aca="false">IF(Q274="Cancelled","Not Applicable",IF(Q274="Processing","Pending",IF(B274="","Unknown",IF(Orders!J274="","Unknown",IF(Orders!J274&lt;=3,"Fast",IF(Orders!J274&lt;=6,"Standard","Slow"))))))</f>
        <v>Fast</v>
      </c>
      <c r="Y274" s="1" t="n">
        <f aca="false">IF(OR(Q274="Cancelled",Q274="Returned"),0,O274)</f>
        <v>1287.3</v>
      </c>
    </row>
    <row r="275" customFormat="false" ht="15" hidden="false" customHeight="false" outlineLevel="0" collapsed="false">
      <c r="A275" s="6" t="str">
        <f aca="false">Orders!A275</f>
        <v>O000274</v>
      </c>
      <c r="B275" s="19" t="n">
        <f aca="false">Orders!B275</f>
        <v>45727</v>
      </c>
      <c r="C275" s="6" t="str">
        <f aca="false">Orders!C275</f>
        <v>C0180</v>
      </c>
      <c r="D275" s="6" t="str">
        <f aca="false">Orders!D275</f>
        <v>P1097</v>
      </c>
      <c r="E275" s="6" t="str">
        <f aca="false">INDEX(Products!$B$2:$B$101,MATCH(D275,Products!$A$2:$A$101,0))</f>
        <v>Vacuum Cleaner</v>
      </c>
      <c r="F275" s="1" t="str">
        <f aca="false">INDEX(Products!$C$2:$C$101,MATCH(D275,Products!$A$2:$A$101,0))</f>
        <v>Appliances</v>
      </c>
      <c r="G275" s="6" t="n">
        <f aca="false">Orders!E275</f>
        <v>4</v>
      </c>
      <c r="H275" s="16" t="n">
        <f aca="false">INDEX(Products!$D$2:$D$101,MATCH(D275,Products!$A$2:$A$101,0))</f>
        <v>3499</v>
      </c>
      <c r="I275" s="16" t="n">
        <f aca="false">INDEX(Products!$E$2:$E$101,MATCH(D275,Products!$A$2:$A$101,0))</f>
        <v>2400</v>
      </c>
      <c r="J275" s="20" t="n">
        <f aca="false">Orders!F275</f>
        <v>0.25</v>
      </c>
      <c r="K275" s="6" t="n">
        <f aca="false">G275*H275</f>
        <v>13996</v>
      </c>
      <c r="L275" s="6" t="n">
        <f aca="false">K275*J275</f>
        <v>3499</v>
      </c>
      <c r="M275" s="6" t="n">
        <f aca="false">K275-L275</f>
        <v>10497</v>
      </c>
      <c r="N275" s="6" t="n">
        <f aca="false">G275*I275</f>
        <v>9600</v>
      </c>
      <c r="O275" s="6" t="n">
        <f aca="false">M275-N275</f>
        <v>897</v>
      </c>
      <c r="P275" s="21" t="n">
        <f aca="false">IFERROR(O275/M275,0)</f>
        <v>0.0854529865675908</v>
      </c>
      <c r="Q275" s="6" t="str">
        <f aca="false">Orders!H275</f>
        <v>Delivered</v>
      </c>
      <c r="R275" s="1" t="str">
        <f aca="false">INDEX(Customers!$C$2:$C$301,MATCH(C275,Customers!$A$2:$A$301,0))</f>
        <v>Visakhapatnam</v>
      </c>
      <c r="S275" s="1" t="str">
        <f aca="false">INDEX(Customers!$E$2:$E$301,MATCH(C275,Customers!$A$2:$A$301,0))</f>
        <v>New</v>
      </c>
      <c r="T275" s="6" t="str">
        <f aca="false">Orders!I275</f>
        <v>Marketplace</v>
      </c>
      <c r="U275" s="1" t="str">
        <f aca="false">IF(Q275="Delivered","Completed",IF(Q275="Cancelled","Cancelled",IF(Q275="Returned","Returned","In Progress")))</f>
        <v>Completed</v>
      </c>
      <c r="V275" s="1" t="str">
        <f aca="false">IF(M275&gt;=10000,"High Value",IF(M275&gt;=5000,"Medium Value","Low Value"))</f>
        <v>High Value</v>
      </c>
      <c r="W275" s="1" t="str">
        <f aca="false">IF(O275&gt;0,"Profitable",IF(O275=0,"Break-even","Loss"))</f>
        <v>Profitable</v>
      </c>
      <c r="X275" s="1" t="str">
        <f aca="false">IF(Q275="Cancelled","Not Applicable",IF(Q275="Processing","Pending",IF(B275="","Unknown",IF(Orders!J275="","Unknown",IF(Orders!J275&lt;=3,"Fast",IF(Orders!J275&lt;=6,"Standard","Slow"))))))</f>
        <v>Slow</v>
      </c>
      <c r="Y275" s="1" t="n">
        <f aca="false">IF(OR(Q275="Cancelled",Q275="Returned"),0,O275)</f>
        <v>897</v>
      </c>
    </row>
    <row r="276" customFormat="false" ht="15" hidden="false" customHeight="false" outlineLevel="0" collapsed="false">
      <c r="A276" s="6" t="str">
        <f aca="false">Orders!A276</f>
        <v>O000275</v>
      </c>
      <c r="B276" s="19" t="n">
        <f aca="false">Orders!B276</f>
        <v>45733</v>
      </c>
      <c r="C276" s="6" t="str">
        <f aca="false">Orders!C276</f>
        <v>C0288</v>
      </c>
      <c r="D276" s="6" t="str">
        <f aca="false">Orders!D276</f>
        <v>P1055</v>
      </c>
      <c r="E276" s="6" t="str">
        <f aca="false">INDEX(Products!$B$2:$B$101,MATCH(D276,Products!$A$2:$A$101,0))</f>
        <v>Perfume</v>
      </c>
      <c r="F276" s="1" t="str">
        <f aca="false">INDEX(Products!$C$2:$C$101,MATCH(D276,Products!$A$2:$A$101,0))</f>
        <v>Beauty</v>
      </c>
      <c r="G276" s="6" t="n">
        <f aca="false">Orders!E276</f>
        <v>2</v>
      </c>
      <c r="H276" s="16" t="n">
        <f aca="false">INDEX(Products!$D$2:$D$101,MATCH(D276,Products!$A$2:$A$101,0))</f>
        <v>999</v>
      </c>
      <c r="I276" s="16" t="n">
        <f aca="false">INDEX(Products!$E$2:$E$101,MATCH(D276,Products!$A$2:$A$101,0))</f>
        <v>500</v>
      </c>
      <c r="J276" s="20" t="n">
        <f aca="false">Orders!F276</f>
        <v>0.25</v>
      </c>
      <c r="K276" s="6" t="n">
        <f aca="false">G276*H276</f>
        <v>1998</v>
      </c>
      <c r="L276" s="6" t="n">
        <f aca="false">K276*J276</f>
        <v>499.5</v>
      </c>
      <c r="M276" s="6" t="n">
        <f aca="false">K276-L276</f>
        <v>1498.5</v>
      </c>
      <c r="N276" s="6" t="n">
        <f aca="false">G276*I276</f>
        <v>1000</v>
      </c>
      <c r="O276" s="6" t="n">
        <f aca="false">M276-N276</f>
        <v>498.5</v>
      </c>
      <c r="P276" s="21" t="n">
        <f aca="false">IFERROR(O276/M276,0)</f>
        <v>0.332665999332666</v>
      </c>
      <c r="Q276" s="6" t="str">
        <f aca="false">Orders!H276</f>
        <v>Shipped</v>
      </c>
      <c r="R276" s="1" t="str">
        <f aca="false">INDEX(Customers!$C$2:$C$301,MATCH(C276,Customers!$A$2:$A$301,0))</f>
        <v>Jaipur</v>
      </c>
      <c r="S276" s="1" t="str">
        <f aca="false">INDEX(Customers!$E$2:$E$301,MATCH(C276,Customers!$A$2:$A$301,0))</f>
        <v>New</v>
      </c>
      <c r="T276" s="6" t="str">
        <f aca="false">Orders!I276</f>
        <v>Mobile App</v>
      </c>
      <c r="U276" s="1" t="str">
        <f aca="false">IF(Q276="Delivered","Completed",IF(Q276="Cancelled","Cancelled",IF(Q276="Returned","Returned","In Progress")))</f>
        <v>In Progress</v>
      </c>
      <c r="V276" s="1" t="str">
        <f aca="false">IF(M276&gt;=10000,"High Value",IF(M276&gt;=5000,"Medium Value","Low Value"))</f>
        <v>Low Value</v>
      </c>
      <c r="W276" s="1" t="str">
        <f aca="false">IF(O276&gt;0,"Profitable",IF(O276=0,"Break-even","Loss"))</f>
        <v>Profitable</v>
      </c>
      <c r="X276" s="1" t="str">
        <f aca="false">IF(Q276="Cancelled","Not Applicable",IF(Q276="Processing","Pending",IF(B276="","Unknown",IF(Orders!J276="","Unknown",IF(Orders!J276&lt;=3,"Fast",IF(Orders!J276&lt;=6,"Standard","Slow"))))))</f>
        <v>Fast</v>
      </c>
      <c r="Y276" s="1" t="n">
        <f aca="false">IF(OR(Q276="Cancelled",Q276="Returned"),0,O276)</f>
        <v>498.5</v>
      </c>
    </row>
    <row r="277" customFormat="false" ht="15" hidden="false" customHeight="false" outlineLevel="0" collapsed="false">
      <c r="A277" s="6" t="str">
        <f aca="false">Orders!A277</f>
        <v>O000276</v>
      </c>
      <c r="B277" s="19" t="n">
        <f aca="false">Orders!B277</f>
        <v>45723</v>
      </c>
      <c r="C277" s="6" t="str">
        <f aca="false">Orders!C277</f>
        <v>C0279</v>
      </c>
      <c r="D277" s="6" t="str">
        <f aca="false">Orders!D277</f>
        <v>P1091</v>
      </c>
      <c r="E277" s="6" t="str">
        <f aca="false">INDEX(Products!$B$2:$B$101,MATCH(D277,Products!$A$2:$A$101,0))</f>
        <v>Rice Cooker</v>
      </c>
      <c r="F277" s="1" t="str">
        <f aca="false">INDEX(Products!$C$2:$C$101,MATCH(D277,Products!$A$2:$A$101,0))</f>
        <v>Appliances</v>
      </c>
      <c r="G277" s="6" t="n">
        <f aca="false">Orders!E277</f>
        <v>1</v>
      </c>
      <c r="H277" s="16" t="n">
        <f aca="false">INDEX(Products!$D$2:$D$101,MATCH(D277,Products!$A$2:$A$101,0))</f>
        <v>1999</v>
      </c>
      <c r="I277" s="16" t="n">
        <f aca="false">INDEX(Products!$E$2:$E$101,MATCH(D277,Products!$A$2:$A$101,0))</f>
        <v>1200</v>
      </c>
      <c r="J277" s="20" t="n">
        <f aca="false">Orders!F277</f>
        <v>0.05</v>
      </c>
      <c r="K277" s="6" t="n">
        <f aca="false">G277*H277</f>
        <v>1999</v>
      </c>
      <c r="L277" s="6" t="n">
        <f aca="false">K277*J277</f>
        <v>99.95</v>
      </c>
      <c r="M277" s="6" t="n">
        <f aca="false">K277-L277</f>
        <v>1899.05</v>
      </c>
      <c r="N277" s="6" t="n">
        <f aca="false">G277*I277</f>
        <v>1200</v>
      </c>
      <c r="O277" s="6" t="n">
        <f aca="false">M277-N277</f>
        <v>699.05</v>
      </c>
      <c r="P277" s="21" t="n">
        <f aca="false">IFERROR(O277/M277,0)</f>
        <v>0.368105105184171</v>
      </c>
      <c r="Q277" s="6" t="str">
        <f aca="false">Orders!H277</f>
        <v>Delivered</v>
      </c>
      <c r="R277" s="1" t="str">
        <f aca="false">INDEX(Customers!$C$2:$C$301,MATCH(C277,Customers!$A$2:$A$301,0))</f>
        <v>Coimbatore</v>
      </c>
      <c r="S277" s="1" t="str">
        <f aca="false">INDEX(Customers!$E$2:$E$301,MATCH(C277,Customers!$A$2:$A$301,0))</f>
        <v>Returning</v>
      </c>
      <c r="T277" s="6" t="str">
        <f aca="false">Orders!I277</f>
        <v>Marketplace</v>
      </c>
      <c r="U277" s="1" t="str">
        <f aca="false">IF(Q277="Delivered","Completed",IF(Q277="Cancelled","Cancelled",IF(Q277="Returned","Returned","In Progress")))</f>
        <v>Completed</v>
      </c>
      <c r="V277" s="1" t="str">
        <f aca="false">IF(M277&gt;=10000,"High Value",IF(M277&gt;=5000,"Medium Value","Low Value"))</f>
        <v>Low Value</v>
      </c>
      <c r="W277" s="1" t="str">
        <f aca="false">IF(O277&gt;0,"Profitable",IF(O277=0,"Break-even","Loss"))</f>
        <v>Profitable</v>
      </c>
      <c r="X277" s="1" t="str">
        <f aca="false">IF(Q277="Cancelled","Not Applicable",IF(Q277="Processing","Pending",IF(B277="","Unknown",IF(Orders!J277="","Unknown",IF(Orders!J277&lt;=3,"Fast",IF(Orders!J277&lt;=6,"Standard","Slow"))))))</f>
        <v>Fast</v>
      </c>
      <c r="Y277" s="1" t="n">
        <f aca="false">IF(OR(Q277="Cancelled",Q277="Returned"),0,O277)</f>
        <v>699.05</v>
      </c>
    </row>
    <row r="278" customFormat="false" ht="15" hidden="false" customHeight="false" outlineLevel="0" collapsed="false">
      <c r="A278" s="6" t="str">
        <f aca="false">Orders!A278</f>
        <v>O000277</v>
      </c>
      <c r="B278" s="19" t="n">
        <f aca="false">Orders!B278</f>
        <v>45994</v>
      </c>
      <c r="C278" s="6" t="str">
        <f aca="false">Orders!C278</f>
        <v>C0067</v>
      </c>
      <c r="D278" s="6" t="str">
        <f aca="false">Orders!D278</f>
        <v>P1042</v>
      </c>
      <c r="E278" s="6" t="str">
        <f aca="false">INDEX(Products!$B$2:$B$101,MATCH(D278,Products!$A$2:$A$101,0))</f>
        <v>Bath Towel Set</v>
      </c>
      <c r="F278" s="1" t="str">
        <f aca="false">INDEX(Products!$C$2:$C$101,MATCH(D278,Products!$A$2:$A$101,0))</f>
        <v>Home &amp; Kitchen</v>
      </c>
      <c r="G278" s="6" t="n">
        <f aca="false">Orders!E278</f>
        <v>2</v>
      </c>
      <c r="H278" s="16" t="n">
        <f aca="false">INDEX(Products!$D$2:$D$101,MATCH(D278,Products!$A$2:$A$101,0))</f>
        <v>799</v>
      </c>
      <c r="I278" s="16" t="n">
        <f aca="false">INDEX(Products!$E$2:$E$101,MATCH(D278,Products!$A$2:$A$101,0))</f>
        <v>360</v>
      </c>
      <c r="J278" s="20" t="n">
        <f aca="false">Orders!F278</f>
        <v>0.2</v>
      </c>
      <c r="K278" s="6" t="n">
        <f aca="false">G278*H278</f>
        <v>1598</v>
      </c>
      <c r="L278" s="6" t="n">
        <f aca="false">K278*J278</f>
        <v>319.6</v>
      </c>
      <c r="M278" s="6" t="n">
        <f aca="false">K278-L278</f>
        <v>1278.4</v>
      </c>
      <c r="N278" s="6" t="n">
        <f aca="false">G278*I278</f>
        <v>720</v>
      </c>
      <c r="O278" s="6" t="n">
        <f aca="false">M278-N278</f>
        <v>558.4</v>
      </c>
      <c r="P278" s="21" t="n">
        <f aca="false">IFERROR(O278/M278,0)</f>
        <v>0.436795994993742</v>
      </c>
      <c r="Q278" s="6" t="str">
        <f aca="false">Orders!H278</f>
        <v>Processing</v>
      </c>
      <c r="R278" s="1" t="str">
        <f aca="false">INDEX(Customers!$C$2:$C$301,MATCH(C278,Customers!$A$2:$A$301,0))</f>
        <v>Pune</v>
      </c>
      <c r="S278" s="1" t="str">
        <f aca="false">INDEX(Customers!$E$2:$E$301,MATCH(C278,Customers!$A$2:$A$301,0))</f>
        <v>VIP</v>
      </c>
      <c r="T278" s="6" t="str">
        <f aca="false">Orders!I278</f>
        <v>Mobile App</v>
      </c>
      <c r="U278" s="1" t="str">
        <f aca="false">IF(Q278="Delivered","Completed",IF(Q278="Cancelled","Cancelled",IF(Q278="Returned","Returned","In Progress")))</f>
        <v>In Progress</v>
      </c>
      <c r="V278" s="1" t="str">
        <f aca="false">IF(M278&gt;=10000,"High Value",IF(M278&gt;=5000,"Medium Value","Low Value"))</f>
        <v>Low Value</v>
      </c>
      <c r="W278" s="1" t="str">
        <f aca="false">IF(O278&gt;0,"Profitable",IF(O278=0,"Break-even","Loss"))</f>
        <v>Profitable</v>
      </c>
      <c r="X278" s="1" t="str">
        <f aca="false">IF(Q278="Cancelled","Not Applicable",IF(Q278="Processing","Pending",IF(B278="","Unknown",IF(Orders!J278="","Unknown",IF(Orders!J278&lt;=3,"Fast",IF(Orders!J278&lt;=6,"Standard","Slow"))))))</f>
        <v>Pending</v>
      </c>
      <c r="Y278" s="1" t="n">
        <f aca="false">IF(OR(Q278="Cancelled",Q278="Returned"),0,O278)</f>
        <v>558.4</v>
      </c>
    </row>
    <row r="279" customFormat="false" ht="15" hidden="false" customHeight="false" outlineLevel="0" collapsed="false">
      <c r="A279" s="6" t="str">
        <f aca="false">Orders!A279</f>
        <v>O000278</v>
      </c>
      <c r="B279" s="19" t="n">
        <f aca="false">Orders!B279</f>
        <v>45728</v>
      </c>
      <c r="C279" s="6" t="str">
        <f aca="false">Orders!C279</f>
        <v>C0125</v>
      </c>
      <c r="D279" s="6" t="str">
        <f aca="false">Orders!D279</f>
        <v>P1028</v>
      </c>
      <c r="E279" s="6" t="str">
        <f aca="false">INDEX(Products!$B$2:$B$101,MATCH(D279,Products!$A$2:$A$101,0))</f>
        <v>Sneakers</v>
      </c>
      <c r="F279" s="1" t="str">
        <f aca="false">INDEX(Products!$C$2:$C$101,MATCH(D279,Products!$A$2:$A$101,0))</f>
        <v>Fashion</v>
      </c>
      <c r="G279" s="6" t="n">
        <f aca="false">Orders!E279</f>
        <v>1</v>
      </c>
      <c r="H279" s="16" t="n">
        <f aca="false">INDEX(Products!$D$2:$D$101,MATCH(D279,Products!$A$2:$A$101,0))</f>
        <v>1799</v>
      </c>
      <c r="I279" s="16" t="n">
        <f aca="false">INDEX(Products!$E$2:$E$101,MATCH(D279,Products!$A$2:$A$101,0))</f>
        <v>950</v>
      </c>
      <c r="J279" s="20" t="n">
        <f aca="false">Orders!F279</f>
        <v>0</v>
      </c>
      <c r="K279" s="6" t="n">
        <f aca="false">G279*H279</f>
        <v>1799</v>
      </c>
      <c r="L279" s="6" t="n">
        <f aca="false">K279*J279</f>
        <v>0</v>
      </c>
      <c r="M279" s="6" t="n">
        <f aca="false">K279-L279</f>
        <v>1799</v>
      </c>
      <c r="N279" s="6" t="n">
        <f aca="false">G279*I279</f>
        <v>950</v>
      </c>
      <c r="O279" s="6" t="n">
        <f aca="false">M279-N279</f>
        <v>849</v>
      </c>
      <c r="P279" s="21" t="n">
        <f aca="false">IFERROR(O279/M279,0)</f>
        <v>0.471928849360756</v>
      </c>
      <c r="Q279" s="6" t="str">
        <f aca="false">Orders!H279</f>
        <v>Delivered</v>
      </c>
      <c r="R279" s="1" t="str">
        <f aca="false">INDEX(Customers!$C$2:$C$301,MATCH(C279,Customers!$A$2:$A$301,0))</f>
        <v>Chennai</v>
      </c>
      <c r="S279" s="1" t="str">
        <f aca="false">INDEX(Customers!$E$2:$E$301,MATCH(C279,Customers!$A$2:$A$301,0))</f>
        <v>Returning</v>
      </c>
      <c r="T279" s="6" t="str">
        <f aca="false">Orders!I279</f>
        <v>Website</v>
      </c>
      <c r="U279" s="1" t="str">
        <f aca="false">IF(Q279="Delivered","Completed",IF(Q279="Cancelled","Cancelled",IF(Q279="Returned","Returned","In Progress")))</f>
        <v>Completed</v>
      </c>
      <c r="V279" s="1" t="str">
        <f aca="false">IF(M279&gt;=10000,"High Value",IF(M279&gt;=5000,"Medium Value","Low Value"))</f>
        <v>Low Value</v>
      </c>
      <c r="W279" s="1" t="str">
        <f aca="false">IF(O279&gt;0,"Profitable",IF(O279=0,"Break-even","Loss"))</f>
        <v>Profitable</v>
      </c>
      <c r="X279" s="1" t="str">
        <f aca="false">IF(Q279="Cancelled","Not Applicable",IF(Q279="Processing","Pending",IF(B279="","Unknown",IF(Orders!J279="","Unknown",IF(Orders!J279&lt;=3,"Fast",IF(Orders!J279&lt;=6,"Standard","Slow"))))))</f>
        <v>Fast</v>
      </c>
      <c r="Y279" s="1" t="n">
        <f aca="false">IF(OR(Q279="Cancelled",Q279="Returned"),0,O279)</f>
        <v>849</v>
      </c>
    </row>
    <row r="280" customFormat="false" ht="15" hidden="false" customHeight="false" outlineLevel="0" collapsed="false">
      <c r="A280" s="6" t="str">
        <f aca="false">Orders!A280</f>
        <v>O000279</v>
      </c>
      <c r="B280" s="19" t="n">
        <f aca="false">Orders!B280</f>
        <v>45734</v>
      </c>
      <c r="C280" s="6" t="str">
        <f aca="false">Orders!C280</f>
        <v>C0066</v>
      </c>
      <c r="D280" s="6" t="str">
        <f aca="false">Orders!D280</f>
        <v>P1092</v>
      </c>
      <c r="E280" s="6" t="str">
        <f aca="false">INDEX(Products!$B$2:$B$101,MATCH(D280,Products!$A$2:$A$101,0))</f>
        <v>Hand Blender</v>
      </c>
      <c r="F280" s="1" t="str">
        <f aca="false">INDEX(Products!$C$2:$C$101,MATCH(D280,Products!$A$2:$A$101,0))</f>
        <v>Appliances</v>
      </c>
      <c r="G280" s="6" t="n">
        <f aca="false">Orders!E280</f>
        <v>1</v>
      </c>
      <c r="H280" s="16" t="n">
        <f aca="false">INDEX(Products!$D$2:$D$101,MATCH(D280,Products!$A$2:$A$101,0))</f>
        <v>999</v>
      </c>
      <c r="I280" s="16" t="n">
        <f aca="false">INDEX(Products!$E$2:$E$101,MATCH(D280,Products!$A$2:$A$101,0))</f>
        <v>550</v>
      </c>
      <c r="J280" s="20" t="n">
        <f aca="false">Orders!F280</f>
        <v>0.15</v>
      </c>
      <c r="K280" s="6" t="n">
        <f aca="false">G280*H280</f>
        <v>999</v>
      </c>
      <c r="L280" s="6" t="n">
        <f aca="false">K280*J280</f>
        <v>149.85</v>
      </c>
      <c r="M280" s="6" t="n">
        <f aca="false">K280-L280</f>
        <v>849.15</v>
      </c>
      <c r="N280" s="6" t="n">
        <f aca="false">G280*I280</f>
        <v>550</v>
      </c>
      <c r="O280" s="6" t="n">
        <f aca="false">M280-N280</f>
        <v>299.15</v>
      </c>
      <c r="P280" s="21" t="n">
        <f aca="false">IFERROR(O280/M280,0)</f>
        <v>0.352293469940529</v>
      </c>
      <c r="Q280" s="6" t="str">
        <f aca="false">Orders!H280</f>
        <v>Delivered</v>
      </c>
      <c r="R280" s="1" t="str">
        <f aca="false">INDEX(Customers!$C$2:$C$301,MATCH(C280,Customers!$A$2:$A$301,0))</f>
        <v>Kolkata</v>
      </c>
      <c r="S280" s="1" t="str">
        <f aca="false">INDEX(Customers!$E$2:$E$301,MATCH(C280,Customers!$A$2:$A$301,0))</f>
        <v>New</v>
      </c>
      <c r="T280" s="6" t="str">
        <f aca="false">Orders!I280</f>
        <v>Mobile App</v>
      </c>
      <c r="U280" s="1" t="str">
        <f aca="false">IF(Q280="Delivered","Completed",IF(Q280="Cancelled","Cancelled",IF(Q280="Returned","Returned","In Progress")))</f>
        <v>Completed</v>
      </c>
      <c r="V280" s="1" t="str">
        <f aca="false">IF(M280&gt;=10000,"High Value",IF(M280&gt;=5000,"Medium Value","Low Value"))</f>
        <v>Low Value</v>
      </c>
      <c r="W280" s="1" t="str">
        <f aca="false">IF(O280&gt;0,"Profitable",IF(O280=0,"Break-even","Loss"))</f>
        <v>Profitable</v>
      </c>
      <c r="X280" s="1" t="str">
        <f aca="false">IF(Q280="Cancelled","Not Applicable",IF(Q280="Processing","Pending",IF(B280="","Unknown",IF(Orders!J280="","Unknown",IF(Orders!J280&lt;=3,"Fast",IF(Orders!J280&lt;=6,"Standard","Slow"))))))</f>
        <v>Standard</v>
      </c>
      <c r="Y280" s="1" t="n">
        <f aca="false">IF(OR(Q280="Cancelled",Q280="Returned"),0,O280)</f>
        <v>299.15</v>
      </c>
    </row>
    <row r="281" customFormat="false" ht="23.85" hidden="false" customHeight="false" outlineLevel="0" collapsed="false">
      <c r="A281" s="6" t="str">
        <f aca="false">Orders!A281</f>
        <v>O000280</v>
      </c>
      <c r="B281" s="19" t="n">
        <f aca="false">Orders!B281</f>
        <v>46021</v>
      </c>
      <c r="C281" s="6" t="str">
        <f aca="false">Orders!C281</f>
        <v>C0249</v>
      </c>
      <c r="D281" s="6" t="str">
        <f aca="false">Orders!D281</f>
        <v>P1081</v>
      </c>
      <c r="E281" s="6" t="str">
        <f aca="false">INDEX(Products!$B$2:$B$101,MATCH(D281,Products!$A$2:$A$101,0))</f>
        <v>Sticky Notes Pack</v>
      </c>
      <c r="F281" s="1" t="str">
        <f aca="false">INDEX(Products!$C$2:$C$101,MATCH(D281,Products!$A$2:$A$101,0))</f>
        <v>Books &amp; Stationery</v>
      </c>
      <c r="G281" s="6" t="n">
        <f aca="false">Orders!E281</f>
        <v>1</v>
      </c>
      <c r="H281" s="16" t="n">
        <f aca="false">INDEX(Products!$D$2:$D$101,MATCH(D281,Products!$A$2:$A$101,0))</f>
        <v>149</v>
      </c>
      <c r="I281" s="16" t="n">
        <f aca="false">INDEX(Products!$E$2:$E$101,MATCH(D281,Products!$A$2:$A$101,0))</f>
        <v>45</v>
      </c>
      <c r="J281" s="20" t="n">
        <f aca="false">Orders!F281</f>
        <v>0.05</v>
      </c>
      <c r="K281" s="6" t="n">
        <f aca="false">G281*H281</f>
        <v>149</v>
      </c>
      <c r="L281" s="6" t="n">
        <f aca="false">K281*J281</f>
        <v>7.45</v>
      </c>
      <c r="M281" s="6" t="n">
        <f aca="false">K281-L281</f>
        <v>141.55</v>
      </c>
      <c r="N281" s="6" t="n">
        <f aca="false">G281*I281</f>
        <v>45</v>
      </c>
      <c r="O281" s="6" t="n">
        <f aca="false">M281-N281</f>
        <v>96.55</v>
      </c>
      <c r="P281" s="21" t="n">
        <f aca="false">IFERROR(O281/M281,0)</f>
        <v>0.682091133874956</v>
      </c>
      <c r="Q281" s="6" t="str">
        <f aca="false">Orders!H281</f>
        <v>Delivered</v>
      </c>
      <c r="R281" s="1" t="str">
        <f aca="false">INDEX(Customers!$C$2:$C$301,MATCH(C281,Customers!$A$2:$A$301,0))</f>
        <v>Ahmedabad</v>
      </c>
      <c r="S281" s="1" t="str">
        <f aca="false">INDEX(Customers!$E$2:$E$301,MATCH(C281,Customers!$A$2:$A$301,0))</f>
        <v>New</v>
      </c>
      <c r="T281" s="6" t="str">
        <f aca="false">Orders!I281</f>
        <v>Marketplace</v>
      </c>
      <c r="U281" s="1" t="str">
        <f aca="false">IF(Q281="Delivered","Completed",IF(Q281="Cancelled","Cancelled",IF(Q281="Returned","Returned","In Progress")))</f>
        <v>Completed</v>
      </c>
      <c r="V281" s="1" t="str">
        <f aca="false">IF(M281&gt;=10000,"High Value",IF(M281&gt;=5000,"Medium Value","Low Value"))</f>
        <v>Low Value</v>
      </c>
      <c r="W281" s="1" t="str">
        <f aca="false">IF(O281&gt;0,"Profitable",IF(O281=0,"Break-even","Loss"))</f>
        <v>Profitable</v>
      </c>
      <c r="X281" s="1" t="str">
        <f aca="false">IF(Q281="Cancelled","Not Applicable",IF(Q281="Processing","Pending",IF(B281="","Unknown",IF(Orders!J281="","Unknown",IF(Orders!J281&lt;=3,"Fast",IF(Orders!J281&lt;=6,"Standard","Slow"))))))</f>
        <v>Fast</v>
      </c>
      <c r="Y281" s="1" t="n">
        <f aca="false">IF(OR(Q281="Cancelled",Q281="Returned"),0,O281)</f>
        <v>96.55</v>
      </c>
    </row>
    <row r="282" customFormat="false" ht="15" hidden="false" customHeight="false" outlineLevel="0" collapsed="false">
      <c r="A282" s="6" t="str">
        <f aca="false">Orders!A282</f>
        <v>O000281</v>
      </c>
      <c r="B282" s="19" t="n">
        <f aca="false">Orders!B282</f>
        <v>45765</v>
      </c>
      <c r="C282" s="6" t="str">
        <f aca="false">Orders!C282</f>
        <v>C0226</v>
      </c>
      <c r="D282" s="6" t="str">
        <f aca="false">Orders!D282</f>
        <v>P1038</v>
      </c>
      <c r="E282" s="6" t="str">
        <f aca="false">INDEX(Products!$B$2:$B$101,MATCH(D282,Products!$A$2:$A$101,0))</f>
        <v>Laundry Basket</v>
      </c>
      <c r="F282" s="1" t="str">
        <f aca="false">INDEX(Products!$C$2:$C$101,MATCH(D282,Products!$A$2:$A$101,0))</f>
        <v>Home &amp; Kitchen</v>
      </c>
      <c r="G282" s="6" t="n">
        <f aca="false">Orders!E282</f>
        <v>3</v>
      </c>
      <c r="H282" s="16" t="n">
        <f aca="false">INDEX(Products!$D$2:$D$101,MATCH(D282,Products!$A$2:$A$101,0))</f>
        <v>599</v>
      </c>
      <c r="I282" s="16" t="n">
        <f aca="false">INDEX(Products!$E$2:$E$101,MATCH(D282,Products!$A$2:$A$101,0))</f>
        <v>260</v>
      </c>
      <c r="J282" s="20" t="n">
        <f aca="false">Orders!F282</f>
        <v>0.1</v>
      </c>
      <c r="K282" s="6" t="n">
        <f aca="false">G282*H282</f>
        <v>1797</v>
      </c>
      <c r="L282" s="6" t="n">
        <f aca="false">K282*J282</f>
        <v>179.7</v>
      </c>
      <c r="M282" s="6" t="n">
        <f aca="false">K282-L282</f>
        <v>1617.3</v>
      </c>
      <c r="N282" s="6" t="n">
        <f aca="false">G282*I282</f>
        <v>780</v>
      </c>
      <c r="O282" s="6" t="n">
        <f aca="false">M282-N282</f>
        <v>837.3</v>
      </c>
      <c r="P282" s="21" t="n">
        <f aca="false">IFERROR(O282/M282,0)</f>
        <v>0.517714709701354</v>
      </c>
      <c r="Q282" s="6" t="str">
        <f aca="false">Orders!H282</f>
        <v>Delivered</v>
      </c>
      <c r="R282" s="1" t="str">
        <f aca="false">INDEX(Customers!$C$2:$C$301,MATCH(C282,Customers!$A$2:$A$301,0))</f>
        <v>Kolkata</v>
      </c>
      <c r="S282" s="1" t="str">
        <f aca="false">INDEX(Customers!$E$2:$E$301,MATCH(C282,Customers!$A$2:$A$301,0))</f>
        <v>Returning</v>
      </c>
      <c r="T282" s="6" t="str">
        <f aca="false">Orders!I282</f>
        <v>Mobile App</v>
      </c>
      <c r="U282" s="1" t="str">
        <f aca="false">IF(Q282="Delivered","Completed",IF(Q282="Cancelled","Cancelled",IF(Q282="Returned","Returned","In Progress")))</f>
        <v>Completed</v>
      </c>
      <c r="V282" s="1" t="str">
        <f aca="false">IF(M282&gt;=10000,"High Value",IF(M282&gt;=5000,"Medium Value","Low Value"))</f>
        <v>Low Value</v>
      </c>
      <c r="W282" s="1" t="str">
        <f aca="false">IF(O282&gt;0,"Profitable",IF(O282=0,"Break-even","Loss"))</f>
        <v>Profitable</v>
      </c>
      <c r="X282" s="1" t="str">
        <f aca="false">IF(Q282="Cancelled","Not Applicable",IF(Q282="Processing","Pending",IF(B282="","Unknown",IF(Orders!J282="","Unknown",IF(Orders!J282&lt;=3,"Fast",IF(Orders!J282&lt;=6,"Standard","Slow"))))))</f>
        <v>Fast</v>
      </c>
      <c r="Y282" s="1" t="n">
        <f aca="false">IF(OR(Q282="Cancelled",Q282="Returned"),0,O282)</f>
        <v>837.3</v>
      </c>
    </row>
    <row r="283" customFormat="false" ht="15" hidden="false" customHeight="false" outlineLevel="0" collapsed="false">
      <c r="A283" s="6" t="str">
        <f aca="false">Orders!A283</f>
        <v>O000282</v>
      </c>
      <c r="B283" s="19" t="n">
        <f aca="false">Orders!B283</f>
        <v>45871</v>
      </c>
      <c r="C283" s="6" t="str">
        <f aca="false">Orders!C283</f>
        <v>C0179</v>
      </c>
      <c r="D283" s="6" t="str">
        <f aca="false">Orders!D283</f>
        <v>P1092</v>
      </c>
      <c r="E283" s="6" t="str">
        <f aca="false">INDEX(Products!$B$2:$B$101,MATCH(D283,Products!$A$2:$A$101,0))</f>
        <v>Hand Blender</v>
      </c>
      <c r="F283" s="1" t="str">
        <f aca="false">INDEX(Products!$C$2:$C$101,MATCH(D283,Products!$A$2:$A$101,0))</f>
        <v>Appliances</v>
      </c>
      <c r="G283" s="6" t="n">
        <f aca="false">Orders!E283</f>
        <v>1</v>
      </c>
      <c r="H283" s="16" t="n">
        <f aca="false">INDEX(Products!$D$2:$D$101,MATCH(D283,Products!$A$2:$A$101,0))</f>
        <v>999</v>
      </c>
      <c r="I283" s="16" t="n">
        <f aca="false">INDEX(Products!$E$2:$E$101,MATCH(D283,Products!$A$2:$A$101,0))</f>
        <v>550</v>
      </c>
      <c r="J283" s="20" t="n">
        <f aca="false">Orders!F283</f>
        <v>0.15</v>
      </c>
      <c r="K283" s="6" t="n">
        <f aca="false">G283*H283</f>
        <v>999</v>
      </c>
      <c r="L283" s="6" t="n">
        <f aca="false">K283*J283</f>
        <v>149.85</v>
      </c>
      <c r="M283" s="6" t="n">
        <f aca="false">K283-L283</f>
        <v>849.15</v>
      </c>
      <c r="N283" s="6" t="n">
        <f aca="false">G283*I283</f>
        <v>550</v>
      </c>
      <c r="O283" s="6" t="n">
        <f aca="false">M283-N283</f>
        <v>299.15</v>
      </c>
      <c r="P283" s="21" t="n">
        <f aca="false">IFERROR(O283/M283,0)</f>
        <v>0.352293469940529</v>
      </c>
      <c r="Q283" s="6" t="str">
        <f aca="false">Orders!H283</f>
        <v>Cancelled</v>
      </c>
      <c r="R283" s="1" t="str">
        <f aca="false">INDEX(Customers!$C$2:$C$301,MATCH(C283,Customers!$A$2:$A$301,0))</f>
        <v>Coimbatore</v>
      </c>
      <c r="S283" s="1" t="str">
        <f aca="false">INDEX(Customers!$E$2:$E$301,MATCH(C283,Customers!$A$2:$A$301,0))</f>
        <v>New</v>
      </c>
      <c r="T283" s="6" t="str">
        <f aca="false">Orders!I283</f>
        <v>Mobile App</v>
      </c>
      <c r="U283" s="1" t="str">
        <f aca="false">IF(Q283="Delivered","Completed",IF(Q283="Cancelled","Cancelled",IF(Q283="Returned","Returned","In Progress")))</f>
        <v>Cancelled</v>
      </c>
      <c r="V283" s="1" t="str">
        <f aca="false">IF(M283&gt;=10000,"High Value",IF(M283&gt;=5000,"Medium Value","Low Value"))</f>
        <v>Low Value</v>
      </c>
      <c r="W283" s="1" t="str">
        <f aca="false">IF(O283&gt;0,"Profitable",IF(O283=0,"Break-even","Loss"))</f>
        <v>Profitable</v>
      </c>
      <c r="X283" s="1" t="str">
        <f aca="false">IF(Q283="Cancelled","Not Applicable",IF(Q283="Processing","Pending",IF(B283="","Unknown",IF(Orders!J283="","Unknown",IF(Orders!J283&lt;=3,"Fast",IF(Orders!J283&lt;=6,"Standard","Slow"))))))</f>
        <v>Not Applicable</v>
      </c>
      <c r="Y283" s="1" t="n">
        <f aca="false">IF(OR(Q283="Cancelled",Q283="Returned"),0,O283)</f>
        <v>0</v>
      </c>
    </row>
    <row r="284" customFormat="false" ht="15" hidden="false" customHeight="false" outlineLevel="0" collapsed="false">
      <c r="A284" s="6" t="str">
        <f aca="false">Orders!A284</f>
        <v>O000283</v>
      </c>
      <c r="B284" s="19" t="n">
        <f aca="false">Orders!B284</f>
        <v>45672</v>
      </c>
      <c r="C284" s="6" t="str">
        <f aca="false">Orders!C284</f>
        <v>C0078</v>
      </c>
      <c r="D284" s="6" t="str">
        <f aca="false">Orders!D284</f>
        <v>P1005</v>
      </c>
      <c r="E284" s="6" t="str">
        <f aca="false">INDEX(Products!$B$2:$B$101,MATCH(D284,Products!$A$2:$A$101,0))</f>
        <v>Power Bank</v>
      </c>
      <c r="F284" s="1" t="str">
        <f aca="false">INDEX(Products!$C$2:$C$101,MATCH(D284,Products!$A$2:$A$101,0))</f>
        <v>Electronics</v>
      </c>
      <c r="G284" s="6" t="n">
        <f aca="false">Orders!E284</f>
        <v>1</v>
      </c>
      <c r="H284" s="16" t="n">
        <f aca="false">INDEX(Products!$D$2:$D$101,MATCH(D284,Products!$A$2:$A$101,0))</f>
        <v>1199</v>
      </c>
      <c r="I284" s="16" t="n">
        <f aca="false">INDEX(Products!$E$2:$E$101,MATCH(D284,Products!$A$2:$A$101,0))</f>
        <v>650</v>
      </c>
      <c r="J284" s="20" t="n">
        <f aca="false">Orders!F284</f>
        <v>0</v>
      </c>
      <c r="K284" s="6" t="n">
        <f aca="false">G284*H284</f>
        <v>1199</v>
      </c>
      <c r="L284" s="6" t="n">
        <f aca="false">K284*J284</f>
        <v>0</v>
      </c>
      <c r="M284" s="6" t="n">
        <f aca="false">K284-L284</f>
        <v>1199</v>
      </c>
      <c r="N284" s="6" t="n">
        <f aca="false">G284*I284</f>
        <v>650</v>
      </c>
      <c r="O284" s="6" t="n">
        <f aca="false">M284-N284</f>
        <v>549</v>
      </c>
      <c r="P284" s="21" t="n">
        <f aca="false">IFERROR(O284/M284,0)</f>
        <v>0.457881567973311</v>
      </c>
      <c r="Q284" s="6" t="str">
        <f aca="false">Orders!H284</f>
        <v>Returned</v>
      </c>
      <c r="R284" s="1" t="str">
        <f aca="false">INDEX(Customers!$C$2:$C$301,MATCH(C284,Customers!$A$2:$A$301,0))</f>
        <v>Nagpur</v>
      </c>
      <c r="S284" s="1" t="str">
        <f aca="false">INDEX(Customers!$E$2:$E$301,MATCH(C284,Customers!$A$2:$A$301,0))</f>
        <v>New</v>
      </c>
      <c r="T284" s="6" t="str">
        <f aca="false">Orders!I284</f>
        <v>Mobile App</v>
      </c>
      <c r="U284" s="1" t="str">
        <f aca="false">IF(Q284="Delivered","Completed",IF(Q284="Cancelled","Cancelled",IF(Q284="Returned","Returned","In Progress")))</f>
        <v>Returned</v>
      </c>
      <c r="V284" s="1" t="str">
        <f aca="false">IF(M284&gt;=10000,"High Value",IF(M284&gt;=5000,"Medium Value","Low Value"))</f>
        <v>Low Value</v>
      </c>
      <c r="W284" s="1" t="str">
        <f aca="false">IF(O284&gt;0,"Profitable",IF(O284=0,"Break-even","Loss"))</f>
        <v>Profitable</v>
      </c>
      <c r="X284" s="1" t="str">
        <f aca="false">IF(Q284="Cancelled","Not Applicable",IF(Q284="Processing","Pending",IF(B284="","Unknown",IF(Orders!J284="","Unknown",IF(Orders!J284&lt;=3,"Fast",IF(Orders!J284&lt;=6,"Standard","Slow"))))))</f>
        <v>Fast</v>
      </c>
      <c r="Y284" s="1" t="n">
        <f aca="false">IF(OR(Q284="Cancelled",Q284="Returned"),0,O284)</f>
        <v>0</v>
      </c>
    </row>
    <row r="285" customFormat="false" ht="15" hidden="false" customHeight="false" outlineLevel="0" collapsed="false">
      <c r="A285" s="6" t="str">
        <f aca="false">Orders!A285</f>
        <v>O000284</v>
      </c>
      <c r="B285" s="19" t="n">
        <f aca="false">Orders!B285</f>
        <v>45693</v>
      </c>
      <c r="C285" s="6" t="str">
        <f aca="false">Orders!C285</f>
        <v>C0027</v>
      </c>
      <c r="D285" s="6" t="str">
        <f aca="false">Orders!D285</f>
        <v>P1037</v>
      </c>
      <c r="E285" s="6" t="str">
        <f aca="false">INDEX(Products!$B$2:$B$101,MATCH(D285,Products!$A$2:$A$101,0))</f>
        <v>Pillow Pair</v>
      </c>
      <c r="F285" s="1" t="str">
        <f aca="false">INDEX(Products!$C$2:$C$101,MATCH(D285,Products!$A$2:$A$101,0))</f>
        <v>Home &amp; Kitchen</v>
      </c>
      <c r="G285" s="6" t="n">
        <f aca="false">Orders!E285</f>
        <v>1</v>
      </c>
      <c r="H285" s="16" t="n">
        <f aca="false">INDEX(Products!$D$2:$D$101,MATCH(D285,Products!$A$2:$A$101,0))</f>
        <v>799</v>
      </c>
      <c r="I285" s="16" t="n">
        <f aca="false">INDEX(Products!$E$2:$E$101,MATCH(D285,Products!$A$2:$A$101,0))</f>
        <v>350</v>
      </c>
      <c r="J285" s="20" t="n">
        <f aca="false">Orders!F285</f>
        <v>0.1</v>
      </c>
      <c r="K285" s="6" t="n">
        <f aca="false">G285*H285</f>
        <v>799</v>
      </c>
      <c r="L285" s="6" t="n">
        <f aca="false">K285*J285</f>
        <v>79.9</v>
      </c>
      <c r="M285" s="6" t="n">
        <f aca="false">K285-L285</f>
        <v>719.1</v>
      </c>
      <c r="N285" s="6" t="n">
        <f aca="false">G285*I285</f>
        <v>350</v>
      </c>
      <c r="O285" s="6" t="n">
        <f aca="false">M285-N285</f>
        <v>369.1</v>
      </c>
      <c r="P285" s="21" t="n">
        <f aca="false">IFERROR(O285/M285,0)</f>
        <v>0.513280489500765</v>
      </c>
      <c r="Q285" s="6" t="str">
        <f aca="false">Orders!H285</f>
        <v>Delivered</v>
      </c>
      <c r="R285" s="1" t="str">
        <f aca="false">INDEX(Customers!$C$2:$C$301,MATCH(C285,Customers!$A$2:$A$301,0))</f>
        <v>Pune</v>
      </c>
      <c r="S285" s="1" t="str">
        <f aca="false">INDEX(Customers!$E$2:$E$301,MATCH(C285,Customers!$A$2:$A$301,0))</f>
        <v>Returning</v>
      </c>
      <c r="T285" s="6" t="str">
        <f aca="false">Orders!I285</f>
        <v>Mobile App</v>
      </c>
      <c r="U285" s="1" t="str">
        <f aca="false">IF(Q285="Delivered","Completed",IF(Q285="Cancelled","Cancelled",IF(Q285="Returned","Returned","In Progress")))</f>
        <v>Completed</v>
      </c>
      <c r="V285" s="1" t="str">
        <f aca="false">IF(M285&gt;=10000,"High Value",IF(M285&gt;=5000,"Medium Value","Low Value"))</f>
        <v>Low Value</v>
      </c>
      <c r="W285" s="1" t="str">
        <f aca="false">IF(O285&gt;0,"Profitable",IF(O285=0,"Break-even","Loss"))</f>
        <v>Profitable</v>
      </c>
      <c r="X285" s="1" t="str">
        <f aca="false">IF(Q285="Cancelled","Not Applicable",IF(Q285="Processing","Pending",IF(B285="","Unknown",IF(Orders!J285="","Unknown",IF(Orders!J285&lt;=3,"Fast",IF(Orders!J285&lt;=6,"Standard","Slow"))))))</f>
        <v>Slow</v>
      </c>
      <c r="Y285" s="1" t="n">
        <f aca="false">IF(OR(Q285="Cancelled",Q285="Returned"),0,O285)</f>
        <v>369.1</v>
      </c>
    </row>
    <row r="286" customFormat="false" ht="15" hidden="false" customHeight="false" outlineLevel="0" collapsed="false">
      <c r="A286" s="6" t="str">
        <f aca="false">Orders!A286</f>
        <v>O000285</v>
      </c>
      <c r="B286" s="19" t="n">
        <f aca="false">Orders!B286</f>
        <v>45760</v>
      </c>
      <c r="C286" s="6" t="str">
        <f aca="false">Orders!C286</f>
        <v>C0030</v>
      </c>
      <c r="D286" s="6" t="str">
        <f aca="false">Orders!D286</f>
        <v>P1079</v>
      </c>
      <c r="E286" s="6" t="str">
        <f aca="false">INDEX(Products!$B$2:$B$101,MATCH(D286,Products!$A$2:$A$101,0))</f>
        <v>Art Supply Kit</v>
      </c>
      <c r="F286" s="1" t="str">
        <f aca="false">INDEX(Products!$C$2:$C$101,MATCH(D286,Products!$A$2:$A$101,0))</f>
        <v>Books &amp; Stationery</v>
      </c>
      <c r="G286" s="6" t="n">
        <f aca="false">Orders!E286</f>
        <v>1</v>
      </c>
      <c r="H286" s="16" t="n">
        <f aca="false">INDEX(Products!$D$2:$D$101,MATCH(D286,Products!$A$2:$A$101,0))</f>
        <v>699</v>
      </c>
      <c r="I286" s="16" t="n">
        <f aca="false">INDEX(Products!$E$2:$E$101,MATCH(D286,Products!$A$2:$A$101,0))</f>
        <v>350</v>
      </c>
      <c r="J286" s="20" t="n">
        <f aca="false">Orders!F286</f>
        <v>0.05</v>
      </c>
      <c r="K286" s="6" t="n">
        <f aca="false">G286*H286</f>
        <v>699</v>
      </c>
      <c r="L286" s="6" t="n">
        <f aca="false">K286*J286</f>
        <v>34.95</v>
      </c>
      <c r="M286" s="6" t="n">
        <f aca="false">K286-L286</f>
        <v>664.05</v>
      </c>
      <c r="N286" s="6" t="n">
        <f aca="false">G286*I286</f>
        <v>350</v>
      </c>
      <c r="O286" s="6" t="n">
        <f aca="false">M286-N286</f>
        <v>314.05</v>
      </c>
      <c r="P286" s="21" t="n">
        <f aca="false">IFERROR(O286/M286,0)</f>
        <v>0.472931255176568</v>
      </c>
      <c r="Q286" s="6" t="str">
        <f aca="false">Orders!H286</f>
        <v>Processing</v>
      </c>
      <c r="R286" s="1" t="str">
        <f aca="false">INDEX(Customers!$C$2:$C$301,MATCH(C286,Customers!$A$2:$A$301,0))</f>
        <v>Lucknow</v>
      </c>
      <c r="S286" s="1" t="str">
        <f aca="false">INDEX(Customers!$E$2:$E$301,MATCH(C286,Customers!$A$2:$A$301,0))</f>
        <v>Returning</v>
      </c>
      <c r="T286" s="6" t="str">
        <f aca="false">Orders!I286</f>
        <v>Marketplace</v>
      </c>
      <c r="U286" s="1" t="str">
        <f aca="false">IF(Q286="Delivered","Completed",IF(Q286="Cancelled","Cancelled",IF(Q286="Returned","Returned","In Progress")))</f>
        <v>In Progress</v>
      </c>
      <c r="V286" s="1" t="str">
        <f aca="false">IF(M286&gt;=10000,"High Value",IF(M286&gt;=5000,"Medium Value","Low Value"))</f>
        <v>Low Value</v>
      </c>
      <c r="W286" s="1" t="str">
        <f aca="false">IF(O286&gt;0,"Profitable",IF(O286=0,"Break-even","Loss"))</f>
        <v>Profitable</v>
      </c>
      <c r="X286" s="1" t="str">
        <f aca="false">IF(Q286="Cancelled","Not Applicable",IF(Q286="Processing","Pending",IF(B286="","Unknown",IF(Orders!J286="","Unknown",IF(Orders!J286&lt;=3,"Fast",IF(Orders!J286&lt;=6,"Standard","Slow"))))))</f>
        <v>Pending</v>
      </c>
      <c r="Y286" s="1" t="n">
        <f aca="false">IF(OR(Q286="Cancelled",Q286="Returned"),0,O286)</f>
        <v>314.05</v>
      </c>
    </row>
    <row r="287" customFormat="false" ht="15" hidden="false" customHeight="false" outlineLevel="0" collapsed="false">
      <c r="A287" s="6" t="str">
        <f aca="false">Orders!A287</f>
        <v>O000286</v>
      </c>
      <c r="B287" s="19" t="n">
        <f aca="false">Orders!B287</f>
        <v>45827</v>
      </c>
      <c r="C287" s="6" t="str">
        <f aca="false">Orders!C287</f>
        <v>C0081</v>
      </c>
      <c r="D287" s="6" t="str">
        <f aca="false">Orders!D287</f>
        <v>P1028</v>
      </c>
      <c r="E287" s="6" t="str">
        <f aca="false">INDEX(Products!$B$2:$B$101,MATCH(D287,Products!$A$2:$A$101,0))</f>
        <v>Sneakers</v>
      </c>
      <c r="F287" s="1" t="str">
        <f aca="false">INDEX(Products!$C$2:$C$101,MATCH(D287,Products!$A$2:$A$101,0))</f>
        <v>Fashion</v>
      </c>
      <c r="G287" s="6" t="n">
        <f aca="false">Orders!E287</f>
        <v>2</v>
      </c>
      <c r="H287" s="16" t="n">
        <f aca="false">INDEX(Products!$D$2:$D$101,MATCH(D287,Products!$A$2:$A$101,0))</f>
        <v>1799</v>
      </c>
      <c r="I287" s="16" t="n">
        <f aca="false">INDEX(Products!$E$2:$E$101,MATCH(D287,Products!$A$2:$A$101,0))</f>
        <v>950</v>
      </c>
      <c r="J287" s="20" t="n">
        <f aca="false">Orders!F287</f>
        <v>0.15</v>
      </c>
      <c r="K287" s="6" t="n">
        <f aca="false">G287*H287</f>
        <v>3598</v>
      </c>
      <c r="L287" s="6" t="n">
        <f aca="false">K287*J287</f>
        <v>539.7</v>
      </c>
      <c r="M287" s="6" t="n">
        <f aca="false">K287-L287</f>
        <v>3058.3</v>
      </c>
      <c r="N287" s="6" t="n">
        <f aca="false">G287*I287</f>
        <v>1900</v>
      </c>
      <c r="O287" s="6" t="n">
        <f aca="false">M287-N287</f>
        <v>1158.3</v>
      </c>
      <c r="P287" s="21" t="n">
        <f aca="false">IFERROR(O287/M287,0)</f>
        <v>0.37873982277736</v>
      </c>
      <c r="Q287" s="6" t="str">
        <f aca="false">Orders!H287</f>
        <v>Shipped</v>
      </c>
      <c r="R287" s="1" t="str">
        <f aca="false">INDEX(Customers!$C$2:$C$301,MATCH(C287,Customers!$A$2:$A$301,0))</f>
        <v>Delhi</v>
      </c>
      <c r="S287" s="1" t="str">
        <f aca="false">INDEX(Customers!$E$2:$E$301,MATCH(C287,Customers!$A$2:$A$301,0))</f>
        <v>Returning</v>
      </c>
      <c r="T287" s="6" t="str">
        <f aca="false">Orders!I287</f>
        <v>Website</v>
      </c>
      <c r="U287" s="1" t="str">
        <f aca="false">IF(Q287="Delivered","Completed",IF(Q287="Cancelled","Cancelled",IF(Q287="Returned","Returned","In Progress")))</f>
        <v>In Progress</v>
      </c>
      <c r="V287" s="1" t="str">
        <f aca="false">IF(M287&gt;=10000,"High Value",IF(M287&gt;=5000,"Medium Value","Low Value"))</f>
        <v>Low Value</v>
      </c>
      <c r="W287" s="1" t="str">
        <f aca="false">IF(O287&gt;0,"Profitable",IF(O287=0,"Break-even","Loss"))</f>
        <v>Profitable</v>
      </c>
      <c r="X287" s="1" t="str">
        <f aca="false">IF(Q287="Cancelled","Not Applicable",IF(Q287="Processing","Pending",IF(B287="","Unknown",IF(Orders!J287="","Unknown",IF(Orders!J287&lt;=3,"Fast",IF(Orders!J287&lt;=6,"Standard","Slow"))))))</f>
        <v>Slow</v>
      </c>
      <c r="Y287" s="1" t="n">
        <f aca="false">IF(OR(Q287="Cancelled",Q287="Returned"),0,O287)</f>
        <v>1158.3</v>
      </c>
    </row>
    <row r="288" customFormat="false" ht="15" hidden="false" customHeight="false" outlineLevel="0" collapsed="false">
      <c r="A288" s="6" t="str">
        <f aca="false">Orders!A288</f>
        <v>O000287</v>
      </c>
      <c r="B288" s="19" t="n">
        <f aca="false">Orders!B288</f>
        <v>45824</v>
      </c>
      <c r="C288" s="6" t="str">
        <f aca="false">Orders!C288</f>
        <v>C0211</v>
      </c>
      <c r="D288" s="6" t="str">
        <f aca="false">Orders!D288</f>
        <v>P1019</v>
      </c>
      <c r="E288" s="6" t="str">
        <f aca="false">INDEX(Products!$B$2:$B$101,MATCH(D288,Products!$A$2:$A$101,0))</f>
        <v>Running Shoes</v>
      </c>
      <c r="F288" s="1" t="str">
        <f aca="false">INDEX(Products!$C$2:$C$101,MATCH(D288,Products!$A$2:$A$101,0))</f>
        <v>Fashion</v>
      </c>
      <c r="G288" s="6" t="n">
        <f aca="false">Orders!E288</f>
        <v>1</v>
      </c>
      <c r="H288" s="16" t="n">
        <f aca="false">INDEX(Products!$D$2:$D$101,MATCH(D288,Products!$A$2:$A$101,0))</f>
        <v>1999</v>
      </c>
      <c r="I288" s="16" t="n">
        <f aca="false">INDEX(Products!$E$2:$E$101,MATCH(D288,Products!$A$2:$A$101,0))</f>
        <v>1100</v>
      </c>
      <c r="J288" s="20" t="n">
        <f aca="false">Orders!F288</f>
        <v>0.15</v>
      </c>
      <c r="K288" s="6" t="n">
        <f aca="false">G288*H288</f>
        <v>1999</v>
      </c>
      <c r="L288" s="6" t="n">
        <f aca="false">K288*J288</f>
        <v>299.85</v>
      </c>
      <c r="M288" s="6" t="n">
        <f aca="false">K288-L288</f>
        <v>1699.15</v>
      </c>
      <c r="N288" s="6" t="n">
        <f aca="false">G288*I288</f>
        <v>1100</v>
      </c>
      <c r="O288" s="6" t="n">
        <f aca="false">M288-N288</f>
        <v>599.15</v>
      </c>
      <c r="P288" s="21" t="n">
        <f aca="false">IFERROR(O288/M288,0)</f>
        <v>0.352617485213195</v>
      </c>
      <c r="Q288" s="6" t="str">
        <f aca="false">Orders!H288</f>
        <v>Returned</v>
      </c>
      <c r="R288" s="1" t="str">
        <f aca="false">INDEX(Customers!$C$2:$C$301,MATCH(C288,Customers!$A$2:$A$301,0))</f>
        <v>Gurugram</v>
      </c>
      <c r="S288" s="1" t="str">
        <f aca="false">INDEX(Customers!$E$2:$E$301,MATCH(C288,Customers!$A$2:$A$301,0))</f>
        <v>Returning</v>
      </c>
      <c r="T288" s="6" t="str">
        <f aca="false">Orders!I288</f>
        <v>Website</v>
      </c>
      <c r="U288" s="1" t="str">
        <f aca="false">IF(Q288="Delivered","Completed",IF(Q288="Cancelled","Cancelled",IF(Q288="Returned","Returned","In Progress")))</f>
        <v>Returned</v>
      </c>
      <c r="V288" s="1" t="str">
        <f aca="false">IF(M288&gt;=10000,"High Value",IF(M288&gt;=5000,"Medium Value","Low Value"))</f>
        <v>Low Value</v>
      </c>
      <c r="W288" s="1" t="str">
        <f aca="false">IF(O288&gt;0,"Profitable",IF(O288=0,"Break-even","Loss"))</f>
        <v>Profitable</v>
      </c>
      <c r="X288" s="1" t="str">
        <f aca="false">IF(Q288="Cancelled","Not Applicable",IF(Q288="Processing","Pending",IF(B288="","Unknown",IF(Orders!J288="","Unknown",IF(Orders!J288&lt;=3,"Fast",IF(Orders!J288&lt;=6,"Standard","Slow"))))))</f>
        <v>Standard</v>
      </c>
      <c r="Y288" s="1" t="n">
        <f aca="false">IF(OR(Q288="Cancelled",Q288="Returned"),0,O288)</f>
        <v>0</v>
      </c>
    </row>
    <row r="289" customFormat="false" ht="15" hidden="false" customHeight="false" outlineLevel="0" collapsed="false">
      <c r="A289" s="6" t="str">
        <f aca="false">Orders!A289</f>
        <v>O000288</v>
      </c>
      <c r="B289" s="19" t="n">
        <f aca="false">Orders!B289</f>
        <v>45846</v>
      </c>
      <c r="C289" s="6" t="str">
        <f aca="false">Orders!C289</f>
        <v>C0162</v>
      </c>
      <c r="D289" s="6" t="str">
        <f aca="false">Orders!D289</f>
        <v>P1029</v>
      </c>
      <c r="E289" s="6" t="str">
        <f aca="false">INDEX(Products!$B$2:$B$101,MATCH(D289,Products!$A$2:$A$101,0))</f>
        <v>Scarf</v>
      </c>
      <c r="F289" s="1" t="str">
        <f aca="false">INDEX(Products!$C$2:$C$101,MATCH(D289,Products!$A$2:$A$101,0))</f>
        <v>Fashion</v>
      </c>
      <c r="G289" s="6" t="n">
        <f aca="false">Orders!E289</f>
        <v>2</v>
      </c>
      <c r="H289" s="16" t="n">
        <f aca="false">INDEX(Products!$D$2:$D$101,MATCH(D289,Products!$A$2:$A$101,0))</f>
        <v>299</v>
      </c>
      <c r="I289" s="16" t="n">
        <f aca="false">INDEX(Products!$E$2:$E$101,MATCH(D289,Products!$A$2:$A$101,0))</f>
        <v>100</v>
      </c>
      <c r="J289" s="20" t="n">
        <f aca="false">Orders!F289</f>
        <v>0.05</v>
      </c>
      <c r="K289" s="6" t="n">
        <f aca="false">G289*H289</f>
        <v>598</v>
      </c>
      <c r="L289" s="6" t="n">
        <f aca="false">K289*J289</f>
        <v>29.9</v>
      </c>
      <c r="M289" s="6" t="n">
        <f aca="false">K289-L289</f>
        <v>568.1</v>
      </c>
      <c r="N289" s="6" t="n">
        <f aca="false">G289*I289</f>
        <v>200</v>
      </c>
      <c r="O289" s="6" t="n">
        <f aca="false">M289-N289</f>
        <v>368.1</v>
      </c>
      <c r="P289" s="21" t="n">
        <f aca="false">IFERROR(O289/M289,0)</f>
        <v>0.647949304699877</v>
      </c>
      <c r="Q289" s="6" t="str">
        <f aca="false">Orders!H289</f>
        <v>Delivered</v>
      </c>
      <c r="R289" s="1" t="str">
        <f aca="false">INDEX(Customers!$C$2:$C$301,MATCH(C289,Customers!$A$2:$A$301,0))</f>
        <v>Mumbai</v>
      </c>
      <c r="S289" s="1" t="str">
        <f aca="false">INDEX(Customers!$E$2:$E$301,MATCH(C289,Customers!$A$2:$A$301,0))</f>
        <v>New</v>
      </c>
      <c r="T289" s="6" t="str">
        <f aca="false">Orders!I289</f>
        <v>Mobile App</v>
      </c>
      <c r="U289" s="1" t="str">
        <f aca="false">IF(Q289="Delivered","Completed",IF(Q289="Cancelled","Cancelled",IF(Q289="Returned","Returned","In Progress")))</f>
        <v>Completed</v>
      </c>
      <c r="V289" s="1" t="str">
        <f aca="false">IF(M289&gt;=10000,"High Value",IF(M289&gt;=5000,"Medium Value","Low Value"))</f>
        <v>Low Value</v>
      </c>
      <c r="W289" s="1" t="str">
        <f aca="false">IF(O289&gt;0,"Profitable",IF(O289=0,"Break-even","Loss"))</f>
        <v>Profitable</v>
      </c>
      <c r="X289" s="1" t="str">
        <f aca="false">IF(Q289="Cancelled","Not Applicable",IF(Q289="Processing","Pending",IF(B289="","Unknown",IF(Orders!J289="","Unknown",IF(Orders!J289&lt;=3,"Fast",IF(Orders!J289&lt;=6,"Standard","Slow"))))))</f>
        <v>Standard</v>
      </c>
      <c r="Y289" s="1" t="n">
        <f aca="false">IF(OR(Q289="Cancelled",Q289="Returned"),0,O289)</f>
        <v>368.1</v>
      </c>
    </row>
    <row r="290" customFormat="false" ht="15" hidden="false" customHeight="false" outlineLevel="0" collapsed="false">
      <c r="A290" s="6" t="str">
        <f aca="false">Orders!A290</f>
        <v>O000289</v>
      </c>
      <c r="B290" s="19" t="n">
        <f aca="false">Orders!B290</f>
        <v>45805</v>
      </c>
      <c r="C290" s="6" t="str">
        <f aca="false">Orders!C290</f>
        <v>C0067</v>
      </c>
      <c r="D290" s="6" t="str">
        <f aca="false">Orders!D290</f>
        <v>P1059</v>
      </c>
      <c r="E290" s="6" t="str">
        <f aca="false">INDEX(Products!$B$2:$B$101,MATCH(D290,Products!$A$2:$A$101,0))</f>
        <v>Bath Gift Set</v>
      </c>
      <c r="F290" s="1" t="str">
        <f aca="false">INDEX(Products!$C$2:$C$101,MATCH(D290,Products!$A$2:$A$101,0))</f>
        <v>Beauty</v>
      </c>
      <c r="G290" s="6" t="n">
        <f aca="false">Orders!E290</f>
        <v>1</v>
      </c>
      <c r="H290" s="16" t="n">
        <f aca="false">INDEX(Products!$D$2:$D$101,MATCH(D290,Products!$A$2:$A$101,0))</f>
        <v>699</v>
      </c>
      <c r="I290" s="16" t="n">
        <f aca="false">INDEX(Products!$E$2:$E$101,MATCH(D290,Products!$A$2:$A$101,0))</f>
        <v>350</v>
      </c>
      <c r="J290" s="20" t="n">
        <f aca="false">Orders!F290</f>
        <v>0.2</v>
      </c>
      <c r="K290" s="6" t="n">
        <f aca="false">G290*H290</f>
        <v>699</v>
      </c>
      <c r="L290" s="6" t="n">
        <f aca="false">K290*J290</f>
        <v>139.8</v>
      </c>
      <c r="M290" s="6" t="n">
        <f aca="false">K290-L290</f>
        <v>559.2</v>
      </c>
      <c r="N290" s="6" t="n">
        <f aca="false">G290*I290</f>
        <v>350</v>
      </c>
      <c r="O290" s="6" t="n">
        <f aca="false">M290-N290</f>
        <v>209.2</v>
      </c>
      <c r="P290" s="21" t="n">
        <f aca="false">IFERROR(O290/M290,0)</f>
        <v>0.374105865522175</v>
      </c>
      <c r="Q290" s="6" t="str">
        <f aca="false">Orders!H290</f>
        <v>Processing</v>
      </c>
      <c r="R290" s="1" t="str">
        <f aca="false">INDEX(Customers!$C$2:$C$301,MATCH(C290,Customers!$A$2:$A$301,0))</f>
        <v>Pune</v>
      </c>
      <c r="S290" s="1" t="str">
        <f aca="false">INDEX(Customers!$E$2:$E$301,MATCH(C290,Customers!$A$2:$A$301,0))</f>
        <v>VIP</v>
      </c>
      <c r="T290" s="6" t="str">
        <f aca="false">Orders!I290</f>
        <v>Mobile App</v>
      </c>
      <c r="U290" s="1" t="str">
        <f aca="false">IF(Q290="Delivered","Completed",IF(Q290="Cancelled","Cancelled",IF(Q290="Returned","Returned","In Progress")))</f>
        <v>In Progress</v>
      </c>
      <c r="V290" s="1" t="str">
        <f aca="false">IF(M290&gt;=10000,"High Value",IF(M290&gt;=5000,"Medium Value","Low Value"))</f>
        <v>Low Value</v>
      </c>
      <c r="W290" s="1" t="str">
        <f aca="false">IF(O290&gt;0,"Profitable",IF(O290=0,"Break-even","Loss"))</f>
        <v>Profitable</v>
      </c>
      <c r="X290" s="1" t="str">
        <f aca="false">IF(Q290="Cancelled","Not Applicable",IF(Q290="Processing","Pending",IF(B290="","Unknown",IF(Orders!J290="","Unknown",IF(Orders!J290&lt;=3,"Fast",IF(Orders!J290&lt;=6,"Standard","Slow"))))))</f>
        <v>Pending</v>
      </c>
      <c r="Y290" s="1" t="n">
        <f aca="false">IF(OR(Q290="Cancelled",Q290="Returned"),0,O290)</f>
        <v>209.2</v>
      </c>
    </row>
    <row r="291" customFormat="false" ht="15" hidden="false" customHeight="false" outlineLevel="0" collapsed="false">
      <c r="A291" s="6" t="str">
        <f aca="false">Orders!A291</f>
        <v>O000290</v>
      </c>
      <c r="B291" s="19" t="n">
        <f aca="false">Orders!B291</f>
        <v>45814</v>
      </c>
      <c r="C291" s="6" t="str">
        <f aca="false">Orders!C291</f>
        <v>C0064</v>
      </c>
      <c r="D291" s="6" t="str">
        <f aca="false">Orders!D291</f>
        <v>P1038</v>
      </c>
      <c r="E291" s="6" t="str">
        <f aca="false">INDEX(Products!$B$2:$B$101,MATCH(D291,Products!$A$2:$A$101,0))</f>
        <v>Laundry Basket</v>
      </c>
      <c r="F291" s="1" t="str">
        <f aca="false">INDEX(Products!$C$2:$C$101,MATCH(D291,Products!$A$2:$A$101,0))</f>
        <v>Home &amp; Kitchen</v>
      </c>
      <c r="G291" s="6" t="n">
        <f aca="false">Orders!E291</f>
        <v>5</v>
      </c>
      <c r="H291" s="16" t="n">
        <f aca="false">INDEX(Products!$D$2:$D$101,MATCH(D291,Products!$A$2:$A$101,0))</f>
        <v>599</v>
      </c>
      <c r="I291" s="16" t="n">
        <f aca="false">INDEX(Products!$E$2:$E$101,MATCH(D291,Products!$A$2:$A$101,0))</f>
        <v>260</v>
      </c>
      <c r="J291" s="20" t="n">
        <f aca="false">Orders!F291</f>
        <v>0.05</v>
      </c>
      <c r="K291" s="6" t="n">
        <f aca="false">G291*H291</f>
        <v>2995</v>
      </c>
      <c r="L291" s="6" t="n">
        <f aca="false">K291*J291</f>
        <v>149.75</v>
      </c>
      <c r="M291" s="6" t="n">
        <f aca="false">K291-L291</f>
        <v>2845.25</v>
      </c>
      <c r="N291" s="6" t="n">
        <f aca="false">G291*I291</f>
        <v>1300</v>
      </c>
      <c r="O291" s="6" t="n">
        <f aca="false">M291-N291</f>
        <v>1545.25</v>
      </c>
      <c r="P291" s="21" t="n">
        <f aca="false">IFERROR(O291/M291,0)</f>
        <v>0.543098146032862</v>
      </c>
      <c r="Q291" s="6" t="str">
        <f aca="false">Orders!H291</f>
        <v>Shipped</v>
      </c>
      <c r="R291" s="1" t="str">
        <f aca="false">INDEX(Customers!$C$2:$C$301,MATCH(C291,Customers!$A$2:$A$301,0))</f>
        <v>Hyderabad</v>
      </c>
      <c r="S291" s="1" t="str">
        <f aca="false">INDEX(Customers!$E$2:$E$301,MATCH(C291,Customers!$A$2:$A$301,0))</f>
        <v>Returning</v>
      </c>
      <c r="T291" s="6" t="str">
        <f aca="false">Orders!I291</f>
        <v>Website</v>
      </c>
      <c r="U291" s="1" t="str">
        <f aca="false">IF(Q291="Delivered","Completed",IF(Q291="Cancelled","Cancelled",IF(Q291="Returned","Returned","In Progress")))</f>
        <v>In Progress</v>
      </c>
      <c r="V291" s="1" t="str">
        <f aca="false">IF(M291&gt;=10000,"High Value",IF(M291&gt;=5000,"Medium Value","Low Value"))</f>
        <v>Low Value</v>
      </c>
      <c r="W291" s="1" t="str">
        <f aca="false">IF(O291&gt;0,"Profitable",IF(O291=0,"Break-even","Loss"))</f>
        <v>Profitable</v>
      </c>
      <c r="X291" s="1" t="str">
        <f aca="false">IF(Q291="Cancelled","Not Applicable",IF(Q291="Processing","Pending",IF(B291="","Unknown",IF(Orders!J291="","Unknown",IF(Orders!J291&lt;=3,"Fast",IF(Orders!J291&lt;=6,"Standard","Slow"))))))</f>
        <v>Fast</v>
      </c>
      <c r="Y291" s="1" t="n">
        <f aca="false">IF(OR(Q291="Cancelled",Q291="Returned"),0,O291)</f>
        <v>1545.25</v>
      </c>
    </row>
    <row r="292" customFormat="false" ht="23.85" hidden="false" customHeight="false" outlineLevel="0" collapsed="false">
      <c r="A292" s="6" t="str">
        <f aca="false">Orders!A292</f>
        <v>O000291</v>
      </c>
      <c r="B292" s="19" t="n">
        <f aca="false">Orders!B292</f>
        <v>45674</v>
      </c>
      <c r="C292" s="6" t="str">
        <f aca="false">Orders!C292</f>
        <v>C0200</v>
      </c>
      <c r="D292" s="6" t="str">
        <f aca="false">Orders!D292</f>
        <v>P1002</v>
      </c>
      <c r="E292" s="6" t="str">
        <f aca="false">INDEX(Products!$B$2:$B$101,MATCH(D292,Products!$A$2:$A$101,0))</f>
        <v>Bluetooth Speaker</v>
      </c>
      <c r="F292" s="1" t="str">
        <f aca="false">INDEX(Products!$C$2:$C$101,MATCH(D292,Products!$A$2:$A$101,0))</f>
        <v>Electronics</v>
      </c>
      <c r="G292" s="6" t="n">
        <f aca="false">Orders!E292</f>
        <v>4</v>
      </c>
      <c r="H292" s="16" t="n">
        <f aca="false">INDEX(Products!$D$2:$D$101,MATCH(D292,Products!$A$2:$A$101,0))</f>
        <v>1499</v>
      </c>
      <c r="I292" s="16" t="n">
        <f aca="false">INDEX(Products!$E$2:$E$101,MATCH(D292,Products!$A$2:$A$101,0))</f>
        <v>850</v>
      </c>
      <c r="J292" s="20" t="n">
        <f aca="false">Orders!F292</f>
        <v>0.05</v>
      </c>
      <c r="K292" s="6" t="n">
        <f aca="false">G292*H292</f>
        <v>5996</v>
      </c>
      <c r="L292" s="6" t="n">
        <f aca="false">K292*J292</f>
        <v>299.8</v>
      </c>
      <c r="M292" s="6" t="n">
        <f aca="false">K292-L292</f>
        <v>5696.2</v>
      </c>
      <c r="N292" s="6" t="n">
        <f aca="false">G292*I292</f>
        <v>3400</v>
      </c>
      <c r="O292" s="6" t="n">
        <f aca="false">M292-N292</f>
        <v>2296.2</v>
      </c>
      <c r="P292" s="21" t="n">
        <f aca="false">IFERROR(O292/M292,0)</f>
        <v>0.403110845827043</v>
      </c>
      <c r="Q292" s="6" t="str">
        <f aca="false">Orders!H292</f>
        <v>Returned</v>
      </c>
      <c r="R292" s="1" t="str">
        <f aca="false">INDEX(Customers!$C$2:$C$301,MATCH(C292,Customers!$A$2:$A$301,0))</f>
        <v>Visakhapatnam</v>
      </c>
      <c r="S292" s="1" t="str">
        <f aca="false">INDEX(Customers!$E$2:$E$301,MATCH(C292,Customers!$A$2:$A$301,0))</f>
        <v>New</v>
      </c>
      <c r="T292" s="6" t="str">
        <f aca="false">Orders!I292</f>
        <v>Mobile App</v>
      </c>
      <c r="U292" s="1" t="str">
        <f aca="false">IF(Q292="Delivered","Completed",IF(Q292="Cancelled","Cancelled",IF(Q292="Returned","Returned","In Progress")))</f>
        <v>Returned</v>
      </c>
      <c r="V292" s="1" t="str">
        <f aca="false">IF(M292&gt;=10000,"High Value",IF(M292&gt;=5000,"Medium Value","Low Value"))</f>
        <v>Medium Value</v>
      </c>
      <c r="W292" s="1" t="str">
        <f aca="false">IF(O292&gt;0,"Profitable",IF(O292=0,"Break-even","Loss"))</f>
        <v>Profitable</v>
      </c>
      <c r="X292" s="1" t="str">
        <f aca="false">IF(Q292="Cancelled","Not Applicable",IF(Q292="Processing","Pending",IF(B292="","Unknown",IF(Orders!J292="","Unknown",IF(Orders!J292&lt;=3,"Fast",IF(Orders!J292&lt;=6,"Standard","Slow"))))))</f>
        <v>Fast</v>
      </c>
      <c r="Y292" s="1" t="n">
        <f aca="false">IF(OR(Q292="Cancelled",Q292="Returned"),0,O292)</f>
        <v>0</v>
      </c>
    </row>
    <row r="293" customFormat="false" ht="15" hidden="false" customHeight="false" outlineLevel="0" collapsed="false">
      <c r="A293" s="6" t="str">
        <f aca="false">Orders!A293</f>
        <v>O000292</v>
      </c>
      <c r="B293" s="19" t="n">
        <f aca="false">Orders!B293</f>
        <v>45806</v>
      </c>
      <c r="C293" s="6" t="str">
        <f aca="false">Orders!C293</f>
        <v>C0144</v>
      </c>
      <c r="D293" s="6" t="str">
        <f aca="false">Orders!D293</f>
        <v>P1034</v>
      </c>
      <c r="E293" s="6" t="str">
        <f aca="false">INDEX(Products!$B$2:$B$101,MATCH(D293,Products!$A$2:$A$101,0))</f>
        <v>Table Lamp</v>
      </c>
      <c r="F293" s="1" t="str">
        <f aca="false">INDEX(Products!$C$2:$C$101,MATCH(D293,Products!$A$2:$A$101,0))</f>
        <v>Home &amp; Kitchen</v>
      </c>
      <c r="G293" s="6" t="n">
        <f aca="false">Orders!E293</f>
        <v>4</v>
      </c>
      <c r="H293" s="16" t="n">
        <f aca="false">INDEX(Products!$D$2:$D$101,MATCH(D293,Products!$A$2:$A$101,0))</f>
        <v>899</v>
      </c>
      <c r="I293" s="16" t="n">
        <f aca="false">INDEX(Products!$E$2:$E$101,MATCH(D293,Products!$A$2:$A$101,0))</f>
        <v>420</v>
      </c>
      <c r="J293" s="20" t="n">
        <f aca="false">Orders!F293</f>
        <v>0.25</v>
      </c>
      <c r="K293" s="6" t="n">
        <f aca="false">G293*H293</f>
        <v>3596</v>
      </c>
      <c r="L293" s="6" t="n">
        <f aca="false">K293*J293</f>
        <v>899</v>
      </c>
      <c r="M293" s="6" t="n">
        <f aca="false">K293-L293</f>
        <v>2697</v>
      </c>
      <c r="N293" s="6" t="n">
        <f aca="false">G293*I293</f>
        <v>1680</v>
      </c>
      <c r="O293" s="6" t="n">
        <f aca="false">M293-N293</f>
        <v>1017</v>
      </c>
      <c r="P293" s="21" t="n">
        <f aca="false">IFERROR(O293/M293,0)</f>
        <v>0.377085650723026</v>
      </c>
      <c r="Q293" s="6" t="str">
        <f aca="false">Orders!H293</f>
        <v>Delivered</v>
      </c>
      <c r="R293" s="1" t="str">
        <f aca="false">INDEX(Customers!$C$2:$C$301,MATCH(C293,Customers!$A$2:$A$301,0))</f>
        <v>Hyderabad</v>
      </c>
      <c r="S293" s="1" t="str">
        <f aca="false">INDEX(Customers!$E$2:$E$301,MATCH(C293,Customers!$A$2:$A$301,0))</f>
        <v>Returning</v>
      </c>
      <c r="T293" s="6" t="str">
        <f aca="false">Orders!I293</f>
        <v>Mobile App</v>
      </c>
      <c r="U293" s="1" t="str">
        <f aca="false">IF(Q293="Delivered","Completed",IF(Q293="Cancelled","Cancelled",IF(Q293="Returned","Returned","In Progress")))</f>
        <v>Completed</v>
      </c>
      <c r="V293" s="1" t="str">
        <f aca="false">IF(M293&gt;=10000,"High Value",IF(M293&gt;=5000,"Medium Value","Low Value"))</f>
        <v>Low Value</v>
      </c>
      <c r="W293" s="1" t="str">
        <f aca="false">IF(O293&gt;0,"Profitable",IF(O293=0,"Break-even","Loss"))</f>
        <v>Profitable</v>
      </c>
      <c r="X293" s="1" t="str">
        <f aca="false">IF(Q293="Cancelled","Not Applicable",IF(Q293="Processing","Pending",IF(B293="","Unknown",IF(Orders!J293="","Unknown",IF(Orders!J293&lt;=3,"Fast",IF(Orders!J293&lt;=6,"Standard","Slow"))))))</f>
        <v>Fast</v>
      </c>
      <c r="Y293" s="1" t="n">
        <f aca="false">IF(OR(Q293="Cancelled",Q293="Returned"),0,O293)</f>
        <v>1017</v>
      </c>
    </row>
    <row r="294" customFormat="false" ht="23.85" hidden="false" customHeight="false" outlineLevel="0" collapsed="false">
      <c r="A294" s="6" t="str">
        <f aca="false">Orders!A294</f>
        <v>O000293</v>
      </c>
      <c r="B294" s="19" t="n">
        <f aca="false">Orders!B294</f>
        <v>45958</v>
      </c>
      <c r="C294" s="6" t="str">
        <f aca="false">Orders!C294</f>
        <v>C0295</v>
      </c>
      <c r="D294" s="6" t="str">
        <f aca="false">Orders!D294</f>
        <v>P1002</v>
      </c>
      <c r="E294" s="6" t="str">
        <f aca="false">INDEX(Products!$B$2:$B$101,MATCH(D294,Products!$A$2:$A$101,0))</f>
        <v>Bluetooth Speaker</v>
      </c>
      <c r="F294" s="1" t="str">
        <f aca="false">INDEX(Products!$C$2:$C$101,MATCH(D294,Products!$A$2:$A$101,0))</f>
        <v>Electronics</v>
      </c>
      <c r="G294" s="6" t="n">
        <f aca="false">Orders!E294</f>
        <v>1</v>
      </c>
      <c r="H294" s="16" t="n">
        <f aca="false">INDEX(Products!$D$2:$D$101,MATCH(D294,Products!$A$2:$A$101,0))</f>
        <v>1499</v>
      </c>
      <c r="I294" s="16" t="n">
        <f aca="false">INDEX(Products!$E$2:$E$101,MATCH(D294,Products!$A$2:$A$101,0))</f>
        <v>850</v>
      </c>
      <c r="J294" s="20" t="n">
        <f aca="false">Orders!F294</f>
        <v>0</v>
      </c>
      <c r="K294" s="6" t="n">
        <f aca="false">G294*H294</f>
        <v>1499</v>
      </c>
      <c r="L294" s="6" t="n">
        <f aca="false">K294*J294</f>
        <v>0</v>
      </c>
      <c r="M294" s="6" t="n">
        <f aca="false">K294-L294</f>
        <v>1499</v>
      </c>
      <c r="N294" s="6" t="n">
        <f aca="false">G294*I294</f>
        <v>850</v>
      </c>
      <c r="O294" s="6" t="n">
        <f aca="false">M294-N294</f>
        <v>649</v>
      </c>
      <c r="P294" s="21" t="n">
        <f aca="false">IFERROR(O294/M294,0)</f>
        <v>0.43295530353569</v>
      </c>
      <c r="Q294" s="6" t="str">
        <f aca="false">Orders!H294</f>
        <v>Shipped</v>
      </c>
      <c r="R294" s="1" t="str">
        <f aca="false">INDEX(Customers!$C$2:$C$301,MATCH(C294,Customers!$A$2:$A$301,0))</f>
        <v>Bhopal</v>
      </c>
      <c r="S294" s="1" t="str">
        <f aca="false">INDEX(Customers!$E$2:$E$301,MATCH(C294,Customers!$A$2:$A$301,0))</f>
        <v>Returning</v>
      </c>
      <c r="T294" s="6" t="str">
        <f aca="false">Orders!I294</f>
        <v>Website</v>
      </c>
      <c r="U294" s="1" t="str">
        <f aca="false">IF(Q294="Delivered","Completed",IF(Q294="Cancelled","Cancelled",IF(Q294="Returned","Returned","In Progress")))</f>
        <v>In Progress</v>
      </c>
      <c r="V294" s="1" t="str">
        <f aca="false">IF(M294&gt;=10000,"High Value",IF(M294&gt;=5000,"Medium Value","Low Value"))</f>
        <v>Low Value</v>
      </c>
      <c r="W294" s="1" t="str">
        <f aca="false">IF(O294&gt;0,"Profitable",IF(O294=0,"Break-even","Loss"))</f>
        <v>Profitable</v>
      </c>
      <c r="X294" s="1" t="str">
        <f aca="false">IF(Q294="Cancelled","Not Applicable",IF(Q294="Processing","Pending",IF(B294="","Unknown",IF(Orders!J294="","Unknown",IF(Orders!J294&lt;=3,"Fast",IF(Orders!J294&lt;=6,"Standard","Slow"))))))</f>
        <v>Standard</v>
      </c>
      <c r="Y294" s="1" t="n">
        <f aca="false">IF(OR(Q294="Cancelled",Q294="Returned"),0,O294)</f>
        <v>649</v>
      </c>
    </row>
    <row r="295" customFormat="false" ht="15" hidden="false" customHeight="false" outlineLevel="0" collapsed="false">
      <c r="A295" s="6" t="str">
        <f aca="false">Orders!A295</f>
        <v>O000294</v>
      </c>
      <c r="B295" s="19" t="n">
        <f aca="false">Orders!B295</f>
        <v>45916</v>
      </c>
      <c r="C295" s="6" t="str">
        <f aca="false">Orders!C295</f>
        <v>C0294</v>
      </c>
      <c r="D295" s="6" t="str">
        <f aca="false">Orders!D295</f>
        <v>P1034</v>
      </c>
      <c r="E295" s="6" t="str">
        <f aca="false">INDEX(Products!$B$2:$B$101,MATCH(D295,Products!$A$2:$A$101,0))</f>
        <v>Table Lamp</v>
      </c>
      <c r="F295" s="1" t="str">
        <f aca="false">INDEX(Products!$C$2:$C$101,MATCH(D295,Products!$A$2:$A$101,0))</f>
        <v>Home &amp; Kitchen</v>
      </c>
      <c r="G295" s="6" t="n">
        <f aca="false">Orders!E295</f>
        <v>2</v>
      </c>
      <c r="H295" s="16" t="n">
        <f aca="false">INDEX(Products!$D$2:$D$101,MATCH(D295,Products!$A$2:$A$101,0))</f>
        <v>899</v>
      </c>
      <c r="I295" s="16" t="n">
        <f aca="false">INDEX(Products!$E$2:$E$101,MATCH(D295,Products!$A$2:$A$101,0))</f>
        <v>420</v>
      </c>
      <c r="J295" s="20" t="n">
        <f aca="false">Orders!F295</f>
        <v>0.15</v>
      </c>
      <c r="K295" s="6" t="n">
        <f aca="false">G295*H295</f>
        <v>1798</v>
      </c>
      <c r="L295" s="6" t="n">
        <f aca="false">K295*J295</f>
        <v>269.7</v>
      </c>
      <c r="M295" s="6" t="n">
        <f aca="false">K295-L295</f>
        <v>1528.3</v>
      </c>
      <c r="N295" s="6" t="n">
        <f aca="false">G295*I295</f>
        <v>840</v>
      </c>
      <c r="O295" s="6" t="n">
        <f aca="false">M295-N295</f>
        <v>688.3</v>
      </c>
      <c r="P295" s="21" t="n">
        <f aca="false">IFERROR(O295/M295,0)</f>
        <v>0.450369691814434</v>
      </c>
      <c r="Q295" s="6" t="str">
        <f aca="false">Orders!H295</f>
        <v>Delivered</v>
      </c>
      <c r="R295" s="1" t="str">
        <f aca="false">INDEX(Customers!$C$2:$C$301,MATCH(C295,Customers!$A$2:$A$301,0))</f>
        <v>Indore</v>
      </c>
      <c r="S295" s="1" t="str">
        <f aca="false">INDEX(Customers!$E$2:$E$301,MATCH(C295,Customers!$A$2:$A$301,0))</f>
        <v>Returning</v>
      </c>
      <c r="T295" s="6" t="str">
        <f aca="false">Orders!I295</f>
        <v>Mobile App</v>
      </c>
      <c r="U295" s="1" t="str">
        <f aca="false">IF(Q295="Delivered","Completed",IF(Q295="Cancelled","Cancelled",IF(Q295="Returned","Returned","In Progress")))</f>
        <v>Completed</v>
      </c>
      <c r="V295" s="1" t="str">
        <f aca="false">IF(M295&gt;=10000,"High Value",IF(M295&gt;=5000,"Medium Value","Low Value"))</f>
        <v>Low Value</v>
      </c>
      <c r="W295" s="1" t="str">
        <f aca="false">IF(O295&gt;0,"Profitable",IF(O295=0,"Break-even","Loss"))</f>
        <v>Profitable</v>
      </c>
      <c r="X295" s="1" t="str">
        <f aca="false">IF(Q295="Cancelled","Not Applicable",IF(Q295="Processing","Pending",IF(B295="","Unknown",IF(Orders!J295="","Unknown",IF(Orders!J295&lt;=3,"Fast",IF(Orders!J295&lt;=6,"Standard","Slow"))))))</f>
        <v>Fast</v>
      </c>
      <c r="Y295" s="1" t="n">
        <f aca="false">IF(OR(Q295="Cancelled",Q295="Returned"),0,O295)</f>
        <v>688.3</v>
      </c>
    </row>
    <row r="296" customFormat="false" ht="15" hidden="false" customHeight="false" outlineLevel="0" collapsed="false">
      <c r="A296" s="6" t="str">
        <f aca="false">Orders!A296</f>
        <v>O000295</v>
      </c>
      <c r="B296" s="19" t="n">
        <f aca="false">Orders!B296</f>
        <v>45762</v>
      </c>
      <c r="C296" s="6" t="str">
        <f aca="false">Orders!C296</f>
        <v>C0168</v>
      </c>
      <c r="D296" s="6" t="str">
        <f aca="false">Orders!D296</f>
        <v>P1077</v>
      </c>
      <c r="E296" s="6" t="str">
        <f aca="false">INDEX(Products!$B$2:$B$101,MATCH(D296,Products!$A$2:$A$101,0))</f>
        <v>Planner</v>
      </c>
      <c r="F296" s="1" t="str">
        <f aca="false">INDEX(Products!$C$2:$C$101,MATCH(D296,Products!$A$2:$A$101,0))</f>
        <v>Books &amp; Stationery</v>
      </c>
      <c r="G296" s="6" t="n">
        <f aca="false">Orders!E296</f>
        <v>2</v>
      </c>
      <c r="H296" s="16" t="n">
        <f aca="false">INDEX(Products!$D$2:$D$101,MATCH(D296,Products!$A$2:$A$101,0))</f>
        <v>349</v>
      </c>
      <c r="I296" s="16" t="n">
        <f aca="false">INDEX(Products!$E$2:$E$101,MATCH(D296,Products!$A$2:$A$101,0))</f>
        <v>130</v>
      </c>
      <c r="J296" s="20" t="n">
        <f aca="false">Orders!F296</f>
        <v>0.2</v>
      </c>
      <c r="K296" s="6" t="n">
        <f aca="false">G296*H296</f>
        <v>698</v>
      </c>
      <c r="L296" s="6" t="n">
        <f aca="false">K296*J296</f>
        <v>139.6</v>
      </c>
      <c r="M296" s="6" t="n">
        <f aca="false">K296-L296</f>
        <v>558.4</v>
      </c>
      <c r="N296" s="6" t="n">
        <f aca="false">G296*I296</f>
        <v>260</v>
      </c>
      <c r="O296" s="6" t="n">
        <f aca="false">M296-N296</f>
        <v>298.4</v>
      </c>
      <c r="P296" s="21" t="n">
        <f aca="false">IFERROR(O296/M296,0)</f>
        <v>0.534383954154728</v>
      </c>
      <c r="Q296" s="6" t="str">
        <f aca="false">Orders!H296</f>
        <v>Delivered</v>
      </c>
      <c r="R296" s="1" t="str">
        <f aca="false">INDEX(Customers!$C$2:$C$301,MATCH(C296,Customers!$A$2:$A$301,0))</f>
        <v>Jaipur</v>
      </c>
      <c r="S296" s="1" t="str">
        <f aca="false">INDEX(Customers!$E$2:$E$301,MATCH(C296,Customers!$A$2:$A$301,0))</f>
        <v>Returning</v>
      </c>
      <c r="T296" s="6" t="str">
        <f aca="false">Orders!I296</f>
        <v>Marketplace</v>
      </c>
      <c r="U296" s="1" t="str">
        <f aca="false">IF(Q296="Delivered","Completed",IF(Q296="Cancelled","Cancelled",IF(Q296="Returned","Returned","In Progress")))</f>
        <v>Completed</v>
      </c>
      <c r="V296" s="1" t="str">
        <f aca="false">IF(M296&gt;=10000,"High Value",IF(M296&gt;=5000,"Medium Value","Low Value"))</f>
        <v>Low Value</v>
      </c>
      <c r="W296" s="1" t="str">
        <f aca="false">IF(O296&gt;0,"Profitable",IF(O296=0,"Break-even","Loss"))</f>
        <v>Profitable</v>
      </c>
      <c r="X296" s="1" t="str">
        <f aca="false">IF(Q296="Cancelled","Not Applicable",IF(Q296="Processing","Pending",IF(B296="","Unknown",IF(Orders!J296="","Unknown",IF(Orders!J296&lt;=3,"Fast",IF(Orders!J296&lt;=6,"Standard","Slow"))))))</f>
        <v>Slow</v>
      </c>
      <c r="Y296" s="1" t="n">
        <f aca="false">IF(OR(Q296="Cancelled",Q296="Returned"),0,O296)</f>
        <v>298.4</v>
      </c>
    </row>
    <row r="297" customFormat="false" ht="15" hidden="false" customHeight="false" outlineLevel="0" collapsed="false">
      <c r="A297" s="6" t="str">
        <f aca="false">Orders!A297</f>
        <v>O000296</v>
      </c>
      <c r="B297" s="19" t="n">
        <f aca="false">Orders!B297</f>
        <v>45781</v>
      </c>
      <c r="C297" s="6" t="str">
        <f aca="false">Orders!C297</f>
        <v>C0124</v>
      </c>
      <c r="D297" s="6" t="str">
        <f aca="false">Orders!D297</f>
        <v>P1062</v>
      </c>
      <c r="E297" s="6" t="str">
        <f aca="false">INDEX(Products!$B$2:$B$101,MATCH(D297,Products!$A$2:$A$101,0))</f>
        <v>Skipping Rope</v>
      </c>
      <c r="F297" s="1" t="str">
        <f aca="false">INDEX(Products!$C$2:$C$101,MATCH(D297,Products!$A$2:$A$101,0))</f>
        <v>Sports &amp; Outdoors</v>
      </c>
      <c r="G297" s="6" t="n">
        <f aca="false">Orders!E297</f>
        <v>1</v>
      </c>
      <c r="H297" s="16" t="n">
        <f aca="false">INDEX(Products!$D$2:$D$101,MATCH(D297,Products!$A$2:$A$101,0))</f>
        <v>249</v>
      </c>
      <c r="I297" s="16" t="n">
        <f aca="false">INDEX(Products!$E$2:$E$101,MATCH(D297,Products!$A$2:$A$101,0))</f>
        <v>80</v>
      </c>
      <c r="J297" s="20" t="n">
        <f aca="false">Orders!F297</f>
        <v>0</v>
      </c>
      <c r="K297" s="6" t="n">
        <f aca="false">G297*H297</f>
        <v>249</v>
      </c>
      <c r="L297" s="6" t="n">
        <f aca="false">K297*J297</f>
        <v>0</v>
      </c>
      <c r="M297" s="6" t="n">
        <f aca="false">K297-L297</f>
        <v>249</v>
      </c>
      <c r="N297" s="6" t="n">
        <f aca="false">G297*I297</f>
        <v>80</v>
      </c>
      <c r="O297" s="6" t="n">
        <f aca="false">M297-N297</f>
        <v>169</v>
      </c>
      <c r="P297" s="21" t="n">
        <f aca="false">IFERROR(O297/M297,0)</f>
        <v>0.678714859437751</v>
      </c>
      <c r="Q297" s="6" t="str">
        <f aca="false">Orders!H297</f>
        <v>Delivered</v>
      </c>
      <c r="R297" s="1" t="str">
        <f aca="false">INDEX(Customers!$C$2:$C$301,MATCH(C297,Customers!$A$2:$A$301,0))</f>
        <v>Hyderabad</v>
      </c>
      <c r="S297" s="1" t="str">
        <f aca="false">INDEX(Customers!$E$2:$E$301,MATCH(C297,Customers!$A$2:$A$301,0))</f>
        <v>Returning</v>
      </c>
      <c r="T297" s="6" t="str">
        <f aca="false">Orders!I297</f>
        <v>Marketplace</v>
      </c>
      <c r="U297" s="1" t="str">
        <f aca="false">IF(Q297="Delivered","Completed",IF(Q297="Cancelled","Cancelled",IF(Q297="Returned","Returned","In Progress")))</f>
        <v>Completed</v>
      </c>
      <c r="V297" s="1" t="str">
        <f aca="false">IF(M297&gt;=10000,"High Value",IF(M297&gt;=5000,"Medium Value","Low Value"))</f>
        <v>Low Value</v>
      </c>
      <c r="W297" s="1" t="str">
        <f aca="false">IF(O297&gt;0,"Profitable",IF(O297=0,"Break-even","Loss"))</f>
        <v>Profitable</v>
      </c>
      <c r="X297" s="1" t="str">
        <f aca="false">IF(Q297="Cancelled","Not Applicable",IF(Q297="Processing","Pending",IF(B297="","Unknown",IF(Orders!J297="","Unknown",IF(Orders!J297&lt;=3,"Fast",IF(Orders!J297&lt;=6,"Standard","Slow"))))))</f>
        <v>Fast</v>
      </c>
      <c r="Y297" s="1" t="n">
        <f aca="false">IF(OR(Q297="Cancelled",Q297="Returned"),0,O297)</f>
        <v>169</v>
      </c>
    </row>
    <row r="298" customFormat="false" ht="15" hidden="false" customHeight="false" outlineLevel="0" collapsed="false">
      <c r="A298" s="6" t="str">
        <f aca="false">Orders!A298</f>
        <v>O000297</v>
      </c>
      <c r="B298" s="19" t="n">
        <f aca="false">Orders!B298</f>
        <v>45801</v>
      </c>
      <c r="C298" s="6" t="str">
        <f aca="false">Orders!C298</f>
        <v>C0073</v>
      </c>
      <c r="D298" s="6" t="str">
        <f aca="false">Orders!D298</f>
        <v>P1043</v>
      </c>
      <c r="E298" s="6" t="str">
        <f aca="false">INDEX(Products!$B$2:$B$101,MATCH(D298,Products!$A$2:$A$101,0))</f>
        <v>Kitchen Rack</v>
      </c>
      <c r="F298" s="1" t="str">
        <f aca="false">INDEX(Products!$C$2:$C$101,MATCH(D298,Products!$A$2:$A$101,0))</f>
        <v>Home &amp; Kitchen</v>
      </c>
      <c r="G298" s="6" t="n">
        <f aca="false">Orders!E298</f>
        <v>1</v>
      </c>
      <c r="H298" s="16" t="n">
        <f aca="false">INDEX(Products!$D$2:$D$101,MATCH(D298,Products!$A$2:$A$101,0))</f>
        <v>1299</v>
      </c>
      <c r="I298" s="16" t="n">
        <f aca="false">INDEX(Products!$E$2:$E$101,MATCH(D298,Products!$A$2:$A$101,0))</f>
        <v>700</v>
      </c>
      <c r="J298" s="20" t="n">
        <f aca="false">Orders!F298</f>
        <v>0</v>
      </c>
      <c r="K298" s="6" t="n">
        <f aca="false">G298*H298</f>
        <v>1299</v>
      </c>
      <c r="L298" s="6" t="n">
        <f aca="false">K298*J298</f>
        <v>0</v>
      </c>
      <c r="M298" s="6" t="n">
        <f aca="false">K298-L298</f>
        <v>1299</v>
      </c>
      <c r="N298" s="6" t="n">
        <f aca="false">G298*I298</f>
        <v>700</v>
      </c>
      <c r="O298" s="6" t="n">
        <f aca="false">M298-N298</f>
        <v>599</v>
      </c>
      <c r="P298" s="21" t="n">
        <f aca="false">IFERROR(O298/M298,0)</f>
        <v>0.461123941493457</v>
      </c>
      <c r="Q298" s="6" t="str">
        <f aca="false">Orders!H298</f>
        <v>Delivered</v>
      </c>
      <c r="R298" s="1" t="str">
        <f aca="false">INDEX(Customers!$C$2:$C$301,MATCH(C298,Customers!$A$2:$A$301,0))</f>
        <v>Kochi</v>
      </c>
      <c r="S298" s="1" t="str">
        <f aca="false">INDEX(Customers!$E$2:$E$301,MATCH(C298,Customers!$A$2:$A$301,0))</f>
        <v>Returning</v>
      </c>
      <c r="T298" s="6" t="str">
        <f aca="false">Orders!I298</f>
        <v>Website</v>
      </c>
      <c r="U298" s="1" t="str">
        <f aca="false">IF(Q298="Delivered","Completed",IF(Q298="Cancelled","Cancelled",IF(Q298="Returned","Returned","In Progress")))</f>
        <v>Completed</v>
      </c>
      <c r="V298" s="1" t="str">
        <f aca="false">IF(M298&gt;=10000,"High Value",IF(M298&gt;=5000,"Medium Value","Low Value"))</f>
        <v>Low Value</v>
      </c>
      <c r="W298" s="1" t="str">
        <f aca="false">IF(O298&gt;0,"Profitable",IF(O298=0,"Break-even","Loss"))</f>
        <v>Profitable</v>
      </c>
      <c r="X298" s="1" t="str">
        <f aca="false">IF(Q298="Cancelled","Not Applicable",IF(Q298="Processing","Pending",IF(B298="","Unknown",IF(Orders!J298="","Unknown",IF(Orders!J298&lt;=3,"Fast",IF(Orders!J298&lt;=6,"Standard","Slow"))))))</f>
        <v>Standard</v>
      </c>
      <c r="Y298" s="1" t="n">
        <f aca="false">IF(OR(Q298="Cancelled",Q298="Returned"),0,O298)</f>
        <v>599</v>
      </c>
    </row>
    <row r="299" customFormat="false" ht="15" hidden="false" customHeight="false" outlineLevel="0" collapsed="false">
      <c r="A299" s="6" t="str">
        <f aca="false">Orders!A299</f>
        <v>O000298</v>
      </c>
      <c r="B299" s="19" t="n">
        <f aca="false">Orders!B299</f>
        <v>45856</v>
      </c>
      <c r="C299" s="6" t="str">
        <f aca="false">Orders!C299</f>
        <v>C0262</v>
      </c>
      <c r="D299" s="6" t="str">
        <f aca="false">Orders!D299</f>
        <v>P1100</v>
      </c>
      <c r="E299" s="6" t="str">
        <f aca="false">INDEX(Products!$B$2:$B$101,MATCH(D299,Products!$A$2:$A$101,0))</f>
        <v>Coffee Maker</v>
      </c>
      <c r="F299" s="1" t="str">
        <f aca="false">INDEX(Products!$C$2:$C$101,MATCH(D299,Products!$A$2:$A$101,0))</f>
        <v>Appliances</v>
      </c>
      <c r="G299" s="6" t="n">
        <f aca="false">Orders!E299</f>
        <v>1</v>
      </c>
      <c r="H299" s="16" t="n">
        <f aca="false">INDEX(Products!$D$2:$D$101,MATCH(D299,Products!$A$2:$A$101,0))</f>
        <v>2499</v>
      </c>
      <c r="I299" s="16" t="n">
        <f aca="false">INDEX(Products!$E$2:$E$101,MATCH(D299,Products!$A$2:$A$101,0))</f>
        <v>1600</v>
      </c>
      <c r="J299" s="20" t="n">
        <f aca="false">Orders!F299</f>
        <v>0.1</v>
      </c>
      <c r="K299" s="6" t="n">
        <f aca="false">G299*H299</f>
        <v>2499</v>
      </c>
      <c r="L299" s="6" t="n">
        <f aca="false">K299*J299</f>
        <v>249.9</v>
      </c>
      <c r="M299" s="6" t="n">
        <f aca="false">K299-L299</f>
        <v>2249.1</v>
      </c>
      <c r="N299" s="6" t="n">
        <f aca="false">G299*I299</f>
        <v>1600</v>
      </c>
      <c r="O299" s="6" t="n">
        <f aca="false">M299-N299</f>
        <v>649.1</v>
      </c>
      <c r="P299" s="21" t="n">
        <f aca="false">IFERROR(O299/M299,0)</f>
        <v>0.288604330621137</v>
      </c>
      <c r="Q299" s="6" t="str">
        <f aca="false">Orders!H299</f>
        <v>Shipped</v>
      </c>
      <c r="R299" s="1" t="str">
        <f aca="false">INDEX(Customers!$C$2:$C$301,MATCH(C299,Customers!$A$2:$A$301,0))</f>
        <v>Mumbai</v>
      </c>
      <c r="S299" s="1" t="str">
        <f aca="false">INDEX(Customers!$E$2:$E$301,MATCH(C299,Customers!$A$2:$A$301,0))</f>
        <v>Returning</v>
      </c>
      <c r="T299" s="6" t="str">
        <f aca="false">Orders!I299</f>
        <v>Mobile App</v>
      </c>
      <c r="U299" s="1" t="str">
        <f aca="false">IF(Q299="Delivered","Completed",IF(Q299="Cancelled","Cancelled",IF(Q299="Returned","Returned","In Progress")))</f>
        <v>In Progress</v>
      </c>
      <c r="V299" s="1" t="str">
        <f aca="false">IF(M299&gt;=10000,"High Value",IF(M299&gt;=5000,"Medium Value","Low Value"))</f>
        <v>Low Value</v>
      </c>
      <c r="W299" s="1" t="str">
        <f aca="false">IF(O299&gt;0,"Profitable",IF(O299=0,"Break-even","Loss"))</f>
        <v>Profitable</v>
      </c>
      <c r="X299" s="1" t="str">
        <f aca="false">IF(Q299="Cancelled","Not Applicable",IF(Q299="Processing","Pending",IF(B299="","Unknown",IF(Orders!J299="","Unknown",IF(Orders!J299&lt;=3,"Fast",IF(Orders!J299&lt;=6,"Standard","Slow"))))))</f>
        <v>Slow</v>
      </c>
      <c r="Y299" s="1" t="n">
        <f aca="false">IF(OR(Q299="Cancelled",Q299="Returned"),0,O299)</f>
        <v>649.1</v>
      </c>
    </row>
    <row r="300" customFormat="false" ht="15" hidden="false" customHeight="false" outlineLevel="0" collapsed="false">
      <c r="A300" s="6" t="str">
        <f aca="false">Orders!A300</f>
        <v>O000299</v>
      </c>
      <c r="B300" s="19" t="n">
        <f aca="false">Orders!B300</f>
        <v>45761</v>
      </c>
      <c r="C300" s="6" t="str">
        <f aca="false">Orders!C300</f>
        <v>C0038</v>
      </c>
      <c r="D300" s="6" t="str">
        <f aca="false">Orders!D300</f>
        <v>P1016</v>
      </c>
      <c r="E300" s="6" t="str">
        <f aca="false">INDEX(Products!$B$2:$B$101,MATCH(D300,Products!$A$2:$A$101,0))</f>
        <v>Casual T-Shirt</v>
      </c>
      <c r="F300" s="1" t="str">
        <f aca="false">INDEX(Products!$C$2:$C$101,MATCH(D300,Products!$A$2:$A$101,0))</f>
        <v>Fashion</v>
      </c>
      <c r="G300" s="6" t="n">
        <f aca="false">Orders!E300</f>
        <v>2</v>
      </c>
      <c r="H300" s="16" t="n">
        <f aca="false">INDEX(Products!$D$2:$D$101,MATCH(D300,Products!$A$2:$A$101,0))</f>
        <v>499</v>
      </c>
      <c r="I300" s="16" t="n">
        <f aca="false">INDEX(Products!$E$2:$E$101,MATCH(D300,Products!$A$2:$A$101,0))</f>
        <v>220</v>
      </c>
      <c r="J300" s="20" t="n">
        <f aca="false">Orders!F300</f>
        <v>0.2</v>
      </c>
      <c r="K300" s="6" t="n">
        <f aca="false">G300*H300</f>
        <v>998</v>
      </c>
      <c r="L300" s="6" t="n">
        <f aca="false">K300*J300</f>
        <v>199.6</v>
      </c>
      <c r="M300" s="6" t="n">
        <f aca="false">K300-L300</f>
        <v>798.4</v>
      </c>
      <c r="N300" s="6" t="n">
        <f aca="false">G300*I300</f>
        <v>440</v>
      </c>
      <c r="O300" s="6" t="n">
        <f aca="false">M300-N300</f>
        <v>358.4</v>
      </c>
      <c r="P300" s="21" t="n">
        <f aca="false">IFERROR(O300/M300,0)</f>
        <v>0.448897795591182</v>
      </c>
      <c r="Q300" s="6" t="str">
        <f aca="false">Orders!H300</f>
        <v>Delivered</v>
      </c>
      <c r="R300" s="1" t="str">
        <f aca="false">INDEX(Customers!$C$2:$C$301,MATCH(C300,Customers!$A$2:$A$301,0))</f>
        <v>Nagpur</v>
      </c>
      <c r="S300" s="1" t="str">
        <f aca="false">INDEX(Customers!$E$2:$E$301,MATCH(C300,Customers!$A$2:$A$301,0))</f>
        <v>Returning</v>
      </c>
      <c r="T300" s="6" t="str">
        <f aca="false">Orders!I300</f>
        <v>Mobile App</v>
      </c>
      <c r="U300" s="1" t="str">
        <f aca="false">IF(Q300="Delivered","Completed",IF(Q300="Cancelled","Cancelled",IF(Q300="Returned","Returned","In Progress")))</f>
        <v>Completed</v>
      </c>
      <c r="V300" s="1" t="str">
        <f aca="false">IF(M300&gt;=10000,"High Value",IF(M300&gt;=5000,"Medium Value","Low Value"))</f>
        <v>Low Value</v>
      </c>
      <c r="W300" s="1" t="str">
        <f aca="false">IF(O300&gt;0,"Profitable",IF(O300=0,"Break-even","Loss"))</f>
        <v>Profitable</v>
      </c>
      <c r="X300" s="1" t="str">
        <f aca="false">IF(Q300="Cancelled","Not Applicable",IF(Q300="Processing","Pending",IF(B300="","Unknown",IF(Orders!J300="","Unknown",IF(Orders!J300&lt;=3,"Fast",IF(Orders!J300&lt;=6,"Standard","Slow"))))))</f>
        <v>Slow</v>
      </c>
      <c r="Y300" s="1" t="n">
        <f aca="false">IF(OR(Q300="Cancelled",Q300="Returned"),0,O300)</f>
        <v>358.4</v>
      </c>
    </row>
    <row r="301" customFormat="false" ht="15" hidden="false" customHeight="false" outlineLevel="0" collapsed="false">
      <c r="A301" s="6" t="str">
        <f aca="false">Orders!A301</f>
        <v>O000300</v>
      </c>
      <c r="B301" s="19" t="n">
        <f aca="false">Orders!B301</f>
        <v>45916</v>
      </c>
      <c r="C301" s="6" t="str">
        <f aca="false">Orders!C301</f>
        <v>C0240</v>
      </c>
      <c r="D301" s="6" t="str">
        <f aca="false">Orders!D301</f>
        <v>P1094</v>
      </c>
      <c r="E301" s="6" t="str">
        <f aca="false">INDEX(Products!$B$2:$B$101,MATCH(D301,Products!$A$2:$A$101,0))</f>
        <v>Room Heater</v>
      </c>
      <c r="F301" s="1" t="str">
        <f aca="false">INDEX(Products!$C$2:$C$101,MATCH(D301,Products!$A$2:$A$101,0))</f>
        <v>Appliances</v>
      </c>
      <c r="G301" s="6" t="n">
        <f aca="false">Orders!E301</f>
        <v>1</v>
      </c>
      <c r="H301" s="16" t="n">
        <f aca="false">INDEX(Products!$D$2:$D$101,MATCH(D301,Products!$A$2:$A$101,0))</f>
        <v>1999</v>
      </c>
      <c r="I301" s="16" t="n">
        <f aca="false">INDEX(Products!$E$2:$E$101,MATCH(D301,Products!$A$2:$A$101,0))</f>
        <v>1250</v>
      </c>
      <c r="J301" s="20" t="n">
        <f aca="false">Orders!F301</f>
        <v>0</v>
      </c>
      <c r="K301" s="6" t="n">
        <f aca="false">G301*H301</f>
        <v>1999</v>
      </c>
      <c r="L301" s="6" t="n">
        <f aca="false">K301*J301</f>
        <v>0</v>
      </c>
      <c r="M301" s="6" t="n">
        <f aca="false">K301-L301</f>
        <v>1999</v>
      </c>
      <c r="N301" s="6" t="n">
        <f aca="false">G301*I301</f>
        <v>1250</v>
      </c>
      <c r="O301" s="6" t="n">
        <f aca="false">M301-N301</f>
        <v>749</v>
      </c>
      <c r="P301" s="21" t="n">
        <f aca="false">IFERROR(O301/M301,0)</f>
        <v>0.374687343671836</v>
      </c>
      <c r="Q301" s="6" t="str">
        <f aca="false">Orders!H301</f>
        <v>Delivered</v>
      </c>
      <c r="R301" s="1" t="str">
        <f aca="false">INDEX(Customers!$C$2:$C$301,MATCH(C301,Customers!$A$2:$A$301,0))</f>
        <v>Visakhapatnam</v>
      </c>
      <c r="S301" s="1" t="str">
        <f aca="false">INDEX(Customers!$E$2:$E$301,MATCH(C301,Customers!$A$2:$A$301,0))</f>
        <v>Returning</v>
      </c>
      <c r="T301" s="6" t="str">
        <f aca="false">Orders!I301</f>
        <v>Website</v>
      </c>
      <c r="U301" s="1" t="str">
        <f aca="false">IF(Q301="Delivered","Completed",IF(Q301="Cancelled","Cancelled",IF(Q301="Returned","Returned","In Progress")))</f>
        <v>Completed</v>
      </c>
      <c r="V301" s="1" t="str">
        <f aca="false">IF(M301&gt;=10000,"High Value",IF(M301&gt;=5000,"Medium Value","Low Value"))</f>
        <v>Low Value</v>
      </c>
      <c r="W301" s="1" t="str">
        <f aca="false">IF(O301&gt;0,"Profitable",IF(O301=0,"Break-even","Loss"))</f>
        <v>Profitable</v>
      </c>
      <c r="X301" s="1" t="str">
        <f aca="false">IF(Q301="Cancelled","Not Applicable",IF(Q301="Processing","Pending",IF(B301="","Unknown",IF(Orders!J301="","Unknown",IF(Orders!J301&lt;=3,"Fast",IF(Orders!J301&lt;=6,"Standard","Slow"))))))</f>
        <v>Fast</v>
      </c>
      <c r="Y301" s="1" t="n">
        <f aca="false">IF(OR(Q301="Cancelled",Q301="Returned"),0,O301)</f>
        <v>749</v>
      </c>
    </row>
    <row r="302" customFormat="false" ht="15" hidden="false" customHeight="false" outlineLevel="0" collapsed="false">
      <c r="A302" s="6" t="str">
        <f aca="false">Orders!A302</f>
        <v>O000301</v>
      </c>
      <c r="B302" s="19" t="n">
        <f aca="false">Orders!B302</f>
        <v>45836</v>
      </c>
      <c r="C302" s="6" t="str">
        <f aca="false">Orders!C302</f>
        <v>C0260</v>
      </c>
      <c r="D302" s="6" t="str">
        <f aca="false">Orders!D302</f>
        <v>P1026</v>
      </c>
      <c r="E302" s="6" t="str">
        <f aca="false">INDEX(Products!$B$2:$B$101,MATCH(D302,Products!$A$2:$A$101,0))</f>
        <v>Sunglasses</v>
      </c>
      <c r="F302" s="1" t="str">
        <f aca="false">INDEX(Products!$C$2:$C$101,MATCH(D302,Products!$A$2:$A$101,0))</f>
        <v>Fashion</v>
      </c>
      <c r="G302" s="6" t="n">
        <f aca="false">Orders!E302</f>
        <v>1</v>
      </c>
      <c r="H302" s="16" t="n">
        <f aca="false">INDEX(Products!$D$2:$D$101,MATCH(D302,Products!$A$2:$A$101,0))</f>
        <v>799</v>
      </c>
      <c r="I302" s="16" t="n">
        <f aca="false">INDEX(Products!$E$2:$E$101,MATCH(D302,Products!$A$2:$A$101,0))</f>
        <v>300</v>
      </c>
      <c r="J302" s="20" t="n">
        <f aca="false">Orders!F302</f>
        <v>0.15</v>
      </c>
      <c r="K302" s="6" t="n">
        <f aca="false">G302*H302</f>
        <v>799</v>
      </c>
      <c r="L302" s="6" t="n">
        <f aca="false">K302*J302</f>
        <v>119.85</v>
      </c>
      <c r="M302" s="6" t="n">
        <f aca="false">K302-L302</f>
        <v>679.15</v>
      </c>
      <c r="N302" s="6" t="n">
        <f aca="false">G302*I302</f>
        <v>300</v>
      </c>
      <c r="O302" s="6" t="n">
        <f aca="false">M302-N302</f>
        <v>379.15</v>
      </c>
      <c r="P302" s="21" t="n">
        <f aca="false">IFERROR(O302/M302,0)</f>
        <v>0.558271368622543</v>
      </c>
      <c r="Q302" s="6" t="str">
        <f aca="false">Orders!H302</f>
        <v>Delivered</v>
      </c>
      <c r="R302" s="1" t="str">
        <f aca="false">INDEX(Customers!$C$2:$C$301,MATCH(C302,Customers!$A$2:$A$301,0))</f>
        <v>Visakhapatnam</v>
      </c>
      <c r="S302" s="1" t="str">
        <f aca="false">INDEX(Customers!$E$2:$E$301,MATCH(C302,Customers!$A$2:$A$301,0))</f>
        <v>Returning</v>
      </c>
      <c r="T302" s="6" t="str">
        <f aca="false">Orders!I302</f>
        <v>Mobile App</v>
      </c>
      <c r="U302" s="1" t="str">
        <f aca="false">IF(Q302="Delivered","Completed",IF(Q302="Cancelled","Cancelled",IF(Q302="Returned","Returned","In Progress")))</f>
        <v>Completed</v>
      </c>
      <c r="V302" s="1" t="str">
        <f aca="false">IF(M302&gt;=10000,"High Value",IF(M302&gt;=5000,"Medium Value","Low Value"))</f>
        <v>Low Value</v>
      </c>
      <c r="W302" s="1" t="str">
        <f aca="false">IF(O302&gt;0,"Profitable",IF(O302=0,"Break-even","Loss"))</f>
        <v>Profitable</v>
      </c>
      <c r="X302" s="1" t="str">
        <f aca="false">IF(Q302="Cancelled","Not Applicable",IF(Q302="Processing","Pending",IF(B302="","Unknown",IF(Orders!J302="","Unknown",IF(Orders!J302&lt;=3,"Fast",IF(Orders!J302&lt;=6,"Standard","Slow"))))))</f>
        <v>Fast</v>
      </c>
      <c r="Y302" s="1" t="n">
        <f aca="false">IF(OR(Q302="Cancelled",Q302="Returned"),0,O302)</f>
        <v>379.15</v>
      </c>
    </row>
    <row r="303" customFormat="false" ht="15" hidden="false" customHeight="false" outlineLevel="0" collapsed="false">
      <c r="A303" s="6" t="str">
        <f aca="false">Orders!A303</f>
        <v>O000302</v>
      </c>
      <c r="B303" s="19" t="n">
        <f aca="false">Orders!B303</f>
        <v>45730</v>
      </c>
      <c r="C303" s="6" t="str">
        <f aca="false">Orders!C303</f>
        <v>C0061</v>
      </c>
      <c r="D303" s="6" t="str">
        <f aca="false">Orders!D303</f>
        <v>P1043</v>
      </c>
      <c r="E303" s="6" t="str">
        <f aca="false">INDEX(Products!$B$2:$B$101,MATCH(D303,Products!$A$2:$A$101,0))</f>
        <v>Kitchen Rack</v>
      </c>
      <c r="F303" s="1" t="str">
        <f aca="false">INDEX(Products!$C$2:$C$101,MATCH(D303,Products!$A$2:$A$101,0))</f>
        <v>Home &amp; Kitchen</v>
      </c>
      <c r="G303" s="6" t="n">
        <f aca="false">Orders!E303</f>
        <v>1</v>
      </c>
      <c r="H303" s="16" t="n">
        <f aca="false">INDEX(Products!$D$2:$D$101,MATCH(D303,Products!$A$2:$A$101,0))</f>
        <v>1299</v>
      </c>
      <c r="I303" s="16" t="n">
        <f aca="false">INDEX(Products!$E$2:$E$101,MATCH(D303,Products!$A$2:$A$101,0))</f>
        <v>700</v>
      </c>
      <c r="J303" s="20" t="n">
        <f aca="false">Orders!F303</f>
        <v>0</v>
      </c>
      <c r="K303" s="6" t="n">
        <f aca="false">G303*H303</f>
        <v>1299</v>
      </c>
      <c r="L303" s="6" t="n">
        <f aca="false">K303*J303</f>
        <v>0</v>
      </c>
      <c r="M303" s="6" t="n">
        <f aca="false">K303-L303</f>
        <v>1299</v>
      </c>
      <c r="N303" s="6" t="n">
        <f aca="false">G303*I303</f>
        <v>700</v>
      </c>
      <c r="O303" s="6" t="n">
        <f aca="false">M303-N303</f>
        <v>599</v>
      </c>
      <c r="P303" s="21" t="n">
        <f aca="false">IFERROR(O303/M303,0)</f>
        <v>0.461123941493457</v>
      </c>
      <c r="Q303" s="6" t="str">
        <f aca="false">Orders!H303</f>
        <v>Delivered</v>
      </c>
      <c r="R303" s="1" t="str">
        <f aca="false">INDEX(Customers!$C$2:$C$301,MATCH(C303,Customers!$A$2:$A$301,0))</f>
        <v>Delhi</v>
      </c>
      <c r="S303" s="1" t="str">
        <f aca="false">INDEX(Customers!$E$2:$E$301,MATCH(C303,Customers!$A$2:$A$301,0))</f>
        <v>New</v>
      </c>
      <c r="T303" s="6" t="str">
        <f aca="false">Orders!I303</f>
        <v>Marketplace</v>
      </c>
      <c r="U303" s="1" t="str">
        <f aca="false">IF(Q303="Delivered","Completed",IF(Q303="Cancelled","Cancelled",IF(Q303="Returned","Returned","In Progress")))</f>
        <v>Completed</v>
      </c>
      <c r="V303" s="1" t="str">
        <f aca="false">IF(M303&gt;=10000,"High Value",IF(M303&gt;=5000,"Medium Value","Low Value"))</f>
        <v>Low Value</v>
      </c>
      <c r="W303" s="1" t="str">
        <f aca="false">IF(O303&gt;0,"Profitable",IF(O303=0,"Break-even","Loss"))</f>
        <v>Profitable</v>
      </c>
      <c r="X303" s="1" t="str">
        <f aca="false">IF(Q303="Cancelled","Not Applicable",IF(Q303="Processing","Pending",IF(B303="","Unknown",IF(Orders!J303="","Unknown",IF(Orders!J303&lt;=3,"Fast",IF(Orders!J303&lt;=6,"Standard","Slow"))))))</f>
        <v>Fast</v>
      </c>
      <c r="Y303" s="1" t="n">
        <f aca="false">IF(OR(Q303="Cancelled",Q303="Returned"),0,O303)</f>
        <v>599</v>
      </c>
    </row>
    <row r="304" customFormat="false" ht="15" hidden="false" customHeight="false" outlineLevel="0" collapsed="false">
      <c r="A304" s="6" t="str">
        <f aca="false">Orders!A304</f>
        <v>O000303</v>
      </c>
      <c r="B304" s="19" t="n">
        <f aca="false">Orders!B304</f>
        <v>45674</v>
      </c>
      <c r="C304" s="6" t="str">
        <f aca="false">Orders!C304</f>
        <v>C0154</v>
      </c>
      <c r="D304" s="6" t="str">
        <f aca="false">Orders!D304</f>
        <v>P1038</v>
      </c>
      <c r="E304" s="6" t="str">
        <f aca="false">INDEX(Products!$B$2:$B$101,MATCH(D304,Products!$A$2:$A$101,0))</f>
        <v>Laundry Basket</v>
      </c>
      <c r="F304" s="1" t="str">
        <f aca="false">INDEX(Products!$C$2:$C$101,MATCH(D304,Products!$A$2:$A$101,0))</f>
        <v>Home &amp; Kitchen</v>
      </c>
      <c r="G304" s="6" t="n">
        <f aca="false">Orders!E304</f>
        <v>1</v>
      </c>
      <c r="H304" s="16" t="n">
        <f aca="false">INDEX(Products!$D$2:$D$101,MATCH(D304,Products!$A$2:$A$101,0))</f>
        <v>599</v>
      </c>
      <c r="I304" s="16" t="n">
        <f aca="false">INDEX(Products!$E$2:$E$101,MATCH(D304,Products!$A$2:$A$101,0))</f>
        <v>260</v>
      </c>
      <c r="J304" s="20" t="n">
        <f aca="false">Orders!F304</f>
        <v>0.15</v>
      </c>
      <c r="K304" s="6" t="n">
        <f aca="false">G304*H304</f>
        <v>599</v>
      </c>
      <c r="L304" s="6" t="n">
        <f aca="false">K304*J304</f>
        <v>89.85</v>
      </c>
      <c r="M304" s="6" t="n">
        <f aca="false">K304-L304</f>
        <v>509.15</v>
      </c>
      <c r="N304" s="6" t="n">
        <f aca="false">G304*I304</f>
        <v>260</v>
      </c>
      <c r="O304" s="6" t="n">
        <f aca="false">M304-N304</f>
        <v>249.15</v>
      </c>
      <c r="P304" s="21" t="n">
        <f aca="false">IFERROR(O304/M304,0)</f>
        <v>0.48934498674261</v>
      </c>
      <c r="Q304" s="6" t="str">
        <f aca="false">Orders!H304</f>
        <v>Returned</v>
      </c>
      <c r="R304" s="1" t="str">
        <f aca="false">INDEX(Customers!$C$2:$C$301,MATCH(C304,Customers!$A$2:$A$301,0))</f>
        <v>Indore</v>
      </c>
      <c r="S304" s="1" t="str">
        <f aca="false">INDEX(Customers!$E$2:$E$301,MATCH(C304,Customers!$A$2:$A$301,0))</f>
        <v>Returning</v>
      </c>
      <c r="T304" s="6" t="str">
        <f aca="false">Orders!I304</f>
        <v>Mobile App</v>
      </c>
      <c r="U304" s="1" t="str">
        <f aca="false">IF(Q304="Delivered","Completed",IF(Q304="Cancelled","Cancelled",IF(Q304="Returned","Returned","In Progress")))</f>
        <v>Returned</v>
      </c>
      <c r="V304" s="1" t="str">
        <f aca="false">IF(M304&gt;=10000,"High Value",IF(M304&gt;=5000,"Medium Value","Low Value"))</f>
        <v>Low Value</v>
      </c>
      <c r="W304" s="1" t="str">
        <f aca="false">IF(O304&gt;0,"Profitable",IF(O304=0,"Break-even","Loss"))</f>
        <v>Profitable</v>
      </c>
      <c r="X304" s="1" t="str">
        <f aca="false">IF(Q304="Cancelled","Not Applicable",IF(Q304="Processing","Pending",IF(B304="","Unknown",IF(Orders!J304="","Unknown",IF(Orders!J304&lt;=3,"Fast",IF(Orders!J304&lt;=6,"Standard","Slow"))))))</f>
        <v>Fast</v>
      </c>
      <c r="Y304" s="1" t="n">
        <f aca="false">IF(OR(Q304="Cancelled",Q304="Returned"),0,O304)</f>
        <v>0</v>
      </c>
    </row>
    <row r="305" customFormat="false" ht="15" hidden="false" customHeight="false" outlineLevel="0" collapsed="false">
      <c r="A305" s="6" t="str">
        <f aca="false">Orders!A305</f>
        <v>O000304</v>
      </c>
      <c r="B305" s="19" t="n">
        <f aca="false">Orders!B305</f>
        <v>45778</v>
      </c>
      <c r="C305" s="6" t="str">
        <f aca="false">Orders!C305</f>
        <v>C0210</v>
      </c>
      <c r="D305" s="6" t="str">
        <f aca="false">Orders!D305</f>
        <v>P1089</v>
      </c>
      <c r="E305" s="6" t="str">
        <f aca="false">INDEX(Products!$B$2:$B$101,MATCH(D305,Products!$A$2:$A$101,0))</f>
        <v>Mixer Grinder</v>
      </c>
      <c r="F305" s="1" t="str">
        <f aca="false">INDEX(Products!$C$2:$C$101,MATCH(D305,Products!$A$2:$A$101,0))</f>
        <v>Appliances</v>
      </c>
      <c r="G305" s="6" t="n">
        <f aca="false">Orders!E305</f>
        <v>1</v>
      </c>
      <c r="H305" s="16" t="n">
        <f aca="false">INDEX(Products!$D$2:$D$101,MATCH(D305,Products!$A$2:$A$101,0))</f>
        <v>2499</v>
      </c>
      <c r="I305" s="16" t="n">
        <f aca="false">INDEX(Products!$E$2:$E$101,MATCH(D305,Products!$A$2:$A$101,0))</f>
        <v>1550</v>
      </c>
      <c r="J305" s="20" t="n">
        <f aca="false">Orders!F305</f>
        <v>0.15</v>
      </c>
      <c r="K305" s="6" t="n">
        <f aca="false">G305*H305</f>
        <v>2499</v>
      </c>
      <c r="L305" s="6" t="n">
        <f aca="false">K305*J305</f>
        <v>374.85</v>
      </c>
      <c r="M305" s="6" t="n">
        <f aca="false">K305-L305</f>
        <v>2124.15</v>
      </c>
      <c r="N305" s="6" t="n">
        <f aca="false">G305*I305</f>
        <v>1550</v>
      </c>
      <c r="O305" s="6" t="n">
        <f aca="false">M305-N305</f>
        <v>574.15</v>
      </c>
      <c r="P305" s="21" t="n">
        <f aca="false">IFERROR(O305/M305,0)</f>
        <v>0.270296353835652</v>
      </c>
      <c r="Q305" s="6" t="str">
        <f aca="false">Orders!H305</f>
        <v>Cancelled</v>
      </c>
      <c r="R305" s="1" t="str">
        <f aca="false">INDEX(Customers!$C$2:$C$301,MATCH(C305,Customers!$A$2:$A$301,0))</f>
        <v>Lucknow</v>
      </c>
      <c r="S305" s="1" t="str">
        <f aca="false">INDEX(Customers!$E$2:$E$301,MATCH(C305,Customers!$A$2:$A$301,0))</f>
        <v>Returning</v>
      </c>
      <c r="T305" s="6" t="str">
        <f aca="false">Orders!I305</f>
        <v>Mobile App</v>
      </c>
      <c r="U305" s="1" t="str">
        <f aca="false">IF(Q305="Delivered","Completed",IF(Q305="Cancelled","Cancelled",IF(Q305="Returned","Returned","In Progress")))</f>
        <v>Cancelled</v>
      </c>
      <c r="V305" s="1" t="str">
        <f aca="false">IF(M305&gt;=10000,"High Value",IF(M305&gt;=5000,"Medium Value","Low Value"))</f>
        <v>Low Value</v>
      </c>
      <c r="W305" s="1" t="str">
        <f aca="false">IF(O305&gt;0,"Profitable",IF(O305=0,"Break-even","Loss"))</f>
        <v>Profitable</v>
      </c>
      <c r="X305" s="1" t="str">
        <f aca="false">IF(Q305="Cancelled","Not Applicable",IF(Q305="Processing","Pending",IF(B305="","Unknown",IF(Orders!J305="","Unknown",IF(Orders!J305&lt;=3,"Fast",IF(Orders!J305&lt;=6,"Standard","Slow"))))))</f>
        <v>Not Applicable</v>
      </c>
      <c r="Y305" s="1" t="n">
        <f aca="false">IF(OR(Q305="Cancelled",Q305="Returned"),0,O305)</f>
        <v>0</v>
      </c>
    </row>
    <row r="306" customFormat="false" ht="15" hidden="false" customHeight="false" outlineLevel="0" collapsed="false">
      <c r="A306" s="6" t="str">
        <f aca="false">Orders!A306</f>
        <v>O000305</v>
      </c>
      <c r="B306" s="19" t="n">
        <f aca="false">Orders!B306</f>
        <v>45769</v>
      </c>
      <c r="C306" s="6" t="str">
        <f aca="false">Orders!C306</f>
        <v>C0079</v>
      </c>
      <c r="D306" s="6" t="str">
        <f aca="false">Orders!D306</f>
        <v>P1067</v>
      </c>
      <c r="E306" s="6" t="str">
        <f aca="false">INDEX(Products!$B$2:$B$101,MATCH(D306,Products!$A$2:$A$101,0))</f>
        <v>Camping Torch</v>
      </c>
      <c r="F306" s="1" t="str">
        <f aca="false">INDEX(Products!$C$2:$C$101,MATCH(D306,Products!$A$2:$A$101,0))</f>
        <v>Sports &amp; Outdoors</v>
      </c>
      <c r="G306" s="6" t="n">
        <f aca="false">Orders!E306</f>
        <v>1</v>
      </c>
      <c r="H306" s="16" t="n">
        <f aca="false">INDEX(Products!$D$2:$D$101,MATCH(D306,Products!$A$2:$A$101,0))</f>
        <v>599</v>
      </c>
      <c r="I306" s="16" t="n">
        <f aca="false">INDEX(Products!$E$2:$E$101,MATCH(D306,Products!$A$2:$A$101,0))</f>
        <v>250</v>
      </c>
      <c r="J306" s="20" t="n">
        <f aca="false">Orders!F306</f>
        <v>0.05</v>
      </c>
      <c r="K306" s="6" t="n">
        <f aca="false">G306*H306</f>
        <v>599</v>
      </c>
      <c r="L306" s="6" t="n">
        <f aca="false">K306*J306</f>
        <v>29.95</v>
      </c>
      <c r="M306" s="6" t="n">
        <f aca="false">K306-L306</f>
        <v>569.05</v>
      </c>
      <c r="N306" s="6" t="n">
        <f aca="false">G306*I306</f>
        <v>250</v>
      </c>
      <c r="O306" s="6" t="n">
        <f aca="false">M306-N306</f>
        <v>319.05</v>
      </c>
      <c r="P306" s="21" t="n">
        <f aca="false">IFERROR(O306/M306,0)</f>
        <v>0.560671294262367</v>
      </c>
      <c r="Q306" s="6" t="str">
        <f aca="false">Orders!H306</f>
        <v>Delivered</v>
      </c>
      <c r="R306" s="1" t="str">
        <f aca="false">INDEX(Customers!$C$2:$C$301,MATCH(C306,Customers!$A$2:$A$301,0))</f>
        <v>Coimbatore</v>
      </c>
      <c r="S306" s="1" t="str">
        <f aca="false">INDEX(Customers!$E$2:$E$301,MATCH(C306,Customers!$A$2:$A$301,0))</f>
        <v>Returning</v>
      </c>
      <c r="T306" s="6" t="str">
        <f aca="false">Orders!I306</f>
        <v>Marketplace</v>
      </c>
      <c r="U306" s="1" t="str">
        <f aca="false">IF(Q306="Delivered","Completed",IF(Q306="Cancelled","Cancelled",IF(Q306="Returned","Returned","In Progress")))</f>
        <v>Completed</v>
      </c>
      <c r="V306" s="1" t="str">
        <f aca="false">IF(M306&gt;=10000,"High Value",IF(M306&gt;=5000,"Medium Value","Low Value"))</f>
        <v>Low Value</v>
      </c>
      <c r="W306" s="1" t="str">
        <f aca="false">IF(O306&gt;0,"Profitable",IF(O306=0,"Break-even","Loss"))</f>
        <v>Profitable</v>
      </c>
      <c r="X306" s="1" t="str">
        <f aca="false">IF(Q306="Cancelled","Not Applicable",IF(Q306="Processing","Pending",IF(B306="","Unknown",IF(Orders!J306="","Unknown",IF(Orders!J306&lt;=3,"Fast",IF(Orders!J306&lt;=6,"Standard","Slow"))))))</f>
        <v>Fast</v>
      </c>
      <c r="Y306" s="1" t="n">
        <f aca="false">IF(OR(Q306="Cancelled",Q306="Returned"),0,O306)</f>
        <v>319.05</v>
      </c>
    </row>
    <row r="307" customFormat="false" ht="15" hidden="false" customHeight="false" outlineLevel="0" collapsed="false">
      <c r="A307" s="6" t="str">
        <f aca="false">Orders!A307</f>
        <v>O000306</v>
      </c>
      <c r="B307" s="19" t="n">
        <f aca="false">Orders!B307</f>
        <v>45849</v>
      </c>
      <c r="C307" s="6" t="str">
        <f aca="false">Orders!C307</f>
        <v>C0036</v>
      </c>
      <c r="D307" s="6" t="str">
        <f aca="false">Orders!D307</f>
        <v>P1087</v>
      </c>
      <c r="E307" s="6" t="str">
        <f aca="false">INDEX(Products!$B$2:$B$101,MATCH(D307,Products!$A$2:$A$101,0))</f>
        <v>Book Stand</v>
      </c>
      <c r="F307" s="1" t="str">
        <f aca="false">INDEX(Products!$C$2:$C$101,MATCH(D307,Products!$A$2:$A$101,0))</f>
        <v>Books &amp; Stationery</v>
      </c>
      <c r="G307" s="6" t="n">
        <f aca="false">Orders!E307</f>
        <v>1</v>
      </c>
      <c r="H307" s="16" t="n">
        <f aca="false">INDEX(Products!$D$2:$D$101,MATCH(D307,Products!$A$2:$A$101,0))</f>
        <v>449</v>
      </c>
      <c r="I307" s="16" t="n">
        <f aca="false">INDEX(Products!$E$2:$E$101,MATCH(D307,Products!$A$2:$A$101,0))</f>
        <v>200</v>
      </c>
      <c r="J307" s="20" t="n">
        <f aca="false">Orders!F307</f>
        <v>0.1</v>
      </c>
      <c r="K307" s="6" t="n">
        <f aca="false">G307*H307</f>
        <v>449</v>
      </c>
      <c r="L307" s="6" t="n">
        <f aca="false">K307*J307</f>
        <v>44.9</v>
      </c>
      <c r="M307" s="6" t="n">
        <f aca="false">K307-L307</f>
        <v>404.1</v>
      </c>
      <c r="N307" s="6" t="n">
        <f aca="false">G307*I307</f>
        <v>200</v>
      </c>
      <c r="O307" s="6" t="n">
        <f aca="false">M307-N307</f>
        <v>204.1</v>
      </c>
      <c r="P307" s="21" t="n">
        <f aca="false">IFERROR(O307/M307,0)</f>
        <v>0.505073001732245</v>
      </c>
      <c r="Q307" s="6" t="str">
        <f aca="false">Orders!H307</f>
        <v>Shipped</v>
      </c>
      <c r="R307" s="1" t="str">
        <f aca="false">INDEX(Customers!$C$2:$C$301,MATCH(C307,Customers!$A$2:$A$301,0))</f>
        <v>Chandigarh</v>
      </c>
      <c r="S307" s="1" t="str">
        <f aca="false">INDEX(Customers!$E$2:$E$301,MATCH(C307,Customers!$A$2:$A$301,0))</f>
        <v>New</v>
      </c>
      <c r="T307" s="6" t="str">
        <f aca="false">Orders!I307</f>
        <v>Mobile App</v>
      </c>
      <c r="U307" s="1" t="str">
        <f aca="false">IF(Q307="Delivered","Completed",IF(Q307="Cancelled","Cancelled",IF(Q307="Returned","Returned","In Progress")))</f>
        <v>In Progress</v>
      </c>
      <c r="V307" s="1" t="str">
        <f aca="false">IF(M307&gt;=10000,"High Value",IF(M307&gt;=5000,"Medium Value","Low Value"))</f>
        <v>Low Value</v>
      </c>
      <c r="W307" s="1" t="str">
        <f aca="false">IF(O307&gt;0,"Profitable",IF(O307=0,"Break-even","Loss"))</f>
        <v>Profitable</v>
      </c>
      <c r="X307" s="1" t="str">
        <f aca="false">IF(Q307="Cancelled","Not Applicable",IF(Q307="Processing","Pending",IF(B307="","Unknown",IF(Orders!J307="","Unknown",IF(Orders!J307&lt;=3,"Fast",IF(Orders!J307&lt;=6,"Standard","Slow"))))))</f>
        <v>Slow</v>
      </c>
      <c r="Y307" s="1" t="n">
        <f aca="false">IF(OR(Q307="Cancelled",Q307="Returned"),0,O307)</f>
        <v>204.1</v>
      </c>
    </row>
    <row r="308" customFormat="false" ht="15" hidden="false" customHeight="false" outlineLevel="0" collapsed="false">
      <c r="A308" s="6" t="str">
        <f aca="false">Orders!A308</f>
        <v>O000307</v>
      </c>
      <c r="B308" s="19" t="n">
        <f aca="false">Orders!B308</f>
        <v>45980</v>
      </c>
      <c r="C308" s="6" t="str">
        <f aca="false">Orders!C308</f>
        <v>C0159</v>
      </c>
      <c r="D308" s="6" t="str">
        <f aca="false">Orders!D308</f>
        <v>P1077</v>
      </c>
      <c r="E308" s="6" t="str">
        <f aca="false">INDEX(Products!$B$2:$B$101,MATCH(D308,Products!$A$2:$A$101,0))</f>
        <v>Planner</v>
      </c>
      <c r="F308" s="1" t="str">
        <f aca="false">INDEX(Products!$C$2:$C$101,MATCH(D308,Products!$A$2:$A$101,0))</f>
        <v>Books &amp; Stationery</v>
      </c>
      <c r="G308" s="6" t="n">
        <f aca="false">Orders!E308</f>
        <v>3</v>
      </c>
      <c r="H308" s="16" t="n">
        <f aca="false">INDEX(Products!$D$2:$D$101,MATCH(D308,Products!$A$2:$A$101,0))</f>
        <v>349</v>
      </c>
      <c r="I308" s="16" t="n">
        <f aca="false">INDEX(Products!$E$2:$E$101,MATCH(D308,Products!$A$2:$A$101,0))</f>
        <v>130</v>
      </c>
      <c r="J308" s="20" t="n">
        <f aca="false">Orders!F308</f>
        <v>0.1</v>
      </c>
      <c r="K308" s="6" t="n">
        <f aca="false">G308*H308</f>
        <v>1047</v>
      </c>
      <c r="L308" s="6" t="n">
        <f aca="false">K308*J308</f>
        <v>104.7</v>
      </c>
      <c r="M308" s="6" t="n">
        <f aca="false">K308-L308</f>
        <v>942.3</v>
      </c>
      <c r="N308" s="6" t="n">
        <f aca="false">G308*I308</f>
        <v>390</v>
      </c>
      <c r="O308" s="6" t="n">
        <f aca="false">M308-N308</f>
        <v>552.3</v>
      </c>
      <c r="P308" s="21" t="n">
        <f aca="false">IFERROR(O308/M308,0)</f>
        <v>0.586119070359758</v>
      </c>
      <c r="Q308" s="6" t="str">
        <f aca="false">Orders!H308</f>
        <v>Delivered</v>
      </c>
      <c r="R308" s="1" t="str">
        <f aca="false">INDEX(Customers!$C$2:$C$301,MATCH(C308,Customers!$A$2:$A$301,0))</f>
        <v>Coimbatore</v>
      </c>
      <c r="S308" s="1" t="str">
        <f aca="false">INDEX(Customers!$E$2:$E$301,MATCH(C308,Customers!$A$2:$A$301,0))</f>
        <v>New</v>
      </c>
      <c r="T308" s="6" t="str">
        <f aca="false">Orders!I308</f>
        <v>Marketplace</v>
      </c>
      <c r="U308" s="1" t="str">
        <f aca="false">IF(Q308="Delivered","Completed",IF(Q308="Cancelled","Cancelled",IF(Q308="Returned","Returned","In Progress")))</f>
        <v>Completed</v>
      </c>
      <c r="V308" s="1" t="str">
        <f aca="false">IF(M308&gt;=10000,"High Value",IF(M308&gt;=5000,"Medium Value","Low Value"))</f>
        <v>Low Value</v>
      </c>
      <c r="W308" s="1" t="str">
        <f aca="false">IF(O308&gt;0,"Profitable",IF(O308=0,"Break-even","Loss"))</f>
        <v>Profitable</v>
      </c>
      <c r="X308" s="1" t="str">
        <f aca="false">IF(Q308="Cancelled","Not Applicable",IF(Q308="Processing","Pending",IF(B308="","Unknown",IF(Orders!J308="","Unknown",IF(Orders!J308&lt;=3,"Fast",IF(Orders!J308&lt;=6,"Standard","Slow"))))))</f>
        <v>Fast</v>
      </c>
      <c r="Y308" s="1" t="n">
        <f aca="false">IF(OR(Q308="Cancelled",Q308="Returned"),0,O308)</f>
        <v>552.3</v>
      </c>
    </row>
    <row r="309" customFormat="false" ht="15" hidden="false" customHeight="false" outlineLevel="0" collapsed="false">
      <c r="A309" s="6" t="str">
        <f aca="false">Orders!A309</f>
        <v>O000308</v>
      </c>
      <c r="B309" s="19" t="n">
        <f aca="false">Orders!B309</f>
        <v>45847</v>
      </c>
      <c r="C309" s="6" t="str">
        <f aca="false">Orders!C309</f>
        <v>C0133</v>
      </c>
      <c r="D309" s="6" t="str">
        <f aca="false">Orders!D309</f>
        <v>P1055</v>
      </c>
      <c r="E309" s="6" t="str">
        <f aca="false">INDEX(Products!$B$2:$B$101,MATCH(D309,Products!$A$2:$A$101,0))</f>
        <v>Perfume</v>
      </c>
      <c r="F309" s="1" t="str">
        <f aca="false">INDEX(Products!$C$2:$C$101,MATCH(D309,Products!$A$2:$A$101,0))</f>
        <v>Beauty</v>
      </c>
      <c r="G309" s="6" t="n">
        <f aca="false">Orders!E309</f>
        <v>3</v>
      </c>
      <c r="H309" s="16" t="n">
        <f aca="false">INDEX(Products!$D$2:$D$101,MATCH(D309,Products!$A$2:$A$101,0))</f>
        <v>999</v>
      </c>
      <c r="I309" s="16" t="n">
        <f aca="false">INDEX(Products!$E$2:$E$101,MATCH(D309,Products!$A$2:$A$101,0))</f>
        <v>500</v>
      </c>
      <c r="J309" s="20" t="n">
        <f aca="false">Orders!F309</f>
        <v>0.15</v>
      </c>
      <c r="K309" s="6" t="n">
        <f aca="false">G309*H309</f>
        <v>2997</v>
      </c>
      <c r="L309" s="6" t="n">
        <f aca="false">K309*J309</f>
        <v>449.55</v>
      </c>
      <c r="M309" s="6" t="n">
        <f aca="false">K309-L309</f>
        <v>2547.45</v>
      </c>
      <c r="N309" s="6" t="n">
        <f aca="false">G309*I309</f>
        <v>1500</v>
      </c>
      <c r="O309" s="6" t="n">
        <f aca="false">M309-N309</f>
        <v>1047.45</v>
      </c>
      <c r="P309" s="21" t="n">
        <f aca="false">IFERROR(O309/M309,0)</f>
        <v>0.411175881764117</v>
      </c>
      <c r="Q309" s="6" t="str">
        <f aca="false">Orders!H309</f>
        <v>Delivered</v>
      </c>
      <c r="R309" s="1" t="str">
        <f aca="false">INDEX(Customers!$C$2:$C$301,MATCH(C309,Customers!$A$2:$A$301,0))</f>
        <v>Kochi</v>
      </c>
      <c r="S309" s="1" t="str">
        <f aca="false">INDEX(Customers!$E$2:$E$301,MATCH(C309,Customers!$A$2:$A$301,0))</f>
        <v>Returning</v>
      </c>
      <c r="T309" s="6" t="str">
        <f aca="false">Orders!I309</f>
        <v>Mobile App</v>
      </c>
      <c r="U309" s="1" t="str">
        <f aca="false">IF(Q309="Delivered","Completed",IF(Q309="Cancelled","Cancelled",IF(Q309="Returned","Returned","In Progress")))</f>
        <v>Completed</v>
      </c>
      <c r="V309" s="1" t="str">
        <f aca="false">IF(M309&gt;=10000,"High Value",IF(M309&gt;=5000,"Medium Value","Low Value"))</f>
        <v>Low Value</v>
      </c>
      <c r="W309" s="1" t="str">
        <f aca="false">IF(O309&gt;0,"Profitable",IF(O309=0,"Break-even","Loss"))</f>
        <v>Profitable</v>
      </c>
      <c r="X309" s="1" t="str">
        <f aca="false">IF(Q309="Cancelled","Not Applicable",IF(Q309="Processing","Pending",IF(B309="","Unknown",IF(Orders!J309="","Unknown",IF(Orders!J309&lt;=3,"Fast",IF(Orders!J309&lt;=6,"Standard","Slow"))))))</f>
        <v>Slow</v>
      </c>
      <c r="Y309" s="1" t="n">
        <f aca="false">IF(OR(Q309="Cancelled",Q309="Returned"),0,O309)</f>
        <v>1047.45</v>
      </c>
    </row>
    <row r="310" customFormat="false" ht="15" hidden="false" customHeight="false" outlineLevel="0" collapsed="false">
      <c r="A310" s="6" t="str">
        <f aca="false">Orders!A310</f>
        <v>O000309</v>
      </c>
      <c r="B310" s="19" t="n">
        <f aca="false">Orders!B310</f>
        <v>45874</v>
      </c>
      <c r="C310" s="6" t="str">
        <f aca="false">Orders!C310</f>
        <v>C0186</v>
      </c>
      <c r="D310" s="6" t="str">
        <f aca="false">Orders!D310</f>
        <v>P1013</v>
      </c>
      <c r="E310" s="6" t="str">
        <f aca="false">INDEX(Products!$B$2:$B$101,MATCH(D310,Products!$A$2:$A$101,0))</f>
        <v>Memory Card</v>
      </c>
      <c r="F310" s="1" t="str">
        <f aca="false">INDEX(Products!$C$2:$C$101,MATCH(D310,Products!$A$2:$A$101,0))</f>
        <v>Electronics</v>
      </c>
      <c r="G310" s="6" t="n">
        <f aca="false">Orders!E310</f>
        <v>5</v>
      </c>
      <c r="H310" s="16" t="n">
        <f aca="false">INDEX(Products!$D$2:$D$101,MATCH(D310,Products!$A$2:$A$101,0))</f>
        <v>699</v>
      </c>
      <c r="I310" s="16" t="n">
        <f aca="false">INDEX(Products!$E$2:$E$101,MATCH(D310,Products!$A$2:$A$101,0))</f>
        <v>400</v>
      </c>
      <c r="J310" s="20" t="n">
        <f aca="false">Orders!F310</f>
        <v>0.1</v>
      </c>
      <c r="K310" s="6" t="n">
        <f aca="false">G310*H310</f>
        <v>3495</v>
      </c>
      <c r="L310" s="6" t="n">
        <f aca="false">K310*J310</f>
        <v>349.5</v>
      </c>
      <c r="M310" s="6" t="n">
        <f aca="false">K310-L310</f>
        <v>3145.5</v>
      </c>
      <c r="N310" s="6" t="n">
        <f aca="false">G310*I310</f>
        <v>2000</v>
      </c>
      <c r="O310" s="6" t="n">
        <f aca="false">M310-N310</f>
        <v>1145.5</v>
      </c>
      <c r="P310" s="21" t="n">
        <f aca="false">IFERROR(O310/M310,0)</f>
        <v>0.364171037990781</v>
      </c>
      <c r="Q310" s="6" t="str">
        <f aca="false">Orders!H310</f>
        <v>Delivered</v>
      </c>
      <c r="R310" s="1" t="str">
        <f aca="false">INDEX(Customers!$C$2:$C$301,MATCH(C310,Customers!$A$2:$A$301,0))</f>
        <v>Kolkata</v>
      </c>
      <c r="S310" s="1" t="str">
        <f aca="false">INDEX(Customers!$E$2:$E$301,MATCH(C310,Customers!$A$2:$A$301,0))</f>
        <v>New</v>
      </c>
      <c r="T310" s="6" t="str">
        <f aca="false">Orders!I310</f>
        <v>Marketplace</v>
      </c>
      <c r="U310" s="1" t="str">
        <f aca="false">IF(Q310="Delivered","Completed",IF(Q310="Cancelled","Cancelled",IF(Q310="Returned","Returned","In Progress")))</f>
        <v>Completed</v>
      </c>
      <c r="V310" s="1" t="str">
        <f aca="false">IF(M310&gt;=10000,"High Value",IF(M310&gt;=5000,"Medium Value","Low Value"))</f>
        <v>Low Value</v>
      </c>
      <c r="W310" s="1" t="str">
        <f aca="false">IF(O310&gt;0,"Profitable",IF(O310=0,"Break-even","Loss"))</f>
        <v>Profitable</v>
      </c>
      <c r="X310" s="1" t="str">
        <f aca="false">IF(Q310="Cancelled","Not Applicable",IF(Q310="Processing","Pending",IF(B310="","Unknown",IF(Orders!J310="","Unknown",IF(Orders!J310&lt;=3,"Fast",IF(Orders!J310&lt;=6,"Standard","Slow"))))))</f>
        <v>Fast</v>
      </c>
      <c r="Y310" s="1" t="n">
        <f aca="false">IF(OR(Q310="Cancelled",Q310="Returned"),0,O310)</f>
        <v>1145.5</v>
      </c>
    </row>
    <row r="311" customFormat="false" ht="23.85" hidden="false" customHeight="false" outlineLevel="0" collapsed="false">
      <c r="A311" s="6" t="str">
        <f aca="false">Orders!A311</f>
        <v>O000310</v>
      </c>
      <c r="B311" s="19" t="n">
        <f aca="false">Orders!B311</f>
        <v>45763</v>
      </c>
      <c r="C311" s="6" t="str">
        <f aca="false">Orders!C311</f>
        <v>C0264</v>
      </c>
      <c r="D311" s="6" t="str">
        <f aca="false">Orders!D311</f>
        <v>P1012</v>
      </c>
      <c r="E311" s="6" t="str">
        <f aca="false">INDEX(Products!$B$2:$B$101,MATCH(D311,Products!$A$2:$A$101,0))</f>
        <v>Charging Adapter</v>
      </c>
      <c r="F311" s="1" t="str">
        <f aca="false">INDEX(Products!$C$2:$C$101,MATCH(D311,Products!$A$2:$A$101,0))</f>
        <v>Electronics</v>
      </c>
      <c r="G311" s="6" t="n">
        <f aca="false">Orders!E311</f>
        <v>1</v>
      </c>
      <c r="H311" s="16" t="n">
        <f aca="false">INDEX(Products!$D$2:$D$101,MATCH(D311,Products!$A$2:$A$101,0))</f>
        <v>599</v>
      </c>
      <c r="I311" s="16" t="n">
        <f aca="false">INDEX(Products!$E$2:$E$101,MATCH(D311,Products!$A$2:$A$101,0))</f>
        <v>260</v>
      </c>
      <c r="J311" s="20" t="n">
        <f aca="false">Orders!F311</f>
        <v>0.2</v>
      </c>
      <c r="K311" s="6" t="n">
        <f aca="false">G311*H311</f>
        <v>599</v>
      </c>
      <c r="L311" s="6" t="n">
        <f aca="false">K311*J311</f>
        <v>119.8</v>
      </c>
      <c r="M311" s="6" t="n">
        <f aca="false">K311-L311</f>
        <v>479.2</v>
      </c>
      <c r="N311" s="6" t="n">
        <f aca="false">G311*I311</f>
        <v>260</v>
      </c>
      <c r="O311" s="6" t="n">
        <f aca="false">M311-N311</f>
        <v>219.2</v>
      </c>
      <c r="P311" s="21" t="n">
        <f aca="false">IFERROR(O311/M311,0)</f>
        <v>0.457429048414023</v>
      </c>
      <c r="Q311" s="6" t="str">
        <f aca="false">Orders!H311</f>
        <v>Delivered</v>
      </c>
      <c r="R311" s="1" t="str">
        <f aca="false">INDEX(Customers!$C$2:$C$301,MATCH(C311,Customers!$A$2:$A$301,0))</f>
        <v>Hyderabad</v>
      </c>
      <c r="S311" s="1" t="str">
        <f aca="false">INDEX(Customers!$E$2:$E$301,MATCH(C311,Customers!$A$2:$A$301,0))</f>
        <v>VIP</v>
      </c>
      <c r="T311" s="6" t="str">
        <f aca="false">Orders!I311</f>
        <v>Marketplace</v>
      </c>
      <c r="U311" s="1" t="str">
        <f aca="false">IF(Q311="Delivered","Completed",IF(Q311="Cancelled","Cancelled",IF(Q311="Returned","Returned","In Progress")))</f>
        <v>Completed</v>
      </c>
      <c r="V311" s="1" t="str">
        <f aca="false">IF(M311&gt;=10000,"High Value",IF(M311&gt;=5000,"Medium Value","Low Value"))</f>
        <v>Low Value</v>
      </c>
      <c r="W311" s="1" t="str">
        <f aca="false">IF(O311&gt;0,"Profitable",IF(O311=0,"Break-even","Loss"))</f>
        <v>Profitable</v>
      </c>
      <c r="X311" s="1" t="str">
        <f aca="false">IF(Q311="Cancelled","Not Applicable",IF(Q311="Processing","Pending",IF(B311="","Unknown",IF(Orders!J311="","Unknown",IF(Orders!J311&lt;=3,"Fast",IF(Orders!J311&lt;=6,"Standard","Slow"))))))</f>
        <v>Fast</v>
      </c>
      <c r="Y311" s="1" t="n">
        <f aca="false">IF(OR(Q311="Cancelled",Q311="Returned"),0,O311)</f>
        <v>219.2</v>
      </c>
    </row>
    <row r="312" customFormat="false" ht="15" hidden="false" customHeight="false" outlineLevel="0" collapsed="false">
      <c r="A312" s="6" t="str">
        <f aca="false">Orders!A312</f>
        <v>O000311</v>
      </c>
      <c r="B312" s="19" t="n">
        <f aca="false">Orders!B312</f>
        <v>45805</v>
      </c>
      <c r="C312" s="6" t="str">
        <f aca="false">Orders!C312</f>
        <v>C0230</v>
      </c>
      <c r="D312" s="6" t="str">
        <f aca="false">Orders!D312</f>
        <v>P1056</v>
      </c>
      <c r="E312" s="6" t="str">
        <f aca="false">INDEX(Products!$B$2:$B$101,MATCH(D312,Products!$A$2:$A$101,0))</f>
        <v>Hair Dryer</v>
      </c>
      <c r="F312" s="1" t="str">
        <f aca="false">INDEX(Products!$C$2:$C$101,MATCH(D312,Products!$A$2:$A$101,0))</f>
        <v>Beauty</v>
      </c>
      <c r="G312" s="6" t="n">
        <f aca="false">Orders!E312</f>
        <v>2</v>
      </c>
      <c r="H312" s="16" t="n">
        <f aca="false">INDEX(Products!$D$2:$D$101,MATCH(D312,Products!$A$2:$A$101,0))</f>
        <v>1299</v>
      </c>
      <c r="I312" s="16" t="n">
        <f aca="false">INDEX(Products!$E$2:$E$101,MATCH(D312,Products!$A$2:$A$101,0))</f>
        <v>750</v>
      </c>
      <c r="J312" s="20" t="n">
        <f aca="false">Orders!F312</f>
        <v>0.2</v>
      </c>
      <c r="K312" s="6" t="n">
        <f aca="false">G312*H312</f>
        <v>2598</v>
      </c>
      <c r="L312" s="6" t="n">
        <f aca="false">K312*J312</f>
        <v>519.6</v>
      </c>
      <c r="M312" s="6" t="n">
        <f aca="false">K312-L312</f>
        <v>2078.4</v>
      </c>
      <c r="N312" s="6" t="n">
        <f aca="false">G312*I312</f>
        <v>1500</v>
      </c>
      <c r="O312" s="6" t="n">
        <f aca="false">M312-N312</f>
        <v>578.4</v>
      </c>
      <c r="P312" s="21" t="n">
        <f aca="false">IFERROR(O312/M312,0)</f>
        <v>0.278290993071594</v>
      </c>
      <c r="Q312" s="6" t="str">
        <f aca="false">Orders!H312</f>
        <v>Delivered</v>
      </c>
      <c r="R312" s="1" t="str">
        <f aca="false">INDEX(Customers!$C$2:$C$301,MATCH(C312,Customers!$A$2:$A$301,0))</f>
        <v>Lucknow</v>
      </c>
      <c r="S312" s="1" t="str">
        <f aca="false">INDEX(Customers!$E$2:$E$301,MATCH(C312,Customers!$A$2:$A$301,0))</f>
        <v>New</v>
      </c>
      <c r="T312" s="6" t="str">
        <f aca="false">Orders!I312</f>
        <v>Website</v>
      </c>
      <c r="U312" s="1" t="str">
        <f aca="false">IF(Q312="Delivered","Completed",IF(Q312="Cancelled","Cancelled",IF(Q312="Returned","Returned","In Progress")))</f>
        <v>Completed</v>
      </c>
      <c r="V312" s="1" t="str">
        <f aca="false">IF(M312&gt;=10000,"High Value",IF(M312&gt;=5000,"Medium Value","Low Value"))</f>
        <v>Low Value</v>
      </c>
      <c r="W312" s="1" t="str">
        <f aca="false">IF(O312&gt;0,"Profitable",IF(O312=0,"Break-even","Loss"))</f>
        <v>Profitable</v>
      </c>
      <c r="X312" s="1" t="str">
        <f aca="false">IF(Q312="Cancelled","Not Applicable",IF(Q312="Processing","Pending",IF(B312="","Unknown",IF(Orders!J312="","Unknown",IF(Orders!J312&lt;=3,"Fast",IF(Orders!J312&lt;=6,"Standard","Slow"))))))</f>
        <v>Slow</v>
      </c>
      <c r="Y312" s="1" t="n">
        <f aca="false">IF(OR(Q312="Cancelled",Q312="Returned"),0,O312)</f>
        <v>578.4</v>
      </c>
    </row>
    <row r="313" customFormat="false" ht="15" hidden="false" customHeight="false" outlineLevel="0" collapsed="false">
      <c r="A313" s="6" t="str">
        <f aca="false">Orders!A313</f>
        <v>O000312</v>
      </c>
      <c r="B313" s="19" t="n">
        <f aca="false">Orders!B313</f>
        <v>45841</v>
      </c>
      <c r="C313" s="6" t="str">
        <f aca="false">Orders!C313</f>
        <v>C0285</v>
      </c>
      <c r="D313" s="6" t="str">
        <f aca="false">Orders!D313</f>
        <v>P1044</v>
      </c>
      <c r="E313" s="6" t="str">
        <f aca="false">INDEX(Products!$B$2:$B$101,MATCH(D313,Products!$A$2:$A$101,0))</f>
        <v>Doormat</v>
      </c>
      <c r="F313" s="1" t="str">
        <f aca="false">INDEX(Products!$C$2:$C$101,MATCH(D313,Products!$A$2:$A$101,0))</f>
        <v>Home &amp; Kitchen</v>
      </c>
      <c r="G313" s="6" t="n">
        <f aca="false">Orders!E313</f>
        <v>4</v>
      </c>
      <c r="H313" s="16" t="n">
        <f aca="false">INDEX(Products!$D$2:$D$101,MATCH(D313,Products!$A$2:$A$101,0))</f>
        <v>299</v>
      </c>
      <c r="I313" s="16" t="n">
        <f aca="false">INDEX(Products!$E$2:$E$101,MATCH(D313,Products!$A$2:$A$101,0))</f>
        <v>100</v>
      </c>
      <c r="J313" s="20" t="n">
        <f aca="false">Orders!F313</f>
        <v>0.05</v>
      </c>
      <c r="K313" s="6" t="n">
        <f aca="false">G313*H313</f>
        <v>1196</v>
      </c>
      <c r="L313" s="6" t="n">
        <f aca="false">K313*J313</f>
        <v>59.8</v>
      </c>
      <c r="M313" s="6" t="n">
        <f aca="false">K313-L313</f>
        <v>1136.2</v>
      </c>
      <c r="N313" s="6" t="n">
        <f aca="false">G313*I313</f>
        <v>400</v>
      </c>
      <c r="O313" s="6" t="n">
        <f aca="false">M313-N313</f>
        <v>736.2</v>
      </c>
      <c r="P313" s="21" t="n">
        <f aca="false">IFERROR(O313/M313,0)</f>
        <v>0.647949304699877</v>
      </c>
      <c r="Q313" s="6" t="str">
        <f aca="false">Orders!H313</f>
        <v>Delivered</v>
      </c>
      <c r="R313" s="1" t="str">
        <f aca="false">INDEX(Customers!$C$2:$C$301,MATCH(C313,Customers!$A$2:$A$301,0))</f>
        <v>Chennai</v>
      </c>
      <c r="S313" s="1" t="str">
        <f aca="false">INDEX(Customers!$E$2:$E$301,MATCH(C313,Customers!$A$2:$A$301,0))</f>
        <v>New</v>
      </c>
      <c r="T313" s="6" t="str">
        <f aca="false">Orders!I313</f>
        <v>Mobile App</v>
      </c>
      <c r="U313" s="1" t="str">
        <f aca="false">IF(Q313="Delivered","Completed",IF(Q313="Cancelled","Cancelled",IF(Q313="Returned","Returned","In Progress")))</f>
        <v>Completed</v>
      </c>
      <c r="V313" s="1" t="str">
        <f aca="false">IF(M313&gt;=10000,"High Value",IF(M313&gt;=5000,"Medium Value","Low Value"))</f>
        <v>Low Value</v>
      </c>
      <c r="W313" s="1" t="str">
        <f aca="false">IF(O313&gt;0,"Profitable",IF(O313=0,"Break-even","Loss"))</f>
        <v>Profitable</v>
      </c>
      <c r="X313" s="1" t="str">
        <f aca="false">IF(Q313="Cancelled","Not Applicable",IF(Q313="Processing","Pending",IF(B313="","Unknown",IF(Orders!J313="","Unknown",IF(Orders!J313&lt;=3,"Fast",IF(Orders!J313&lt;=6,"Standard","Slow"))))))</f>
        <v>Standard</v>
      </c>
      <c r="Y313" s="1" t="n">
        <f aca="false">IF(OR(Q313="Cancelled",Q313="Returned"),0,O313)</f>
        <v>736.2</v>
      </c>
    </row>
    <row r="314" customFormat="false" ht="15" hidden="false" customHeight="false" outlineLevel="0" collapsed="false">
      <c r="A314" s="6" t="str">
        <f aca="false">Orders!A314</f>
        <v>O000313</v>
      </c>
      <c r="B314" s="19" t="n">
        <f aca="false">Orders!B314</f>
        <v>45772</v>
      </c>
      <c r="C314" s="6" t="str">
        <f aca="false">Orders!C314</f>
        <v>C0108</v>
      </c>
      <c r="D314" s="6" t="str">
        <f aca="false">Orders!D314</f>
        <v>P1042</v>
      </c>
      <c r="E314" s="6" t="str">
        <f aca="false">INDEX(Products!$B$2:$B$101,MATCH(D314,Products!$A$2:$A$101,0))</f>
        <v>Bath Towel Set</v>
      </c>
      <c r="F314" s="1" t="str">
        <f aca="false">INDEX(Products!$C$2:$C$101,MATCH(D314,Products!$A$2:$A$101,0))</f>
        <v>Home &amp; Kitchen</v>
      </c>
      <c r="G314" s="6" t="n">
        <f aca="false">Orders!E314</f>
        <v>4</v>
      </c>
      <c r="H314" s="16" t="n">
        <f aca="false">INDEX(Products!$D$2:$D$101,MATCH(D314,Products!$A$2:$A$101,0))</f>
        <v>799</v>
      </c>
      <c r="I314" s="16" t="n">
        <f aca="false">INDEX(Products!$E$2:$E$101,MATCH(D314,Products!$A$2:$A$101,0))</f>
        <v>360</v>
      </c>
      <c r="J314" s="20" t="n">
        <f aca="false">Orders!F314</f>
        <v>0.15</v>
      </c>
      <c r="K314" s="6" t="n">
        <f aca="false">G314*H314</f>
        <v>3196</v>
      </c>
      <c r="L314" s="6" t="n">
        <f aca="false">K314*J314</f>
        <v>479.4</v>
      </c>
      <c r="M314" s="6" t="n">
        <f aca="false">K314-L314</f>
        <v>2716.6</v>
      </c>
      <c r="N314" s="6" t="n">
        <f aca="false">G314*I314</f>
        <v>1440</v>
      </c>
      <c r="O314" s="6" t="n">
        <f aca="false">M314-N314</f>
        <v>1276.6</v>
      </c>
      <c r="P314" s="21" t="n">
        <f aca="false">IFERROR(O314/M314,0)</f>
        <v>0.469925642347051</v>
      </c>
      <c r="Q314" s="6" t="str">
        <f aca="false">Orders!H314</f>
        <v>Delivered</v>
      </c>
      <c r="R314" s="1" t="str">
        <f aca="false">INDEX(Customers!$C$2:$C$301,MATCH(C314,Customers!$A$2:$A$301,0))</f>
        <v>Jaipur</v>
      </c>
      <c r="S314" s="1" t="str">
        <f aca="false">INDEX(Customers!$E$2:$E$301,MATCH(C314,Customers!$A$2:$A$301,0))</f>
        <v>Returning</v>
      </c>
      <c r="T314" s="6" t="str">
        <f aca="false">Orders!I314</f>
        <v>Mobile App</v>
      </c>
      <c r="U314" s="1" t="str">
        <f aca="false">IF(Q314="Delivered","Completed",IF(Q314="Cancelled","Cancelled",IF(Q314="Returned","Returned","In Progress")))</f>
        <v>Completed</v>
      </c>
      <c r="V314" s="1" t="str">
        <f aca="false">IF(M314&gt;=10000,"High Value",IF(M314&gt;=5000,"Medium Value","Low Value"))</f>
        <v>Low Value</v>
      </c>
      <c r="W314" s="1" t="str">
        <f aca="false">IF(O314&gt;0,"Profitable",IF(O314=0,"Break-even","Loss"))</f>
        <v>Profitable</v>
      </c>
      <c r="X314" s="1" t="str">
        <f aca="false">IF(Q314="Cancelled","Not Applicable",IF(Q314="Processing","Pending",IF(B314="","Unknown",IF(Orders!J314="","Unknown",IF(Orders!J314&lt;=3,"Fast",IF(Orders!J314&lt;=6,"Standard","Slow"))))))</f>
        <v>Fast</v>
      </c>
      <c r="Y314" s="1" t="n">
        <f aca="false">IF(OR(Q314="Cancelled",Q314="Returned"),0,O314)</f>
        <v>1276.6</v>
      </c>
    </row>
    <row r="315" customFormat="false" ht="15" hidden="false" customHeight="false" outlineLevel="0" collapsed="false">
      <c r="A315" s="6" t="str">
        <f aca="false">Orders!A315</f>
        <v>O000314</v>
      </c>
      <c r="B315" s="19" t="n">
        <f aca="false">Orders!B315</f>
        <v>45983</v>
      </c>
      <c r="C315" s="6" t="str">
        <f aca="false">Orders!C315</f>
        <v>C0274</v>
      </c>
      <c r="D315" s="6" t="str">
        <f aca="false">Orders!D315</f>
        <v>P1059</v>
      </c>
      <c r="E315" s="6" t="str">
        <f aca="false">INDEX(Products!$B$2:$B$101,MATCH(D315,Products!$A$2:$A$101,0))</f>
        <v>Bath Gift Set</v>
      </c>
      <c r="F315" s="1" t="str">
        <f aca="false">INDEX(Products!$C$2:$C$101,MATCH(D315,Products!$A$2:$A$101,0))</f>
        <v>Beauty</v>
      </c>
      <c r="G315" s="6" t="n">
        <f aca="false">Orders!E315</f>
        <v>1</v>
      </c>
      <c r="H315" s="16" t="n">
        <f aca="false">INDEX(Products!$D$2:$D$101,MATCH(D315,Products!$A$2:$A$101,0))</f>
        <v>699</v>
      </c>
      <c r="I315" s="16" t="n">
        <f aca="false">INDEX(Products!$E$2:$E$101,MATCH(D315,Products!$A$2:$A$101,0))</f>
        <v>350</v>
      </c>
      <c r="J315" s="20" t="n">
        <f aca="false">Orders!F315</f>
        <v>0</v>
      </c>
      <c r="K315" s="6" t="n">
        <f aca="false">G315*H315</f>
        <v>699</v>
      </c>
      <c r="L315" s="6" t="n">
        <f aca="false">K315*J315</f>
        <v>0</v>
      </c>
      <c r="M315" s="6" t="n">
        <f aca="false">K315-L315</f>
        <v>699</v>
      </c>
      <c r="N315" s="6" t="n">
        <f aca="false">G315*I315</f>
        <v>350</v>
      </c>
      <c r="O315" s="6" t="n">
        <f aca="false">M315-N315</f>
        <v>349</v>
      </c>
      <c r="P315" s="21" t="n">
        <f aca="false">IFERROR(O315/M315,0)</f>
        <v>0.49928469241774</v>
      </c>
      <c r="Q315" s="6" t="str">
        <f aca="false">Orders!H315</f>
        <v>Delivered</v>
      </c>
      <c r="R315" s="1" t="str">
        <f aca="false">INDEX(Customers!$C$2:$C$301,MATCH(C315,Customers!$A$2:$A$301,0))</f>
        <v>Indore</v>
      </c>
      <c r="S315" s="1" t="str">
        <f aca="false">INDEX(Customers!$E$2:$E$301,MATCH(C315,Customers!$A$2:$A$301,0))</f>
        <v>New</v>
      </c>
      <c r="T315" s="6" t="str">
        <f aca="false">Orders!I315</f>
        <v>Mobile App</v>
      </c>
      <c r="U315" s="1" t="str">
        <f aca="false">IF(Q315="Delivered","Completed",IF(Q315="Cancelled","Cancelled",IF(Q315="Returned","Returned","In Progress")))</f>
        <v>Completed</v>
      </c>
      <c r="V315" s="1" t="str">
        <f aca="false">IF(M315&gt;=10000,"High Value",IF(M315&gt;=5000,"Medium Value","Low Value"))</f>
        <v>Low Value</v>
      </c>
      <c r="W315" s="1" t="str">
        <f aca="false">IF(O315&gt;0,"Profitable",IF(O315=0,"Break-even","Loss"))</f>
        <v>Profitable</v>
      </c>
      <c r="X315" s="1" t="str">
        <f aca="false">IF(Q315="Cancelled","Not Applicable",IF(Q315="Processing","Pending",IF(B315="","Unknown",IF(Orders!J315="","Unknown",IF(Orders!J315&lt;=3,"Fast",IF(Orders!J315&lt;=6,"Standard","Slow"))))))</f>
        <v>Fast</v>
      </c>
      <c r="Y315" s="1" t="n">
        <f aca="false">IF(OR(Q315="Cancelled",Q315="Returned"),0,O315)</f>
        <v>349</v>
      </c>
    </row>
    <row r="316" customFormat="false" ht="15" hidden="false" customHeight="false" outlineLevel="0" collapsed="false">
      <c r="A316" s="6" t="str">
        <f aca="false">Orders!A316</f>
        <v>O000315</v>
      </c>
      <c r="B316" s="19" t="n">
        <f aca="false">Orders!B316</f>
        <v>45726</v>
      </c>
      <c r="C316" s="6" t="str">
        <f aca="false">Orders!C316</f>
        <v>C0245</v>
      </c>
      <c r="D316" s="6" t="str">
        <f aca="false">Orders!D316</f>
        <v>P1021</v>
      </c>
      <c r="E316" s="6" t="str">
        <f aca="false">INDEX(Products!$B$2:$B$101,MATCH(D316,Products!$A$2:$A$101,0))</f>
        <v>Handbag</v>
      </c>
      <c r="F316" s="1" t="str">
        <f aca="false">INDEX(Products!$C$2:$C$101,MATCH(D316,Products!$A$2:$A$101,0))</f>
        <v>Fashion</v>
      </c>
      <c r="G316" s="6" t="n">
        <f aca="false">Orders!E316</f>
        <v>1</v>
      </c>
      <c r="H316" s="16" t="n">
        <f aca="false">INDEX(Products!$D$2:$D$101,MATCH(D316,Products!$A$2:$A$101,0))</f>
        <v>1499</v>
      </c>
      <c r="I316" s="16" t="n">
        <f aca="false">INDEX(Products!$E$2:$E$101,MATCH(D316,Products!$A$2:$A$101,0))</f>
        <v>700</v>
      </c>
      <c r="J316" s="20" t="n">
        <f aca="false">Orders!F316</f>
        <v>0.1</v>
      </c>
      <c r="K316" s="6" t="n">
        <f aca="false">G316*H316</f>
        <v>1499</v>
      </c>
      <c r="L316" s="6" t="n">
        <f aca="false">K316*J316</f>
        <v>149.9</v>
      </c>
      <c r="M316" s="6" t="n">
        <f aca="false">K316-L316</f>
        <v>1349.1</v>
      </c>
      <c r="N316" s="6" t="n">
        <f aca="false">G316*I316</f>
        <v>700</v>
      </c>
      <c r="O316" s="6" t="n">
        <f aca="false">M316-N316</f>
        <v>649.1</v>
      </c>
      <c r="P316" s="21" t="n">
        <f aca="false">IFERROR(O316/M316,0)</f>
        <v>0.481135571862723</v>
      </c>
      <c r="Q316" s="6" t="str">
        <f aca="false">Orders!H316</f>
        <v>Shipped</v>
      </c>
      <c r="R316" s="1" t="str">
        <f aca="false">INDEX(Customers!$C$2:$C$301,MATCH(C316,Customers!$A$2:$A$301,0))</f>
        <v>Chennai</v>
      </c>
      <c r="S316" s="1" t="str">
        <f aca="false">INDEX(Customers!$E$2:$E$301,MATCH(C316,Customers!$A$2:$A$301,0))</f>
        <v>New</v>
      </c>
      <c r="T316" s="6" t="str">
        <f aca="false">Orders!I316</f>
        <v>Mobile App</v>
      </c>
      <c r="U316" s="1" t="str">
        <f aca="false">IF(Q316="Delivered","Completed",IF(Q316="Cancelled","Cancelled",IF(Q316="Returned","Returned","In Progress")))</f>
        <v>In Progress</v>
      </c>
      <c r="V316" s="1" t="str">
        <f aca="false">IF(M316&gt;=10000,"High Value",IF(M316&gt;=5000,"Medium Value","Low Value"))</f>
        <v>Low Value</v>
      </c>
      <c r="W316" s="1" t="str">
        <f aca="false">IF(O316&gt;0,"Profitable",IF(O316=0,"Break-even","Loss"))</f>
        <v>Profitable</v>
      </c>
      <c r="X316" s="1" t="str">
        <f aca="false">IF(Q316="Cancelled","Not Applicable",IF(Q316="Processing","Pending",IF(B316="","Unknown",IF(Orders!J316="","Unknown",IF(Orders!J316&lt;=3,"Fast",IF(Orders!J316&lt;=6,"Standard","Slow"))))))</f>
        <v>Fast</v>
      </c>
      <c r="Y316" s="1" t="n">
        <f aca="false">IF(OR(Q316="Cancelled",Q316="Returned"),0,O316)</f>
        <v>649.1</v>
      </c>
    </row>
    <row r="317" customFormat="false" ht="15" hidden="false" customHeight="false" outlineLevel="0" collapsed="false">
      <c r="A317" s="6" t="str">
        <f aca="false">Orders!A317</f>
        <v>O000316</v>
      </c>
      <c r="B317" s="19" t="n">
        <f aca="false">Orders!B317</f>
        <v>45699</v>
      </c>
      <c r="C317" s="6" t="str">
        <f aca="false">Orders!C317</f>
        <v>C0170</v>
      </c>
      <c r="D317" s="6" t="str">
        <f aca="false">Orders!D317</f>
        <v>P1088</v>
      </c>
      <c r="E317" s="6" t="str">
        <f aca="false">INDEX(Products!$B$2:$B$101,MATCH(D317,Products!$A$2:$A$101,0))</f>
        <v>Electric Kettle</v>
      </c>
      <c r="F317" s="1" t="str">
        <f aca="false">INDEX(Products!$C$2:$C$101,MATCH(D317,Products!$A$2:$A$101,0))</f>
        <v>Appliances</v>
      </c>
      <c r="G317" s="6" t="n">
        <f aca="false">Orders!E317</f>
        <v>3</v>
      </c>
      <c r="H317" s="16" t="n">
        <f aca="false">INDEX(Products!$D$2:$D$101,MATCH(D317,Products!$A$2:$A$101,0))</f>
        <v>1299</v>
      </c>
      <c r="I317" s="16" t="n">
        <f aca="false">INDEX(Products!$E$2:$E$101,MATCH(D317,Products!$A$2:$A$101,0))</f>
        <v>750</v>
      </c>
      <c r="J317" s="20" t="n">
        <f aca="false">Orders!F317</f>
        <v>0.1</v>
      </c>
      <c r="K317" s="6" t="n">
        <f aca="false">G317*H317</f>
        <v>3897</v>
      </c>
      <c r="L317" s="6" t="n">
        <f aca="false">K317*J317</f>
        <v>389.7</v>
      </c>
      <c r="M317" s="6" t="n">
        <f aca="false">K317-L317</f>
        <v>3507.3</v>
      </c>
      <c r="N317" s="6" t="n">
        <f aca="false">G317*I317</f>
        <v>2250</v>
      </c>
      <c r="O317" s="6" t="n">
        <f aca="false">M317-N317</f>
        <v>1257.3</v>
      </c>
      <c r="P317" s="21" t="n">
        <f aca="false">IFERROR(O317/M317,0)</f>
        <v>0.358480882730305</v>
      </c>
      <c r="Q317" s="6" t="str">
        <f aca="false">Orders!H317</f>
        <v>Shipped</v>
      </c>
      <c r="R317" s="1" t="str">
        <f aca="false">INDEX(Customers!$C$2:$C$301,MATCH(C317,Customers!$A$2:$A$301,0))</f>
        <v>Lucknow</v>
      </c>
      <c r="S317" s="1" t="str">
        <f aca="false">INDEX(Customers!$E$2:$E$301,MATCH(C317,Customers!$A$2:$A$301,0))</f>
        <v>Returning</v>
      </c>
      <c r="T317" s="6" t="str">
        <f aca="false">Orders!I317</f>
        <v>Mobile App</v>
      </c>
      <c r="U317" s="1" t="str">
        <f aca="false">IF(Q317="Delivered","Completed",IF(Q317="Cancelled","Cancelled",IF(Q317="Returned","Returned","In Progress")))</f>
        <v>In Progress</v>
      </c>
      <c r="V317" s="1" t="str">
        <f aca="false">IF(M317&gt;=10000,"High Value",IF(M317&gt;=5000,"Medium Value","Low Value"))</f>
        <v>Low Value</v>
      </c>
      <c r="W317" s="1" t="str">
        <f aca="false">IF(O317&gt;0,"Profitable",IF(O317=0,"Break-even","Loss"))</f>
        <v>Profitable</v>
      </c>
      <c r="X317" s="1" t="str">
        <f aca="false">IF(Q317="Cancelled","Not Applicable",IF(Q317="Processing","Pending",IF(B317="","Unknown",IF(Orders!J317="","Unknown",IF(Orders!J317&lt;=3,"Fast",IF(Orders!J317&lt;=6,"Standard","Slow"))))))</f>
        <v>Standard</v>
      </c>
      <c r="Y317" s="1" t="n">
        <f aca="false">IF(OR(Q317="Cancelled",Q317="Returned"),0,O317)</f>
        <v>1257.3</v>
      </c>
    </row>
    <row r="318" customFormat="false" ht="15" hidden="false" customHeight="false" outlineLevel="0" collapsed="false">
      <c r="A318" s="6" t="str">
        <f aca="false">Orders!A318</f>
        <v>O000317</v>
      </c>
      <c r="B318" s="19" t="n">
        <f aca="false">Orders!B318</f>
        <v>45960</v>
      </c>
      <c r="C318" s="6" t="str">
        <f aca="false">Orders!C318</f>
        <v>C0150</v>
      </c>
      <c r="D318" s="6" t="str">
        <f aca="false">Orders!D318</f>
        <v>P1026</v>
      </c>
      <c r="E318" s="6" t="str">
        <f aca="false">INDEX(Products!$B$2:$B$101,MATCH(D318,Products!$A$2:$A$101,0))</f>
        <v>Sunglasses</v>
      </c>
      <c r="F318" s="1" t="str">
        <f aca="false">INDEX(Products!$C$2:$C$101,MATCH(D318,Products!$A$2:$A$101,0))</f>
        <v>Fashion</v>
      </c>
      <c r="G318" s="6" t="n">
        <f aca="false">Orders!E318</f>
        <v>1</v>
      </c>
      <c r="H318" s="16" t="n">
        <f aca="false">INDEX(Products!$D$2:$D$101,MATCH(D318,Products!$A$2:$A$101,0))</f>
        <v>799</v>
      </c>
      <c r="I318" s="16" t="n">
        <f aca="false">INDEX(Products!$E$2:$E$101,MATCH(D318,Products!$A$2:$A$101,0))</f>
        <v>300</v>
      </c>
      <c r="J318" s="20" t="n">
        <f aca="false">Orders!F318</f>
        <v>0.05</v>
      </c>
      <c r="K318" s="6" t="n">
        <f aca="false">G318*H318</f>
        <v>799</v>
      </c>
      <c r="L318" s="6" t="n">
        <f aca="false">K318*J318</f>
        <v>39.95</v>
      </c>
      <c r="M318" s="6" t="n">
        <f aca="false">K318-L318</f>
        <v>759.05</v>
      </c>
      <c r="N318" s="6" t="n">
        <f aca="false">G318*I318</f>
        <v>300</v>
      </c>
      <c r="O318" s="6" t="n">
        <f aca="false">M318-N318</f>
        <v>459.05</v>
      </c>
      <c r="P318" s="21" t="n">
        <f aca="false">IFERROR(O318/M318,0)</f>
        <v>0.604769119293854</v>
      </c>
      <c r="Q318" s="6" t="str">
        <f aca="false">Orders!H318</f>
        <v>Returned</v>
      </c>
      <c r="R318" s="1" t="str">
        <f aca="false">INDEX(Customers!$C$2:$C$301,MATCH(C318,Customers!$A$2:$A$301,0))</f>
        <v>Lucknow</v>
      </c>
      <c r="S318" s="1" t="str">
        <f aca="false">INDEX(Customers!$E$2:$E$301,MATCH(C318,Customers!$A$2:$A$301,0))</f>
        <v>Returning</v>
      </c>
      <c r="T318" s="6" t="str">
        <f aca="false">Orders!I318</f>
        <v>Mobile App</v>
      </c>
      <c r="U318" s="1" t="str">
        <f aca="false">IF(Q318="Delivered","Completed",IF(Q318="Cancelled","Cancelled",IF(Q318="Returned","Returned","In Progress")))</f>
        <v>Returned</v>
      </c>
      <c r="V318" s="1" t="str">
        <f aca="false">IF(M318&gt;=10000,"High Value",IF(M318&gt;=5000,"Medium Value","Low Value"))</f>
        <v>Low Value</v>
      </c>
      <c r="W318" s="1" t="str">
        <f aca="false">IF(O318&gt;0,"Profitable",IF(O318=0,"Break-even","Loss"))</f>
        <v>Profitable</v>
      </c>
      <c r="X318" s="1" t="str">
        <f aca="false">IF(Q318="Cancelled","Not Applicable",IF(Q318="Processing","Pending",IF(B318="","Unknown",IF(Orders!J318="","Unknown",IF(Orders!J318&lt;=3,"Fast",IF(Orders!J318&lt;=6,"Standard","Slow"))))))</f>
        <v>Fast</v>
      </c>
      <c r="Y318" s="1" t="n">
        <f aca="false">IF(OR(Q318="Cancelled",Q318="Returned"),0,O318)</f>
        <v>0</v>
      </c>
    </row>
    <row r="319" customFormat="false" ht="15" hidden="false" customHeight="false" outlineLevel="0" collapsed="false">
      <c r="A319" s="6" t="str">
        <f aca="false">Orders!A319</f>
        <v>O000318</v>
      </c>
      <c r="B319" s="19" t="n">
        <f aca="false">Orders!B319</f>
        <v>45845</v>
      </c>
      <c r="C319" s="6" t="str">
        <f aca="false">Orders!C319</f>
        <v>C0013</v>
      </c>
      <c r="D319" s="6" t="str">
        <f aca="false">Orders!D319</f>
        <v>P1084</v>
      </c>
      <c r="E319" s="6" t="str">
        <f aca="false">INDEX(Products!$B$2:$B$101,MATCH(D319,Products!$A$2:$A$101,0))</f>
        <v>Whiteboard</v>
      </c>
      <c r="F319" s="1" t="str">
        <f aca="false">INDEX(Products!$C$2:$C$101,MATCH(D319,Products!$A$2:$A$101,0))</f>
        <v>Books &amp; Stationery</v>
      </c>
      <c r="G319" s="6" t="n">
        <f aca="false">Orders!E319</f>
        <v>2</v>
      </c>
      <c r="H319" s="16" t="n">
        <f aca="false">INDEX(Products!$D$2:$D$101,MATCH(D319,Products!$A$2:$A$101,0))</f>
        <v>799</v>
      </c>
      <c r="I319" s="16" t="n">
        <f aca="false">INDEX(Products!$E$2:$E$101,MATCH(D319,Products!$A$2:$A$101,0))</f>
        <v>420</v>
      </c>
      <c r="J319" s="20" t="n">
        <f aca="false">Orders!F319</f>
        <v>0.1</v>
      </c>
      <c r="K319" s="6" t="n">
        <f aca="false">G319*H319</f>
        <v>1598</v>
      </c>
      <c r="L319" s="6" t="n">
        <f aca="false">K319*J319</f>
        <v>159.8</v>
      </c>
      <c r="M319" s="6" t="n">
        <f aca="false">K319-L319</f>
        <v>1438.2</v>
      </c>
      <c r="N319" s="6" t="n">
        <f aca="false">G319*I319</f>
        <v>840</v>
      </c>
      <c r="O319" s="6" t="n">
        <f aca="false">M319-N319</f>
        <v>598.2</v>
      </c>
      <c r="P319" s="21" t="n">
        <f aca="false">IFERROR(O319/M319,0)</f>
        <v>0.415936587400918</v>
      </c>
      <c r="Q319" s="6" t="str">
        <f aca="false">Orders!H319</f>
        <v>Delivered</v>
      </c>
      <c r="R319" s="1" t="str">
        <f aca="false">INDEX(Customers!$C$2:$C$301,MATCH(C319,Customers!$A$2:$A$301,0))</f>
        <v>Kochi</v>
      </c>
      <c r="S319" s="1" t="str">
        <f aca="false">INDEX(Customers!$E$2:$E$301,MATCH(C319,Customers!$A$2:$A$301,0))</f>
        <v>Returning</v>
      </c>
      <c r="T319" s="6" t="str">
        <f aca="false">Orders!I319</f>
        <v>Marketplace</v>
      </c>
      <c r="U319" s="1" t="str">
        <f aca="false">IF(Q319="Delivered","Completed",IF(Q319="Cancelled","Cancelled",IF(Q319="Returned","Returned","In Progress")))</f>
        <v>Completed</v>
      </c>
      <c r="V319" s="1" t="str">
        <f aca="false">IF(M319&gt;=10000,"High Value",IF(M319&gt;=5000,"Medium Value","Low Value"))</f>
        <v>Low Value</v>
      </c>
      <c r="W319" s="1" t="str">
        <f aca="false">IF(O319&gt;0,"Profitable",IF(O319=0,"Break-even","Loss"))</f>
        <v>Profitable</v>
      </c>
      <c r="X319" s="1" t="str">
        <f aca="false">IF(Q319="Cancelled","Not Applicable",IF(Q319="Processing","Pending",IF(B319="","Unknown",IF(Orders!J319="","Unknown",IF(Orders!J319&lt;=3,"Fast",IF(Orders!J319&lt;=6,"Standard","Slow"))))))</f>
        <v>Slow</v>
      </c>
      <c r="Y319" s="1" t="n">
        <f aca="false">IF(OR(Q319="Cancelled",Q319="Returned"),0,O319)</f>
        <v>598.2</v>
      </c>
    </row>
    <row r="320" customFormat="false" ht="15" hidden="false" customHeight="false" outlineLevel="0" collapsed="false">
      <c r="A320" s="6" t="str">
        <f aca="false">Orders!A320</f>
        <v>O000319</v>
      </c>
      <c r="B320" s="19" t="n">
        <f aca="false">Orders!B320</f>
        <v>45742</v>
      </c>
      <c r="C320" s="6" t="str">
        <f aca="false">Orders!C320</f>
        <v>C0141</v>
      </c>
      <c r="D320" s="6" t="str">
        <f aca="false">Orders!D320</f>
        <v>P1082</v>
      </c>
      <c r="E320" s="6" t="str">
        <f aca="false">INDEX(Products!$B$2:$B$101,MATCH(D320,Products!$A$2:$A$101,0))</f>
        <v>File Folder Set</v>
      </c>
      <c r="F320" s="1" t="str">
        <f aca="false">INDEX(Products!$C$2:$C$101,MATCH(D320,Products!$A$2:$A$101,0))</f>
        <v>Books &amp; Stationery</v>
      </c>
      <c r="G320" s="6" t="n">
        <f aca="false">Orders!E320</f>
        <v>2</v>
      </c>
      <c r="H320" s="16" t="n">
        <f aca="false">INDEX(Products!$D$2:$D$101,MATCH(D320,Products!$A$2:$A$101,0))</f>
        <v>249</v>
      </c>
      <c r="I320" s="16" t="n">
        <f aca="false">INDEX(Products!$E$2:$E$101,MATCH(D320,Products!$A$2:$A$101,0))</f>
        <v>90</v>
      </c>
      <c r="J320" s="20" t="n">
        <f aca="false">Orders!F320</f>
        <v>0.1</v>
      </c>
      <c r="K320" s="6" t="n">
        <f aca="false">G320*H320</f>
        <v>498</v>
      </c>
      <c r="L320" s="6" t="n">
        <f aca="false">K320*J320</f>
        <v>49.8</v>
      </c>
      <c r="M320" s="6" t="n">
        <f aca="false">K320-L320</f>
        <v>448.2</v>
      </c>
      <c r="N320" s="6" t="n">
        <f aca="false">G320*I320</f>
        <v>180</v>
      </c>
      <c r="O320" s="6" t="n">
        <f aca="false">M320-N320</f>
        <v>268.2</v>
      </c>
      <c r="P320" s="21" t="n">
        <f aca="false">IFERROR(O320/M320,0)</f>
        <v>0.598393574297189</v>
      </c>
      <c r="Q320" s="6" t="str">
        <f aca="false">Orders!H320</f>
        <v>Cancelled</v>
      </c>
      <c r="R320" s="1" t="str">
        <f aca="false">INDEX(Customers!$C$2:$C$301,MATCH(C320,Customers!$A$2:$A$301,0))</f>
        <v>Delhi</v>
      </c>
      <c r="S320" s="1" t="str">
        <f aca="false">INDEX(Customers!$E$2:$E$301,MATCH(C320,Customers!$A$2:$A$301,0))</f>
        <v>Returning</v>
      </c>
      <c r="T320" s="6" t="str">
        <f aca="false">Orders!I320</f>
        <v>Marketplace</v>
      </c>
      <c r="U320" s="1" t="str">
        <f aca="false">IF(Q320="Delivered","Completed",IF(Q320="Cancelled","Cancelled",IF(Q320="Returned","Returned","In Progress")))</f>
        <v>Cancelled</v>
      </c>
      <c r="V320" s="1" t="str">
        <f aca="false">IF(M320&gt;=10000,"High Value",IF(M320&gt;=5000,"Medium Value","Low Value"))</f>
        <v>Low Value</v>
      </c>
      <c r="W320" s="1" t="str">
        <f aca="false">IF(O320&gt;0,"Profitable",IF(O320=0,"Break-even","Loss"))</f>
        <v>Profitable</v>
      </c>
      <c r="X320" s="1" t="str">
        <f aca="false">IF(Q320="Cancelled","Not Applicable",IF(Q320="Processing","Pending",IF(B320="","Unknown",IF(Orders!J320="","Unknown",IF(Orders!J320&lt;=3,"Fast",IF(Orders!J320&lt;=6,"Standard","Slow"))))))</f>
        <v>Not Applicable</v>
      </c>
      <c r="Y320" s="1" t="n">
        <f aca="false">IF(OR(Q320="Cancelled",Q320="Returned"),0,O320)</f>
        <v>0</v>
      </c>
    </row>
    <row r="321" customFormat="false" ht="23.85" hidden="false" customHeight="false" outlineLevel="0" collapsed="false">
      <c r="A321" s="6" t="str">
        <f aca="false">Orders!A321</f>
        <v>O000320</v>
      </c>
      <c r="B321" s="19" t="n">
        <f aca="false">Orders!B321</f>
        <v>45675</v>
      </c>
      <c r="C321" s="6" t="str">
        <f aca="false">Orders!C321</f>
        <v>C0211</v>
      </c>
      <c r="D321" s="6" t="str">
        <f aca="false">Orders!D321</f>
        <v>P1081</v>
      </c>
      <c r="E321" s="6" t="str">
        <f aca="false">INDEX(Products!$B$2:$B$101,MATCH(D321,Products!$A$2:$A$101,0))</f>
        <v>Sticky Notes Pack</v>
      </c>
      <c r="F321" s="1" t="str">
        <f aca="false">INDEX(Products!$C$2:$C$101,MATCH(D321,Products!$A$2:$A$101,0))</f>
        <v>Books &amp; Stationery</v>
      </c>
      <c r="G321" s="6" t="n">
        <f aca="false">Orders!E321</f>
        <v>3</v>
      </c>
      <c r="H321" s="16" t="n">
        <f aca="false">INDEX(Products!$D$2:$D$101,MATCH(D321,Products!$A$2:$A$101,0))</f>
        <v>149</v>
      </c>
      <c r="I321" s="16" t="n">
        <f aca="false">INDEX(Products!$E$2:$E$101,MATCH(D321,Products!$A$2:$A$101,0))</f>
        <v>45</v>
      </c>
      <c r="J321" s="20" t="n">
        <f aca="false">Orders!F321</f>
        <v>0.15</v>
      </c>
      <c r="K321" s="6" t="n">
        <f aca="false">G321*H321</f>
        <v>447</v>
      </c>
      <c r="L321" s="6" t="n">
        <f aca="false">K321*J321</f>
        <v>67.05</v>
      </c>
      <c r="M321" s="6" t="n">
        <f aca="false">K321-L321</f>
        <v>379.95</v>
      </c>
      <c r="N321" s="6" t="n">
        <f aca="false">G321*I321</f>
        <v>135</v>
      </c>
      <c r="O321" s="6" t="n">
        <f aca="false">M321-N321</f>
        <v>244.95</v>
      </c>
      <c r="P321" s="21" t="n">
        <f aca="false">IFERROR(O321/M321,0)</f>
        <v>0.644690090801421</v>
      </c>
      <c r="Q321" s="6" t="str">
        <f aca="false">Orders!H321</f>
        <v>Processing</v>
      </c>
      <c r="R321" s="1" t="str">
        <f aca="false">INDEX(Customers!$C$2:$C$301,MATCH(C321,Customers!$A$2:$A$301,0))</f>
        <v>Gurugram</v>
      </c>
      <c r="S321" s="1" t="str">
        <f aca="false">INDEX(Customers!$E$2:$E$301,MATCH(C321,Customers!$A$2:$A$301,0))</f>
        <v>Returning</v>
      </c>
      <c r="T321" s="6" t="str">
        <f aca="false">Orders!I321</f>
        <v>Marketplace</v>
      </c>
      <c r="U321" s="1" t="str">
        <f aca="false">IF(Q321="Delivered","Completed",IF(Q321="Cancelled","Cancelled",IF(Q321="Returned","Returned","In Progress")))</f>
        <v>In Progress</v>
      </c>
      <c r="V321" s="1" t="str">
        <f aca="false">IF(M321&gt;=10000,"High Value",IF(M321&gt;=5000,"Medium Value","Low Value"))</f>
        <v>Low Value</v>
      </c>
      <c r="W321" s="1" t="str">
        <f aca="false">IF(O321&gt;0,"Profitable",IF(O321=0,"Break-even","Loss"))</f>
        <v>Profitable</v>
      </c>
      <c r="X321" s="1" t="str">
        <f aca="false">IF(Q321="Cancelled","Not Applicable",IF(Q321="Processing","Pending",IF(B321="","Unknown",IF(Orders!J321="","Unknown",IF(Orders!J321&lt;=3,"Fast",IF(Orders!J321&lt;=6,"Standard","Slow"))))))</f>
        <v>Pending</v>
      </c>
      <c r="Y321" s="1" t="n">
        <f aca="false">IF(OR(Q321="Cancelled",Q321="Returned"),0,O321)</f>
        <v>244.95</v>
      </c>
    </row>
    <row r="322" customFormat="false" ht="15" hidden="false" customHeight="false" outlineLevel="0" collapsed="false">
      <c r="A322" s="6" t="str">
        <f aca="false">Orders!A322</f>
        <v>O000321</v>
      </c>
      <c r="B322" s="19" t="n">
        <f aca="false">Orders!B322</f>
        <v>45789</v>
      </c>
      <c r="C322" s="6" t="str">
        <f aca="false">Orders!C322</f>
        <v>C0225</v>
      </c>
      <c r="D322" s="6" t="str">
        <f aca="false">Orders!D322</f>
        <v>P1022</v>
      </c>
      <c r="E322" s="6" t="str">
        <f aca="false">INDEX(Products!$B$2:$B$101,MATCH(D322,Products!$A$2:$A$101,0))</f>
        <v>Wallet</v>
      </c>
      <c r="F322" s="1" t="str">
        <f aca="false">INDEX(Products!$C$2:$C$101,MATCH(D322,Products!$A$2:$A$101,0))</f>
        <v>Fashion</v>
      </c>
      <c r="G322" s="6" t="n">
        <f aca="false">Orders!E322</f>
        <v>1</v>
      </c>
      <c r="H322" s="16" t="n">
        <f aca="false">INDEX(Products!$D$2:$D$101,MATCH(D322,Products!$A$2:$A$101,0))</f>
        <v>499</v>
      </c>
      <c r="I322" s="16" t="n">
        <f aca="false">INDEX(Products!$E$2:$E$101,MATCH(D322,Products!$A$2:$A$101,0))</f>
        <v>200</v>
      </c>
      <c r="J322" s="20" t="n">
        <f aca="false">Orders!F322</f>
        <v>0.05</v>
      </c>
      <c r="K322" s="6" t="n">
        <f aca="false">G322*H322</f>
        <v>499</v>
      </c>
      <c r="L322" s="6" t="n">
        <f aca="false">K322*J322</f>
        <v>24.95</v>
      </c>
      <c r="M322" s="6" t="n">
        <f aca="false">K322-L322</f>
        <v>474.05</v>
      </c>
      <c r="N322" s="6" t="n">
        <f aca="false">G322*I322</f>
        <v>200</v>
      </c>
      <c r="O322" s="6" t="n">
        <f aca="false">M322-N322</f>
        <v>274.05</v>
      </c>
      <c r="P322" s="21" t="n">
        <f aca="false">IFERROR(O322/M322,0)</f>
        <v>0.578103575572197</v>
      </c>
      <c r="Q322" s="6" t="str">
        <f aca="false">Orders!H322</f>
        <v>Delivered</v>
      </c>
      <c r="R322" s="1" t="str">
        <f aca="false">INDEX(Customers!$C$2:$C$301,MATCH(C322,Customers!$A$2:$A$301,0))</f>
        <v>Chennai</v>
      </c>
      <c r="S322" s="1" t="str">
        <f aca="false">INDEX(Customers!$E$2:$E$301,MATCH(C322,Customers!$A$2:$A$301,0))</f>
        <v>Returning</v>
      </c>
      <c r="T322" s="6" t="str">
        <f aca="false">Orders!I322</f>
        <v>Website</v>
      </c>
      <c r="U322" s="1" t="str">
        <f aca="false">IF(Q322="Delivered","Completed",IF(Q322="Cancelled","Cancelled",IF(Q322="Returned","Returned","In Progress")))</f>
        <v>Completed</v>
      </c>
      <c r="V322" s="1" t="str">
        <f aca="false">IF(M322&gt;=10000,"High Value",IF(M322&gt;=5000,"Medium Value","Low Value"))</f>
        <v>Low Value</v>
      </c>
      <c r="W322" s="1" t="str">
        <f aca="false">IF(O322&gt;0,"Profitable",IF(O322=0,"Break-even","Loss"))</f>
        <v>Profitable</v>
      </c>
      <c r="X322" s="1" t="str">
        <f aca="false">IF(Q322="Cancelled","Not Applicable",IF(Q322="Processing","Pending",IF(B322="","Unknown",IF(Orders!J322="","Unknown",IF(Orders!J322&lt;=3,"Fast",IF(Orders!J322&lt;=6,"Standard","Slow"))))))</f>
        <v>Slow</v>
      </c>
      <c r="Y322" s="1" t="n">
        <f aca="false">IF(OR(Q322="Cancelled",Q322="Returned"),0,O322)</f>
        <v>274.05</v>
      </c>
    </row>
    <row r="323" customFormat="false" ht="23.85" hidden="false" customHeight="false" outlineLevel="0" collapsed="false">
      <c r="A323" s="6" t="str">
        <f aca="false">Orders!A323</f>
        <v>O000322</v>
      </c>
      <c r="B323" s="19" t="n">
        <f aca="false">Orders!B323</f>
        <v>45768</v>
      </c>
      <c r="C323" s="6" t="str">
        <f aca="false">Orders!C323</f>
        <v>C0238</v>
      </c>
      <c r="D323" s="6" t="str">
        <f aca="false">Orders!D323</f>
        <v>P1099</v>
      </c>
      <c r="E323" s="6" t="str">
        <f aca="false">INDEX(Products!$B$2:$B$101,MATCH(D323,Products!$A$2:$A$101,0))</f>
        <v>Sandwich Maker</v>
      </c>
      <c r="F323" s="1" t="str">
        <f aca="false">INDEX(Products!$C$2:$C$101,MATCH(D323,Products!$A$2:$A$101,0))</f>
        <v>Appliances</v>
      </c>
      <c r="G323" s="6" t="n">
        <f aca="false">Orders!E323</f>
        <v>1</v>
      </c>
      <c r="H323" s="16" t="n">
        <f aca="false">INDEX(Products!$D$2:$D$101,MATCH(D323,Products!$A$2:$A$101,0))</f>
        <v>1299</v>
      </c>
      <c r="I323" s="16" t="n">
        <f aca="false">INDEX(Products!$E$2:$E$101,MATCH(D323,Products!$A$2:$A$101,0))</f>
        <v>750</v>
      </c>
      <c r="J323" s="20" t="n">
        <f aca="false">Orders!F323</f>
        <v>0.1</v>
      </c>
      <c r="K323" s="6" t="n">
        <f aca="false">G323*H323</f>
        <v>1299</v>
      </c>
      <c r="L323" s="6" t="n">
        <f aca="false">K323*J323</f>
        <v>129.9</v>
      </c>
      <c r="M323" s="6" t="n">
        <f aca="false">K323-L323</f>
        <v>1169.1</v>
      </c>
      <c r="N323" s="6" t="n">
        <f aca="false">G323*I323</f>
        <v>750</v>
      </c>
      <c r="O323" s="6" t="n">
        <f aca="false">M323-N323</f>
        <v>419.1</v>
      </c>
      <c r="P323" s="21" t="n">
        <f aca="false">IFERROR(O323/M323,0)</f>
        <v>0.358480882730305</v>
      </c>
      <c r="Q323" s="6" t="str">
        <f aca="false">Orders!H323</f>
        <v>Delivered</v>
      </c>
      <c r="R323" s="1" t="str">
        <f aca="false">INDEX(Customers!$C$2:$C$301,MATCH(C323,Customers!$A$2:$A$301,0))</f>
        <v>Nagpur</v>
      </c>
      <c r="S323" s="1" t="str">
        <f aca="false">INDEX(Customers!$E$2:$E$301,MATCH(C323,Customers!$A$2:$A$301,0))</f>
        <v>Returning</v>
      </c>
      <c r="T323" s="6" t="str">
        <f aca="false">Orders!I323</f>
        <v>Website</v>
      </c>
      <c r="U323" s="1" t="str">
        <f aca="false">IF(Q323="Delivered","Completed",IF(Q323="Cancelled","Cancelled",IF(Q323="Returned","Returned","In Progress")))</f>
        <v>Completed</v>
      </c>
      <c r="V323" s="1" t="str">
        <f aca="false">IF(M323&gt;=10000,"High Value",IF(M323&gt;=5000,"Medium Value","Low Value"))</f>
        <v>Low Value</v>
      </c>
      <c r="W323" s="1" t="str">
        <f aca="false">IF(O323&gt;0,"Profitable",IF(O323=0,"Break-even","Loss"))</f>
        <v>Profitable</v>
      </c>
      <c r="X323" s="1" t="str">
        <f aca="false">IF(Q323="Cancelled","Not Applicable",IF(Q323="Processing","Pending",IF(B323="","Unknown",IF(Orders!J323="","Unknown",IF(Orders!J323&lt;=3,"Fast",IF(Orders!J323&lt;=6,"Standard","Slow"))))))</f>
        <v>Standard</v>
      </c>
      <c r="Y323" s="1" t="n">
        <f aca="false">IF(OR(Q323="Cancelled",Q323="Returned"),0,O323)</f>
        <v>419.1</v>
      </c>
    </row>
    <row r="324" customFormat="false" ht="15" hidden="false" customHeight="false" outlineLevel="0" collapsed="false">
      <c r="A324" s="6" t="str">
        <f aca="false">Orders!A324</f>
        <v>O000323</v>
      </c>
      <c r="B324" s="19" t="n">
        <f aca="false">Orders!B324</f>
        <v>45988</v>
      </c>
      <c r="C324" s="6" t="str">
        <f aca="false">Orders!C324</f>
        <v>C0099</v>
      </c>
      <c r="D324" s="6" t="str">
        <f aca="false">Orders!D324</f>
        <v>P1055</v>
      </c>
      <c r="E324" s="6" t="str">
        <f aca="false">INDEX(Products!$B$2:$B$101,MATCH(D324,Products!$A$2:$A$101,0))</f>
        <v>Perfume</v>
      </c>
      <c r="F324" s="1" t="str">
        <f aca="false">INDEX(Products!$C$2:$C$101,MATCH(D324,Products!$A$2:$A$101,0))</f>
        <v>Beauty</v>
      </c>
      <c r="G324" s="6" t="n">
        <f aca="false">Orders!E324</f>
        <v>1</v>
      </c>
      <c r="H324" s="16" t="n">
        <f aca="false">INDEX(Products!$D$2:$D$101,MATCH(D324,Products!$A$2:$A$101,0))</f>
        <v>999</v>
      </c>
      <c r="I324" s="16" t="n">
        <f aca="false">INDEX(Products!$E$2:$E$101,MATCH(D324,Products!$A$2:$A$101,0))</f>
        <v>500</v>
      </c>
      <c r="J324" s="20" t="n">
        <f aca="false">Orders!F324</f>
        <v>0.2</v>
      </c>
      <c r="K324" s="6" t="n">
        <f aca="false">G324*H324</f>
        <v>999</v>
      </c>
      <c r="L324" s="6" t="n">
        <f aca="false">K324*J324</f>
        <v>199.8</v>
      </c>
      <c r="M324" s="6" t="n">
        <f aca="false">K324-L324</f>
        <v>799.2</v>
      </c>
      <c r="N324" s="6" t="n">
        <f aca="false">G324*I324</f>
        <v>500</v>
      </c>
      <c r="O324" s="6" t="n">
        <f aca="false">M324-N324</f>
        <v>299.2</v>
      </c>
      <c r="P324" s="21" t="n">
        <f aca="false">IFERROR(O324/M324,0)</f>
        <v>0.374374374374374</v>
      </c>
      <c r="Q324" s="6" t="str">
        <f aca="false">Orders!H324</f>
        <v>Delivered</v>
      </c>
      <c r="R324" s="1" t="str">
        <f aca="false">INDEX(Customers!$C$2:$C$301,MATCH(C324,Customers!$A$2:$A$301,0))</f>
        <v>Coimbatore</v>
      </c>
      <c r="S324" s="1" t="str">
        <f aca="false">INDEX(Customers!$E$2:$E$301,MATCH(C324,Customers!$A$2:$A$301,0))</f>
        <v>VIP</v>
      </c>
      <c r="T324" s="6" t="str">
        <f aca="false">Orders!I324</f>
        <v>Marketplace</v>
      </c>
      <c r="U324" s="1" t="str">
        <f aca="false">IF(Q324="Delivered","Completed",IF(Q324="Cancelled","Cancelled",IF(Q324="Returned","Returned","In Progress")))</f>
        <v>Completed</v>
      </c>
      <c r="V324" s="1" t="str">
        <f aca="false">IF(M324&gt;=10000,"High Value",IF(M324&gt;=5000,"Medium Value","Low Value"))</f>
        <v>Low Value</v>
      </c>
      <c r="W324" s="1" t="str">
        <f aca="false">IF(O324&gt;0,"Profitable",IF(O324=0,"Break-even","Loss"))</f>
        <v>Profitable</v>
      </c>
      <c r="X324" s="1" t="str">
        <f aca="false">IF(Q324="Cancelled","Not Applicable",IF(Q324="Processing","Pending",IF(B324="","Unknown",IF(Orders!J324="","Unknown",IF(Orders!J324&lt;=3,"Fast",IF(Orders!J324&lt;=6,"Standard","Slow"))))))</f>
        <v>Standard</v>
      </c>
      <c r="Y324" s="1" t="n">
        <f aca="false">IF(OR(Q324="Cancelled",Q324="Returned"),0,O324)</f>
        <v>299.2</v>
      </c>
    </row>
    <row r="325" customFormat="false" ht="23.85" hidden="false" customHeight="false" outlineLevel="0" collapsed="false">
      <c r="A325" s="6" t="str">
        <f aca="false">Orders!A325</f>
        <v>O000324</v>
      </c>
      <c r="B325" s="19" t="n">
        <f aca="false">Orders!B325</f>
        <v>45662</v>
      </c>
      <c r="C325" s="6" t="str">
        <f aca="false">Orders!C325</f>
        <v>C0040</v>
      </c>
      <c r="D325" s="6" t="str">
        <f aca="false">Orders!D325</f>
        <v>P1012</v>
      </c>
      <c r="E325" s="6" t="str">
        <f aca="false">INDEX(Products!$B$2:$B$101,MATCH(D325,Products!$A$2:$A$101,0))</f>
        <v>Charging Adapter</v>
      </c>
      <c r="F325" s="1" t="str">
        <f aca="false">INDEX(Products!$C$2:$C$101,MATCH(D325,Products!$A$2:$A$101,0))</f>
        <v>Electronics</v>
      </c>
      <c r="G325" s="6" t="n">
        <f aca="false">Orders!E325</f>
        <v>1</v>
      </c>
      <c r="H325" s="16" t="n">
        <f aca="false">INDEX(Products!$D$2:$D$101,MATCH(D325,Products!$A$2:$A$101,0))</f>
        <v>599</v>
      </c>
      <c r="I325" s="16" t="n">
        <f aca="false">INDEX(Products!$E$2:$E$101,MATCH(D325,Products!$A$2:$A$101,0))</f>
        <v>260</v>
      </c>
      <c r="J325" s="20" t="n">
        <f aca="false">Orders!F325</f>
        <v>0.05</v>
      </c>
      <c r="K325" s="6" t="n">
        <f aca="false">G325*H325</f>
        <v>599</v>
      </c>
      <c r="L325" s="6" t="n">
        <f aca="false">K325*J325</f>
        <v>29.95</v>
      </c>
      <c r="M325" s="6" t="n">
        <f aca="false">K325-L325</f>
        <v>569.05</v>
      </c>
      <c r="N325" s="6" t="n">
        <f aca="false">G325*I325</f>
        <v>260</v>
      </c>
      <c r="O325" s="6" t="n">
        <f aca="false">M325-N325</f>
        <v>309.05</v>
      </c>
      <c r="P325" s="21" t="n">
        <f aca="false">IFERROR(O325/M325,0)</f>
        <v>0.543098146032862</v>
      </c>
      <c r="Q325" s="6" t="str">
        <f aca="false">Orders!H325</f>
        <v>Delivered</v>
      </c>
      <c r="R325" s="1" t="str">
        <f aca="false">INDEX(Customers!$C$2:$C$301,MATCH(C325,Customers!$A$2:$A$301,0))</f>
        <v>Visakhapatnam</v>
      </c>
      <c r="S325" s="1" t="str">
        <f aca="false">INDEX(Customers!$E$2:$E$301,MATCH(C325,Customers!$A$2:$A$301,0))</f>
        <v>Returning</v>
      </c>
      <c r="T325" s="6" t="str">
        <f aca="false">Orders!I325</f>
        <v>Website</v>
      </c>
      <c r="U325" s="1" t="str">
        <f aca="false">IF(Q325="Delivered","Completed",IF(Q325="Cancelled","Cancelled",IF(Q325="Returned","Returned","In Progress")))</f>
        <v>Completed</v>
      </c>
      <c r="V325" s="1" t="str">
        <f aca="false">IF(M325&gt;=10000,"High Value",IF(M325&gt;=5000,"Medium Value","Low Value"))</f>
        <v>Low Value</v>
      </c>
      <c r="W325" s="1" t="str">
        <f aca="false">IF(O325&gt;0,"Profitable",IF(O325=0,"Break-even","Loss"))</f>
        <v>Profitable</v>
      </c>
      <c r="X325" s="1" t="str">
        <f aca="false">IF(Q325="Cancelled","Not Applicable",IF(Q325="Processing","Pending",IF(B325="","Unknown",IF(Orders!J325="","Unknown",IF(Orders!J325&lt;=3,"Fast",IF(Orders!J325&lt;=6,"Standard","Slow"))))))</f>
        <v>Fast</v>
      </c>
      <c r="Y325" s="1" t="n">
        <f aca="false">IF(OR(Q325="Cancelled",Q325="Returned"),0,O325)</f>
        <v>309.05</v>
      </c>
    </row>
    <row r="326" customFormat="false" ht="15" hidden="false" customHeight="false" outlineLevel="0" collapsed="false">
      <c r="A326" s="6" t="str">
        <f aca="false">Orders!A326</f>
        <v>O000325</v>
      </c>
      <c r="B326" s="19" t="n">
        <f aca="false">Orders!B326</f>
        <v>46021</v>
      </c>
      <c r="C326" s="6" t="str">
        <f aca="false">Orders!C326</f>
        <v>C0072</v>
      </c>
      <c r="D326" s="6" t="str">
        <f aca="false">Orders!D326</f>
        <v>P1030</v>
      </c>
      <c r="E326" s="6" t="str">
        <f aca="false">INDEX(Products!$B$2:$B$101,MATCH(D326,Products!$A$2:$A$101,0))</f>
        <v>Formal Shoes</v>
      </c>
      <c r="F326" s="1" t="str">
        <f aca="false">INDEX(Products!$C$2:$C$101,MATCH(D326,Products!$A$2:$A$101,0))</f>
        <v>Fashion</v>
      </c>
      <c r="G326" s="6" t="n">
        <f aca="false">Orders!E326</f>
        <v>2</v>
      </c>
      <c r="H326" s="16" t="n">
        <f aca="false">INDEX(Products!$D$2:$D$101,MATCH(D326,Products!$A$2:$A$101,0))</f>
        <v>2299</v>
      </c>
      <c r="I326" s="16" t="n">
        <f aca="false">INDEX(Products!$E$2:$E$101,MATCH(D326,Products!$A$2:$A$101,0))</f>
        <v>1300</v>
      </c>
      <c r="J326" s="20" t="n">
        <f aca="false">Orders!F326</f>
        <v>0.25</v>
      </c>
      <c r="K326" s="6" t="n">
        <f aca="false">G326*H326</f>
        <v>4598</v>
      </c>
      <c r="L326" s="6" t="n">
        <f aca="false">K326*J326</f>
        <v>1149.5</v>
      </c>
      <c r="M326" s="6" t="n">
        <f aca="false">K326-L326</f>
        <v>3448.5</v>
      </c>
      <c r="N326" s="6" t="n">
        <f aca="false">G326*I326</f>
        <v>2600</v>
      </c>
      <c r="O326" s="6" t="n">
        <f aca="false">M326-N326</f>
        <v>848.5</v>
      </c>
      <c r="P326" s="21" t="n">
        <f aca="false">IFERROR(O326/M326,0)</f>
        <v>0.246049006814557</v>
      </c>
      <c r="Q326" s="6" t="str">
        <f aca="false">Orders!H326</f>
        <v>Delivered</v>
      </c>
      <c r="R326" s="1" t="str">
        <f aca="false">INDEX(Customers!$C$2:$C$301,MATCH(C326,Customers!$A$2:$A$301,0))</f>
        <v>Noida</v>
      </c>
      <c r="S326" s="1" t="str">
        <f aca="false">INDEX(Customers!$E$2:$E$301,MATCH(C326,Customers!$A$2:$A$301,0))</f>
        <v>Returning</v>
      </c>
      <c r="T326" s="6" t="str">
        <f aca="false">Orders!I326</f>
        <v>Mobile App</v>
      </c>
      <c r="U326" s="1" t="str">
        <f aca="false">IF(Q326="Delivered","Completed",IF(Q326="Cancelled","Cancelled",IF(Q326="Returned","Returned","In Progress")))</f>
        <v>Completed</v>
      </c>
      <c r="V326" s="1" t="str">
        <f aca="false">IF(M326&gt;=10000,"High Value",IF(M326&gt;=5000,"Medium Value","Low Value"))</f>
        <v>Low Value</v>
      </c>
      <c r="W326" s="1" t="str">
        <f aca="false">IF(O326&gt;0,"Profitable",IF(O326=0,"Break-even","Loss"))</f>
        <v>Profitable</v>
      </c>
      <c r="X326" s="1" t="str">
        <f aca="false">IF(Q326="Cancelled","Not Applicable",IF(Q326="Processing","Pending",IF(B326="","Unknown",IF(Orders!J326="","Unknown",IF(Orders!J326&lt;=3,"Fast",IF(Orders!J326&lt;=6,"Standard","Slow"))))))</f>
        <v>Standard</v>
      </c>
      <c r="Y326" s="1" t="n">
        <f aca="false">IF(OR(Q326="Cancelled",Q326="Returned"),0,O326)</f>
        <v>848.5</v>
      </c>
    </row>
    <row r="327" customFormat="false" ht="23.85" hidden="false" customHeight="false" outlineLevel="0" collapsed="false">
      <c r="A327" s="6" t="str">
        <f aca="false">Orders!A327</f>
        <v>O000326</v>
      </c>
      <c r="B327" s="19" t="n">
        <f aca="false">Orders!B327</f>
        <v>45759</v>
      </c>
      <c r="C327" s="6" t="str">
        <f aca="false">Orders!C327</f>
        <v>C0193</v>
      </c>
      <c r="D327" s="6" t="str">
        <f aca="false">Orders!D327</f>
        <v>P1072</v>
      </c>
      <c r="E327" s="6" t="str">
        <f aca="false">INDEX(Products!$B$2:$B$101,MATCH(D327,Products!$A$2:$A$101,0))</f>
        <v>Tennis Balls Pack</v>
      </c>
      <c r="F327" s="1" t="str">
        <f aca="false">INDEX(Products!$C$2:$C$101,MATCH(D327,Products!$A$2:$A$101,0))</f>
        <v>Sports &amp; Outdoors</v>
      </c>
      <c r="G327" s="6" t="n">
        <f aca="false">Orders!E327</f>
        <v>3</v>
      </c>
      <c r="H327" s="16" t="n">
        <f aca="false">INDEX(Products!$D$2:$D$101,MATCH(D327,Products!$A$2:$A$101,0))</f>
        <v>399</v>
      </c>
      <c r="I327" s="16" t="n">
        <f aca="false">INDEX(Products!$E$2:$E$101,MATCH(D327,Products!$A$2:$A$101,0))</f>
        <v>160</v>
      </c>
      <c r="J327" s="20" t="n">
        <f aca="false">Orders!F327</f>
        <v>0.05</v>
      </c>
      <c r="K327" s="6" t="n">
        <f aca="false">G327*H327</f>
        <v>1197</v>
      </c>
      <c r="L327" s="6" t="n">
        <f aca="false">K327*J327</f>
        <v>59.85</v>
      </c>
      <c r="M327" s="6" t="n">
        <f aca="false">K327-L327</f>
        <v>1137.15</v>
      </c>
      <c r="N327" s="6" t="n">
        <f aca="false">G327*I327</f>
        <v>480</v>
      </c>
      <c r="O327" s="6" t="n">
        <f aca="false">M327-N327</f>
        <v>657.15</v>
      </c>
      <c r="P327" s="21" t="n">
        <f aca="false">IFERROR(O327/M327,0)</f>
        <v>0.577892098667722</v>
      </c>
      <c r="Q327" s="6" t="str">
        <f aca="false">Orders!H327</f>
        <v>Delivered</v>
      </c>
      <c r="R327" s="1" t="str">
        <f aca="false">INDEX(Customers!$C$2:$C$301,MATCH(C327,Customers!$A$2:$A$301,0))</f>
        <v>Kochi</v>
      </c>
      <c r="S327" s="1" t="str">
        <f aca="false">INDEX(Customers!$E$2:$E$301,MATCH(C327,Customers!$A$2:$A$301,0))</f>
        <v>New</v>
      </c>
      <c r="T327" s="6" t="str">
        <f aca="false">Orders!I327</f>
        <v>Marketplace</v>
      </c>
      <c r="U327" s="1" t="str">
        <f aca="false">IF(Q327="Delivered","Completed",IF(Q327="Cancelled","Cancelled",IF(Q327="Returned","Returned","In Progress")))</f>
        <v>Completed</v>
      </c>
      <c r="V327" s="1" t="str">
        <f aca="false">IF(M327&gt;=10000,"High Value",IF(M327&gt;=5000,"Medium Value","Low Value"))</f>
        <v>Low Value</v>
      </c>
      <c r="W327" s="1" t="str">
        <f aca="false">IF(O327&gt;0,"Profitable",IF(O327=0,"Break-even","Loss"))</f>
        <v>Profitable</v>
      </c>
      <c r="X327" s="1" t="str">
        <f aca="false">IF(Q327="Cancelled","Not Applicable",IF(Q327="Processing","Pending",IF(B327="","Unknown",IF(Orders!J327="","Unknown",IF(Orders!J327&lt;=3,"Fast",IF(Orders!J327&lt;=6,"Standard","Slow"))))))</f>
        <v>Standard</v>
      </c>
      <c r="Y327" s="1" t="n">
        <f aca="false">IF(OR(Q327="Cancelled",Q327="Returned"),0,O327)</f>
        <v>657.15</v>
      </c>
    </row>
    <row r="328" customFormat="false" ht="15" hidden="false" customHeight="false" outlineLevel="0" collapsed="false">
      <c r="A328" s="6" t="str">
        <f aca="false">Orders!A328</f>
        <v>O000327</v>
      </c>
      <c r="B328" s="19" t="n">
        <f aca="false">Orders!B328</f>
        <v>45810</v>
      </c>
      <c r="C328" s="6" t="str">
        <f aca="false">Orders!C328</f>
        <v>C0074</v>
      </c>
      <c r="D328" s="6" t="str">
        <f aca="false">Orders!D328</f>
        <v>P1076</v>
      </c>
      <c r="E328" s="6" t="str">
        <f aca="false">INDEX(Products!$B$2:$B$101,MATCH(D328,Products!$A$2:$A$101,0))</f>
        <v>Desk Organizer</v>
      </c>
      <c r="F328" s="1" t="str">
        <f aca="false">INDEX(Products!$C$2:$C$101,MATCH(D328,Products!$A$2:$A$101,0))</f>
        <v>Books &amp; Stationery</v>
      </c>
      <c r="G328" s="6" t="n">
        <f aca="false">Orders!E328</f>
        <v>1</v>
      </c>
      <c r="H328" s="16" t="n">
        <f aca="false">INDEX(Products!$D$2:$D$101,MATCH(D328,Products!$A$2:$A$101,0))</f>
        <v>399</v>
      </c>
      <c r="I328" s="16" t="n">
        <f aca="false">INDEX(Products!$E$2:$E$101,MATCH(D328,Products!$A$2:$A$101,0))</f>
        <v>170</v>
      </c>
      <c r="J328" s="20" t="n">
        <f aca="false">Orders!F328</f>
        <v>0</v>
      </c>
      <c r="K328" s="6" t="n">
        <f aca="false">G328*H328</f>
        <v>399</v>
      </c>
      <c r="L328" s="6" t="n">
        <f aca="false">K328*J328</f>
        <v>0</v>
      </c>
      <c r="M328" s="6" t="n">
        <f aca="false">K328-L328</f>
        <v>399</v>
      </c>
      <c r="N328" s="6" t="n">
        <f aca="false">G328*I328</f>
        <v>170</v>
      </c>
      <c r="O328" s="6" t="n">
        <f aca="false">M328-N328</f>
        <v>229</v>
      </c>
      <c r="P328" s="21" t="n">
        <f aca="false">IFERROR(O328/M328,0)</f>
        <v>0.573934837092732</v>
      </c>
      <c r="Q328" s="6" t="str">
        <f aca="false">Orders!H328</f>
        <v>Delivered</v>
      </c>
      <c r="R328" s="1" t="str">
        <f aca="false">INDEX(Customers!$C$2:$C$301,MATCH(C328,Customers!$A$2:$A$301,0))</f>
        <v>Indore</v>
      </c>
      <c r="S328" s="1" t="str">
        <f aca="false">INDEX(Customers!$E$2:$E$301,MATCH(C328,Customers!$A$2:$A$301,0))</f>
        <v>New</v>
      </c>
      <c r="T328" s="6" t="str">
        <f aca="false">Orders!I328</f>
        <v>Marketplace</v>
      </c>
      <c r="U328" s="1" t="str">
        <f aca="false">IF(Q328="Delivered","Completed",IF(Q328="Cancelled","Cancelled",IF(Q328="Returned","Returned","In Progress")))</f>
        <v>Completed</v>
      </c>
      <c r="V328" s="1" t="str">
        <f aca="false">IF(M328&gt;=10000,"High Value",IF(M328&gt;=5000,"Medium Value","Low Value"))</f>
        <v>Low Value</v>
      </c>
      <c r="W328" s="1" t="str">
        <f aca="false">IF(O328&gt;0,"Profitable",IF(O328=0,"Break-even","Loss"))</f>
        <v>Profitable</v>
      </c>
      <c r="X328" s="1" t="str">
        <f aca="false">IF(Q328="Cancelled","Not Applicable",IF(Q328="Processing","Pending",IF(B328="","Unknown",IF(Orders!J328="","Unknown",IF(Orders!J328&lt;=3,"Fast",IF(Orders!J328&lt;=6,"Standard","Slow"))))))</f>
        <v>Standard</v>
      </c>
      <c r="Y328" s="1" t="n">
        <f aca="false">IF(OR(Q328="Cancelled",Q328="Returned"),0,O328)</f>
        <v>229</v>
      </c>
    </row>
    <row r="329" customFormat="false" ht="15" hidden="false" customHeight="false" outlineLevel="0" collapsed="false">
      <c r="A329" s="6" t="str">
        <f aca="false">Orders!A329</f>
        <v>O000328</v>
      </c>
      <c r="B329" s="19" t="n">
        <f aca="false">Orders!B329</f>
        <v>45873</v>
      </c>
      <c r="C329" s="6" t="str">
        <f aca="false">Orders!C329</f>
        <v>C0142</v>
      </c>
      <c r="D329" s="6" t="str">
        <f aca="false">Orders!D329</f>
        <v>P1049</v>
      </c>
      <c r="E329" s="6" t="str">
        <f aca="false">INDEX(Products!$B$2:$B$101,MATCH(D329,Products!$A$2:$A$101,0))</f>
        <v>Face Cleanser</v>
      </c>
      <c r="F329" s="1" t="str">
        <f aca="false">INDEX(Products!$C$2:$C$101,MATCH(D329,Products!$A$2:$A$101,0))</f>
        <v>Beauty</v>
      </c>
      <c r="G329" s="6" t="n">
        <f aca="false">Orders!E329</f>
        <v>1</v>
      </c>
      <c r="H329" s="16" t="n">
        <f aca="false">INDEX(Products!$D$2:$D$101,MATCH(D329,Products!$A$2:$A$101,0))</f>
        <v>299</v>
      </c>
      <c r="I329" s="16" t="n">
        <f aca="false">INDEX(Products!$E$2:$E$101,MATCH(D329,Products!$A$2:$A$101,0))</f>
        <v>120</v>
      </c>
      <c r="J329" s="20" t="n">
        <f aca="false">Orders!F329</f>
        <v>0.1</v>
      </c>
      <c r="K329" s="6" t="n">
        <f aca="false">G329*H329</f>
        <v>299</v>
      </c>
      <c r="L329" s="6" t="n">
        <f aca="false">K329*J329</f>
        <v>29.9</v>
      </c>
      <c r="M329" s="6" t="n">
        <f aca="false">K329-L329</f>
        <v>269.1</v>
      </c>
      <c r="N329" s="6" t="n">
        <f aca="false">G329*I329</f>
        <v>120</v>
      </c>
      <c r="O329" s="6" t="n">
        <f aca="false">M329-N329</f>
        <v>149.1</v>
      </c>
      <c r="P329" s="21" t="n">
        <f aca="false">IFERROR(O329/M329,0)</f>
        <v>0.554069119286511</v>
      </c>
      <c r="Q329" s="6" t="str">
        <f aca="false">Orders!H329</f>
        <v>Delivered</v>
      </c>
      <c r="R329" s="1" t="str">
        <f aca="false">INDEX(Customers!$C$2:$C$301,MATCH(C329,Customers!$A$2:$A$301,0))</f>
        <v>Mumbai</v>
      </c>
      <c r="S329" s="1" t="str">
        <f aca="false">INDEX(Customers!$E$2:$E$301,MATCH(C329,Customers!$A$2:$A$301,0))</f>
        <v>VIP</v>
      </c>
      <c r="T329" s="6" t="str">
        <f aca="false">Orders!I329</f>
        <v>Website</v>
      </c>
      <c r="U329" s="1" t="str">
        <f aca="false">IF(Q329="Delivered","Completed",IF(Q329="Cancelled","Cancelled",IF(Q329="Returned","Returned","In Progress")))</f>
        <v>Completed</v>
      </c>
      <c r="V329" s="1" t="str">
        <f aca="false">IF(M329&gt;=10000,"High Value",IF(M329&gt;=5000,"Medium Value","Low Value"))</f>
        <v>Low Value</v>
      </c>
      <c r="W329" s="1" t="str">
        <f aca="false">IF(O329&gt;0,"Profitable",IF(O329=0,"Break-even","Loss"))</f>
        <v>Profitable</v>
      </c>
      <c r="X329" s="1" t="str">
        <f aca="false">IF(Q329="Cancelled","Not Applicable",IF(Q329="Processing","Pending",IF(B329="","Unknown",IF(Orders!J329="","Unknown",IF(Orders!J329&lt;=3,"Fast",IF(Orders!J329&lt;=6,"Standard","Slow"))))))</f>
        <v>Standard</v>
      </c>
      <c r="Y329" s="1" t="n">
        <f aca="false">IF(OR(Q329="Cancelled",Q329="Returned"),0,O329)</f>
        <v>149.1</v>
      </c>
    </row>
    <row r="330" customFormat="false" ht="15" hidden="false" customHeight="false" outlineLevel="0" collapsed="false">
      <c r="A330" s="6" t="str">
        <f aca="false">Orders!A330</f>
        <v>O000329</v>
      </c>
      <c r="B330" s="19" t="n">
        <f aca="false">Orders!B330</f>
        <v>45790</v>
      </c>
      <c r="C330" s="6" t="str">
        <f aca="false">Orders!C330</f>
        <v>C0224</v>
      </c>
      <c r="D330" s="6" t="str">
        <f aca="false">Orders!D330</f>
        <v>P1056</v>
      </c>
      <c r="E330" s="6" t="str">
        <f aca="false">INDEX(Products!$B$2:$B$101,MATCH(D330,Products!$A$2:$A$101,0))</f>
        <v>Hair Dryer</v>
      </c>
      <c r="F330" s="1" t="str">
        <f aca="false">INDEX(Products!$C$2:$C$101,MATCH(D330,Products!$A$2:$A$101,0))</f>
        <v>Beauty</v>
      </c>
      <c r="G330" s="6" t="n">
        <f aca="false">Orders!E330</f>
        <v>2</v>
      </c>
      <c r="H330" s="16" t="n">
        <f aca="false">INDEX(Products!$D$2:$D$101,MATCH(D330,Products!$A$2:$A$101,0))</f>
        <v>1299</v>
      </c>
      <c r="I330" s="16" t="n">
        <f aca="false">INDEX(Products!$E$2:$E$101,MATCH(D330,Products!$A$2:$A$101,0))</f>
        <v>750</v>
      </c>
      <c r="J330" s="20" t="n">
        <f aca="false">Orders!F330</f>
        <v>0.1</v>
      </c>
      <c r="K330" s="6" t="n">
        <f aca="false">G330*H330</f>
        <v>2598</v>
      </c>
      <c r="L330" s="6" t="n">
        <f aca="false">K330*J330</f>
        <v>259.8</v>
      </c>
      <c r="M330" s="6" t="n">
        <f aca="false">K330-L330</f>
        <v>2338.2</v>
      </c>
      <c r="N330" s="6" t="n">
        <f aca="false">G330*I330</f>
        <v>1500</v>
      </c>
      <c r="O330" s="6" t="n">
        <f aca="false">M330-N330</f>
        <v>838.2</v>
      </c>
      <c r="P330" s="21" t="n">
        <f aca="false">IFERROR(O330/M330,0)</f>
        <v>0.358480882730305</v>
      </c>
      <c r="Q330" s="6" t="str">
        <f aca="false">Orders!H330</f>
        <v>Delivered</v>
      </c>
      <c r="R330" s="1" t="str">
        <f aca="false">INDEX(Customers!$C$2:$C$301,MATCH(C330,Customers!$A$2:$A$301,0))</f>
        <v>Hyderabad</v>
      </c>
      <c r="S330" s="1" t="str">
        <f aca="false">INDEX(Customers!$E$2:$E$301,MATCH(C330,Customers!$A$2:$A$301,0))</f>
        <v>Returning</v>
      </c>
      <c r="T330" s="6" t="str">
        <f aca="false">Orders!I330</f>
        <v>Website</v>
      </c>
      <c r="U330" s="1" t="str">
        <f aca="false">IF(Q330="Delivered","Completed",IF(Q330="Cancelled","Cancelled",IF(Q330="Returned","Returned","In Progress")))</f>
        <v>Completed</v>
      </c>
      <c r="V330" s="1" t="str">
        <f aca="false">IF(M330&gt;=10000,"High Value",IF(M330&gt;=5000,"Medium Value","Low Value"))</f>
        <v>Low Value</v>
      </c>
      <c r="W330" s="1" t="str">
        <f aca="false">IF(O330&gt;0,"Profitable",IF(O330=0,"Break-even","Loss"))</f>
        <v>Profitable</v>
      </c>
      <c r="X330" s="1" t="str">
        <f aca="false">IF(Q330="Cancelled","Not Applicable",IF(Q330="Processing","Pending",IF(B330="","Unknown",IF(Orders!J330="","Unknown",IF(Orders!J330&lt;=3,"Fast",IF(Orders!J330&lt;=6,"Standard","Slow"))))))</f>
        <v>Fast</v>
      </c>
      <c r="Y330" s="1" t="n">
        <f aca="false">IF(OR(Q330="Cancelled",Q330="Returned"),0,O330)</f>
        <v>838.2</v>
      </c>
    </row>
    <row r="331" customFormat="false" ht="15" hidden="false" customHeight="false" outlineLevel="0" collapsed="false">
      <c r="A331" s="6" t="str">
        <f aca="false">Orders!A331</f>
        <v>O000330</v>
      </c>
      <c r="B331" s="19" t="n">
        <f aca="false">Orders!B331</f>
        <v>45896</v>
      </c>
      <c r="C331" s="6" t="str">
        <f aca="false">Orders!C331</f>
        <v>C0090</v>
      </c>
      <c r="D331" s="6" t="str">
        <f aca="false">Orders!D331</f>
        <v>P1030</v>
      </c>
      <c r="E331" s="6" t="str">
        <f aca="false">INDEX(Products!$B$2:$B$101,MATCH(D331,Products!$A$2:$A$101,0))</f>
        <v>Formal Shoes</v>
      </c>
      <c r="F331" s="1" t="str">
        <f aca="false">INDEX(Products!$C$2:$C$101,MATCH(D331,Products!$A$2:$A$101,0))</f>
        <v>Fashion</v>
      </c>
      <c r="G331" s="6" t="n">
        <f aca="false">Orders!E331</f>
        <v>3</v>
      </c>
      <c r="H331" s="16" t="n">
        <f aca="false">INDEX(Products!$D$2:$D$101,MATCH(D331,Products!$A$2:$A$101,0))</f>
        <v>2299</v>
      </c>
      <c r="I331" s="16" t="n">
        <f aca="false">INDEX(Products!$E$2:$E$101,MATCH(D331,Products!$A$2:$A$101,0))</f>
        <v>1300</v>
      </c>
      <c r="J331" s="20" t="n">
        <f aca="false">Orders!F331</f>
        <v>0.05</v>
      </c>
      <c r="K331" s="6" t="n">
        <f aca="false">G331*H331</f>
        <v>6897</v>
      </c>
      <c r="L331" s="6" t="n">
        <f aca="false">K331*J331</f>
        <v>344.85</v>
      </c>
      <c r="M331" s="6" t="n">
        <f aca="false">K331-L331</f>
        <v>6552.15</v>
      </c>
      <c r="N331" s="6" t="n">
        <f aca="false">G331*I331</f>
        <v>3900</v>
      </c>
      <c r="O331" s="6" t="n">
        <f aca="false">M331-N331</f>
        <v>2652.15</v>
      </c>
      <c r="P331" s="21" t="n">
        <f aca="false">IFERROR(O331/M331,0)</f>
        <v>0.404775531695703</v>
      </c>
      <c r="Q331" s="6" t="str">
        <f aca="false">Orders!H331</f>
        <v>Delivered</v>
      </c>
      <c r="R331" s="1" t="str">
        <f aca="false">INDEX(Customers!$C$2:$C$301,MATCH(C331,Customers!$A$2:$A$301,0))</f>
        <v>Lucknow</v>
      </c>
      <c r="S331" s="1" t="str">
        <f aca="false">INDEX(Customers!$E$2:$E$301,MATCH(C331,Customers!$A$2:$A$301,0))</f>
        <v>New</v>
      </c>
      <c r="T331" s="6" t="str">
        <f aca="false">Orders!I331</f>
        <v>Mobile App</v>
      </c>
      <c r="U331" s="1" t="str">
        <f aca="false">IF(Q331="Delivered","Completed",IF(Q331="Cancelled","Cancelled",IF(Q331="Returned","Returned","In Progress")))</f>
        <v>Completed</v>
      </c>
      <c r="V331" s="1" t="str">
        <f aca="false">IF(M331&gt;=10000,"High Value",IF(M331&gt;=5000,"Medium Value","Low Value"))</f>
        <v>Medium Value</v>
      </c>
      <c r="W331" s="1" t="str">
        <f aca="false">IF(O331&gt;0,"Profitable",IF(O331=0,"Break-even","Loss"))</f>
        <v>Profitable</v>
      </c>
      <c r="X331" s="1" t="str">
        <f aca="false">IF(Q331="Cancelled","Not Applicable",IF(Q331="Processing","Pending",IF(B331="","Unknown",IF(Orders!J331="","Unknown",IF(Orders!J331&lt;=3,"Fast",IF(Orders!J331&lt;=6,"Standard","Slow"))))))</f>
        <v>Slow</v>
      </c>
      <c r="Y331" s="1" t="n">
        <f aca="false">IF(OR(Q331="Cancelled",Q331="Returned"),0,O331)</f>
        <v>2652.15</v>
      </c>
    </row>
    <row r="332" customFormat="false" ht="15" hidden="false" customHeight="false" outlineLevel="0" collapsed="false">
      <c r="A332" s="6" t="str">
        <f aca="false">Orders!A332</f>
        <v>O000331</v>
      </c>
      <c r="B332" s="19" t="n">
        <f aca="false">Orders!B332</f>
        <v>45864</v>
      </c>
      <c r="C332" s="6" t="str">
        <f aca="false">Orders!C332</f>
        <v>C0219</v>
      </c>
      <c r="D332" s="6" t="str">
        <f aca="false">Orders!D332</f>
        <v>P1054</v>
      </c>
      <c r="E332" s="6" t="str">
        <f aca="false">INDEX(Products!$B$2:$B$101,MATCH(D332,Products!$A$2:$A$101,0))</f>
        <v>Face Mask Pack</v>
      </c>
      <c r="F332" s="1" t="str">
        <f aca="false">INDEX(Products!$C$2:$C$101,MATCH(D332,Products!$A$2:$A$101,0))</f>
        <v>Beauty</v>
      </c>
      <c r="G332" s="6" t="n">
        <f aca="false">Orders!E332</f>
        <v>3</v>
      </c>
      <c r="H332" s="16" t="n">
        <f aca="false">INDEX(Products!$D$2:$D$101,MATCH(D332,Products!$A$2:$A$101,0))</f>
        <v>299</v>
      </c>
      <c r="I332" s="16" t="n">
        <f aca="false">INDEX(Products!$E$2:$E$101,MATCH(D332,Products!$A$2:$A$101,0))</f>
        <v>110</v>
      </c>
      <c r="J332" s="20" t="n">
        <f aca="false">Orders!F332</f>
        <v>0</v>
      </c>
      <c r="K332" s="6" t="n">
        <f aca="false">G332*H332</f>
        <v>897</v>
      </c>
      <c r="L332" s="6" t="n">
        <f aca="false">K332*J332</f>
        <v>0</v>
      </c>
      <c r="M332" s="6" t="n">
        <f aca="false">K332-L332</f>
        <v>897</v>
      </c>
      <c r="N332" s="6" t="n">
        <f aca="false">G332*I332</f>
        <v>330</v>
      </c>
      <c r="O332" s="6" t="n">
        <f aca="false">M332-N332</f>
        <v>567</v>
      </c>
      <c r="P332" s="21" t="n">
        <f aca="false">IFERROR(O332/M332,0)</f>
        <v>0.632107023411371</v>
      </c>
      <c r="Q332" s="6" t="str">
        <f aca="false">Orders!H332</f>
        <v>Shipped</v>
      </c>
      <c r="R332" s="1" t="str">
        <f aca="false">INDEX(Customers!$C$2:$C$301,MATCH(C332,Customers!$A$2:$A$301,0))</f>
        <v>Coimbatore</v>
      </c>
      <c r="S332" s="1" t="str">
        <f aca="false">INDEX(Customers!$E$2:$E$301,MATCH(C332,Customers!$A$2:$A$301,0))</f>
        <v>New</v>
      </c>
      <c r="T332" s="6" t="str">
        <f aca="false">Orders!I332</f>
        <v>Marketplace</v>
      </c>
      <c r="U332" s="1" t="str">
        <f aca="false">IF(Q332="Delivered","Completed",IF(Q332="Cancelled","Cancelled",IF(Q332="Returned","Returned","In Progress")))</f>
        <v>In Progress</v>
      </c>
      <c r="V332" s="1" t="str">
        <f aca="false">IF(M332&gt;=10000,"High Value",IF(M332&gt;=5000,"Medium Value","Low Value"))</f>
        <v>Low Value</v>
      </c>
      <c r="W332" s="1" t="str">
        <f aca="false">IF(O332&gt;0,"Profitable",IF(O332=0,"Break-even","Loss"))</f>
        <v>Profitable</v>
      </c>
      <c r="X332" s="1" t="str">
        <f aca="false">IF(Q332="Cancelled","Not Applicable",IF(Q332="Processing","Pending",IF(B332="","Unknown",IF(Orders!J332="","Unknown",IF(Orders!J332&lt;=3,"Fast",IF(Orders!J332&lt;=6,"Standard","Slow"))))))</f>
        <v>Fast</v>
      </c>
      <c r="Y332" s="1" t="n">
        <f aca="false">IF(OR(Q332="Cancelled",Q332="Returned"),0,O332)</f>
        <v>567</v>
      </c>
    </row>
    <row r="333" customFormat="false" ht="15" hidden="false" customHeight="false" outlineLevel="0" collapsed="false">
      <c r="A333" s="6" t="str">
        <f aca="false">Orders!A333</f>
        <v>O000332</v>
      </c>
      <c r="B333" s="19" t="n">
        <f aca="false">Orders!B333</f>
        <v>45697</v>
      </c>
      <c r="C333" s="6" t="str">
        <f aca="false">Orders!C333</f>
        <v>C0290</v>
      </c>
      <c r="D333" s="6" t="str">
        <f aca="false">Orders!D333</f>
        <v>P1010</v>
      </c>
      <c r="E333" s="6" t="str">
        <f aca="false">INDEX(Products!$B$2:$B$101,MATCH(D333,Products!$A$2:$A$101,0))</f>
        <v>Webcam</v>
      </c>
      <c r="F333" s="1" t="str">
        <f aca="false">INDEX(Products!$C$2:$C$101,MATCH(D333,Products!$A$2:$A$101,0))</f>
        <v>Electronics</v>
      </c>
      <c r="G333" s="6" t="n">
        <f aca="false">Orders!E333</f>
        <v>3</v>
      </c>
      <c r="H333" s="16" t="n">
        <f aca="false">INDEX(Products!$D$2:$D$101,MATCH(D333,Products!$A$2:$A$101,0))</f>
        <v>1799</v>
      </c>
      <c r="I333" s="16" t="n">
        <f aca="false">INDEX(Products!$E$2:$E$101,MATCH(D333,Products!$A$2:$A$101,0))</f>
        <v>1050</v>
      </c>
      <c r="J333" s="20" t="n">
        <f aca="false">Orders!F333</f>
        <v>0</v>
      </c>
      <c r="K333" s="6" t="n">
        <f aca="false">G333*H333</f>
        <v>5397</v>
      </c>
      <c r="L333" s="6" t="n">
        <f aca="false">K333*J333</f>
        <v>0</v>
      </c>
      <c r="M333" s="6" t="n">
        <f aca="false">K333-L333</f>
        <v>5397</v>
      </c>
      <c r="N333" s="6" t="n">
        <f aca="false">G333*I333</f>
        <v>3150</v>
      </c>
      <c r="O333" s="6" t="n">
        <f aca="false">M333-N333</f>
        <v>2247</v>
      </c>
      <c r="P333" s="21" t="n">
        <f aca="false">IFERROR(O333/M333,0)</f>
        <v>0.416342412451362</v>
      </c>
      <c r="Q333" s="6" t="str">
        <f aca="false">Orders!H333</f>
        <v>Delivered</v>
      </c>
      <c r="R333" s="1" t="str">
        <f aca="false">INDEX(Customers!$C$2:$C$301,MATCH(C333,Customers!$A$2:$A$301,0))</f>
        <v>Lucknow</v>
      </c>
      <c r="S333" s="1" t="str">
        <f aca="false">INDEX(Customers!$E$2:$E$301,MATCH(C333,Customers!$A$2:$A$301,0))</f>
        <v>Returning</v>
      </c>
      <c r="T333" s="6" t="str">
        <f aca="false">Orders!I333</f>
        <v>Mobile App</v>
      </c>
      <c r="U333" s="1" t="str">
        <f aca="false">IF(Q333="Delivered","Completed",IF(Q333="Cancelled","Cancelled",IF(Q333="Returned","Returned","In Progress")))</f>
        <v>Completed</v>
      </c>
      <c r="V333" s="1" t="str">
        <f aca="false">IF(M333&gt;=10000,"High Value",IF(M333&gt;=5000,"Medium Value","Low Value"))</f>
        <v>Medium Value</v>
      </c>
      <c r="W333" s="1" t="str">
        <f aca="false">IF(O333&gt;0,"Profitable",IF(O333=0,"Break-even","Loss"))</f>
        <v>Profitable</v>
      </c>
      <c r="X333" s="1" t="str">
        <f aca="false">IF(Q333="Cancelled","Not Applicable",IF(Q333="Processing","Pending",IF(B333="","Unknown",IF(Orders!J333="","Unknown",IF(Orders!J333&lt;=3,"Fast",IF(Orders!J333&lt;=6,"Standard","Slow"))))))</f>
        <v>Standard</v>
      </c>
      <c r="Y333" s="1" t="n">
        <f aca="false">IF(OR(Q333="Cancelled",Q333="Returned"),0,O333)</f>
        <v>2247</v>
      </c>
    </row>
    <row r="334" customFormat="false" ht="15" hidden="false" customHeight="false" outlineLevel="0" collapsed="false">
      <c r="A334" s="6" t="str">
        <f aca="false">Orders!A334</f>
        <v>O000333</v>
      </c>
      <c r="B334" s="19" t="n">
        <f aca="false">Orders!B334</f>
        <v>45749</v>
      </c>
      <c r="C334" s="6" t="str">
        <f aca="false">Orders!C334</f>
        <v>C0097</v>
      </c>
      <c r="D334" s="6" t="str">
        <f aca="false">Orders!D334</f>
        <v>P1058</v>
      </c>
      <c r="E334" s="6" t="str">
        <f aca="false">INDEX(Products!$B$2:$B$101,MATCH(D334,Products!$A$2:$A$101,0))</f>
        <v>Nail Care Kit</v>
      </c>
      <c r="F334" s="1" t="str">
        <f aca="false">INDEX(Products!$C$2:$C$101,MATCH(D334,Products!$A$2:$A$101,0))</f>
        <v>Beauty</v>
      </c>
      <c r="G334" s="6" t="n">
        <f aca="false">Orders!E334</f>
        <v>2</v>
      </c>
      <c r="H334" s="16" t="n">
        <f aca="false">INDEX(Products!$D$2:$D$101,MATCH(D334,Products!$A$2:$A$101,0))</f>
        <v>399</v>
      </c>
      <c r="I334" s="16" t="n">
        <f aca="false">INDEX(Products!$E$2:$E$101,MATCH(D334,Products!$A$2:$A$101,0))</f>
        <v>170</v>
      </c>
      <c r="J334" s="20" t="n">
        <f aca="false">Orders!F334</f>
        <v>0</v>
      </c>
      <c r="K334" s="6" t="n">
        <f aca="false">G334*H334</f>
        <v>798</v>
      </c>
      <c r="L334" s="6" t="n">
        <f aca="false">K334*J334</f>
        <v>0</v>
      </c>
      <c r="M334" s="6" t="n">
        <f aca="false">K334-L334</f>
        <v>798</v>
      </c>
      <c r="N334" s="6" t="n">
        <f aca="false">G334*I334</f>
        <v>340</v>
      </c>
      <c r="O334" s="6" t="n">
        <f aca="false">M334-N334</f>
        <v>458</v>
      </c>
      <c r="P334" s="21" t="n">
        <f aca="false">IFERROR(O334/M334,0)</f>
        <v>0.573934837092732</v>
      </c>
      <c r="Q334" s="6" t="str">
        <f aca="false">Orders!H334</f>
        <v>Delivered</v>
      </c>
      <c r="R334" s="1" t="str">
        <f aca="false">INDEX(Customers!$C$2:$C$301,MATCH(C334,Customers!$A$2:$A$301,0))</f>
        <v>Surat</v>
      </c>
      <c r="S334" s="1" t="str">
        <f aca="false">INDEX(Customers!$E$2:$E$301,MATCH(C334,Customers!$A$2:$A$301,0))</f>
        <v>Returning</v>
      </c>
      <c r="T334" s="6" t="str">
        <f aca="false">Orders!I334</f>
        <v>Mobile App</v>
      </c>
      <c r="U334" s="1" t="str">
        <f aca="false">IF(Q334="Delivered","Completed",IF(Q334="Cancelled","Cancelled",IF(Q334="Returned","Returned","In Progress")))</f>
        <v>Completed</v>
      </c>
      <c r="V334" s="1" t="str">
        <f aca="false">IF(M334&gt;=10000,"High Value",IF(M334&gt;=5000,"Medium Value","Low Value"))</f>
        <v>Low Value</v>
      </c>
      <c r="W334" s="1" t="str">
        <f aca="false">IF(O334&gt;0,"Profitable",IF(O334=0,"Break-even","Loss"))</f>
        <v>Profitable</v>
      </c>
      <c r="X334" s="1" t="str">
        <f aca="false">IF(Q334="Cancelled","Not Applicable",IF(Q334="Processing","Pending",IF(B334="","Unknown",IF(Orders!J334="","Unknown",IF(Orders!J334&lt;=3,"Fast",IF(Orders!J334&lt;=6,"Standard","Slow"))))))</f>
        <v>Standard</v>
      </c>
      <c r="Y334" s="1" t="n">
        <f aca="false">IF(OR(Q334="Cancelled",Q334="Returned"),0,O334)</f>
        <v>458</v>
      </c>
    </row>
    <row r="335" customFormat="false" ht="23.85" hidden="false" customHeight="false" outlineLevel="0" collapsed="false">
      <c r="A335" s="6" t="str">
        <f aca="false">Orders!A335</f>
        <v>O000334</v>
      </c>
      <c r="B335" s="19" t="n">
        <f aca="false">Orders!B335</f>
        <v>45901</v>
      </c>
      <c r="C335" s="6" t="str">
        <f aca="false">Orders!C335</f>
        <v>C0184</v>
      </c>
      <c r="D335" s="6" t="str">
        <f aca="false">Orders!D335</f>
        <v>P1072</v>
      </c>
      <c r="E335" s="6" t="str">
        <f aca="false">INDEX(Products!$B$2:$B$101,MATCH(D335,Products!$A$2:$A$101,0))</f>
        <v>Tennis Balls Pack</v>
      </c>
      <c r="F335" s="1" t="str">
        <f aca="false">INDEX(Products!$C$2:$C$101,MATCH(D335,Products!$A$2:$A$101,0))</f>
        <v>Sports &amp; Outdoors</v>
      </c>
      <c r="G335" s="6" t="n">
        <f aca="false">Orders!E335</f>
        <v>1</v>
      </c>
      <c r="H335" s="16" t="n">
        <f aca="false">INDEX(Products!$D$2:$D$101,MATCH(D335,Products!$A$2:$A$101,0))</f>
        <v>399</v>
      </c>
      <c r="I335" s="16" t="n">
        <f aca="false">INDEX(Products!$E$2:$E$101,MATCH(D335,Products!$A$2:$A$101,0))</f>
        <v>160</v>
      </c>
      <c r="J335" s="20" t="n">
        <f aca="false">Orders!F335</f>
        <v>0.05</v>
      </c>
      <c r="K335" s="6" t="n">
        <f aca="false">G335*H335</f>
        <v>399</v>
      </c>
      <c r="L335" s="6" t="n">
        <f aca="false">K335*J335</f>
        <v>19.95</v>
      </c>
      <c r="M335" s="6" t="n">
        <f aca="false">K335-L335</f>
        <v>379.05</v>
      </c>
      <c r="N335" s="6" t="n">
        <f aca="false">G335*I335</f>
        <v>160</v>
      </c>
      <c r="O335" s="6" t="n">
        <f aca="false">M335-N335</f>
        <v>219.05</v>
      </c>
      <c r="P335" s="21" t="n">
        <f aca="false">IFERROR(O335/M335,0)</f>
        <v>0.577892098667722</v>
      </c>
      <c r="Q335" s="6" t="str">
        <f aca="false">Orders!H335</f>
        <v>Shipped</v>
      </c>
      <c r="R335" s="1" t="str">
        <f aca="false">INDEX(Customers!$C$2:$C$301,MATCH(C335,Customers!$A$2:$A$301,0))</f>
        <v>Hyderabad</v>
      </c>
      <c r="S335" s="1" t="str">
        <f aca="false">INDEX(Customers!$E$2:$E$301,MATCH(C335,Customers!$A$2:$A$301,0))</f>
        <v>Returning</v>
      </c>
      <c r="T335" s="6" t="str">
        <f aca="false">Orders!I335</f>
        <v>Website</v>
      </c>
      <c r="U335" s="1" t="str">
        <f aca="false">IF(Q335="Delivered","Completed",IF(Q335="Cancelled","Cancelled",IF(Q335="Returned","Returned","In Progress")))</f>
        <v>In Progress</v>
      </c>
      <c r="V335" s="1" t="str">
        <f aca="false">IF(M335&gt;=10000,"High Value",IF(M335&gt;=5000,"Medium Value","Low Value"))</f>
        <v>Low Value</v>
      </c>
      <c r="W335" s="1" t="str">
        <f aca="false">IF(O335&gt;0,"Profitable",IF(O335=0,"Break-even","Loss"))</f>
        <v>Profitable</v>
      </c>
      <c r="X335" s="1" t="str">
        <f aca="false">IF(Q335="Cancelled","Not Applicable",IF(Q335="Processing","Pending",IF(B335="","Unknown",IF(Orders!J335="","Unknown",IF(Orders!J335&lt;=3,"Fast",IF(Orders!J335&lt;=6,"Standard","Slow"))))))</f>
        <v>Standard</v>
      </c>
      <c r="Y335" s="1" t="n">
        <f aca="false">IF(OR(Q335="Cancelled",Q335="Returned"),0,O335)</f>
        <v>219.05</v>
      </c>
    </row>
    <row r="336" customFormat="false" ht="15" hidden="false" customHeight="false" outlineLevel="0" collapsed="false">
      <c r="A336" s="6" t="str">
        <f aca="false">Orders!A336</f>
        <v>O000335</v>
      </c>
      <c r="B336" s="19" t="n">
        <f aca="false">Orders!B336</f>
        <v>46001</v>
      </c>
      <c r="C336" s="6" t="str">
        <f aca="false">Orders!C336</f>
        <v>C0059</v>
      </c>
      <c r="D336" s="6" t="str">
        <f aca="false">Orders!D336</f>
        <v>P1010</v>
      </c>
      <c r="E336" s="6" t="str">
        <f aca="false">INDEX(Products!$B$2:$B$101,MATCH(D336,Products!$A$2:$A$101,0))</f>
        <v>Webcam</v>
      </c>
      <c r="F336" s="1" t="str">
        <f aca="false">INDEX(Products!$C$2:$C$101,MATCH(D336,Products!$A$2:$A$101,0))</f>
        <v>Electronics</v>
      </c>
      <c r="G336" s="6" t="n">
        <f aca="false">Orders!E336</f>
        <v>1</v>
      </c>
      <c r="H336" s="16" t="n">
        <f aca="false">INDEX(Products!$D$2:$D$101,MATCH(D336,Products!$A$2:$A$101,0))</f>
        <v>1799</v>
      </c>
      <c r="I336" s="16" t="n">
        <f aca="false">INDEX(Products!$E$2:$E$101,MATCH(D336,Products!$A$2:$A$101,0))</f>
        <v>1050</v>
      </c>
      <c r="J336" s="20" t="n">
        <f aca="false">Orders!F336</f>
        <v>0.25</v>
      </c>
      <c r="K336" s="6" t="n">
        <f aca="false">G336*H336</f>
        <v>1799</v>
      </c>
      <c r="L336" s="6" t="n">
        <f aca="false">K336*J336</f>
        <v>449.75</v>
      </c>
      <c r="M336" s="6" t="n">
        <f aca="false">K336-L336</f>
        <v>1349.25</v>
      </c>
      <c r="N336" s="6" t="n">
        <f aca="false">G336*I336</f>
        <v>1050</v>
      </c>
      <c r="O336" s="6" t="n">
        <f aca="false">M336-N336</f>
        <v>299.25</v>
      </c>
      <c r="P336" s="21" t="n">
        <f aca="false">IFERROR(O336/M336,0)</f>
        <v>0.221789883268482</v>
      </c>
      <c r="Q336" s="6" t="str">
        <f aca="false">Orders!H336</f>
        <v>Delivered</v>
      </c>
      <c r="R336" s="1" t="str">
        <f aca="false">INDEX(Customers!$C$2:$C$301,MATCH(C336,Customers!$A$2:$A$301,0))</f>
        <v>Coimbatore</v>
      </c>
      <c r="S336" s="1" t="str">
        <f aca="false">INDEX(Customers!$E$2:$E$301,MATCH(C336,Customers!$A$2:$A$301,0))</f>
        <v>Returning</v>
      </c>
      <c r="T336" s="6" t="str">
        <f aca="false">Orders!I336</f>
        <v>Mobile App</v>
      </c>
      <c r="U336" s="1" t="str">
        <f aca="false">IF(Q336="Delivered","Completed",IF(Q336="Cancelled","Cancelled",IF(Q336="Returned","Returned","In Progress")))</f>
        <v>Completed</v>
      </c>
      <c r="V336" s="1" t="str">
        <f aca="false">IF(M336&gt;=10000,"High Value",IF(M336&gt;=5000,"Medium Value","Low Value"))</f>
        <v>Low Value</v>
      </c>
      <c r="W336" s="1" t="str">
        <f aca="false">IF(O336&gt;0,"Profitable",IF(O336=0,"Break-even","Loss"))</f>
        <v>Profitable</v>
      </c>
      <c r="X336" s="1" t="str">
        <f aca="false">IF(Q336="Cancelled","Not Applicable",IF(Q336="Processing","Pending",IF(B336="","Unknown",IF(Orders!J336="","Unknown",IF(Orders!J336&lt;=3,"Fast",IF(Orders!J336&lt;=6,"Standard","Slow"))))))</f>
        <v>Fast</v>
      </c>
      <c r="Y336" s="1" t="n">
        <f aca="false">IF(OR(Q336="Cancelled",Q336="Returned"),0,O336)</f>
        <v>299.25</v>
      </c>
    </row>
    <row r="337" customFormat="false" ht="15" hidden="false" customHeight="false" outlineLevel="0" collapsed="false">
      <c r="A337" s="6" t="str">
        <f aca="false">Orders!A337</f>
        <v>O000336</v>
      </c>
      <c r="B337" s="19" t="n">
        <f aca="false">Orders!B337</f>
        <v>45785</v>
      </c>
      <c r="C337" s="6" t="str">
        <f aca="false">Orders!C337</f>
        <v>C0290</v>
      </c>
      <c r="D337" s="6" t="str">
        <f aca="false">Orders!D337</f>
        <v>P1080</v>
      </c>
      <c r="E337" s="6" t="str">
        <f aca="false">INDEX(Products!$B$2:$B$101,MATCH(D337,Products!$A$2:$A$101,0))</f>
        <v>Calculator</v>
      </c>
      <c r="F337" s="1" t="str">
        <f aca="false">INDEX(Products!$C$2:$C$101,MATCH(D337,Products!$A$2:$A$101,0))</f>
        <v>Books &amp; Stationery</v>
      </c>
      <c r="G337" s="6" t="n">
        <f aca="false">Orders!E337</f>
        <v>1</v>
      </c>
      <c r="H337" s="16" t="n">
        <f aca="false">INDEX(Products!$D$2:$D$101,MATCH(D337,Products!$A$2:$A$101,0))</f>
        <v>599</v>
      </c>
      <c r="I337" s="16" t="n">
        <f aca="false">INDEX(Products!$E$2:$E$101,MATCH(D337,Products!$A$2:$A$101,0))</f>
        <v>300</v>
      </c>
      <c r="J337" s="20" t="n">
        <f aca="false">Orders!F337</f>
        <v>0.05</v>
      </c>
      <c r="K337" s="6" t="n">
        <f aca="false">G337*H337</f>
        <v>599</v>
      </c>
      <c r="L337" s="6" t="n">
        <f aca="false">K337*J337</f>
        <v>29.95</v>
      </c>
      <c r="M337" s="6" t="n">
        <f aca="false">K337-L337</f>
        <v>569.05</v>
      </c>
      <c r="N337" s="6" t="n">
        <f aca="false">G337*I337</f>
        <v>300</v>
      </c>
      <c r="O337" s="6" t="n">
        <f aca="false">M337-N337</f>
        <v>269.05</v>
      </c>
      <c r="P337" s="21" t="n">
        <f aca="false">IFERROR(O337/M337,0)</f>
        <v>0.47280555311484</v>
      </c>
      <c r="Q337" s="6" t="str">
        <f aca="false">Orders!H337</f>
        <v>Delivered</v>
      </c>
      <c r="R337" s="1" t="str">
        <f aca="false">INDEX(Customers!$C$2:$C$301,MATCH(C337,Customers!$A$2:$A$301,0))</f>
        <v>Lucknow</v>
      </c>
      <c r="S337" s="1" t="str">
        <f aca="false">INDEX(Customers!$E$2:$E$301,MATCH(C337,Customers!$A$2:$A$301,0))</f>
        <v>Returning</v>
      </c>
      <c r="T337" s="6" t="str">
        <f aca="false">Orders!I337</f>
        <v>Marketplace</v>
      </c>
      <c r="U337" s="1" t="str">
        <f aca="false">IF(Q337="Delivered","Completed",IF(Q337="Cancelled","Cancelled",IF(Q337="Returned","Returned","In Progress")))</f>
        <v>Completed</v>
      </c>
      <c r="V337" s="1" t="str">
        <f aca="false">IF(M337&gt;=10000,"High Value",IF(M337&gt;=5000,"Medium Value","Low Value"))</f>
        <v>Low Value</v>
      </c>
      <c r="W337" s="1" t="str">
        <f aca="false">IF(O337&gt;0,"Profitable",IF(O337=0,"Break-even","Loss"))</f>
        <v>Profitable</v>
      </c>
      <c r="X337" s="1" t="str">
        <f aca="false">IF(Q337="Cancelled","Not Applicable",IF(Q337="Processing","Pending",IF(B337="","Unknown",IF(Orders!J337="","Unknown",IF(Orders!J337&lt;=3,"Fast",IF(Orders!J337&lt;=6,"Standard","Slow"))))))</f>
        <v>Slow</v>
      </c>
      <c r="Y337" s="1" t="n">
        <f aca="false">IF(OR(Q337="Cancelled",Q337="Returned"),0,O337)</f>
        <v>269.05</v>
      </c>
    </row>
    <row r="338" customFormat="false" ht="15" hidden="false" customHeight="false" outlineLevel="0" collapsed="false">
      <c r="A338" s="6" t="str">
        <f aca="false">Orders!A338</f>
        <v>O000337</v>
      </c>
      <c r="B338" s="19" t="n">
        <f aca="false">Orders!B338</f>
        <v>45887</v>
      </c>
      <c r="C338" s="6" t="str">
        <f aca="false">Orders!C338</f>
        <v>C0244</v>
      </c>
      <c r="D338" s="6" t="str">
        <f aca="false">Orders!D338</f>
        <v>P1017</v>
      </c>
      <c r="E338" s="6" t="str">
        <f aca="false">INDEX(Products!$B$2:$B$101,MATCH(D338,Products!$A$2:$A$101,0))</f>
        <v>Denim Jeans</v>
      </c>
      <c r="F338" s="1" t="str">
        <f aca="false">INDEX(Products!$C$2:$C$101,MATCH(D338,Products!$A$2:$A$101,0))</f>
        <v>Fashion</v>
      </c>
      <c r="G338" s="6" t="n">
        <f aca="false">Orders!E338</f>
        <v>3</v>
      </c>
      <c r="H338" s="16" t="n">
        <f aca="false">INDEX(Products!$D$2:$D$101,MATCH(D338,Products!$A$2:$A$101,0))</f>
        <v>1299</v>
      </c>
      <c r="I338" s="16" t="n">
        <f aca="false">INDEX(Products!$E$2:$E$101,MATCH(D338,Products!$A$2:$A$101,0))</f>
        <v>650</v>
      </c>
      <c r="J338" s="20" t="n">
        <f aca="false">Orders!F338</f>
        <v>0.1</v>
      </c>
      <c r="K338" s="6" t="n">
        <f aca="false">G338*H338</f>
        <v>3897</v>
      </c>
      <c r="L338" s="6" t="n">
        <f aca="false">K338*J338</f>
        <v>389.7</v>
      </c>
      <c r="M338" s="6" t="n">
        <f aca="false">K338-L338</f>
        <v>3507.3</v>
      </c>
      <c r="N338" s="6" t="n">
        <f aca="false">G338*I338</f>
        <v>1950</v>
      </c>
      <c r="O338" s="6" t="n">
        <f aca="false">M338-N338</f>
        <v>1557.3</v>
      </c>
      <c r="P338" s="21" t="n">
        <f aca="false">IFERROR(O338/M338,0)</f>
        <v>0.444016765032931</v>
      </c>
      <c r="Q338" s="6" t="str">
        <f aca="false">Orders!H338</f>
        <v>Delivered</v>
      </c>
      <c r="R338" s="1" t="str">
        <f aca="false">INDEX(Customers!$C$2:$C$301,MATCH(C338,Customers!$A$2:$A$301,0))</f>
        <v>Hyderabad</v>
      </c>
      <c r="S338" s="1" t="str">
        <f aca="false">INDEX(Customers!$E$2:$E$301,MATCH(C338,Customers!$A$2:$A$301,0))</f>
        <v>New</v>
      </c>
      <c r="T338" s="6" t="str">
        <f aca="false">Orders!I338</f>
        <v>Mobile App</v>
      </c>
      <c r="U338" s="1" t="str">
        <f aca="false">IF(Q338="Delivered","Completed",IF(Q338="Cancelled","Cancelled",IF(Q338="Returned","Returned","In Progress")))</f>
        <v>Completed</v>
      </c>
      <c r="V338" s="1" t="str">
        <f aca="false">IF(M338&gt;=10000,"High Value",IF(M338&gt;=5000,"Medium Value","Low Value"))</f>
        <v>Low Value</v>
      </c>
      <c r="W338" s="1" t="str">
        <f aca="false">IF(O338&gt;0,"Profitable",IF(O338=0,"Break-even","Loss"))</f>
        <v>Profitable</v>
      </c>
      <c r="X338" s="1" t="str">
        <f aca="false">IF(Q338="Cancelled","Not Applicable",IF(Q338="Processing","Pending",IF(B338="","Unknown",IF(Orders!J338="","Unknown",IF(Orders!J338&lt;=3,"Fast",IF(Orders!J338&lt;=6,"Standard","Slow"))))))</f>
        <v>Fast</v>
      </c>
      <c r="Y338" s="1" t="n">
        <f aca="false">IF(OR(Q338="Cancelled",Q338="Returned"),0,O338)</f>
        <v>1557.3</v>
      </c>
    </row>
    <row r="339" customFormat="false" ht="15" hidden="false" customHeight="false" outlineLevel="0" collapsed="false">
      <c r="A339" s="6" t="str">
        <f aca="false">Orders!A339</f>
        <v>O000338</v>
      </c>
      <c r="B339" s="19" t="n">
        <f aca="false">Orders!B339</f>
        <v>45872</v>
      </c>
      <c r="C339" s="6" t="str">
        <f aca="false">Orders!C339</f>
        <v>C0074</v>
      </c>
      <c r="D339" s="6" t="str">
        <f aca="false">Orders!D339</f>
        <v>P1014</v>
      </c>
      <c r="E339" s="6" t="str">
        <f aca="false">INDEX(Products!$B$2:$B$101,MATCH(D339,Products!$A$2:$A$101,0))</f>
        <v>HDMI Cable</v>
      </c>
      <c r="F339" s="1" t="str">
        <f aca="false">INDEX(Products!$C$2:$C$101,MATCH(D339,Products!$A$2:$A$101,0))</f>
        <v>Electronics</v>
      </c>
      <c r="G339" s="6" t="n">
        <f aca="false">Orders!E339</f>
        <v>2</v>
      </c>
      <c r="H339" s="16" t="n">
        <f aca="false">INDEX(Products!$D$2:$D$101,MATCH(D339,Products!$A$2:$A$101,0))</f>
        <v>449</v>
      </c>
      <c r="I339" s="16" t="n">
        <f aca="false">INDEX(Products!$E$2:$E$101,MATCH(D339,Products!$A$2:$A$101,0))</f>
        <v>180</v>
      </c>
      <c r="J339" s="20" t="n">
        <f aca="false">Orders!F339</f>
        <v>0.15</v>
      </c>
      <c r="K339" s="6" t="n">
        <f aca="false">G339*H339</f>
        <v>898</v>
      </c>
      <c r="L339" s="6" t="n">
        <f aca="false">K339*J339</f>
        <v>134.7</v>
      </c>
      <c r="M339" s="6" t="n">
        <f aca="false">K339-L339</f>
        <v>763.3</v>
      </c>
      <c r="N339" s="6" t="n">
        <f aca="false">G339*I339</f>
        <v>360</v>
      </c>
      <c r="O339" s="6" t="n">
        <f aca="false">M339-N339</f>
        <v>403.3</v>
      </c>
      <c r="P339" s="21" t="n">
        <f aca="false">IFERROR(O339/M339,0)</f>
        <v>0.528363684003668</v>
      </c>
      <c r="Q339" s="6" t="str">
        <f aca="false">Orders!H339</f>
        <v>Delivered</v>
      </c>
      <c r="R339" s="1" t="str">
        <f aca="false">INDEX(Customers!$C$2:$C$301,MATCH(C339,Customers!$A$2:$A$301,0))</f>
        <v>Indore</v>
      </c>
      <c r="S339" s="1" t="str">
        <f aca="false">INDEX(Customers!$E$2:$E$301,MATCH(C339,Customers!$A$2:$A$301,0))</f>
        <v>New</v>
      </c>
      <c r="T339" s="6" t="str">
        <f aca="false">Orders!I339</f>
        <v>Website</v>
      </c>
      <c r="U339" s="1" t="str">
        <f aca="false">IF(Q339="Delivered","Completed",IF(Q339="Cancelled","Cancelled",IF(Q339="Returned","Returned","In Progress")))</f>
        <v>Completed</v>
      </c>
      <c r="V339" s="1" t="str">
        <f aca="false">IF(M339&gt;=10000,"High Value",IF(M339&gt;=5000,"Medium Value","Low Value"))</f>
        <v>Low Value</v>
      </c>
      <c r="W339" s="1" t="str">
        <f aca="false">IF(O339&gt;0,"Profitable",IF(O339=0,"Break-even","Loss"))</f>
        <v>Profitable</v>
      </c>
      <c r="X339" s="1" t="str">
        <f aca="false">IF(Q339="Cancelled","Not Applicable",IF(Q339="Processing","Pending",IF(B339="","Unknown",IF(Orders!J339="","Unknown",IF(Orders!J339&lt;=3,"Fast",IF(Orders!J339&lt;=6,"Standard","Slow"))))))</f>
        <v>Standard</v>
      </c>
      <c r="Y339" s="1" t="n">
        <f aca="false">IF(OR(Q339="Cancelled",Q339="Returned"),0,O339)</f>
        <v>403.3</v>
      </c>
    </row>
    <row r="340" customFormat="false" ht="15" hidden="false" customHeight="false" outlineLevel="0" collapsed="false">
      <c r="A340" s="6" t="str">
        <f aca="false">Orders!A340</f>
        <v>O000339</v>
      </c>
      <c r="B340" s="19" t="n">
        <f aca="false">Orders!B340</f>
        <v>45788</v>
      </c>
      <c r="C340" s="6" t="str">
        <f aca="false">Orders!C340</f>
        <v>C0281</v>
      </c>
      <c r="D340" s="6" t="str">
        <f aca="false">Orders!D340</f>
        <v>P1045</v>
      </c>
      <c r="E340" s="6" t="str">
        <f aca="false">INDEX(Products!$B$2:$B$101,MATCH(D340,Products!$A$2:$A$101,0))</f>
        <v>Lunch Box</v>
      </c>
      <c r="F340" s="1" t="str">
        <f aca="false">INDEX(Products!$C$2:$C$101,MATCH(D340,Products!$A$2:$A$101,0))</f>
        <v>Home &amp; Kitchen</v>
      </c>
      <c r="G340" s="6" t="n">
        <f aca="false">Orders!E340</f>
        <v>3</v>
      </c>
      <c r="H340" s="16" t="n">
        <f aca="false">INDEX(Products!$D$2:$D$101,MATCH(D340,Products!$A$2:$A$101,0))</f>
        <v>449</v>
      </c>
      <c r="I340" s="16" t="n">
        <f aca="false">INDEX(Products!$E$2:$E$101,MATCH(D340,Products!$A$2:$A$101,0))</f>
        <v>180</v>
      </c>
      <c r="J340" s="20" t="n">
        <f aca="false">Orders!F340</f>
        <v>0.05</v>
      </c>
      <c r="K340" s="6" t="n">
        <f aca="false">G340*H340</f>
        <v>1347</v>
      </c>
      <c r="L340" s="6" t="n">
        <f aca="false">K340*J340</f>
        <v>67.35</v>
      </c>
      <c r="M340" s="6" t="n">
        <f aca="false">K340-L340</f>
        <v>1279.65</v>
      </c>
      <c r="N340" s="6" t="n">
        <f aca="false">G340*I340</f>
        <v>540</v>
      </c>
      <c r="O340" s="6" t="n">
        <f aca="false">M340-N340</f>
        <v>739.65</v>
      </c>
      <c r="P340" s="21" t="n">
        <f aca="false">IFERROR(O340/M340,0)</f>
        <v>0.578009612003282</v>
      </c>
      <c r="Q340" s="6" t="str">
        <f aca="false">Orders!H340</f>
        <v>Delivered</v>
      </c>
      <c r="R340" s="1" t="str">
        <f aca="false">INDEX(Customers!$C$2:$C$301,MATCH(C340,Customers!$A$2:$A$301,0))</f>
        <v>Delhi</v>
      </c>
      <c r="S340" s="1" t="str">
        <f aca="false">INDEX(Customers!$E$2:$E$301,MATCH(C340,Customers!$A$2:$A$301,0))</f>
        <v>VIP</v>
      </c>
      <c r="T340" s="6" t="str">
        <f aca="false">Orders!I340</f>
        <v>Website</v>
      </c>
      <c r="U340" s="1" t="str">
        <f aca="false">IF(Q340="Delivered","Completed",IF(Q340="Cancelled","Cancelled",IF(Q340="Returned","Returned","In Progress")))</f>
        <v>Completed</v>
      </c>
      <c r="V340" s="1" t="str">
        <f aca="false">IF(M340&gt;=10000,"High Value",IF(M340&gt;=5000,"Medium Value","Low Value"))</f>
        <v>Low Value</v>
      </c>
      <c r="W340" s="1" t="str">
        <f aca="false">IF(O340&gt;0,"Profitable",IF(O340=0,"Break-even","Loss"))</f>
        <v>Profitable</v>
      </c>
      <c r="X340" s="1" t="str">
        <f aca="false">IF(Q340="Cancelled","Not Applicable",IF(Q340="Processing","Pending",IF(B340="","Unknown",IF(Orders!J340="","Unknown",IF(Orders!J340&lt;=3,"Fast",IF(Orders!J340&lt;=6,"Standard","Slow"))))))</f>
        <v>Standard</v>
      </c>
      <c r="Y340" s="1" t="n">
        <f aca="false">IF(OR(Q340="Cancelled",Q340="Returned"),0,O340)</f>
        <v>739.65</v>
      </c>
    </row>
    <row r="341" customFormat="false" ht="15" hidden="false" customHeight="false" outlineLevel="0" collapsed="false">
      <c r="A341" s="6" t="str">
        <f aca="false">Orders!A341</f>
        <v>O000340</v>
      </c>
      <c r="B341" s="19" t="n">
        <f aca="false">Orders!B341</f>
        <v>45780</v>
      </c>
      <c r="C341" s="6" t="str">
        <f aca="false">Orders!C341</f>
        <v>C0182</v>
      </c>
      <c r="D341" s="6" t="str">
        <f aca="false">Orders!D341</f>
        <v>P1095</v>
      </c>
      <c r="E341" s="6" t="str">
        <f aca="false">INDEX(Products!$B$2:$B$101,MATCH(D341,Products!$A$2:$A$101,0))</f>
        <v>Table Fan</v>
      </c>
      <c r="F341" s="1" t="str">
        <f aca="false">INDEX(Products!$C$2:$C$101,MATCH(D341,Products!$A$2:$A$101,0))</f>
        <v>Appliances</v>
      </c>
      <c r="G341" s="6" t="n">
        <f aca="false">Orders!E341</f>
        <v>1</v>
      </c>
      <c r="H341" s="16" t="n">
        <f aca="false">INDEX(Products!$D$2:$D$101,MATCH(D341,Products!$A$2:$A$101,0))</f>
        <v>1599</v>
      </c>
      <c r="I341" s="16" t="n">
        <f aca="false">INDEX(Products!$E$2:$E$101,MATCH(D341,Products!$A$2:$A$101,0))</f>
        <v>950</v>
      </c>
      <c r="J341" s="20" t="n">
        <f aca="false">Orders!F341</f>
        <v>0.1</v>
      </c>
      <c r="K341" s="6" t="n">
        <f aca="false">G341*H341</f>
        <v>1599</v>
      </c>
      <c r="L341" s="6" t="n">
        <f aca="false">K341*J341</f>
        <v>159.9</v>
      </c>
      <c r="M341" s="6" t="n">
        <f aca="false">K341-L341</f>
        <v>1439.1</v>
      </c>
      <c r="N341" s="6" t="n">
        <f aca="false">G341*I341</f>
        <v>950</v>
      </c>
      <c r="O341" s="6" t="n">
        <f aca="false">M341-N341</f>
        <v>489.1</v>
      </c>
      <c r="P341" s="21" t="n">
        <f aca="false">IFERROR(O341/M341,0)</f>
        <v>0.33986519352373</v>
      </c>
      <c r="Q341" s="6" t="str">
        <f aca="false">Orders!H341</f>
        <v>Delivered</v>
      </c>
      <c r="R341" s="1" t="str">
        <f aca="false">INDEX(Customers!$C$2:$C$301,MATCH(C341,Customers!$A$2:$A$301,0))</f>
        <v>Mumbai</v>
      </c>
      <c r="S341" s="1" t="str">
        <f aca="false">INDEX(Customers!$E$2:$E$301,MATCH(C341,Customers!$A$2:$A$301,0))</f>
        <v>New</v>
      </c>
      <c r="T341" s="6" t="str">
        <f aca="false">Orders!I341</f>
        <v>Mobile App</v>
      </c>
      <c r="U341" s="1" t="str">
        <f aca="false">IF(Q341="Delivered","Completed",IF(Q341="Cancelled","Cancelled",IF(Q341="Returned","Returned","In Progress")))</f>
        <v>Completed</v>
      </c>
      <c r="V341" s="1" t="str">
        <f aca="false">IF(M341&gt;=10000,"High Value",IF(M341&gt;=5000,"Medium Value","Low Value"))</f>
        <v>Low Value</v>
      </c>
      <c r="W341" s="1" t="str">
        <f aca="false">IF(O341&gt;0,"Profitable",IF(O341=0,"Break-even","Loss"))</f>
        <v>Profitable</v>
      </c>
      <c r="X341" s="1" t="str">
        <f aca="false">IF(Q341="Cancelled","Not Applicable",IF(Q341="Processing","Pending",IF(B341="","Unknown",IF(Orders!J341="","Unknown",IF(Orders!J341&lt;=3,"Fast",IF(Orders!J341&lt;=6,"Standard","Slow"))))))</f>
        <v>Slow</v>
      </c>
      <c r="Y341" s="1" t="n">
        <f aca="false">IF(OR(Q341="Cancelled",Q341="Returned"),0,O341)</f>
        <v>489.1</v>
      </c>
    </row>
    <row r="342" customFormat="false" ht="15" hidden="false" customHeight="false" outlineLevel="0" collapsed="false">
      <c r="A342" s="6" t="str">
        <f aca="false">Orders!A342</f>
        <v>O000341</v>
      </c>
      <c r="B342" s="19" t="n">
        <f aca="false">Orders!B342</f>
        <v>45727</v>
      </c>
      <c r="C342" s="6" t="str">
        <f aca="false">Orders!C342</f>
        <v>C0267</v>
      </c>
      <c r="D342" s="6" t="str">
        <f aca="false">Orders!D342</f>
        <v>P1003</v>
      </c>
      <c r="E342" s="6" t="str">
        <f aca="false">INDEX(Products!$B$2:$B$101,MATCH(D342,Products!$A$2:$A$101,0))</f>
        <v>Smart Watch</v>
      </c>
      <c r="F342" s="1" t="str">
        <f aca="false">INDEX(Products!$C$2:$C$101,MATCH(D342,Products!$A$2:$A$101,0))</f>
        <v>Electronics</v>
      </c>
      <c r="G342" s="6" t="n">
        <f aca="false">Orders!E342</f>
        <v>1</v>
      </c>
      <c r="H342" s="16" t="n">
        <f aca="false">INDEX(Products!$D$2:$D$101,MATCH(D342,Products!$A$2:$A$101,0))</f>
        <v>2499</v>
      </c>
      <c r="I342" s="16" t="n">
        <f aca="false">INDEX(Products!$E$2:$E$101,MATCH(D342,Products!$A$2:$A$101,0))</f>
        <v>1450</v>
      </c>
      <c r="J342" s="20" t="n">
        <f aca="false">Orders!F342</f>
        <v>0.15</v>
      </c>
      <c r="K342" s="6" t="n">
        <f aca="false">G342*H342</f>
        <v>2499</v>
      </c>
      <c r="L342" s="6" t="n">
        <f aca="false">K342*J342</f>
        <v>374.85</v>
      </c>
      <c r="M342" s="6" t="n">
        <f aca="false">K342-L342</f>
        <v>2124.15</v>
      </c>
      <c r="N342" s="6" t="n">
        <f aca="false">G342*I342</f>
        <v>1450</v>
      </c>
      <c r="O342" s="6" t="n">
        <f aca="false">M342-N342</f>
        <v>674.15</v>
      </c>
      <c r="P342" s="21" t="n">
        <f aca="false">IFERROR(O342/M342,0)</f>
        <v>0.3173740084269</v>
      </c>
      <c r="Q342" s="6" t="str">
        <f aca="false">Orders!H342</f>
        <v>Delivered</v>
      </c>
      <c r="R342" s="1" t="str">
        <f aca="false">INDEX(Customers!$C$2:$C$301,MATCH(C342,Customers!$A$2:$A$301,0))</f>
        <v>Pune</v>
      </c>
      <c r="S342" s="1" t="str">
        <f aca="false">INDEX(Customers!$E$2:$E$301,MATCH(C342,Customers!$A$2:$A$301,0))</f>
        <v>Returning</v>
      </c>
      <c r="T342" s="6" t="str">
        <f aca="false">Orders!I342</f>
        <v>Mobile App</v>
      </c>
      <c r="U342" s="1" t="str">
        <f aca="false">IF(Q342="Delivered","Completed",IF(Q342="Cancelled","Cancelled",IF(Q342="Returned","Returned","In Progress")))</f>
        <v>Completed</v>
      </c>
      <c r="V342" s="1" t="str">
        <f aca="false">IF(M342&gt;=10000,"High Value",IF(M342&gt;=5000,"Medium Value","Low Value"))</f>
        <v>Low Value</v>
      </c>
      <c r="W342" s="1" t="str">
        <f aca="false">IF(O342&gt;0,"Profitable",IF(O342=0,"Break-even","Loss"))</f>
        <v>Profitable</v>
      </c>
      <c r="X342" s="1" t="str">
        <f aca="false">IF(Q342="Cancelled","Not Applicable",IF(Q342="Processing","Pending",IF(B342="","Unknown",IF(Orders!J342="","Unknown",IF(Orders!J342&lt;=3,"Fast",IF(Orders!J342&lt;=6,"Standard","Slow"))))))</f>
        <v>Slow</v>
      </c>
      <c r="Y342" s="1" t="n">
        <f aca="false">IF(OR(Q342="Cancelled",Q342="Returned"),0,O342)</f>
        <v>674.15</v>
      </c>
    </row>
    <row r="343" customFormat="false" ht="23.85" hidden="false" customHeight="false" outlineLevel="0" collapsed="false">
      <c r="A343" s="6" t="str">
        <f aca="false">Orders!A343</f>
        <v>O000342</v>
      </c>
      <c r="B343" s="19" t="n">
        <f aca="false">Orders!B343</f>
        <v>45817</v>
      </c>
      <c r="C343" s="6" t="str">
        <f aca="false">Orders!C343</f>
        <v>C0080</v>
      </c>
      <c r="D343" s="6" t="str">
        <f aca="false">Orders!D343</f>
        <v>P1093</v>
      </c>
      <c r="E343" s="6" t="str">
        <f aca="false">INDEX(Products!$B$2:$B$101,MATCH(D343,Products!$A$2:$A$101,0))</f>
        <v>Induction Cooktop</v>
      </c>
      <c r="F343" s="1" t="str">
        <f aca="false">INDEX(Products!$C$2:$C$101,MATCH(D343,Products!$A$2:$A$101,0))</f>
        <v>Appliances</v>
      </c>
      <c r="G343" s="6" t="n">
        <f aca="false">Orders!E343</f>
        <v>2</v>
      </c>
      <c r="H343" s="16" t="n">
        <f aca="false">INDEX(Products!$D$2:$D$101,MATCH(D343,Products!$A$2:$A$101,0))</f>
        <v>2299</v>
      </c>
      <c r="I343" s="16" t="n">
        <f aca="false">INDEX(Products!$E$2:$E$101,MATCH(D343,Products!$A$2:$A$101,0))</f>
        <v>1450</v>
      </c>
      <c r="J343" s="20" t="n">
        <f aca="false">Orders!F343</f>
        <v>0.05</v>
      </c>
      <c r="K343" s="6" t="n">
        <f aca="false">G343*H343</f>
        <v>4598</v>
      </c>
      <c r="L343" s="6" t="n">
        <f aca="false">K343*J343</f>
        <v>229.9</v>
      </c>
      <c r="M343" s="6" t="n">
        <f aca="false">K343-L343</f>
        <v>4368.1</v>
      </c>
      <c r="N343" s="6" t="n">
        <f aca="false">G343*I343</f>
        <v>2900</v>
      </c>
      <c r="O343" s="6" t="n">
        <f aca="false">M343-N343</f>
        <v>1468.1</v>
      </c>
      <c r="P343" s="21" t="n">
        <f aca="false">IFERROR(O343/M343,0)</f>
        <v>0.336095785352899</v>
      </c>
      <c r="Q343" s="6" t="str">
        <f aca="false">Orders!H343</f>
        <v>Delivered</v>
      </c>
      <c r="R343" s="1" t="str">
        <f aca="false">INDEX(Customers!$C$2:$C$301,MATCH(C343,Customers!$A$2:$A$301,0))</f>
        <v>Visakhapatnam</v>
      </c>
      <c r="S343" s="1" t="str">
        <f aca="false">INDEX(Customers!$E$2:$E$301,MATCH(C343,Customers!$A$2:$A$301,0))</f>
        <v>New</v>
      </c>
      <c r="T343" s="6" t="str">
        <f aca="false">Orders!I343</f>
        <v>Marketplace</v>
      </c>
      <c r="U343" s="1" t="str">
        <f aca="false">IF(Q343="Delivered","Completed",IF(Q343="Cancelled","Cancelled",IF(Q343="Returned","Returned","In Progress")))</f>
        <v>Completed</v>
      </c>
      <c r="V343" s="1" t="str">
        <f aca="false">IF(M343&gt;=10000,"High Value",IF(M343&gt;=5000,"Medium Value","Low Value"))</f>
        <v>Low Value</v>
      </c>
      <c r="W343" s="1" t="str">
        <f aca="false">IF(O343&gt;0,"Profitable",IF(O343=0,"Break-even","Loss"))</f>
        <v>Profitable</v>
      </c>
      <c r="X343" s="1" t="str">
        <f aca="false">IF(Q343="Cancelled","Not Applicable",IF(Q343="Processing","Pending",IF(B343="","Unknown",IF(Orders!J343="","Unknown",IF(Orders!J343&lt;=3,"Fast",IF(Orders!J343&lt;=6,"Standard","Slow"))))))</f>
        <v>Slow</v>
      </c>
      <c r="Y343" s="1" t="n">
        <f aca="false">IF(OR(Q343="Cancelled",Q343="Returned"),0,O343)</f>
        <v>1468.1</v>
      </c>
    </row>
    <row r="344" customFormat="false" ht="15" hidden="false" customHeight="false" outlineLevel="0" collapsed="false">
      <c r="A344" s="6" t="str">
        <f aca="false">Orders!A344</f>
        <v>O000343</v>
      </c>
      <c r="B344" s="19" t="n">
        <f aca="false">Orders!B344</f>
        <v>45731</v>
      </c>
      <c r="C344" s="6" t="str">
        <f aca="false">Orders!C344</f>
        <v>C0169</v>
      </c>
      <c r="D344" s="6" t="str">
        <f aca="false">Orders!D344</f>
        <v>P1056</v>
      </c>
      <c r="E344" s="6" t="str">
        <f aca="false">INDEX(Products!$B$2:$B$101,MATCH(D344,Products!$A$2:$A$101,0))</f>
        <v>Hair Dryer</v>
      </c>
      <c r="F344" s="1" t="str">
        <f aca="false">INDEX(Products!$C$2:$C$101,MATCH(D344,Products!$A$2:$A$101,0))</f>
        <v>Beauty</v>
      </c>
      <c r="G344" s="6" t="n">
        <f aca="false">Orders!E344</f>
        <v>1</v>
      </c>
      <c r="H344" s="16" t="n">
        <f aca="false">INDEX(Products!$D$2:$D$101,MATCH(D344,Products!$A$2:$A$101,0))</f>
        <v>1299</v>
      </c>
      <c r="I344" s="16" t="n">
        <f aca="false">INDEX(Products!$E$2:$E$101,MATCH(D344,Products!$A$2:$A$101,0))</f>
        <v>750</v>
      </c>
      <c r="J344" s="20" t="n">
        <f aca="false">Orders!F344</f>
        <v>0.1</v>
      </c>
      <c r="K344" s="6" t="n">
        <f aca="false">G344*H344</f>
        <v>1299</v>
      </c>
      <c r="L344" s="6" t="n">
        <f aca="false">K344*J344</f>
        <v>129.9</v>
      </c>
      <c r="M344" s="6" t="n">
        <f aca="false">K344-L344</f>
        <v>1169.1</v>
      </c>
      <c r="N344" s="6" t="n">
        <f aca="false">G344*I344</f>
        <v>750</v>
      </c>
      <c r="O344" s="6" t="n">
        <f aca="false">M344-N344</f>
        <v>419.1</v>
      </c>
      <c r="P344" s="21" t="n">
        <f aca="false">IFERROR(O344/M344,0)</f>
        <v>0.358480882730305</v>
      </c>
      <c r="Q344" s="6" t="str">
        <f aca="false">Orders!H344</f>
        <v>Delivered</v>
      </c>
      <c r="R344" s="1" t="str">
        <f aca="false">INDEX(Customers!$C$2:$C$301,MATCH(C344,Customers!$A$2:$A$301,0))</f>
        <v>Ahmedabad</v>
      </c>
      <c r="S344" s="1" t="str">
        <f aca="false">INDEX(Customers!$E$2:$E$301,MATCH(C344,Customers!$A$2:$A$301,0))</f>
        <v>Returning</v>
      </c>
      <c r="T344" s="6" t="str">
        <f aca="false">Orders!I344</f>
        <v>Website</v>
      </c>
      <c r="U344" s="1" t="str">
        <f aca="false">IF(Q344="Delivered","Completed",IF(Q344="Cancelled","Cancelled",IF(Q344="Returned","Returned","In Progress")))</f>
        <v>Completed</v>
      </c>
      <c r="V344" s="1" t="str">
        <f aca="false">IF(M344&gt;=10000,"High Value",IF(M344&gt;=5000,"Medium Value","Low Value"))</f>
        <v>Low Value</v>
      </c>
      <c r="W344" s="1" t="str">
        <f aca="false">IF(O344&gt;0,"Profitable",IF(O344=0,"Break-even","Loss"))</f>
        <v>Profitable</v>
      </c>
      <c r="X344" s="1" t="str">
        <f aca="false">IF(Q344="Cancelled","Not Applicable",IF(Q344="Processing","Pending",IF(B344="","Unknown",IF(Orders!J344="","Unknown",IF(Orders!J344&lt;=3,"Fast",IF(Orders!J344&lt;=6,"Standard","Slow"))))))</f>
        <v>Slow</v>
      </c>
      <c r="Y344" s="1" t="n">
        <f aca="false">IF(OR(Q344="Cancelled",Q344="Returned"),0,O344)</f>
        <v>419.1</v>
      </c>
    </row>
    <row r="345" customFormat="false" ht="23.85" hidden="false" customHeight="false" outlineLevel="0" collapsed="false">
      <c r="A345" s="6" t="str">
        <f aca="false">Orders!A345</f>
        <v>O000344</v>
      </c>
      <c r="B345" s="19" t="n">
        <f aca="false">Orders!B345</f>
        <v>45719</v>
      </c>
      <c r="C345" s="6" t="str">
        <f aca="false">Orders!C345</f>
        <v>C0158</v>
      </c>
      <c r="D345" s="6" t="str">
        <f aca="false">Orders!D345</f>
        <v>P1093</v>
      </c>
      <c r="E345" s="6" t="str">
        <f aca="false">INDEX(Products!$B$2:$B$101,MATCH(D345,Products!$A$2:$A$101,0))</f>
        <v>Induction Cooktop</v>
      </c>
      <c r="F345" s="1" t="str">
        <f aca="false">INDEX(Products!$C$2:$C$101,MATCH(D345,Products!$A$2:$A$101,0))</f>
        <v>Appliances</v>
      </c>
      <c r="G345" s="6" t="n">
        <f aca="false">Orders!E345</f>
        <v>1</v>
      </c>
      <c r="H345" s="16" t="n">
        <f aca="false">INDEX(Products!$D$2:$D$101,MATCH(D345,Products!$A$2:$A$101,0))</f>
        <v>2299</v>
      </c>
      <c r="I345" s="16" t="n">
        <f aca="false">INDEX(Products!$E$2:$E$101,MATCH(D345,Products!$A$2:$A$101,0))</f>
        <v>1450</v>
      </c>
      <c r="J345" s="20" t="n">
        <f aca="false">Orders!F345</f>
        <v>0.1</v>
      </c>
      <c r="K345" s="6" t="n">
        <f aca="false">G345*H345</f>
        <v>2299</v>
      </c>
      <c r="L345" s="6" t="n">
        <f aca="false">K345*J345</f>
        <v>229.9</v>
      </c>
      <c r="M345" s="6" t="n">
        <f aca="false">K345-L345</f>
        <v>2069.1</v>
      </c>
      <c r="N345" s="6" t="n">
        <f aca="false">G345*I345</f>
        <v>1450</v>
      </c>
      <c r="O345" s="6" t="n">
        <f aca="false">M345-N345</f>
        <v>619.1</v>
      </c>
      <c r="P345" s="21" t="n">
        <f aca="false">IFERROR(O345/M345,0)</f>
        <v>0.299212217872505</v>
      </c>
      <c r="Q345" s="6" t="str">
        <f aca="false">Orders!H345</f>
        <v>Cancelled</v>
      </c>
      <c r="R345" s="1" t="str">
        <f aca="false">INDEX(Customers!$C$2:$C$301,MATCH(C345,Customers!$A$2:$A$301,0))</f>
        <v>Nagpur</v>
      </c>
      <c r="S345" s="1" t="str">
        <f aca="false">INDEX(Customers!$E$2:$E$301,MATCH(C345,Customers!$A$2:$A$301,0))</f>
        <v>Returning</v>
      </c>
      <c r="T345" s="6" t="str">
        <f aca="false">Orders!I345</f>
        <v>Marketplace</v>
      </c>
      <c r="U345" s="1" t="str">
        <f aca="false">IF(Q345="Delivered","Completed",IF(Q345="Cancelled","Cancelled",IF(Q345="Returned","Returned","In Progress")))</f>
        <v>Cancelled</v>
      </c>
      <c r="V345" s="1" t="str">
        <f aca="false">IF(M345&gt;=10000,"High Value",IF(M345&gt;=5000,"Medium Value","Low Value"))</f>
        <v>Low Value</v>
      </c>
      <c r="W345" s="1" t="str">
        <f aca="false">IF(O345&gt;0,"Profitable",IF(O345=0,"Break-even","Loss"))</f>
        <v>Profitable</v>
      </c>
      <c r="X345" s="1" t="str">
        <f aca="false">IF(Q345="Cancelled","Not Applicable",IF(Q345="Processing","Pending",IF(B345="","Unknown",IF(Orders!J345="","Unknown",IF(Orders!J345&lt;=3,"Fast",IF(Orders!J345&lt;=6,"Standard","Slow"))))))</f>
        <v>Not Applicable</v>
      </c>
      <c r="Y345" s="1" t="n">
        <f aca="false">IF(OR(Q345="Cancelled",Q345="Returned"),0,O345)</f>
        <v>0</v>
      </c>
    </row>
    <row r="346" customFormat="false" ht="15" hidden="false" customHeight="false" outlineLevel="0" collapsed="false">
      <c r="A346" s="6" t="str">
        <f aca="false">Orders!A346</f>
        <v>O000345</v>
      </c>
      <c r="B346" s="19" t="n">
        <f aca="false">Orders!B346</f>
        <v>45745</v>
      </c>
      <c r="C346" s="6" t="str">
        <f aca="false">Orders!C346</f>
        <v>C0033</v>
      </c>
      <c r="D346" s="6" t="str">
        <f aca="false">Orders!D346</f>
        <v>P1082</v>
      </c>
      <c r="E346" s="6" t="str">
        <f aca="false">INDEX(Products!$B$2:$B$101,MATCH(D346,Products!$A$2:$A$101,0))</f>
        <v>File Folder Set</v>
      </c>
      <c r="F346" s="1" t="str">
        <f aca="false">INDEX(Products!$C$2:$C$101,MATCH(D346,Products!$A$2:$A$101,0))</f>
        <v>Books &amp; Stationery</v>
      </c>
      <c r="G346" s="6" t="n">
        <f aca="false">Orders!E346</f>
        <v>2</v>
      </c>
      <c r="H346" s="16" t="n">
        <f aca="false">INDEX(Products!$D$2:$D$101,MATCH(D346,Products!$A$2:$A$101,0))</f>
        <v>249</v>
      </c>
      <c r="I346" s="16" t="n">
        <f aca="false">INDEX(Products!$E$2:$E$101,MATCH(D346,Products!$A$2:$A$101,0))</f>
        <v>90</v>
      </c>
      <c r="J346" s="20" t="n">
        <f aca="false">Orders!F346</f>
        <v>0.05</v>
      </c>
      <c r="K346" s="6" t="n">
        <f aca="false">G346*H346</f>
        <v>498</v>
      </c>
      <c r="L346" s="6" t="n">
        <f aca="false">K346*J346</f>
        <v>24.9</v>
      </c>
      <c r="M346" s="6" t="n">
        <f aca="false">K346-L346</f>
        <v>473.1</v>
      </c>
      <c r="N346" s="6" t="n">
        <f aca="false">G346*I346</f>
        <v>180</v>
      </c>
      <c r="O346" s="6" t="n">
        <f aca="false">M346-N346</f>
        <v>293.1</v>
      </c>
      <c r="P346" s="21" t="n">
        <f aca="false">IFERROR(O346/M346,0)</f>
        <v>0.619530754597337</v>
      </c>
      <c r="Q346" s="6" t="str">
        <f aca="false">Orders!H346</f>
        <v>Shipped</v>
      </c>
      <c r="R346" s="1" t="str">
        <f aca="false">INDEX(Customers!$C$2:$C$301,MATCH(C346,Customers!$A$2:$A$301,0))</f>
        <v>Kochi</v>
      </c>
      <c r="S346" s="1" t="str">
        <f aca="false">INDEX(Customers!$E$2:$E$301,MATCH(C346,Customers!$A$2:$A$301,0))</f>
        <v>VIP</v>
      </c>
      <c r="T346" s="6" t="str">
        <f aca="false">Orders!I346</f>
        <v>Mobile App</v>
      </c>
      <c r="U346" s="1" t="str">
        <f aca="false">IF(Q346="Delivered","Completed",IF(Q346="Cancelled","Cancelled",IF(Q346="Returned","Returned","In Progress")))</f>
        <v>In Progress</v>
      </c>
      <c r="V346" s="1" t="str">
        <f aca="false">IF(M346&gt;=10000,"High Value",IF(M346&gt;=5000,"Medium Value","Low Value"))</f>
        <v>Low Value</v>
      </c>
      <c r="W346" s="1" t="str">
        <f aca="false">IF(O346&gt;0,"Profitable",IF(O346=0,"Break-even","Loss"))</f>
        <v>Profitable</v>
      </c>
      <c r="X346" s="1" t="str">
        <f aca="false">IF(Q346="Cancelled","Not Applicable",IF(Q346="Processing","Pending",IF(B346="","Unknown",IF(Orders!J346="","Unknown",IF(Orders!J346&lt;=3,"Fast",IF(Orders!J346&lt;=6,"Standard","Slow"))))))</f>
        <v>Fast</v>
      </c>
      <c r="Y346" s="1" t="n">
        <f aca="false">IF(OR(Q346="Cancelled",Q346="Returned"),0,O346)</f>
        <v>293.1</v>
      </c>
    </row>
    <row r="347" customFormat="false" ht="15" hidden="false" customHeight="false" outlineLevel="0" collapsed="false">
      <c r="A347" s="6" t="str">
        <f aca="false">Orders!A347</f>
        <v>O000346</v>
      </c>
      <c r="B347" s="19" t="n">
        <f aca="false">Orders!B347</f>
        <v>45828</v>
      </c>
      <c r="C347" s="6" t="str">
        <f aca="false">Orders!C347</f>
        <v>C0111</v>
      </c>
      <c r="D347" s="6" t="str">
        <f aca="false">Orders!D347</f>
        <v>P1040</v>
      </c>
      <c r="E347" s="6" t="str">
        <f aca="false">INDEX(Products!$B$2:$B$101,MATCH(D347,Products!$A$2:$A$101,0))</f>
        <v>Curtain Set</v>
      </c>
      <c r="F347" s="1" t="str">
        <f aca="false">INDEX(Products!$C$2:$C$101,MATCH(D347,Products!$A$2:$A$101,0))</f>
        <v>Home &amp; Kitchen</v>
      </c>
      <c r="G347" s="6" t="n">
        <f aca="false">Orders!E347</f>
        <v>5</v>
      </c>
      <c r="H347" s="16" t="n">
        <f aca="false">INDEX(Products!$D$2:$D$101,MATCH(D347,Products!$A$2:$A$101,0))</f>
        <v>1099</v>
      </c>
      <c r="I347" s="16" t="n">
        <f aca="false">INDEX(Products!$E$2:$E$101,MATCH(D347,Products!$A$2:$A$101,0))</f>
        <v>550</v>
      </c>
      <c r="J347" s="20" t="n">
        <f aca="false">Orders!F347</f>
        <v>0.15</v>
      </c>
      <c r="K347" s="6" t="n">
        <f aca="false">G347*H347</f>
        <v>5495</v>
      </c>
      <c r="L347" s="6" t="n">
        <f aca="false">K347*J347</f>
        <v>824.25</v>
      </c>
      <c r="M347" s="6" t="n">
        <f aca="false">K347-L347</f>
        <v>4670.75</v>
      </c>
      <c r="N347" s="6" t="n">
        <f aca="false">G347*I347</f>
        <v>2750</v>
      </c>
      <c r="O347" s="6" t="n">
        <f aca="false">M347-N347</f>
        <v>1920.75</v>
      </c>
      <c r="P347" s="21" t="n">
        <f aca="false">IFERROR(O347/M347,0)</f>
        <v>0.411229459936841</v>
      </c>
      <c r="Q347" s="6" t="str">
        <f aca="false">Orders!H347</f>
        <v>Delivered</v>
      </c>
      <c r="R347" s="1" t="str">
        <f aca="false">INDEX(Customers!$C$2:$C$301,MATCH(C347,Customers!$A$2:$A$301,0))</f>
        <v>Gurugram</v>
      </c>
      <c r="S347" s="1" t="str">
        <f aca="false">INDEX(Customers!$E$2:$E$301,MATCH(C347,Customers!$A$2:$A$301,0))</f>
        <v>Returning</v>
      </c>
      <c r="T347" s="6" t="str">
        <f aca="false">Orders!I347</f>
        <v>Mobile App</v>
      </c>
      <c r="U347" s="1" t="str">
        <f aca="false">IF(Q347="Delivered","Completed",IF(Q347="Cancelled","Cancelled",IF(Q347="Returned","Returned","In Progress")))</f>
        <v>Completed</v>
      </c>
      <c r="V347" s="1" t="str">
        <f aca="false">IF(M347&gt;=10000,"High Value",IF(M347&gt;=5000,"Medium Value","Low Value"))</f>
        <v>Low Value</v>
      </c>
      <c r="W347" s="1" t="str">
        <f aca="false">IF(O347&gt;0,"Profitable",IF(O347=0,"Break-even","Loss"))</f>
        <v>Profitable</v>
      </c>
      <c r="X347" s="1" t="str">
        <f aca="false">IF(Q347="Cancelled","Not Applicable",IF(Q347="Processing","Pending",IF(B347="","Unknown",IF(Orders!J347="","Unknown",IF(Orders!J347&lt;=3,"Fast",IF(Orders!J347&lt;=6,"Standard","Slow"))))))</f>
        <v>Slow</v>
      </c>
      <c r="Y347" s="1" t="n">
        <f aca="false">IF(OR(Q347="Cancelled",Q347="Returned"),0,O347)</f>
        <v>1920.75</v>
      </c>
    </row>
    <row r="348" customFormat="false" ht="15" hidden="false" customHeight="false" outlineLevel="0" collapsed="false">
      <c r="A348" s="6" t="str">
        <f aca="false">Orders!A348</f>
        <v>O000347</v>
      </c>
      <c r="B348" s="19" t="n">
        <f aca="false">Orders!B348</f>
        <v>45946</v>
      </c>
      <c r="C348" s="6" t="str">
        <f aca="false">Orders!C348</f>
        <v>C0053</v>
      </c>
      <c r="D348" s="6" t="str">
        <f aca="false">Orders!D348</f>
        <v>P1039</v>
      </c>
      <c r="E348" s="6" t="str">
        <f aca="false">INDEX(Products!$B$2:$B$101,MATCH(D348,Products!$A$2:$A$101,0))</f>
        <v>Wall Clock</v>
      </c>
      <c r="F348" s="1" t="str">
        <f aca="false">INDEX(Products!$C$2:$C$101,MATCH(D348,Products!$A$2:$A$101,0))</f>
        <v>Home &amp; Kitchen</v>
      </c>
      <c r="G348" s="6" t="n">
        <f aca="false">Orders!E348</f>
        <v>1</v>
      </c>
      <c r="H348" s="16" t="n">
        <f aca="false">INDEX(Products!$D$2:$D$101,MATCH(D348,Products!$A$2:$A$101,0))</f>
        <v>699</v>
      </c>
      <c r="I348" s="16" t="n">
        <f aca="false">INDEX(Products!$E$2:$E$101,MATCH(D348,Products!$A$2:$A$101,0))</f>
        <v>300</v>
      </c>
      <c r="J348" s="20" t="n">
        <f aca="false">Orders!F348</f>
        <v>0.05</v>
      </c>
      <c r="K348" s="6" t="n">
        <f aca="false">G348*H348</f>
        <v>699</v>
      </c>
      <c r="L348" s="6" t="n">
        <f aca="false">K348*J348</f>
        <v>34.95</v>
      </c>
      <c r="M348" s="6" t="n">
        <f aca="false">K348-L348</f>
        <v>664.05</v>
      </c>
      <c r="N348" s="6" t="n">
        <f aca="false">G348*I348</f>
        <v>300</v>
      </c>
      <c r="O348" s="6" t="n">
        <f aca="false">M348-N348</f>
        <v>364.05</v>
      </c>
      <c r="P348" s="21" t="n">
        <f aca="false">IFERROR(O348/M348,0)</f>
        <v>0.548226790151344</v>
      </c>
      <c r="Q348" s="6" t="str">
        <f aca="false">Orders!H348</f>
        <v>Delivered</v>
      </c>
      <c r="R348" s="1" t="str">
        <f aca="false">INDEX(Customers!$C$2:$C$301,MATCH(C348,Customers!$A$2:$A$301,0))</f>
        <v>Kochi</v>
      </c>
      <c r="S348" s="1" t="str">
        <f aca="false">INDEX(Customers!$E$2:$E$301,MATCH(C348,Customers!$A$2:$A$301,0))</f>
        <v>Returning</v>
      </c>
      <c r="T348" s="6" t="str">
        <f aca="false">Orders!I348</f>
        <v>Marketplace</v>
      </c>
      <c r="U348" s="1" t="str">
        <f aca="false">IF(Q348="Delivered","Completed",IF(Q348="Cancelled","Cancelled",IF(Q348="Returned","Returned","In Progress")))</f>
        <v>Completed</v>
      </c>
      <c r="V348" s="1" t="str">
        <f aca="false">IF(M348&gt;=10000,"High Value",IF(M348&gt;=5000,"Medium Value","Low Value"))</f>
        <v>Low Value</v>
      </c>
      <c r="W348" s="1" t="str">
        <f aca="false">IF(O348&gt;0,"Profitable",IF(O348=0,"Break-even","Loss"))</f>
        <v>Profitable</v>
      </c>
      <c r="X348" s="1" t="str">
        <f aca="false">IF(Q348="Cancelled","Not Applicable",IF(Q348="Processing","Pending",IF(B348="","Unknown",IF(Orders!J348="","Unknown",IF(Orders!J348&lt;=3,"Fast",IF(Orders!J348&lt;=6,"Standard","Slow"))))))</f>
        <v>Standard</v>
      </c>
      <c r="Y348" s="1" t="n">
        <f aca="false">IF(OR(Q348="Cancelled",Q348="Returned"),0,O348)</f>
        <v>364.05</v>
      </c>
    </row>
    <row r="349" customFormat="false" ht="15" hidden="false" customHeight="false" outlineLevel="0" collapsed="false">
      <c r="A349" s="6" t="str">
        <f aca="false">Orders!A349</f>
        <v>O000348</v>
      </c>
      <c r="B349" s="19" t="n">
        <f aca="false">Orders!B349</f>
        <v>45896</v>
      </c>
      <c r="C349" s="6" t="str">
        <f aca="false">Orders!C349</f>
        <v>C0267</v>
      </c>
      <c r="D349" s="6" t="str">
        <f aca="false">Orders!D349</f>
        <v>P1089</v>
      </c>
      <c r="E349" s="6" t="str">
        <f aca="false">INDEX(Products!$B$2:$B$101,MATCH(D349,Products!$A$2:$A$101,0))</f>
        <v>Mixer Grinder</v>
      </c>
      <c r="F349" s="1" t="str">
        <f aca="false">INDEX(Products!$C$2:$C$101,MATCH(D349,Products!$A$2:$A$101,0))</f>
        <v>Appliances</v>
      </c>
      <c r="G349" s="6" t="n">
        <f aca="false">Orders!E349</f>
        <v>2</v>
      </c>
      <c r="H349" s="16" t="n">
        <f aca="false">INDEX(Products!$D$2:$D$101,MATCH(D349,Products!$A$2:$A$101,0))</f>
        <v>2499</v>
      </c>
      <c r="I349" s="16" t="n">
        <f aca="false">INDEX(Products!$E$2:$E$101,MATCH(D349,Products!$A$2:$A$101,0))</f>
        <v>1550</v>
      </c>
      <c r="J349" s="20" t="n">
        <f aca="false">Orders!F349</f>
        <v>0.25</v>
      </c>
      <c r="K349" s="6" t="n">
        <f aca="false">G349*H349</f>
        <v>4998</v>
      </c>
      <c r="L349" s="6" t="n">
        <f aca="false">K349*J349</f>
        <v>1249.5</v>
      </c>
      <c r="M349" s="6" t="n">
        <f aca="false">K349-L349</f>
        <v>3748.5</v>
      </c>
      <c r="N349" s="6" t="n">
        <f aca="false">G349*I349</f>
        <v>3100</v>
      </c>
      <c r="O349" s="6" t="n">
        <f aca="false">M349-N349</f>
        <v>648.5</v>
      </c>
      <c r="P349" s="21" t="n">
        <f aca="false">IFERROR(O349/M349,0)</f>
        <v>0.173002534347072</v>
      </c>
      <c r="Q349" s="6" t="str">
        <f aca="false">Orders!H349</f>
        <v>Shipped</v>
      </c>
      <c r="R349" s="1" t="str">
        <f aca="false">INDEX(Customers!$C$2:$C$301,MATCH(C349,Customers!$A$2:$A$301,0))</f>
        <v>Pune</v>
      </c>
      <c r="S349" s="1" t="str">
        <f aca="false">INDEX(Customers!$E$2:$E$301,MATCH(C349,Customers!$A$2:$A$301,0))</f>
        <v>Returning</v>
      </c>
      <c r="T349" s="6" t="str">
        <f aca="false">Orders!I349</f>
        <v>Marketplace</v>
      </c>
      <c r="U349" s="1" t="str">
        <f aca="false">IF(Q349="Delivered","Completed",IF(Q349="Cancelled","Cancelled",IF(Q349="Returned","Returned","In Progress")))</f>
        <v>In Progress</v>
      </c>
      <c r="V349" s="1" t="str">
        <f aca="false">IF(M349&gt;=10000,"High Value",IF(M349&gt;=5000,"Medium Value","Low Value"))</f>
        <v>Low Value</v>
      </c>
      <c r="W349" s="1" t="str">
        <f aca="false">IF(O349&gt;0,"Profitable",IF(O349=0,"Break-even","Loss"))</f>
        <v>Profitable</v>
      </c>
      <c r="X349" s="1" t="str">
        <f aca="false">IF(Q349="Cancelled","Not Applicable",IF(Q349="Processing","Pending",IF(B349="","Unknown",IF(Orders!J349="","Unknown",IF(Orders!J349&lt;=3,"Fast",IF(Orders!J349&lt;=6,"Standard","Slow"))))))</f>
        <v>Slow</v>
      </c>
      <c r="Y349" s="1" t="n">
        <f aca="false">IF(OR(Q349="Cancelled",Q349="Returned"),0,O349)</f>
        <v>648.5</v>
      </c>
    </row>
    <row r="350" customFormat="false" ht="15" hidden="false" customHeight="false" outlineLevel="0" collapsed="false">
      <c r="A350" s="6" t="str">
        <f aca="false">Orders!A350</f>
        <v>O000349</v>
      </c>
      <c r="B350" s="19" t="n">
        <f aca="false">Orders!B350</f>
        <v>45998</v>
      </c>
      <c r="C350" s="6" t="str">
        <f aca="false">Orders!C350</f>
        <v>C0117</v>
      </c>
      <c r="D350" s="6" t="str">
        <f aca="false">Orders!D350</f>
        <v>P1066</v>
      </c>
      <c r="E350" s="6" t="str">
        <f aca="false">INDEX(Products!$B$2:$B$101,MATCH(D350,Products!$A$2:$A$101,0))</f>
        <v>Gym Gloves</v>
      </c>
      <c r="F350" s="1" t="str">
        <f aca="false">INDEX(Products!$C$2:$C$101,MATCH(D350,Products!$A$2:$A$101,0))</f>
        <v>Sports &amp; Outdoors</v>
      </c>
      <c r="G350" s="6" t="n">
        <f aca="false">Orders!E350</f>
        <v>2</v>
      </c>
      <c r="H350" s="16" t="n">
        <f aca="false">INDEX(Products!$D$2:$D$101,MATCH(D350,Products!$A$2:$A$101,0))</f>
        <v>499</v>
      </c>
      <c r="I350" s="16" t="n">
        <f aca="false">INDEX(Products!$E$2:$E$101,MATCH(D350,Products!$A$2:$A$101,0))</f>
        <v>200</v>
      </c>
      <c r="J350" s="20" t="n">
        <f aca="false">Orders!F350</f>
        <v>0.1</v>
      </c>
      <c r="K350" s="6" t="n">
        <f aca="false">G350*H350</f>
        <v>998</v>
      </c>
      <c r="L350" s="6" t="n">
        <f aca="false">K350*J350</f>
        <v>99.8</v>
      </c>
      <c r="M350" s="6" t="n">
        <f aca="false">K350-L350</f>
        <v>898.2</v>
      </c>
      <c r="N350" s="6" t="n">
        <f aca="false">G350*I350</f>
        <v>400</v>
      </c>
      <c r="O350" s="6" t="n">
        <f aca="false">M350-N350</f>
        <v>498.2</v>
      </c>
      <c r="P350" s="21" t="n">
        <f aca="false">IFERROR(O350/M350,0)</f>
        <v>0.554664885326208</v>
      </c>
      <c r="Q350" s="6" t="str">
        <f aca="false">Orders!H350</f>
        <v>Delivered</v>
      </c>
      <c r="R350" s="1" t="str">
        <f aca="false">INDEX(Customers!$C$2:$C$301,MATCH(C350,Customers!$A$2:$A$301,0))</f>
        <v>Surat</v>
      </c>
      <c r="S350" s="1" t="str">
        <f aca="false">INDEX(Customers!$E$2:$E$301,MATCH(C350,Customers!$A$2:$A$301,0))</f>
        <v>Returning</v>
      </c>
      <c r="T350" s="6" t="str">
        <f aca="false">Orders!I350</f>
        <v>Website</v>
      </c>
      <c r="U350" s="1" t="str">
        <f aca="false">IF(Q350="Delivered","Completed",IF(Q350="Cancelled","Cancelled",IF(Q350="Returned","Returned","In Progress")))</f>
        <v>Completed</v>
      </c>
      <c r="V350" s="1" t="str">
        <f aca="false">IF(M350&gt;=10000,"High Value",IF(M350&gt;=5000,"Medium Value","Low Value"))</f>
        <v>Low Value</v>
      </c>
      <c r="W350" s="1" t="str">
        <f aca="false">IF(O350&gt;0,"Profitable",IF(O350=0,"Break-even","Loss"))</f>
        <v>Profitable</v>
      </c>
      <c r="X350" s="1" t="str">
        <f aca="false">IF(Q350="Cancelled","Not Applicable",IF(Q350="Processing","Pending",IF(B350="","Unknown",IF(Orders!J350="","Unknown",IF(Orders!J350&lt;=3,"Fast",IF(Orders!J350&lt;=6,"Standard","Slow"))))))</f>
        <v>Fast</v>
      </c>
      <c r="Y350" s="1" t="n">
        <f aca="false">IF(OR(Q350="Cancelled",Q350="Returned"),0,O350)</f>
        <v>498.2</v>
      </c>
    </row>
    <row r="351" customFormat="false" ht="15" hidden="false" customHeight="false" outlineLevel="0" collapsed="false">
      <c r="A351" s="6" t="str">
        <f aca="false">Orders!A351</f>
        <v>O000350</v>
      </c>
      <c r="B351" s="19" t="n">
        <f aca="false">Orders!B351</f>
        <v>45846</v>
      </c>
      <c r="C351" s="6" t="str">
        <f aca="false">Orders!C351</f>
        <v>C0176</v>
      </c>
      <c r="D351" s="6" t="str">
        <f aca="false">Orders!D351</f>
        <v>P1060</v>
      </c>
      <c r="E351" s="6" t="str">
        <f aca="false">INDEX(Products!$B$2:$B$101,MATCH(D351,Products!$A$2:$A$101,0))</f>
        <v>Yoga Mat</v>
      </c>
      <c r="F351" s="1" t="str">
        <f aca="false">INDEX(Products!$C$2:$C$101,MATCH(D351,Products!$A$2:$A$101,0))</f>
        <v>Sports &amp; Outdoors</v>
      </c>
      <c r="G351" s="6" t="n">
        <f aca="false">Orders!E351</f>
        <v>1</v>
      </c>
      <c r="H351" s="16" t="n">
        <f aca="false">INDEX(Products!$D$2:$D$101,MATCH(D351,Products!$A$2:$A$101,0))</f>
        <v>799</v>
      </c>
      <c r="I351" s="16" t="n">
        <f aca="false">INDEX(Products!$E$2:$E$101,MATCH(D351,Products!$A$2:$A$101,0))</f>
        <v>350</v>
      </c>
      <c r="J351" s="20" t="n">
        <f aca="false">Orders!F351</f>
        <v>0.05</v>
      </c>
      <c r="K351" s="6" t="n">
        <f aca="false">G351*H351</f>
        <v>799</v>
      </c>
      <c r="L351" s="6" t="n">
        <f aca="false">K351*J351</f>
        <v>39.95</v>
      </c>
      <c r="M351" s="6" t="n">
        <f aca="false">K351-L351</f>
        <v>759.05</v>
      </c>
      <c r="N351" s="6" t="n">
        <f aca="false">G351*I351</f>
        <v>350</v>
      </c>
      <c r="O351" s="6" t="n">
        <f aca="false">M351-N351</f>
        <v>409.05</v>
      </c>
      <c r="P351" s="21" t="n">
        <f aca="false">IFERROR(O351/M351,0)</f>
        <v>0.53889730584283</v>
      </c>
      <c r="Q351" s="6" t="str">
        <f aca="false">Orders!H351</f>
        <v>Delivered</v>
      </c>
      <c r="R351" s="1" t="str">
        <f aca="false">INDEX(Customers!$C$2:$C$301,MATCH(C351,Customers!$A$2:$A$301,0))</f>
        <v>Chandigarh</v>
      </c>
      <c r="S351" s="1" t="str">
        <f aca="false">INDEX(Customers!$E$2:$E$301,MATCH(C351,Customers!$A$2:$A$301,0))</f>
        <v>New</v>
      </c>
      <c r="T351" s="6" t="str">
        <f aca="false">Orders!I351</f>
        <v>Website</v>
      </c>
      <c r="U351" s="1" t="str">
        <f aca="false">IF(Q351="Delivered","Completed",IF(Q351="Cancelled","Cancelled",IF(Q351="Returned","Returned","In Progress")))</f>
        <v>Completed</v>
      </c>
      <c r="V351" s="1" t="str">
        <f aca="false">IF(M351&gt;=10000,"High Value",IF(M351&gt;=5000,"Medium Value","Low Value"))</f>
        <v>Low Value</v>
      </c>
      <c r="W351" s="1" t="str">
        <f aca="false">IF(O351&gt;0,"Profitable",IF(O351=0,"Break-even","Loss"))</f>
        <v>Profitable</v>
      </c>
      <c r="X351" s="1" t="str">
        <f aca="false">IF(Q351="Cancelled","Not Applicable",IF(Q351="Processing","Pending",IF(B351="","Unknown",IF(Orders!J351="","Unknown",IF(Orders!J351&lt;=3,"Fast",IF(Orders!J351&lt;=6,"Standard","Slow"))))))</f>
        <v>Slow</v>
      </c>
      <c r="Y351" s="1" t="n">
        <f aca="false">IF(OR(Q351="Cancelled",Q351="Returned"),0,O351)</f>
        <v>409.05</v>
      </c>
    </row>
    <row r="352" customFormat="false" ht="15" hidden="false" customHeight="false" outlineLevel="0" collapsed="false">
      <c r="A352" s="6" t="str">
        <f aca="false">Orders!A352</f>
        <v>O000351</v>
      </c>
      <c r="B352" s="19" t="n">
        <f aca="false">Orders!B352</f>
        <v>45762</v>
      </c>
      <c r="C352" s="6" t="str">
        <f aca="false">Orders!C352</f>
        <v>C0120</v>
      </c>
      <c r="D352" s="6" t="str">
        <f aca="false">Orders!D352</f>
        <v>P1089</v>
      </c>
      <c r="E352" s="6" t="str">
        <f aca="false">INDEX(Products!$B$2:$B$101,MATCH(D352,Products!$A$2:$A$101,0))</f>
        <v>Mixer Grinder</v>
      </c>
      <c r="F352" s="1" t="str">
        <f aca="false">INDEX(Products!$C$2:$C$101,MATCH(D352,Products!$A$2:$A$101,0))</f>
        <v>Appliances</v>
      </c>
      <c r="G352" s="6" t="n">
        <f aca="false">Orders!E352</f>
        <v>1</v>
      </c>
      <c r="H352" s="16" t="n">
        <f aca="false">INDEX(Products!$D$2:$D$101,MATCH(D352,Products!$A$2:$A$101,0))</f>
        <v>2499</v>
      </c>
      <c r="I352" s="16" t="n">
        <f aca="false">INDEX(Products!$E$2:$E$101,MATCH(D352,Products!$A$2:$A$101,0))</f>
        <v>1550</v>
      </c>
      <c r="J352" s="20" t="n">
        <f aca="false">Orders!F352</f>
        <v>0</v>
      </c>
      <c r="K352" s="6" t="n">
        <f aca="false">G352*H352</f>
        <v>2499</v>
      </c>
      <c r="L352" s="6" t="n">
        <f aca="false">K352*J352</f>
        <v>0</v>
      </c>
      <c r="M352" s="6" t="n">
        <f aca="false">K352-L352</f>
        <v>2499</v>
      </c>
      <c r="N352" s="6" t="n">
        <f aca="false">G352*I352</f>
        <v>1550</v>
      </c>
      <c r="O352" s="6" t="n">
        <f aca="false">M352-N352</f>
        <v>949</v>
      </c>
      <c r="P352" s="21" t="n">
        <f aca="false">IFERROR(O352/M352,0)</f>
        <v>0.379751900760304</v>
      </c>
      <c r="Q352" s="6" t="str">
        <f aca="false">Orders!H352</f>
        <v>Delivered</v>
      </c>
      <c r="R352" s="1" t="str">
        <f aca="false">INDEX(Customers!$C$2:$C$301,MATCH(C352,Customers!$A$2:$A$301,0))</f>
        <v>Visakhapatnam</v>
      </c>
      <c r="S352" s="1" t="str">
        <f aca="false">INDEX(Customers!$E$2:$E$301,MATCH(C352,Customers!$A$2:$A$301,0))</f>
        <v>Returning</v>
      </c>
      <c r="T352" s="6" t="str">
        <f aca="false">Orders!I352</f>
        <v>Marketplace</v>
      </c>
      <c r="U352" s="1" t="str">
        <f aca="false">IF(Q352="Delivered","Completed",IF(Q352="Cancelled","Cancelled",IF(Q352="Returned","Returned","In Progress")))</f>
        <v>Completed</v>
      </c>
      <c r="V352" s="1" t="str">
        <f aca="false">IF(M352&gt;=10000,"High Value",IF(M352&gt;=5000,"Medium Value","Low Value"))</f>
        <v>Low Value</v>
      </c>
      <c r="W352" s="1" t="str">
        <f aca="false">IF(O352&gt;0,"Profitable",IF(O352=0,"Break-even","Loss"))</f>
        <v>Profitable</v>
      </c>
      <c r="X352" s="1" t="str">
        <f aca="false">IF(Q352="Cancelled","Not Applicable",IF(Q352="Processing","Pending",IF(B352="","Unknown",IF(Orders!J352="","Unknown",IF(Orders!J352&lt;=3,"Fast",IF(Orders!J352&lt;=6,"Standard","Slow"))))))</f>
        <v>Standard</v>
      </c>
      <c r="Y352" s="1" t="n">
        <f aca="false">IF(OR(Q352="Cancelled",Q352="Returned"),0,O352)</f>
        <v>949</v>
      </c>
    </row>
    <row r="353" customFormat="false" ht="15" hidden="false" customHeight="false" outlineLevel="0" collapsed="false">
      <c r="A353" s="6" t="str">
        <f aca="false">Orders!A353</f>
        <v>O000352</v>
      </c>
      <c r="B353" s="19" t="n">
        <f aca="false">Orders!B353</f>
        <v>45817</v>
      </c>
      <c r="C353" s="6" t="str">
        <f aca="false">Orders!C353</f>
        <v>C0271</v>
      </c>
      <c r="D353" s="6" t="str">
        <f aca="false">Orders!D353</f>
        <v>P1086</v>
      </c>
      <c r="E353" s="6" t="str">
        <f aca="false">INDEX(Products!$B$2:$B$101,MATCH(D353,Products!$A$2:$A$101,0))</f>
        <v>Geometry Box</v>
      </c>
      <c r="F353" s="1" t="str">
        <f aca="false">INDEX(Products!$C$2:$C$101,MATCH(D353,Products!$A$2:$A$101,0))</f>
        <v>Books &amp; Stationery</v>
      </c>
      <c r="G353" s="6" t="n">
        <f aca="false">Orders!E353</f>
        <v>1</v>
      </c>
      <c r="H353" s="16" t="n">
        <f aca="false">INDEX(Products!$D$2:$D$101,MATCH(D353,Products!$A$2:$A$101,0))</f>
        <v>199</v>
      </c>
      <c r="I353" s="16" t="n">
        <f aca="false">INDEX(Products!$E$2:$E$101,MATCH(D353,Products!$A$2:$A$101,0))</f>
        <v>70</v>
      </c>
      <c r="J353" s="20" t="n">
        <f aca="false">Orders!F353</f>
        <v>0.05</v>
      </c>
      <c r="K353" s="6" t="n">
        <f aca="false">G353*H353</f>
        <v>199</v>
      </c>
      <c r="L353" s="6" t="n">
        <f aca="false">K353*J353</f>
        <v>9.95</v>
      </c>
      <c r="M353" s="6" t="n">
        <f aca="false">K353-L353</f>
        <v>189.05</v>
      </c>
      <c r="N353" s="6" t="n">
        <f aca="false">G353*I353</f>
        <v>70</v>
      </c>
      <c r="O353" s="6" t="n">
        <f aca="false">M353-N353</f>
        <v>119.05</v>
      </c>
      <c r="P353" s="21" t="n">
        <f aca="false">IFERROR(O353/M353,0)</f>
        <v>0.629727585294896</v>
      </c>
      <c r="Q353" s="6" t="str">
        <f aca="false">Orders!H353</f>
        <v>Delivered</v>
      </c>
      <c r="R353" s="1" t="str">
        <f aca="false">INDEX(Customers!$C$2:$C$301,MATCH(C353,Customers!$A$2:$A$301,0))</f>
        <v>Gurugram</v>
      </c>
      <c r="S353" s="1" t="str">
        <f aca="false">INDEX(Customers!$E$2:$E$301,MATCH(C353,Customers!$A$2:$A$301,0))</f>
        <v>New</v>
      </c>
      <c r="T353" s="6" t="str">
        <f aca="false">Orders!I353</f>
        <v>Website</v>
      </c>
      <c r="U353" s="1" t="str">
        <f aca="false">IF(Q353="Delivered","Completed",IF(Q353="Cancelled","Cancelled",IF(Q353="Returned","Returned","In Progress")))</f>
        <v>Completed</v>
      </c>
      <c r="V353" s="1" t="str">
        <f aca="false">IF(M353&gt;=10000,"High Value",IF(M353&gt;=5000,"Medium Value","Low Value"))</f>
        <v>Low Value</v>
      </c>
      <c r="W353" s="1" t="str">
        <f aca="false">IF(O353&gt;0,"Profitable",IF(O353=0,"Break-even","Loss"))</f>
        <v>Profitable</v>
      </c>
      <c r="X353" s="1" t="str">
        <f aca="false">IF(Q353="Cancelled","Not Applicable",IF(Q353="Processing","Pending",IF(B353="","Unknown",IF(Orders!J353="","Unknown",IF(Orders!J353&lt;=3,"Fast",IF(Orders!J353&lt;=6,"Standard","Slow"))))))</f>
        <v>Standard</v>
      </c>
      <c r="Y353" s="1" t="n">
        <f aca="false">IF(OR(Q353="Cancelled",Q353="Returned"),0,O353)</f>
        <v>119.05</v>
      </c>
    </row>
    <row r="354" customFormat="false" ht="15" hidden="false" customHeight="false" outlineLevel="0" collapsed="false">
      <c r="A354" s="6" t="str">
        <f aca="false">Orders!A354</f>
        <v>O000353</v>
      </c>
      <c r="B354" s="19" t="n">
        <f aca="false">Orders!B354</f>
        <v>45711</v>
      </c>
      <c r="C354" s="6" t="str">
        <f aca="false">Orders!C354</f>
        <v>C0085</v>
      </c>
      <c r="D354" s="6" t="str">
        <f aca="false">Orders!D354</f>
        <v>P1094</v>
      </c>
      <c r="E354" s="6" t="str">
        <f aca="false">INDEX(Products!$B$2:$B$101,MATCH(D354,Products!$A$2:$A$101,0))</f>
        <v>Room Heater</v>
      </c>
      <c r="F354" s="1" t="str">
        <f aca="false">INDEX(Products!$C$2:$C$101,MATCH(D354,Products!$A$2:$A$101,0))</f>
        <v>Appliances</v>
      </c>
      <c r="G354" s="6" t="n">
        <f aca="false">Orders!E354</f>
        <v>1</v>
      </c>
      <c r="H354" s="16" t="n">
        <f aca="false">INDEX(Products!$D$2:$D$101,MATCH(D354,Products!$A$2:$A$101,0))</f>
        <v>1999</v>
      </c>
      <c r="I354" s="16" t="n">
        <f aca="false">INDEX(Products!$E$2:$E$101,MATCH(D354,Products!$A$2:$A$101,0))</f>
        <v>1250</v>
      </c>
      <c r="J354" s="20" t="n">
        <f aca="false">Orders!F354</f>
        <v>0.1</v>
      </c>
      <c r="K354" s="6" t="n">
        <f aca="false">G354*H354</f>
        <v>1999</v>
      </c>
      <c r="L354" s="6" t="n">
        <f aca="false">K354*J354</f>
        <v>199.9</v>
      </c>
      <c r="M354" s="6" t="n">
        <f aca="false">K354-L354</f>
        <v>1799.1</v>
      </c>
      <c r="N354" s="6" t="n">
        <f aca="false">G354*I354</f>
        <v>1250</v>
      </c>
      <c r="O354" s="6" t="n">
        <f aca="false">M354-N354</f>
        <v>549.1</v>
      </c>
      <c r="P354" s="21" t="n">
        <f aca="false">IFERROR(O354/M354,0)</f>
        <v>0.305208159635373</v>
      </c>
      <c r="Q354" s="6" t="str">
        <f aca="false">Orders!H354</f>
        <v>Delivered</v>
      </c>
      <c r="R354" s="1" t="str">
        <f aca="false">INDEX(Customers!$C$2:$C$301,MATCH(C354,Customers!$A$2:$A$301,0))</f>
        <v>Chennai</v>
      </c>
      <c r="S354" s="1" t="str">
        <f aca="false">INDEX(Customers!$E$2:$E$301,MATCH(C354,Customers!$A$2:$A$301,0))</f>
        <v>VIP</v>
      </c>
      <c r="T354" s="6" t="str">
        <f aca="false">Orders!I354</f>
        <v>Website</v>
      </c>
      <c r="U354" s="1" t="str">
        <f aca="false">IF(Q354="Delivered","Completed",IF(Q354="Cancelled","Cancelled",IF(Q354="Returned","Returned","In Progress")))</f>
        <v>Completed</v>
      </c>
      <c r="V354" s="1" t="str">
        <f aca="false">IF(M354&gt;=10000,"High Value",IF(M354&gt;=5000,"Medium Value","Low Value"))</f>
        <v>Low Value</v>
      </c>
      <c r="W354" s="1" t="str">
        <f aca="false">IF(O354&gt;0,"Profitable",IF(O354=0,"Break-even","Loss"))</f>
        <v>Profitable</v>
      </c>
      <c r="X354" s="1" t="str">
        <f aca="false">IF(Q354="Cancelled","Not Applicable",IF(Q354="Processing","Pending",IF(B354="","Unknown",IF(Orders!J354="","Unknown",IF(Orders!J354&lt;=3,"Fast",IF(Orders!J354&lt;=6,"Standard","Slow"))))))</f>
        <v>Standard</v>
      </c>
      <c r="Y354" s="1" t="n">
        <f aca="false">IF(OR(Q354="Cancelled",Q354="Returned"),0,O354)</f>
        <v>549.1</v>
      </c>
    </row>
    <row r="355" customFormat="false" ht="15" hidden="false" customHeight="false" outlineLevel="0" collapsed="false">
      <c r="A355" s="6" t="str">
        <f aca="false">Orders!A355</f>
        <v>O000354</v>
      </c>
      <c r="B355" s="19" t="n">
        <f aca="false">Orders!B355</f>
        <v>45913</v>
      </c>
      <c r="C355" s="6" t="str">
        <f aca="false">Orders!C355</f>
        <v>C0190</v>
      </c>
      <c r="D355" s="6" t="str">
        <f aca="false">Orders!D355</f>
        <v>P1026</v>
      </c>
      <c r="E355" s="6" t="str">
        <f aca="false">INDEX(Products!$B$2:$B$101,MATCH(D355,Products!$A$2:$A$101,0))</f>
        <v>Sunglasses</v>
      </c>
      <c r="F355" s="1" t="str">
        <f aca="false">INDEX(Products!$C$2:$C$101,MATCH(D355,Products!$A$2:$A$101,0))</f>
        <v>Fashion</v>
      </c>
      <c r="G355" s="6" t="n">
        <f aca="false">Orders!E355</f>
        <v>1</v>
      </c>
      <c r="H355" s="16" t="n">
        <f aca="false">INDEX(Products!$D$2:$D$101,MATCH(D355,Products!$A$2:$A$101,0))</f>
        <v>799</v>
      </c>
      <c r="I355" s="16" t="n">
        <f aca="false">INDEX(Products!$E$2:$E$101,MATCH(D355,Products!$A$2:$A$101,0))</f>
        <v>300</v>
      </c>
      <c r="J355" s="20" t="n">
        <f aca="false">Orders!F355</f>
        <v>0.15</v>
      </c>
      <c r="K355" s="6" t="n">
        <f aca="false">G355*H355</f>
        <v>799</v>
      </c>
      <c r="L355" s="6" t="n">
        <f aca="false">K355*J355</f>
        <v>119.85</v>
      </c>
      <c r="M355" s="6" t="n">
        <f aca="false">K355-L355</f>
        <v>679.15</v>
      </c>
      <c r="N355" s="6" t="n">
        <f aca="false">G355*I355</f>
        <v>300</v>
      </c>
      <c r="O355" s="6" t="n">
        <f aca="false">M355-N355</f>
        <v>379.15</v>
      </c>
      <c r="P355" s="21" t="n">
        <f aca="false">IFERROR(O355/M355,0)</f>
        <v>0.558271368622543</v>
      </c>
      <c r="Q355" s="6" t="str">
        <f aca="false">Orders!H355</f>
        <v>Delivered</v>
      </c>
      <c r="R355" s="1" t="str">
        <f aca="false">INDEX(Customers!$C$2:$C$301,MATCH(C355,Customers!$A$2:$A$301,0))</f>
        <v>Lucknow</v>
      </c>
      <c r="S355" s="1" t="str">
        <f aca="false">INDEX(Customers!$E$2:$E$301,MATCH(C355,Customers!$A$2:$A$301,0))</f>
        <v>Returning</v>
      </c>
      <c r="T355" s="6" t="str">
        <f aca="false">Orders!I355</f>
        <v>Mobile App</v>
      </c>
      <c r="U355" s="1" t="str">
        <f aca="false">IF(Q355="Delivered","Completed",IF(Q355="Cancelled","Cancelled",IF(Q355="Returned","Returned","In Progress")))</f>
        <v>Completed</v>
      </c>
      <c r="V355" s="1" t="str">
        <f aca="false">IF(M355&gt;=10000,"High Value",IF(M355&gt;=5000,"Medium Value","Low Value"))</f>
        <v>Low Value</v>
      </c>
      <c r="W355" s="1" t="str">
        <f aca="false">IF(O355&gt;0,"Profitable",IF(O355=0,"Break-even","Loss"))</f>
        <v>Profitable</v>
      </c>
      <c r="X355" s="1" t="str">
        <f aca="false">IF(Q355="Cancelled","Not Applicable",IF(Q355="Processing","Pending",IF(B355="","Unknown",IF(Orders!J355="","Unknown",IF(Orders!J355&lt;=3,"Fast",IF(Orders!J355&lt;=6,"Standard","Slow"))))))</f>
        <v>Slow</v>
      </c>
      <c r="Y355" s="1" t="n">
        <f aca="false">IF(OR(Q355="Cancelled",Q355="Returned"),0,O355)</f>
        <v>379.15</v>
      </c>
    </row>
    <row r="356" customFormat="false" ht="15" hidden="false" customHeight="false" outlineLevel="0" collapsed="false">
      <c r="A356" s="6" t="str">
        <f aca="false">Orders!A356</f>
        <v>O000355</v>
      </c>
      <c r="B356" s="19" t="n">
        <f aca="false">Orders!B356</f>
        <v>46007</v>
      </c>
      <c r="C356" s="6" t="str">
        <f aca="false">Orders!C356</f>
        <v>C0089</v>
      </c>
      <c r="D356" s="6" t="str">
        <f aca="false">Orders!D356</f>
        <v>P1004</v>
      </c>
      <c r="E356" s="6" t="str">
        <f aca="false">INDEX(Products!$B$2:$B$101,MATCH(D356,Products!$A$2:$A$101,0))</f>
        <v>USB-C Cable</v>
      </c>
      <c r="F356" s="1" t="str">
        <f aca="false">INDEX(Products!$C$2:$C$101,MATCH(D356,Products!$A$2:$A$101,0))</f>
        <v>Electronics</v>
      </c>
      <c r="G356" s="6" t="n">
        <f aca="false">Orders!E356</f>
        <v>1</v>
      </c>
      <c r="H356" s="16" t="n">
        <f aca="false">INDEX(Products!$D$2:$D$101,MATCH(D356,Products!$A$2:$A$101,0))</f>
        <v>299</v>
      </c>
      <c r="I356" s="16" t="n">
        <f aca="false">INDEX(Products!$E$2:$E$101,MATCH(D356,Products!$A$2:$A$101,0))</f>
        <v>120</v>
      </c>
      <c r="J356" s="20" t="n">
        <f aca="false">Orders!F356</f>
        <v>0.1</v>
      </c>
      <c r="K356" s="6" t="n">
        <f aca="false">G356*H356</f>
        <v>299</v>
      </c>
      <c r="L356" s="6" t="n">
        <f aca="false">K356*J356</f>
        <v>29.9</v>
      </c>
      <c r="M356" s="6" t="n">
        <f aca="false">K356-L356</f>
        <v>269.1</v>
      </c>
      <c r="N356" s="6" t="n">
        <f aca="false">G356*I356</f>
        <v>120</v>
      </c>
      <c r="O356" s="6" t="n">
        <f aca="false">M356-N356</f>
        <v>149.1</v>
      </c>
      <c r="P356" s="21" t="n">
        <f aca="false">IFERROR(O356/M356,0)</f>
        <v>0.554069119286511</v>
      </c>
      <c r="Q356" s="6" t="str">
        <f aca="false">Orders!H356</f>
        <v>Delivered</v>
      </c>
      <c r="R356" s="1" t="str">
        <f aca="false">INDEX(Customers!$C$2:$C$301,MATCH(C356,Customers!$A$2:$A$301,0))</f>
        <v>Ahmedabad</v>
      </c>
      <c r="S356" s="1" t="str">
        <f aca="false">INDEX(Customers!$E$2:$E$301,MATCH(C356,Customers!$A$2:$A$301,0))</f>
        <v>New</v>
      </c>
      <c r="T356" s="6" t="str">
        <f aca="false">Orders!I356</f>
        <v>Website</v>
      </c>
      <c r="U356" s="1" t="str">
        <f aca="false">IF(Q356="Delivered","Completed",IF(Q356="Cancelled","Cancelled",IF(Q356="Returned","Returned","In Progress")))</f>
        <v>Completed</v>
      </c>
      <c r="V356" s="1" t="str">
        <f aca="false">IF(M356&gt;=10000,"High Value",IF(M356&gt;=5000,"Medium Value","Low Value"))</f>
        <v>Low Value</v>
      </c>
      <c r="W356" s="1" t="str">
        <f aca="false">IF(O356&gt;0,"Profitable",IF(O356=0,"Break-even","Loss"))</f>
        <v>Profitable</v>
      </c>
      <c r="X356" s="1" t="str">
        <f aca="false">IF(Q356="Cancelled","Not Applicable",IF(Q356="Processing","Pending",IF(B356="","Unknown",IF(Orders!J356="","Unknown",IF(Orders!J356&lt;=3,"Fast",IF(Orders!J356&lt;=6,"Standard","Slow"))))))</f>
        <v>Slow</v>
      </c>
      <c r="Y356" s="1" t="n">
        <f aca="false">IF(OR(Q356="Cancelled",Q356="Returned"),0,O356)</f>
        <v>149.1</v>
      </c>
    </row>
    <row r="357" customFormat="false" ht="15" hidden="false" customHeight="false" outlineLevel="0" collapsed="false">
      <c r="A357" s="6" t="str">
        <f aca="false">Orders!A357</f>
        <v>O000356</v>
      </c>
      <c r="B357" s="19" t="n">
        <f aca="false">Orders!B357</f>
        <v>45683</v>
      </c>
      <c r="C357" s="6" t="str">
        <f aca="false">Orders!C357</f>
        <v>C0085</v>
      </c>
      <c r="D357" s="6" t="str">
        <f aca="false">Orders!D357</f>
        <v>P1076</v>
      </c>
      <c r="E357" s="6" t="str">
        <f aca="false">INDEX(Products!$B$2:$B$101,MATCH(D357,Products!$A$2:$A$101,0))</f>
        <v>Desk Organizer</v>
      </c>
      <c r="F357" s="1" t="str">
        <f aca="false">INDEX(Products!$C$2:$C$101,MATCH(D357,Products!$A$2:$A$101,0))</f>
        <v>Books &amp; Stationery</v>
      </c>
      <c r="G357" s="6" t="n">
        <f aca="false">Orders!E357</f>
        <v>1</v>
      </c>
      <c r="H357" s="16" t="n">
        <f aca="false">INDEX(Products!$D$2:$D$101,MATCH(D357,Products!$A$2:$A$101,0))</f>
        <v>399</v>
      </c>
      <c r="I357" s="16" t="n">
        <f aca="false">INDEX(Products!$E$2:$E$101,MATCH(D357,Products!$A$2:$A$101,0))</f>
        <v>170</v>
      </c>
      <c r="J357" s="20" t="n">
        <f aca="false">Orders!F357</f>
        <v>0</v>
      </c>
      <c r="K357" s="6" t="n">
        <f aca="false">G357*H357</f>
        <v>399</v>
      </c>
      <c r="L357" s="6" t="n">
        <f aca="false">K357*J357</f>
        <v>0</v>
      </c>
      <c r="M357" s="6" t="n">
        <f aca="false">K357-L357</f>
        <v>399</v>
      </c>
      <c r="N357" s="6" t="n">
        <f aca="false">G357*I357</f>
        <v>170</v>
      </c>
      <c r="O357" s="6" t="n">
        <f aca="false">M357-N357</f>
        <v>229</v>
      </c>
      <c r="P357" s="21" t="n">
        <f aca="false">IFERROR(O357/M357,0)</f>
        <v>0.573934837092732</v>
      </c>
      <c r="Q357" s="6" t="str">
        <f aca="false">Orders!H357</f>
        <v>Delivered</v>
      </c>
      <c r="R357" s="1" t="str">
        <f aca="false">INDEX(Customers!$C$2:$C$301,MATCH(C357,Customers!$A$2:$A$301,0))</f>
        <v>Chennai</v>
      </c>
      <c r="S357" s="1" t="str">
        <f aca="false">INDEX(Customers!$E$2:$E$301,MATCH(C357,Customers!$A$2:$A$301,0))</f>
        <v>VIP</v>
      </c>
      <c r="T357" s="6" t="str">
        <f aca="false">Orders!I357</f>
        <v>Marketplace</v>
      </c>
      <c r="U357" s="1" t="str">
        <f aca="false">IF(Q357="Delivered","Completed",IF(Q357="Cancelled","Cancelled",IF(Q357="Returned","Returned","In Progress")))</f>
        <v>Completed</v>
      </c>
      <c r="V357" s="1" t="str">
        <f aca="false">IF(M357&gt;=10000,"High Value",IF(M357&gt;=5000,"Medium Value","Low Value"))</f>
        <v>Low Value</v>
      </c>
      <c r="W357" s="1" t="str">
        <f aca="false">IF(O357&gt;0,"Profitable",IF(O357=0,"Break-even","Loss"))</f>
        <v>Profitable</v>
      </c>
      <c r="X357" s="1" t="str">
        <f aca="false">IF(Q357="Cancelled","Not Applicable",IF(Q357="Processing","Pending",IF(B357="","Unknown",IF(Orders!J357="","Unknown",IF(Orders!J357&lt;=3,"Fast",IF(Orders!J357&lt;=6,"Standard","Slow"))))))</f>
        <v>Fast</v>
      </c>
      <c r="Y357" s="1" t="n">
        <f aca="false">IF(OR(Q357="Cancelled",Q357="Returned"),0,O357)</f>
        <v>229</v>
      </c>
    </row>
    <row r="358" customFormat="false" ht="23.85" hidden="false" customHeight="false" outlineLevel="0" collapsed="false">
      <c r="A358" s="6" t="str">
        <f aca="false">Orders!A358</f>
        <v>O000357</v>
      </c>
      <c r="B358" s="19" t="n">
        <f aca="false">Orders!B358</f>
        <v>45775</v>
      </c>
      <c r="C358" s="6" t="str">
        <f aca="false">Orders!C358</f>
        <v>C0074</v>
      </c>
      <c r="D358" s="6" t="str">
        <f aca="false">Orders!D358</f>
        <v>P1072</v>
      </c>
      <c r="E358" s="6" t="str">
        <f aca="false">INDEX(Products!$B$2:$B$101,MATCH(D358,Products!$A$2:$A$101,0))</f>
        <v>Tennis Balls Pack</v>
      </c>
      <c r="F358" s="1" t="str">
        <f aca="false">INDEX(Products!$C$2:$C$101,MATCH(D358,Products!$A$2:$A$101,0))</f>
        <v>Sports &amp; Outdoors</v>
      </c>
      <c r="G358" s="6" t="n">
        <f aca="false">Orders!E358</f>
        <v>1</v>
      </c>
      <c r="H358" s="16" t="n">
        <f aca="false">INDEX(Products!$D$2:$D$101,MATCH(D358,Products!$A$2:$A$101,0))</f>
        <v>399</v>
      </c>
      <c r="I358" s="16" t="n">
        <f aca="false">INDEX(Products!$E$2:$E$101,MATCH(D358,Products!$A$2:$A$101,0))</f>
        <v>160</v>
      </c>
      <c r="J358" s="20" t="n">
        <f aca="false">Orders!F358</f>
        <v>0</v>
      </c>
      <c r="K358" s="6" t="n">
        <f aca="false">G358*H358</f>
        <v>399</v>
      </c>
      <c r="L358" s="6" t="n">
        <f aca="false">K358*J358</f>
        <v>0</v>
      </c>
      <c r="M358" s="6" t="n">
        <f aca="false">K358-L358</f>
        <v>399</v>
      </c>
      <c r="N358" s="6" t="n">
        <f aca="false">G358*I358</f>
        <v>160</v>
      </c>
      <c r="O358" s="6" t="n">
        <f aca="false">M358-N358</f>
        <v>239</v>
      </c>
      <c r="P358" s="21" t="n">
        <f aca="false">IFERROR(O358/M358,0)</f>
        <v>0.598997493734336</v>
      </c>
      <c r="Q358" s="6" t="str">
        <f aca="false">Orders!H358</f>
        <v>Shipped</v>
      </c>
      <c r="R358" s="1" t="str">
        <f aca="false">INDEX(Customers!$C$2:$C$301,MATCH(C358,Customers!$A$2:$A$301,0))</f>
        <v>Indore</v>
      </c>
      <c r="S358" s="1" t="str">
        <f aca="false">INDEX(Customers!$E$2:$E$301,MATCH(C358,Customers!$A$2:$A$301,0))</f>
        <v>New</v>
      </c>
      <c r="T358" s="6" t="str">
        <f aca="false">Orders!I358</f>
        <v>Marketplace</v>
      </c>
      <c r="U358" s="1" t="str">
        <f aca="false">IF(Q358="Delivered","Completed",IF(Q358="Cancelled","Cancelled",IF(Q358="Returned","Returned","In Progress")))</f>
        <v>In Progress</v>
      </c>
      <c r="V358" s="1" t="str">
        <f aca="false">IF(M358&gt;=10000,"High Value",IF(M358&gt;=5000,"Medium Value","Low Value"))</f>
        <v>Low Value</v>
      </c>
      <c r="W358" s="1" t="str">
        <f aca="false">IF(O358&gt;0,"Profitable",IF(O358=0,"Break-even","Loss"))</f>
        <v>Profitable</v>
      </c>
      <c r="X358" s="1" t="str">
        <f aca="false">IF(Q358="Cancelled","Not Applicable",IF(Q358="Processing","Pending",IF(B358="","Unknown",IF(Orders!J358="","Unknown",IF(Orders!J358&lt;=3,"Fast",IF(Orders!J358&lt;=6,"Standard","Slow"))))))</f>
        <v>Slow</v>
      </c>
      <c r="Y358" s="1" t="n">
        <f aca="false">IF(OR(Q358="Cancelled",Q358="Returned"),0,O358)</f>
        <v>239</v>
      </c>
    </row>
    <row r="359" customFormat="false" ht="15" hidden="false" customHeight="false" outlineLevel="0" collapsed="false">
      <c r="A359" s="6" t="str">
        <f aca="false">Orders!A359</f>
        <v>O000358</v>
      </c>
      <c r="B359" s="19" t="n">
        <f aca="false">Orders!B359</f>
        <v>45823</v>
      </c>
      <c r="C359" s="6" t="str">
        <f aca="false">Orders!C359</f>
        <v>C0089</v>
      </c>
      <c r="D359" s="6" t="str">
        <f aca="false">Orders!D359</f>
        <v>P1030</v>
      </c>
      <c r="E359" s="6" t="str">
        <f aca="false">INDEX(Products!$B$2:$B$101,MATCH(D359,Products!$A$2:$A$101,0))</f>
        <v>Formal Shoes</v>
      </c>
      <c r="F359" s="1" t="str">
        <f aca="false">INDEX(Products!$C$2:$C$101,MATCH(D359,Products!$A$2:$A$101,0))</f>
        <v>Fashion</v>
      </c>
      <c r="G359" s="6" t="n">
        <f aca="false">Orders!E359</f>
        <v>1</v>
      </c>
      <c r="H359" s="16" t="n">
        <f aca="false">INDEX(Products!$D$2:$D$101,MATCH(D359,Products!$A$2:$A$101,0))</f>
        <v>2299</v>
      </c>
      <c r="I359" s="16" t="n">
        <f aca="false">INDEX(Products!$E$2:$E$101,MATCH(D359,Products!$A$2:$A$101,0))</f>
        <v>1300</v>
      </c>
      <c r="J359" s="20" t="n">
        <f aca="false">Orders!F359</f>
        <v>0.1</v>
      </c>
      <c r="K359" s="6" t="n">
        <f aca="false">G359*H359</f>
        <v>2299</v>
      </c>
      <c r="L359" s="6" t="n">
        <f aca="false">K359*J359</f>
        <v>229.9</v>
      </c>
      <c r="M359" s="6" t="n">
        <f aca="false">K359-L359</f>
        <v>2069.1</v>
      </c>
      <c r="N359" s="6" t="n">
        <f aca="false">G359*I359</f>
        <v>1300</v>
      </c>
      <c r="O359" s="6" t="n">
        <f aca="false">M359-N359</f>
        <v>769.1</v>
      </c>
      <c r="P359" s="21" t="n">
        <f aca="false">IFERROR(O359/M359,0)</f>
        <v>0.371707505678798</v>
      </c>
      <c r="Q359" s="6" t="str">
        <f aca="false">Orders!H359</f>
        <v>Delivered</v>
      </c>
      <c r="R359" s="1" t="str">
        <f aca="false">INDEX(Customers!$C$2:$C$301,MATCH(C359,Customers!$A$2:$A$301,0))</f>
        <v>Ahmedabad</v>
      </c>
      <c r="S359" s="1" t="str">
        <f aca="false">INDEX(Customers!$E$2:$E$301,MATCH(C359,Customers!$A$2:$A$301,0))</f>
        <v>New</v>
      </c>
      <c r="T359" s="6" t="str">
        <f aca="false">Orders!I359</f>
        <v>Marketplace</v>
      </c>
      <c r="U359" s="1" t="str">
        <f aca="false">IF(Q359="Delivered","Completed",IF(Q359="Cancelled","Cancelled",IF(Q359="Returned","Returned","In Progress")))</f>
        <v>Completed</v>
      </c>
      <c r="V359" s="1" t="str">
        <f aca="false">IF(M359&gt;=10000,"High Value",IF(M359&gt;=5000,"Medium Value","Low Value"))</f>
        <v>Low Value</v>
      </c>
      <c r="W359" s="1" t="str">
        <f aca="false">IF(O359&gt;0,"Profitable",IF(O359=0,"Break-even","Loss"))</f>
        <v>Profitable</v>
      </c>
      <c r="X359" s="1" t="str">
        <f aca="false">IF(Q359="Cancelled","Not Applicable",IF(Q359="Processing","Pending",IF(B359="","Unknown",IF(Orders!J359="","Unknown",IF(Orders!J359&lt;=3,"Fast",IF(Orders!J359&lt;=6,"Standard","Slow"))))))</f>
        <v>Slow</v>
      </c>
      <c r="Y359" s="1" t="n">
        <f aca="false">IF(OR(Q359="Cancelled",Q359="Returned"),0,O359)</f>
        <v>769.1</v>
      </c>
    </row>
    <row r="360" customFormat="false" ht="15" hidden="false" customHeight="false" outlineLevel="0" collapsed="false">
      <c r="A360" s="6" t="str">
        <f aca="false">Orders!A360</f>
        <v>O000359</v>
      </c>
      <c r="B360" s="19" t="n">
        <f aca="false">Orders!B360</f>
        <v>45767</v>
      </c>
      <c r="C360" s="6" t="str">
        <f aca="false">Orders!C360</f>
        <v>C0226</v>
      </c>
      <c r="D360" s="6" t="str">
        <f aca="false">Orders!D360</f>
        <v>P1059</v>
      </c>
      <c r="E360" s="6" t="str">
        <f aca="false">INDEX(Products!$B$2:$B$101,MATCH(D360,Products!$A$2:$A$101,0))</f>
        <v>Bath Gift Set</v>
      </c>
      <c r="F360" s="1" t="str">
        <f aca="false">INDEX(Products!$C$2:$C$101,MATCH(D360,Products!$A$2:$A$101,0))</f>
        <v>Beauty</v>
      </c>
      <c r="G360" s="6" t="n">
        <f aca="false">Orders!E360</f>
        <v>1</v>
      </c>
      <c r="H360" s="16" t="n">
        <f aca="false">INDEX(Products!$D$2:$D$101,MATCH(D360,Products!$A$2:$A$101,0))</f>
        <v>699</v>
      </c>
      <c r="I360" s="16" t="n">
        <f aca="false">INDEX(Products!$E$2:$E$101,MATCH(D360,Products!$A$2:$A$101,0))</f>
        <v>350</v>
      </c>
      <c r="J360" s="20" t="n">
        <f aca="false">Orders!F360</f>
        <v>0.25</v>
      </c>
      <c r="K360" s="6" t="n">
        <f aca="false">G360*H360</f>
        <v>699</v>
      </c>
      <c r="L360" s="6" t="n">
        <f aca="false">K360*J360</f>
        <v>174.75</v>
      </c>
      <c r="M360" s="6" t="n">
        <f aca="false">K360-L360</f>
        <v>524.25</v>
      </c>
      <c r="N360" s="6" t="n">
        <f aca="false">G360*I360</f>
        <v>350</v>
      </c>
      <c r="O360" s="6" t="n">
        <f aca="false">M360-N360</f>
        <v>174.25</v>
      </c>
      <c r="P360" s="21" t="n">
        <f aca="false">IFERROR(O360/M360,0)</f>
        <v>0.33237958989032</v>
      </c>
      <c r="Q360" s="6" t="str">
        <f aca="false">Orders!H360</f>
        <v>Delivered</v>
      </c>
      <c r="R360" s="1" t="str">
        <f aca="false">INDEX(Customers!$C$2:$C$301,MATCH(C360,Customers!$A$2:$A$301,0))</f>
        <v>Kolkata</v>
      </c>
      <c r="S360" s="1" t="str">
        <f aca="false">INDEX(Customers!$E$2:$E$301,MATCH(C360,Customers!$A$2:$A$301,0))</f>
        <v>Returning</v>
      </c>
      <c r="T360" s="6" t="str">
        <f aca="false">Orders!I360</f>
        <v>Marketplace</v>
      </c>
      <c r="U360" s="1" t="str">
        <f aca="false">IF(Q360="Delivered","Completed",IF(Q360="Cancelled","Cancelled",IF(Q360="Returned","Returned","In Progress")))</f>
        <v>Completed</v>
      </c>
      <c r="V360" s="1" t="str">
        <f aca="false">IF(M360&gt;=10000,"High Value",IF(M360&gt;=5000,"Medium Value","Low Value"))</f>
        <v>Low Value</v>
      </c>
      <c r="W360" s="1" t="str">
        <f aca="false">IF(O360&gt;0,"Profitable",IF(O360=0,"Break-even","Loss"))</f>
        <v>Profitable</v>
      </c>
      <c r="X360" s="1" t="str">
        <f aca="false">IF(Q360="Cancelled","Not Applicable",IF(Q360="Processing","Pending",IF(B360="","Unknown",IF(Orders!J360="","Unknown",IF(Orders!J360&lt;=3,"Fast",IF(Orders!J360&lt;=6,"Standard","Slow"))))))</f>
        <v>Fast</v>
      </c>
      <c r="Y360" s="1" t="n">
        <f aca="false">IF(OR(Q360="Cancelled",Q360="Returned"),0,O360)</f>
        <v>174.25</v>
      </c>
    </row>
    <row r="361" customFormat="false" ht="23.85" hidden="false" customHeight="false" outlineLevel="0" collapsed="false">
      <c r="A361" s="6" t="str">
        <f aca="false">Orders!A361</f>
        <v>O000360</v>
      </c>
      <c r="B361" s="19" t="n">
        <f aca="false">Orders!B361</f>
        <v>45781</v>
      </c>
      <c r="C361" s="6" t="str">
        <f aca="false">Orders!C361</f>
        <v>C0168</v>
      </c>
      <c r="D361" s="6" t="str">
        <f aca="false">Orders!D361</f>
        <v>P1002</v>
      </c>
      <c r="E361" s="6" t="str">
        <f aca="false">INDEX(Products!$B$2:$B$101,MATCH(D361,Products!$A$2:$A$101,0))</f>
        <v>Bluetooth Speaker</v>
      </c>
      <c r="F361" s="1" t="str">
        <f aca="false">INDEX(Products!$C$2:$C$101,MATCH(D361,Products!$A$2:$A$101,0))</f>
        <v>Electronics</v>
      </c>
      <c r="G361" s="6" t="n">
        <f aca="false">Orders!E361</f>
        <v>1</v>
      </c>
      <c r="H361" s="16" t="n">
        <f aca="false">INDEX(Products!$D$2:$D$101,MATCH(D361,Products!$A$2:$A$101,0))</f>
        <v>1499</v>
      </c>
      <c r="I361" s="16" t="n">
        <f aca="false">INDEX(Products!$E$2:$E$101,MATCH(D361,Products!$A$2:$A$101,0))</f>
        <v>850</v>
      </c>
      <c r="J361" s="20" t="n">
        <f aca="false">Orders!F361</f>
        <v>0.15</v>
      </c>
      <c r="K361" s="6" t="n">
        <f aca="false">G361*H361</f>
        <v>1499</v>
      </c>
      <c r="L361" s="6" t="n">
        <f aca="false">K361*J361</f>
        <v>224.85</v>
      </c>
      <c r="M361" s="6" t="n">
        <f aca="false">K361-L361</f>
        <v>1274.15</v>
      </c>
      <c r="N361" s="6" t="n">
        <f aca="false">G361*I361</f>
        <v>850</v>
      </c>
      <c r="O361" s="6" t="n">
        <f aca="false">M361-N361</f>
        <v>424.15</v>
      </c>
      <c r="P361" s="21" t="n">
        <f aca="false">IFERROR(O361/M361,0)</f>
        <v>0.33288859239493</v>
      </c>
      <c r="Q361" s="6" t="str">
        <f aca="false">Orders!H361</f>
        <v>Shipped</v>
      </c>
      <c r="R361" s="1" t="str">
        <f aca="false">INDEX(Customers!$C$2:$C$301,MATCH(C361,Customers!$A$2:$A$301,0))</f>
        <v>Jaipur</v>
      </c>
      <c r="S361" s="1" t="str">
        <f aca="false">INDEX(Customers!$E$2:$E$301,MATCH(C361,Customers!$A$2:$A$301,0))</f>
        <v>Returning</v>
      </c>
      <c r="T361" s="6" t="str">
        <f aca="false">Orders!I361</f>
        <v>Marketplace</v>
      </c>
      <c r="U361" s="1" t="str">
        <f aca="false">IF(Q361="Delivered","Completed",IF(Q361="Cancelled","Cancelled",IF(Q361="Returned","Returned","In Progress")))</f>
        <v>In Progress</v>
      </c>
      <c r="V361" s="1" t="str">
        <f aca="false">IF(M361&gt;=10000,"High Value",IF(M361&gt;=5000,"Medium Value","Low Value"))</f>
        <v>Low Value</v>
      </c>
      <c r="W361" s="1" t="str">
        <f aca="false">IF(O361&gt;0,"Profitable",IF(O361=0,"Break-even","Loss"))</f>
        <v>Profitable</v>
      </c>
      <c r="X361" s="1" t="str">
        <f aca="false">IF(Q361="Cancelled","Not Applicable",IF(Q361="Processing","Pending",IF(B361="","Unknown",IF(Orders!J361="","Unknown",IF(Orders!J361&lt;=3,"Fast",IF(Orders!J361&lt;=6,"Standard","Slow"))))))</f>
        <v>Fast</v>
      </c>
      <c r="Y361" s="1" t="n">
        <f aca="false">IF(OR(Q361="Cancelled",Q361="Returned"),0,O361)</f>
        <v>424.15</v>
      </c>
    </row>
    <row r="362" customFormat="false" ht="15" hidden="false" customHeight="false" outlineLevel="0" collapsed="false">
      <c r="A362" s="6" t="str">
        <f aca="false">Orders!A362</f>
        <v>O000361</v>
      </c>
      <c r="B362" s="19" t="n">
        <f aca="false">Orders!B362</f>
        <v>45913</v>
      </c>
      <c r="C362" s="6" t="str">
        <f aca="false">Orders!C362</f>
        <v>C0254</v>
      </c>
      <c r="D362" s="6" t="str">
        <f aca="false">Orders!D362</f>
        <v>P1043</v>
      </c>
      <c r="E362" s="6" t="str">
        <f aca="false">INDEX(Products!$B$2:$B$101,MATCH(D362,Products!$A$2:$A$101,0))</f>
        <v>Kitchen Rack</v>
      </c>
      <c r="F362" s="1" t="str">
        <f aca="false">INDEX(Products!$C$2:$C$101,MATCH(D362,Products!$A$2:$A$101,0))</f>
        <v>Home &amp; Kitchen</v>
      </c>
      <c r="G362" s="6" t="n">
        <f aca="false">Orders!E362</f>
        <v>1</v>
      </c>
      <c r="H362" s="16" t="n">
        <f aca="false">INDEX(Products!$D$2:$D$101,MATCH(D362,Products!$A$2:$A$101,0))</f>
        <v>1299</v>
      </c>
      <c r="I362" s="16" t="n">
        <f aca="false">INDEX(Products!$E$2:$E$101,MATCH(D362,Products!$A$2:$A$101,0))</f>
        <v>700</v>
      </c>
      <c r="J362" s="20" t="n">
        <f aca="false">Orders!F362</f>
        <v>0</v>
      </c>
      <c r="K362" s="6" t="n">
        <f aca="false">G362*H362</f>
        <v>1299</v>
      </c>
      <c r="L362" s="6" t="n">
        <f aca="false">K362*J362</f>
        <v>0</v>
      </c>
      <c r="M362" s="6" t="n">
        <f aca="false">K362-L362</f>
        <v>1299</v>
      </c>
      <c r="N362" s="6" t="n">
        <f aca="false">G362*I362</f>
        <v>700</v>
      </c>
      <c r="O362" s="6" t="n">
        <f aca="false">M362-N362</f>
        <v>599</v>
      </c>
      <c r="P362" s="21" t="n">
        <f aca="false">IFERROR(O362/M362,0)</f>
        <v>0.461123941493457</v>
      </c>
      <c r="Q362" s="6" t="str">
        <f aca="false">Orders!H362</f>
        <v>Processing</v>
      </c>
      <c r="R362" s="1" t="str">
        <f aca="false">INDEX(Customers!$C$2:$C$301,MATCH(C362,Customers!$A$2:$A$301,0))</f>
        <v>Indore</v>
      </c>
      <c r="S362" s="1" t="str">
        <f aca="false">INDEX(Customers!$E$2:$E$301,MATCH(C362,Customers!$A$2:$A$301,0))</f>
        <v>Returning</v>
      </c>
      <c r="T362" s="6" t="str">
        <f aca="false">Orders!I362</f>
        <v>Marketplace</v>
      </c>
      <c r="U362" s="1" t="str">
        <f aca="false">IF(Q362="Delivered","Completed",IF(Q362="Cancelled","Cancelled",IF(Q362="Returned","Returned","In Progress")))</f>
        <v>In Progress</v>
      </c>
      <c r="V362" s="1" t="str">
        <f aca="false">IF(M362&gt;=10000,"High Value",IF(M362&gt;=5000,"Medium Value","Low Value"))</f>
        <v>Low Value</v>
      </c>
      <c r="W362" s="1" t="str">
        <f aca="false">IF(O362&gt;0,"Profitable",IF(O362=0,"Break-even","Loss"))</f>
        <v>Profitable</v>
      </c>
      <c r="X362" s="1" t="str">
        <f aca="false">IF(Q362="Cancelled","Not Applicable",IF(Q362="Processing","Pending",IF(B362="","Unknown",IF(Orders!J362="","Unknown",IF(Orders!J362&lt;=3,"Fast",IF(Orders!J362&lt;=6,"Standard","Slow"))))))</f>
        <v>Pending</v>
      </c>
      <c r="Y362" s="1" t="n">
        <f aca="false">IF(OR(Q362="Cancelled",Q362="Returned"),0,O362)</f>
        <v>599</v>
      </c>
    </row>
    <row r="363" customFormat="false" ht="15" hidden="false" customHeight="false" outlineLevel="0" collapsed="false">
      <c r="A363" s="6" t="str">
        <f aca="false">Orders!A363</f>
        <v>O000362</v>
      </c>
      <c r="B363" s="19" t="n">
        <f aca="false">Orders!B363</f>
        <v>45808</v>
      </c>
      <c r="C363" s="6" t="str">
        <f aca="false">Orders!C363</f>
        <v>C0175</v>
      </c>
      <c r="D363" s="6" t="str">
        <f aca="false">Orders!D363</f>
        <v>P1043</v>
      </c>
      <c r="E363" s="6" t="str">
        <f aca="false">INDEX(Products!$B$2:$B$101,MATCH(D363,Products!$A$2:$A$101,0))</f>
        <v>Kitchen Rack</v>
      </c>
      <c r="F363" s="1" t="str">
        <f aca="false">INDEX(Products!$C$2:$C$101,MATCH(D363,Products!$A$2:$A$101,0))</f>
        <v>Home &amp; Kitchen</v>
      </c>
      <c r="G363" s="6" t="n">
        <f aca="false">Orders!E363</f>
        <v>4</v>
      </c>
      <c r="H363" s="16" t="n">
        <f aca="false">INDEX(Products!$D$2:$D$101,MATCH(D363,Products!$A$2:$A$101,0))</f>
        <v>1299</v>
      </c>
      <c r="I363" s="16" t="n">
        <f aca="false">INDEX(Products!$E$2:$E$101,MATCH(D363,Products!$A$2:$A$101,0))</f>
        <v>700</v>
      </c>
      <c r="J363" s="20" t="n">
        <f aca="false">Orders!F363</f>
        <v>0.05</v>
      </c>
      <c r="K363" s="6" t="n">
        <f aca="false">G363*H363</f>
        <v>5196</v>
      </c>
      <c r="L363" s="6" t="n">
        <f aca="false">K363*J363</f>
        <v>259.8</v>
      </c>
      <c r="M363" s="6" t="n">
        <f aca="false">K363-L363</f>
        <v>4936.2</v>
      </c>
      <c r="N363" s="6" t="n">
        <f aca="false">G363*I363</f>
        <v>2800</v>
      </c>
      <c r="O363" s="6" t="n">
        <f aca="false">M363-N363</f>
        <v>2136.2</v>
      </c>
      <c r="P363" s="21" t="n">
        <f aca="false">IFERROR(O363/M363,0)</f>
        <v>0.432762043677323</v>
      </c>
      <c r="Q363" s="6" t="str">
        <f aca="false">Orders!H363</f>
        <v>Shipped</v>
      </c>
      <c r="R363" s="1" t="str">
        <f aca="false">INDEX(Customers!$C$2:$C$301,MATCH(C363,Customers!$A$2:$A$301,0))</f>
        <v>Bhopal</v>
      </c>
      <c r="S363" s="1" t="str">
        <f aca="false">INDEX(Customers!$E$2:$E$301,MATCH(C363,Customers!$A$2:$A$301,0))</f>
        <v>Returning</v>
      </c>
      <c r="T363" s="6" t="str">
        <f aca="false">Orders!I363</f>
        <v>Mobile App</v>
      </c>
      <c r="U363" s="1" t="str">
        <f aca="false">IF(Q363="Delivered","Completed",IF(Q363="Cancelled","Cancelled",IF(Q363="Returned","Returned","In Progress")))</f>
        <v>In Progress</v>
      </c>
      <c r="V363" s="1" t="str">
        <f aca="false">IF(M363&gt;=10000,"High Value",IF(M363&gt;=5000,"Medium Value","Low Value"))</f>
        <v>Low Value</v>
      </c>
      <c r="W363" s="1" t="str">
        <f aca="false">IF(O363&gt;0,"Profitable",IF(O363=0,"Break-even","Loss"))</f>
        <v>Profitable</v>
      </c>
      <c r="X363" s="1" t="str">
        <f aca="false">IF(Q363="Cancelled","Not Applicable",IF(Q363="Processing","Pending",IF(B363="","Unknown",IF(Orders!J363="","Unknown",IF(Orders!J363&lt;=3,"Fast",IF(Orders!J363&lt;=6,"Standard","Slow"))))))</f>
        <v>Fast</v>
      </c>
      <c r="Y363" s="1" t="n">
        <f aca="false">IF(OR(Q363="Cancelled",Q363="Returned"),0,O363)</f>
        <v>2136.2</v>
      </c>
    </row>
    <row r="364" customFormat="false" ht="15" hidden="false" customHeight="false" outlineLevel="0" collapsed="false">
      <c r="A364" s="6" t="str">
        <f aca="false">Orders!A364</f>
        <v>O000363</v>
      </c>
      <c r="B364" s="19" t="n">
        <f aca="false">Orders!B364</f>
        <v>45786</v>
      </c>
      <c r="C364" s="6" t="str">
        <f aca="false">Orders!C364</f>
        <v>C0293</v>
      </c>
      <c r="D364" s="6" t="str">
        <f aca="false">Orders!D364</f>
        <v>P1022</v>
      </c>
      <c r="E364" s="6" t="str">
        <f aca="false">INDEX(Products!$B$2:$B$101,MATCH(D364,Products!$A$2:$A$101,0))</f>
        <v>Wallet</v>
      </c>
      <c r="F364" s="1" t="str">
        <f aca="false">INDEX(Products!$C$2:$C$101,MATCH(D364,Products!$A$2:$A$101,0))</f>
        <v>Fashion</v>
      </c>
      <c r="G364" s="6" t="n">
        <f aca="false">Orders!E364</f>
        <v>2</v>
      </c>
      <c r="H364" s="16" t="n">
        <f aca="false">INDEX(Products!$D$2:$D$101,MATCH(D364,Products!$A$2:$A$101,0))</f>
        <v>499</v>
      </c>
      <c r="I364" s="16" t="n">
        <f aca="false">INDEX(Products!$E$2:$E$101,MATCH(D364,Products!$A$2:$A$101,0))</f>
        <v>200</v>
      </c>
      <c r="J364" s="20" t="n">
        <f aca="false">Orders!F364</f>
        <v>0</v>
      </c>
      <c r="K364" s="6" t="n">
        <f aca="false">G364*H364</f>
        <v>998</v>
      </c>
      <c r="L364" s="6" t="n">
        <f aca="false">K364*J364</f>
        <v>0</v>
      </c>
      <c r="M364" s="6" t="n">
        <f aca="false">K364-L364</f>
        <v>998</v>
      </c>
      <c r="N364" s="6" t="n">
        <f aca="false">G364*I364</f>
        <v>400</v>
      </c>
      <c r="O364" s="6" t="n">
        <f aca="false">M364-N364</f>
        <v>598</v>
      </c>
      <c r="P364" s="21" t="n">
        <f aca="false">IFERROR(O364/M364,0)</f>
        <v>0.599198396793587</v>
      </c>
      <c r="Q364" s="6" t="str">
        <f aca="false">Orders!H364</f>
        <v>Delivered</v>
      </c>
      <c r="R364" s="1" t="str">
        <f aca="false">INDEX(Customers!$C$2:$C$301,MATCH(C364,Customers!$A$2:$A$301,0))</f>
        <v>Kochi</v>
      </c>
      <c r="S364" s="1" t="str">
        <f aca="false">INDEX(Customers!$E$2:$E$301,MATCH(C364,Customers!$A$2:$A$301,0))</f>
        <v>VIP</v>
      </c>
      <c r="T364" s="6" t="str">
        <f aca="false">Orders!I364</f>
        <v>Website</v>
      </c>
      <c r="U364" s="1" t="str">
        <f aca="false">IF(Q364="Delivered","Completed",IF(Q364="Cancelled","Cancelled",IF(Q364="Returned","Returned","In Progress")))</f>
        <v>Completed</v>
      </c>
      <c r="V364" s="1" t="str">
        <f aca="false">IF(M364&gt;=10000,"High Value",IF(M364&gt;=5000,"Medium Value","Low Value"))</f>
        <v>Low Value</v>
      </c>
      <c r="W364" s="1" t="str">
        <f aca="false">IF(O364&gt;0,"Profitable",IF(O364=0,"Break-even","Loss"))</f>
        <v>Profitable</v>
      </c>
      <c r="X364" s="1" t="str">
        <f aca="false">IF(Q364="Cancelled","Not Applicable",IF(Q364="Processing","Pending",IF(B364="","Unknown",IF(Orders!J364="","Unknown",IF(Orders!J364&lt;=3,"Fast",IF(Orders!J364&lt;=6,"Standard","Slow"))))))</f>
        <v>Slow</v>
      </c>
      <c r="Y364" s="1" t="n">
        <f aca="false">IF(OR(Q364="Cancelled",Q364="Returned"),0,O364)</f>
        <v>598</v>
      </c>
    </row>
    <row r="365" customFormat="false" ht="15" hidden="false" customHeight="false" outlineLevel="0" collapsed="false">
      <c r="A365" s="6" t="str">
        <f aca="false">Orders!A365</f>
        <v>O000364</v>
      </c>
      <c r="B365" s="19" t="n">
        <f aca="false">Orders!B365</f>
        <v>45695</v>
      </c>
      <c r="C365" s="6" t="str">
        <f aca="false">Orders!C365</f>
        <v>C0022</v>
      </c>
      <c r="D365" s="6" t="str">
        <f aca="false">Orders!D365</f>
        <v>P1094</v>
      </c>
      <c r="E365" s="6" t="str">
        <f aca="false">INDEX(Products!$B$2:$B$101,MATCH(D365,Products!$A$2:$A$101,0))</f>
        <v>Room Heater</v>
      </c>
      <c r="F365" s="1" t="str">
        <f aca="false">INDEX(Products!$C$2:$C$101,MATCH(D365,Products!$A$2:$A$101,0))</f>
        <v>Appliances</v>
      </c>
      <c r="G365" s="6" t="n">
        <f aca="false">Orders!E365</f>
        <v>4</v>
      </c>
      <c r="H365" s="16" t="n">
        <f aca="false">INDEX(Products!$D$2:$D$101,MATCH(D365,Products!$A$2:$A$101,0))</f>
        <v>1999</v>
      </c>
      <c r="I365" s="16" t="n">
        <f aca="false">INDEX(Products!$E$2:$E$101,MATCH(D365,Products!$A$2:$A$101,0))</f>
        <v>1250</v>
      </c>
      <c r="J365" s="20" t="n">
        <f aca="false">Orders!F365</f>
        <v>0.15</v>
      </c>
      <c r="K365" s="6" t="n">
        <f aca="false">G365*H365</f>
        <v>7996</v>
      </c>
      <c r="L365" s="6" t="n">
        <f aca="false">K365*J365</f>
        <v>1199.4</v>
      </c>
      <c r="M365" s="6" t="n">
        <f aca="false">K365-L365</f>
        <v>6796.6</v>
      </c>
      <c r="N365" s="6" t="n">
        <f aca="false">G365*I365</f>
        <v>5000</v>
      </c>
      <c r="O365" s="6" t="n">
        <f aca="false">M365-N365</f>
        <v>1796.6</v>
      </c>
      <c r="P365" s="21" t="n">
        <f aca="false">IFERROR(O365/M365,0)</f>
        <v>0.264338051378631</v>
      </c>
      <c r="Q365" s="6" t="str">
        <f aca="false">Orders!H365</f>
        <v>Delivered</v>
      </c>
      <c r="R365" s="1" t="str">
        <f aca="false">INDEX(Customers!$C$2:$C$301,MATCH(C365,Customers!$A$2:$A$301,0))</f>
        <v>Mumbai</v>
      </c>
      <c r="S365" s="1" t="str">
        <f aca="false">INDEX(Customers!$E$2:$E$301,MATCH(C365,Customers!$A$2:$A$301,0))</f>
        <v>Returning</v>
      </c>
      <c r="T365" s="6" t="str">
        <f aca="false">Orders!I365</f>
        <v>Marketplace</v>
      </c>
      <c r="U365" s="1" t="str">
        <f aca="false">IF(Q365="Delivered","Completed",IF(Q365="Cancelled","Cancelled",IF(Q365="Returned","Returned","In Progress")))</f>
        <v>Completed</v>
      </c>
      <c r="V365" s="1" t="str">
        <f aca="false">IF(M365&gt;=10000,"High Value",IF(M365&gt;=5000,"Medium Value","Low Value"))</f>
        <v>Medium Value</v>
      </c>
      <c r="W365" s="1" t="str">
        <f aca="false">IF(O365&gt;0,"Profitable",IF(O365=0,"Break-even","Loss"))</f>
        <v>Profitable</v>
      </c>
      <c r="X365" s="1" t="str">
        <f aca="false">IF(Q365="Cancelled","Not Applicable",IF(Q365="Processing","Pending",IF(B365="","Unknown",IF(Orders!J365="","Unknown",IF(Orders!J365&lt;=3,"Fast",IF(Orders!J365&lt;=6,"Standard","Slow"))))))</f>
        <v>Slow</v>
      </c>
      <c r="Y365" s="1" t="n">
        <f aca="false">IF(OR(Q365="Cancelled",Q365="Returned"),0,O365)</f>
        <v>1796.6</v>
      </c>
    </row>
    <row r="366" customFormat="false" ht="15" hidden="false" customHeight="false" outlineLevel="0" collapsed="false">
      <c r="A366" s="6" t="str">
        <f aca="false">Orders!A366</f>
        <v>O000365</v>
      </c>
      <c r="B366" s="19" t="n">
        <f aca="false">Orders!B366</f>
        <v>45746</v>
      </c>
      <c r="C366" s="6" t="str">
        <f aca="false">Orders!C366</f>
        <v>C0096</v>
      </c>
      <c r="D366" s="6" t="str">
        <f aca="false">Orders!D366</f>
        <v>P1064</v>
      </c>
      <c r="E366" s="6" t="str">
        <f aca="false">INDEX(Products!$B$2:$B$101,MATCH(D366,Products!$A$2:$A$101,0))</f>
        <v>Football</v>
      </c>
      <c r="F366" s="1" t="str">
        <f aca="false">INDEX(Products!$C$2:$C$101,MATCH(D366,Products!$A$2:$A$101,0))</f>
        <v>Sports &amp; Outdoors</v>
      </c>
      <c r="G366" s="6" t="n">
        <f aca="false">Orders!E366</f>
        <v>1</v>
      </c>
      <c r="H366" s="16" t="n">
        <f aca="false">INDEX(Products!$D$2:$D$101,MATCH(D366,Products!$A$2:$A$101,0))</f>
        <v>699</v>
      </c>
      <c r="I366" s="16" t="n">
        <f aca="false">INDEX(Products!$E$2:$E$101,MATCH(D366,Products!$A$2:$A$101,0))</f>
        <v>300</v>
      </c>
      <c r="J366" s="20" t="n">
        <f aca="false">Orders!F366</f>
        <v>0</v>
      </c>
      <c r="K366" s="6" t="n">
        <f aca="false">G366*H366</f>
        <v>699</v>
      </c>
      <c r="L366" s="6" t="n">
        <f aca="false">K366*J366</f>
        <v>0</v>
      </c>
      <c r="M366" s="6" t="n">
        <f aca="false">K366-L366</f>
        <v>699</v>
      </c>
      <c r="N366" s="6" t="n">
        <f aca="false">G366*I366</f>
        <v>300</v>
      </c>
      <c r="O366" s="6" t="n">
        <f aca="false">M366-N366</f>
        <v>399</v>
      </c>
      <c r="P366" s="21" t="n">
        <f aca="false">IFERROR(O366/M366,0)</f>
        <v>0.570815450643777</v>
      </c>
      <c r="Q366" s="6" t="str">
        <f aca="false">Orders!H366</f>
        <v>Shipped</v>
      </c>
      <c r="R366" s="1" t="str">
        <f aca="false">INDEX(Customers!$C$2:$C$301,MATCH(C366,Customers!$A$2:$A$301,0))</f>
        <v>Chandigarh</v>
      </c>
      <c r="S366" s="1" t="str">
        <f aca="false">INDEX(Customers!$E$2:$E$301,MATCH(C366,Customers!$A$2:$A$301,0))</f>
        <v>VIP</v>
      </c>
      <c r="T366" s="6" t="str">
        <f aca="false">Orders!I366</f>
        <v>Mobile App</v>
      </c>
      <c r="U366" s="1" t="str">
        <f aca="false">IF(Q366="Delivered","Completed",IF(Q366="Cancelled","Cancelled",IF(Q366="Returned","Returned","In Progress")))</f>
        <v>In Progress</v>
      </c>
      <c r="V366" s="1" t="str">
        <f aca="false">IF(M366&gt;=10000,"High Value",IF(M366&gt;=5000,"Medium Value","Low Value"))</f>
        <v>Low Value</v>
      </c>
      <c r="W366" s="1" t="str">
        <f aca="false">IF(O366&gt;0,"Profitable",IF(O366=0,"Break-even","Loss"))</f>
        <v>Profitable</v>
      </c>
      <c r="X366" s="1" t="str">
        <f aca="false">IF(Q366="Cancelled","Not Applicable",IF(Q366="Processing","Pending",IF(B366="","Unknown",IF(Orders!J366="","Unknown",IF(Orders!J366&lt;=3,"Fast",IF(Orders!J366&lt;=6,"Standard","Slow"))))))</f>
        <v>Fast</v>
      </c>
      <c r="Y366" s="1" t="n">
        <f aca="false">IF(OR(Q366="Cancelled",Q366="Returned"),0,O366)</f>
        <v>399</v>
      </c>
    </row>
    <row r="367" customFormat="false" ht="15" hidden="false" customHeight="false" outlineLevel="0" collapsed="false">
      <c r="A367" s="6" t="str">
        <f aca="false">Orders!A367</f>
        <v>O000366</v>
      </c>
      <c r="B367" s="19" t="n">
        <f aca="false">Orders!B367</f>
        <v>45757</v>
      </c>
      <c r="C367" s="6" t="str">
        <f aca="false">Orders!C367</f>
        <v>C0188</v>
      </c>
      <c r="D367" s="6" t="str">
        <f aca="false">Orders!D367</f>
        <v>P1020</v>
      </c>
      <c r="E367" s="6" t="str">
        <f aca="false">INDEX(Products!$B$2:$B$101,MATCH(D367,Products!$A$2:$A$101,0))</f>
        <v>Backpack</v>
      </c>
      <c r="F367" s="1" t="str">
        <f aca="false">INDEX(Products!$C$2:$C$101,MATCH(D367,Products!$A$2:$A$101,0))</f>
        <v>Fashion</v>
      </c>
      <c r="G367" s="6" t="n">
        <f aca="false">Orders!E367</f>
        <v>3</v>
      </c>
      <c r="H367" s="16" t="n">
        <f aca="false">INDEX(Products!$D$2:$D$101,MATCH(D367,Products!$A$2:$A$101,0))</f>
        <v>1199</v>
      </c>
      <c r="I367" s="16" t="n">
        <f aca="false">INDEX(Products!$E$2:$E$101,MATCH(D367,Products!$A$2:$A$101,0))</f>
        <v>600</v>
      </c>
      <c r="J367" s="20" t="n">
        <f aca="false">Orders!F367</f>
        <v>0.15</v>
      </c>
      <c r="K367" s="6" t="n">
        <f aca="false">G367*H367</f>
        <v>3597</v>
      </c>
      <c r="L367" s="6" t="n">
        <f aca="false">K367*J367</f>
        <v>539.55</v>
      </c>
      <c r="M367" s="6" t="n">
        <f aca="false">K367-L367</f>
        <v>3057.45</v>
      </c>
      <c r="N367" s="6" t="n">
        <f aca="false">G367*I367</f>
        <v>1800</v>
      </c>
      <c r="O367" s="6" t="n">
        <f aca="false">M367-N367</f>
        <v>1257.45</v>
      </c>
      <c r="P367" s="21" t="n">
        <f aca="false">IFERROR(O367/M367,0)</f>
        <v>0.411274100966492</v>
      </c>
      <c r="Q367" s="6" t="str">
        <f aca="false">Orders!H367</f>
        <v>Delivered</v>
      </c>
      <c r="R367" s="1" t="str">
        <f aca="false">INDEX(Customers!$C$2:$C$301,MATCH(C367,Customers!$A$2:$A$301,0))</f>
        <v>Jaipur</v>
      </c>
      <c r="S367" s="1" t="str">
        <f aca="false">INDEX(Customers!$E$2:$E$301,MATCH(C367,Customers!$A$2:$A$301,0))</f>
        <v>Returning</v>
      </c>
      <c r="T367" s="6" t="str">
        <f aca="false">Orders!I367</f>
        <v>Mobile App</v>
      </c>
      <c r="U367" s="1" t="str">
        <f aca="false">IF(Q367="Delivered","Completed",IF(Q367="Cancelled","Cancelled",IF(Q367="Returned","Returned","In Progress")))</f>
        <v>Completed</v>
      </c>
      <c r="V367" s="1" t="str">
        <f aca="false">IF(M367&gt;=10000,"High Value",IF(M367&gt;=5000,"Medium Value","Low Value"))</f>
        <v>Low Value</v>
      </c>
      <c r="W367" s="1" t="str">
        <f aca="false">IF(O367&gt;0,"Profitable",IF(O367=0,"Break-even","Loss"))</f>
        <v>Profitable</v>
      </c>
      <c r="X367" s="1" t="str">
        <f aca="false">IF(Q367="Cancelled","Not Applicable",IF(Q367="Processing","Pending",IF(B367="","Unknown",IF(Orders!J367="","Unknown",IF(Orders!J367&lt;=3,"Fast",IF(Orders!J367&lt;=6,"Standard","Slow"))))))</f>
        <v>Slow</v>
      </c>
      <c r="Y367" s="1" t="n">
        <f aca="false">IF(OR(Q367="Cancelled",Q367="Returned"),0,O367)</f>
        <v>1257.45</v>
      </c>
    </row>
    <row r="368" customFormat="false" ht="15" hidden="false" customHeight="false" outlineLevel="0" collapsed="false">
      <c r="A368" s="6" t="str">
        <f aca="false">Orders!A368</f>
        <v>O000367</v>
      </c>
      <c r="B368" s="19" t="n">
        <f aca="false">Orders!B368</f>
        <v>45930</v>
      </c>
      <c r="C368" s="6" t="str">
        <f aca="false">Orders!C368</f>
        <v>C0042</v>
      </c>
      <c r="D368" s="6" t="str">
        <f aca="false">Orders!D368</f>
        <v>P1014</v>
      </c>
      <c r="E368" s="6" t="str">
        <f aca="false">INDEX(Products!$B$2:$B$101,MATCH(D368,Products!$A$2:$A$101,0))</f>
        <v>HDMI Cable</v>
      </c>
      <c r="F368" s="1" t="str">
        <f aca="false">INDEX(Products!$C$2:$C$101,MATCH(D368,Products!$A$2:$A$101,0))</f>
        <v>Electronics</v>
      </c>
      <c r="G368" s="6" t="n">
        <f aca="false">Orders!E368</f>
        <v>1</v>
      </c>
      <c r="H368" s="16" t="n">
        <f aca="false">INDEX(Products!$D$2:$D$101,MATCH(D368,Products!$A$2:$A$101,0))</f>
        <v>449</v>
      </c>
      <c r="I368" s="16" t="n">
        <f aca="false">INDEX(Products!$E$2:$E$101,MATCH(D368,Products!$A$2:$A$101,0))</f>
        <v>180</v>
      </c>
      <c r="J368" s="20" t="n">
        <f aca="false">Orders!F368</f>
        <v>0.05</v>
      </c>
      <c r="K368" s="6" t="n">
        <f aca="false">G368*H368</f>
        <v>449</v>
      </c>
      <c r="L368" s="6" t="n">
        <f aca="false">K368*J368</f>
        <v>22.45</v>
      </c>
      <c r="M368" s="6" t="n">
        <f aca="false">K368-L368</f>
        <v>426.55</v>
      </c>
      <c r="N368" s="6" t="n">
        <f aca="false">G368*I368</f>
        <v>180</v>
      </c>
      <c r="O368" s="6" t="n">
        <f aca="false">M368-N368</f>
        <v>246.55</v>
      </c>
      <c r="P368" s="21" t="n">
        <f aca="false">IFERROR(O368/M368,0)</f>
        <v>0.578009612003282</v>
      </c>
      <c r="Q368" s="6" t="str">
        <f aca="false">Orders!H368</f>
        <v>Delivered</v>
      </c>
      <c r="R368" s="1" t="str">
        <f aca="false">INDEX(Customers!$C$2:$C$301,MATCH(C368,Customers!$A$2:$A$301,0))</f>
        <v>Mumbai</v>
      </c>
      <c r="S368" s="1" t="str">
        <f aca="false">INDEX(Customers!$E$2:$E$301,MATCH(C368,Customers!$A$2:$A$301,0))</f>
        <v>Returning</v>
      </c>
      <c r="T368" s="6" t="str">
        <f aca="false">Orders!I368</f>
        <v>Mobile App</v>
      </c>
      <c r="U368" s="1" t="str">
        <f aca="false">IF(Q368="Delivered","Completed",IF(Q368="Cancelled","Cancelled",IF(Q368="Returned","Returned","In Progress")))</f>
        <v>Completed</v>
      </c>
      <c r="V368" s="1" t="str">
        <f aca="false">IF(M368&gt;=10000,"High Value",IF(M368&gt;=5000,"Medium Value","Low Value"))</f>
        <v>Low Value</v>
      </c>
      <c r="W368" s="1" t="str">
        <f aca="false">IF(O368&gt;0,"Profitable",IF(O368=0,"Break-even","Loss"))</f>
        <v>Profitable</v>
      </c>
      <c r="X368" s="1" t="str">
        <f aca="false">IF(Q368="Cancelled","Not Applicable",IF(Q368="Processing","Pending",IF(B368="","Unknown",IF(Orders!J368="","Unknown",IF(Orders!J368&lt;=3,"Fast",IF(Orders!J368&lt;=6,"Standard","Slow"))))))</f>
        <v>Standard</v>
      </c>
      <c r="Y368" s="1" t="n">
        <f aca="false">IF(OR(Q368="Cancelled",Q368="Returned"),0,O368)</f>
        <v>246.55</v>
      </c>
    </row>
    <row r="369" customFormat="false" ht="15" hidden="false" customHeight="false" outlineLevel="0" collapsed="false">
      <c r="A369" s="6" t="str">
        <f aca="false">Orders!A369</f>
        <v>O000368</v>
      </c>
      <c r="B369" s="19" t="n">
        <f aca="false">Orders!B369</f>
        <v>45868</v>
      </c>
      <c r="C369" s="6" t="str">
        <f aca="false">Orders!C369</f>
        <v>C0027</v>
      </c>
      <c r="D369" s="6" t="str">
        <f aca="false">Orders!D369</f>
        <v>P1085</v>
      </c>
      <c r="E369" s="6" t="str">
        <f aca="false">INDEX(Products!$B$2:$B$101,MATCH(D369,Products!$A$2:$A$101,0))</f>
        <v>Marker Set</v>
      </c>
      <c r="F369" s="1" t="str">
        <f aca="false">INDEX(Products!$C$2:$C$101,MATCH(D369,Products!$A$2:$A$101,0))</f>
        <v>Books &amp; Stationery</v>
      </c>
      <c r="G369" s="6" t="n">
        <f aca="false">Orders!E369</f>
        <v>4</v>
      </c>
      <c r="H369" s="16" t="n">
        <f aca="false">INDEX(Products!$D$2:$D$101,MATCH(D369,Products!$A$2:$A$101,0))</f>
        <v>299</v>
      </c>
      <c r="I369" s="16" t="n">
        <f aca="false">INDEX(Products!$E$2:$E$101,MATCH(D369,Products!$A$2:$A$101,0))</f>
        <v>110</v>
      </c>
      <c r="J369" s="20" t="n">
        <f aca="false">Orders!F369</f>
        <v>0</v>
      </c>
      <c r="K369" s="6" t="n">
        <f aca="false">G369*H369</f>
        <v>1196</v>
      </c>
      <c r="L369" s="6" t="n">
        <f aca="false">K369*J369</f>
        <v>0</v>
      </c>
      <c r="M369" s="6" t="n">
        <f aca="false">K369-L369</f>
        <v>1196</v>
      </c>
      <c r="N369" s="6" t="n">
        <f aca="false">G369*I369</f>
        <v>440</v>
      </c>
      <c r="O369" s="6" t="n">
        <f aca="false">M369-N369</f>
        <v>756</v>
      </c>
      <c r="P369" s="21" t="n">
        <f aca="false">IFERROR(O369/M369,0)</f>
        <v>0.632107023411371</v>
      </c>
      <c r="Q369" s="6" t="str">
        <f aca="false">Orders!H369</f>
        <v>Delivered</v>
      </c>
      <c r="R369" s="1" t="str">
        <f aca="false">INDEX(Customers!$C$2:$C$301,MATCH(C369,Customers!$A$2:$A$301,0))</f>
        <v>Pune</v>
      </c>
      <c r="S369" s="1" t="str">
        <f aca="false">INDEX(Customers!$E$2:$E$301,MATCH(C369,Customers!$A$2:$A$301,0))</f>
        <v>Returning</v>
      </c>
      <c r="T369" s="6" t="str">
        <f aca="false">Orders!I369</f>
        <v>Mobile App</v>
      </c>
      <c r="U369" s="1" t="str">
        <f aca="false">IF(Q369="Delivered","Completed",IF(Q369="Cancelled","Cancelled",IF(Q369="Returned","Returned","In Progress")))</f>
        <v>Completed</v>
      </c>
      <c r="V369" s="1" t="str">
        <f aca="false">IF(M369&gt;=10000,"High Value",IF(M369&gt;=5000,"Medium Value","Low Value"))</f>
        <v>Low Value</v>
      </c>
      <c r="W369" s="1" t="str">
        <f aca="false">IF(O369&gt;0,"Profitable",IF(O369=0,"Break-even","Loss"))</f>
        <v>Profitable</v>
      </c>
      <c r="X369" s="1" t="str">
        <f aca="false">IF(Q369="Cancelled","Not Applicable",IF(Q369="Processing","Pending",IF(B369="","Unknown",IF(Orders!J369="","Unknown",IF(Orders!J369&lt;=3,"Fast",IF(Orders!J369&lt;=6,"Standard","Slow"))))))</f>
        <v>Standard</v>
      </c>
      <c r="Y369" s="1" t="n">
        <f aca="false">IF(OR(Q369="Cancelled",Q369="Returned"),0,O369)</f>
        <v>756</v>
      </c>
    </row>
    <row r="370" customFormat="false" ht="15" hidden="false" customHeight="false" outlineLevel="0" collapsed="false">
      <c r="A370" s="6" t="str">
        <f aca="false">Orders!A370</f>
        <v>O000369</v>
      </c>
      <c r="B370" s="19" t="n">
        <f aca="false">Orders!B370</f>
        <v>45692</v>
      </c>
      <c r="C370" s="6" t="str">
        <f aca="false">Orders!C370</f>
        <v>C0110</v>
      </c>
      <c r="D370" s="6" t="str">
        <f aca="false">Orders!D370</f>
        <v>P1024</v>
      </c>
      <c r="E370" s="6" t="str">
        <f aca="false">INDEX(Products!$B$2:$B$101,MATCH(D370,Products!$A$2:$A$101,0))</f>
        <v>Kurta</v>
      </c>
      <c r="F370" s="1" t="str">
        <f aca="false">INDEX(Products!$C$2:$C$101,MATCH(D370,Products!$A$2:$A$101,0))</f>
        <v>Fashion</v>
      </c>
      <c r="G370" s="6" t="n">
        <f aca="false">Orders!E370</f>
        <v>1</v>
      </c>
      <c r="H370" s="16" t="n">
        <f aca="false">INDEX(Products!$D$2:$D$101,MATCH(D370,Products!$A$2:$A$101,0))</f>
        <v>999</v>
      </c>
      <c r="I370" s="16" t="n">
        <f aca="false">INDEX(Products!$E$2:$E$101,MATCH(D370,Products!$A$2:$A$101,0))</f>
        <v>450</v>
      </c>
      <c r="J370" s="20" t="n">
        <f aca="false">Orders!F370</f>
        <v>0</v>
      </c>
      <c r="K370" s="6" t="n">
        <f aca="false">G370*H370</f>
        <v>999</v>
      </c>
      <c r="L370" s="6" t="n">
        <f aca="false">K370*J370</f>
        <v>0</v>
      </c>
      <c r="M370" s="6" t="n">
        <f aca="false">K370-L370</f>
        <v>999</v>
      </c>
      <c r="N370" s="6" t="n">
        <f aca="false">G370*I370</f>
        <v>450</v>
      </c>
      <c r="O370" s="6" t="n">
        <f aca="false">M370-N370</f>
        <v>549</v>
      </c>
      <c r="P370" s="21" t="n">
        <f aca="false">IFERROR(O370/M370,0)</f>
        <v>0.54954954954955</v>
      </c>
      <c r="Q370" s="6" t="str">
        <f aca="false">Orders!H370</f>
        <v>Delivered</v>
      </c>
      <c r="R370" s="1" t="str">
        <f aca="false">INDEX(Customers!$C$2:$C$301,MATCH(C370,Customers!$A$2:$A$301,0))</f>
        <v>Lucknow</v>
      </c>
      <c r="S370" s="1" t="str">
        <f aca="false">INDEX(Customers!$E$2:$E$301,MATCH(C370,Customers!$A$2:$A$301,0))</f>
        <v>New</v>
      </c>
      <c r="T370" s="6" t="str">
        <f aca="false">Orders!I370</f>
        <v>Marketplace</v>
      </c>
      <c r="U370" s="1" t="str">
        <f aca="false">IF(Q370="Delivered","Completed",IF(Q370="Cancelled","Cancelled",IF(Q370="Returned","Returned","In Progress")))</f>
        <v>Completed</v>
      </c>
      <c r="V370" s="1" t="str">
        <f aca="false">IF(M370&gt;=10000,"High Value",IF(M370&gt;=5000,"Medium Value","Low Value"))</f>
        <v>Low Value</v>
      </c>
      <c r="W370" s="1" t="str">
        <f aca="false">IF(O370&gt;0,"Profitable",IF(O370=0,"Break-even","Loss"))</f>
        <v>Profitable</v>
      </c>
      <c r="X370" s="1" t="str">
        <f aca="false">IF(Q370="Cancelled","Not Applicable",IF(Q370="Processing","Pending",IF(B370="","Unknown",IF(Orders!J370="","Unknown",IF(Orders!J370&lt;=3,"Fast",IF(Orders!J370&lt;=6,"Standard","Slow"))))))</f>
        <v>Fast</v>
      </c>
      <c r="Y370" s="1" t="n">
        <f aca="false">IF(OR(Q370="Cancelled",Q370="Returned"),0,O370)</f>
        <v>549</v>
      </c>
    </row>
    <row r="371" customFormat="false" ht="15" hidden="false" customHeight="false" outlineLevel="0" collapsed="false">
      <c r="A371" s="6" t="str">
        <f aca="false">Orders!A371</f>
        <v>O000370</v>
      </c>
      <c r="B371" s="19" t="n">
        <f aca="false">Orders!B371</f>
        <v>46011</v>
      </c>
      <c r="C371" s="6" t="str">
        <f aca="false">Orders!C371</f>
        <v>C0089</v>
      </c>
      <c r="D371" s="6" t="str">
        <f aca="false">Orders!D371</f>
        <v>P1023</v>
      </c>
      <c r="E371" s="6" t="str">
        <f aca="false">INDEX(Products!$B$2:$B$101,MATCH(D371,Products!$A$2:$A$101,0))</f>
        <v>Sports Cap</v>
      </c>
      <c r="F371" s="1" t="str">
        <f aca="false">INDEX(Products!$C$2:$C$101,MATCH(D371,Products!$A$2:$A$101,0))</f>
        <v>Fashion</v>
      </c>
      <c r="G371" s="6" t="n">
        <f aca="false">Orders!E371</f>
        <v>1</v>
      </c>
      <c r="H371" s="16" t="n">
        <f aca="false">INDEX(Products!$D$2:$D$101,MATCH(D371,Products!$A$2:$A$101,0))</f>
        <v>349</v>
      </c>
      <c r="I371" s="16" t="n">
        <f aca="false">INDEX(Products!$E$2:$E$101,MATCH(D371,Products!$A$2:$A$101,0))</f>
        <v>120</v>
      </c>
      <c r="J371" s="20" t="n">
        <f aca="false">Orders!F371</f>
        <v>0.15</v>
      </c>
      <c r="K371" s="6" t="n">
        <f aca="false">G371*H371</f>
        <v>349</v>
      </c>
      <c r="L371" s="6" t="n">
        <f aca="false">K371*J371</f>
        <v>52.35</v>
      </c>
      <c r="M371" s="6" t="n">
        <f aca="false">K371-L371</f>
        <v>296.65</v>
      </c>
      <c r="N371" s="6" t="n">
        <f aca="false">G371*I371</f>
        <v>120</v>
      </c>
      <c r="O371" s="6" t="n">
        <f aca="false">M371-N371</f>
        <v>176.65</v>
      </c>
      <c r="P371" s="21" t="n">
        <f aca="false">IFERROR(O371/M371,0)</f>
        <v>0.59548289229732</v>
      </c>
      <c r="Q371" s="6" t="str">
        <f aca="false">Orders!H371</f>
        <v>Cancelled</v>
      </c>
      <c r="R371" s="1" t="str">
        <f aca="false">INDEX(Customers!$C$2:$C$301,MATCH(C371,Customers!$A$2:$A$301,0))</f>
        <v>Ahmedabad</v>
      </c>
      <c r="S371" s="1" t="str">
        <f aca="false">INDEX(Customers!$E$2:$E$301,MATCH(C371,Customers!$A$2:$A$301,0))</f>
        <v>New</v>
      </c>
      <c r="T371" s="6" t="str">
        <f aca="false">Orders!I371</f>
        <v>Marketplace</v>
      </c>
      <c r="U371" s="1" t="str">
        <f aca="false">IF(Q371="Delivered","Completed",IF(Q371="Cancelled","Cancelled",IF(Q371="Returned","Returned","In Progress")))</f>
        <v>Cancelled</v>
      </c>
      <c r="V371" s="1" t="str">
        <f aca="false">IF(M371&gt;=10000,"High Value",IF(M371&gt;=5000,"Medium Value","Low Value"))</f>
        <v>Low Value</v>
      </c>
      <c r="W371" s="1" t="str">
        <f aca="false">IF(O371&gt;0,"Profitable",IF(O371=0,"Break-even","Loss"))</f>
        <v>Profitable</v>
      </c>
      <c r="X371" s="1" t="str">
        <f aca="false">IF(Q371="Cancelled","Not Applicable",IF(Q371="Processing","Pending",IF(B371="","Unknown",IF(Orders!J371="","Unknown",IF(Orders!J371&lt;=3,"Fast",IF(Orders!J371&lt;=6,"Standard","Slow"))))))</f>
        <v>Not Applicable</v>
      </c>
      <c r="Y371" s="1" t="n">
        <f aca="false">IF(OR(Q371="Cancelled",Q371="Returned"),0,O371)</f>
        <v>0</v>
      </c>
    </row>
    <row r="372" customFormat="false" ht="15" hidden="false" customHeight="false" outlineLevel="0" collapsed="false">
      <c r="A372" s="6" t="str">
        <f aca="false">Orders!A372</f>
        <v>O000371</v>
      </c>
      <c r="B372" s="19" t="n">
        <f aca="false">Orders!B372</f>
        <v>45836</v>
      </c>
      <c r="C372" s="6" t="str">
        <f aca="false">Orders!C372</f>
        <v>C0024</v>
      </c>
      <c r="D372" s="6" t="str">
        <f aca="false">Orders!D372</f>
        <v>P1088</v>
      </c>
      <c r="E372" s="6" t="str">
        <f aca="false">INDEX(Products!$B$2:$B$101,MATCH(D372,Products!$A$2:$A$101,0))</f>
        <v>Electric Kettle</v>
      </c>
      <c r="F372" s="1" t="str">
        <f aca="false">INDEX(Products!$C$2:$C$101,MATCH(D372,Products!$A$2:$A$101,0))</f>
        <v>Appliances</v>
      </c>
      <c r="G372" s="6" t="n">
        <f aca="false">Orders!E372</f>
        <v>2</v>
      </c>
      <c r="H372" s="16" t="n">
        <f aca="false">INDEX(Products!$D$2:$D$101,MATCH(D372,Products!$A$2:$A$101,0))</f>
        <v>1299</v>
      </c>
      <c r="I372" s="16" t="n">
        <f aca="false">INDEX(Products!$E$2:$E$101,MATCH(D372,Products!$A$2:$A$101,0))</f>
        <v>750</v>
      </c>
      <c r="J372" s="20" t="n">
        <f aca="false">Orders!F372</f>
        <v>0.05</v>
      </c>
      <c r="K372" s="6" t="n">
        <f aca="false">G372*H372</f>
        <v>2598</v>
      </c>
      <c r="L372" s="6" t="n">
        <f aca="false">K372*J372</f>
        <v>129.9</v>
      </c>
      <c r="M372" s="6" t="n">
        <f aca="false">K372-L372</f>
        <v>2468.1</v>
      </c>
      <c r="N372" s="6" t="n">
        <f aca="false">G372*I372</f>
        <v>1500</v>
      </c>
      <c r="O372" s="6" t="n">
        <f aca="false">M372-N372</f>
        <v>968.1</v>
      </c>
      <c r="P372" s="21" t="n">
        <f aca="false">IFERROR(O372/M372,0)</f>
        <v>0.392245046797131</v>
      </c>
      <c r="Q372" s="6" t="str">
        <f aca="false">Orders!H372</f>
        <v>Delivered</v>
      </c>
      <c r="R372" s="1" t="str">
        <f aca="false">INDEX(Customers!$C$2:$C$301,MATCH(C372,Customers!$A$2:$A$301,0))</f>
        <v>Hyderabad</v>
      </c>
      <c r="S372" s="1" t="str">
        <f aca="false">INDEX(Customers!$E$2:$E$301,MATCH(C372,Customers!$A$2:$A$301,0))</f>
        <v>Returning</v>
      </c>
      <c r="T372" s="6" t="str">
        <f aca="false">Orders!I372</f>
        <v>Website</v>
      </c>
      <c r="U372" s="1" t="str">
        <f aca="false">IF(Q372="Delivered","Completed",IF(Q372="Cancelled","Cancelled",IF(Q372="Returned","Returned","In Progress")))</f>
        <v>Completed</v>
      </c>
      <c r="V372" s="1" t="str">
        <f aca="false">IF(M372&gt;=10000,"High Value",IF(M372&gt;=5000,"Medium Value","Low Value"))</f>
        <v>Low Value</v>
      </c>
      <c r="W372" s="1" t="str">
        <f aca="false">IF(O372&gt;0,"Profitable",IF(O372=0,"Break-even","Loss"))</f>
        <v>Profitable</v>
      </c>
      <c r="X372" s="1" t="str">
        <f aca="false">IF(Q372="Cancelled","Not Applicable",IF(Q372="Processing","Pending",IF(B372="","Unknown",IF(Orders!J372="","Unknown",IF(Orders!J372&lt;=3,"Fast",IF(Orders!J372&lt;=6,"Standard","Slow"))))))</f>
        <v>Standard</v>
      </c>
      <c r="Y372" s="1" t="n">
        <f aca="false">IF(OR(Q372="Cancelled",Q372="Returned"),0,O372)</f>
        <v>968.1</v>
      </c>
    </row>
    <row r="373" customFormat="false" ht="15" hidden="false" customHeight="false" outlineLevel="0" collapsed="false">
      <c r="A373" s="6" t="str">
        <f aca="false">Orders!A373</f>
        <v>O000372</v>
      </c>
      <c r="B373" s="19" t="n">
        <f aca="false">Orders!B373</f>
        <v>45898</v>
      </c>
      <c r="C373" s="6" t="str">
        <f aca="false">Orders!C373</f>
        <v>C0221</v>
      </c>
      <c r="D373" s="6" t="str">
        <f aca="false">Orders!D373</f>
        <v>P1062</v>
      </c>
      <c r="E373" s="6" t="str">
        <f aca="false">INDEX(Products!$B$2:$B$101,MATCH(D373,Products!$A$2:$A$101,0))</f>
        <v>Skipping Rope</v>
      </c>
      <c r="F373" s="1" t="str">
        <f aca="false">INDEX(Products!$C$2:$C$101,MATCH(D373,Products!$A$2:$A$101,0))</f>
        <v>Sports &amp; Outdoors</v>
      </c>
      <c r="G373" s="6" t="n">
        <f aca="false">Orders!E373</f>
        <v>1</v>
      </c>
      <c r="H373" s="16" t="n">
        <f aca="false">INDEX(Products!$D$2:$D$101,MATCH(D373,Products!$A$2:$A$101,0))</f>
        <v>249</v>
      </c>
      <c r="I373" s="16" t="n">
        <f aca="false">INDEX(Products!$E$2:$E$101,MATCH(D373,Products!$A$2:$A$101,0))</f>
        <v>80</v>
      </c>
      <c r="J373" s="20" t="n">
        <f aca="false">Orders!F373</f>
        <v>0.1</v>
      </c>
      <c r="K373" s="6" t="n">
        <f aca="false">G373*H373</f>
        <v>249</v>
      </c>
      <c r="L373" s="6" t="n">
        <f aca="false">K373*J373</f>
        <v>24.9</v>
      </c>
      <c r="M373" s="6" t="n">
        <f aca="false">K373-L373</f>
        <v>224.1</v>
      </c>
      <c r="N373" s="6" t="n">
        <f aca="false">G373*I373</f>
        <v>80</v>
      </c>
      <c r="O373" s="6" t="n">
        <f aca="false">M373-N373</f>
        <v>144.1</v>
      </c>
      <c r="P373" s="21" t="n">
        <f aca="false">IFERROR(O373/M373,0)</f>
        <v>0.64301651048639</v>
      </c>
      <c r="Q373" s="6" t="str">
        <f aca="false">Orders!H373</f>
        <v>Delivered</v>
      </c>
      <c r="R373" s="1" t="str">
        <f aca="false">INDEX(Customers!$C$2:$C$301,MATCH(C373,Customers!$A$2:$A$301,0))</f>
        <v>Delhi</v>
      </c>
      <c r="S373" s="1" t="str">
        <f aca="false">INDEX(Customers!$E$2:$E$301,MATCH(C373,Customers!$A$2:$A$301,0))</f>
        <v>New</v>
      </c>
      <c r="T373" s="6" t="str">
        <f aca="false">Orders!I373</f>
        <v>Website</v>
      </c>
      <c r="U373" s="1" t="str">
        <f aca="false">IF(Q373="Delivered","Completed",IF(Q373="Cancelled","Cancelled",IF(Q373="Returned","Returned","In Progress")))</f>
        <v>Completed</v>
      </c>
      <c r="V373" s="1" t="str">
        <f aca="false">IF(M373&gt;=10000,"High Value",IF(M373&gt;=5000,"Medium Value","Low Value"))</f>
        <v>Low Value</v>
      </c>
      <c r="W373" s="1" t="str">
        <f aca="false">IF(O373&gt;0,"Profitable",IF(O373=0,"Break-even","Loss"))</f>
        <v>Profitable</v>
      </c>
      <c r="X373" s="1" t="str">
        <f aca="false">IF(Q373="Cancelled","Not Applicable",IF(Q373="Processing","Pending",IF(B373="","Unknown",IF(Orders!J373="","Unknown",IF(Orders!J373&lt;=3,"Fast",IF(Orders!J373&lt;=6,"Standard","Slow"))))))</f>
        <v>Slow</v>
      </c>
      <c r="Y373" s="1" t="n">
        <f aca="false">IF(OR(Q373="Cancelled",Q373="Returned"),0,O373)</f>
        <v>144.1</v>
      </c>
    </row>
    <row r="374" customFormat="false" ht="15" hidden="false" customHeight="false" outlineLevel="0" collapsed="false">
      <c r="A374" s="6" t="str">
        <f aca="false">Orders!A374</f>
        <v>O000373</v>
      </c>
      <c r="B374" s="19" t="n">
        <f aca="false">Orders!B374</f>
        <v>45944</v>
      </c>
      <c r="C374" s="6" t="str">
        <f aca="false">Orders!C374</f>
        <v>C0187</v>
      </c>
      <c r="D374" s="6" t="str">
        <f aca="false">Orders!D374</f>
        <v>P1044</v>
      </c>
      <c r="E374" s="6" t="str">
        <f aca="false">INDEX(Products!$B$2:$B$101,MATCH(D374,Products!$A$2:$A$101,0))</f>
        <v>Doormat</v>
      </c>
      <c r="F374" s="1" t="str">
        <f aca="false">INDEX(Products!$C$2:$C$101,MATCH(D374,Products!$A$2:$A$101,0))</f>
        <v>Home &amp; Kitchen</v>
      </c>
      <c r="G374" s="6" t="n">
        <f aca="false">Orders!E374</f>
        <v>1</v>
      </c>
      <c r="H374" s="16" t="n">
        <f aca="false">INDEX(Products!$D$2:$D$101,MATCH(D374,Products!$A$2:$A$101,0))</f>
        <v>299</v>
      </c>
      <c r="I374" s="16" t="n">
        <f aca="false">INDEX(Products!$E$2:$E$101,MATCH(D374,Products!$A$2:$A$101,0))</f>
        <v>100</v>
      </c>
      <c r="J374" s="20" t="n">
        <f aca="false">Orders!F374</f>
        <v>0.2</v>
      </c>
      <c r="K374" s="6" t="n">
        <f aca="false">G374*H374</f>
        <v>299</v>
      </c>
      <c r="L374" s="6" t="n">
        <f aca="false">K374*J374</f>
        <v>59.8</v>
      </c>
      <c r="M374" s="6" t="n">
        <f aca="false">K374-L374</f>
        <v>239.2</v>
      </c>
      <c r="N374" s="6" t="n">
        <f aca="false">G374*I374</f>
        <v>100</v>
      </c>
      <c r="O374" s="6" t="n">
        <f aca="false">M374-N374</f>
        <v>139.2</v>
      </c>
      <c r="P374" s="21" t="n">
        <f aca="false">IFERROR(O374/M374,0)</f>
        <v>0.581939799331104</v>
      </c>
      <c r="Q374" s="6" t="str">
        <f aca="false">Orders!H374</f>
        <v>Delivered</v>
      </c>
      <c r="R374" s="1" t="str">
        <f aca="false">INDEX(Customers!$C$2:$C$301,MATCH(C374,Customers!$A$2:$A$301,0))</f>
        <v>Pune</v>
      </c>
      <c r="S374" s="1" t="str">
        <f aca="false">INDEX(Customers!$E$2:$E$301,MATCH(C374,Customers!$A$2:$A$301,0))</f>
        <v>Returning</v>
      </c>
      <c r="T374" s="6" t="str">
        <f aca="false">Orders!I374</f>
        <v>Marketplace</v>
      </c>
      <c r="U374" s="1" t="str">
        <f aca="false">IF(Q374="Delivered","Completed",IF(Q374="Cancelled","Cancelled",IF(Q374="Returned","Returned","In Progress")))</f>
        <v>Completed</v>
      </c>
      <c r="V374" s="1" t="str">
        <f aca="false">IF(M374&gt;=10000,"High Value",IF(M374&gt;=5000,"Medium Value","Low Value"))</f>
        <v>Low Value</v>
      </c>
      <c r="W374" s="1" t="str">
        <f aca="false">IF(O374&gt;0,"Profitable",IF(O374=0,"Break-even","Loss"))</f>
        <v>Profitable</v>
      </c>
      <c r="X374" s="1" t="str">
        <f aca="false">IF(Q374="Cancelled","Not Applicable",IF(Q374="Processing","Pending",IF(B374="","Unknown",IF(Orders!J374="","Unknown",IF(Orders!J374&lt;=3,"Fast",IF(Orders!J374&lt;=6,"Standard","Slow"))))))</f>
        <v>Fast</v>
      </c>
      <c r="Y374" s="1" t="n">
        <f aca="false">IF(OR(Q374="Cancelled",Q374="Returned"),0,O374)</f>
        <v>139.2</v>
      </c>
    </row>
    <row r="375" customFormat="false" ht="15" hidden="false" customHeight="false" outlineLevel="0" collapsed="false">
      <c r="A375" s="6" t="str">
        <f aca="false">Orders!A375</f>
        <v>O000374</v>
      </c>
      <c r="B375" s="19" t="n">
        <f aca="false">Orders!B375</f>
        <v>45857</v>
      </c>
      <c r="C375" s="6" t="str">
        <f aca="false">Orders!C375</f>
        <v>C0250</v>
      </c>
      <c r="D375" s="6" t="str">
        <f aca="false">Orders!D375</f>
        <v>P1074</v>
      </c>
      <c r="E375" s="6" t="str">
        <f aca="false">INDEX(Products!$B$2:$B$101,MATCH(D375,Products!$A$2:$A$101,0))</f>
        <v>Notebook Pack</v>
      </c>
      <c r="F375" s="1" t="str">
        <f aca="false">INDEX(Products!$C$2:$C$101,MATCH(D375,Products!$A$2:$A$101,0))</f>
        <v>Books &amp; Stationery</v>
      </c>
      <c r="G375" s="6" t="n">
        <f aca="false">Orders!E375</f>
        <v>1</v>
      </c>
      <c r="H375" s="16" t="n">
        <f aca="false">INDEX(Products!$D$2:$D$101,MATCH(D375,Products!$A$2:$A$101,0))</f>
        <v>299</v>
      </c>
      <c r="I375" s="16" t="n">
        <f aca="false">INDEX(Products!$E$2:$E$101,MATCH(D375,Products!$A$2:$A$101,0))</f>
        <v>110</v>
      </c>
      <c r="J375" s="20" t="n">
        <f aca="false">Orders!F375</f>
        <v>0.2</v>
      </c>
      <c r="K375" s="6" t="n">
        <f aca="false">G375*H375</f>
        <v>299</v>
      </c>
      <c r="L375" s="6" t="n">
        <f aca="false">K375*J375</f>
        <v>59.8</v>
      </c>
      <c r="M375" s="6" t="n">
        <f aca="false">K375-L375</f>
        <v>239.2</v>
      </c>
      <c r="N375" s="6" t="n">
        <f aca="false">G375*I375</f>
        <v>110</v>
      </c>
      <c r="O375" s="6" t="n">
        <f aca="false">M375-N375</f>
        <v>129.2</v>
      </c>
      <c r="P375" s="21" t="n">
        <f aca="false">IFERROR(O375/M375,0)</f>
        <v>0.540133779264214</v>
      </c>
      <c r="Q375" s="6" t="str">
        <f aca="false">Orders!H375</f>
        <v>Processing</v>
      </c>
      <c r="R375" s="1" t="str">
        <f aca="false">INDEX(Customers!$C$2:$C$301,MATCH(C375,Customers!$A$2:$A$301,0))</f>
        <v>Lucknow</v>
      </c>
      <c r="S375" s="1" t="str">
        <f aca="false">INDEX(Customers!$E$2:$E$301,MATCH(C375,Customers!$A$2:$A$301,0))</f>
        <v>Returning</v>
      </c>
      <c r="T375" s="6" t="str">
        <f aca="false">Orders!I375</f>
        <v>Mobile App</v>
      </c>
      <c r="U375" s="1" t="str">
        <f aca="false">IF(Q375="Delivered","Completed",IF(Q375="Cancelled","Cancelled",IF(Q375="Returned","Returned","In Progress")))</f>
        <v>In Progress</v>
      </c>
      <c r="V375" s="1" t="str">
        <f aca="false">IF(M375&gt;=10000,"High Value",IF(M375&gt;=5000,"Medium Value","Low Value"))</f>
        <v>Low Value</v>
      </c>
      <c r="W375" s="1" t="str">
        <f aca="false">IF(O375&gt;0,"Profitable",IF(O375=0,"Break-even","Loss"))</f>
        <v>Profitable</v>
      </c>
      <c r="X375" s="1" t="str">
        <f aca="false">IF(Q375="Cancelled","Not Applicable",IF(Q375="Processing","Pending",IF(B375="","Unknown",IF(Orders!J375="","Unknown",IF(Orders!J375&lt;=3,"Fast",IF(Orders!J375&lt;=6,"Standard","Slow"))))))</f>
        <v>Pending</v>
      </c>
      <c r="Y375" s="1" t="n">
        <f aca="false">IF(OR(Q375="Cancelled",Q375="Returned"),0,O375)</f>
        <v>129.2</v>
      </c>
    </row>
    <row r="376" customFormat="false" ht="15" hidden="false" customHeight="false" outlineLevel="0" collapsed="false">
      <c r="A376" s="6" t="str">
        <f aca="false">Orders!A376</f>
        <v>O000375</v>
      </c>
      <c r="B376" s="19" t="n">
        <f aca="false">Orders!B376</f>
        <v>45859</v>
      </c>
      <c r="C376" s="6" t="str">
        <f aca="false">Orders!C376</f>
        <v>C0166</v>
      </c>
      <c r="D376" s="6" t="str">
        <f aca="false">Orders!D376</f>
        <v>P1092</v>
      </c>
      <c r="E376" s="6" t="str">
        <f aca="false">INDEX(Products!$B$2:$B$101,MATCH(D376,Products!$A$2:$A$101,0))</f>
        <v>Hand Blender</v>
      </c>
      <c r="F376" s="1" t="str">
        <f aca="false">INDEX(Products!$C$2:$C$101,MATCH(D376,Products!$A$2:$A$101,0))</f>
        <v>Appliances</v>
      </c>
      <c r="G376" s="6" t="n">
        <f aca="false">Orders!E376</f>
        <v>1</v>
      </c>
      <c r="H376" s="16" t="n">
        <f aca="false">INDEX(Products!$D$2:$D$101,MATCH(D376,Products!$A$2:$A$101,0))</f>
        <v>999</v>
      </c>
      <c r="I376" s="16" t="n">
        <f aca="false">INDEX(Products!$E$2:$E$101,MATCH(D376,Products!$A$2:$A$101,0))</f>
        <v>550</v>
      </c>
      <c r="J376" s="20" t="n">
        <f aca="false">Orders!F376</f>
        <v>0.15</v>
      </c>
      <c r="K376" s="6" t="n">
        <f aca="false">G376*H376</f>
        <v>999</v>
      </c>
      <c r="L376" s="6" t="n">
        <f aca="false">K376*J376</f>
        <v>149.85</v>
      </c>
      <c r="M376" s="6" t="n">
        <f aca="false">K376-L376</f>
        <v>849.15</v>
      </c>
      <c r="N376" s="6" t="n">
        <f aca="false">G376*I376</f>
        <v>550</v>
      </c>
      <c r="O376" s="6" t="n">
        <f aca="false">M376-N376</f>
        <v>299.15</v>
      </c>
      <c r="P376" s="21" t="n">
        <f aca="false">IFERROR(O376/M376,0)</f>
        <v>0.352293469940529</v>
      </c>
      <c r="Q376" s="6" t="str">
        <f aca="false">Orders!H376</f>
        <v>Delivered</v>
      </c>
      <c r="R376" s="1" t="str">
        <f aca="false">INDEX(Customers!$C$2:$C$301,MATCH(C376,Customers!$A$2:$A$301,0))</f>
        <v>Kolkata</v>
      </c>
      <c r="S376" s="1" t="str">
        <f aca="false">INDEX(Customers!$E$2:$E$301,MATCH(C376,Customers!$A$2:$A$301,0))</f>
        <v>New</v>
      </c>
      <c r="T376" s="6" t="str">
        <f aca="false">Orders!I376</f>
        <v>Marketplace</v>
      </c>
      <c r="U376" s="1" t="str">
        <f aca="false">IF(Q376="Delivered","Completed",IF(Q376="Cancelled","Cancelled",IF(Q376="Returned","Returned","In Progress")))</f>
        <v>Completed</v>
      </c>
      <c r="V376" s="1" t="str">
        <f aca="false">IF(M376&gt;=10000,"High Value",IF(M376&gt;=5000,"Medium Value","Low Value"))</f>
        <v>Low Value</v>
      </c>
      <c r="W376" s="1" t="str">
        <f aca="false">IF(O376&gt;0,"Profitable",IF(O376=0,"Break-even","Loss"))</f>
        <v>Profitable</v>
      </c>
      <c r="X376" s="1" t="str">
        <f aca="false">IF(Q376="Cancelled","Not Applicable",IF(Q376="Processing","Pending",IF(B376="","Unknown",IF(Orders!J376="","Unknown",IF(Orders!J376&lt;=3,"Fast",IF(Orders!J376&lt;=6,"Standard","Slow"))))))</f>
        <v>Standard</v>
      </c>
      <c r="Y376" s="1" t="n">
        <f aca="false">IF(OR(Q376="Cancelled",Q376="Returned"),0,O376)</f>
        <v>299.15</v>
      </c>
    </row>
    <row r="377" customFormat="false" ht="15" hidden="false" customHeight="false" outlineLevel="0" collapsed="false">
      <c r="A377" s="6" t="str">
        <f aca="false">Orders!A377</f>
        <v>O000376</v>
      </c>
      <c r="B377" s="19" t="n">
        <f aca="false">Orders!B377</f>
        <v>45765</v>
      </c>
      <c r="C377" s="6" t="str">
        <f aca="false">Orders!C377</f>
        <v>C0059</v>
      </c>
      <c r="D377" s="6" t="str">
        <f aca="false">Orders!D377</f>
        <v>P1050</v>
      </c>
      <c r="E377" s="6" t="str">
        <f aca="false">INDEX(Products!$B$2:$B$101,MATCH(D377,Products!$A$2:$A$101,0))</f>
        <v>Hair Serum</v>
      </c>
      <c r="F377" s="1" t="str">
        <f aca="false">INDEX(Products!$C$2:$C$101,MATCH(D377,Products!$A$2:$A$101,0))</f>
        <v>Beauty</v>
      </c>
      <c r="G377" s="6" t="n">
        <f aca="false">Orders!E377</f>
        <v>1</v>
      </c>
      <c r="H377" s="16" t="n">
        <f aca="false">INDEX(Products!$D$2:$D$101,MATCH(D377,Products!$A$2:$A$101,0))</f>
        <v>449</v>
      </c>
      <c r="I377" s="16" t="n">
        <f aca="false">INDEX(Products!$E$2:$E$101,MATCH(D377,Products!$A$2:$A$101,0))</f>
        <v>190</v>
      </c>
      <c r="J377" s="20" t="n">
        <f aca="false">Orders!F377</f>
        <v>0.1</v>
      </c>
      <c r="K377" s="6" t="n">
        <f aca="false">G377*H377</f>
        <v>449</v>
      </c>
      <c r="L377" s="6" t="n">
        <f aca="false">K377*J377</f>
        <v>44.9</v>
      </c>
      <c r="M377" s="6" t="n">
        <f aca="false">K377-L377</f>
        <v>404.1</v>
      </c>
      <c r="N377" s="6" t="n">
        <f aca="false">G377*I377</f>
        <v>190</v>
      </c>
      <c r="O377" s="6" t="n">
        <f aca="false">M377-N377</f>
        <v>214.1</v>
      </c>
      <c r="P377" s="21" t="n">
        <f aca="false">IFERROR(O377/M377,0)</f>
        <v>0.529819351645632</v>
      </c>
      <c r="Q377" s="6" t="str">
        <f aca="false">Orders!H377</f>
        <v>Delivered</v>
      </c>
      <c r="R377" s="1" t="str">
        <f aca="false">INDEX(Customers!$C$2:$C$301,MATCH(C377,Customers!$A$2:$A$301,0))</f>
        <v>Coimbatore</v>
      </c>
      <c r="S377" s="1" t="str">
        <f aca="false">INDEX(Customers!$E$2:$E$301,MATCH(C377,Customers!$A$2:$A$301,0))</f>
        <v>Returning</v>
      </c>
      <c r="T377" s="6" t="str">
        <f aca="false">Orders!I377</f>
        <v>Marketplace</v>
      </c>
      <c r="U377" s="1" t="str">
        <f aca="false">IF(Q377="Delivered","Completed",IF(Q377="Cancelled","Cancelled",IF(Q377="Returned","Returned","In Progress")))</f>
        <v>Completed</v>
      </c>
      <c r="V377" s="1" t="str">
        <f aca="false">IF(M377&gt;=10000,"High Value",IF(M377&gt;=5000,"Medium Value","Low Value"))</f>
        <v>Low Value</v>
      </c>
      <c r="W377" s="1" t="str">
        <f aca="false">IF(O377&gt;0,"Profitable",IF(O377=0,"Break-even","Loss"))</f>
        <v>Profitable</v>
      </c>
      <c r="X377" s="1" t="str">
        <f aca="false">IF(Q377="Cancelled","Not Applicable",IF(Q377="Processing","Pending",IF(B377="","Unknown",IF(Orders!J377="","Unknown",IF(Orders!J377&lt;=3,"Fast",IF(Orders!J377&lt;=6,"Standard","Slow"))))))</f>
        <v>Standard</v>
      </c>
      <c r="Y377" s="1" t="n">
        <f aca="false">IF(OR(Q377="Cancelled",Q377="Returned"),0,O377)</f>
        <v>214.1</v>
      </c>
    </row>
    <row r="378" customFormat="false" ht="15" hidden="false" customHeight="false" outlineLevel="0" collapsed="false">
      <c r="A378" s="6" t="str">
        <f aca="false">Orders!A378</f>
        <v>O000377</v>
      </c>
      <c r="B378" s="19" t="n">
        <f aca="false">Orders!B378</f>
        <v>45667</v>
      </c>
      <c r="C378" s="6" t="str">
        <f aca="false">Orders!C378</f>
        <v>C0234</v>
      </c>
      <c r="D378" s="6" t="str">
        <f aca="false">Orders!D378</f>
        <v>P1050</v>
      </c>
      <c r="E378" s="6" t="str">
        <f aca="false">INDEX(Products!$B$2:$B$101,MATCH(D378,Products!$A$2:$A$101,0))</f>
        <v>Hair Serum</v>
      </c>
      <c r="F378" s="1" t="str">
        <f aca="false">INDEX(Products!$C$2:$C$101,MATCH(D378,Products!$A$2:$A$101,0))</f>
        <v>Beauty</v>
      </c>
      <c r="G378" s="6" t="n">
        <f aca="false">Orders!E378</f>
        <v>5</v>
      </c>
      <c r="H378" s="16" t="n">
        <f aca="false">INDEX(Products!$D$2:$D$101,MATCH(D378,Products!$A$2:$A$101,0))</f>
        <v>449</v>
      </c>
      <c r="I378" s="16" t="n">
        <f aca="false">INDEX(Products!$E$2:$E$101,MATCH(D378,Products!$A$2:$A$101,0))</f>
        <v>190</v>
      </c>
      <c r="J378" s="20" t="n">
        <f aca="false">Orders!F378</f>
        <v>0.05</v>
      </c>
      <c r="K378" s="6" t="n">
        <f aca="false">G378*H378</f>
        <v>2245</v>
      </c>
      <c r="L378" s="6" t="n">
        <f aca="false">K378*J378</f>
        <v>112.25</v>
      </c>
      <c r="M378" s="6" t="n">
        <f aca="false">K378-L378</f>
        <v>2132.75</v>
      </c>
      <c r="N378" s="6" t="n">
        <f aca="false">G378*I378</f>
        <v>950</v>
      </c>
      <c r="O378" s="6" t="n">
        <f aca="false">M378-N378</f>
        <v>1182.75</v>
      </c>
      <c r="P378" s="21" t="n">
        <f aca="false">IFERROR(O378/M378,0)</f>
        <v>0.55456570155902</v>
      </c>
      <c r="Q378" s="6" t="str">
        <f aca="false">Orders!H378</f>
        <v>Shipped</v>
      </c>
      <c r="R378" s="1" t="str">
        <f aca="false">INDEX(Customers!$C$2:$C$301,MATCH(C378,Customers!$A$2:$A$301,0))</f>
        <v>Indore</v>
      </c>
      <c r="S378" s="1" t="str">
        <f aca="false">INDEX(Customers!$E$2:$E$301,MATCH(C378,Customers!$A$2:$A$301,0))</f>
        <v>New</v>
      </c>
      <c r="T378" s="6" t="str">
        <f aca="false">Orders!I378</f>
        <v>Website</v>
      </c>
      <c r="U378" s="1" t="str">
        <f aca="false">IF(Q378="Delivered","Completed",IF(Q378="Cancelled","Cancelled",IF(Q378="Returned","Returned","In Progress")))</f>
        <v>In Progress</v>
      </c>
      <c r="V378" s="1" t="str">
        <f aca="false">IF(M378&gt;=10000,"High Value",IF(M378&gt;=5000,"Medium Value","Low Value"))</f>
        <v>Low Value</v>
      </c>
      <c r="W378" s="1" t="str">
        <f aca="false">IF(O378&gt;0,"Profitable",IF(O378=0,"Break-even","Loss"))</f>
        <v>Profitable</v>
      </c>
      <c r="X378" s="1" t="str">
        <f aca="false">IF(Q378="Cancelled","Not Applicable",IF(Q378="Processing","Pending",IF(B378="","Unknown",IF(Orders!J378="","Unknown",IF(Orders!J378&lt;=3,"Fast",IF(Orders!J378&lt;=6,"Standard","Slow"))))))</f>
        <v>Standard</v>
      </c>
      <c r="Y378" s="1" t="n">
        <f aca="false">IF(OR(Q378="Cancelled",Q378="Returned"),0,O378)</f>
        <v>1182.75</v>
      </c>
    </row>
    <row r="379" customFormat="false" ht="15" hidden="false" customHeight="false" outlineLevel="0" collapsed="false">
      <c r="A379" s="6" t="str">
        <f aca="false">Orders!A379</f>
        <v>O000378</v>
      </c>
      <c r="B379" s="19" t="n">
        <f aca="false">Orders!B379</f>
        <v>45795</v>
      </c>
      <c r="C379" s="6" t="str">
        <f aca="false">Orders!C379</f>
        <v>C0013</v>
      </c>
      <c r="D379" s="6" t="str">
        <f aca="false">Orders!D379</f>
        <v>P1064</v>
      </c>
      <c r="E379" s="6" t="str">
        <f aca="false">INDEX(Products!$B$2:$B$101,MATCH(D379,Products!$A$2:$A$101,0))</f>
        <v>Football</v>
      </c>
      <c r="F379" s="1" t="str">
        <f aca="false">INDEX(Products!$C$2:$C$101,MATCH(D379,Products!$A$2:$A$101,0))</f>
        <v>Sports &amp; Outdoors</v>
      </c>
      <c r="G379" s="6" t="n">
        <f aca="false">Orders!E379</f>
        <v>3</v>
      </c>
      <c r="H379" s="16" t="n">
        <f aca="false">INDEX(Products!$D$2:$D$101,MATCH(D379,Products!$A$2:$A$101,0))</f>
        <v>699</v>
      </c>
      <c r="I379" s="16" t="n">
        <f aca="false">INDEX(Products!$E$2:$E$101,MATCH(D379,Products!$A$2:$A$101,0))</f>
        <v>300</v>
      </c>
      <c r="J379" s="20" t="n">
        <f aca="false">Orders!F379</f>
        <v>0.05</v>
      </c>
      <c r="K379" s="6" t="n">
        <f aca="false">G379*H379</f>
        <v>2097</v>
      </c>
      <c r="L379" s="6" t="n">
        <f aca="false">K379*J379</f>
        <v>104.85</v>
      </c>
      <c r="M379" s="6" t="n">
        <f aca="false">K379-L379</f>
        <v>1992.15</v>
      </c>
      <c r="N379" s="6" t="n">
        <f aca="false">G379*I379</f>
        <v>900</v>
      </c>
      <c r="O379" s="6" t="n">
        <f aca="false">M379-N379</f>
        <v>1092.15</v>
      </c>
      <c r="P379" s="21" t="n">
        <f aca="false">IFERROR(O379/M379,0)</f>
        <v>0.548226790151344</v>
      </c>
      <c r="Q379" s="6" t="str">
        <f aca="false">Orders!H379</f>
        <v>Delivered</v>
      </c>
      <c r="R379" s="1" t="str">
        <f aca="false">INDEX(Customers!$C$2:$C$301,MATCH(C379,Customers!$A$2:$A$301,0))</f>
        <v>Kochi</v>
      </c>
      <c r="S379" s="1" t="str">
        <f aca="false">INDEX(Customers!$E$2:$E$301,MATCH(C379,Customers!$A$2:$A$301,0))</f>
        <v>Returning</v>
      </c>
      <c r="T379" s="6" t="str">
        <f aca="false">Orders!I379</f>
        <v>Mobile App</v>
      </c>
      <c r="U379" s="1" t="str">
        <f aca="false">IF(Q379="Delivered","Completed",IF(Q379="Cancelled","Cancelled",IF(Q379="Returned","Returned","In Progress")))</f>
        <v>Completed</v>
      </c>
      <c r="V379" s="1" t="str">
        <f aca="false">IF(M379&gt;=10000,"High Value",IF(M379&gt;=5000,"Medium Value","Low Value"))</f>
        <v>Low Value</v>
      </c>
      <c r="W379" s="1" t="str">
        <f aca="false">IF(O379&gt;0,"Profitable",IF(O379=0,"Break-even","Loss"))</f>
        <v>Profitable</v>
      </c>
      <c r="X379" s="1" t="str">
        <f aca="false">IF(Q379="Cancelled","Not Applicable",IF(Q379="Processing","Pending",IF(B379="","Unknown",IF(Orders!J379="","Unknown",IF(Orders!J379&lt;=3,"Fast",IF(Orders!J379&lt;=6,"Standard","Slow"))))))</f>
        <v>Standard</v>
      </c>
      <c r="Y379" s="1" t="n">
        <f aca="false">IF(OR(Q379="Cancelled",Q379="Returned"),0,O379)</f>
        <v>1092.15</v>
      </c>
    </row>
    <row r="380" customFormat="false" ht="15" hidden="false" customHeight="false" outlineLevel="0" collapsed="false">
      <c r="A380" s="6" t="str">
        <f aca="false">Orders!A380</f>
        <v>O000379</v>
      </c>
      <c r="B380" s="19" t="n">
        <f aca="false">Orders!B380</f>
        <v>45801</v>
      </c>
      <c r="C380" s="6" t="str">
        <f aca="false">Orders!C380</f>
        <v>C0151</v>
      </c>
      <c r="D380" s="6" t="str">
        <f aca="false">Orders!D380</f>
        <v>P1021</v>
      </c>
      <c r="E380" s="6" t="str">
        <f aca="false">INDEX(Products!$B$2:$B$101,MATCH(D380,Products!$A$2:$A$101,0))</f>
        <v>Handbag</v>
      </c>
      <c r="F380" s="1" t="str">
        <f aca="false">INDEX(Products!$C$2:$C$101,MATCH(D380,Products!$A$2:$A$101,0))</f>
        <v>Fashion</v>
      </c>
      <c r="G380" s="6" t="n">
        <f aca="false">Orders!E380</f>
        <v>2</v>
      </c>
      <c r="H380" s="16" t="n">
        <f aca="false">INDEX(Products!$D$2:$D$101,MATCH(D380,Products!$A$2:$A$101,0))</f>
        <v>1499</v>
      </c>
      <c r="I380" s="16" t="n">
        <f aca="false">INDEX(Products!$E$2:$E$101,MATCH(D380,Products!$A$2:$A$101,0))</f>
        <v>700</v>
      </c>
      <c r="J380" s="20" t="n">
        <f aca="false">Orders!F380</f>
        <v>0.2</v>
      </c>
      <c r="K380" s="6" t="n">
        <f aca="false">G380*H380</f>
        <v>2998</v>
      </c>
      <c r="L380" s="6" t="n">
        <f aca="false">K380*J380</f>
        <v>599.6</v>
      </c>
      <c r="M380" s="6" t="n">
        <f aca="false">K380-L380</f>
        <v>2398.4</v>
      </c>
      <c r="N380" s="6" t="n">
        <f aca="false">G380*I380</f>
        <v>1400</v>
      </c>
      <c r="O380" s="6" t="n">
        <f aca="false">M380-N380</f>
        <v>998.4</v>
      </c>
      <c r="P380" s="21" t="n">
        <f aca="false">IFERROR(O380/M380,0)</f>
        <v>0.416277518345564</v>
      </c>
      <c r="Q380" s="6" t="str">
        <f aca="false">Orders!H380</f>
        <v>Delivered</v>
      </c>
      <c r="R380" s="1" t="str">
        <f aca="false">INDEX(Customers!$C$2:$C$301,MATCH(C380,Customers!$A$2:$A$301,0))</f>
        <v>Gurugram</v>
      </c>
      <c r="S380" s="1" t="str">
        <f aca="false">INDEX(Customers!$E$2:$E$301,MATCH(C380,Customers!$A$2:$A$301,0))</f>
        <v>New</v>
      </c>
      <c r="T380" s="6" t="str">
        <f aca="false">Orders!I380</f>
        <v>Mobile App</v>
      </c>
      <c r="U380" s="1" t="str">
        <f aca="false">IF(Q380="Delivered","Completed",IF(Q380="Cancelled","Cancelled",IF(Q380="Returned","Returned","In Progress")))</f>
        <v>Completed</v>
      </c>
      <c r="V380" s="1" t="str">
        <f aca="false">IF(M380&gt;=10000,"High Value",IF(M380&gt;=5000,"Medium Value","Low Value"))</f>
        <v>Low Value</v>
      </c>
      <c r="W380" s="1" t="str">
        <f aca="false">IF(O380&gt;0,"Profitable",IF(O380=0,"Break-even","Loss"))</f>
        <v>Profitable</v>
      </c>
      <c r="X380" s="1" t="str">
        <f aca="false">IF(Q380="Cancelled","Not Applicable",IF(Q380="Processing","Pending",IF(B380="","Unknown",IF(Orders!J380="","Unknown",IF(Orders!J380&lt;=3,"Fast",IF(Orders!J380&lt;=6,"Standard","Slow"))))))</f>
        <v>Fast</v>
      </c>
      <c r="Y380" s="1" t="n">
        <f aca="false">IF(OR(Q380="Cancelled",Q380="Returned"),0,O380)</f>
        <v>998.4</v>
      </c>
    </row>
    <row r="381" customFormat="false" ht="15" hidden="false" customHeight="false" outlineLevel="0" collapsed="false">
      <c r="A381" s="6" t="str">
        <f aca="false">Orders!A381</f>
        <v>O000380</v>
      </c>
      <c r="B381" s="19" t="n">
        <f aca="false">Orders!B381</f>
        <v>45984</v>
      </c>
      <c r="C381" s="6" t="str">
        <f aca="false">Orders!C381</f>
        <v>C0154</v>
      </c>
      <c r="D381" s="6" t="str">
        <f aca="false">Orders!D381</f>
        <v>P1052</v>
      </c>
      <c r="E381" s="6" t="str">
        <f aca="false">INDEX(Products!$B$2:$B$101,MATCH(D381,Products!$A$2:$A$101,0))</f>
        <v>Lip Balm Set</v>
      </c>
      <c r="F381" s="1" t="str">
        <f aca="false">INDEX(Products!$C$2:$C$101,MATCH(D381,Products!$A$2:$A$101,0))</f>
        <v>Beauty</v>
      </c>
      <c r="G381" s="6" t="n">
        <f aca="false">Orders!E381</f>
        <v>1</v>
      </c>
      <c r="H381" s="16" t="n">
        <f aca="false">INDEX(Products!$D$2:$D$101,MATCH(D381,Products!$A$2:$A$101,0))</f>
        <v>249</v>
      </c>
      <c r="I381" s="16" t="n">
        <f aca="false">INDEX(Products!$E$2:$E$101,MATCH(D381,Products!$A$2:$A$101,0))</f>
        <v>90</v>
      </c>
      <c r="J381" s="20" t="n">
        <f aca="false">Orders!F381</f>
        <v>0</v>
      </c>
      <c r="K381" s="6" t="n">
        <f aca="false">G381*H381</f>
        <v>249</v>
      </c>
      <c r="L381" s="6" t="n">
        <f aca="false">K381*J381</f>
        <v>0</v>
      </c>
      <c r="M381" s="6" t="n">
        <f aca="false">K381-L381</f>
        <v>249</v>
      </c>
      <c r="N381" s="6" t="n">
        <f aca="false">G381*I381</f>
        <v>90</v>
      </c>
      <c r="O381" s="6" t="n">
        <f aca="false">M381-N381</f>
        <v>159</v>
      </c>
      <c r="P381" s="21" t="n">
        <f aca="false">IFERROR(O381/M381,0)</f>
        <v>0.63855421686747</v>
      </c>
      <c r="Q381" s="6" t="str">
        <f aca="false">Orders!H381</f>
        <v>Delivered</v>
      </c>
      <c r="R381" s="1" t="str">
        <f aca="false">INDEX(Customers!$C$2:$C$301,MATCH(C381,Customers!$A$2:$A$301,0))</f>
        <v>Indore</v>
      </c>
      <c r="S381" s="1" t="str">
        <f aca="false">INDEX(Customers!$E$2:$E$301,MATCH(C381,Customers!$A$2:$A$301,0))</f>
        <v>Returning</v>
      </c>
      <c r="T381" s="6" t="str">
        <f aca="false">Orders!I381</f>
        <v>Mobile App</v>
      </c>
      <c r="U381" s="1" t="str">
        <f aca="false">IF(Q381="Delivered","Completed",IF(Q381="Cancelled","Cancelled",IF(Q381="Returned","Returned","In Progress")))</f>
        <v>Completed</v>
      </c>
      <c r="V381" s="1" t="str">
        <f aca="false">IF(M381&gt;=10000,"High Value",IF(M381&gt;=5000,"Medium Value","Low Value"))</f>
        <v>Low Value</v>
      </c>
      <c r="W381" s="1" t="str">
        <f aca="false">IF(O381&gt;0,"Profitable",IF(O381=0,"Break-even","Loss"))</f>
        <v>Profitable</v>
      </c>
      <c r="X381" s="1" t="str">
        <f aca="false">IF(Q381="Cancelled","Not Applicable",IF(Q381="Processing","Pending",IF(B381="","Unknown",IF(Orders!J381="","Unknown",IF(Orders!J381&lt;=3,"Fast",IF(Orders!J381&lt;=6,"Standard","Slow"))))))</f>
        <v>Fast</v>
      </c>
      <c r="Y381" s="1" t="n">
        <f aca="false">IF(OR(Q381="Cancelled",Q381="Returned"),0,O381)</f>
        <v>159</v>
      </c>
    </row>
    <row r="382" customFormat="false" ht="15" hidden="false" customHeight="false" outlineLevel="0" collapsed="false">
      <c r="A382" s="6" t="str">
        <f aca="false">Orders!A382</f>
        <v>O000381</v>
      </c>
      <c r="B382" s="19" t="n">
        <f aca="false">Orders!B382</f>
        <v>45873</v>
      </c>
      <c r="C382" s="6" t="str">
        <f aca="false">Orders!C382</f>
        <v>C0038</v>
      </c>
      <c r="D382" s="6" t="str">
        <f aca="false">Orders!D382</f>
        <v>P1010</v>
      </c>
      <c r="E382" s="6" t="str">
        <f aca="false">INDEX(Products!$B$2:$B$101,MATCH(D382,Products!$A$2:$A$101,0))</f>
        <v>Webcam</v>
      </c>
      <c r="F382" s="1" t="str">
        <f aca="false">INDEX(Products!$C$2:$C$101,MATCH(D382,Products!$A$2:$A$101,0))</f>
        <v>Electronics</v>
      </c>
      <c r="G382" s="6" t="n">
        <f aca="false">Orders!E382</f>
        <v>5</v>
      </c>
      <c r="H382" s="16" t="n">
        <f aca="false">INDEX(Products!$D$2:$D$101,MATCH(D382,Products!$A$2:$A$101,0))</f>
        <v>1799</v>
      </c>
      <c r="I382" s="16" t="n">
        <f aca="false">INDEX(Products!$E$2:$E$101,MATCH(D382,Products!$A$2:$A$101,0))</f>
        <v>1050</v>
      </c>
      <c r="J382" s="20" t="n">
        <f aca="false">Orders!F382</f>
        <v>0.25</v>
      </c>
      <c r="K382" s="6" t="n">
        <f aca="false">G382*H382</f>
        <v>8995</v>
      </c>
      <c r="L382" s="6" t="n">
        <f aca="false">K382*J382</f>
        <v>2248.75</v>
      </c>
      <c r="M382" s="6" t="n">
        <f aca="false">K382-L382</f>
        <v>6746.25</v>
      </c>
      <c r="N382" s="6" t="n">
        <f aca="false">G382*I382</f>
        <v>5250</v>
      </c>
      <c r="O382" s="6" t="n">
        <f aca="false">M382-N382</f>
        <v>1496.25</v>
      </c>
      <c r="P382" s="21" t="n">
        <f aca="false">IFERROR(O382/M382,0)</f>
        <v>0.221789883268482</v>
      </c>
      <c r="Q382" s="6" t="str">
        <f aca="false">Orders!H382</f>
        <v>Processing</v>
      </c>
      <c r="R382" s="1" t="str">
        <f aca="false">INDEX(Customers!$C$2:$C$301,MATCH(C382,Customers!$A$2:$A$301,0))</f>
        <v>Nagpur</v>
      </c>
      <c r="S382" s="1" t="str">
        <f aca="false">INDEX(Customers!$E$2:$E$301,MATCH(C382,Customers!$A$2:$A$301,0))</f>
        <v>Returning</v>
      </c>
      <c r="T382" s="6" t="str">
        <f aca="false">Orders!I382</f>
        <v>Mobile App</v>
      </c>
      <c r="U382" s="1" t="str">
        <f aca="false">IF(Q382="Delivered","Completed",IF(Q382="Cancelled","Cancelled",IF(Q382="Returned","Returned","In Progress")))</f>
        <v>In Progress</v>
      </c>
      <c r="V382" s="1" t="str">
        <f aca="false">IF(M382&gt;=10000,"High Value",IF(M382&gt;=5000,"Medium Value","Low Value"))</f>
        <v>Medium Value</v>
      </c>
      <c r="W382" s="1" t="str">
        <f aca="false">IF(O382&gt;0,"Profitable",IF(O382=0,"Break-even","Loss"))</f>
        <v>Profitable</v>
      </c>
      <c r="X382" s="1" t="str">
        <f aca="false">IF(Q382="Cancelled","Not Applicable",IF(Q382="Processing","Pending",IF(B382="","Unknown",IF(Orders!J382="","Unknown",IF(Orders!J382&lt;=3,"Fast",IF(Orders!J382&lt;=6,"Standard","Slow"))))))</f>
        <v>Pending</v>
      </c>
      <c r="Y382" s="1" t="n">
        <f aca="false">IF(OR(Q382="Cancelled",Q382="Returned"),0,O382)</f>
        <v>1496.25</v>
      </c>
    </row>
    <row r="383" customFormat="false" ht="23.85" hidden="false" customHeight="false" outlineLevel="0" collapsed="false">
      <c r="A383" s="6" t="str">
        <f aca="false">Orders!A383</f>
        <v>O000382</v>
      </c>
      <c r="B383" s="19" t="n">
        <f aca="false">Orders!B383</f>
        <v>45896</v>
      </c>
      <c r="C383" s="6" t="str">
        <f aca="false">Orders!C383</f>
        <v>C0278</v>
      </c>
      <c r="D383" s="6" t="str">
        <f aca="false">Orders!D383</f>
        <v>P1061</v>
      </c>
      <c r="E383" s="6" t="str">
        <f aca="false">INDEX(Products!$B$2:$B$101,MATCH(D383,Products!$A$2:$A$101,0))</f>
        <v>Resistance Bands</v>
      </c>
      <c r="F383" s="1" t="str">
        <f aca="false">INDEX(Products!$C$2:$C$101,MATCH(D383,Products!$A$2:$A$101,0))</f>
        <v>Sports &amp; Outdoors</v>
      </c>
      <c r="G383" s="6" t="n">
        <f aca="false">Orders!E383</f>
        <v>1</v>
      </c>
      <c r="H383" s="16" t="n">
        <f aca="false">INDEX(Products!$D$2:$D$101,MATCH(D383,Products!$A$2:$A$101,0))</f>
        <v>399</v>
      </c>
      <c r="I383" s="16" t="n">
        <f aca="false">INDEX(Products!$E$2:$E$101,MATCH(D383,Products!$A$2:$A$101,0))</f>
        <v>150</v>
      </c>
      <c r="J383" s="20" t="n">
        <f aca="false">Orders!F383</f>
        <v>0.05</v>
      </c>
      <c r="K383" s="6" t="n">
        <f aca="false">G383*H383</f>
        <v>399</v>
      </c>
      <c r="L383" s="6" t="n">
        <f aca="false">K383*J383</f>
        <v>19.95</v>
      </c>
      <c r="M383" s="6" t="n">
        <f aca="false">K383-L383</f>
        <v>379.05</v>
      </c>
      <c r="N383" s="6" t="n">
        <f aca="false">G383*I383</f>
        <v>150</v>
      </c>
      <c r="O383" s="6" t="n">
        <f aca="false">M383-N383</f>
        <v>229.05</v>
      </c>
      <c r="P383" s="21" t="n">
        <f aca="false">IFERROR(O383/M383,0)</f>
        <v>0.604273842500989</v>
      </c>
      <c r="Q383" s="6" t="str">
        <f aca="false">Orders!H383</f>
        <v>Cancelled</v>
      </c>
      <c r="R383" s="1" t="str">
        <f aca="false">INDEX(Customers!$C$2:$C$301,MATCH(C383,Customers!$A$2:$A$301,0))</f>
        <v>Nagpur</v>
      </c>
      <c r="S383" s="1" t="str">
        <f aca="false">INDEX(Customers!$E$2:$E$301,MATCH(C383,Customers!$A$2:$A$301,0))</f>
        <v>Returning</v>
      </c>
      <c r="T383" s="6" t="str">
        <f aca="false">Orders!I383</f>
        <v>Marketplace</v>
      </c>
      <c r="U383" s="1" t="str">
        <f aca="false">IF(Q383="Delivered","Completed",IF(Q383="Cancelled","Cancelled",IF(Q383="Returned","Returned","In Progress")))</f>
        <v>Cancelled</v>
      </c>
      <c r="V383" s="1" t="str">
        <f aca="false">IF(M383&gt;=10000,"High Value",IF(M383&gt;=5000,"Medium Value","Low Value"))</f>
        <v>Low Value</v>
      </c>
      <c r="W383" s="1" t="str">
        <f aca="false">IF(O383&gt;0,"Profitable",IF(O383=0,"Break-even","Loss"))</f>
        <v>Profitable</v>
      </c>
      <c r="X383" s="1" t="str">
        <f aca="false">IF(Q383="Cancelled","Not Applicable",IF(Q383="Processing","Pending",IF(B383="","Unknown",IF(Orders!J383="","Unknown",IF(Orders!J383&lt;=3,"Fast",IF(Orders!J383&lt;=6,"Standard","Slow"))))))</f>
        <v>Not Applicable</v>
      </c>
      <c r="Y383" s="1" t="n">
        <f aca="false">IF(OR(Q383="Cancelled",Q383="Returned"),0,O383)</f>
        <v>0</v>
      </c>
    </row>
    <row r="384" customFormat="false" ht="15" hidden="false" customHeight="false" outlineLevel="0" collapsed="false">
      <c r="A384" s="6" t="str">
        <f aca="false">Orders!A384</f>
        <v>O000383</v>
      </c>
      <c r="B384" s="19" t="n">
        <f aca="false">Orders!B384</f>
        <v>46001</v>
      </c>
      <c r="C384" s="6" t="str">
        <f aca="false">Orders!C384</f>
        <v>C0252</v>
      </c>
      <c r="D384" s="6" t="str">
        <f aca="false">Orders!D384</f>
        <v>P1075</v>
      </c>
      <c r="E384" s="6" t="str">
        <f aca="false">INDEX(Products!$B$2:$B$101,MATCH(D384,Products!$A$2:$A$101,0))</f>
        <v>Ball Pen Set</v>
      </c>
      <c r="F384" s="1" t="str">
        <f aca="false">INDEX(Products!$C$2:$C$101,MATCH(D384,Products!$A$2:$A$101,0))</f>
        <v>Books &amp; Stationery</v>
      </c>
      <c r="G384" s="6" t="n">
        <f aca="false">Orders!E384</f>
        <v>2</v>
      </c>
      <c r="H384" s="16" t="n">
        <f aca="false">INDEX(Products!$D$2:$D$101,MATCH(D384,Products!$A$2:$A$101,0))</f>
        <v>199</v>
      </c>
      <c r="I384" s="16" t="n">
        <f aca="false">INDEX(Products!$E$2:$E$101,MATCH(D384,Products!$A$2:$A$101,0))</f>
        <v>65</v>
      </c>
      <c r="J384" s="20" t="n">
        <f aca="false">Orders!F384</f>
        <v>0.05</v>
      </c>
      <c r="K384" s="6" t="n">
        <f aca="false">G384*H384</f>
        <v>398</v>
      </c>
      <c r="L384" s="6" t="n">
        <f aca="false">K384*J384</f>
        <v>19.9</v>
      </c>
      <c r="M384" s="6" t="n">
        <f aca="false">K384-L384</f>
        <v>378.1</v>
      </c>
      <c r="N384" s="6" t="n">
        <f aca="false">G384*I384</f>
        <v>130</v>
      </c>
      <c r="O384" s="6" t="n">
        <f aca="false">M384-N384</f>
        <v>248.1</v>
      </c>
      <c r="P384" s="21" t="n">
        <f aca="false">IFERROR(O384/M384,0)</f>
        <v>0.656175614916689</v>
      </c>
      <c r="Q384" s="6" t="str">
        <f aca="false">Orders!H384</f>
        <v>Delivered</v>
      </c>
      <c r="R384" s="1" t="str">
        <f aca="false">INDEX(Customers!$C$2:$C$301,MATCH(C384,Customers!$A$2:$A$301,0))</f>
        <v>Noida</v>
      </c>
      <c r="S384" s="1" t="str">
        <f aca="false">INDEX(Customers!$E$2:$E$301,MATCH(C384,Customers!$A$2:$A$301,0))</f>
        <v>Returning</v>
      </c>
      <c r="T384" s="6" t="str">
        <f aca="false">Orders!I384</f>
        <v>Mobile App</v>
      </c>
      <c r="U384" s="1" t="str">
        <f aca="false">IF(Q384="Delivered","Completed",IF(Q384="Cancelled","Cancelled",IF(Q384="Returned","Returned","In Progress")))</f>
        <v>Completed</v>
      </c>
      <c r="V384" s="1" t="str">
        <f aca="false">IF(M384&gt;=10000,"High Value",IF(M384&gt;=5000,"Medium Value","Low Value"))</f>
        <v>Low Value</v>
      </c>
      <c r="W384" s="1" t="str">
        <f aca="false">IF(O384&gt;0,"Profitable",IF(O384=0,"Break-even","Loss"))</f>
        <v>Profitable</v>
      </c>
      <c r="X384" s="1" t="str">
        <f aca="false">IF(Q384="Cancelled","Not Applicable",IF(Q384="Processing","Pending",IF(B384="","Unknown",IF(Orders!J384="","Unknown",IF(Orders!J384&lt;=3,"Fast",IF(Orders!J384&lt;=6,"Standard","Slow"))))))</f>
        <v>Slow</v>
      </c>
      <c r="Y384" s="1" t="n">
        <f aca="false">IF(OR(Q384="Cancelled",Q384="Returned"),0,O384)</f>
        <v>248.1</v>
      </c>
    </row>
    <row r="385" customFormat="false" ht="23.85" hidden="false" customHeight="false" outlineLevel="0" collapsed="false">
      <c r="A385" s="6" t="str">
        <f aca="false">Orders!A385</f>
        <v>O000384</v>
      </c>
      <c r="B385" s="19" t="n">
        <f aca="false">Orders!B385</f>
        <v>45897</v>
      </c>
      <c r="C385" s="6" t="str">
        <f aca="false">Orders!C385</f>
        <v>C0262</v>
      </c>
      <c r="D385" s="6" t="str">
        <f aca="false">Orders!D385</f>
        <v>P1012</v>
      </c>
      <c r="E385" s="6" t="str">
        <f aca="false">INDEX(Products!$B$2:$B$101,MATCH(D385,Products!$A$2:$A$101,0))</f>
        <v>Charging Adapter</v>
      </c>
      <c r="F385" s="1" t="str">
        <f aca="false">INDEX(Products!$C$2:$C$101,MATCH(D385,Products!$A$2:$A$101,0))</f>
        <v>Electronics</v>
      </c>
      <c r="G385" s="6" t="n">
        <f aca="false">Orders!E385</f>
        <v>5</v>
      </c>
      <c r="H385" s="16" t="n">
        <f aca="false">INDEX(Products!$D$2:$D$101,MATCH(D385,Products!$A$2:$A$101,0))</f>
        <v>599</v>
      </c>
      <c r="I385" s="16" t="n">
        <f aca="false">INDEX(Products!$E$2:$E$101,MATCH(D385,Products!$A$2:$A$101,0))</f>
        <v>260</v>
      </c>
      <c r="J385" s="20" t="n">
        <f aca="false">Orders!F385</f>
        <v>0.15</v>
      </c>
      <c r="K385" s="6" t="n">
        <f aca="false">G385*H385</f>
        <v>2995</v>
      </c>
      <c r="L385" s="6" t="n">
        <f aca="false">K385*J385</f>
        <v>449.25</v>
      </c>
      <c r="M385" s="6" t="n">
        <f aca="false">K385-L385</f>
        <v>2545.75</v>
      </c>
      <c r="N385" s="6" t="n">
        <f aca="false">G385*I385</f>
        <v>1300</v>
      </c>
      <c r="O385" s="6" t="n">
        <f aca="false">M385-N385</f>
        <v>1245.75</v>
      </c>
      <c r="P385" s="21" t="n">
        <f aca="false">IFERROR(O385/M385,0)</f>
        <v>0.48934498674261</v>
      </c>
      <c r="Q385" s="6" t="str">
        <f aca="false">Orders!H385</f>
        <v>Delivered</v>
      </c>
      <c r="R385" s="1" t="str">
        <f aca="false">INDEX(Customers!$C$2:$C$301,MATCH(C385,Customers!$A$2:$A$301,0))</f>
        <v>Mumbai</v>
      </c>
      <c r="S385" s="1" t="str">
        <f aca="false">INDEX(Customers!$E$2:$E$301,MATCH(C385,Customers!$A$2:$A$301,0))</f>
        <v>Returning</v>
      </c>
      <c r="T385" s="6" t="str">
        <f aca="false">Orders!I385</f>
        <v>Mobile App</v>
      </c>
      <c r="U385" s="1" t="str">
        <f aca="false">IF(Q385="Delivered","Completed",IF(Q385="Cancelled","Cancelled",IF(Q385="Returned","Returned","In Progress")))</f>
        <v>Completed</v>
      </c>
      <c r="V385" s="1" t="str">
        <f aca="false">IF(M385&gt;=10000,"High Value",IF(M385&gt;=5000,"Medium Value","Low Value"))</f>
        <v>Low Value</v>
      </c>
      <c r="W385" s="1" t="str">
        <f aca="false">IF(O385&gt;0,"Profitable",IF(O385=0,"Break-even","Loss"))</f>
        <v>Profitable</v>
      </c>
      <c r="X385" s="1" t="str">
        <f aca="false">IF(Q385="Cancelled","Not Applicable",IF(Q385="Processing","Pending",IF(B385="","Unknown",IF(Orders!J385="","Unknown",IF(Orders!J385&lt;=3,"Fast",IF(Orders!J385&lt;=6,"Standard","Slow"))))))</f>
        <v>Slow</v>
      </c>
      <c r="Y385" s="1" t="n">
        <f aca="false">IF(OR(Q385="Cancelled",Q385="Returned"),0,O385)</f>
        <v>1245.75</v>
      </c>
    </row>
    <row r="386" customFormat="false" ht="15" hidden="false" customHeight="false" outlineLevel="0" collapsed="false">
      <c r="A386" s="6" t="str">
        <f aca="false">Orders!A386</f>
        <v>O000385</v>
      </c>
      <c r="B386" s="19" t="n">
        <f aca="false">Orders!B386</f>
        <v>45835</v>
      </c>
      <c r="C386" s="6" t="str">
        <f aca="false">Orders!C386</f>
        <v>C0064</v>
      </c>
      <c r="D386" s="6" t="str">
        <f aca="false">Orders!D386</f>
        <v>P1018</v>
      </c>
      <c r="E386" s="6" t="str">
        <f aca="false">INDEX(Products!$B$2:$B$101,MATCH(D386,Products!$A$2:$A$101,0))</f>
        <v>Cotton Shirt</v>
      </c>
      <c r="F386" s="1" t="str">
        <f aca="false">INDEX(Products!$C$2:$C$101,MATCH(D386,Products!$A$2:$A$101,0))</f>
        <v>Fashion</v>
      </c>
      <c r="G386" s="6" t="n">
        <f aca="false">Orders!E386</f>
        <v>1</v>
      </c>
      <c r="H386" s="16" t="n">
        <f aca="false">INDEX(Products!$D$2:$D$101,MATCH(D386,Products!$A$2:$A$101,0))</f>
        <v>899</v>
      </c>
      <c r="I386" s="16" t="n">
        <f aca="false">INDEX(Products!$E$2:$E$101,MATCH(D386,Products!$A$2:$A$101,0))</f>
        <v>420</v>
      </c>
      <c r="J386" s="20" t="n">
        <f aca="false">Orders!F386</f>
        <v>0.1</v>
      </c>
      <c r="K386" s="6" t="n">
        <f aca="false">G386*H386</f>
        <v>899</v>
      </c>
      <c r="L386" s="6" t="n">
        <f aca="false">K386*J386</f>
        <v>89.9</v>
      </c>
      <c r="M386" s="6" t="n">
        <f aca="false">K386-L386</f>
        <v>809.1</v>
      </c>
      <c r="N386" s="6" t="n">
        <f aca="false">G386*I386</f>
        <v>420</v>
      </c>
      <c r="O386" s="6" t="n">
        <f aca="false">M386-N386</f>
        <v>389.1</v>
      </c>
      <c r="P386" s="21" t="n">
        <f aca="false">IFERROR(O386/M386,0)</f>
        <v>0.480904708935855</v>
      </c>
      <c r="Q386" s="6" t="str">
        <f aca="false">Orders!H386</f>
        <v>Cancelled</v>
      </c>
      <c r="R386" s="1" t="str">
        <f aca="false">INDEX(Customers!$C$2:$C$301,MATCH(C386,Customers!$A$2:$A$301,0))</f>
        <v>Hyderabad</v>
      </c>
      <c r="S386" s="1" t="str">
        <f aca="false">INDEX(Customers!$E$2:$E$301,MATCH(C386,Customers!$A$2:$A$301,0))</f>
        <v>Returning</v>
      </c>
      <c r="T386" s="6" t="str">
        <f aca="false">Orders!I386</f>
        <v>Marketplace</v>
      </c>
      <c r="U386" s="1" t="str">
        <f aca="false">IF(Q386="Delivered","Completed",IF(Q386="Cancelled","Cancelled",IF(Q386="Returned","Returned","In Progress")))</f>
        <v>Cancelled</v>
      </c>
      <c r="V386" s="1" t="str">
        <f aca="false">IF(M386&gt;=10000,"High Value",IF(M386&gt;=5000,"Medium Value","Low Value"))</f>
        <v>Low Value</v>
      </c>
      <c r="W386" s="1" t="str">
        <f aca="false">IF(O386&gt;0,"Profitable",IF(O386=0,"Break-even","Loss"))</f>
        <v>Profitable</v>
      </c>
      <c r="X386" s="1" t="str">
        <f aca="false">IF(Q386="Cancelled","Not Applicable",IF(Q386="Processing","Pending",IF(B386="","Unknown",IF(Orders!J386="","Unknown",IF(Orders!J386&lt;=3,"Fast",IF(Orders!J386&lt;=6,"Standard","Slow"))))))</f>
        <v>Not Applicable</v>
      </c>
      <c r="Y386" s="1" t="n">
        <f aca="false">IF(OR(Q386="Cancelled",Q386="Returned"),0,O386)</f>
        <v>0</v>
      </c>
    </row>
    <row r="387" customFormat="false" ht="15" hidden="false" customHeight="false" outlineLevel="0" collapsed="false">
      <c r="A387" s="6" t="str">
        <f aca="false">Orders!A387</f>
        <v>O000386</v>
      </c>
      <c r="B387" s="19" t="n">
        <f aca="false">Orders!B387</f>
        <v>45830</v>
      </c>
      <c r="C387" s="6" t="str">
        <f aca="false">Orders!C387</f>
        <v>C0070</v>
      </c>
      <c r="D387" s="6" t="str">
        <f aca="false">Orders!D387</f>
        <v>P1054</v>
      </c>
      <c r="E387" s="6" t="str">
        <f aca="false">INDEX(Products!$B$2:$B$101,MATCH(D387,Products!$A$2:$A$101,0))</f>
        <v>Face Mask Pack</v>
      </c>
      <c r="F387" s="1" t="str">
        <f aca="false">INDEX(Products!$C$2:$C$101,MATCH(D387,Products!$A$2:$A$101,0))</f>
        <v>Beauty</v>
      </c>
      <c r="G387" s="6" t="n">
        <f aca="false">Orders!E387</f>
        <v>4</v>
      </c>
      <c r="H387" s="16" t="n">
        <f aca="false">INDEX(Products!$D$2:$D$101,MATCH(D387,Products!$A$2:$A$101,0))</f>
        <v>299</v>
      </c>
      <c r="I387" s="16" t="n">
        <f aca="false">INDEX(Products!$E$2:$E$101,MATCH(D387,Products!$A$2:$A$101,0))</f>
        <v>110</v>
      </c>
      <c r="J387" s="20" t="n">
        <f aca="false">Orders!F387</f>
        <v>0.05</v>
      </c>
      <c r="K387" s="6" t="n">
        <f aca="false">G387*H387</f>
        <v>1196</v>
      </c>
      <c r="L387" s="6" t="n">
        <f aca="false">K387*J387</f>
        <v>59.8</v>
      </c>
      <c r="M387" s="6" t="n">
        <f aca="false">K387-L387</f>
        <v>1136.2</v>
      </c>
      <c r="N387" s="6" t="n">
        <f aca="false">G387*I387</f>
        <v>440</v>
      </c>
      <c r="O387" s="6" t="n">
        <f aca="false">M387-N387</f>
        <v>696.2</v>
      </c>
      <c r="P387" s="21" t="n">
        <f aca="false">IFERROR(O387/M387,0)</f>
        <v>0.612744235169864</v>
      </c>
      <c r="Q387" s="6" t="str">
        <f aca="false">Orders!H387</f>
        <v>Delivered</v>
      </c>
      <c r="R387" s="1" t="str">
        <f aca="false">INDEX(Customers!$C$2:$C$301,MATCH(C387,Customers!$A$2:$A$301,0))</f>
        <v>Lucknow</v>
      </c>
      <c r="S387" s="1" t="str">
        <f aca="false">INDEX(Customers!$E$2:$E$301,MATCH(C387,Customers!$A$2:$A$301,0))</f>
        <v>Returning</v>
      </c>
      <c r="T387" s="6" t="str">
        <f aca="false">Orders!I387</f>
        <v>Marketplace</v>
      </c>
      <c r="U387" s="1" t="str">
        <f aca="false">IF(Q387="Delivered","Completed",IF(Q387="Cancelled","Cancelled",IF(Q387="Returned","Returned","In Progress")))</f>
        <v>Completed</v>
      </c>
      <c r="V387" s="1" t="str">
        <f aca="false">IF(M387&gt;=10000,"High Value",IF(M387&gt;=5000,"Medium Value","Low Value"))</f>
        <v>Low Value</v>
      </c>
      <c r="W387" s="1" t="str">
        <f aca="false">IF(O387&gt;0,"Profitable",IF(O387=0,"Break-even","Loss"))</f>
        <v>Profitable</v>
      </c>
      <c r="X387" s="1" t="str">
        <f aca="false">IF(Q387="Cancelled","Not Applicable",IF(Q387="Processing","Pending",IF(B387="","Unknown",IF(Orders!J387="","Unknown",IF(Orders!J387&lt;=3,"Fast",IF(Orders!J387&lt;=6,"Standard","Slow"))))))</f>
        <v>Fast</v>
      </c>
      <c r="Y387" s="1" t="n">
        <f aca="false">IF(OR(Q387="Cancelled",Q387="Returned"),0,O387)</f>
        <v>696.2</v>
      </c>
    </row>
    <row r="388" customFormat="false" ht="15" hidden="false" customHeight="false" outlineLevel="0" collapsed="false">
      <c r="A388" s="6" t="str">
        <f aca="false">Orders!A388</f>
        <v>O000387</v>
      </c>
      <c r="B388" s="19" t="n">
        <f aca="false">Orders!B388</f>
        <v>45822</v>
      </c>
      <c r="C388" s="6" t="str">
        <f aca="false">Orders!C388</f>
        <v>C0251</v>
      </c>
      <c r="D388" s="6" t="str">
        <f aca="false">Orders!D388</f>
        <v>P1084</v>
      </c>
      <c r="E388" s="6" t="str">
        <f aca="false">INDEX(Products!$B$2:$B$101,MATCH(D388,Products!$A$2:$A$101,0))</f>
        <v>Whiteboard</v>
      </c>
      <c r="F388" s="1" t="str">
        <f aca="false">INDEX(Products!$C$2:$C$101,MATCH(D388,Products!$A$2:$A$101,0))</f>
        <v>Books &amp; Stationery</v>
      </c>
      <c r="G388" s="6" t="n">
        <f aca="false">Orders!E388</f>
        <v>2</v>
      </c>
      <c r="H388" s="16" t="n">
        <f aca="false">INDEX(Products!$D$2:$D$101,MATCH(D388,Products!$A$2:$A$101,0))</f>
        <v>799</v>
      </c>
      <c r="I388" s="16" t="n">
        <f aca="false">INDEX(Products!$E$2:$E$101,MATCH(D388,Products!$A$2:$A$101,0))</f>
        <v>420</v>
      </c>
      <c r="J388" s="20" t="n">
        <f aca="false">Orders!F388</f>
        <v>0.15</v>
      </c>
      <c r="K388" s="6" t="n">
        <f aca="false">G388*H388</f>
        <v>1598</v>
      </c>
      <c r="L388" s="6" t="n">
        <f aca="false">K388*J388</f>
        <v>239.7</v>
      </c>
      <c r="M388" s="6" t="n">
        <f aca="false">K388-L388</f>
        <v>1358.3</v>
      </c>
      <c r="N388" s="6" t="n">
        <f aca="false">G388*I388</f>
        <v>840</v>
      </c>
      <c r="O388" s="6" t="n">
        <f aca="false">M388-N388</f>
        <v>518.3</v>
      </c>
      <c r="P388" s="21" t="n">
        <f aca="false">IFERROR(O388/M388,0)</f>
        <v>0.38157991607156</v>
      </c>
      <c r="Q388" s="6" t="str">
        <f aca="false">Orders!H388</f>
        <v>Delivered</v>
      </c>
      <c r="R388" s="1" t="str">
        <f aca="false">INDEX(Customers!$C$2:$C$301,MATCH(C388,Customers!$A$2:$A$301,0))</f>
        <v>Gurugram</v>
      </c>
      <c r="S388" s="1" t="str">
        <f aca="false">INDEX(Customers!$E$2:$E$301,MATCH(C388,Customers!$A$2:$A$301,0))</f>
        <v>Returning</v>
      </c>
      <c r="T388" s="6" t="str">
        <f aca="false">Orders!I388</f>
        <v>Mobile App</v>
      </c>
      <c r="U388" s="1" t="str">
        <f aca="false">IF(Q388="Delivered","Completed",IF(Q388="Cancelled","Cancelled",IF(Q388="Returned","Returned","In Progress")))</f>
        <v>Completed</v>
      </c>
      <c r="V388" s="1" t="str">
        <f aca="false">IF(M388&gt;=10000,"High Value",IF(M388&gt;=5000,"Medium Value","Low Value"))</f>
        <v>Low Value</v>
      </c>
      <c r="W388" s="1" t="str">
        <f aca="false">IF(O388&gt;0,"Profitable",IF(O388=0,"Break-even","Loss"))</f>
        <v>Profitable</v>
      </c>
      <c r="X388" s="1" t="str">
        <f aca="false">IF(Q388="Cancelled","Not Applicable",IF(Q388="Processing","Pending",IF(B388="","Unknown",IF(Orders!J388="","Unknown",IF(Orders!J388&lt;=3,"Fast",IF(Orders!J388&lt;=6,"Standard","Slow"))))))</f>
        <v>Fast</v>
      </c>
      <c r="Y388" s="1" t="n">
        <f aca="false">IF(OR(Q388="Cancelled",Q388="Returned"),0,O388)</f>
        <v>518.3</v>
      </c>
    </row>
    <row r="389" customFormat="false" ht="15" hidden="false" customHeight="false" outlineLevel="0" collapsed="false">
      <c r="A389" s="6" t="str">
        <f aca="false">Orders!A389</f>
        <v>O000388</v>
      </c>
      <c r="B389" s="19" t="n">
        <f aca="false">Orders!B389</f>
        <v>45964</v>
      </c>
      <c r="C389" s="6" t="str">
        <f aca="false">Orders!C389</f>
        <v>C0030</v>
      </c>
      <c r="D389" s="6" t="str">
        <f aca="false">Orders!D389</f>
        <v>P1067</v>
      </c>
      <c r="E389" s="6" t="str">
        <f aca="false">INDEX(Products!$B$2:$B$101,MATCH(D389,Products!$A$2:$A$101,0))</f>
        <v>Camping Torch</v>
      </c>
      <c r="F389" s="1" t="str">
        <f aca="false">INDEX(Products!$C$2:$C$101,MATCH(D389,Products!$A$2:$A$101,0))</f>
        <v>Sports &amp; Outdoors</v>
      </c>
      <c r="G389" s="6" t="n">
        <f aca="false">Orders!E389</f>
        <v>1</v>
      </c>
      <c r="H389" s="16" t="n">
        <f aca="false">INDEX(Products!$D$2:$D$101,MATCH(D389,Products!$A$2:$A$101,0))</f>
        <v>599</v>
      </c>
      <c r="I389" s="16" t="n">
        <f aca="false">INDEX(Products!$E$2:$E$101,MATCH(D389,Products!$A$2:$A$101,0))</f>
        <v>250</v>
      </c>
      <c r="J389" s="20" t="n">
        <f aca="false">Orders!F389</f>
        <v>0.25</v>
      </c>
      <c r="K389" s="6" t="n">
        <f aca="false">G389*H389</f>
        <v>599</v>
      </c>
      <c r="L389" s="6" t="n">
        <f aca="false">K389*J389</f>
        <v>149.75</v>
      </c>
      <c r="M389" s="6" t="n">
        <f aca="false">K389-L389</f>
        <v>449.25</v>
      </c>
      <c r="N389" s="6" t="n">
        <f aca="false">G389*I389</f>
        <v>250</v>
      </c>
      <c r="O389" s="6" t="n">
        <f aca="false">M389-N389</f>
        <v>199.25</v>
      </c>
      <c r="P389" s="21" t="n">
        <f aca="false">IFERROR(O389/M389,0)</f>
        <v>0.443516972732332</v>
      </c>
      <c r="Q389" s="6" t="str">
        <f aca="false">Orders!H389</f>
        <v>Shipped</v>
      </c>
      <c r="R389" s="1" t="str">
        <f aca="false">INDEX(Customers!$C$2:$C$301,MATCH(C389,Customers!$A$2:$A$301,0))</f>
        <v>Lucknow</v>
      </c>
      <c r="S389" s="1" t="str">
        <f aca="false">INDEX(Customers!$E$2:$E$301,MATCH(C389,Customers!$A$2:$A$301,0))</f>
        <v>Returning</v>
      </c>
      <c r="T389" s="6" t="str">
        <f aca="false">Orders!I389</f>
        <v>Mobile App</v>
      </c>
      <c r="U389" s="1" t="str">
        <f aca="false">IF(Q389="Delivered","Completed",IF(Q389="Cancelled","Cancelled",IF(Q389="Returned","Returned","In Progress")))</f>
        <v>In Progress</v>
      </c>
      <c r="V389" s="1" t="str">
        <f aca="false">IF(M389&gt;=10000,"High Value",IF(M389&gt;=5000,"Medium Value","Low Value"))</f>
        <v>Low Value</v>
      </c>
      <c r="W389" s="1" t="str">
        <f aca="false">IF(O389&gt;0,"Profitable",IF(O389=0,"Break-even","Loss"))</f>
        <v>Profitable</v>
      </c>
      <c r="X389" s="1" t="str">
        <f aca="false">IF(Q389="Cancelled","Not Applicable",IF(Q389="Processing","Pending",IF(B389="","Unknown",IF(Orders!J389="","Unknown",IF(Orders!J389&lt;=3,"Fast",IF(Orders!J389&lt;=6,"Standard","Slow"))))))</f>
        <v>Standard</v>
      </c>
      <c r="Y389" s="1" t="n">
        <f aca="false">IF(OR(Q389="Cancelled",Q389="Returned"),0,O389)</f>
        <v>199.25</v>
      </c>
    </row>
    <row r="390" customFormat="false" ht="15" hidden="false" customHeight="false" outlineLevel="0" collapsed="false">
      <c r="A390" s="6" t="str">
        <f aca="false">Orders!A390</f>
        <v>O000389</v>
      </c>
      <c r="B390" s="19" t="n">
        <f aca="false">Orders!B390</f>
        <v>45970</v>
      </c>
      <c r="C390" s="6" t="str">
        <f aca="false">Orders!C390</f>
        <v>C0019</v>
      </c>
      <c r="D390" s="6" t="str">
        <f aca="false">Orders!D390</f>
        <v>P1026</v>
      </c>
      <c r="E390" s="6" t="str">
        <f aca="false">INDEX(Products!$B$2:$B$101,MATCH(D390,Products!$A$2:$A$101,0))</f>
        <v>Sunglasses</v>
      </c>
      <c r="F390" s="1" t="str">
        <f aca="false">INDEX(Products!$C$2:$C$101,MATCH(D390,Products!$A$2:$A$101,0))</f>
        <v>Fashion</v>
      </c>
      <c r="G390" s="6" t="n">
        <f aca="false">Orders!E390</f>
        <v>3</v>
      </c>
      <c r="H390" s="16" t="n">
        <f aca="false">INDEX(Products!$D$2:$D$101,MATCH(D390,Products!$A$2:$A$101,0))</f>
        <v>799</v>
      </c>
      <c r="I390" s="16" t="n">
        <f aca="false">INDEX(Products!$E$2:$E$101,MATCH(D390,Products!$A$2:$A$101,0))</f>
        <v>300</v>
      </c>
      <c r="J390" s="20" t="n">
        <f aca="false">Orders!F390</f>
        <v>0.05</v>
      </c>
      <c r="K390" s="6" t="n">
        <f aca="false">G390*H390</f>
        <v>2397</v>
      </c>
      <c r="L390" s="6" t="n">
        <f aca="false">K390*J390</f>
        <v>119.85</v>
      </c>
      <c r="M390" s="6" t="n">
        <f aca="false">K390-L390</f>
        <v>2277.15</v>
      </c>
      <c r="N390" s="6" t="n">
        <f aca="false">G390*I390</f>
        <v>900</v>
      </c>
      <c r="O390" s="6" t="n">
        <f aca="false">M390-N390</f>
        <v>1377.15</v>
      </c>
      <c r="P390" s="21" t="n">
        <f aca="false">IFERROR(O390/M390,0)</f>
        <v>0.604769119293854</v>
      </c>
      <c r="Q390" s="6" t="str">
        <f aca="false">Orders!H390</f>
        <v>Delivered</v>
      </c>
      <c r="R390" s="1" t="str">
        <f aca="false">INDEX(Customers!$C$2:$C$301,MATCH(C390,Customers!$A$2:$A$301,0))</f>
        <v>Coimbatore</v>
      </c>
      <c r="S390" s="1" t="str">
        <f aca="false">INDEX(Customers!$E$2:$E$301,MATCH(C390,Customers!$A$2:$A$301,0))</f>
        <v>New</v>
      </c>
      <c r="T390" s="6" t="str">
        <f aca="false">Orders!I390</f>
        <v>Website</v>
      </c>
      <c r="U390" s="1" t="str">
        <f aca="false">IF(Q390="Delivered","Completed",IF(Q390="Cancelled","Cancelled",IF(Q390="Returned","Returned","In Progress")))</f>
        <v>Completed</v>
      </c>
      <c r="V390" s="1" t="str">
        <f aca="false">IF(M390&gt;=10000,"High Value",IF(M390&gt;=5000,"Medium Value","Low Value"))</f>
        <v>Low Value</v>
      </c>
      <c r="W390" s="1" t="str">
        <f aca="false">IF(O390&gt;0,"Profitable",IF(O390=0,"Break-even","Loss"))</f>
        <v>Profitable</v>
      </c>
      <c r="X390" s="1" t="str">
        <f aca="false">IF(Q390="Cancelled","Not Applicable",IF(Q390="Processing","Pending",IF(B390="","Unknown",IF(Orders!J390="","Unknown",IF(Orders!J390&lt;=3,"Fast",IF(Orders!J390&lt;=6,"Standard","Slow"))))))</f>
        <v>Standard</v>
      </c>
      <c r="Y390" s="1" t="n">
        <f aca="false">IF(OR(Q390="Cancelled",Q390="Returned"),0,O390)</f>
        <v>1377.15</v>
      </c>
    </row>
    <row r="391" customFormat="false" ht="15" hidden="false" customHeight="false" outlineLevel="0" collapsed="false">
      <c r="A391" s="6" t="str">
        <f aca="false">Orders!A391</f>
        <v>O000390</v>
      </c>
      <c r="B391" s="19" t="n">
        <f aca="false">Orders!B391</f>
        <v>45934</v>
      </c>
      <c r="C391" s="6" t="str">
        <f aca="false">Orders!C391</f>
        <v>C0015</v>
      </c>
      <c r="D391" s="6" t="str">
        <f aca="false">Orders!D391</f>
        <v>P1080</v>
      </c>
      <c r="E391" s="6" t="str">
        <f aca="false">INDEX(Products!$B$2:$B$101,MATCH(D391,Products!$A$2:$A$101,0))</f>
        <v>Calculator</v>
      </c>
      <c r="F391" s="1" t="str">
        <f aca="false">INDEX(Products!$C$2:$C$101,MATCH(D391,Products!$A$2:$A$101,0))</f>
        <v>Books &amp; Stationery</v>
      </c>
      <c r="G391" s="6" t="n">
        <f aca="false">Orders!E391</f>
        <v>2</v>
      </c>
      <c r="H391" s="16" t="n">
        <f aca="false">INDEX(Products!$D$2:$D$101,MATCH(D391,Products!$A$2:$A$101,0))</f>
        <v>599</v>
      </c>
      <c r="I391" s="16" t="n">
        <f aca="false">INDEX(Products!$E$2:$E$101,MATCH(D391,Products!$A$2:$A$101,0))</f>
        <v>300</v>
      </c>
      <c r="J391" s="20" t="n">
        <f aca="false">Orders!F391</f>
        <v>0.15</v>
      </c>
      <c r="K391" s="6" t="n">
        <f aca="false">G391*H391</f>
        <v>1198</v>
      </c>
      <c r="L391" s="6" t="n">
        <f aca="false">K391*J391</f>
        <v>179.7</v>
      </c>
      <c r="M391" s="6" t="n">
        <f aca="false">K391-L391</f>
        <v>1018.3</v>
      </c>
      <c r="N391" s="6" t="n">
        <f aca="false">G391*I391</f>
        <v>600</v>
      </c>
      <c r="O391" s="6" t="n">
        <f aca="false">M391-N391</f>
        <v>418.3</v>
      </c>
      <c r="P391" s="21" t="n">
        <f aca="false">IFERROR(O391/M391,0)</f>
        <v>0.410782677010704</v>
      </c>
      <c r="Q391" s="6" t="str">
        <f aca="false">Orders!H391</f>
        <v>Processing</v>
      </c>
      <c r="R391" s="1" t="str">
        <f aca="false">INDEX(Customers!$C$2:$C$301,MATCH(C391,Customers!$A$2:$A$301,0))</f>
        <v>Bhopal</v>
      </c>
      <c r="S391" s="1" t="str">
        <f aca="false">INDEX(Customers!$E$2:$E$301,MATCH(C391,Customers!$A$2:$A$301,0))</f>
        <v>Returning</v>
      </c>
      <c r="T391" s="6" t="str">
        <f aca="false">Orders!I391</f>
        <v>Marketplace</v>
      </c>
      <c r="U391" s="1" t="str">
        <f aca="false">IF(Q391="Delivered","Completed",IF(Q391="Cancelled","Cancelled",IF(Q391="Returned","Returned","In Progress")))</f>
        <v>In Progress</v>
      </c>
      <c r="V391" s="1" t="str">
        <f aca="false">IF(M391&gt;=10000,"High Value",IF(M391&gt;=5000,"Medium Value","Low Value"))</f>
        <v>Low Value</v>
      </c>
      <c r="W391" s="1" t="str">
        <f aca="false">IF(O391&gt;0,"Profitable",IF(O391=0,"Break-even","Loss"))</f>
        <v>Profitable</v>
      </c>
      <c r="X391" s="1" t="str">
        <f aca="false">IF(Q391="Cancelled","Not Applicable",IF(Q391="Processing","Pending",IF(B391="","Unknown",IF(Orders!J391="","Unknown",IF(Orders!J391&lt;=3,"Fast",IF(Orders!J391&lt;=6,"Standard","Slow"))))))</f>
        <v>Pending</v>
      </c>
      <c r="Y391" s="1" t="n">
        <f aca="false">IF(OR(Q391="Cancelled",Q391="Returned"),0,O391)</f>
        <v>418.3</v>
      </c>
    </row>
    <row r="392" customFormat="false" ht="23.85" hidden="false" customHeight="false" outlineLevel="0" collapsed="false">
      <c r="A392" s="6" t="str">
        <f aca="false">Orders!A392</f>
        <v>O000391</v>
      </c>
      <c r="B392" s="19" t="n">
        <f aca="false">Orders!B392</f>
        <v>45910</v>
      </c>
      <c r="C392" s="6" t="str">
        <f aca="false">Orders!C392</f>
        <v>C0279</v>
      </c>
      <c r="D392" s="6" t="str">
        <f aca="false">Orders!D392</f>
        <v>P1012</v>
      </c>
      <c r="E392" s="6" t="str">
        <f aca="false">INDEX(Products!$B$2:$B$101,MATCH(D392,Products!$A$2:$A$101,0))</f>
        <v>Charging Adapter</v>
      </c>
      <c r="F392" s="1" t="str">
        <f aca="false">INDEX(Products!$C$2:$C$101,MATCH(D392,Products!$A$2:$A$101,0))</f>
        <v>Electronics</v>
      </c>
      <c r="G392" s="6" t="n">
        <f aca="false">Orders!E392</f>
        <v>1</v>
      </c>
      <c r="H392" s="16" t="n">
        <f aca="false">INDEX(Products!$D$2:$D$101,MATCH(D392,Products!$A$2:$A$101,0))</f>
        <v>599</v>
      </c>
      <c r="I392" s="16" t="n">
        <f aca="false">INDEX(Products!$E$2:$E$101,MATCH(D392,Products!$A$2:$A$101,0))</f>
        <v>260</v>
      </c>
      <c r="J392" s="20" t="n">
        <f aca="false">Orders!F392</f>
        <v>0.1</v>
      </c>
      <c r="K392" s="6" t="n">
        <f aca="false">G392*H392</f>
        <v>599</v>
      </c>
      <c r="L392" s="6" t="n">
        <f aca="false">K392*J392</f>
        <v>59.9</v>
      </c>
      <c r="M392" s="6" t="n">
        <f aca="false">K392-L392</f>
        <v>539.1</v>
      </c>
      <c r="N392" s="6" t="n">
        <f aca="false">G392*I392</f>
        <v>260</v>
      </c>
      <c r="O392" s="6" t="n">
        <f aca="false">M392-N392</f>
        <v>279.1</v>
      </c>
      <c r="P392" s="21" t="n">
        <f aca="false">IFERROR(O392/M392,0)</f>
        <v>0.517714709701354</v>
      </c>
      <c r="Q392" s="6" t="str">
        <f aca="false">Orders!H392</f>
        <v>Delivered</v>
      </c>
      <c r="R392" s="1" t="str">
        <f aca="false">INDEX(Customers!$C$2:$C$301,MATCH(C392,Customers!$A$2:$A$301,0))</f>
        <v>Coimbatore</v>
      </c>
      <c r="S392" s="1" t="str">
        <f aca="false">INDEX(Customers!$E$2:$E$301,MATCH(C392,Customers!$A$2:$A$301,0))</f>
        <v>Returning</v>
      </c>
      <c r="T392" s="6" t="str">
        <f aca="false">Orders!I392</f>
        <v>Mobile App</v>
      </c>
      <c r="U392" s="1" t="str">
        <f aca="false">IF(Q392="Delivered","Completed",IF(Q392="Cancelled","Cancelled",IF(Q392="Returned","Returned","In Progress")))</f>
        <v>Completed</v>
      </c>
      <c r="V392" s="1" t="str">
        <f aca="false">IF(M392&gt;=10000,"High Value",IF(M392&gt;=5000,"Medium Value","Low Value"))</f>
        <v>Low Value</v>
      </c>
      <c r="W392" s="1" t="str">
        <f aca="false">IF(O392&gt;0,"Profitable",IF(O392=0,"Break-even","Loss"))</f>
        <v>Profitable</v>
      </c>
      <c r="X392" s="1" t="str">
        <f aca="false">IF(Q392="Cancelled","Not Applicable",IF(Q392="Processing","Pending",IF(B392="","Unknown",IF(Orders!J392="","Unknown",IF(Orders!J392&lt;=3,"Fast",IF(Orders!J392&lt;=6,"Standard","Slow"))))))</f>
        <v>Fast</v>
      </c>
      <c r="Y392" s="1" t="n">
        <f aca="false">IF(OR(Q392="Cancelled",Q392="Returned"),0,O392)</f>
        <v>279.1</v>
      </c>
    </row>
    <row r="393" customFormat="false" ht="15" hidden="false" customHeight="false" outlineLevel="0" collapsed="false">
      <c r="A393" s="6" t="str">
        <f aca="false">Orders!A393</f>
        <v>O000392</v>
      </c>
      <c r="B393" s="19" t="n">
        <f aca="false">Orders!B393</f>
        <v>45959</v>
      </c>
      <c r="C393" s="6" t="str">
        <f aca="false">Orders!C393</f>
        <v>C0110</v>
      </c>
      <c r="D393" s="6" t="str">
        <f aca="false">Orders!D393</f>
        <v>P1068</v>
      </c>
      <c r="E393" s="6" t="str">
        <f aca="false">INDEX(Products!$B$2:$B$101,MATCH(D393,Products!$A$2:$A$101,0))</f>
        <v>Cycling Bottle</v>
      </c>
      <c r="F393" s="1" t="str">
        <f aca="false">INDEX(Products!$C$2:$C$101,MATCH(D393,Products!$A$2:$A$101,0))</f>
        <v>Sports &amp; Outdoors</v>
      </c>
      <c r="G393" s="6" t="n">
        <f aca="false">Orders!E393</f>
        <v>2</v>
      </c>
      <c r="H393" s="16" t="n">
        <f aca="false">INDEX(Products!$D$2:$D$101,MATCH(D393,Products!$A$2:$A$101,0))</f>
        <v>349</v>
      </c>
      <c r="I393" s="16" t="n">
        <f aca="false">INDEX(Products!$E$2:$E$101,MATCH(D393,Products!$A$2:$A$101,0))</f>
        <v>120</v>
      </c>
      <c r="J393" s="20" t="n">
        <f aca="false">Orders!F393</f>
        <v>0.2</v>
      </c>
      <c r="K393" s="6" t="n">
        <f aca="false">G393*H393</f>
        <v>698</v>
      </c>
      <c r="L393" s="6" t="n">
        <f aca="false">K393*J393</f>
        <v>139.6</v>
      </c>
      <c r="M393" s="6" t="n">
        <f aca="false">K393-L393</f>
        <v>558.4</v>
      </c>
      <c r="N393" s="6" t="n">
        <f aca="false">G393*I393</f>
        <v>240</v>
      </c>
      <c r="O393" s="6" t="n">
        <f aca="false">M393-N393</f>
        <v>318.4</v>
      </c>
      <c r="P393" s="21" t="n">
        <f aca="false">IFERROR(O393/M393,0)</f>
        <v>0.570200573065903</v>
      </c>
      <c r="Q393" s="6" t="str">
        <f aca="false">Orders!H393</f>
        <v>Delivered</v>
      </c>
      <c r="R393" s="1" t="str">
        <f aca="false">INDEX(Customers!$C$2:$C$301,MATCH(C393,Customers!$A$2:$A$301,0))</f>
        <v>Lucknow</v>
      </c>
      <c r="S393" s="1" t="str">
        <f aca="false">INDEX(Customers!$E$2:$E$301,MATCH(C393,Customers!$A$2:$A$301,0))</f>
        <v>New</v>
      </c>
      <c r="T393" s="6" t="str">
        <f aca="false">Orders!I393</f>
        <v>Marketplace</v>
      </c>
      <c r="U393" s="1" t="str">
        <f aca="false">IF(Q393="Delivered","Completed",IF(Q393="Cancelled","Cancelled",IF(Q393="Returned","Returned","In Progress")))</f>
        <v>Completed</v>
      </c>
      <c r="V393" s="1" t="str">
        <f aca="false">IF(M393&gt;=10000,"High Value",IF(M393&gt;=5000,"Medium Value","Low Value"))</f>
        <v>Low Value</v>
      </c>
      <c r="W393" s="1" t="str">
        <f aca="false">IF(O393&gt;0,"Profitable",IF(O393=0,"Break-even","Loss"))</f>
        <v>Profitable</v>
      </c>
      <c r="X393" s="1" t="str">
        <f aca="false">IF(Q393="Cancelled","Not Applicable",IF(Q393="Processing","Pending",IF(B393="","Unknown",IF(Orders!J393="","Unknown",IF(Orders!J393&lt;=3,"Fast",IF(Orders!J393&lt;=6,"Standard","Slow"))))))</f>
        <v>Standard</v>
      </c>
      <c r="Y393" s="1" t="n">
        <f aca="false">IF(OR(Q393="Cancelled",Q393="Returned"),0,O393)</f>
        <v>318.4</v>
      </c>
    </row>
    <row r="394" customFormat="false" ht="15" hidden="false" customHeight="false" outlineLevel="0" collapsed="false">
      <c r="A394" s="6" t="str">
        <f aca="false">Orders!A394</f>
        <v>O000393</v>
      </c>
      <c r="B394" s="19" t="n">
        <f aca="false">Orders!B394</f>
        <v>45687</v>
      </c>
      <c r="C394" s="6" t="str">
        <f aca="false">Orders!C394</f>
        <v>C0249</v>
      </c>
      <c r="D394" s="6" t="str">
        <f aca="false">Orders!D394</f>
        <v>P1021</v>
      </c>
      <c r="E394" s="6" t="str">
        <f aca="false">INDEX(Products!$B$2:$B$101,MATCH(D394,Products!$A$2:$A$101,0))</f>
        <v>Handbag</v>
      </c>
      <c r="F394" s="1" t="str">
        <f aca="false">INDEX(Products!$C$2:$C$101,MATCH(D394,Products!$A$2:$A$101,0))</f>
        <v>Fashion</v>
      </c>
      <c r="G394" s="6" t="n">
        <f aca="false">Orders!E394</f>
        <v>2</v>
      </c>
      <c r="H394" s="16" t="n">
        <f aca="false">INDEX(Products!$D$2:$D$101,MATCH(D394,Products!$A$2:$A$101,0))</f>
        <v>1499</v>
      </c>
      <c r="I394" s="16" t="n">
        <f aca="false">INDEX(Products!$E$2:$E$101,MATCH(D394,Products!$A$2:$A$101,0))</f>
        <v>700</v>
      </c>
      <c r="J394" s="20" t="n">
        <f aca="false">Orders!F394</f>
        <v>0.1</v>
      </c>
      <c r="K394" s="6" t="n">
        <f aca="false">G394*H394</f>
        <v>2998</v>
      </c>
      <c r="L394" s="6" t="n">
        <f aca="false">K394*J394</f>
        <v>299.8</v>
      </c>
      <c r="M394" s="6" t="n">
        <f aca="false">K394-L394</f>
        <v>2698.2</v>
      </c>
      <c r="N394" s="6" t="n">
        <f aca="false">G394*I394</f>
        <v>1400</v>
      </c>
      <c r="O394" s="6" t="n">
        <f aca="false">M394-N394</f>
        <v>1298.2</v>
      </c>
      <c r="P394" s="21" t="n">
        <f aca="false">IFERROR(O394/M394,0)</f>
        <v>0.481135571862723</v>
      </c>
      <c r="Q394" s="6" t="str">
        <f aca="false">Orders!H394</f>
        <v>Shipped</v>
      </c>
      <c r="R394" s="1" t="str">
        <f aca="false">INDEX(Customers!$C$2:$C$301,MATCH(C394,Customers!$A$2:$A$301,0))</f>
        <v>Ahmedabad</v>
      </c>
      <c r="S394" s="1" t="str">
        <f aca="false">INDEX(Customers!$E$2:$E$301,MATCH(C394,Customers!$A$2:$A$301,0))</f>
        <v>New</v>
      </c>
      <c r="T394" s="6" t="str">
        <f aca="false">Orders!I394</f>
        <v>Mobile App</v>
      </c>
      <c r="U394" s="1" t="str">
        <f aca="false">IF(Q394="Delivered","Completed",IF(Q394="Cancelled","Cancelled",IF(Q394="Returned","Returned","In Progress")))</f>
        <v>In Progress</v>
      </c>
      <c r="V394" s="1" t="str">
        <f aca="false">IF(M394&gt;=10000,"High Value",IF(M394&gt;=5000,"Medium Value","Low Value"))</f>
        <v>Low Value</v>
      </c>
      <c r="W394" s="1" t="str">
        <f aca="false">IF(O394&gt;0,"Profitable",IF(O394=0,"Break-even","Loss"))</f>
        <v>Profitable</v>
      </c>
      <c r="X394" s="1" t="str">
        <f aca="false">IF(Q394="Cancelled","Not Applicable",IF(Q394="Processing","Pending",IF(B394="","Unknown",IF(Orders!J394="","Unknown",IF(Orders!J394&lt;=3,"Fast",IF(Orders!J394&lt;=6,"Standard","Slow"))))))</f>
        <v>Fast</v>
      </c>
      <c r="Y394" s="1" t="n">
        <f aca="false">IF(OR(Q394="Cancelled",Q394="Returned"),0,O394)</f>
        <v>1298.2</v>
      </c>
    </row>
    <row r="395" customFormat="false" ht="15" hidden="false" customHeight="false" outlineLevel="0" collapsed="false">
      <c r="A395" s="6" t="str">
        <f aca="false">Orders!A395</f>
        <v>O000394</v>
      </c>
      <c r="B395" s="19" t="n">
        <f aca="false">Orders!B395</f>
        <v>45737</v>
      </c>
      <c r="C395" s="6" t="str">
        <f aca="false">Orders!C395</f>
        <v>C0105</v>
      </c>
      <c r="D395" s="6" t="str">
        <f aca="false">Orders!D395</f>
        <v>P1087</v>
      </c>
      <c r="E395" s="6" t="str">
        <f aca="false">INDEX(Products!$B$2:$B$101,MATCH(D395,Products!$A$2:$A$101,0))</f>
        <v>Book Stand</v>
      </c>
      <c r="F395" s="1" t="str">
        <f aca="false">INDEX(Products!$C$2:$C$101,MATCH(D395,Products!$A$2:$A$101,0))</f>
        <v>Books &amp; Stationery</v>
      </c>
      <c r="G395" s="6" t="n">
        <f aca="false">Orders!E395</f>
        <v>2</v>
      </c>
      <c r="H395" s="16" t="n">
        <f aca="false">INDEX(Products!$D$2:$D$101,MATCH(D395,Products!$A$2:$A$101,0))</f>
        <v>449</v>
      </c>
      <c r="I395" s="16" t="n">
        <f aca="false">INDEX(Products!$E$2:$E$101,MATCH(D395,Products!$A$2:$A$101,0))</f>
        <v>200</v>
      </c>
      <c r="J395" s="20" t="n">
        <f aca="false">Orders!F395</f>
        <v>0.15</v>
      </c>
      <c r="K395" s="6" t="n">
        <f aca="false">G395*H395</f>
        <v>898</v>
      </c>
      <c r="L395" s="6" t="n">
        <f aca="false">K395*J395</f>
        <v>134.7</v>
      </c>
      <c r="M395" s="6" t="n">
        <f aca="false">K395-L395</f>
        <v>763.3</v>
      </c>
      <c r="N395" s="6" t="n">
        <f aca="false">G395*I395</f>
        <v>400</v>
      </c>
      <c r="O395" s="6" t="n">
        <f aca="false">M395-N395</f>
        <v>363.3</v>
      </c>
      <c r="P395" s="21" t="n">
        <f aca="false">IFERROR(O395/M395,0)</f>
        <v>0.475959648892965</v>
      </c>
      <c r="Q395" s="6" t="str">
        <f aca="false">Orders!H395</f>
        <v>Delivered</v>
      </c>
      <c r="R395" s="1" t="str">
        <f aca="false">INDEX(Customers!$C$2:$C$301,MATCH(C395,Customers!$A$2:$A$301,0))</f>
        <v>Chennai</v>
      </c>
      <c r="S395" s="1" t="str">
        <f aca="false">INDEX(Customers!$E$2:$E$301,MATCH(C395,Customers!$A$2:$A$301,0))</f>
        <v>Returning</v>
      </c>
      <c r="T395" s="6" t="str">
        <f aca="false">Orders!I395</f>
        <v>Marketplace</v>
      </c>
      <c r="U395" s="1" t="str">
        <f aca="false">IF(Q395="Delivered","Completed",IF(Q395="Cancelled","Cancelled",IF(Q395="Returned","Returned","In Progress")))</f>
        <v>Completed</v>
      </c>
      <c r="V395" s="1" t="str">
        <f aca="false">IF(M395&gt;=10000,"High Value",IF(M395&gt;=5000,"Medium Value","Low Value"))</f>
        <v>Low Value</v>
      </c>
      <c r="W395" s="1" t="str">
        <f aca="false">IF(O395&gt;0,"Profitable",IF(O395=0,"Break-even","Loss"))</f>
        <v>Profitable</v>
      </c>
      <c r="X395" s="1" t="str">
        <f aca="false">IF(Q395="Cancelled","Not Applicable",IF(Q395="Processing","Pending",IF(B395="","Unknown",IF(Orders!J395="","Unknown",IF(Orders!J395&lt;=3,"Fast",IF(Orders!J395&lt;=6,"Standard","Slow"))))))</f>
        <v>Slow</v>
      </c>
      <c r="Y395" s="1" t="n">
        <f aca="false">IF(OR(Q395="Cancelled",Q395="Returned"),0,O395)</f>
        <v>363.3</v>
      </c>
    </row>
    <row r="396" customFormat="false" ht="15" hidden="false" customHeight="false" outlineLevel="0" collapsed="false">
      <c r="A396" s="6" t="str">
        <f aca="false">Orders!A396</f>
        <v>O000395</v>
      </c>
      <c r="B396" s="19" t="n">
        <f aca="false">Orders!B396</f>
        <v>46015</v>
      </c>
      <c r="C396" s="6" t="str">
        <f aca="false">Orders!C396</f>
        <v>C0185</v>
      </c>
      <c r="D396" s="6" t="str">
        <f aca="false">Orders!D396</f>
        <v>P1027</v>
      </c>
      <c r="E396" s="6" t="str">
        <f aca="false">INDEX(Products!$B$2:$B$101,MATCH(D396,Products!$A$2:$A$101,0))</f>
        <v>Belt</v>
      </c>
      <c r="F396" s="1" t="str">
        <f aca="false">INDEX(Products!$C$2:$C$101,MATCH(D396,Products!$A$2:$A$101,0))</f>
        <v>Fashion</v>
      </c>
      <c r="G396" s="6" t="n">
        <f aca="false">Orders!E396</f>
        <v>1</v>
      </c>
      <c r="H396" s="16" t="n">
        <f aca="false">INDEX(Products!$D$2:$D$101,MATCH(D396,Products!$A$2:$A$101,0))</f>
        <v>399</v>
      </c>
      <c r="I396" s="16" t="n">
        <f aca="false">INDEX(Products!$E$2:$E$101,MATCH(D396,Products!$A$2:$A$101,0))</f>
        <v>160</v>
      </c>
      <c r="J396" s="20" t="n">
        <f aca="false">Orders!F396</f>
        <v>0</v>
      </c>
      <c r="K396" s="6" t="n">
        <f aca="false">G396*H396</f>
        <v>399</v>
      </c>
      <c r="L396" s="6" t="n">
        <f aca="false">K396*J396</f>
        <v>0</v>
      </c>
      <c r="M396" s="6" t="n">
        <f aca="false">K396-L396</f>
        <v>399</v>
      </c>
      <c r="N396" s="6" t="n">
        <f aca="false">G396*I396</f>
        <v>160</v>
      </c>
      <c r="O396" s="6" t="n">
        <f aca="false">M396-N396</f>
        <v>239</v>
      </c>
      <c r="P396" s="21" t="n">
        <f aca="false">IFERROR(O396/M396,0)</f>
        <v>0.598997493734336</v>
      </c>
      <c r="Q396" s="6" t="str">
        <f aca="false">Orders!H396</f>
        <v>Cancelled</v>
      </c>
      <c r="R396" s="1" t="str">
        <f aca="false">INDEX(Customers!$C$2:$C$301,MATCH(C396,Customers!$A$2:$A$301,0))</f>
        <v>Chennai</v>
      </c>
      <c r="S396" s="1" t="str">
        <f aca="false">INDEX(Customers!$E$2:$E$301,MATCH(C396,Customers!$A$2:$A$301,0))</f>
        <v>New</v>
      </c>
      <c r="T396" s="6" t="str">
        <f aca="false">Orders!I396</f>
        <v>Website</v>
      </c>
      <c r="U396" s="1" t="str">
        <f aca="false">IF(Q396="Delivered","Completed",IF(Q396="Cancelled","Cancelled",IF(Q396="Returned","Returned","In Progress")))</f>
        <v>Cancelled</v>
      </c>
      <c r="V396" s="1" t="str">
        <f aca="false">IF(M396&gt;=10000,"High Value",IF(M396&gt;=5000,"Medium Value","Low Value"))</f>
        <v>Low Value</v>
      </c>
      <c r="W396" s="1" t="str">
        <f aca="false">IF(O396&gt;0,"Profitable",IF(O396=0,"Break-even","Loss"))</f>
        <v>Profitable</v>
      </c>
      <c r="X396" s="1" t="str">
        <f aca="false">IF(Q396="Cancelled","Not Applicable",IF(Q396="Processing","Pending",IF(B396="","Unknown",IF(Orders!J396="","Unknown",IF(Orders!J396&lt;=3,"Fast",IF(Orders!J396&lt;=6,"Standard","Slow"))))))</f>
        <v>Not Applicable</v>
      </c>
      <c r="Y396" s="1" t="n">
        <f aca="false">IF(OR(Q396="Cancelled",Q396="Returned"),0,O396)</f>
        <v>0</v>
      </c>
    </row>
    <row r="397" customFormat="false" ht="23.85" hidden="false" customHeight="false" outlineLevel="0" collapsed="false">
      <c r="A397" s="6" t="str">
        <f aca="false">Orders!A397</f>
        <v>O000396</v>
      </c>
      <c r="B397" s="19" t="n">
        <f aca="false">Orders!B397</f>
        <v>46015</v>
      </c>
      <c r="C397" s="6" t="str">
        <f aca="false">Orders!C397</f>
        <v>C0172</v>
      </c>
      <c r="D397" s="6" t="str">
        <f aca="false">Orders!D397</f>
        <v>P1012</v>
      </c>
      <c r="E397" s="6" t="str">
        <f aca="false">INDEX(Products!$B$2:$B$101,MATCH(D397,Products!$A$2:$A$101,0))</f>
        <v>Charging Adapter</v>
      </c>
      <c r="F397" s="1" t="str">
        <f aca="false">INDEX(Products!$C$2:$C$101,MATCH(D397,Products!$A$2:$A$101,0))</f>
        <v>Electronics</v>
      </c>
      <c r="G397" s="6" t="n">
        <f aca="false">Orders!E397</f>
        <v>1</v>
      </c>
      <c r="H397" s="16" t="n">
        <f aca="false">INDEX(Products!$D$2:$D$101,MATCH(D397,Products!$A$2:$A$101,0))</f>
        <v>599</v>
      </c>
      <c r="I397" s="16" t="n">
        <f aca="false">INDEX(Products!$E$2:$E$101,MATCH(D397,Products!$A$2:$A$101,0))</f>
        <v>260</v>
      </c>
      <c r="J397" s="20" t="n">
        <f aca="false">Orders!F397</f>
        <v>0.2</v>
      </c>
      <c r="K397" s="6" t="n">
        <f aca="false">G397*H397</f>
        <v>599</v>
      </c>
      <c r="L397" s="6" t="n">
        <f aca="false">K397*J397</f>
        <v>119.8</v>
      </c>
      <c r="M397" s="6" t="n">
        <f aca="false">K397-L397</f>
        <v>479.2</v>
      </c>
      <c r="N397" s="6" t="n">
        <f aca="false">G397*I397</f>
        <v>260</v>
      </c>
      <c r="O397" s="6" t="n">
        <f aca="false">M397-N397</f>
        <v>219.2</v>
      </c>
      <c r="P397" s="21" t="n">
        <f aca="false">IFERROR(O397/M397,0)</f>
        <v>0.457429048414023</v>
      </c>
      <c r="Q397" s="6" t="str">
        <f aca="false">Orders!H397</f>
        <v>Delivered</v>
      </c>
      <c r="R397" s="1" t="str">
        <f aca="false">INDEX(Customers!$C$2:$C$301,MATCH(C397,Customers!$A$2:$A$301,0))</f>
        <v>Noida</v>
      </c>
      <c r="S397" s="1" t="str">
        <f aca="false">INDEX(Customers!$E$2:$E$301,MATCH(C397,Customers!$A$2:$A$301,0))</f>
        <v>Returning</v>
      </c>
      <c r="T397" s="6" t="str">
        <f aca="false">Orders!I397</f>
        <v>Marketplace</v>
      </c>
      <c r="U397" s="1" t="str">
        <f aca="false">IF(Q397="Delivered","Completed",IF(Q397="Cancelled","Cancelled",IF(Q397="Returned","Returned","In Progress")))</f>
        <v>Completed</v>
      </c>
      <c r="V397" s="1" t="str">
        <f aca="false">IF(M397&gt;=10000,"High Value",IF(M397&gt;=5000,"Medium Value","Low Value"))</f>
        <v>Low Value</v>
      </c>
      <c r="W397" s="1" t="str">
        <f aca="false">IF(O397&gt;0,"Profitable",IF(O397=0,"Break-even","Loss"))</f>
        <v>Profitable</v>
      </c>
      <c r="X397" s="1" t="str">
        <f aca="false">IF(Q397="Cancelled","Not Applicable",IF(Q397="Processing","Pending",IF(B397="","Unknown",IF(Orders!J397="","Unknown",IF(Orders!J397&lt;=3,"Fast",IF(Orders!J397&lt;=6,"Standard","Slow"))))))</f>
        <v>Fast</v>
      </c>
      <c r="Y397" s="1" t="n">
        <f aca="false">IF(OR(Q397="Cancelled",Q397="Returned"),0,O397)</f>
        <v>219.2</v>
      </c>
    </row>
    <row r="398" customFormat="false" ht="15" hidden="false" customHeight="false" outlineLevel="0" collapsed="false">
      <c r="A398" s="6" t="str">
        <f aca="false">Orders!A398</f>
        <v>O000397</v>
      </c>
      <c r="B398" s="19" t="n">
        <f aca="false">Orders!B398</f>
        <v>45861</v>
      </c>
      <c r="C398" s="6" t="str">
        <f aca="false">Orders!C398</f>
        <v>C0227</v>
      </c>
      <c r="D398" s="6" t="str">
        <f aca="false">Orders!D398</f>
        <v>P1045</v>
      </c>
      <c r="E398" s="6" t="str">
        <f aca="false">INDEX(Products!$B$2:$B$101,MATCH(D398,Products!$A$2:$A$101,0))</f>
        <v>Lunch Box</v>
      </c>
      <c r="F398" s="1" t="str">
        <f aca="false">INDEX(Products!$C$2:$C$101,MATCH(D398,Products!$A$2:$A$101,0))</f>
        <v>Home &amp; Kitchen</v>
      </c>
      <c r="G398" s="6" t="n">
        <f aca="false">Orders!E398</f>
        <v>1</v>
      </c>
      <c r="H398" s="16" t="n">
        <f aca="false">INDEX(Products!$D$2:$D$101,MATCH(D398,Products!$A$2:$A$101,0))</f>
        <v>449</v>
      </c>
      <c r="I398" s="16" t="n">
        <f aca="false">INDEX(Products!$E$2:$E$101,MATCH(D398,Products!$A$2:$A$101,0))</f>
        <v>180</v>
      </c>
      <c r="J398" s="20" t="n">
        <f aca="false">Orders!F398</f>
        <v>0.15</v>
      </c>
      <c r="K398" s="6" t="n">
        <f aca="false">G398*H398</f>
        <v>449</v>
      </c>
      <c r="L398" s="6" t="n">
        <f aca="false">K398*J398</f>
        <v>67.35</v>
      </c>
      <c r="M398" s="6" t="n">
        <f aca="false">K398-L398</f>
        <v>381.65</v>
      </c>
      <c r="N398" s="6" t="n">
        <f aca="false">G398*I398</f>
        <v>180</v>
      </c>
      <c r="O398" s="6" t="n">
        <f aca="false">M398-N398</f>
        <v>201.65</v>
      </c>
      <c r="P398" s="21" t="n">
        <f aca="false">IFERROR(O398/M398,0)</f>
        <v>0.528363684003668</v>
      </c>
      <c r="Q398" s="6" t="str">
        <f aca="false">Orders!H398</f>
        <v>Returned</v>
      </c>
      <c r="R398" s="1" t="str">
        <f aca="false">INDEX(Customers!$C$2:$C$301,MATCH(C398,Customers!$A$2:$A$301,0))</f>
        <v>Pune</v>
      </c>
      <c r="S398" s="1" t="str">
        <f aca="false">INDEX(Customers!$E$2:$E$301,MATCH(C398,Customers!$A$2:$A$301,0))</f>
        <v>Returning</v>
      </c>
      <c r="T398" s="6" t="str">
        <f aca="false">Orders!I398</f>
        <v>Website</v>
      </c>
      <c r="U398" s="1" t="str">
        <f aca="false">IF(Q398="Delivered","Completed",IF(Q398="Cancelled","Cancelled",IF(Q398="Returned","Returned","In Progress")))</f>
        <v>Returned</v>
      </c>
      <c r="V398" s="1" t="str">
        <f aca="false">IF(M398&gt;=10000,"High Value",IF(M398&gt;=5000,"Medium Value","Low Value"))</f>
        <v>Low Value</v>
      </c>
      <c r="W398" s="1" t="str">
        <f aca="false">IF(O398&gt;0,"Profitable",IF(O398=0,"Break-even","Loss"))</f>
        <v>Profitable</v>
      </c>
      <c r="X398" s="1" t="str">
        <f aca="false">IF(Q398="Cancelled","Not Applicable",IF(Q398="Processing","Pending",IF(B398="","Unknown",IF(Orders!J398="","Unknown",IF(Orders!J398&lt;=3,"Fast",IF(Orders!J398&lt;=6,"Standard","Slow"))))))</f>
        <v>Fast</v>
      </c>
      <c r="Y398" s="1" t="n">
        <f aca="false">IF(OR(Q398="Cancelled",Q398="Returned"),0,O398)</f>
        <v>0</v>
      </c>
    </row>
    <row r="399" customFormat="false" ht="15" hidden="false" customHeight="false" outlineLevel="0" collapsed="false">
      <c r="A399" s="6" t="str">
        <f aca="false">Orders!A399</f>
        <v>O000398</v>
      </c>
      <c r="B399" s="19" t="n">
        <f aca="false">Orders!B399</f>
        <v>45907</v>
      </c>
      <c r="C399" s="6" t="str">
        <f aca="false">Orders!C399</f>
        <v>C0101</v>
      </c>
      <c r="D399" s="6" t="str">
        <f aca="false">Orders!D399</f>
        <v>P1039</v>
      </c>
      <c r="E399" s="6" t="str">
        <f aca="false">INDEX(Products!$B$2:$B$101,MATCH(D399,Products!$A$2:$A$101,0))</f>
        <v>Wall Clock</v>
      </c>
      <c r="F399" s="1" t="str">
        <f aca="false">INDEX(Products!$C$2:$C$101,MATCH(D399,Products!$A$2:$A$101,0))</f>
        <v>Home &amp; Kitchen</v>
      </c>
      <c r="G399" s="6" t="n">
        <f aca="false">Orders!E399</f>
        <v>2</v>
      </c>
      <c r="H399" s="16" t="n">
        <f aca="false">INDEX(Products!$D$2:$D$101,MATCH(D399,Products!$A$2:$A$101,0))</f>
        <v>699</v>
      </c>
      <c r="I399" s="16" t="n">
        <f aca="false">INDEX(Products!$E$2:$E$101,MATCH(D399,Products!$A$2:$A$101,0))</f>
        <v>300</v>
      </c>
      <c r="J399" s="20" t="n">
        <f aca="false">Orders!F399</f>
        <v>0.25</v>
      </c>
      <c r="K399" s="6" t="n">
        <f aca="false">G399*H399</f>
        <v>1398</v>
      </c>
      <c r="L399" s="6" t="n">
        <f aca="false">K399*J399</f>
        <v>349.5</v>
      </c>
      <c r="M399" s="6" t="n">
        <f aca="false">K399-L399</f>
        <v>1048.5</v>
      </c>
      <c r="N399" s="6" t="n">
        <f aca="false">G399*I399</f>
        <v>600</v>
      </c>
      <c r="O399" s="6" t="n">
        <f aca="false">M399-N399</f>
        <v>448.5</v>
      </c>
      <c r="P399" s="21" t="n">
        <f aca="false">IFERROR(O399/M399,0)</f>
        <v>0.427753934191702</v>
      </c>
      <c r="Q399" s="6" t="str">
        <f aca="false">Orders!H399</f>
        <v>Delivered</v>
      </c>
      <c r="R399" s="1" t="str">
        <f aca="false">INDEX(Customers!$C$2:$C$301,MATCH(C399,Customers!$A$2:$A$301,0))</f>
        <v>Delhi</v>
      </c>
      <c r="S399" s="1" t="str">
        <f aca="false">INDEX(Customers!$E$2:$E$301,MATCH(C399,Customers!$A$2:$A$301,0))</f>
        <v>Returning</v>
      </c>
      <c r="T399" s="6" t="str">
        <f aca="false">Orders!I399</f>
        <v>Mobile App</v>
      </c>
      <c r="U399" s="1" t="str">
        <f aca="false">IF(Q399="Delivered","Completed",IF(Q399="Cancelled","Cancelled",IF(Q399="Returned","Returned","In Progress")))</f>
        <v>Completed</v>
      </c>
      <c r="V399" s="1" t="str">
        <f aca="false">IF(M399&gt;=10000,"High Value",IF(M399&gt;=5000,"Medium Value","Low Value"))</f>
        <v>Low Value</v>
      </c>
      <c r="W399" s="1" t="str">
        <f aca="false">IF(O399&gt;0,"Profitable",IF(O399=0,"Break-even","Loss"))</f>
        <v>Profitable</v>
      </c>
      <c r="X399" s="1" t="str">
        <f aca="false">IF(Q399="Cancelled","Not Applicable",IF(Q399="Processing","Pending",IF(B399="","Unknown",IF(Orders!J399="","Unknown",IF(Orders!J399&lt;=3,"Fast",IF(Orders!J399&lt;=6,"Standard","Slow"))))))</f>
        <v>Slow</v>
      </c>
      <c r="Y399" s="1" t="n">
        <f aca="false">IF(OR(Q399="Cancelled",Q399="Returned"),0,O399)</f>
        <v>448.5</v>
      </c>
    </row>
    <row r="400" customFormat="false" ht="15" hidden="false" customHeight="false" outlineLevel="0" collapsed="false">
      <c r="A400" s="6" t="str">
        <f aca="false">Orders!A400</f>
        <v>O000399</v>
      </c>
      <c r="B400" s="19" t="n">
        <f aca="false">Orders!B400</f>
        <v>45905</v>
      </c>
      <c r="C400" s="6" t="str">
        <f aca="false">Orders!C400</f>
        <v>C0242</v>
      </c>
      <c r="D400" s="6" t="str">
        <f aca="false">Orders!D400</f>
        <v>P1004</v>
      </c>
      <c r="E400" s="6" t="str">
        <f aca="false">INDEX(Products!$B$2:$B$101,MATCH(D400,Products!$A$2:$A$101,0))</f>
        <v>USB-C Cable</v>
      </c>
      <c r="F400" s="1" t="str">
        <f aca="false">INDEX(Products!$C$2:$C$101,MATCH(D400,Products!$A$2:$A$101,0))</f>
        <v>Electronics</v>
      </c>
      <c r="G400" s="6" t="n">
        <f aca="false">Orders!E400</f>
        <v>1</v>
      </c>
      <c r="H400" s="16" t="n">
        <f aca="false">INDEX(Products!$D$2:$D$101,MATCH(D400,Products!$A$2:$A$101,0))</f>
        <v>299</v>
      </c>
      <c r="I400" s="16" t="n">
        <f aca="false">INDEX(Products!$E$2:$E$101,MATCH(D400,Products!$A$2:$A$101,0))</f>
        <v>120</v>
      </c>
      <c r="J400" s="20" t="n">
        <f aca="false">Orders!F400</f>
        <v>0.05</v>
      </c>
      <c r="K400" s="6" t="n">
        <f aca="false">G400*H400</f>
        <v>299</v>
      </c>
      <c r="L400" s="6" t="n">
        <f aca="false">K400*J400</f>
        <v>14.95</v>
      </c>
      <c r="M400" s="6" t="n">
        <f aca="false">K400-L400</f>
        <v>284.05</v>
      </c>
      <c r="N400" s="6" t="n">
        <f aca="false">G400*I400</f>
        <v>120</v>
      </c>
      <c r="O400" s="6" t="n">
        <f aca="false">M400-N400</f>
        <v>164.05</v>
      </c>
      <c r="P400" s="21" t="n">
        <f aca="false">IFERROR(O400/M400,0)</f>
        <v>0.577539165639852</v>
      </c>
      <c r="Q400" s="6" t="str">
        <f aca="false">Orders!H400</f>
        <v>Shipped</v>
      </c>
      <c r="R400" s="1" t="str">
        <f aca="false">INDEX(Customers!$C$2:$C$301,MATCH(C400,Customers!$A$2:$A$301,0))</f>
        <v>Mumbai</v>
      </c>
      <c r="S400" s="1" t="str">
        <f aca="false">INDEX(Customers!$E$2:$E$301,MATCH(C400,Customers!$A$2:$A$301,0))</f>
        <v>New</v>
      </c>
      <c r="T400" s="6" t="str">
        <f aca="false">Orders!I400</f>
        <v>Mobile App</v>
      </c>
      <c r="U400" s="1" t="str">
        <f aca="false">IF(Q400="Delivered","Completed",IF(Q400="Cancelled","Cancelled",IF(Q400="Returned","Returned","In Progress")))</f>
        <v>In Progress</v>
      </c>
      <c r="V400" s="1" t="str">
        <f aca="false">IF(M400&gt;=10000,"High Value",IF(M400&gt;=5000,"Medium Value","Low Value"))</f>
        <v>Low Value</v>
      </c>
      <c r="W400" s="1" t="str">
        <f aca="false">IF(O400&gt;0,"Profitable",IF(O400=0,"Break-even","Loss"))</f>
        <v>Profitable</v>
      </c>
      <c r="X400" s="1" t="str">
        <f aca="false">IF(Q400="Cancelled","Not Applicable",IF(Q400="Processing","Pending",IF(B400="","Unknown",IF(Orders!J400="","Unknown",IF(Orders!J400&lt;=3,"Fast",IF(Orders!J400&lt;=6,"Standard","Slow"))))))</f>
        <v>Slow</v>
      </c>
      <c r="Y400" s="1" t="n">
        <f aca="false">IF(OR(Q400="Cancelled",Q400="Returned"),0,O400)</f>
        <v>164.05</v>
      </c>
    </row>
    <row r="401" customFormat="false" ht="23.85" hidden="false" customHeight="false" outlineLevel="0" collapsed="false">
      <c r="A401" s="6" t="str">
        <f aca="false">Orders!A401</f>
        <v>O000400</v>
      </c>
      <c r="B401" s="19" t="n">
        <f aca="false">Orders!B401</f>
        <v>45776</v>
      </c>
      <c r="C401" s="6" t="str">
        <f aca="false">Orders!C401</f>
        <v>C0132</v>
      </c>
      <c r="D401" s="6" t="str">
        <f aca="false">Orders!D401</f>
        <v>P1001</v>
      </c>
      <c r="E401" s="6" t="str">
        <f aca="false">INDEX(Products!$B$2:$B$101,MATCH(D401,Products!$A$2:$A$101,0))</f>
        <v>Wireless Earbuds</v>
      </c>
      <c r="F401" s="1" t="str">
        <f aca="false">INDEX(Products!$C$2:$C$101,MATCH(D401,Products!$A$2:$A$101,0))</f>
        <v>Electronics</v>
      </c>
      <c r="G401" s="6" t="n">
        <f aca="false">Orders!E401</f>
        <v>2</v>
      </c>
      <c r="H401" s="16" t="n">
        <f aca="false">INDEX(Products!$D$2:$D$101,MATCH(D401,Products!$A$2:$A$101,0))</f>
        <v>899</v>
      </c>
      <c r="I401" s="16" t="n">
        <f aca="false">INDEX(Products!$E$2:$E$101,MATCH(D401,Products!$A$2:$A$101,0))</f>
        <v>499</v>
      </c>
      <c r="J401" s="20" t="n">
        <f aca="false">Orders!F401</f>
        <v>0.1</v>
      </c>
      <c r="K401" s="6" t="n">
        <f aca="false">G401*H401</f>
        <v>1798</v>
      </c>
      <c r="L401" s="6" t="n">
        <f aca="false">K401*J401</f>
        <v>179.8</v>
      </c>
      <c r="M401" s="6" t="n">
        <f aca="false">K401-L401</f>
        <v>1618.2</v>
      </c>
      <c r="N401" s="6" t="n">
        <f aca="false">G401*I401</f>
        <v>998</v>
      </c>
      <c r="O401" s="6" t="n">
        <f aca="false">M401-N401</f>
        <v>620.2</v>
      </c>
      <c r="P401" s="21" t="n">
        <f aca="false">IFERROR(O401/M401,0)</f>
        <v>0.383265356569027</v>
      </c>
      <c r="Q401" s="6" t="str">
        <f aca="false">Orders!H401</f>
        <v>Shipped</v>
      </c>
      <c r="R401" s="1" t="str">
        <f aca="false">INDEX(Customers!$C$2:$C$301,MATCH(C401,Customers!$A$2:$A$301,0))</f>
        <v>Noida</v>
      </c>
      <c r="S401" s="1" t="str">
        <f aca="false">INDEX(Customers!$E$2:$E$301,MATCH(C401,Customers!$A$2:$A$301,0))</f>
        <v>Returning</v>
      </c>
      <c r="T401" s="6" t="str">
        <f aca="false">Orders!I401</f>
        <v>Website</v>
      </c>
      <c r="U401" s="1" t="str">
        <f aca="false">IF(Q401="Delivered","Completed",IF(Q401="Cancelled","Cancelled",IF(Q401="Returned","Returned","In Progress")))</f>
        <v>In Progress</v>
      </c>
      <c r="V401" s="1" t="str">
        <f aca="false">IF(M401&gt;=10000,"High Value",IF(M401&gt;=5000,"Medium Value","Low Value"))</f>
        <v>Low Value</v>
      </c>
      <c r="W401" s="1" t="str">
        <f aca="false">IF(O401&gt;0,"Profitable",IF(O401=0,"Break-even","Loss"))</f>
        <v>Profitable</v>
      </c>
      <c r="X401" s="1" t="str">
        <f aca="false">IF(Q401="Cancelled","Not Applicable",IF(Q401="Processing","Pending",IF(B401="","Unknown",IF(Orders!J401="","Unknown",IF(Orders!J401&lt;=3,"Fast",IF(Orders!J401&lt;=6,"Standard","Slow"))))))</f>
        <v>Slow</v>
      </c>
      <c r="Y401" s="1" t="n">
        <f aca="false">IF(OR(Q401="Cancelled",Q401="Returned"),0,O401)</f>
        <v>620.2</v>
      </c>
    </row>
    <row r="402" customFormat="false" ht="15" hidden="false" customHeight="false" outlineLevel="0" collapsed="false">
      <c r="A402" s="6" t="str">
        <f aca="false">Orders!A402</f>
        <v>O000401</v>
      </c>
      <c r="B402" s="19" t="n">
        <f aca="false">Orders!B402</f>
        <v>45729</v>
      </c>
      <c r="C402" s="6" t="str">
        <f aca="false">Orders!C402</f>
        <v>C0010</v>
      </c>
      <c r="D402" s="6" t="str">
        <f aca="false">Orders!D402</f>
        <v>P1060</v>
      </c>
      <c r="E402" s="6" t="str">
        <f aca="false">INDEX(Products!$B$2:$B$101,MATCH(D402,Products!$A$2:$A$101,0))</f>
        <v>Yoga Mat</v>
      </c>
      <c r="F402" s="1" t="str">
        <f aca="false">INDEX(Products!$C$2:$C$101,MATCH(D402,Products!$A$2:$A$101,0))</f>
        <v>Sports &amp; Outdoors</v>
      </c>
      <c r="G402" s="6" t="n">
        <f aca="false">Orders!E402</f>
        <v>2</v>
      </c>
      <c r="H402" s="16" t="n">
        <f aca="false">INDEX(Products!$D$2:$D$101,MATCH(D402,Products!$A$2:$A$101,0))</f>
        <v>799</v>
      </c>
      <c r="I402" s="16" t="n">
        <f aca="false">INDEX(Products!$E$2:$E$101,MATCH(D402,Products!$A$2:$A$101,0))</f>
        <v>350</v>
      </c>
      <c r="J402" s="20" t="n">
        <f aca="false">Orders!F402</f>
        <v>0.1</v>
      </c>
      <c r="K402" s="6" t="n">
        <f aca="false">G402*H402</f>
        <v>1598</v>
      </c>
      <c r="L402" s="6" t="n">
        <f aca="false">K402*J402</f>
        <v>159.8</v>
      </c>
      <c r="M402" s="6" t="n">
        <f aca="false">K402-L402</f>
        <v>1438.2</v>
      </c>
      <c r="N402" s="6" t="n">
        <f aca="false">G402*I402</f>
        <v>700</v>
      </c>
      <c r="O402" s="6" t="n">
        <f aca="false">M402-N402</f>
        <v>738.2</v>
      </c>
      <c r="P402" s="21" t="n">
        <f aca="false">IFERROR(O402/M402,0)</f>
        <v>0.513280489500765</v>
      </c>
      <c r="Q402" s="6" t="str">
        <f aca="false">Orders!H402</f>
        <v>Delivered</v>
      </c>
      <c r="R402" s="1" t="str">
        <f aca="false">INDEX(Customers!$C$2:$C$301,MATCH(C402,Customers!$A$2:$A$301,0))</f>
        <v>Lucknow</v>
      </c>
      <c r="S402" s="1" t="str">
        <f aca="false">INDEX(Customers!$E$2:$E$301,MATCH(C402,Customers!$A$2:$A$301,0))</f>
        <v>Returning</v>
      </c>
      <c r="T402" s="6" t="str">
        <f aca="false">Orders!I402</f>
        <v>Website</v>
      </c>
      <c r="U402" s="1" t="str">
        <f aca="false">IF(Q402="Delivered","Completed",IF(Q402="Cancelled","Cancelled",IF(Q402="Returned","Returned","In Progress")))</f>
        <v>Completed</v>
      </c>
      <c r="V402" s="1" t="str">
        <f aca="false">IF(M402&gt;=10000,"High Value",IF(M402&gt;=5000,"Medium Value","Low Value"))</f>
        <v>Low Value</v>
      </c>
      <c r="W402" s="1" t="str">
        <f aca="false">IF(O402&gt;0,"Profitable",IF(O402=0,"Break-even","Loss"))</f>
        <v>Profitable</v>
      </c>
      <c r="X402" s="1" t="str">
        <f aca="false">IF(Q402="Cancelled","Not Applicable",IF(Q402="Processing","Pending",IF(B402="","Unknown",IF(Orders!J402="","Unknown",IF(Orders!J402&lt;=3,"Fast",IF(Orders!J402&lt;=6,"Standard","Slow"))))))</f>
        <v>Standard</v>
      </c>
      <c r="Y402" s="1" t="n">
        <f aca="false">IF(OR(Q402="Cancelled",Q402="Returned"),0,O402)</f>
        <v>738.2</v>
      </c>
    </row>
    <row r="403" customFormat="false" ht="15" hidden="false" customHeight="false" outlineLevel="0" collapsed="false">
      <c r="A403" s="6" t="str">
        <f aca="false">Orders!A403</f>
        <v>O000402</v>
      </c>
      <c r="B403" s="19" t="n">
        <f aca="false">Orders!B403</f>
        <v>45748</v>
      </c>
      <c r="C403" s="6" t="str">
        <f aca="false">Orders!C403</f>
        <v>C0063</v>
      </c>
      <c r="D403" s="6" t="str">
        <f aca="false">Orders!D403</f>
        <v>P1088</v>
      </c>
      <c r="E403" s="6" t="str">
        <f aca="false">INDEX(Products!$B$2:$B$101,MATCH(D403,Products!$A$2:$A$101,0))</f>
        <v>Electric Kettle</v>
      </c>
      <c r="F403" s="1" t="str">
        <f aca="false">INDEX(Products!$C$2:$C$101,MATCH(D403,Products!$A$2:$A$101,0))</f>
        <v>Appliances</v>
      </c>
      <c r="G403" s="6" t="n">
        <f aca="false">Orders!E403</f>
        <v>2</v>
      </c>
      <c r="H403" s="16" t="n">
        <f aca="false">INDEX(Products!$D$2:$D$101,MATCH(D403,Products!$A$2:$A$101,0))</f>
        <v>1299</v>
      </c>
      <c r="I403" s="16" t="n">
        <f aca="false">INDEX(Products!$E$2:$E$101,MATCH(D403,Products!$A$2:$A$101,0))</f>
        <v>750</v>
      </c>
      <c r="J403" s="20" t="n">
        <f aca="false">Orders!F403</f>
        <v>0.2</v>
      </c>
      <c r="K403" s="6" t="n">
        <f aca="false">G403*H403</f>
        <v>2598</v>
      </c>
      <c r="L403" s="6" t="n">
        <f aca="false">K403*J403</f>
        <v>519.6</v>
      </c>
      <c r="M403" s="6" t="n">
        <f aca="false">K403-L403</f>
        <v>2078.4</v>
      </c>
      <c r="N403" s="6" t="n">
        <f aca="false">G403*I403</f>
        <v>1500</v>
      </c>
      <c r="O403" s="6" t="n">
        <f aca="false">M403-N403</f>
        <v>578.4</v>
      </c>
      <c r="P403" s="21" t="n">
        <f aca="false">IFERROR(O403/M403,0)</f>
        <v>0.278290993071594</v>
      </c>
      <c r="Q403" s="6" t="str">
        <f aca="false">Orders!H403</f>
        <v>Shipped</v>
      </c>
      <c r="R403" s="1" t="str">
        <f aca="false">INDEX(Customers!$C$2:$C$301,MATCH(C403,Customers!$A$2:$A$301,0))</f>
        <v>Bengaluru</v>
      </c>
      <c r="S403" s="1" t="str">
        <f aca="false">INDEX(Customers!$E$2:$E$301,MATCH(C403,Customers!$A$2:$A$301,0))</f>
        <v>New</v>
      </c>
      <c r="T403" s="6" t="str">
        <f aca="false">Orders!I403</f>
        <v>Mobile App</v>
      </c>
      <c r="U403" s="1" t="str">
        <f aca="false">IF(Q403="Delivered","Completed",IF(Q403="Cancelled","Cancelled",IF(Q403="Returned","Returned","In Progress")))</f>
        <v>In Progress</v>
      </c>
      <c r="V403" s="1" t="str">
        <f aca="false">IF(M403&gt;=10000,"High Value",IF(M403&gt;=5000,"Medium Value","Low Value"))</f>
        <v>Low Value</v>
      </c>
      <c r="W403" s="1" t="str">
        <f aca="false">IF(O403&gt;0,"Profitable",IF(O403=0,"Break-even","Loss"))</f>
        <v>Profitable</v>
      </c>
      <c r="X403" s="1" t="str">
        <f aca="false">IF(Q403="Cancelled","Not Applicable",IF(Q403="Processing","Pending",IF(B403="","Unknown",IF(Orders!J403="","Unknown",IF(Orders!J403&lt;=3,"Fast",IF(Orders!J403&lt;=6,"Standard","Slow"))))))</f>
        <v>Fast</v>
      </c>
      <c r="Y403" s="1" t="n">
        <f aca="false">IF(OR(Q403="Cancelled",Q403="Returned"),0,O403)</f>
        <v>578.4</v>
      </c>
    </row>
    <row r="404" customFormat="false" ht="15" hidden="false" customHeight="false" outlineLevel="0" collapsed="false">
      <c r="A404" s="6" t="str">
        <f aca="false">Orders!A404</f>
        <v>O000403</v>
      </c>
      <c r="B404" s="19" t="n">
        <f aca="false">Orders!B404</f>
        <v>45827</v>
      </c>
      <c r="C404" s="6" t="str">
        <f aca="false">Orders!C404</f>
        <v>C0276</v>
      </c>
      <c r="D404" s="6" t="str">
        <f aca="false">Orders!D404</f>
        <v>P1077</v>
      </c>
      <c r="E404" s="6" t="str">
        <f aca="false">INDEX(Products!$B$2:$B$101,MATCH(D404,Products!$A$2:$A$101,0))</f>
        <v>Planner</v>
      </c>
      <c r="F404" s="1" t="str">
        <f aca="false">INDEX(Products!$C$2:$C$101,MATCH(D404,Products!$A$2:$A$101,0))</f>
        <v>Books &amp; Stationery</v>
      </c>
      <c r="G404" s="6" t="n">
        <f aca="false">Orders!E404</f>
        <v>4</v>
      </c>
      <c r="H404" s="16" t="n">
        <f aca="false">INDEX(Products!$D$2:$D$101,MATCH(D404,Products!$A$2:$A$101,0))</f>
        <v>349</v>
      </c>
      <c r="I404" s="16" t="n">
        <f aca="false">INDEX(Products!$E$2:$E$101,MATCH(D404,Products!$A$2:$A$101,0))</f>
        <v>130</v>
      </c>
      <c r="J404" s="20" t="n">
        <f aca="false">Orders!F404</f>
        <v>0</v>
      </c>
      <c r="K404" s="6" t="n">
        <f aca="false">G404*H404</f>
        <v>1396</v>
      </c>
      <c r="L404" s="6" t="n">
        <f aca="false">K404*J404</f>
        <v>0</v>
      </c>
      <c r="M404" s="6" t="n">
        <f aca="false">K404-L404</f>
        <v>1396</v>
      </c>
      <c r="N404" s="6" t="n">
        <f aca="false">G404*I404</f>
        <v>520</v>
      </c>
      <c r="O404" s="6" t="n">
        <f aca="false">M404-N404</f>
        <v>876</v>
      </c>
      <c r="P404" s="21" t="n">
        <f aca="false">IFERROR(O404/M404,0)</f>
        <v>0.627507163323782</v>
      </c>
      <c r="Q404" s="6" t="str">
        <f aca="false">Orders!H404</f>
        <v>Returned</v>
      </c>
      <c r="R404" s="1" t="str">
        <f aca="false">INDEX(Customers!$C$2:$C$301,MATCH(C404,Customers!$A$2:$A$301,0))</f>
        <v>Chandigarh</v>
      </c>
      <c r="S404" s="1" t="str">
        <f aca="false">INDEX(Customers!$E$2:$E$301,MATCH(C404,Customers!$A$2:$A$301,0))</f>
        <v>New</v>
      </c>
      <c r="T404" s="6" t="str">
        <f aca="false">Orders!I404</f>
        <v>Mobile App</v>
      </c>
      <c r="U404" s="1" t="str">
        <f aca="false">IF(Q404="Delivered","Completed",IF(Q404="Cancelled","Cancelled",IF(Q404="Returned","Returned","In Progress")))</f>
        <v>Returned</v>
      </c>
      <c r="V404" s="1" t="str">
        <f aca="false">IF(M404&gt;=10000,"High Value",IF(M404&gt;=5000,"Medium Value","Low Value"))</f>
        <v>Low Value</v>
      </c>
      <c r="W404" s="1" t="str">
        <f aca="false">IF(O404&gt;0,"Profitable",IF(O404=0,"Break-even","Loss"))</f>
        <v>Profitable</v>
      </c>
      <c r="X404" s="1" t="str">
        <f aca="false">IF(Q404="Cancelled","Not Applicable",IF(Q404="Processing","Pending",IF(B404="","Unknown",IF(Orders!J404="","Unknown",IF(Orders!J404&lt;=3,"Fast",IF(Orders!J404&lt;=6,"Standard","Slow"))))))</f>
        <v>Slow</v>
      </c>
      <c r="Y404" s="1" t="n">
        <f aca="false">IF(OR(Q404="Cancelled",Q404="Returned"),0,O404)</f>
        <v>0</v>
      </c>
    </row>
    <row r="405" customFormat="false" ht="15" hidden="false" customHeight="false" outlineLevel="0" collapsed="false">
      <c r="A405" s="6" t="str">
        <f aca="false">Orders!A405</f>
        <v>O000404</v>
      </c>
      <c r="B405" s="19" t="n">
        <f aca="false">Orders!B405</f>
        <v>45861</v>
      </c>
      <c r="C405" s="6" t="str">
        <f aca="false">Orders!C405</f>
        <v>C0233</v>
      </c>
      <c r="D405" s="6" t="str">
        <f aca="false">Orders!D405</f>
        <v>P1088</v>
      </c>
      <c r="E405" s="6" t="str">
        <f aca="false">INDEX(Products!$B$2:$B$101,MATCH(D405,Products!$A$2:$A$101,0))</f>
        <v>Electric Kettle</v>
      </c>
      <c r="F405" s="1" t="str">
        <f aca="false">INDEX(Products!$C$2:$C$101,MATCH(D405,Products!$A$2:$A$101,0))</f>
        <v>Appliances</v>
      </c>
      <c r="G405" s="6" t="n">
        <f aca="false">Orders!E405</f>
        <v>3</v>
      </c>
      <c r="H405" s="16" t="n">
        <f aca="false">INDEX(Products!$D$2:$D$101,MATCH(D405,Products!$A$2:$A$101,0))</f>
        <v>1299</v>
      </c>
      <c r="I405" s="16" t="n">
        <f aca="false">INDEX(Products!$E$2:$E$101,MATCH(D405,Products!$A$2:$A$101,0))</f>
        <v>750</v>
      </c>
      <c r="J405" s="20" t="n">
        <f aca="false">Orders!F405</f>
        <v>0.2</v>
      </c>
      <c r="K405" s="6" t="n">
        <f aca="false">G405*H405</f>
        <v>3897</v>
      </c>
      <c r="L405" s="6" t="n">
        <f aca="false">K405*J405</f>
        <v>779.4</v>
      </c>
      <c r="M405" s="6" t="n">
        <f aca="false">K405-L405</f>
        <v>3117.6</v>
      </c>
      <c r="N405" s="6" t="n">
        <f aca="false">G405*I405</f>
        <v>2250</v>
      </c>
      <c r="O405" s="6" t="n">
        <f aca="false">M405-N405</f>
        <v>867.6</v>
      </c>
      <c r="P405" s="21" t="n">
        <f aca="false">IFERROR(O405/M405,0)</f>
        <v>0.278290993071594</v>
      </c>
      <c r="Q405" s="6" t="str">
        <f aca="false">Orders!H405</f>
        <v>Delivered</v>
      </c>
      <c r="R405" s="1" t="str">
        <f aca="false">INDEX(Customers!$C$2:$C$301,MATCH(C405,Customers!$A$2:$A$301,0))</f>
        <v>Kochi</v>
      </c>
      <c r="S405" s="1" t="str">
        <f aca="false">INDEX(Customers!$E$2:$E$301,MATCH(C405,Customers!$A$2:$A$301,0))</f>
        <v>New</v>
      </c>
      <c r="T405" s="6" t="str">
        <f aca="false">Orders!I405</f>
        <v>Marketplace</v>
      </c>
      <c r="U405" s="1" t="str">
        <f aca="false">IF(Q405="Delivered","Completed",IF(Q405="Cancelled","Cancelled",IF(Q405="Returned","Returned","In Progress")))</f>
        <v>Completed</v>
      </c>
      <c r="V405" s="1" t="str">
        <f aca="false">IF(M405&gt;=10000,"High Value",IF(M405&gt;=5000,"Medium Value","Low Value"))</f>
        <v>Low Value</v>
      </c>
      <c r="W405" s="1" t="str">
        <f aca="false">IF(O405&gt;0,"Profitable",IF(O405=0,"Break-even","Loss"))</f>
        <v>Profitable</v>
      </c>
      <c r="X405" s="1" t="str">
        <f aca="false">IF(Q405="Cancelled","Not Applicable",IF(Q405="Processing","Pending",IF(B405="","Unknown",IF(Orders!J405="","Unknown",IF(Orders!J405&lt;=3,"Fast",IF(Orders!J405&lt;=6,"Standard","Slow"))))))</f>
        <v>Standard</v>
      </c>
      <c r="Y405" s="1" t="n">
        <f aca="false">IF(OR(Q405="Cancelled",Q405="Returned"),0,O405)</f>
        <v>867.6</v>
      </c>
    </row>
    <row r="406" customFormat="false" ht="23.85" hidden="false" customHeight="false" outlineLevel="0" collapsed="false">
      <c r="A406" s="6" t="str">
        <f aca="false">Orders!A406</f>
        <v>O000405</v>
      </c>
      <c r="B406" s="19" t="n">
        <f aca="false">Orders!B406</f>
        <v>45702</v>
      </c>
      <c r="C406" s="6" t="str">
        <f aca="false">Orders!C406</f>
        <v>C0103</v>
      </c>
      <c r="D406" s="6" t="str">
        <f aca="false">Orders!D406</f>
        <v>P1070</v>
      </c>
      <c r="E406" s="6" t="str">
        <f aca="false">INDEX(Products!$B$2:$B$101,MATCH(D406,Products!$A$2:$A$101,0))</f>
        <v>Knee Support Pair</v>
      </c>
      <c r="F406" s="1" t="str">
        <f aca="false">INDEX(Products!$C$2:$C$101,MATCH(D406,Products!$A$2:$A$101,0))</f>
        <v>Sports &amp; Outdoors</v>
      </c>
      <c r="G406" s="6" t="n">
        <f aca="false">Orders!E406</f>
        <v>1</v>
      </c>
      <c r="H406" s="16" t="n">
        <f aca="false">INDEX(Products!$D$2:$D$101,MATCH(D406,Products!$A$2:$A$101,0))</f>
        <v>449</v>
      </c>
      <c r="I406" s="16" t="n">
        <f aca="false">INDEX(Products!$E$2:$E$101,MATCH(D406,Products!$A$2:$A$101,0))</f>
        <v>180</v>
      </c>
      <c r="J406" s="20" t="n">
        <f aca="false">Orders!F406</f>
        <v>0.05</v>
      </c>
      <c r="K406" s="6" t="n">
        <f aca="false">G406*H406</f>
        <v>449</v>
      </c>
      <c r="L406" s="6" t="n">
        <f aca="false">K406*J406</f>
        <v>22.45</v>
      </c>
      <c r="M406" s="6" t="n">
        <f aca="false">K406-L406</f>
        <v>426.55</v>
      </c>
      <c r="N406" s="6" t="n">
        <f aca="false">G406*I406</f>
        <v>180</v>
      </c>
      <c r="O406" s="6" t="n">
        <f aca="false">M406-N406</f>
        <v>246.55</v>
      </c>
      <c r="P406" s="21" t="n">
        <f aca="false">IFERROR(O406/M406,0)</f>
        <v>0.578009612003282</v>
      </c>
      <c r="Q406" s="6" t="str">
        <f aca="false">Orders!H406</f>
        <v>Delivered</v>
      </c>
      <c r="R406" s="1" t="str">
        <f aca="false">INDEX(Customers!$C$2:$C$301,MATCH(C406,Customers!$A$2:$A$301,0))</f>
        <v>Bengaluru</v>
      </c>
      <c r="S406" s="1" t="str">
        <f aca="false">INDEX(Customers!$E$2:$E$301,MATCH(C406,Customers!$A$2:$A$301,0))</f>
        <v>Returning</v>
      </c>
      <c r="T406" s="6" t="str">
        <f aca="false">Orders!I406</f>
        <v>Mobile App</v>
      </c>
      <c r="U406" s="1" t="str">
        <f aca="false">IF(Q406="Delivered","Completed",IF(Q406="Cancelled","Cancelled",IF(Q406="Returned","Returned","In Progress")))</f>
        <v>Completed</v>
      </c>
      <c r="V406" s="1" t="str">
        <f aca="false">IF(M406&gt;=10000,"High Value",IF(M406&gt;=5000,"Medium Value","Low Value"))</f>
        <v>Low Value</v>
      </c>
      <c r="W406" s="1" t="str">
        <f aca="false">IF(O406&gt;0,"Profitable",IF(O406=0,"Break-even","Loss"))</f>
        <v>Profitable</v>
      </c>
      <c r="X406" s="1" t="str">
        <f aca="false">IF(Q406="Cancelled","Not Applicable",IF(Q406="Processing","Pending",IF(B406="","Unknown",IF(Orders!J406="","Unknown",IF(Orders!J406&lt;=3,"Fast",IF(Orders!J406&lt;=6,"Standard","Slow"))))))</f>
        <v>Fast</v>
      </c>
      <c r="Y406" s="1" t="n">
        <f aca="false">IF(OR(Q406="Cancelled",Q406="Returned"),0,O406)</f>
        <v>246.55</v>
      </c>
    </row>
    <row r="407" customFormat="false" ht="15" hidden="false" customHeight="false" outlineLevel="0" collapsed="false">
      <c r="A407" s="6" t="str">
        <f aca="false">Orders!A407</f>
        <v>O000406</v>
      </c>
      <c r="B407" s="19" t="n">
        <f aca="false">Orders!B407</f>
        <v>45826</v>
      </c>
      <c r="C407" s="6" t="str">
        <f aca="false">Orders!C407</f>
        <v>C0261</v>
      </c>
      <c r="D407" s="6" t="str">
        <f aca="false">Orders!D407</f>
        <v>P1016</v>
      </c>
      <c r="E407" s="6" t="str">
        <f aca="false">INDEX(Products!$B$2:$B$101,MATCH(D407,Products!$A$2:$A$101,0))</f>
        <v>Casual T-Shirt</v>
      </c>
      <c r="F407" s="1" t="str">
        <f aca="false">INDEX(Products!$C$2:$C$101,MATCH(D407,Products!$A$2:$A$101,0))</f>
        <v>Fashion</v>
      </c>
      <c r="G407" s="6" t="n">
        <f aca="false">Orders!E407</f>
        <v>5</v>
      </c>
      <c r="H407" s="16" t="n">
        <f aca="false">INDEX(Products!$D$2:$D$101,MATCH(D407,Products!$A$2:$A$101,0))</f>
        <v>499</v>
      </c>
      <c r="I407" s="16" t="n">
        <f aca="false">INDEX(Products!$E$2:$E$101,MATCH(D407,Products!$A$2:$A$101,0))</f>
        <v>220</v>
      </c>
      <c r="J407" s="20" t="n">
        <f aca="false">Orders!F407</f>
        <v>0.1</v>
      </c>
      <c r="K407" s="6" t="n">
        <f aca="false">G407*H407</f>
        <v>2495</v>
      </c>
      <c r="L407" s="6" t="n">
        <f aca="false">K407*J407</f>
        <v>249.5</v>
      </c>
      <c r="M407" s="6" t="n">
        <f aca="false">K407-L407</f>
        <v>2245.5</v>
      </c>
      <c r="N407" s="6" t="n">
        <f aca="false">G407*I407</f>
        <v>1100</v>
      </c>
      <c r="O407" s="6" t="n">
        <f aca="false">M407-N407</f>
        <v>1145.5</v>
      </c>
      <c r="P407" s="21" t="n">
        <f aca="false">IFERROR(O407/M407,0)</f>
        <v>0.510131373858829</v>
      </c>
      <c r="Q407" s="6" t="str">
        <f aca="false">Orders!H407</f>
        <v>Delivered</v>
      </c>
      <c r="R407" s="1" t="str">
        <f aca="false">INDEX(Customers!$C$2:$C$301,MATCH(C407,Customers!$A$2:$A$301,0))</f>
        <v>Delhi</v>
      </c>
      <c r="S407" s="1" t="str">
        <f aca="false">INDEX(Customers!$E$2:$E$301,MATCH(C407,Customers!$A$2:$A$301,0))</f>
        <v>Returning</v>
      </c>
      <c r="T407" s="6" t="str">
        <f aca="false">Orders!I407</f>
        <v>Website</v>
      </c>
      <c r="U407" s="1" t="str">
        <f aca="false">IF(Q407="Delivered","Completed",IF(Q407="Cancelled","Cancelled",IF(Q407="Returned","Returned","In Progress")))</f>
        <v>Completed</v>
      </c>
      <c r="V407" s="1" t="str">
        <f aca="false">IF(M407&gt;=10000,"High Value",IF(M407&gt;=5000,"Medium Value","Low Value"))</f>
        <v>Low Value</v>
      </c>
      <c r="W407" s="1" t="str">
        <f aca="false">IF(O407&gt;0,"Profitable",IF(O407=0,"Break-even","Loss"))</f>
        <v>Profitable</v>
      </c>
      <c r="X407" s="1" t="str">
        <f aca="false">IF(Q407="Cancelled","Not Applicable",IF(Q407="Processing","Pending",IF(B407="","Unknown",IF(Orders!J407="","Unknown",IF(Orders!J407&lt;=3,"Fast",IF(Orders!J407&lt;=6,"Standard","Slow"))))))</f>
        <v>Standard</v>
      </c>
      <c r="Y407" s="1" t="n">
        <f aca="false">IF(OR(Q407="Cancelled",Q407="Returned"),0,O407)</f>
        <v>1145.5</v>
      </c>
    </row>
    <row r="408" customFormat="false" ht="15" hidden="false" customHeight="false" outlineLevel="0" collapsed="false">
      <c r="A408" s="6" t="str">
        <f aca="false">Orders!A408</f>
        <v>O000407</v>
      </c>
      <c r="B408" s="19" t="n">
        <f aca="false">Orders!B408</f>
        <v>45748</v>
      </c>
      <c r="C408" s="6" t="str">
        <f aca="false">Orders!C408</f>
        <v>C0140</v>
      </c>
      <c r="D408" s="6" t="str">
        <f aca="false">Orders!D408</f>
        <v>P1019</v>
      </c>
      <c r="E408" s="6" t="str">
        <f aca="false">INDEX(Products!$B$2:$B$101,MATCH(D408,Products!$A$2:$A$101,0))</f>
        <v>Running Shoes</v>
      </c>
      <c r="F408" s="1" t="str">
        <f aca="false">INDEX(Products!$C$2:$C$101,MATCH(D408,Products!$A$2:$A$101,0))</f>
        <v>Fashion</v>
      </c>
      <c r="G408" s="6" t="n">
        <f aca="false">Orders!E408</f>
        <v>1</v>
      </c>
      <c r="H408" s="16" t="n">
        <f aca="false">INDEX(Products!$D$2:$D$101,MATCH(D408,Products!$A$2:$A$101,0))</f>
        <v>1999</v>
      </c>
      <c r="I408" s="16" t="n">
        <f aca="false">INDEX(Products!$E$2:$E$101,MATCH(D408,Products!$A$2:$A$101,0))</f>
        <v>1100</v>
      </c>
      <c r="J408" s="20" t="n">
        <f aca="false">Orders!F408</f>
        <v>0</v>
      </c>
      <c r="K408" s="6" t="n">
        <f aca="false">G408*H408</f>
        <v>1999</v>
      </c>
      <c r="L408" s="6" t="n">
        <f aca="false">K408*J408</f>
        <v>0</v>
      </c>
      <c r="M408" s="6" t="n">
        <f aca="false">K408-L408</f>
        <v>1999</v>
      </c>
      <c r="N408" s="6" t="n">
        <f aca="false">G408*I408</f>
        <v>1100</v>
      </c>
      <c r="O408" s="6" t="n">
        <f aca="false">M408-N408</f>
        <v>899</v>
      </c>
      <c r="P408" s="21" t="n">
        <f aca="false">IFERROR(O408/M408,0)</f>
        <v>0.449724862431216</v>
      </c>
      <c r="Q408" s="6" t="str">
        <f aca="false">Orders!H408</f>
        <v>Delivered</v>
      </c>
      <c r="R408" s="1" t="str">
        <f aca="false">INDEX(Customers!$C$2:$C$301,MATCH(C408,Customers!$A$2:$A$301,0))</f>
        <v>Visakhapatnam</v>
      </c>
      <c r="S408" s="1" t="str">
        <f aca="false">INDEX(Customers!$E$2:$E$301,MATCH(C408,Customers!$A$2:$A$301,0))</f>
        <v>New</v>
      </c>
      <c r="T408" s="6" t="str">
        <f aca="false">Orders!I408</f>
        <v>Marketplace</v>
      </c>
      <c r="U408" s="1" t="str">
        <f aca="false">IF(Q408="Delivered","Completed",IF(Q408="Cancelled","Cancelled",IF(Q408="Returned","Returned","In Progress")))</f>
        <v>Completed</v>
      </c>
      <c r="V408" s="1" t="str">
        <f aca="false">IF(M408&gt;=10000,"High Value",IF(M408&gt;=5000,"Medium Value","Low Value"))</f>
        <v>Low Value</v>
      </c>
      <c r="W408" s="1" t="str">
        <f aca="false">IF(O408&gt;0,"Profitable",IF(O408=0,"Break-even","Loss"))</f>
        <v>Profitable</v>
      </c>
      <c r="X408" s="1" t="str">
        <f aca="false">IF(Q408="Cancelled","Not Applicable",IF(Q408="Processing","Pending",IF(B408="","Unknown",IF(Orders!J408="","Unknown",IF(Orders!J408&lt;=3,"Fast",IF(Orders!J408&lt;=6,"Standard","Slow"))))))</f>
        <v>Standard</v>
      </c>
      <c r="Y408" s="1" t="n">
        <f aca="false">IF(OR(Q408="Cancelled",Q408="Returned"),0,O408)</f>
        <v>899</v>
      </c>
    </row>
    <row r="409" customFormat="false" ht="15" hidden="false" customHeight="false" outlineLevel="0" collapsed="false">
      <c r="A409" s="6" t="str">
        <f aca="false">Orders!A409</f>
        <v>O000408</v>
      </c>
      <c r="B409" s="19" t="n">
        <f aca="false">Orders!B409</f>
        <v>45822</v>
      </c>
      <c r="C409" s="6" t="str">
        <f aca="false">Orders!C409</f>
        <v>C0256</v>
      </c>
      <c r="D409" s="6" t="str">
        <f aca="false">Orders!D409</f>
        <v>P1018</v>
      </c>
      <c r="E409" s="6" t="str">
        <f aca="false">INDEX(Products!$B$2:$B$101,MATCH(D409,Products!$A$2:$A$101,0))</f>
        <v>Cotton Shirt</v>
      </c>
      <c r="F409" s="1" t="str">
        <f aca="false">INDEX(Products!$C$2:$C$101,MATCH(D409,Products!$A$2:$A$101,0))</f>
        <v>Fashion</v>
      </c>
      <c r="G409" s="6" t="n">
        <f aca="false">Orders!E409</f>
        <v>2</v>
      </c>
      <c r="H409" s="16" t="n">
        <f aca="false">INDEX(Products!$D$2:$D$101,MATCH(D409,Products!$A$2:$A$101,0))</f>
        <v>899</v>
      </c>
      <c r="I409" s="16" t="n">
        <f aca="false">INDEX(Products!$E$2:$E$101,MATCH(D409,Products!$A$2:$A$101,0))</f>
        <v>420</v>
      </c>
      <c r="J409" s="20" t="n">
        <f aca="false">Orders!F409</f>
        <v>0.1</v>
      </c>
      <c r="K409" s="6" t="n">
        <f aca="false">G409*H409</f>
        <v>1798</v>
      </c>
      <c r="L409" s="6" t="n">
        <f aca="false">K409*J409</f>
        <v>179.8</v>
      </c>
      <c r="M409" s="6" t="n">
        <f aca="false">K409-L409</f>
        <v>1618.2</v>
      </c>
      <c r="N409" s="6" t="n">
        <f aca="false">G409*I409</f>
        <v>840</v>
      </c>
      <c r="O409" s="6" t="n">
        <f aca="false">M409-N409</f>
        <v>778.2</v>
      </c>
      <c r="P409" s="21" t="n">
        <f aca="false">IFERROR(O409/M409,0)</f>
        <v>0.480904708935855</v>
      </c>
      <c r="Q409" s="6" t="str">
        <f aca="false">Orders!H409</f>
        <v>Delivered</v>
      </c>
      <c r="R409" s="1" t="str">
        <f aca="false">INDEX(Customers!$C$2:$C$301,MATCH(C409,Customers!$A$2:$A$301,0))</f>
        <v>Chandigarh</v>
      </c>
      <c r="S409" s="1" t="str">
        <f aca="false">INDEX(Customers!$E$2:$E$301,MATCH(C409,Customers!$A$2:$A$301,0))</f>
        <v>VIP</v>
      </c>
      <c r="T409" s="6" t="str">
        <f aca="false">Orders!I409</f>
        <v>Mobile App</v>
      </c>
      <c r="U409" s="1" t="str">
        <f aca="false">IF(Q409="Delivered","Completed",IF(Q409="Cancelled","Cancelled",IF(Q409="Returned","Returned","In Progress")))</f>
        <v>Completed</v>
      </c>
      <c r="V409" s="1" t="str">
        <f aca="false">IF(M409&gt;=10000,"High Value",IF(M409&gt;=5000,"Medium Value","Low Value"))</f>
        <v>Low Value</v>
      </c>
      <c r="W409" s="1" t="str">
        <f aca="false">IF(O409&gt;0,"Profitable",IF(O409=0,"Break-even","Loss"))</f>
        <v>Profitable</v>
      </c>
      <c r="X409" s="1" t="str">
        <f aca="false">IF(Q409="Cancelled","Not Applicable",IF(Q409="Processing","Pending",IF(B409="","Unknown",IF(Orders!J409="","Unknown",IF(Orders!J409&lt;=3,"Fast",IF(Orders!J409&lt;=6,"Standard","Slow"))))))</f>
        <v>Slow</v>
      </c>
      <c r="Y409" s="1" t="n">
        <f aca="false">IF(OR(Q409="Cancelled",Q409="Returned"),0,O409)</f>
        <v>778.2</v>
      </c>
    </row>
    <row r="410" customFormat="false" ht="15" hidden="false" customHeight="false" outlineLevel="0" collapsed="false">
      <c r="A410" s="6" t="str">
        <f aca="false">Orders!A410</f>
        <v>O000409</v>
      </c>
      <c r="B410" s="19" t="n">
        <f aca="false">Orders!B410</f>
        <v>45759</v>
      </c>
      <c r="C410" s="6" t="str">
        <f aca="false">Orders!C410</f>
        <v>C0134</v>
      </c>
      <c r="D410" s="6" t="str">
        <f aca="false">Orders!D410</f>
        <v>P1027</v>
      </c>
      <c r="E410" s="6" t="str">
        <f aca="false">INDEX(Products!$B$2:$B$101,MATCH(D410,Products!$A$2:$A$101,0))</f>
        <v>Belt</v>
      </c>
      <c r="F410" s="1" t="str">
        <f aca="false">INDEX(Products!$C$2:$C$101,MATCH(D410,Products!$A$2:$A$101,0))</f>
        <v>Fashion</v>
      </c>
      <c r="G410" s="6" t="n">
        <f aca="false">Orders!E410</f>
        <v>2</v>
      </c>
      <c r="H410" s="16" t="n">
        <f aca="false">INDEX(Products!$D$2:$D$101,MATCH(D410,Products!$A$2:$A$101,0))</f>
        <v>399</v>
      </c>
      <c r="I410" s="16" t="n">
        <f aca="false">INDEX(Products!$E$2:$E$101,MATCH(D410,Products!$A$2:$A$101,0))</f>
        <v>160</v>
      </c>
      <c r="J410" s="20" t="n">
        <f aca="false">Orders!F410</f>
        <v>0.05</v>
      </c>
      <c r="K410" s="6" t="n">
        <f aca="false">G410*H410</f>
        <v>798</v>
      </c>
      <c r="L410" s="6" t="n">
        <f aca="false">K410*J410</f>
        <v>39.9</v>
      </c>
      <c r="M410" s="6" t="n">
        <f aca="false">K410-L410</f>
        <v>758.1</v>
      </c>
      <c r="N410" s="6" t="n">
        <f aca="false">G410*I410</f>
        <v>320</v>
      </c>
      <c r="O410" s="6" t="n">
        <f aca="false">M410-N410</f>
        <v>438.1</v>
      </c>
      <c r="P410" s="21" t="n">
        <f aca="false">IFERROR(O410/M410,0)</f>
        <v>0.577892098667722</v>
      </c>
      <c r="Q410" s="6" t="str">
        <f aca="false">Orders!H410</f>
        <v>Delivered</v>
      </c>
      <c r="R410" s="1" t="str">
        <f aca="false">INDEX(Customers!$C$2:$C$301,MATCH(C410,Customers!$A$2:$A$301,0))</f>
        <v>Indore</v>
      </c>
      <c r="S410" s="1" t="str">
        <f aca="false">INDEX(Customers!$E$2:$E$301,MATCH(C410,Customers!$A$2:$A$301,0))</f>
        <v>New</v>
      </c>
      <c r="T410" s="6" t="str">
        <f aca="false">Orders!I410</f>
        <v>Mobile App</v>
      </c>
      <c r="U410" s="1" t="str">
        <f aca="false">IF(Q410="Delivered","Completed",IF(Q410="Cancelled","Cancelled",IF(Q410="Returned","Returned","In Progress")))</f>
        <v>Completed</v>
      </c>
      <c r="V410" s="1" t="str">
        <f aca="false">IF(M410&gt;=10000,"High Value",IF(M410&gt;=5000,"Medium Value","Low Value"))</f>
        <v>Low Value</v>
      </c>
      <c r="W410" s="1" t="str">
        <f aca="false">IF(O410&gt;0,"Profitable",IF(O410=0,"Break-even","Loss"))</f>
        <v>Profitable</v>
      </c>
      <c r="X410" s="1" t="str">
        <f aca="false">IF(Q410="Cancelled","Not Applicable",IF(Q410="Processing","Pending",IF(B410="","Unknown",IF(Orders!J410="","Unknown",IF(Orders!J410&lt;=3,"Fast",IF(Orders!J410&lt;=6,"Standard","Slow"))))))</f>
        <v>Standard</v>
      </c>
      <c r="Y410" s="1" t="n">
        <f aca="false">IF(OR(Q410="Cancelled",Q410="Returned"),0,O410)</f>
        <v>438.1</v>
      </c>
    </row>
    <row r="411" customFormat="false" ht="15" hidden="false" customHeight="false" outlineLevel="0" collapsed="false">
      <c r="A411" s="6" t="str">
        <f aca="false">Orders!A411</f>
        <v>O000410</v>
      </c>
      <c r="B411" s="19" t="n">
        <f aca="false">Orders!B411</f>
        <v>45963</v>
      </c>
      <c r="C411" s="6" t="str">
        <f aca="false">Orders!C411</f>
        <v>C0057</v>
      </c>
      <c r="D411" s="6" t="str">
        <f aca="false">Orders!D411</f>
        <v>P1052</v>
      </c>
      <c r="E411" s="6" t="str">
        <f aca="false">INDEX(Products!$B$2:$B$101,MATCH(D411,Products!$A$2:$A$101,0))</f>
        <v>Lip Balm Set</v>
      </c>
      <c r="F411" s="1" t="str">
        <f aca="false">INDEX(Products!$C$2:$C$101,MATCH(D411,Products!$A$2:$A$101,0))</f>
        <v>Beauty</v>
      </c>
      <c r="G411" s="6" t="n">
        <f aca="false">Orders!E411</f>
        <v>3</v>
      </c>
      <c r="H411" s="16" t="n">
        <f aca="false">INDEX(Products!$D$2:$D$101,MATCH(D411,Products!$A$2:$A$101,0))</f>
        <v>249</v>
      </c>
      <c r="I411" s="16" t="n">
        <f aca="false">INDEX(Products!$E$2:$E$101,MATCH(D411,Products!$A$2:$A$101,0))</f>
        <v>90</v>
      </c>
      <c r="J411" s="20" t="n">
        <f aca="false">Orders!F411</f>
        <v>0.2</v>
      </c>
      <c r="K411" s="6" t="n">
        <f aca="false">G411*H411</f>
        <v>747</v>
      </c>
      <c r="L411" s="6" t="n">
        <f aca="false">K411*J411</f>
        <v>149.4</v>
      </c>
      <c r="M411" s="6" t="n">
        <f aca="false">K411-L411</f>
        <v>597.6</v>
      </c>
      <c r="N411" s="6" t="n">
        <f aca="false">G411*I411</f>
        <v>270</v>
      </c>
      <c r="O411" s="6" t="n">
        <f aca="false">M411-N411</f>
        <v>327.6</v>
      </c>
      <c r="P411" s="21" t="n">
        <f aca="false">IFERROR(O411/M411,0)</f>
        <v>0.548192771084337</v>
      </c>
      <c r="Q411" s="6" t="str">
        <f aca="false">Orders!H411</f>
        <v>Delivered</v>
      </c>
      <c r="R411" s="1" t="str">
        <f aca="false">INDEX(Customers!$C$2:$C$301,MATCH(C411,Customers!$A$2:$A$301,0))</f>
        <v>Surat</v>
      </c>
      <c r="S411" s="1" t="str">
        <f aca="false">INDEX(Customers!$E$2:$E$301,MATCH(C411,Customers!$A$2:$A$301,0))</f>
        <v>Returning</v>
      </c>
      <c r="T411" s="6" t="str">
        <f aca="false">Orders!I411</f>
        <v>Website</v>
      </c>
      <c r="U411" s="1" t="str">
        <f aca="false">IF(Q411="Delivered","Completed",IF(Q411="Cancelled","Cancelled",IF(Q411="Returned","Returned","In Progress")))</f>
        <v>Completed</v>
      </c>
      <c r="V411" s="1" t="str">
        <f aca="false">IF(M411&gt;=10000,"High Value",IF(M411&gt;=5000,"Medium Value","Low Value"))</f>
        <v>Low Value</v>
      </c>
      <c r="W411" s="1" t="str">
        <f aca="false">IF(O411&gt;0,"Profitable",IF(O411=0,"Break-even","Loss"))</f>
        <v>Profitable</v>
      </c>
      <c r="X411" s="1" t="str">
        <f aca="false">IF(Q411="Cancelled","Not Applicable",IF(Q411="Processing","Pending",IF(B411="","Unknown",IF(Orders!J411="","Unknown",IF(Orders!J411&lt;=3,"Fast",IF(Orders!J411&lt;=6,"Standard","Slow"))))))</f>
        <v>Fast</v>
      </c>
      <c r="Y411" s="1" t="n">
        <f aca="false">IF(OR(Q411="Cancelled",Q411="Returned"),0,O411)</f>
        <v>327.6</v>
      </c>
    </row>
    <row r="412" customFormat="false" ht="15" hidden="false" customHeight="false" outlineLevel="0" collapsed="false">
      <c r="A412" s="6" t="str">
        <f aca="false">Orders!A412</f>
        <v>O000411</v>
      </c>
      <c r="B412" s="19" t="n">
        <f aca="false">Orders!B412</f>
        <v>45685</v>
      </c>
      <c r="C412" s="6" t="str">
        <f aca="false">Orders!C412</f>
        <v>C0186</v>
      </c>
      <c r="D412" s="6" t="str">
        <f aca="false">Orders!D412</f>
        <v>P1055</v>
      </c>
      <c r="E412" s="6" t="str">
        <f aca="false">INDEX(Products!$B$2:$B$101,MATCH(D412,Products!$A$2:$A$101,0))</f>
        <v>Perfume</v>
      </c>
      <c r="F412" s="1" t="str">
        <f aca="false">INDEX(Products!$C$2:$C$101,MATCH(D412,Products!$A$2:$A$101,0))</f>
        <v>Beauty</v>
      </c>
      <c r="G412" s="6" t="n">
        <f aca="false">Orders!E412</f>
        <v>1</v>
      </c>
      <c r="H412" s="16" t="n">
        <f aca="false">INDEX(Products!$D$2:$D$101,MATCH(D412,Products!$A$2:$A$101,0))</f>
        <v>999</v>
      </c>
      <c r="I412" s="16" t="n">
        <f aca="false">INDEX(Products!$E$2:$E$101,MATCH(D412,Products!$A$2:$A$101,0))</f>
        <v>500</v>
      </c>
      <c r="J412" s="20" t="n">
        <f aca="false">Orders!F412</f>
        <v>0</v>
      </c>
      <c r="K412" s="6" t="n">
        <f aca="false">G412*H412</f>
        <v>999</v>
      </c>
      <c r="L412" s="6" t="n">
        <f aca="false">K412*J412</f>
        <v>0</v>
      </c>
      <c r="M412" s="6" t="n">
        <f aca="false">K412-L412</f>
        <v>999</v>
      </c>
      <c r="N412" s="6" t="n">
        <f aca="false">G412*I412</f>
        <v>500</v>
      </c>
      <c r="O412" s="6" t="n">
        <f aca="false">M412-N412</f>
        <v>499</v>
      </c>
      <c r="P412" s="21" t="n">
        <f aca="false">IFERROR(O412/M412,0)</f>
        <v>0.4994994994995</v>
      </c>
      <c r="Q412" s="6" t="str">
        <f aca="false">Orders!H412</f>
        <v>Delivered</v>
      </c>
      <c r="R412" s="1" t="str">
        <f aca="false">INDEX(Customers!$C$2:$C$301,MATCH(C412,Customers!$A$2:$A$301,0))</f>
        <v>Kolkata</v>
      </c>
      <c r="S412" s="1" t="str">
        <f aca="false">INDEX(Customers!$E$2:$E$301,MATCH(C412,Customers!$A$2:$A$301,0))</f>
        <v>New</v>
      </c>
      <c r="T412" s="6" t="str">
        <f aca="false">Orders!I412</f>
        <v>Mobile App</v>
      </c>
      <c r="U412" s="1" t="str">
        <f aca="false">IF(Q412="Delivered","Completed",IF(Q412="Cancelled","Cancelled",IF(Q412="Returned","Returned","In Progress")))</f>
        <v>Completed</v>
      </c>
      <c r="V412" s="1" t="str">
        <f aca="false">IF(M412&gt;=10000,"High Value",IF(M412&gt;=5000,"Medium Value","Low Value"))</f>
        <v>Low Value</v>
      </c>
      <c r="W412" s="1" t="str">
        <f aca="false">IF(O412&gt;0,"Profitable",IF(O412=0,"Break-even","Loss"))</f>
        <v>Profitable</v>
      </c>
      <c r="X412" s="1" t="str">
        <f aca="false">IF(Q412="Cancelled","Not Applicable",IF(Q412="Processing","Pending",IF(B412="","Unknown",IF(Orders!J412="","Unknown",IF(Orders!J412&lt;=3,"Fast",IF(Orders!J412&lt;=6,"Standard","Slow"))))))</f>
        <v>Standard</v>
      </c>
      <c r="Y412" s="1" t="n">
        <f aca="false">IF(OR(Q412="Cancelled",Q412="Returned"),0,O412)</f>
        <v>499</v>
      </c>
    </row>
    <row r="413" customFormat="false" ht="15" hidden="false" customHeight="false" outlineLevel="0" collapsed="false">
      <c r="A413" s="6" t="str">
        <f aca="false">Orders!A413</f>
        <v>O000412</v>
      </c>
      <c r="B413" s="19" t="n">
        <f aca="false">Orders!B413</f>
        <v>45952</v>
      </c>
      <c r="C413" s="6" t="str">
        <f aca="false">Orders!C413</f>
        <v>C0284</v>
      </c>
      <c r="D413" s="6" t="str">
        <f aca="false">Orders!D413</f>
        <v>P1064</v>
      </c>
      <c r="E413" s="6" t="str">
        <f aca="false">INDEX(Products!$B$2:$B$101,MATCH(D413,Products!$A$2:$A$101,0))</f>
        <v>Football</v>
      </c>
      <c r="F413" s="1" t="str">
        <f aca="false">INDEX(Products!$C$2:$C$101,MATCH(D413,Products!$A$2:$A$101,0))</f>
        <v>Sports &amp; Outdoors</v>
      </c>
      <c r="G413" s="6" t="n">
        <f aca="false">Orders!E413</f>
        <v>4</v>
      </c>
      <c r="H413" s="16" t="n">
        <f aca="false">INDEX(Products!$D$2:$D$101,MATCH(D413,Products!$A$2:$A$101,0))</f>
        <v>699</v>
      </c>
      <c r="I413" s="16" t="n">
        <f aca="false">INDEX(Products!$E$2:$E$101,MATCH(D413,Products!$A$2:$A$101,0))</f>
        <v>300</v>
      </c>
      <c r="J413" s="20" t="n">
        <f aca="false">Orders!F413</f>
        <v>0.2</v>
      </c>
      <c r="K413" s="6" t="n">
        <f aca="false">G413*H413</f>
        <v>2796</v>
      </c>
      <c r="L413" s="6" t="n">
        <f aca="false">K413*J413</f>
        <v>559.2</v>
      </c>
      <c r="M413" s="6" t="n">
        <f aca="false">K413-L413</f>
        <v>2236.8</v>
      </c>
      <c r="N413" s="6" t="n">
        <f aca="false">G413*I413</f>
        <v>1200</v>
      </c>
      <c r="O413" s="6" t="n">
        <f aca="false">M413-N413</f>
        <v>1036.8</v>
      </c>
      <c r="P413" s="21" t="n">
        <f aca="false">IFERROR(O413/M413,0)</f>
        <v>0.463519313304721</v>
      </c>
      <c r="Q413" s="6" t="str">
        <f aca="false">Orders!H413</f>
        <v>Returned</v>
      </c>
      <c r="R413" s="1" t="str">
        <f aca="false">INDEX(Customers!$C$2:$C$301,MATCH(C413,Customers!$A$2:$A$301,0))</f>
        <v>Hyderabad</v>
      </c>
      <c r="S413" s="1" t="str">
        <f aca="false">INDEX(Customers!$E$2:$E$301,MATCH(C413,Customers!$A$2:$A$301,0))</f>
        <v>Returning</v>
      </c>
      <c r="T413" s="6" t="str">
        <f aca="false">Orders!I413</f>
        <v>Marketplace</v>
      </c>
      <c r="U413" s="1" t="str">
        <f aca="false">IF(Q413="Delivered","Completed",IF(Q413="Cancelled","Cancelled",IF(Q413="Returned","Returned","In Progress")))</f>
        <v>Returned</v>
      </c>
      <c r="V413" s="1" t="str">
        <f aca="false">IF(M413&gt;=10000,"High Value",IF(M413&gt;=5000,"Medium Value","Low Value"))</f>
        <v>Low Value</v>
      </c>
      <c r="W413" s="1" t="str">
        <f aca="false">IF(O413&gt;0,"Profitable",IF(O413=0,"Break-even","Loss"))</f>
        <v>Profitable</v>
      </c>
      <c r="X413" s="1" t="str">
        <f aca="false">IF(Q413="Cancelled","Not Applicable",IF(Q413="Processing","Pending",IF(B413="","Unknown",IF(Orders!J413="","Unknown",IF(Orders!J413&lt;=3,"Fast",IF(Orders!J413&lt;=6,"Standard","Slow"))))))</f>
        <v>Fast</v>
      </c>
      <c r="Y413" s="1" t="n">
        <f aca="false">IF(OR(Q413="Cancelled",Q413="Returned"),0,O413)</f>
        <v>0</v>
      </c>
    </row>
    <row r="414" customFormat="false" ht="15" hidden="false" customHeight="false" outlineLevel="0" collapsed="false">
      <c r="A414" s="6" t="str">
        <f aca="false">Orders!A414</f>
        <v>O000413</v>
      </c>
      <c r="B414" s="19" t="n">
        <f aca="false">Orders!B414</f>
        <v>45983</v>
      </c>
      <c r="C414" s="6" t="str">
        <f aca="false">Orders!C414</f>
        <v>C0114</v>
      </c>
      <c r="D414" s="6" t="str">
        <f aca="false">Orders!D414</f>
        <v>P1100</v>
      </c>
      <c r="E414" s="6" t="str">
        <f aca="false">INDEX(Products!$B$2:$B$101,MATCH(D414,Products!$A$2:$A$101,0))</f>
        <v>Coffee Maker</v>
      </c>
      <c r="F414" s="1" t="str">
        <f aca="false">INDEX(Products!$C$2:$C$101,MATCH(D414,Products!$A$2:$A$101,0))</f>
        <v>Appliances</v>
      </c>
      <c r="G414" s="6" t="n">
        <f aca="false">Orders!E414</f>
        <v>1</v>
      </c>
      <c r="H414" s="16" t="n">
        <f aca="false">INDEX(Products!$D$2:$D$101,MATCH(D414,Products!$A$2:$A$101,0))</f>
        <v>2499</v>
      </c>
      <c r="I414" s="16" t="n">
        <f aca="false">INDEX(Products!$E$2:$E$101,MATCH(D414,Products!$A$2:$A$101,0))</f>
        <v>1600</v>
      </c>
      <c r="J414" s="20" t="n">
        <f aca="false">Orders!F414</f>
        <v>0.1</v>
      </c>
      <c r="K414" s="6" t="n">
        <f aca="false">G414*H414</f>
        <v>2499</v>
      </c>
      <c r="L414" s="6" t="n">
        <f aca="false">K414*J414</f>
        <v>249.9</v>
      </c>
      <c r="M414" s="6" t="n">
        <f aca="false">K414-L414</f>
        <v>2249.1</v>
      </c>
      <c r="N414" s="6" t="n">
        <f aca="false">G414*I414</f>
        <v>1600</v>
      </c>
      <c r="O414" s="6" t="n">
        <f aca="false">M414-N414</f>
        <v>649.1</v>
      </c>
      <c r="P414" s="21" t="n">
        <f aca="false">IFERROR(O414/M414,0)</f>
        <v>0.288604330621137</v>
      </c>
      <c r="Q414" s="6" t="str">
        <f aca="false">Orders!H414</f>
        <v>Delivered</v>
      </c>
      <c r="R414" s="1" t="str">
        <f aca="false">INDEX(Customers!$C$2:$C$301,MATCH(C414,Customers!$A$2:$A$301,0))</f>
        <v>Indore</v>
      </c>
      <c r="S414" s="1" t="str">
        <f aca="false">INDEX(Customers!$E$2:$E$301,MATCH(C414,Customers!$A$2:$A$301,0))</f>
        <v>VIP</v>
      </c>
      <c r="T414" s="6" t="str">
        <f aca="false">Orders!I414</f>
        <v>Marketplace</v>
      </c>
      <c r="U414" s="1" t="str">
        <f aca="false">IF(Q414="Delivered","Completed",IF(Q414="Cancelled","Cancelled",IF(Q414="Returned","Returned","In Progress")))</f>
        <v>Completed</v>
      </c>
      <c r="V414" s="1" t="str">
        <f aca="false">IF(M414&gt;=10000,"High Value",IF(M414&gt;=5000,"Medium Value","Low Value"))</f>
        <v>Low Value</v>
      </c>
      <c r="W414" s="1" t="str">
        <f aca="false">IF(O414&gt;0,"Profitable",IF(O414=0,"Break-even","Loss"))</f>
        <v>Profitable</v>
      </c>
      <c r="X414" s="1" t="str">
        <f aca="false">IF(Q414="Cancelled","Not Applicable",IF(Q414="Processing","Pending",IF(B414="","Unknown",IF(Orders!J414="","Unknown",IF(Orders!J414&lt;=3,"Fast",IF(Orders!J414&lt;=6,"Standard","Slow"))))))</f>
        <v>Fast</v>
      </c>
      <c r="Y414" s="1" t="n">
        <f aca="false">IF(OR(Q414="Cancelled",Q414="Returned"),0,O414)</f>
        <v>649.1</v>
      </c>
    </row>
    <row r="415" customFormat="false" ht="15" hidden="false" customHeight="false" outlineLevel="0" collapsed="false">
      <c r="A415" s="6" t="str">
        <f aca="false">Orders!A415</f>
        <v>O000414</v>
      </c>
      <c r="B415" s="19" t="n">
        <f aca="false">Orders!B415</f>
        <v>45793</v>
      </c>
      <c r="C415" s="6" t="str">
        <f aca="false">Orders!C415</f>
        <v>C0257</v>
      </c>
      <c r="D415" s="6" t="str">
        <f aca="false">Orders!D415</f>
        <v>P1039</v>
      </c>
      <c r="E415" s="6" t="str">
        <f aca="false">INDEX(Products!$B$2:$B$101,MATCH(D415,Products!$A$2:$A$101,0))</f>
        <v>Wall Clock</v>
      </c>
      <c r="F415" s="1" t="str">
        <f aca="false">INDEX(Products!$C$2:$C$101,MATCH(D415,Products!$A$2:$A$101,0))</f>
        <v>Home &amp; Kitchen</v>
      </c>
      <c r="G415" s="6" t="n">
        <f aca="false">Orders!E415</f>
        <v>2</v>
      </c>
      <c r="H415" s="16" t="n">
        <f aca="false">INDEX(Products!$D$2:$D$101,MATCH(D415,Products!$A$2:$A$101,0))</f>
        <v>699</v>
      </c>
      <c r="I415" s="16" t="n">
        <f aca="false">INDEX(Products!$E$2:$E$101,MATCH(D415,Products!$A$2:$A$101,0))</f>
        <v>300</v>
      </c>
      <c r="J415" s="20" t="n">
        <f aca="false">Orders!F415</f>
        <v>0.1</v>
      </c>
      <c r="K415" s="6" t="n">
        <f aca="false">G415*H415</f>
        <v>1398</v>
      </c>
      <c r="L415" s="6" t="n">
        <f aca="false">K415*J415</f>
        <v>139.8</v>
      </c>
      <c r="M415" s="6" t="n">
        <f aca="false">K415-L415</f>
        <v>1258.2</v>
      </c>
      <c r="N415" s="6" t="n">
        <f aca="false">G415*I415</f>
        <v>600</v>
      </c>
      <c r="O415" s="6" t="n">
        <f aca="false">M415-N415</f>
        <v>658.2</v>
      </c>
      <c r="P415" s="21" t="n">
        <f aca="false">IFERROR(O415/M415,0)</f>
        <v>0.523128278493085</v>
      </c>
      <c r="Q415" s="6" t="str">
        <f aca="false">Orders!H415</f>
        <v>Shipped</v>
      </c>
      <c r="R415" s="1" t="str">
        <f aca="false">INDEX(Customers!$C$2:$C$301,MATCH(C415,Customers!$A$2:$A$301,0))</f>
        <v>Surat</v>
      </c>
      <c r="S415" s="1" t="str">
        <f aca="false">INDEX(Customers!$E$2:$E$301,MATCH(C415,Customers!$A$2:$A$301,0))</f>
        <v>New</v>
      </c>
      <c r="T415" s="6" t="str">
        <f aca="false">Orders!I415</f>
        <v>Mobile App</v>
      </c>
      <c r="U415" s="1" t="str">
        <f aca="false">IF(Q415="Delivered","Completed",IF(Q415="Cancelled","Cancelled",IF(Q415="Returned","Returned","In Progress")))</f>
        <v>In Progress</v>
      </c>
      <c r="V415" s="1" t="str">
        <f aca="false">IF(M415&gt;=10000,"High Value",IF(M415&gt;=5000,"Medium Value","Low Value"))</f>
        <v>Low Value</v>
      </c>
      <c r="W415" s="1" t="str">
        <f aca="false">IF(O415&gt;0,"Profitable",IF(O415=0,"Break-even","Loss"))</f>
        <v>Profitable</v>
      </c>
      <c r="X415" s="1" t="str">
        <f aca="false">IF(Q415="Cancelled","Not Applicable",IF(Q415="Processing","Pending",IF(B415="","Unknown",IF(Orders!J415="","Unknown",IF(Orders!J415&lt;=3,"Fast",IF(Orders!J415&lt;=6,"Standard","Slow"))))))</f>
        <v>Standard</v>
      </c>
      <c r="Y415" s="1" t="n">
        <f aca="false">IF(OR(Q415="Cancelled",Q415="Returned"),0,O415)</f>
        <v>658.2</v>
      </c>
    </row>
    <row r="416" customFormat="false" ht="15" hidden="false" customHeight="false" outlineLevel="0" collapsed="false">
      <c r="A416" s="6" t="str">
        <f aca="false">Orders!A416</f>
        <v>O000415</v>
      </c>
      <c r="B416" s="19" t="n">
        <f aca="false">Orders!B416</f>
        <v>45897</v>
      </c>
      <c r="C416" s="6" t="str">
        <f aca="false">Orders!C416</f>
        <v>C0285</v>
      </c>
      <c r="D416" s="6" t="str">
        <f aca="false">Orders!D416</f>
        <v>P1027</v>
      </c>
      <c r="E416" s="6" t="str">
        <f aca="false">INDEX(Products!$B$2:$B$101,MATCH(D416,Products!$A$2:$A$101,0))</f>
        <v>Belt</v>
      </c>
      <c r="F416" s="1" t="str">
        <f aca="false">INDEX(Products!$C$2:$C$101,MATCH(D416,Products!$A$2:$A$101,0))</f>
        <v>Fashion</v>
      </c>
      <c r="G416" s="6" t="n">
        <f aca="false">Orders!E416</f>
        <v>1</v>
      </c>
      <c r="H416" s="16" t="n">
        <f aca="false">INDEX(Products!$D$2:$D$101,MATCH(D416,Products!$A$2:$A$101,0))</f>
        <v>399</v>
      </c>
      <c r="I416" s="16" t="n">
        <f aca="false">INDEX(Products!$E$2:$E$101,MATCH(D416,Products!$A$2:$A$101,0))</f>
        <v>160</v>
      </c>
      <c r="J416" s="20" t="n">
        <f aca="false">Orders!F416</f>
        <v>0</v>
      </c>
      <c r="K416" s="6" t="n">
        <f aca="false">G416*H416</f>
        <v>399</v>
      </c>
      <c r="L416" s="6" t="n">
        <f aca="false">K416*J416</f>
        <v>0</v>
      </c>
      <c r="M416" s="6" t="n">
        <f aca="false">K416-L416</f>
        <v>399</v>
      </c>
      <c r="N416" s="6" t="n">
        <f aca="false">G416*I416</f>
        <v>160</v>
      </c>
      <c r="O416" s="6" t="n">
        <f aca="false">M416-N416</f>
        <v>239</v>
      </c>
      <c r="P416" s="21" t="n">
        <f aca="false">IFERROR(O416/M416,0)</f>
        <v>0.598997493734336</v>
      </c>
      <c r="Q416" s="6" t="str">
        <f aca="false">Orders!H416</f>
        <v>Shipped</v>
      </c>
      <c r="R416" s="1" t="str">
        <f aca="false">INDEX(Customers!$C$2:$C$301,MATCH(C416,Customers!$A$2:$A$301,0))</f>
        <v>Chennai</v>
      </c>
      <c r="S416" s="1" t="str">
        <f aca="false">INDEX(Customers!$E$2:$E$301,MATCH(C416,Customers!$A$2:$A$301,0))</f>
        <v>New</v>
      </c>
      <c r="T416" s="6" t="str">
        <f aca="false">Orders!I416</f>
        <v>Marketplace</v>
      </c>
      <c r="U416" s="1" t="str">
        <f aca="false">IF(Q416="Delivered","Completed",IF(Q416="Cancelled","Cancelled",IF(Q416="Returned","Returned","In Progress")))</f>
        <v>In Progress</v>
      </c>
      <c r="V416" s="1" t="str">
        <f aca="false">IF(M416&gt;=10000,"High Value",IF(M416&gt;=5000,"Medium Value","Low Value"))</f>
        <v>Low Value</v>
      </c>
      <c r="W416" s="1" t="str">
        <f aca="false">IF(O416&gt;0,"Profitable",IF(O416=0,"Break-even","Loss"))</f>
        <v>Profitable</v>
      </c>
      <c r="X416" s="1" t="str">
        <f aca="false">IF(Q416="Cancelled","Not Applicable",IF(Q416="Processing","Pending",IF(B416="","Unknown",IF(Orders!J416="","Unknown",IF(Orders!J416&lt;=3,"Fast",IF(Orders!J416&lt;=6,"Standard","Slow"))))))</f>
        <v>Fast</v>
      </c>
      <c r="Y416" s="1" t="n">
        <f aca="false">IF(OR(Q416="Cancelled",Q416="Returned"),0,O416)</f>
        <v>239</v>
      </c>
    </row>
    <row r="417" customFormat="false" ht="15" hidden="false" customHeight="false" outlineLevel="0" collapsed="false">
      <c r="A417" s="6" t="str">
        <f aca="false">Orders!A417</f>
        <v>O000416</v>
      </c>
      <c r="B417" s="19" t="n">
        <f aca="false">Orders!B417</f>
        <v>45996</v>
      </c>
      <c r="C417" s="6" t="str">
        <f aca="false">Orders!C417</f>
        <v>C0172</v>
      </c>
      <c r="D417" s="6" t="str">
        <f aca="false">Orders!D417</f>
        <v>P1092</v>
      </c>
      <c r="E417" s="6" t="str">
        <f aca="false">INDEX(Products!$B$2:$B$101,MATCH(D417,Products!$A$2:$A$101,0))</f>
        <v>Hand Blender</v>
      </c>
      <c r="F417" s="1" t="str">
        <f aca="false">INDEX(Products!$C$2:$C$101,MATCH(D417,Products!$A$2:$A$101,0))</f>
        <v>Appliances</v>
      </c>
      <c r="G417" s="6" t="n">
        <f aca="false">Orders!E417</f>
        <v>1</v>
      </c>
      <c r="H417" s="16" t="n">
        <f aca="false">INDEX(Products!$D$2:$D$101,MATCH(D417,Products!$A$2:$A$101,0))</f>
        <v>999</v>
      </c>
      <c r="I417" s="16" t="n">
        <f aca="false">INDEX(Products!$E$2:$E$101,MATCH(D417,Products!$A$2:$A$101,0))</f>
        <v>550</v>
      </c>
      <c r="J417" s="20" t="n">
        <f aca="false">Orders!F417</f>
        <v>0.05</v>
      </c>
      <c r="K417" s="6" t="n">
        <f aca="false">G417*H417</f>
        <v>999</v>
      </c>
      <c r="L417" s="6" t="n">
        <f aca="false">K417*J417</f>
        <v>49.95</v>
      </c>
      <c r="M417" s="6" t="n">
        <f aca="false">K417-L417</f>
        <v>949.05</v>
      </c>
      <c r="N417" s="6" t="n">
        <f aca="false">G417*I417</f>
        <v>550</v>
      </c>
      <c r="O417" s="6" t="n">
        <f aca="false">M417-N417</f>
        <v>399.05</v>
      </c>
      <c r="P417" s="21" t="n">
        <f aca="false">IFERROR(O417/M417,0)</f>
        <v>0.420473104683631</v>
      </c>
      <c r="Q417" s="6" t="str">
        <f aca="false">Orders!H417</f>
        <v>Delivered</v>
      </c>
      <c r="R417" s="1" t="str">
        <f aca="false">INDEX(Customers!$C$2:$C$301,MATCH(C417,Customers!$A$2:$A$301,0))</f>
        <v>Noida</v>
      </c>
      <c r="S417" s="1" t="str">
        <f aca="false">INDEX(Customers!$E$2:$E$301,MATCH(C417,Customers!$A$2:$A$301,0))</f>
        <v>Returning</v>
      </c>
      <c r="T417" s="6" t="str">
        <f aca="false">Orders!I417</f>
        <v>Website</v>
      </c>
      <c r="U417" s="1" t="str">
        <f aca="false">IF(Q417="Delivered","Completed",IF(Q417="Cancelled","Cancelled",IF(Q417="Returned","Returned","In Progress")))</f>
        <v>Completed</v>
      </c>
      <c r="V417" s="1" t="str">
        <f aca="false">IF(M417&gt;=10000,"High Value",IF(M417&gt;=5000,"Medium Value","Low Value"))</f>
        <v>Low Value</v>
      </c>
      <c r="W417" s="1" t="str">
        <f aca="false">IF(O417&gt;0,"Profitable",IF(O417=0,"Break-even","Loss"))</f>
        <v>Profitable</v>
      </c>
      <c r="X417" s="1" t="str">
        <f aca="false">IF(Q417="Cancelled","Not Applicable",IF(Q417="Processing","Pending",IF(B417="","Unknown",IF(Orders!J417="","Unknown",IF(Orders!J417&lt;=3,"Fast",IF(Orders!J417&lt;=6,"Standard","Slow"))))))</f>
        <v>Slow</v>
      </c>
      <c r="Y417" s="1" t="n">
        <f aca="false">IF(OR(Q417="Cancelled",Q417="Returned"),0,O417)</f>
        <v>399.05</v>
      </c>
    </row>
    <row r="418" customFormat="false" ht="23.85" hidden="false" customHeight="false" outlineLevel="0" collapsed="false">
      <c r="A418" s="6" t="str">
        <f aca="false">Orders!A418</f>
        <v>O000417</v>
      </c>
      <c r="B418" s="19" t="n">
        <f aca="false">Orders!B418</f>
        <v>45891</v>
      </c>
      <c r="C418" s="6" t="str">
        <f aca="false">Orders!C418</f>
        <v>C0170</v>
      </c>
      <c r="D418" s="6" t="str">
        <f aca="false">Orders!D418</f>
        <v>P1053</v>
      </c>
      <c r="E418" s="6" t="str">
        <f aca="false">INDEX(Products!$B$2:$B$101,MATCH(D418,Products!$A$2:$A$101,0))</f>
        <v>Makeup Brush Set</v>
      </c>
      <c r="F418" s="1" t="str">
        <f aca="false">INDEX(Products!$C$2:$C$101,MATCH(D418,Products!$A$2:$A$101,0))</f>
        <v>Beauty</v>
      </c>
      <c r="G418" s="6" t="n">
        <f aca="false">Orders!E418</f>
        <v>1</v>
      </c>
      <c r="H418" s="16" t="n">
        <f aca="false">INDEX(Products!$D$2:$D$101,MATCH(D418,Products!$A$2:$A$101,0))</f>
        <v>599</v>
      </c>
      <c r="I418" s="16" t="n">
        <f aca="false">INDEX(Products!$E$2:$E$101,MATCH(D418,Products!$A$2:$A$101,0))</f>
        <v>250</v>
      </c>
      <c r="J418" s="20" t="n">
        <f aca="false">Orders!F418</f>
        <v>0.25</v>
      </c>
      <c r="K418" s="6" t="n">
        <f aca="false">G418*H418</f>
        <v>599</v>
      </c>
      <c r="L418" s="6" t="n">
        <f aca="false">K418*J418</f>
        <v>149.75</v>
      </c>
      <c r="M418" s="6" t="n">
        <f aca="false">K418-L418</f>
        <v>449.25</v>
      </c>
      <c r="N418" s="6" t="n">
        <f aca="false">G418*I418</f>
        <v>250</v>
      </c>
      <c r="O418" s="6" t="n">
        <f aca="false">M418-N418</f>
        <v>199.25</v>
      </c>
      <c r="P418" s="21" t="n">
        <f aca="false">IFERROR(O418/M418,0)</f>
        <v>0.443516972732332</v>
      </c>
      <c r="Q418" s="6" t="str">
        <f aca="false">Orders!H418</f>
        <v>Delivered</v>
      </c>
      <c r="R418" s="1" t="str">
        <f aca="false">INDEX(Customers!$C$2:$C$301,MATCH(C418,Customers!$A$2:$A$301,0))</f>
        <v>Lucknow</v>
      </c>
      <c r="S418" s="1" t="str">
        <f aca="false">INDEX(Customers!$E$2:$E$301,MATCH(C418,Customers!$A$2:$A$301,0))</f>
        <v>Returning</v>
      </c>
      <c r="T418" s="6" t="str">
        <f aca="false">Orders!I418</f>
        <v>Mobile App</v>
      </c>
      <c r="U418" s="1" t="str">
        <f aca="false">IF(Q418="Delivered","Completed",IF(Q418="Cancelled","Cancelled",IF(Q418="Returned","Returned","In Progress")))</f>
        <v>Completed</v>
      </c>
      <c r="V418" s="1" t="str">
        <f aca="false">IF(M418&gt;=10000,"High Value",IF(M418&gt;=5000,"Medium Value","Low Value"))</f>
        <v>Low Value</v>
      </c>
      <c r="W418" s="1" t="str">
        <f aca="false">IF(O418&gt;0,"Profitable",IF(O418=0,"Break-even","Loss"))</f>
        <v>Profitable</v>
      </c>
      <c r="X418" s="1" t="str">
        <f aca="false">IF(Q418="Cancelled","Not Applicable",IF(Q418="Processing","Pending",IF(B418="","Unknown",IF(Orders!J418="","Unknown",IF(Orders!J418&lt;=3,"Fast",IF(Orders!J418&lt;=6,"Standard","Slow"))))))</f>
        <v>Fast</v>
      </c>
      <c r="Y418" s="1" t="n">
        <f aca="false">IF(OR(Q418="Cancelled",Q418="Returned"),0,O418)</f>
        <v>199.25</v>
      </c>
    </row>
    <row r="419" customFormat="false" ht="15" hidden="false" customHeight="false" outlineLevel="0" collapsed="false">
      <c r="A419" s="6" t="str">
        <f aca="false">Orders!A419</f>
        <v>O000418</v>
      </c>
      <c r="B419" s="19" t="n">
        <f aca="false">Orders!B419</f>
        <v>45889</v>
      </c>
      <c r="C419" s="6" t="str">
        <f aca="false">Orders!C419</f>
        <v>C0010</v>
      </c>
      <c r="D419" s="6" t="str">
        <f aca="false">Orders!D419</f>
        <v>P1040</v>
      </c>
      <c r="E419" s="6" t="str">
        <f aca="false">INDEX(Products!$B$2:$B$101,MATCH(D419,Products!$A$2:$A$101,0))</f>
        <v>Curtain Set</v>
      </c>
      <c r="F419" s="1" t="str">
        <f aca="false">INDEX(Products!$C$2:$C$101,MATCH(D419,Products!$A$2:$A$101,0))</f>
        <v>Home &amp; Kitchen</v>
      </c>
      <c r="G419" s="6" t="n">
        <f aca="false">Orders!E419</f>
        <v>1</v>
      </c>
      <c r="H419" s="16" t="n">
        <f aca="false">INDEX(Products!$D$2:$D$101,MATCH(D419,Products!$A$2:$A$101,0))</f>
        <v>1099</v>
      </c>
      <c r="I419" s="16" t="n">
        <f aca="false">INDEX(Products!$E$2:$E$101,MATCH(D419,Products!$A$2:$A$101,0))</f>
        <v>550</v>
      </c>
      <c r="J419" s="20" t="n">
        <f aca="false">Orders!F419</f>
        <v>0.1</v>
      </c>
      <c r="K419" s="6" t="n">
        <f aca="false">G419*H419</f>
        <v>1099</v>
      </c>
      <c r="L419" s="6" t="n">
        <f aca="false">K419*J419</f>
        <v>109.9</v>
      </c>
      <c r="M419" s="6" t="n">
        <f aca="false">K419-L419</f>
        <v>989.1</v>
      </c>
      <c r="N419" s="6" t="n">
        <f aca="false">G419*I419</f>
        <v>550</v>
      </c>
      <c r="O419" s="6" t="n">
        <f aca="false">M419-N419</f>
        <v>439.1</v>
      </c>
      <c r="P419" s="21" t="n">
        <f aca="false">IFERROR(O419/M419,0)</f>
        <v>0.443938934384794</v>
      </c>
      <c r="Q419" s="6" t="str">
        <f aca="false">Orders!H419</f>
        <v>Delivered</v>
      </c>
      <c r="R419" s="1" t="str">
        <f aca="false">INDEX(Customers!$C$2:$C$301,MATCH(C419,Customers!$A$2:$A$301,0))</f>
        <v>Lucknow</v>
      </c>
      <c r="S419" s="1" t="str">
        <f aca="false">INDEX(Customers!$E$2:$E$301,MATCH(C419,Customers!$A$2:$A$301,0))</f>
        <v>Returning</v>
      </c>
      <c r="T419" s="6" t="str">
        <f aca="false">Orders!I419</f>
        <v>Website</v>
      </c>
      <c r="U419" s="1" t="str">
        <f aca="false">IF(Q419="Delivered","Completed",IF(Q419="Cancelled","Cancelled",IF(Q419="Returned","Returned","In Progress")))</f>
        <v>Completed</v>
      </c>
      <c r="V419" s="1" t="str">
        <f aca="false">IF(M419&gt;=10000,"High Value",IF(M419&gt;=5000,"Medium Value","Low Value"))</f>
        <v>Low Value</v>
      </c>
      <c r="W419" s="1" t="str">
        <f aca="false">IF(O419&gt;0,"Profitable",IF(O419=0,"Break-even","Loss"))</f>
        <v>Profitable</v>
      </c>
      <c r="X419" s="1" t="str">
        <f aca="false">IF(Q419="Cancelled","Not Applicable",IF(Q419="Processing","Pending",IF(B419="","Unknown",IF(Orders!J419="","Unknown",IF(Orders!J419&lt;=3,"Fast",IF(Orders!J419&lt;=6,"Standard","Slow"))))))</f>
        <v>Fast</v>
      </c>
      <c r="Y419" s="1" t="n">
        <f aca="false">IF(OR(Q419="Cancelled",Q419="Returned"),0,O419)</f>
        <v>439.1</v>
      </c>
    </row>
    <row r="420" customFormat="false" ht="15" hidden="false" customHeight="false" outlineLevel="0" collapsed="false">
      <c r="A420" s="6" t="str">
        <f aca="false">Orders!A420</f>
        <v>O000419</v>
      </c>
      <c r="B420" s="19" t="n">
        <f aca="false">Orders!B420</f>
        <v>46011</v>
      </c>
      <c r="C420" s="6" t="str">
        <f aca="false">Orders!C420</f>
        <v>C0157</v>
      </c>
      <c r="D420" s="6" t="str">
        <f aca="false">Orders!D420</f>
        <v>P1090</v>
      </c>
      <c r="E420" s="6" t="str">
        <f aca="false">INDEX(Products!$B$2:$B$101,MATCH(D420,Products!$A$2:$A$101,0))</f>
        <v>Toaster</v>
      </c>
      <c r="F420" s="1" t="str">
        <f aca="false">INDEX(Products!$C$2:$C$101,MATCH(D420,Products!$A$2:$A$101,0))</f>
        <v>Appliances</v>
      </c>
      <c r="G420" s="6" t="n">
        <f aca="false">Orders!E420</f>
        <v>1</v>
      </c>
      <c r="H420" s="16" t="n">
        <f aca="false">INDEX(Products!$D$2:$D$101,MATCH(D420,Products!$A$2:$A$101,0))</f>
        <v>1499</v>
      </c>
      <c r="I420" s="16" t="n">
        <f aca="false">INDEX(Products!$E$2:$E$101,MATCH(D420,Products!$A$2:$A$101,0))</f>
        <v>900</v>
      </c>
      <c r="J420" s="20" t="n">
        <f aca="false">Orders!F420</f>
        <v>0</v>
      </c>
      <c r="K420" s="6" t="n">
        <f aca="false">G420*H420</f>
        <v>1499</v>
      </c>
      <c r="L420" s="6" t="n">
        <f aca="false">K420*J420</f>
        <v>0</v>
      </c>
      <c r="M420" s="6" t="n">
        <f aca="false">K420-L420</f>
        <v>1499</v>
      </c>
      <c r="N420" s="6" t="n">
        <f aca="false">G420*I420</f>
        <v>900</v>
      </c>
      <c r="O420" s="6" t="n">
        <f aca="false">M420-N420</f>
        <v>599</v>
      </c>
      <c r="P420" s="21" t="n">
        <f aca="false">IFERROR(O420/M420,0)</f>
        <v>0.399599733155437</v>
      </c>
      <c r="Q420" s="6" t="str">
        <f aca="false">Orders!H420</f>
        <v>Delivered</v>
      </c>
      <c r="R420" s="1" t="str">
        <f aca="false">INDEX(Customers!$C$2:$C$301,MATCH(C420,Customers!$A$2:$A$301,0))</f>
        <v>Surat</v>
      </c>
      <c r="S420" s="1" t="str">
        <f aca="false">INDEX(Customers!$E$2:$E$301,MATCH(C420,Customers!$A$2:$A$301,0))</f>
        <v>VIP</v>
      </c>
      <c r="T420" s="6" t="str">
        <f aca="false">Orders!I420</f>
        <v>Mobile App</v>
      </c>
      <c r="U420" s="1" t="str">
        <f aca="false">IF(Q420="Delivered","Completed",IF(Q420="Cancelled","Cancelled",IF(Q420="Returned","Returned","In Progress")))</f>
        <v>Completed</v>
      </c>
      <c r="V420" s="1" t="str">
        <f aca="false">IF(M420&gt;=10000,"High Value",IF(M420&gt;=5000,"Medium Value","Low Value"))</f>
        <v>Low Value</v>
      </c>
      <c r="W420" s="1" t="str">
        <f aca="false">IF(O420&gt;0,"Profitable",IF(O420=0,"Break-even","Loss"))</f>
        <v>Profitable</v>
      </c>
      <c r="X420" s="1" t="str">
        <f aca="false">IF(Q420="Cancelled","Not Applicable",IF(Q420="Processing","Pending",IF(B420="","Unknown",IF(Orders!J420="","Unknown",IF(Orders!J420&lt;=3,"Fast",IF(Orders!J420&lt;=6,"Standard","Slow"))))))</f>
        <v>Slow</v>
      </c>
      <c r="Y420" s="1" t="n">
        <f aca="false">IF(OR(Q420="Cancelled",Q420="Returned"),0,O420)</f>
        <v>599</v>
      </c>
    </row>
    <row r="421" customFormat="false" ht="15" hidden="false" customHeight="false" outlineLevel="0" collapsed="false">
      <c r="A421" s="6" t="str">
        <f aca="false">Orders!A421</f>
        <v>O000420</v>
      </c>
      <c r="B421" s="19" t="n">
        <f aca="false">Orders!B421</f>
        <v>45837</v>
      </c>
      <c r="C421" s="6" t="str">
        <f aca="false">Orders!C421</f>
        <v>C0087</v>
      </c>
      <c r="D421" s="6" t="str">
        <f aca="false">Orders!D421</f>
        <v>P1063</v>
      </c>
      <c r="E421" s="6" t="str">
        <f aca="false">INDEX(Products!$B$2:$B$101,MATCH(D421,Products!$A$2:$A$101,0))</f>
        <v>Cricket Bat</v>
      </c>
      <c r="F421" s="1" t="str">
        <f aca="false">INDEX(Products!$C$2:$C$101,MATCH(D421,Products!$A$2:$A$101,0))</f>
        <v>Sports &amp; Outdoors</v>
      </c>
      <c r="G421" s="6" t="n">
        <f aca="false">Orders!E421</f>
        <v>1</v>
      </c>
      <c r="H421" s="16" t="n">
        <f aca="false">INDEX(Products!$D$2:$D$101,MATCH(D421,Products!$A$2:$A$101,0))</f>
        <v>1499</v>
      </c>
      <c r="I421" s="16" t="n">
        <f aca="false">INDEX(Products!$E$2:$E$101,MATCH(D421,Products!$A$2:$A$101,0))</f>
        <v>800</v>
      </c>
      <c r="J421" s="20" t="n">
        <f aca="false">Orders!F421</f>
        <v>0</v>
      </c>
      <c r="K421" s="6" t="n">
        <f aca="false">G421*H421</f>
        <v>1499</v>
      </c>
      <c r="L421" s="6" t="n">
        <f aca="false">K421*J421</f>
        <v>0</v>
      </c>
      <c r="M421" s="6" t="n">
        <f aca="false">K421-L421</f>
        <v>1499</v>
      </c>
      <c r="N421" s="6" t="n">
        <f aca="false">G421*I421</f>
        <v>800</v>
      </c>
      <c r="O421" s="6" t="n">
        <f aca="false">M421-N421</f>
        <v>699</v>
      </c>
      <c r="P421" s="21" t="n">
        <f aca="false">IFERROR(O421/M421,0)</f>
        <v>0.466310873915944</v>
      </c>
      <c r="Q421" s="6" t="str">
        <f aca="false">Orders!H421</f>
        <v>Delivered</v>
      </c>
      <c r="R421" s="1" t="str">
        <f aca="false">INDEX(Customers!$C$2:$C$301,MATCH(C421,Customers!$A$2:$A$301,0))</f>
        <v>Pune</v>
      </c>
      <c r="S421" s="1" t="str">
        <f aca="false">INDEX(Customers!$E$2:$E$301,MATCH(C421,Customers!$A$2:$A$301,0))</f>
        <v>New</v>
      </c>
      <c r="T421" s="6" t="str">
        <f aca="false">Orders!I421</f>
        <v>Website</v>
      </c>
      <c r="U421" s="1" t="str">
        <f aca="false">IF(Q421="Delivered","Completed",IF(Q421="Cancelled","Cancelled",IF(Q421="Returned","Returned","In Progress")))</f>
        <v>Completed</v>
      </c>
      <c r="V421" s="1" t="str">
        <f aca="false">IF(M421&gt;=10000,"High Value",IF(M421&gt;=5000,"Medium Value","Low Value"))</f>
        <v>Low Value</v>
      </c>
      <c r="W421" s="1" t="str">
        <f aca="false">IF(O421&gt;0,"Profitable",IF(O421=0,"Break-even","Loss"))</f>
        <v>Profitable</v>
      </c>
      <c r="X421" s="1" t="str">
        <f aca="false">IF(Q421="Cancelled","Not Applicable",IF(Q421="Processing","Pending",IF(B421="","Unknown",IF(Orders!J421="","Unknown",IF(Orders!J421&lt;=3,"Fast",IF(Orders!J421&lt;=6,"Standard","Slow"))))))</f>
        <v>Slow</v>
      </c>
      <c r="Y421" s="1" t="n">
        <f aca="false">IF(OR(Q421="Cancelled",Q421="Returned"),0,O421)</f>
        <v>699</v>
      </c>
    </row>
    <row r="422" customFormat="false" ht="15" hidden="false" customHeight="false" outlineLevel="0" collapsed="false">
      <c r="A422" s="6" t="str">
        <f aca="false">Orders!A422</f>
        <v>O000421</v>
      </c>
      <c r="B422" s="19" t="n">
        <f aca="false">Orders!B422</f>
        <v>45936</v>
      </c>
      <c r="C422" s="6" t="str">
        <f aca="false">Orders!C422</f>
        <v>C0268</v>
      </c>
      <c r="D422" s="6" t="str">
        <f aca="false">Orders!D422</f>
        <v>P1086</v>
      </c>
      <c r="E422" s="6" t="str">
        <f aca="false">INDEX(Products!$B$2:$B$101,MATCH(D422,Products!$A$2:$A$101,0))</f>
        <v>Geometry Box</v>
      </c>
      <c r="F422" s="1" t="str">
        <f aca="false">INDEX(Products!$C$2:$C$101,MATCH(D422,Products!$A$2:$A$101,0))</f>
        <v>Books &amp; Stationery</v>
      </c>
      <c r="G422" s="6" t="n">
        <f aca="false">Orders!E422</f>
        <v>1</v>
      </c>
      <c r="H422" s="16" t="n">
        <f aca="false">INDEX(Products!$D$2:$D$101,MATCH(D422,Products!$A$2:$A$101,0))</f>
        <v>199</v>
      </c>
      <c r="I422" s="16" t="n">
        <f aca="false">INDEX(Products!$E$2:$E$101,MATCH(D422,Products!$A$2:$A$101,0))</f>
        <v>70</v>
      </c>
      <c r="J422" s="20" t="n">
        <f aca="false">Orders!F422</f>
        <v>0.05</v>
      </c>
      <c r="K422" s="6" t="n">
        <f aca="false">G422*H422</f>
        <v>199</v>
      </c>
      <c r="L422" s="6" t="n">
        <f aca="false">K422*J422</f>
        <v>9.95</v>
      </c>
      <c r="M422" s="6" t="n">
        <f aca="false">K422-L422</f>
        <v>189.05</v>
      </c>
      <c r="N422" s="6" t="n">
        <f aca="false">G422*I422</f>
        <v>70</v>
      </c>
      <c r="O422" s="6" t="n">
        <f aca="false">M422-N422</f>
        <v>119.05</v>
      </c>
      <c r="P422" s="21" t="n">
        <f aca="false">IFERROR(O422/M422,0)</f>
        <v>0.629727585294896</v>
      </c>
      <c r="Q422" s="6" t="str">
        <f aca="false">Orders!H422</f>
        <v>Delivered</v>
      </c>
      <c r="R422" s="1" t="str">
        <f aca="false">INDEX(Customers!$C$2:$C$301,MATCH(C422,Customers!$A$2:$A$301,0))</f>
        <v>Jaipur</v>
      </c>
      <c r="S422" s="1" t="str">
        <f aca="false">INDEX(Customers!$E$2:$E$301,MATCH(C422,Customers!$A$2:$A$301,0))</f>
        <v>New</v>
      </c>
      <c r="T422" s="6" t="str">
        <f aca="false">Orders!I422</f>
        <v>Marketplace</v>
      </c>
      <c r="U422" s="1" t="str">
        <f aca="false">IF(Q422="Delivered","Completed",IF(Q422="Cancelled","Cancelled",IF(Q422="Returned","Returned","In Progress")))</f>
        <v>Completed</v>
      </c>
      <c r="V422" s="1" t="str">
        <f aca="false">IF(M422&gt;=10000,"High Value",IF(M422&gt;=5000,"Medium Value","Low Value"))</f>
        <v>Low Value</v>
      </c>
      <c r="W422" s="1" t="str">
        <f aca="false">IF(O422&gt;0,"Profitable",IF(O422=0,"Break-even","Loss"))</f>
        <v>Profitable</v>
      </c>
      <c r="X422" s="1" t="str">
        <f aca="false">IF(Q422="Cancelled","Not Applicable",IF(Q422="Processing","Pending",IF(B422="","Unknown",IF(Orders!J422="","Unknown",IF(Orders!J422&lt;=3,"Fast",IF(Orders!J422&lt;=6,"Standard","Slow"))))))</f>
        <v>Fast</v>
      </c>
      <c r="Y422" s="1" t="n">
        <f aca="false">IF(OR(Q422="Cancelled",Q422="Returned"),0,O422)</f>
        <v>119.05</v>
      </c>
    </row>
    <row r="423" customFormat="false" ht="15" hidden="false" customHeight="false" outlineLevel="0" collapsed="false">
      <c r="A423" s="6" t="str">
        <f aca="false">Orders!A423</f>
        <v>O000422</v>
      </c>
      <c r="B423" s="19" t="n">
        <f aca="false">Orders!B423</f>
        <v>45985</v>
      </c>
      <c r="C423" s="6" t="str">
        <f aca="false">Orders!C423</f>
        <v>C0163</v>
      </c>
      <c r="D423" s="6" t="str">
        <f aca="false">Orders!D423</f>
        <v>P1042</v>
      </c>
      <c r="E423" s="6" t="str">
        <f aca="false">INDEX(Products!$B$2:$B$101,MATCH(D423,Products!$A$2:$A$101,0))</f>
        <v>Bath Towel Set</v>
      </c>
      <c r="F423" s="1" t="str">
        <f aca="false">INDEX(Products!$C$2:$C$101,MATCH(D423,Products!$A$2:$A$101,0))</f>
        <v>Home &amp; Kitchen</v>
      </c>
      <c r="G423" s="6" t="n">
        <f aca="false">Orders!E423</f>
        <v>3</v>
      </c>
      <c r="H423" s="16" t="n">
        <f aca="false">INDEX(Products!$D$2:$D$101,MATCH(D423,Products!$A$2:$A$101,0))</f>
        <v>799</v>
      </c>
      <c r="I423" s="16" t="n">
        <f aca="false">INDEX(Products!$E$2:$E$101,MATCH(D423,Products!$A$2:$A$101,0))</f>
        <v>360</v>
      </c>
      <c r="J423" s="20" t="n">
        <f aca="false">Orders!F423</f>
        <v>0.2</v>
      </c>
      <c r="K423" s="6" t="n">
        <f aca="false">G423*H423</f>
        <v>2397</v>
      </c>
      <c r="L423" s="6" t="n">
        <f aca="false">K423*J423</f>
        <v>479.4</v>
      </c>
      <c r="M423" s="6" t="n">
        <f aca="false">K423-L423</f>
        <v>1917.6</v>
      </c>
      <c r="N423" s="6" t="n">
        <f aca="false">G423*I423</f>
        <v>1080</v>
      </c>
      <c r="O423" s="6" t="n">
        <f aca="false">M423-N423</f>
        <v>837.6</v>
      </c>
      <c r="P423" s="21" t="n">
        <f aca="false">IFERROR(O423/M423,0)</f>
        <v>0.436795994993742</v>
      </c>
      <c r="Q423" s="6" t="str">
        <f aca="false">Orders!H423</f>
        <v>Delivered</v>
      </c>
      <c r="R423" s="1" t="str">
        <f aca="false">INDEX(Customers!$C$2:$C$301,MATCH(C423,Customers!$A$2:$A$301,0))</f>
        <v>Bengaluru</v>
      </c>
      <c r="S423" s="1" t="str">
        <f aca="false">INDEX(Customers!$E$2:$E$301,MATCH(C423,Customers!$A$2:$A$301,0))</f>
        <v>Returning</v>
      </c>
      <c r="T423" s="6" t="str">
        <f aca="false">Orders!I423</f>
        <v>Marketplace</v>
      </c>
      <c r="U423" s="1" t="str">
        <f aca="false">IF(Q423="Delivered","Completed",IF(Q423="Cancelled","Cancelled",IF(Q423="Returned","Returned","In Progress")))</f>
        <v>Completed</v>
      </c>
      <c r="V423" s="1" t="str">
        <f aca="false">IF(M423&gt;=10000,"High Value",IF(M423&gt;=5000,"Medium Value","Low Value"))</f>
        <v>Low Value</v>
      </c>
      <c r="W423" s="1" t="str">
        <f aca="false">IF(O423&gt;0,"Profitable",IF(O423=0,"Break-even","Loss"))</f>
        <v>Profitable</v>
      </c>
      <c r="X423" s="1" t="str">
        <f aca="false">IF(Q423="Cancelled","Not Applicable",IF(Q423="Processing","Pending",IF(B423="","Unknown",IF(Orders!J423="","Unknown",IF(Orders!J423&lt;=3,"Fast",IF(Orders!J423&lt;=6,"Standard","Slow"))))))</f>
        <v>Fast</v>
      </c>
      <c r="Y423" s="1" t="n">
        <f aca="false">IF(OR(Q423="Cancelled",Q423="Returned"),0,O423)</f>
        <v>837.6</v>
      </c>
    </row>
    <row r="424" customFormat="false" ht="15" hidden="false" customHeight="false" outlineLevel="0" collapsed="false">
      <c r="A424" s="6" t="str">
        <f aca="false">Orders!A424</f>
        <v>O000423</v>
      </c>
      <c r="B424" s="19" t="n">
        <f aca="false">Orders!B424</f>
        <v>45662</v>
      </c>
      <c r="C424" s="6" t="str">
        <f aca="false">Orders!C424</f>
        <v>C0020</v>
      </c>
      <c r="D424" s="6" t="str">
        <f aca="false">Orders!D424</f>
        <v>P1094</v>
      </c>
      <c r="E424" s="6" t="str">
        <f aca="false">INDEX(Products!$B$2:$B$101,MATCH(D424,Products!$A$2:$A$101,0))</f>
        <v>Room Heater</v>
      </c>
      <c r="F424" s="1" t="str">
        <f aca="false">INDEX(Products!$C$2:$C$101,MATCH(D424,Products!$A$2:$A$101,0))</f>
        <v>Appliances</v>
      </c>
      <c r="G424" s="6" t="n">
        <f aca="false">Orders!E424</f>
        <v>1</v>
      </c>
      <c r="H424" s="16" t="n">
        <f aca="false">INDEX(Products!$D$2:$D$101,MATCH(D424,Products!$A$2:$A$101,0))</f>
        <v>1999</v>
      </c>
      <c r="I424" s="16" t="n">
        <f aca="false">INDEX(Products!$E$2:$E$101,MATCH(D424,Products!$A$2:$A$101,0))</f>
        <v>1250</v>
      </c>
      <c r="J424" s="20" t="n">
        <f aca="false">Orders!F424</f>
        <v>0.25</v>
      </c>
      <c r="K424" s="6" t="n">
        <f aca="false">G424*H424</f>
        <v>1999</v>
      </c>
      <c r="L424" s="6" t="n">
        <f aca="false">K424*J424</f>
        <v>499.75</v>
      </c>
      <c r="M424" s="6" t="n">
        <f aca="false">K424-L424</f>
        <v>1499.25</v>
      </c>
      <c r="N424" s="6" t="n">
        <f aca="false">G424*I424</f>
        <v>1250</v>
      </c>
      <c r="O424" s="6" t="n">
        <f aca="false">M424-N424</f>
        <v>249.25</v>
      </c>
      <c r="P424" s="21" t="n">
        <f aca="false">IFERROR(O424/M424,0)</f>
        <v>0.166249791562448</v>
      </c>
      <c r="Q424" s="6" t="str">
        <f aca="false">Orders!H424</f>
        <v>Delivered</v>
      </c>
      <c r="R424" s="1" t="str">
        <f aca="false">INDEX(Customers!$C$2:$C$301,MATCH(C424,Customers!$A$2:$A$301,0))</f>
        <v>Visakhapatnam</v>
      </c>
      <c r="S424" s="1" t="str">
        <f aca="false">INDEX(Customers!$E$2:$E$301,MATCH(C424,Customers!$A$2:$A$301,0))</f>
        <v>Returning</v>
      </c>
      <c r="T424" s="6" t="str">
        <f aca="false">Orders!I424</f>
        <v>Website</v>
      </c>
      <c r="U424" s="1" t="str">
        <f aca="false">IF(Q424="Delivered","Completed",IF(Q424="Cancelled","Cancelled",IF(Q424="Returned","Returned","In Progress")))</f>
        <v>Completed</v>
      </c>
      <c r="V424" s="1" t="str">
        <f aca="false">IF(M424&gt;=10000,"High Value",IF(M424&gt;=5000,"Medium Value","Low Value"))</f>
        <v>Low Value</v>
      </c>
      <c r="W424" s="1" t="str">
        <f aca="false">IF(O424&gt;0,"Profitable",IF(O424=0,"Break-even","Loss"))</f>
        <v>Profitable</v>
      </c>
      <c r="X424" s="1" t="str">
        <f aca="false">IF(Q424="Cancelled","Not Applicable",IF(Q424="Processing","Pending",IF(B424="","Unknown",IF(Orders!J424="","Unknown",IF(Orders!J424&lt;=3,"Fast",IF(Orders!J424&lt;=6,"Standard","Slow"))))))</f>
        <v>Standard</v>
      </c>
      <c r="Y424" s="1" t="n">
        <f aca="false">IF(OR(Q424="Cancelled",Q424="Returned"),0,O424)</f>
        <v>249.25</v>
      </c>
    </row>
    <row r="425" customFormat="false" ht="15" hidden="false" customHeight="false" outlineLevel="0" collapsed="false">
      <c r="A425" s="6" t="str">
        <f aca="false">Orders!A425</f>
        <v>O000424</v>
      </c>
      <c r="B425" s="19" t="n">
        <f aca="false">Orders!B425</f>
        <v>45884</v>
      </c>
      <c r="C425" s="6" t="str">
        <f aca="false">Orders!C425</f>
        <v>C0068</v>
      </c>
      <c r="D425" s="6" t="str">
        <f aca="false">Orders!D425</f>
        <v>P1097</v>
      </c>
      <c r="E425" s="6" t="str">
        <f aca="false">INDEX(Products!$B$2:$B$101,MATCH(D425,Products!$A$2:$A$101,0))</f>
        <v>Vacuum Cleaner</v>
      </c>
      <c r="F425" s="1" t="str">
        <f aca="false">INDEX(Products!$C$2:$C$101,MATCH(D425,Products!$A$2:$A$101,0))</f>
        <v>Appliances</v>
      </c>
      <c r="G425" s="6" t="n">
        <f aca="false">Orders!E425</f>
        <v>2</v>
      </c>
      <c r="H425" s="16" t="n">
        <f aca="false">INDEX(Products!$D$2:$D$101,MATCH(D425,Products!$A$2:$A$101,0))</f>
        <v>3499</v>
      </c>
      <c r="I425" s="16" t="n">
        <f aca="false">INDEX(Products!$E$2:$E$101,MATCH(D425,Products!$A$2:$A$101,0))</f>
        <v>2400</v>
      </c>
      <c r="J425" s="20" t="n">
        <f aca="false">Orders!F425</f>
        <v>0.15</v>
      </c>
      <c r="K425" s="6" t="n">
        <f aca="false">G425*H425</f>
        <v>6998</v>
      </c>
      <c r="L425" s="6" t="n">
        <f aca="false">K425*J425</f>
        <v>1049.7</v>
      </c>
      <c r="M425" s="6" t="n">
        <f aca="false">K425-L425</f>
        <v>5948.3</v>
      </c>
      <c r="N425" s="6" t="n">
        <f aca="false">G425*I425</f>
        <v>4800</v>
      </c>
      <c r="O425" s="6" t="n">
        <f aca="false">M425-N425</f>
        <v>1148.3</v>
      </c>
      <c r="P425" s="21" t="n">
        <f aca="false">IFERROR(O425/M425,0)</f>
        <v>0.193046752853757</v>
      </c>
      <c r="Q425" s="6" t="str">
        <f aca="false">Orders!H425</f>
        <v>Processing</v>
      </c>
      <c r="R425" s="1" t="str">
        <f aca="false">INDEX(Customers!$C$2:$C$301,MATCH(C425,Customers!$A$2:$A$301,0))</f>
        <v>Jaipur</v>
      </c>
      <c r="S425" s="1" t="str">
        <f aca="false">INDEX(Customers!$E$2:$E$301,MATCH(C425,Customers!$A$2:$A$301,0))</f>
        <v>Returning</v>
      </c>
      <c r="T425" s="6" t="str">
        <f aca="false">Orders!I425</f>
        <v>Mobile App</v>
      </c>
      <c r="U425" s="1" t="str">
        <f aca="false">IF(Q425="Delivered","Completed",IF(Q425="Cancelled","Cancelled",IF(Q425="Returned","Returned","In Progress")))</f>
        <v>In Progress</v>
      </c>
      <c r="V425" s="1" t="str">
        <f aca="false">IF(M425&gt;=10000,"High Value",IF(M425&gt;=5000,"Medium Value","Low Value"))</f>
        <v>Medium Value</v>
      </c>
      <c r="W425" s="1" t="str">
        <f aca="false">IF(O425&gt;0,"Profitable",IF(O425=0,"Break-even","Loss"))</f>
        <v>Profitable</v>
      </c>
      <c r="X425" s="1" t="str">
        <f aca="false">IF(Q425="Cancelled","Not Applicable",IF(Q425="Processing","Pending",IF(B425="","Unknown",IF(Orders!J425="","Unknown",IF(Orders!J425&lt;=3,"Fast",IF(Orders!J425&lt;=6,"Standard","Slow"))))))</f>
        <v>Pending</v>
      </c>
      <c r="Y425" s="1" t="n">
        <f aca="false">IF(OR(Q425="Cancelled",Q425="Returned"),0,O425)</f>
        <v>1148.3</v>
      </c>
    </row>
    <row r="426" customFormat="false" ht="15" hidden="false" customHeight="false" outlineLevel="0" collapsed="false">
      <c r="A426" s="6" t="str">
        <f aca="false">Orders!A426</f>
        <v>O000425</v>
      </c>
      <c r="B426" s="19" t="n">
        <f aca="false">Orders!B426</f>
        <v>45863</v>
      </c>
      <c r="C426" s="6" t="str">
        <f aca="false">Orders!C426</f>
        <v>C0128</v>
      </c>
      <c r="D426" s="6" t="str">
        <f aca="false">Orders!D426</f>
        <v>P1017</v>
      </c>
      <c r="E426" s="6" t="str">
        <f aca="false">INDEX(Products!$B$2:$B$101,MATCH(D426,Products!$A$2:$A$101,0))</f>
        <v>Denim Jeans</v>
      </c>
      <c r="F426" s="1" t="str">
        <f aca="false">INDEX(Products!$C$2:$C$101,MATCH(D426,Products!$A$2:$A$101,0))</f>
        <v>Fashion</v>
      </c>
      <c r="G426" s="6" t="n">
        <f aca="false">Orders!E426</f>
        <v>1</v>
      </c>
      <c r="H426" s="16" t="n">
        <f aca="false">INDEX(Products!$D$2:$D$101,MATCH(D426,Products!$A$2:$A$101,0))</f>
        <v>1299</v>
      </c>
      <c r="I426" s="16" t="n">
        <f aca="false">INDEX(Products!$E$2:$E$101,MATCH(D426,Products!$A$2:$A$101,0))</f>
        <v>650</v>
      </c>
      <c r="J426" s="20" t="n">
        <f aca="false">Orders!F426</f>
        <v>0.1</v>
      </c>
      <c r="K426" s="6" t="n">
        <f aca="false">G426*H426</f>
        <v>1299</v>
      </c>
      <c r="L426" s="6" t="n">
        <f aca="false">K426*J426</f>
        <v>129.9</v>
      </c>
      <c r="M426" s="6" t="n">
        <f aca="false">K426-L426</f>
        <v>1169.1</v>
      </c>
      <c r="N426" s="6" t="n">
        <f aca="false">G426*I426</f>
        <v>650</v>
      </c>
      <c r="O426" s="6" t="n">
        <f aca="false">M426-N426</f>
        <v>519.1</v>
      </c>
      <c r="P426" s="21" t="n">
        <f aca="false">IFERROR(O426/M426,0)</f>
        <v>0.444016765032931</v>
      </c>
      <c r="Q426" s="6" t="str">
        <f aca="false">Orders!H426</f>
        <v>Delivered</v>
      </c>
      <c r="R426" s="1" t="str">
        <f aca="false">INDEX(Customers!$C$2:$C$301,MATCH(C426,Customers!$A$2:$A$301,0))</f>
        <v>Jaipur</v>
      </c>
      <c r="S426" s="1" t="str">
        <f aca="false">INDEX(Customers!$E$2:$E$301,MATCH(C426,Customers!$A$2:$A$301,0))</f>
        <v>Returning</v>
      </c>
      <c r="T426" s="6" t="str">
        <f aca="false">Orders!I426</f>
        <v>Website</v>
      </c>
      <c r="U426" s="1" t="str">
        <f aca="false">IF(Q426="Delivered","Completed",IF(Q426="Cancelled","Cancelled",IF(Q426="Returned","Returned","In Progress")))</f>
        <v>Completed</v>
      </c>
      <c r="V426" s="1" t="str">
        <f aca="false">IF(M426&gt;=10000,"High Value",IF(M426&gt;=5000,"Medium Value","Low Value"))</f>
        <v>Low Value</v>
      </c>
      <c r="W426" s="1" t="str">
        <f aca="false">IF(O426&gt;0,"Profitable",IF(O426=0,"Break-even","Loss"))</f>
        <v>Profitable</v>
      </c>
      <c r="X426" s="1" t="str">
        <f aca="false">IF(Q426="Cancelled","Not Applicable",IF(Q426="Processing","Pending",IF(B426="","Unknown",IF(Orders!J426="","Unknown",IF(Orders!J426&lt;=3,"Fast",IF(Orders!J426&lt;=6,"Standard","Slow"))))))</f>
        <v>Standard</v>
      </c>
      <c r="Y426" s="1" t="n">
        <f aca="false">IF(OR(Q426="Cancelled",Q426="Returned"),0,O426)</f>
        <v>519.1</v>
      </c>
    </row>
    <row r="427" customFormat="false" ht="15" hidden="false" customHeight="false" outlineLevel="0" collapsed="false">
      <c r="A427" s="6" t="str">
        <f aca="false">Orders!A427</f>
        <v>O000426</v>
      </c>
      <c r="B427" s="19" t="n">
        <f aca="false">Orders!B427</f>
        <v>45774</v>
      </c>
      <c r="C427" s="6" t="str">
        <f aca="false">Orders!C427</f>
        <v>C0296</v>
      </c>
      <c r="D427" s="6" t="str">
        <f aca="false">Orders!D427</f>
        <v>P1074</v>
      </c>
      <c r="E427" s="6" t="str">
        <f aca="false">INDEX(Products!$B$2:$B$101,MATCH(D427,Products!$A$2:$A$101,0))</f>
        <v>Notebook Pack</v>
      </c>
      <c r="F427" s="1" t="str">
        <f aca="false">INDEX(Products!$C$2:$C$101,MATCH(D427,Products!$A$2:$A$101,0))</f>
        <v>Books &amp; Stationery</v>
      </c>
      <c r="G427" s="6" t="n">
        <f aca="false">Orders!E427</f>
        <v>2</v>
      </c>
      <c r="H427" s="16" t="n">
        <f aca="false">INDEX(Products!$D$2:$D$101,MATCH(D427,Products!$A$2:$A$101,0))</f>
        <v>299</v>
      </c>
      <c r="I427" s="16" t="n">
        <f aca="false">INDEX(Products!$E$2:$E$101,MATCH(D427,Products!$A$2:$A$101,0))</f>
        <v>110</v>
      </c>
      <c r="J427" s="20" t="n">
        <f aca="false">Orders!F427</f>
        <v>0</v>
      </c>
      <c r="K427" s="6" t="n">
        <f aca="false">G427*H427</f>
        <v>598</v>
      </c>
      <c r="L427" s="6" t="n">
        <f aca="false">K427*J427</f>
        <v>0</v>
      </c>
      <c r="M427" s="6" t="n">
        <f aca="false">K427-L427</f>
        <v>598</v>
      </c>
      <c r="N427" s="6" t="n">
        <f aca="false">G427*I427</f>
        <v>220</v>
      </c>
      <c r="O427" s="6" t="n">
        <f aca="false">M427-N427</f>
        <v>378</v>
      </c>
      <c r="P427" s="21" t="n">
        <f aca="false">IFERROR(O427/M427,0)</f>
        <v>0.632107023411371</v>
      </c>
      <c r="Q427" s="6" t="str">
        <f aca="false">Orders!H427</f>
        <v>Delivered</v>
      </c>
      <c r="R427" s="1" t="str">
        <f aca="false">INDEX(Customers!$C$2:$C$301,MATCH(C427,Customers!$A$2:$A$301,0))</f>
        <v>Chandigarh</v>
      </c>
      <c r="S427" s="1" t="str">
        <f aca="false">INDEX(Customers!$E$2:$E$301,MATCH(C427,Customers!$A$2:$A$301,0))</f>
        <v>New</v>
      </c>
      <c r="T427" s="6" t="str">
        <f aca="false">Orders!I427</f>
        <v>Marketplace</v>
      </c>
      <c r="U427" s="1" t="str">
        <f aca="false">IF(Q427="Delivered","Completed",IF(Q427="Cancelled","Cancelled",IF(Q427="Returned","Returned","In Progress")))</f>
        <v>Completed</v>
      </c>
      <c r="V427" s="1" t="str">
        <f aca="false">IF(M427&gt;=10000,"High Value",IF(M427&gt;=5000,"Medium Value","Low Value"))</f>
        <v>Low Value</v>
      </c>
      <c r="W427" s="1" t="str">
        <f aca="false">IF(O427&gt;0,"Profitable",IF(O427=0,"Break-even","Loss"))</f>
        <v>Profitable</v>
      </c>
      <c r="X427" s="1" t="str">
        <f aca="false">IF(Q427="Cancelled","Not Applicable",IF(Q427="Processing","Pending",IF(B427="","Unknown",IF(Orders!J427="","Unknown",IF(Orders!J427&lt;=3,"Fast",IF(Orders!J427&lt;=6,"Standard","Slow"))))))</f>
        <v>Fast</v>
      </c>
      <c r="Y427" s="1" t="n">
        <f aca="false">IF(OR(Q427="Cancelled",Q427="Returned"),0,O427)</f>
        <v>378</v>
      </c>
    </row>
    <row r="428" customFormat="false" ht="15" hidden="false" customHeight="false" outlineLevel="0" collapsed="false">
      <c r="A428" s="6" t="str">
        <f aca="false">Orders!A428</f>
        <v>O000427</v>
      </c>
      <c r="B428" s="19" t="n">
        <f aca="false">Orders!B428</f>
        <v>45772</v>
      </c>
      <c r="C428" s="6" t="str">
        <f aca="false">Orders!C428</f>
        <v>C0177</v>
      </c>
      <c r="D428" s="6" t="str">
        <f aca="false">Orders!D428</f>
        <v>P1042</v>
      </c>
      <c r="E428" s="6" t="str">
        <f aca="false">INDEX(Products!$B$2:$B$101,MATCH(D428,Products!$A$2:$A$101,0))</f>
        <v>Bath Towel Set</v>
      </c>
      <c r="F428" s="1" t="str">
        <f aca="false">INDEX(Products!$C$2:$C$101,MATCH(D428,Products!$A$2:$A$101,0))</f>
        <v>Home &amp; Kitchen</v>
      </c>
      <c r="G428" s="6" t="n">
        <f aca="false">Orders!E428</f>
        <v>1</v>
      </c>
      <c r="H428" s="16" t="n">
        <f aca="false">INDEX(Products!$D$2:$D$101,MATCH(D428,Products!$A$2:$A$101,0))</f>
        <v>799</v>
      </c>
      <c r="I428" s="16" t="n">
        <f aca="false">INDEX(Products!$E$2:$E$101,MATCH(D428,Products!$A$2:$A$101,0))</f>
        <v>360</v>
      </c>
      <c r="J428" s="20" t="n">
        <f aca="false">Orders!F428</f>
        <v>0.1</v>
      </c>
      <c r="K428" s="6" t="n">
        <f aca="false">G428*H428</f>
        <v>799</v>
      </c>
      <c r="L428" s="6" t="n">
        <f aca="false">K428*J428</f>
        <v>79.9</v>
      </c>
      <c r="M428" s="6" t="n">
        <f aca="false">K428-L428</f>
        <v>719.1</v>
      </c>
      <c r="N428" s="6" t="n">
        <f aca="false">G428*I428</f>
        <v>360</v>
      </c>
      <c r="O428" s="6" t="n">
        <f aca="false">M428-N428</f>
        <v>359.1</v>
      </c>
      <c r="P428" s="21" t="n">
        <f aca="false">IFERROR(O428/M428,0)</f>
        <v>0.499374217772215</v>
      </c>
      <c r="Q428" s="6" t="str">
        <f aca="false">Orders!H428</f>
        <v>Delivered</v>
      </c>
      <c r="R428" s="1" t="str">
        <f aca="false">INDEX(Customers!$C$2:$C$301,MATCH(C428,Customers!$A$2:$A$301,0))</f>
        <v>Surat</v>
      </c>
      <c r="S428" s="1" t="str">
        <f aca="false">INDEX(Customers!$E$2:$E$301,MATCH(C428,Customers!$A$2:$A$301,0))</f>
        <v>New</v>
      </c>
      <c r="T428" s="6" t="str">
        <f aca="false">Orders!I428</f>
        <v>Website</v>
      </c>
      <c r="U428" s="1" t="str">
        <f aca="false">IF(Q428="Delivered","Completed",IF(Q428="Cancelled","Cancelled",IF(Q428="Returned","Returned","In Progress")))</f>
        <v>Completed</v>
      </c>
      <c r="V428" s="1" t="str">
        <f aca="false">IF(M428&gt;=10000,"High Value",IF(M428&gt;=5000,"Medium Value","Low Value"))</f>
        <v>Low Value</v>
      </c>
      <c r="W428" s="1" t="str">
        <f aca="false">IF(O428&gt;0,"Profitable",IF(O428=0,"Break-even","Loss"))</f>
        <v>Profitable</v>
      </c>
      <c r="X428" s="1" t="str">
        <f aca="false">IF(Q428="Cancelled","Not Applicable",IF(Q428="Processing","Pending",IF(B428="","Unknown",IF(Orders!J428="","Unknown",IF(Orders!J428&lt;=3,"Fast",IF(Orders!J428&lt;=6,"Standard","Slow"))))))</f>
        <v>Slow</v>
      </c>
      <c r="Y428" s="1" t="n">
        <f aca="false">IF(OR(Q428="Cancelled",Q428="Returned"),0,O428)</f>
        <v>359.1</v>
      </c>
    </row>
    <row r="429" customFormat="false" ht="15" hidden="false" customHeight="false" outlineLevel="0" collapsed="false">
      <c r="A429" s="6" t="str">
        <f aca="false">Orders!A429</f>
        <v>O000428</v>
      </c>
      <c r="B429" s="19" t="n">
        <f aca="false">Orders!B429</f>
        <v>45816</v>
      </c>
      <c r="C429" s="6" t="str">
        <f aca="false">Orders!C429</f>
        <v>C0059</v>
      </c>
      <c r="D429" s="6" t="str">
        <f aca="false">Orders!D429</f>
        <v>P1005</v>
      </c>
      <c r="E429" s="6" t="str">
        <f aca="false">INDEX(Products!$B$2:$B$101,MATCH(D429,Products!$A$2:$A$101,0))</f>
        <v>Power Bank</v>
      </c>
      <c r="F429" s="1" t="str">
        <f aca="false">INDEX(Products!$C$2:$C$101,MATCH(D429,Products!$A$2:$A$101,0))</f>
        <v>Electronics</v>
      </c>
      <c r="G429" s="6" t="n">
        <f aca="false">Orders!E429</f>
        <v>1</v>
      </c>
      <c r="H429" s="16" t="n">
        <f aca="false">INDEX(Products!$D$2:$D$101,MATCH(D429,Products!$A$2:$A$101,0))</f>
        <v>1199</v>
      </c>
      <c r="I429" s="16" t="n">
        <f aca="false">INDEX(Products!$E$2:$E$101,MATCH(D429,Products!$A$2:$A$101,0))</f>
        <v>650</v>
      </c>
      <c r="J429" s="20" t="n">
        <f aca="false">Orders!F429</f>
        <v>0.1</v>
      </c>
      <c r="K429" s="6" t="n">
        <f aca="false">G429*H429</f>
        <v>1199</v>
      </c>
      <c r="L429" s="6" t="n">
        <f aca="false">K429*J429</f>
        <v>119.9</v>
      </c>
      <c r="M429" s="6" t="n">
        <f aca="false">K429-L429</f>
        <v>1079.1</v>
      </c>
      <c r="N429" s="6" t="n">
        <f aca="false">G429*I429</f>
        <v>650</v>
      </c>
      <c r="O429" s="6" t="n">
        <f aca="false">M429-N429</f>
        <v>429.1</v>
      </c>
      <c r="P429" s="21" t="n">
        <f aca="false">IFERROR(O429/M429,0)</f>
        <v>0.397646186637012</v>
      </c>
      <c r="Q429" s="6" t="str">
        <f aca="false">Orders!H429</f>
        <v>Delivered</v>
      </c>
      <c r="R429" s="1" t="str">
        <f aca="false">INDEX(Customers!$C$2:$C$301,MATCH(C429,Customers!$A$2:$A$301,0))</f>
        <v>Coimbatore</v>
      </c>
      <c r="S429" s="1" t="str">
        <f aca="false">INDEX(Customers!$E$2:$E$301,MATCH(C429,Customers!$A$2:$A$301,0))</f>
        <v>Returning</v>
      </c>
      <c r="T429" s="6" t="str">
        <f aca="false">Orders!I429</f>
        <v>Website</v>
      </c>
      <c r="U429" s="1" t="str">
        <f aca="false">IF(Q429="Delivered","Completed",IF(Q429="Cancelled","Cancelled",IF(Q429="Returned","Returned","In Progress")))</f>
        <v>Completed</v>
      </c>
      <c r="V429" s="1" t="str">
        <f aca="false">IF(M429&gt;=10000,"High Value",IF(M429&gt;=5000,"Medium Value","Low Value"))</f>
        <v>Low Value</v>
      </c>
      <c r="W429" s="1" t="str">
        <f aca="false">IF(O429&gt;0,"Profitable",IF(O429=0,"Break-even","Loss"))</f>
        <v>Profitable</v>
      </c>
      <c r="X429" s="1" t="str">
        <f aca="false">IF(Q429="Cancelled","Not Applicable",IF(Q429="Processing","Pending",IF(B429="","Unknown",IF(Orders!J429="","Unknown",IF(Orders!J429&lt;=3,"Fast",IF(Orders!J429&lt;=6,"Standard","Slow"))))))</f>
        <v>Fast</v>
      </c>
      <c r="Y429" s="1" t="n">
        <f aca="false">IF(OR(Q429="Cancelled",Q429="Returned"),0,O429)</f>
        <v>429.1</v>
      </c>
    </row>
    <row r="430" customFormat="false" ht="15" hidden="false" customHeight="false" outlineLevel="0" collapsed="false">
      <c r="A430" s="6" t="str">
        <f aca="false">Orders!A430</f>
        <v>O000429</v>
      </c>
      <c r="B430" s="19" t="n">
        <f aca="false">Orders!B430</f>
        <v>45732</v>
      </c>
      <c r="C430" s="6" t="str">
        <f aca="false">Orders!C430</f>
        <v>C0037</v>
      </c>
      <c r="D430" s="6" t="str">
        <f aca="false">Orders!D430</f>
        <v>P1054</v>
      </c>
      <c r="E430" s="6" t="str">
        <f aca="false">INDEX(Products!$B$2:$B$101,MATCH(D430,Products!$A$2:$A$101,0))</f>
        <v>Face Mask Pack</v>
      </c>
      <c r="F430" s="1" t="str">
        <f aca="false">INDEX(Products!$C$2:$C$101,MATCH(D430,Products!$A$2:$A$101,0))</f>
        <v>Beauty</v>
      </c>
      <c r="G430" s="6" t="n">
        <f aca="false">Orders!E430</f>
        <v>1</v>
      </c>
      <c r="H430" s="16" t="n">
        <f aca="false">INDEX(Products!$D$2:$D$101,MATCH(D430,Products!$A$2:$A$101,0))</f>
        <v>299</v>
      </c>
      <c r="I430" s="16" t="n">
        <f aca="false">INDEX(Products!$E$2:$E$101,MATCH(D430,Products!$A$2:$A$101,0))</f>
        <v>110</v>
      </c>
      <c r="J430" s="20" t="n">
        <f aca="false">Orders!F430</f>
        <v>0</v>
      </c>
      <c r="K430" s="6" t="n">
        <f aca="false">G430*H430</f>
        <v>299</v>
      </c>
      <c r="L430" s="6" t="n">
        <f aca="false">K430*J430</f>
        <v>0</v>
      </c>
      <c r="M430" s="6" t="n">
        <f aca="false">K430-L430</f>
        <v>299</v>
      </c>
      <c r="N430" s="6" t="n">
        <f aca="false">G430*I430</f>
        <v>110</v>
      </c>
      <c r="O430" s="6" t="n">
        <f aca="false">M430-N430</f>
        <v>189</v>
      </c>
      <c r="P430" s="21" t="n">
        <f aca="false">IFERROR(O430/M430,0)</f>
        <v>0.632107023411371</v>
      </c>
      <c r="Q430" s="6" t="str">
        <f aca="false">Orders!H430</f>
        <v>Delivered</v>
      </c>
      <c r="R430" s="1" t="str">
        <f aca="false">INDEX(Customers!$C$2:$C$301,MATCH(C430,Customers!$A$2:$A$301,0))</f>
        <v>Surat</v>
      </c>
      <c r="S430" s="1" t="str">
        <f aca="false">INDEX(Customers!$E$2:$E$301,MATCH(C430,Customers!$A$2:$A$301,0))</f>
        <v>Returning</v>
      </c>
      <c r="T430" s="6" t="str">
        <f aca="false">Orders!I430</f>
        <v>Website</v>
      </c>
      <c r="U430" s="1" t="str">
        <f aca="false">IF(Q430="Delivered","Completed",IF(Q430="Cancelled","Cancelled",IF(Q430="Returned","Returned","In Progress")))</f>
        <v>Completed</v>
      </c>
      <c r="V430" s="1" t="str">
        <f aca="false">IF(M430&gt;=10000,"High Value",IF(M430&gt;=5000,"Medium Value","Low Value"))</f>
        <v>Low Value</v>
      </c>
      <c r="W430" s="1" t="str">
        <f aca="false">IF(O430&gt;0,"Profitable",IF(O430=0,"Break-even","Loss"))</f>
        <v>Profitable</v>
      </c>
      <c r="X430" s="1" t="str">
        <f aca="false">IF(Q430="Cancelled","Not Applicable",IF(Q430="Processing","Pending",IF(B430="","Unknown",IF(Orders!J430="","Unknown",IF(Orders!J430&lt;=3,"Fast",IF(Orders!J430&lt;=6,"Standard","Slow"))))))</f>
        <v>Standard</v>
      </c>
      <c r="Y430" s="1" t="n">
        <f aca="false">IF(OR(Q430="Cancelled",Q430="Returned"),0,O430)</f>
        <v>189</v>
      </c>
    </row>
    <row r="431" customFormat="false" ht="15" hidden="false" customHeight="false" outlineLevel="0" collapsed="false">
      <c r="A431" s="6" t="str">
        <f aca="false">Orders!A431</f>
        <v>O000430</v>
      </c>
      <c r="B431" s="19" t="n">
        <f aca="false">Orders!B431</f>
        <v>45938</v>
      </c>
      <c r="C431" s="6" t="str">
        <f aca="false">Orders!C431</f>
        <v>C0016</v>
      </c>
      <c r="D431" s="6" t="str">
        <f aca="false">Orders!D431</f>
        <v>P1017</v>
      </c>
      <c r="E431" s="6" t="str">
        <f aca="false">INDEX(Products!$B$2:$B$101,MATCH(D431,Products!$A$2:$A$101,0))</f>
        <v>Denim Jeans</v>
      </c>
      <c r="F431" s="1" t="str">
        <f aca="false">INDEX(Products!$C$2:$C$101,MATCH(D431,Products!$A$2:$A$101,0))</f>
        <v>Fashion</v>
      </c>
      <c r="G431" s="6" t="n">
        <f aca="false">Orders!E431</f>
        <v>1</v>
      </c>
      <c r="H431" s="16" t="n">
        <f aca="false">INDEX(Products!$D$2:$D$101,MATCH(D431,Products!$A$2:$A$101,0))</f>
        <v>1299</v>
      </c>
      <c r="I431" s="16" t="n">
        <f aca="false">INDEX(Products!$E$2:$E$101,MATCH(D431,Products!$A$2:$A$101,0))</f>
        <v>650</v>
      </c>
      <c r="J431" s="20" t="n">
        <f aca="false">Orders!F431</f>
        <v>0</v>
      </c>
      <c r="K431" s="6" t="n">
        <f aca="false">G431*H431</f>
        <v>1299</v>
      </c>
      <c r="L431" s="6" t="n">
        <f aca="false">K431*J431</f>
        <v>0</v>
      </c>
      <c r="M431" s="6" t="n">
        <f aca="false">K431-L431</f>
        <v>1299</v>
      </c>
      <c r="N431" s="6" t="n">
        <f aca="false">G431*I431</f>
        <v>650</v>
      </c>
      <c r="O431" s="6" t="n">
        <f aca="false">M431-N431</f>
        <v>649</v>
      </c>
      <c r="P431" s="21" t="n">
        <f aca="false">IFERROR(O431/M431,0)</f>
        <v>0.499615088529638</v>
      </c>
      <c r="Q431" s="6" t="str">
        <f aca="false">Orders!H431</f>
        <v>Cancelled</v>
      </c>
      <c r="R431" s="1" t="str">
        <f aca="false">INDEX(Customers!$C$2:$C$301,MATCH(C431,Customers!$A$2:$A$301,0))</f>
        <v>Chandigarh</v>
      </c>
      <c r="S431" s="1" t="str">
        <f aca="false">INDEX(Customers!$E$2:$E$301,MATCH(C431,Customers!$A$2:$A$301,0))</f>
        <v>New</v>
      </c>
      <c r="T431" s="6" t="str">
        <f aca="false">Orders!I431</f>
        <v>Mobile App</v>
      </c>
      <c r="U431" s="1" t="str">
        <f aca="false">IF(Q431="Delivered","Completed",IF(Q431="Cancelled","Cancelled",IF(Q431="Returned","Returned","In Progress")))</f>
        <v>Cancelled</v>
      </c>
      <c r="V431" s="1" t="str">
        <f aca="false">IF(M431&gt;=10000,"High Value",IF(M431&gt;=5000,"Medium Value","Low Value"))</f>
        <v>Low Value</v>
      </c>
      <c r="W431" s="1" t="str">
        <f aca="false">IF(O431&gt;0,"Profitable",IF(O431=0,"Break-even","Loss"))</f>
        <v>Profitable</v>
      </c>
      <c r="X431" s="1" t="str">
        <f aca="false">IF(Q431="Cancelled","Not Applicable",IF(Q431="Processing","Pending",IF(B431="","Unknown",IF(Orders!J431="","Unknown",IF(Orders!J431&lt;=3,"Fast",IF(Orders!J431&lt;=6,"Standard","Slow"))))))</f>
        <v>Not Applicable</v>
      </c>
      <c r="Y431" s="1" t="n">
        <f aca="false">IF(OR(Q431="Cancelled",Q431="Returned"),0,O431)</f>
        <v>0</v>
      </c>
    </row>
    <row r="432" customFormat="false" ht="15" hidden="false" customHeight="false" outlineLevel="0" collapsed="false">
      <c r="A432" s="6" t="str">
        <f aca="false">Orders!A432</f>
        <v>O000431</v>
      </c>
      <c r="B432" s="19" t="n">
        <f aca="false">Orders!B432</f>
        <v>45965</v>
      </c>
      <c r="C432" s="6" t="str">
        <f aca="false">Orders!C432</f>
        <v>C0234</v>
      </c>
      <c r="D432" s="6" t="str">
        <f aca="false">Orders!D432</f>
        <v>P1007</v>
      </c>
      <c r="E432" s="6" t="str">
        <f aca="false">INDEX(Products!$B$2:$B$101,MATCH(D432,Products!$A$2:$A$101,0))</f>
        <v>Keyboard</v>
      </c>
      <c r="F432" s="1" t="str">
        <f aca="false">INDEX(Products!$C$2:$C$101,MATCH(D432,Products!$A$2:$A$101,0))</f>
        <v>Electronics</v>
      </c>
      <c r="G432" s="6" t="n">
        <f aca="false">Orders!E432</f>
        <v>2</v>
      </c>
      <c r="H432" s="16" t="n">
        <f aca="false">INDEX(Products!$D$2:$D$101,MATCH(D432,Products!$A$2:$A$101,0))</f>
        <v>999</v>
      </c>
      <c r="I432" s="16" t="n">
        <f aca="false">INDEX(Products!$E$2:$E$101,MATCH(D432,Products!$A$2:$A$101,0))</f>
        <v>480</v>
      </c>
      <c r="J432" s="20" t="n">
        <f aca="false">Orders!F432</f>
        <v>0.15</v>
      </c>
      <c r="K432" s="6" t="n">
        <f aca="false">G432*H432</f>
        <v>1998</v>
      </c>
      <c r="L432" s="6" t="n">
        <f aca="false">K432*J432</f>
        <v>299.7</v>
      </c>
      <c r="M432" s="6" t="n">
        <f aca="false">K432-L432</f>
        <v>1698.3</v>
      </c>
      <c r="N432" s="6" t="n">
        <f aca="false">G432*I432</f>
        <v>960</v>
      </c>
      <c r="O432" s="6" t="n">
        <f aca="false">M432-N432</f>
        <v>738.3</v>
      </c>
      <c r="P432" s="21" t="n">
        <f aca="false">IFERROR(O432/M432,0)</f>
        <v>0.434728846493552</v>
      </c>
      <c r="Q432" s="6" t="str">
        <f aca="false">Orders!H432</f>
        <v>Cancelled</v>
      </c>
      <c r="R432" s="1" t="str">
        <f aca="false">INDEX(Customers!$C$2:$C$301,MATCH(C432,Customers!$A$2:$A$301,0))</f>
        <v>Indore</v>
      </c>
      <c r="S432" s="1" t="str">
        <f aca="false">INDEX(Customers!$E$2:$E$301,MATCH(C432,Customers!$A$2:$A$301,0))</f>
        <v>New</v>
      </c>
      <c r="T432" s="6" t="str">
        <f aca="false">Orders!I432</f>
        <v>Marketplace</v>
      </c>
      <c r="U432" s="1" t="str">
        <f aca="false">IF(Q432="Delivered","Completed",IF(Q432="Cancelled","Cancelled",IF(Q432="Returned","Returned","In Progress")))</f>
        <v>Cancelled</v>
      </c>
      <c r="V432" s="1" t="str">
        <f aca="false">IF(M432&gt;=10000,"High Value",IF(M432&gt;=5000,"Medium Value","Low Value"))</f>
        <v>Low Value</v>
      </c>
      <c r="W432" s="1" t="str">
        <f aca="false">IF(O432&gt;0,"Profitable",IF(O432=0,"Break-even","Loss"))</f>
        <v>Profitable</v>
      </c>
      <c r="X432" s="1" t="str">
        <f aca="false">IF(Q432="Cancelled","Not Applicable",IF(Q432="Processing","Pending",IF(B432="","Unknown",IF(Orders!J432="","Unknown",IF(Orders!J432&lt;=3,"Fast",IF(Orders!J432&lt;=6,"Standard","Slow"))))))</f>
        <v>Not Applicable</v>
      </c>
      <c r="Y432" s="1" t="n">
        <f aca="false">IF(OR(Q432="Cancelled",Q432="Returned"),0,O432)</f>
        <v>0</v>
      </c>
    </row>
    <row r="433" customFormat="false" ht="15" hidden="false" customHeight="false" outlineLevel="0" collapsed="false">
      <c r="A433" s="6" t="str">
        <f aca="false">Orders!A433</f>
        <v>O000432</v>
      </c>
      <c r="B433" s="19" t="n">
        <f aca="false">Orders!B433</f>
        <v>45674</v>
      </c>
      <c r="C433" s="6" t="str">
        <f aca="false">Orders!C433</f>
        <v>C0098</v>
      </c>
      <c r="D433" s="6" t="str">
        <f aca="false">Orders!D433</f>
        <v>P1060</v>
      </c>
      <c r="E433" s="6" t="str">
        <f aca="false">INDEX(Products!$B$2:$B$101,MATCH(D433,Products!$A$2:$A$101,0))</f>
        <v>Yoga Mat</v>
      </c>
      <c r="F433" s="1" t="str">
        <f aca="false">INDEX(Products!$C$2:$C$101,MATCH(D433,Products!$A$2:$A$101,0))</f>
        <v>Sports &amp; Outdoors</v>
      </c>
      <c r="G433" s="6" t="n">
        <f aca="false">Orders!E433</f>
        <v>2</v>
      </c>
      <c r="H433" s="16" t="n">
        <f aca="false">INDEX(Products!$D$2:$D$101,MATCH(D433,Products!$A$2:$A$101,0))</f>
        <v>799</v>
      </c>
      <c r="I433" s="16" t="n">
        <f aca="false">INDEX(Products!$E$2:$E$101,MATCH(D433,Products!$A$2:$A$101,0))</f>
        <v>350</v>
      </c>
      <c r="J433" s="20" t="n">
        <f aca="false">Orders!F433</f>
        <v>0.15</v>
      </c>
      <c r="K433" s="6" t="n">
        <f aca="false">G433*H433</f>
        <v>1598</v>
      </c>
      <c r="L433" s="6" t="n">
        <f aca="false">K433*J433</f>
        <v>239.7</v>
      </c>
      <c r="M433" s="6" t="n">
        <f aca="false">K433-L433</f>
        <v>1358.3</v>
      </c>
      <c r="N433" s="6" t="n">
        <f aca="false">G433*I433</f>
        <v>700</v>
      </c>
      <c r="O433" s="6" t="n">
        <f aca="false">M433-N433</f>
        <v>658.3</v>
      </c>
      <c r="P433" s="21" t="n">
        <f aca="false">IFERROR(O433/M433,0)</f>
        <v>0.484649930059633</v>
      </c>
      <c r="Q433" s="6" t="str">
        <f aca="false">Orders!H433</f>
        <v>Delivered</v>
      </c>
      <c r="R433" s="1" t="str">
        <f aca="false">INDEX(Customers!$C$2:$C$301,MATCH(C433,Customers!$A$2:$A$301,0))</f>
        <v>Nagpur</v>
      </c>
      <c r="S433" s="1" t="str">
        <f aca="false">INDEX(Customers!$E$2:$E$301,MATCH(C433,Customers!$A$2:$A$301,0))</f>
        <v>Returning</v>
      </c>
      <c r="T433" s="6" t="str">
        <f aca="false">Orders!I433</f>
        <v>Marketplace</v>
      </c>
      <c r="U433" s="1" t="str">
        <f aca="false">IF(Q433="Delivered","Completed",IF(Q433="Cancelled","Cancelled",IF(Q433="Returned","Returned","In Progress")))</f>
        <v>Completed</v>
      </c>
      <c r="V433" s="1" t="str">
        <f aca="false">IF(M433&gt;=10000,"High Value",IF(M433&gt;=5000,"Medium Value","Low Value"))</f>
        <v>Low Value</v>
      </c>
      <c r="W433" s="1" t="str">
        <f aca="false">IF(O433&gt;0,"Profitable",IF(O433=0,"Break-even","Loss"))</f>
        <v>Profitable</v>
      </c>
      <c r="X433" s="1" t="str">
        <f aca="false">IF(Q433="Cancelled","Not Applicable",IF(Q433="Processing","Pending",IF(B433="","Unknown",IF(Orders!J433="","Unknown",IF(Orders!J433&lt;=3,"Fast",IF(Orders!J433&lt;=6,"Standard","Slow"))))))</f>
        <v>Standard</v>
      </c>
      <c r="Y433" s="1" t="n">
        <f aca="false">IF(OR(Q433="Cancelled",Q433="Returned"),0,O433)</f>
        <v>658.3</v>
      </c>
    </row>
    <row r="434" customFormat="false" ht="15" hidden="false" customHeight="false" outlineLevel="0" collapsed="false">
      <c r="A434" s="6" t="str">
        <f aca="false">Orders!A434</f>
        <v>O000433</v>
      </c>
      <c r="B434" s="19" t="n">
        <f aca="false">Orders!B434</f>
        <v>45700</v>
      </c>
      <c r="C434" s="6" t="str">
        <f aca="false">Orders!C434</f>
        <v>C0119</v>
      </c>
      <c r="D434" s="6" t="str">
        <f aca="false">Orders!D434</f>
        <v>P1014</v>
      </c>
      <c r="E434" s="6" t="str">
        <f aca="false">INDEX(Products!$B$2:$B$101,MATCH(D434,Products!$A$2:$A$101,0))</f>
        <v>HDMI Cable</v>
      </c>
      <c r="F434" s="1" t="str">
        <f aca="false">INDEX(Products!$C$2:$C$101,MATCH(D434,Products!$A$2:$A$101,0))</f>
        <v>Electronics</v>
      </c>
      <c r="G434" s="6" t="n">
        <f aca="false">Orders!E434</f>
        <v>4</v>
      </c>
      <c r="H434" s="16" t="n">
        <f aca="false">INDEX(Products!$D$2:$D$101,MATCH(D434,Products!$A$2:$A$101,0))</f>
        <v>449</v>
      </c>
      <c r="I434" s="16" t="n">
        <f aca="false">INDEX(Products!$E$2:$E$101,MATCH(D434,Products!$A$2:$A$101,0))</f>
        <v>180</v>
      </c>
      <c r="J434" s="20" t="n">
        <f aca="false">Orders!F434</f>
        <v>0</v>
      </c>
      <c r="K434" s="6" t="n">
        <f aca="false">G434*H434</f>
        <v>1796</v>
      </c>
      <c r="L434" s="6" t="n">
        <f aca="false">K434*J434</f>
        <v>0</v>
      </c>
      <c r="M434" s="6" t="n">
        <f aca="false">K434-L434</f>
        <v>1796</v>
      </c>
      <c r="N434" s="6" t="n">
        <f aca="false">G434*I434</f>
        <v>720</v>
      </c>
      <c r="O434" s="6" t="n">
        <f aca="false">M434-N434</f>
        <v>1076</v>
      </c>
      <c r="P434" s="21" t="n">
        <f aca="false">IFERROR(O434/M434,0)</f>
        <v>0.599109131403118</v>
      </c>
      <c r="Q434" s="6" t="str">
        <f aca="false">Orders!H434</f>
        <v>Delivered</v>
      </c>
      <c r="R434" s="1" t="str">
        <f aca="false">INDEX(Customers!$C$2:$C$301,MATCH(C434,Customers!$A$2:$A$301,0))</f>
        <v>Coimbatore</v>
      </c>
      <c r="S434" s="1" t="str">
        <f aca="false">INDEX(Customers!$E$2:$E$301,MATCH(C434,Customers!$A$2:$A$301,0))</f>
        <v>VIP</v>
      </c>
      <c r="T434" s="6" t="str">
        <f aca="false">Orders!I434</f>
        <v>Mobile App</v>
      </c>
      <c r="U434" s="1" t="str">
        <f aca="false">IF(Q434="Delivered","Completed",IF(Q434="Cancelled","Cancelled",IF(Q434="Returned","Returned","In Progress")))</f>
        <v>Completed</v>
      </c>
      <c r="V434" s="1" t="str">
        <f aca="false">IF(M434&gt;=10000,"High Value",IF(M434&gt;=5000,"Medium Value","Low Value"))</f>
        <v>Low Value</v>
      </c>
      <c r="W434" s="1" t="str">
        <f aca="false">IF(O434&gt;0,"Profitable",IF(O434=0,"Break-even","Loss"))</f>
        <v>Profitable</v>
      </c>
      <c r="X434" s="1" t="str">
        <f aca="false">IF(Q434="Cancelled","Not Applicable",IF(Q434="Processing","Pending",IF(B434="","Unknown",IF(Orders!J434="","Unknown",IF(Orders!J434&lt;=3,"Fast",IF(Orders!J434&lt;=6,"Standard","Slow"))))))</f>
        <v>Standard</v>
      </c>
      <c r="Y434" s="1" t="n">
        <f aca="false">IF(OR(Q434="Cancelled",Q434="Returned"),0,O434)</f>
        <v>1076</v>
      </c>
    </row>
    <row r="435" customFormat="false" ht="23.85" hidden="false" customHeight="false" outlineLevel="0" collapsed="false">
      <c r="A435" s="6" t="str">
        <f aca="false">Orders!A435</f>
        <v>O000434</v>
      </c>
      <c r="B435" s="19" t="n">
        <f aca="false">Orders!B435</f>
        <v>45843</v>
      </c>
      <c r="C435" s="6" t="str">
        <f aca="false">Orders!C435</f>
        <v>C0276</v>
      </c>
      <c r="D435" s="6" t="str">
        <f aca="false">Orders!D435</f>
        <v>P1002</v>
      </c>
      <c r="E435" s="6" t="str">
        <f aca="false">INDEX(Products!$B$2:$B$101,MATCH(D435,Products!$A$2:$A$101,0))</f>
        <v>Bluetooth Speaker</v>
      </c>
      <c r="F435" s="1" t="str">
        <f aca="false">INDEX(Products!$C$2:$C$101,MATCH(D435,Products!$A$2:$A$101,0))</f>
        <v>Electronics</v>
      </c>
      <c r="G435" s="6" t="n">
        <f aca="false">Orders!E435</f>
        <v>1</v>
      </c>
      <c r="H435" s="16" t="n">
        <f aca="false">INDEX(Products!$D$2:$D$101,MATCH(D435,Products!$A$2:$A$101,0))</f>
        <v>1499</v>
      </c>
      <c r="I435" s="16" t="n">
        <f aca="false">INDEX(Products!$E$2:$E$101,MATCH(D435,Products!$A$2:$A$101,0))</f>
        <v>850</v>
      </c>
      <c r="J435" s="20" t="n">
        <f aca="false">Orders!F435</f>
        <v>0.1</v>
      </c>
      <c r="K435" s="6" t="n">
        <f aca="false">G435*H435</f>
        <v>1499</v>
      </c>
      <c r="L435" s="6" t="n">
        <f aca="false">K435*J435</f>
        <v>149.9</v>
      </c>
      <c r="M435" s="6" t="n">
        <f aca="false">K435-L435</f>
        <v>1349.1</v>
      </c>
      <c r="N435" s="6" t="n">
        <f aca="false">G435*I435</f>
        <v>850</v>
      </c>
      <c r="O435" s="6" t="n">
        <f aca="false">M435-N435</f>
        <v>499.1</v>
      </c>
      <c r="P435" s="21" t="n">
        <f aca="false">IFERROR(O435/M435,0)</f>
        <v>0.369950337261878</v>
      </c>
      <c r="Q435" s="6" t="str">
        <f aca="false">Orders!H435</f>
        <v>Delivered</v>
      </c>
      <c r="R435" s="1" t="str">
        <f aca="false">INDEX(Customers!$C$2:$C$301,MATCH(C435,Customers!$A$2:$A$301,0))</f>
        <v>Chandigarh</v>
      </c>
      <c r="S435" s="1" t="str">
        <f aca="false">INDEX(Customers!$E$2:$E$301,MATCH(C435,Customers!$A$2:$A$301,0))</f>
        <v>New</v>
      </c>
      <c r="T435" s="6" t="str">
        <f aca="false">Orders!I435</f>
        <v>Mobile App</v>
      </c>
      <c r="U435" s="1" t="str">
        <f aca="false">IF(Q435="Delivered","Completed",IF(Q435="Cancelled","Cancelled",IF(Q435="Returned","Returned","In Progress")))</f>
        <v>Completed</v>
      </c>
      <c r="V435" s="1" t="str">
        <f aca="false">IF(M435&gt;=10000,"High Value",IF(M435&gt;=5000,"Medium Value","Low Value"))</f>
        <v>Low Value</v>
      </c>
      <c r="W435" s="1" t="str">
        <f aca="false">IF(O435&gt;0,"Profitable",IF(O435=0,"Break-even","Loss"))</f>
        <v>Profitable</v>
      </c>
      <c r="X435" s="1" t="str">
        <f aca="false">IF(Q435="Cancelled","Not Applicable",IF(Q435="Processing","Pending",IF(B435="","Unknown",IF(Orders!J435="","Unknown",IF(Orders!J435&lt;=3,"Fast",IF(Orders!J435&lt;=6,"Standard","Slow"))))))</f>
        <v>Slow</v>
      </c>
      <c r="Y435" s="1" t="n">
        <f aca="false">IF(OR(Q435="Cancelled",Q435="Returned"),0,O435)</f>
        <v>499.1</v>
      </c>
    </row>
    <row r="436" customFormat="false" ht="15" hidden="false" customHeight="false" outlineLevel="0" collapsed="false">
      <c r="A436" s="6" t="str">
        <f aca="false">Orders!A436</f>
        <v>O000435</v>
      </c>
      <c r="B436" s="19" t="n">
        <f aca="false">Orders!B436</f>
        <v>45849</v>
      </c>
      <c r="C436" s="6" t="str">
        <f aca="false">Orders!C436</f>
        <v>C0016</v>
      </c>
      <c r="D436" s="6" t="str">
        <f aca="false">Orders!D436</f>
        <v>P1025</v>
      </c>
      <c r="E436" s="6" t="str">
        <f aca="false">INDEX(Products!$B$2:$B$101,MATCH(D436,Products!$A$2:$A$101,0))</f>
        <v>Hoodie</v>
      </c>
      <c r="F436" s="1" t="str">
        <f aca="false">INDEX(Products!$C$2:$C$101,MATCH(D436,Products!$A$2:$A$101,0))</f>
        <v>Fashion</v>
      </c>
      <c r="G436" s="6" t="n">
        <f aca="false">Orders!E436</f>
        <v>2</v>
      </c>
      <c r="H436" s="16" t="n">
        <f aca="false">INDEX(Products!$D$2:$D$101,MATCH(D436,Products!$A$2:$A$101,0))</f>
        <v>1399</v>
      </c>
      <c r="I436" s="16" t="n">
        <f aca="false">INDEX(Products!$E$2:$E$101,MATCH(D436,Products!$A$2:$A$101,0))</f>
        <v>720</v>
      </c>
      <c r="J436" s="20" t="n">
        <f aca="false">Orders!F436</f>
        <v>0.1</v>
      </c>
      <c r="K436" s="6" t="n">
        <f aca="false">G436*H436</f>
        <v>2798</v>
      </c>
      <c r="L436" s="6" t="n">
        <f aca="false">K436*J436</f>
        <v>279.8</v>
      </c>
      <c r="M436" s="6" t="n">
        <f aca="false">K436-L436</f>
        <v>2518.2</v>
      </c>
      <c r="N436" s="6" t="n">
        <f aca="false">G436*I436</f>
        <v>1440</v>
      </c>
      <c r="O436" s="6" t="n">
        <f aca="false">M436-N436</f>
        <v>1078.2</v>
      </c>
      <c r="P436" s="21" t="n">
        <f aca="false">IFERROR(O436/M436,0)</f>
        <v>0.428162973552537</v>
      </c>
      <c r="Q436" s="6" t="str">
        <f aca="false">Orders!H436</f>
        <v>Delivered</v>
      </c>
      <c r="R436" s="1" t="str">
        <f aca="false">INDEX(Customers!$C$2:$C$301,MATCH(C436,Customers!$A$2:$A$301,0))</f>
        <v>Chandigarh</v>
      </c>
      <c r="S436" s="1" t="str">
        <f aca="false">INDEX(Customers!$E$2:$E$301,MATCH(C436,Customers!$A$2:$A$301,0))</f>
        <v>New</v>
      </c>
      <c r="T436" s="6" t="str">
        <f aca="false">Orders!I436</f>
        <v>Website</v>
      </c>
      <c r="U436" s="1" t="str">
        <f aca="false">IF(Q436="Delivered","Completed",IF(Q436="Cancelled","Cancelled",IF(Q436="Returned","Returned","In Progress")))</f>
        <v>Completed</v>
      </c>
      <c r="V436" s="1" t="str">
        <f aca="false">IF(M436&gt;=10000,"High Value",IF(M436&gt;=5000,"Medium Value","Low Value"))</f>
        <v>Low Value</v>
      </c>
      <c r="W436" s="1" t="str">
        <f aca="false">IF(O436&gt;0,"Profitable",IF(O436=0,"Break-even","Loss"))</f>
        <v>Profitable</v>
      </c>
      <c r="X436" s="1" t="str">
        <f aca="false">IF(Q436="Cancelled","Not Applicable",IF(Q436="Processing","Pending",IF(B436="","Unknown",IF(Orders!J436="","Unknown",IF(Orders!J436&lt;=3,"Fast",IF(Orders!J436&lt;=6,"Standard","Slow"))))))</f>
        <v>Slow</v>
      </c>
      <c r="Y436" s="1" t="n">
        <f aca="false">IF(OR(Q436="Cancelled",Q436="Returned"),0,O436)</f>
        <v>1078.2</v>
      </c>
    </row>
    <row r="437" customFormat="false" ht="15" hidden="false" customHeight="false" outlineLevel="0" collapsed="false">
      <c r="A437" s="6" t="str">
        <f aca="false">Orders!A437</f>
        <v>O000436</v>
      </c>
      <c r="B437" s="19" t="n">
        <f aca="false">Orders!B437</f>
        <v>45726</v>
      </c>
      <c r="C437" s="6" t="str">
        <f aca="false">Orders!C437</f>
        <v>C0186</v>
      </c>
      <c r="D437" s="6" t="str">
        <f aca="false">Orders!D437</f>
        <v>P1026</v>
      </c>
      <c r="E437" s="6" t="str">
        <f aca="false">INDEX(Products!$B$2:$B$101,MATCH(D437,Products!$A$2:$A$101,0))</f>
        <v>Sunglasses</v>
      </c>
      <c r="F437" s="1" t="str">
        <f aca="false">INDEX(Products!$C$2:$C$101,MATCH(D437,Products!$A$2:$A$101,0))</f>
        <v>Fashion</v>
      </c>
      <c r="G437" s="6" t="n">
        <f aca="false">Orders!E437</f>
        <v>4</v>
      </c>
      <c r="H437" s="16" t="n">
        <f aca="false">INDEX(Products!$D$2:$D$101,MATCH(D437,Products!$A$2:$A$101,0))</f>
        <v>799</v>
      </c>
      <c r="I437" s="16" t="n">
        <f aca="false">INDEX(Products!$E$2:$E$101,MATCH(D437,Products!$A$2:$A$101,0))</f>
        <v>300</v>
      </c>
      <c r="J437" s="20" t="n">
        <f aca="false">Orders!F437</f>
        <v>0.05</v>
      </c>
      <c r="K437" s="6" t="n">
        <f aca="false">G437*H437</f>
        <v>3196</v>
      </c>
      <c r="L437" s="6" t="n">
        <f aca="false">K437*J437</f>
        <v>159.8</v>
      </c>
      <c r="M437" s="6" t="n">
        <f aca="false">K437-L437</f>
        <v>3036.2</v>
      </c>
      <c r="N437" s="6" t="n">
        <f aca="false">G437*I437</f>
        <v>1200</v>
      </c>
      <c r="O437" s="6" t="n">
        <f aca="false">M437-N437</f>
        <v>1836.2</v>
      </c>
      <c r="P437" s="21" t="n">
        <f aca="false">IFERROR(O437/M437,0)</f>
        <v>0.604769119293854</v>
      </c>
      <c r="Q437" s="6" t="str">
        <f aca="false">Orders!H437</f>
        <v>Delivered</v>
      </c>
      <c r="R437" s="1" t="str">
        <f aca="false">INDEX(Customers!$C$2:$C$301,MATCH(C437,Customers!$A$2:$A$301,0))</f>
        <v>Kolkata</v>
      </c>
      <c r="S437" s="1" t="str">
        <f aca="false">INDEX(Customers!$E$2:$E$301,MATCH(C437,Customers!$A$2:$A$301,0))</f>
        <v>New</v>
      </c>
      <c r="T437" s="6" t="str">
        <f aca="false">Orders!I437</f>
        <v>Mobile App</v>
      </c>
      <c r="U437" s="1" t="str">
        <f aca="false">IF(Q437="Delivered","Completed",IF(Q437="Cancelled","Cancelled",IF(Q437="Returned","Returned","In Progress")))</f>
        <v>Completed</v>
      </c>
      <c r="V437" s="1" t="str">
        <f aca="false">IF(M437&gt;=10000,"High Value",IF(M437&gt;=5000,"Medium Value","Low Value"))</f>
        <v>Low Value</v>
      </c>
      <c r="W437" s="1" t="str">
        <f aca="false">IF(O437&gt;0,"Profitable",IF(O437=0,"Break-even","Loss"))</f>
        <v>Profitable</v>
      </c>
      <c r="X437" s="1" t="str">
        <f aca="false">IF(Q437="Cancelled","Not Applicable",IF(Q437="Processing","Pending",IF(B437="","Unknown",IF(Orders!J437="","Unknown",IF(Orders!J437&lt;=3,"Fast",IF(Orders!J437&lt;=6,"Standard","Slow"))))))</f>
        <v>Slow</v>
      </c>
      <c r="Y437" s="1" t="n">
        <f aca="false">IF(OR(Q437="Cancelled",Q437="Returned"),0,O437)</f>
        <v>1836.2</v>
      </c>
    </row>
    <row r="438" customFormat="false" ht="15" hidden="false" customHeight="false" outlineLevel="0" collapsed="false">
      <c r="A438" s="6" t="str">
        <f aca="false">Orders!A438</f>
        <v>O000437</v>
      </c>
      <c r="B438" s="19" t="n">
        <f aca="false">Orders!B438</f>
        <v>45735</v>
      </c>
      <c r="C438" s="6" t="str">
        <f aca="false">Orders!C438</f>
        <v>C0205</v>
      </c>
      <c r="D438" s="6" t="str">
        <f aca="false">Orders!D438</f>
        <v>P1068</v>
      </c>
      <c r="E438" s="6" t="str">
        <f aca="false">INDEX(Products!$B$2:$B$101,MATCH(D438,Products!$A$2:$A$101,0))</f>
        <v>Cycling Bottle</v>
      </c>
      <c r="F438" s="1" t="str">
        <f aca="false">INDEX(Products!$C$2:$C$101,MATCH(D438,Products!$A$2:$A$101,0))</f>
        <v>Sports &amp; Outdoors</v>
      </c>
      <c r="G438" s="6" t="n">
        <f aca="false">Orders!E438</f>
        <v>1</v>
      </c>
      <c r="H438" s="16" t="n">
        <f aca="false">INDEX(Products!$D$2:$D$101,MATCH(D438,Products!$A$2:$A$101,0))</f>
        <v>349</v>
      </c>
      <c r="I438" s="16" t="n">
        <f aca="false">INDEX(Products!$E$2:$E$101,MATCH(D438,Products!$A$2:$A$101,0))</f>
        <v>120</v>
      </c>
      <c r="J438" s="20" t="n">
        <f aca="false">Orders!F438</f>
        <v>0.15</v>
      </c>
      <c r="K438" s="6" t="n">
        <f aca="false">G438*H438</f>
        <v>349</v>
      </c>
      <c r="L438" s="6" t="n">
        <f aca="false">K438*J438</f>
        <v>52.35</v>
      </c>
      <c r="M438" s="6" t="n">
        <f aca="false">K438-L438</f>
        <v>296.65</v>
      </c>
      <c r="N438" s="6" t="n">
        <f aca="false">G438*I438</f>
        <v>120</v>
      </c>
      <c r="O438" s="6" t="n">
        <f aca="false">M438-N438</f>
        <v>176.65</v>
      </c>
      <c r="P438" s="21" t="n">
        <f aca="false">IFERROR(O438/M438,0)</f>
        <v>0.59548289229732</v>
      </c>
      <c r="Q438" s="6" t="str">
        <f aca="false">Orders!H438</f>
        <v>Delivered</v>
      </c>
      <c r="R438" s="1" t="str">
        <f aca="false">INDEX(Customers!$C$2:$C$301,MATCH(C438,Customers!$A$2:$A$301,0))</f>
        <v>Chennai</v>
      </c>
      <c r="S438" s="1" t="str">
        <f aca="false">INDEX(Customers!$E$2:$E$301,MATCH(C438,Customers!$A$2:$A$301,0))</f>
        <v>Returning</v>
      </c>
      <c r="T438" s="6" t="str">
        <f aca="false">Orders!I438</f>
        <v>Mobile App</v>
      </c>
      <c r="U438" s="1" t="str">
        <f aca="false">IF(Q438="Delivered","Completed",IF(Q438="Cancelled","Cancelled",IF(Q438="Returned","Returned","In Progress")))</f>
        <v>Completed</v>
      </c>
      <c r="V438" s="1" t="str">
        <f aca="false">IF(M438&gt;=10000,"High Value",IF(M438&gt;=5000,"Medium Value","Low Value"))</f>
        <v>Low Value</v>
      </c>
      <c r="W438" s="1" t="str">
        <f aca="false">IF(O438&gt;0,"Profitable",IF(O438=0,"Break-even","Loss"))</f>
        <v>Profitable</v>
      </c>
      <c r="X438" s="1" t="str">
        <f aca="false">IF(Q438="Cancelled","Not Applicable",IF(Q438="Processing","Pending",IF(B438="","Unknown",IF(Orders!J438="","Unknown",IF(Orders!J438&lt;=3,"Fast",IF(Orders!J438&lt;=6,"Standard","Slow"))))))</f>
        <v>Slow</v>
      </c>
      <c r="Y438" s="1" t="n">
        <f aca="false">IF(OR(Q438="Cancelled",Q438="Returned"),0,O438)</f>
        <v>176.65</v>
      </c>
    </row>
    <row r="439" customFormat="false" ht="15" hidden="false" customHeight="false" outlineLevel="0" collapsed="false">
      <c r="A439" s="6" t="str">
        <f aca="false">Orders!A439</f>
        <v>O000438</v>
      </c>
      <c r="B439" s="19" t="n">
        <f aca="false">Orders!B439</f>
        <v>45946</v>
      </c>
      <c r="C439" s="6" t="str">
        <f aca="false">Orders!C439</f>
        <v>C0022</v>
      </c>
      <c r="D439" s="6" t="str">
        <f aca="false">Orders!D439</f>
        <v>P1059</v>
      </c>
      <c r="E439" s="6" t="str">
        <f aca="false">INDEX(Products!$B$2:$B$101,MATCH(D439,Products!$A$2:$A$101,0))</f>
        <v>Bath Gift Set</v>
      </c>
      <c r="F439" s="1" t="str">
        <f aca="false">INDEX(Products!$C$2:$C$101,MATCH(D439,Products!$A$2:$A$101,0))</f>
        <v>Beauty</v>
      </c>
      <c r="G439" s="6" t="n">
        <f aca="false">Orders!E439</f>
        <v>1</v>
      </c>
      <c r="H439" s="16" t="n">
        <f aca="false">INDEX(Products!$D$2:$D$101,MATCH(D439,Products!$A$2:$A$101,0))</f>
        <v>699</v>
      </c>
      <c r="I439" s="16" t="n">
        <f aca="false">INDEX(Products!$E$2:$E$101,MATCH(D439,Products!$A$2:$A$101,0))</f>
        <v>350</v>
      </c>
      <c r="J439" s="20" t="n">
        <f aca="false">Orders!F439</f>
        <v>0.15</v>
      </c>
      <c r="K439" s="6" t="n">
        <f aca="false">G439*H439</f>
        <v>699</v>
      </c>
      <c r="L439" s="6" t="n">
        <f aca="false">K439*J439</f>
        <v>104.85</v>
      </c>
      <c r="M439" s="6" t="n">
        <f aca="false">K439-L439</f>
        <v>594.15</v>
      </c>
      <c r="N439" s="6" t="n">
        <f aca="false">G439*I439</f>
        <v>350</v>
      </c>
      <c r="O439" s="6" t="n">
        <f aca="false">M439-N439</f>
        <v>244.15</v>
      </c>
      <c r="P439" s="21" t="n">
        <f aca="false">IFERROR(O439/M439,0)</f>
        <v>0.410923167550282</v>
      </c>
      <c r="Q439" s="6" t="str">
        <f aca="false">Orders!H439</f>
        <v>Delivered</v>
      </c>
      <c r="R439" s="1" t="str">
        <f aca="false">INDEX(Customers!$C$2:$C$301,MATCH(C439,Customers!$A$2:$A$301,0))</f>
        <v>Mumbai</v>
      </c>
      <c r="S439" s="1" t="str">
        <f aca="false">INDEX(Customers!$E$2:$E$301,MATCH(C439,Customers!$A$2:$A$301,0))</f>
        <v>Returning</v>
      </c>
      <c r="T439" s="6" t="str">
        <f aca="false">Orders!I439</f>
        <v>Mobile App</v>
      </c>
      <c r="U439" s="1" t="str">
        <f aca="false">IF(Q439="Delivered","Completed",IF(Q439="Cancelled","Cancelled",IF(Q439="Returned","Returned","In Progress")))</f>
        <v>Completed</v>
      </c>
      <c r="V439" s="1" t="str">
        <f aca="false">IF(M439&gt;=10000,"High Value",IF(M439&gt;=5000,"Medium Value","Low Value"))</f>
        <v>Low Value</v>
      </c>
      <c r="W439" s="1" t="str">
        <f aca="false">IF(O439&gt;0,"Profitable",IF(O439=0,"Break-even","Loss"))</f>
        <v>Profitable</v>
      </c>
      <c r="X439" s="1" t="str">
        <f aca="false">IF(Q439="Cancelled","Not Applicable",IF(Q439="Processing","Pending",IF(B439="","Unknown",IF(Orders!J439="","Unknown",IF(Orders!J439&lt;=3,"Fast",IF(Orders!J439&lt;=6,"Standard","Slow"))))))</f>
        <v>Standard</v>
      </c>
      <c r="Y439" s="1" t="n">
        <f aca="false">IF(OR(Q439="Cancelled",Q439="Returned"),0,O439)</f>
        <v>244.15</v>
      </c>
    </row>
    <row r="440" customFormat="false" ht="15" hidden="false" customHeight="false" outlineLevel="0" collapsed="false">
      <c r="A440" s="6" t="str">
        <f aca="false">Orders!A440</f>
        <v>O000439</v>
      </c>
      <c r="B440" s="19" t="n">
        <f aca="false">Orders!B440</f>
        <v>46006</v>
      </c>
      <c r="C440" s="6" t="str">
        <f aca="false">Orders!C440</f>
        <v>C0020</v>
      </c>
      <c r="D440" s="6" t="str">
        <f aca="false">Orders!D440</f>
        <v>P1037</v>
      </c>
      <c r="E440" s="6" t="str">
        <f aca="false">INDEX(Products!$B$2:$B$101,MATCH(D440,Products!$A$2:$A$101,0))</f>
        <v>Pillow Pair</v>
      </c>
      <c r="F440" s="1" t="str">
        <f aca="false">INDEX(Products!$C$2:$C$101,MATCH(D440,Products!$A$2:$A$101,0))</f>
        <v>Home &amp; Kitchen</v>
      </c>
      <c r="G440" s="6" t="n">
        <f aca="false">Orders!E440</f>
        <v>2</v>
      </c>
      <c r="H440" s="16" t="n">
        <f aca="false">INDEX(Products!$D$2:$D$101,MATCH(D440,Products!$A$2:$A$101,0))</f>
        <v>799</v>
      </c>
      <c r="I440" s="16" t="n">
        <f aca="false">INDEX(Products!$E$2:$E$101,MATCH(D440,Products!$A$2:$A$101,0))</f>
        <v>350</v>
      </c>
      <c r="J440" s="20" t="n">
        <f aca="false">Orders!F440</f>
        <v>0</v>
      </c>
      <c r="K440" s="6" t="n">
        <f aca="false">G440*H440</f>
        <v>1598</v>
      </c>
      <c r="L440" s="6" t="n">
        <f aca="false">K440*J440</f>
        <v>0</v>
      </c>
      <c r="M440" s="6" t="n">
        <f aca="false">K440-L440</f>
        <v>1598</v>
      </c>
      <c r="N440" s="6" t="n">
        <f aca="false">G440*I440</f>
        <v>700</v>
      </c>
      <c r="O440" s="6" t="n">
        <f aca="false">M440-N440</f>
        <v>898</v>
      </c>
      <c r="P440" s="21" t="n">
        <f aca="false">IFERROR(O440/M440,0)</f>
        <v>0.561952440550688</v>
      </c>
      <c r="Q440" s="6" t="str">
        <f aca="false">Orders!H440</f>
        <v>Delivered</v>
      </c>
      <c r="R440" s="1" t="str">
        <f aca="false">INDEX(Customers!$C$2:$C$301,MATCH(C440,Customers!$A$2:$A$301,0))</f>
        <v>Visakhapatnam</v>
      </c>
      <c r="S440" s="1" t="str">
        <f aca="false">INDEX(Customers!$E$2:$E$301,MATCH(C440,Customers!$A$2:$A$301,0))</f>
        <v>Returning</v>
      </c>
      <c r="T440" s="6" t="str">
        <f aca="false">Orders!I440</f>
        <v>Website</v>
      </c>
      <c r="U440" s="1" t="str">
        <f aca="false">IF(Q440="Delivered","Completed",IF(Q440="Cancelled","Cancelled",IF(Q440="Returned","Returned","In Progress")))</f>
        <v>Completed</v>
      </c>
      <c r="V440" s="1" t="str">
        <f aca="false">IF(M440&gt;=10000,"High Value",IF(M440&gt;=5000,"Medium Value","Low Value"))</f>
        <v>Low Value</v>
      </c>
      <c r="W440" s="1" t="str">
        <f aca="false">IF(O440&gt;0,"Profitable",IF(O440=0,"Break-even","Loss"))</f>
        <v>Profitable</v>
      </c>
      <c r="X440" s="1" t="str">
        <f aca="false">IF(Q440="Cancelled","Not Applicable",IF(Q440="Processing","Pending",IF(B440="","Unknown",IF(Orders!J440="","Unknown",IF(Orders!J440&lt;=3,"Fast",IF(Orders!J440&lt;=6,"Standard","Slow"))))))</f>
        <v>Fast</v>
      </c>
      <c r="Y440" s="1" t="n">
        <f aca="false">IF(OR(Q440="Cancelled",Q440="Returned"),0,O440)</f>
        <v>898</v>
      </c>
    </row>
    <row r="441" customFormat="false" ht="15" hidden="false" customHeight="false" outlineLevel="0" collapsed="false">
      <c r="A441" s="6" t="str">
        <f aca="false">Orders!A441</f>
        <v>O000440</v>
      </c>
      <c r="B441" s="19" t="n">
        <f aca="false">Orders!B441</f>
        <v>45663</v>
      </c>
      <c r="C441" s="6" t="str">
        <f aca="false">Orders!C441</f>
        <v>C0032</v>
      </c>
      <c r="D441" s="6" t="str">
        <f aca="false">Orders!D441</f>
        <v>P1039</v>
      </c>
      <c r="E441" s="6" t="str">
        <f aca="false">INDEX(Products!$B$2:$B$101,MATCH(D441,Products!$A$2:$A$101,0))</f>
        <v>Wall Clock</v>
      </c>
      <c r="F441" s="1" t="str">
        <f aca="false">INDEX(Products!$C$2:$C$101,MATCH(D441,Products!$A$2:$A$101,0))</f>
        <v>Home &amp; Kitchen</v>
      </c>
      <c r="G441" s="6" t="n">
        <f aca="false">Orders!E441</f>
        <v>4</v>
      </c>
      <c r="H441" s="16" t="n">
        <f aca="false">INDEX(Products!$D$2:$D$101,MATCH(D441,Products!$A$2:$A$101,0))</f>
        <v>699</v>
      </c>
      <c r="I441" s="16" t="n">
        <f aca="false">INDEX(Products!$E$2:$E$101,MATCH(D441,Products!$A$2:$A$101,0))</f>
        <v>300</v>
      </c>
      <c r="J441" s="20" t="n">
        <f aca="false">Orders!F441</f>
        <v>0.05</v>
      </c>
      <c r="K441" s="6" t="n">
        <f aca="false">G441*H441</f>
        <v>2796</v>
      </c>
      <c r="L441" s="6" t="n">
        <f aca="false">K441*J441</f>
        <v>139.8</v>
      </c>
      <c r="M441" s="6" t="n">
        <f aca="false">K441-L441</f>
        <v>2656.2</v>
      </c>
      <c r="N441" s="6" t="n">
        <f aca="false">G441*I441</f>
        <v>1200</v>
      </c>
      <c r="O441" s="6" t="n">
        <f aca="false">M441-N441</f>
        <v>1456.2</v>
      </c>
      <c r="P441" s="21" t="n">
        <f aca="false">IFERROR(O441/M441,0)</f>
        <v>0.548226790151344</v>
      </c>
      <c r="Q441" s="6" t="str">
        <f aca="false">Orders!H441</f>
        <v>Shipped</v>
      </c>
      <c r="R441" s="1" t="str">
        <f aca="false">INDEX(Customers!$C$2:$C$301,MATCH(C441,Customers!$A$2:$A$301,0))</f>
        <v>Noida</v>
      </c>
      <c r="S441" s="1" t="str">
        <f aca="false">INDEX(Customers!$E$2:$E$301,MATCH(C441,Customers!$A$2:$A$301,0))</f>
        <v>Returning</v>
      </c>
      <c r="T441" s="6" t="str">
        <f aca="false">Orders!I441</f>
        <v>Website</v>
      </c>
      <c r="U441" s="1" t="str">
        <f aca="false">IF(Q441="Delivered","Completed",IF(Q441="Cancelled","Cancelled",IF(Q441="Returned","Returned","In Progress")))</f>
        <v>In Progress</v>
      </c>
      <c r="V441" s="1" t="str">
        <f aca="false">IF(M441&gt;=10000,"High Value",IF(M441&gt;=5000,"Medium Value","Low Value"))</f>
        <v>Low Value</v>
      </c>
      <c r="W441" s="1" t="str">
        <f aca="false">IF(O441&gt;0,"Profitable",IF(O441=0,"Break-even","Loss"))</f>
        <v>Profitable</v>
      </c>
      <c r="X441" s="1" t="str">
        <f aca="false">IF(Q441="Cancelled","Not Applicable",IF(Q441="Processing","Pending",IF(B441="","Unknown",IF(Orders!J441="","Unknown",IF(Orders!J441&lt;=3,"Fast",IF(Orders!J441&lt;=6,"Standard","Slow"))))))</f>
        <v>Slow</v>
      </c>
      <c r="Y441" s="1" t="n">
        <f aca="false">IF(OR(Q441="Cancelled",Q441="Returned"),0,O441)</f>
        <v>1456.2</v>
      </c>
    </row>
    <row r="442" customFormat="false" ht="15" hidden="false" customHeight="false" outlineLevel="0" collapsed="false">
      <c r="A442" s="6" t="str">
        <f aca="false">Orders!A442</f>
        <v>O000441</v>
      </c>
      <c r="B442" s="19" t="n">
        <f aca="false">Orders!B442</f>
        <v>45920</v>
      </c>
      <c r="C442" s="6" t="str">
        <f aca="false">Orders!C442</f>
        <v>C0300</v>
      </c>
      <c r="D442" s="6" t="str">
        <f aca="false">Orders!D442</f>
        <v>P1034</v>
      </c>
      <c r="E442" s="6" t="str">
        <f aca="false">INDEX(Products!$B$2:$B$101,MATCH(D442,Products!$A$2:$A$101,0))</f>
        <v>Table Lamp</v>
      </c>
      <c r="F442" s="1" t="str">
        <f aca="false">INDEX(Products!$C$2:$C$101,MATCH(D442,Products!$A$2:$A$101,0))</f>
        <v>Home &amp; Kitchen</v>
      </c>
      <c r="G442" s="6" t="n">
        <f aca="false">Orders!E442</f>
        <v>2</v>
      </c>
      <c r="H442" s="16" t="n">
        <f aca="false">INDEX(Products!$D$2:$D$101,MATCH(D442,Products!$A$2:$A$101,0))</f>
        <v>899</v>
      </c>
      <c r="I442" s="16" t="n">
        <f aca="false">INDEX(Products!$E$2:$E$101,MATCH(D442,Products!$A$2:$A$101,0))</f>
        <v>420</v>
      </c>
      <c r="J442" s="20" t="n">
        <f aca="false">Orders!F442</f>
        <v>0.05</v>
      </c>
      <c r="K442" s="6" t="n">
        <f aca="false">G442*H442</f>
        <v>1798</v>
      </c>
      <c r="L442" s="6" t="n">
        <f aca="false">K442*J442</f>
        <v>89.9</v>
      </c>
      <c r="M442" s="6" t="n">
        <f aca="false">K442-L442</f>
        <v>1708.1</v>
      </c>
      <c r="N442" s="6" t="n">
        <f aca="false">G442*I442</f>
        <v>840</v>
      </c>
      <c r="O442" s="6" t="n">
        <f aca="false">M442-N442</f>
        <v>868.1</v>
      </c>
      <c r="P442" s="21" t="n">
        <f aca="false">IFERROR(O442/M442,0)</f>
        <v>0.508225513728704</v>
      </c>
      <c r="Q442" s="6" t="str">
        <f aca="false">Orders!H442</f>
        <v>Shipped</v>
      </c>
      <c r="R442" s="1" t="str">
        <f aca="false">INDEX(Customers!$C$2:$C$301,MATCH(C442,Customers!$A$2:$A$301,0))</f>
        <v>Visakhapatnam</v>
      </c>
      <c r="S442" s="1" t="str">
        <f aca="false">INDEX(Customers!$E$2:$E$301,MATCH(C442,Customers!$A$2:$A$301,0))</f>
        <v>Returning</v>
      </c>
      <c r="T442" s="6" t="str">
        <f aca="false">Orders!I442</f>
        <v>Mobile App</v>
      </c>
      <c r="U442" s="1" t="str">
        <f aca="false">IF(Q442="Delivered","Completed",IF(Q442="Cancelled","Cancelled",IF(Q442="Returned","Returned","In Progress")))</f>
        <v>In Progress</v>
      </c>
      <c r="V442" s="1" t="str">
        <f aca="false">IF(M442&gt;=10000,"High Value",IF(M442&gt;=5000,"Medium Value","Low Value"))</f>
        <v>Low Value</v>
      </c>
      <c r="W442" s="1" t="str">
        <f aca="false">IF(O442&gt;0,"Profitable",IF(O442=0,"Break-even","Loss"))</f>
        <v>Profitable</v>
      </c>
      <c r="X442" s="1" t="str">
        <f aca="false">IF(Q442="Cancelled","Not Applicable",IF(Q442="Processing","Pending",IF(B442="","Unknown",IF(Orders!J442="","Unknown",IF(Orders!J442&lt;=3,"Fast",IF(Orders!J442&lt;=6,"Standard","Slow"))))))</f>
        <v>Fast</v>
      </c>
      <c r="Y442" s="1" t="n">
        <f aca="false">IF(OR(Q442="Cancelled",Q442="Returned"),0,O442)</f>
        <v>868.1</v>
      </c>
    </row>
    <row r="443" customFormat="false" ht="15" hidden="false" customHeight="false" outlineLevel="0" collapsed="false">
      <c r="A443" s="6" t="str">
        <f aca="false">Orders!A443</f>
        <v>O000442</v>
      </c>
      <c r="B443" s="19" t="n">
        <f aca="false">Orders!B443</f>
        <v>45873</v>
      </c>
      <c r="C443" s="6" t="str">
        <f aca="false">Orders!C443</f>
        <v>C0154</v>
      </c>
      <c r="D443" s="6" t="str">
        <f aca="false">Orders!D443</f>
        <v>P1018</v>
      </c>
      <c r="E443" s="6" t="str">
        <f aca="false">INDEX(Products!$B$2:$B$101,MATCH(D443,Products!$A$2:$A$101,0))</f>
        <v>Cotton Shirt</v>
      </c>
      <c r="F443" s="1" t="str">
        <f aca="false">INDEX(Products!$C$2:$C$101,MATCH(D443,Products!$A$2:$A$101,0))</f>
        <v>Fashion</v>
      </c>
      <c r="G443" s="6" t="n">
        <f aca="false">Orders!E443</f>
        <v>4</v>
      </c>
      <c r="H443" s="16" t="n">
        <f aca="false">INDEX(Products!$D$2:$D$101,MATCH(D443,Products!$A$2:$A$101,0))</f>
        <v>899</v>
      </c>
      <c r="I443" s="16" t="n">
        <f aca="false">INDEX(Products!$E$2:$E$101,MATCH(D443,Products!$A$2:$A$101,0))</f>
        <v>420</v>
      </c>
      <c r="J443" s="20" t="n">
        <f aca="false">Orders!F443</f>
        <v>0.15</v>
      </c>
      <c r="K443" s="6" t="n">
        <f aca="false">G443*H443</f>
        <v>3596</v>
      </c>
      <c r="L443" s="6" t="n">
        <f aca="false">K443*J443</f>
        <v>539.4</v>
      </c>
      <c r="M443" s="6" t="n">
        <f aca="false">K443-L443</f>
        <v>3056.6</v>
      </c>
      <c r="N443" s="6" t="n">
        <f aca="false">G443*I443</f>
        <v>1680</v>
      </c>
      <c r="O443" s="6" t="n">
        <f aca="false">M443-N443</f>
        <v>1376.6</v>
      </c>
      <c r="P443" s="21" t="n">
        <f aca="false">IFERROR(O443/M443,0)</f>
        <v>0.450369691814434</v>
      </c>
      <c r="Q443" s="6" t="str">
        <f aca="false">Orders!H443</f>
        <v>Delivered</v>
      </c>
      <c r="R443" s="1" t="str">
        <f aca="false">INDEX(Customers!$C$2:$C$301,MATCH(C443,Customers!$A$2:$A$301,0))</f>
        <v>Indore</v>
      </c>
      <c r="S443" s="1" t="str">
        <f aca="false">INDEX(Customers!$E$2:$E$301,MATCH(C443,Customers!$A$2:$A$301,0))</f>
        <v>Returning</v>
      </c>
      <c r="T443" s="6" t="str">
        <f aca="false">Orders!I443</f>
        <v>Marketplace</v>
      </c>
      <c r="U443" s="1" t="str">
        <f aca="false">IF(Q443="Delivered","Completed",IF(Q443="Cancelled","Cancelled",IF(Q443="Returned","Returned","In Progress")))</f>
        <v>Completed</v>
      </c>
      <c r="V443" s="1" t="str">
        <f aca="false">IF(M443&gt;=10000,"High Value",IF(M443&gt;=5000,"Medium Value","Low Value"))</f>
        <v>Low Value</v>
      </c>
      <c r="W443" s="1" t="str">
        <f aca="false">IF(O443&gt;0,"Profitable",IF(O443=0,"Break-even","Loss"))</f>
        <v>Profitable</v>
      </c>
      <c r="X443" s="1" t="str">
        <f aca="false">IF(Q443="Cancelled","Not Applicable",IF(Q443="Processing","Pending",IF(B443="","Unknown",IF(Orders!J443="","Unknown",IF(Orders!J443&lt;=3,"Fast",IF(Orders!J443&lt;=6,"Standard","Slow"))))))</f>
        <v>Standard</v>
      </c>
      <c r="Y443" s="1" t="n">
        <f aca="false">IF(OR(Q443="Cancelled",Q443="Returned"),0,O443)</f>
        <v>1376.6</v>
      </c>
    </row>
    <row r="444" customFormat="false" ht="15" hidden="false" customHeight="false" outlineLevel="0" collapsed="false">
      <c r="A444" s="6" t="str">
        <f aca="false">Orders!A444</f>
        <v>O000443</v>
      </c>
      <c r="B444" s="19" t="n">
        <f aca="false">Orders!B444</f>
        <v>45927</v>
      </c>
      <c r="C444" s="6" t="str">
        <f aca="false">Orders!C444</f>
        <v>C0085</v>
      </c>
      <c r="D444" s="6" t="str">
        <f aca="false">Orders!D444</f>
        <v>P1066</v>
      </c>
      <c r="E444" s="6" t="str">
        <f aca="false">INDEX(Products!$B$2:$B$101,MATCH(D444,Products!$A$2:$A$101,0))</f>
        <v>Gym Gloves</v>
      </c>
      <c r="F444" s="1" t="str">
        <f aca="false">INDEX(Products!$C$2:$C$101,MATCH(D444,Products!$A$2:$A$101,0))</f>
        <v>Sports &amp; Outdoors</v>
      </c>
      <c r="G444" s="6" t="n">
        <f aca="false">Orders!E444</f>
        <v>3</v>
      </c>
      <c r="H444" s="16" t="n">
        <f aca="false">INDEX(Products!$D$2:$D$101,MATCH(D444,Products!$A$2:$A$101,0))</f>
        <v>499</v>
      </c>
      <c r="I444" s="16" t="n">
        <f aca="false">INDEX(Products!$E$2:$E$101,MATCH(D444,Products!$A$2:$A$101,0))</f>
        <v>200</v>
      </c>
      <c r="J444" s="20" t="n">
        <f aca="false">Orders!F444</f>
        <v>0.15</v>
      </c>
      <c r="K444" s="6" t="n">
        <f aca="false">G444*H444</f>
        <v>1497</v>
      </c>
      <c r="L444" s="6" t="n">
        <f aca="false">K444*J444</f>
        <v>224.55</v>
      </c>
      <c r="M444" s="6" t="n">
        <f aca="false">K444-L444</f>
        <v>1272.45</v>
      </c>
      <c r="N444" s="6" t="n">
        <f aca="false">G444*I444</f>
        <v>600</v>
      </c>
      <c r="O444" s="6" t="n">
        <f aca="false">M444-N444</f>
        <v>672.45</v>
      </c>
      <c r="P444" s="21" t="n">
        <f aca="false">IFERROR(O444/M444,0)</f>
        <v>0.528468702110103</v>
      </c>
      <c r="Q444" s="6" t="str">
        <f aca="false">Orders!H444</f>
        <v>Delivered</v>
      </c>
      <c r="R444" s="1" t="str">
        <f aca="false">INDEX(Customers!$C$2:$C$301,MATCH(C444,Customers!$A$2:$A$301,0))</f>
        <v>Chennai</v>
      </c>
      <c r="S444" s="1" t="str">
        <f aca="false">INDEX(Customers!$E$2:$E$301,MATCH(C444,Customers!$A$2:$A$301,0))</f>
        <v>VIP</v>
      </c>
      <c r="T444" s="6" t="str">
        <f aca="false">Orders!I444</f>
        <v>Mobile App</v>
      </c>
      <c r="U444" s="1" t="str">
        <f aca="false">IF(Q444="Delivered","Completed",IF(Q444="Cancelled","Cancelled",IF(Q444="Returned","Returned","In Progress")))</f>
        <v>Completed</v>
      </c>
      <c r="V444" s="1" t="str">
        <f aca="false">IF(M444&gt;=10000,"High Value",IF(M444&gt;=5000,"Medium Value","Low Value"))</f>
        <v>Low Value</v>
      </c>
      <c r="W444" s="1" t="str">
        <f aca="false">IF(O444&gt;0,"Profitable",IF(O444=0,"Break-even","Loss"))</f>
        <v>Profitable</v>
      </c>
      <c r="X444" s="1" t="str">
        <f aca="false">IF(Q444="Cancelled","Not Applicable",IF(Q444="Processing","Pending",IF(B444="","Unknown",IF(Orders!J444="","Unknown",IF(Orders!J444&lt;=3,"Fast",IF(Orders!J444&lt;=6,"Standard","Slow"))))))</f>
        <v>Slow</v>
      </c>
      <c r="Y444" s="1" t="n">
        <f aca="false">IF(OR(Q444="Cancelled",Q444="Returned"),0,O444)</f>
        <v>672.45</v>
      </c>
    </row>
    <row r="445" customFormat="false" ht="15" hidden="false" customHeight="false" outlineLevel="0" collapsed="false">
      <c r="A445" s="6" t="str">
        <f aca="false">Orders!A445</f>
        <v>O000444</v>
      </c>
      <c r="B445" s="19" t="n">
        <f aca="false">Orders!B445</f>
        <v>45859</v>
      </c>
      <c r="C445" s="6" t="str">
        <f aca="false">Orders!C445</f>
        <v>C0053</v>
      </c>
      <c r="D445" s="6" t="str">
        <f aca="false">Orders!D445</f>
        <v>P1066</v>
      </c>
      <c r="E445" s="6" t="str">
        <f aca="false">INDEX(Products!$B$2:$B$101,MATCH(D445,Products!$A$2:$A$101,0))</f>
        <v>Gym Gloves</v>
      </c>
      <c r="F445" s="1" t="str">
        <f aca="false">INDEX(Products!$C$2:$C$101,MATCH(D445,Products!$A$2:$A$101,0))</f>
        <v>Sports &amp; Outdoors</v>
      </c>
      <c r="G445" s="6" t="n">
        <f aca="false">Orders!E445</f>
        <v>2</v>
      </c>
      <c r="H445" s="16" t="n">
        <f aca="false">INDEX(Products!$D$2:$D$101,MATCH(D445,Products!$A$2:$A$101,0))</f>
        <v>499</v>
      </c>
      <c r="I445" s="16" t="n">
        <f aca="false">INDEX(Products!$E$2:$E$101,MATCH(D445,Products!$A$2:$A$101,0))</f>
        <v>200</v>
      </c>
      <c r="J445" s="20" t="n">
        <f aca="false">Orders!F445</f>
        <v>0.1</v>
      </c>
      <c r="K445" s="6" t="n">
        <f aca="false">G445*H445</f>
        <v>998</v>
      </c>
      <c r="L445" s="6" t="n">
        <f aca="false">K445*J445</f>
        <v>99.8</v>
      </c>
      <c r="M445" s="6" t="n">
        <f aca="false">K445-L445</f>
        <v>898.2</v>
      </c>
      <c r="N445" s="6" t="n">
        <f aca="false">G445*I445</f>
        <v>400</v>
      </c>
      <c r="O445" s="6" t="n">
        <f aca="false">M445-N445</f>
        <v>498.2</v>
      </c>
      <c r="P445" s="21" t="n">
        <f aca="false">IFERROR(O445/M445,0)</f>
        <v>0.554664885326208</v>
      </c>
      <c r="Q445" s="6" t="str">
        <f aca="false">Orders!H445</f>
        <v>Delivered</v>
      </c>
      <c r="R445" s="1" t="str">
        <f aca="false">INDEX(Customers!$C$2:$C$301,MATCH(C445,Customers!$A$2:$A$301,0))</f>
        <v>Kochi</v>
      </c>
      <c r="S445" s="1" t="str">
        <f aca="false">INDEX(Customers!$E$2:$E$301,MATCH(C445,Customers!$A$2:$A$301,0))</f>
        <v>Returning</v>
      </c>
      <c r="T445" s="6" t="str">
        <f aca="false">Orders!I445</f>
        <v>Mobile App</v>
      </c>
      <c r="U445" s="1" t="str">
        <f aca="false">IF(Q445="Delivered","Completed",IF(Q445="Cancelled","Cancelled",IF(Q445="Returned","Returned","In Progress")))</f>
        <v>Completed</v>
      </c>
      <c r="V445" s="1" t="str">
        <f aca="false">IF(M445&gt;=10000,"High Value",IF(M445&gt;=5000,"Medium Value","Low Value"))</f>
        <v>Low Value</v>
      </c>
      <c r="W445" s="1" t="str">
        <f aca="false">IF(O445&gt;0,"Profitable",IF(O445=0,"Break-even","Loss"))</f>
        <v>Profitable</v>
      </c>
      <c r="X445" s="1" t="str">
        <f aca="false">IF(Q445="Cancelled","Not Applicable",IF(Q445="Processing","Pending",IF(B445="","Unknown",IF(Orders!J445="","Unknown",IF(Orders!J445&lt;=3,"Fast",IF(Orders!J445&lt;=6,"Standard","Slow"))))))</f>
        <v>Standard</v>
      </c>
      <c r="Y445" s="1" t="n">
        <f aca="false">IF(OR(Q445="Cancelled",Q445="Returned"),0,O445)</f>
        <v>498.2</v>
      </c>
    </row>
    <row r="446" customFormat="false" ht="23.85" hidden="false" customHeight="false" outlineLevel="0" collapsed="false">
      <c r="A446" s="6" t="str">
        <f aca="false">Orders!A446</f>
        <v>O000445</v>
      </c>
      <c r="B446" s="19" t="n">
        <f aca="false">Orders!B446</f>
        <v>45998</v>
      </c>
      <c r="C446" s="6" t="str">
        <f aca="false">Orders!C446</f>
        <v>C0088</v>
      </c>
      <c r="D446" s="6" t="str">
        <f aca="false">Orders!D446</f>
        <v>P1047</v>
      </c>
      <c r="E446" s="6" t="str">
        <f aca="false">INDEX(Products!$B$2:$B$101,MATCH(D446,Products!$A$2:$A$101,0))</f>
        <v>Sunscreen Lotion</v>
      </c>
      <c r="F446" s="1" t="str">
        <f aca="false">INDEX(Products!$C$2:$C$101,MATCH(D446,Products!$A$2:$A$101,0))</f>
        <v>Beauty</v>
      </c>
      <c r="G446" s="6" t="n">
        <f aca="false">Orders!E446</f>
        <v>1</v>
      </c>
      <c r="H446" s="16" t="n">
        <f aca="false">INDEX(Products!$D$2:$D$101,MATCH(D446,Products!$A$2:$A$101,0))</f>
        <v>399</v>
      </c>
      <c r="I446" s="16" t="n">
        <f aca="false">INDEX(Products!$E$2:$E$101,MATCH(D446,Products!$A$2:$A$101,0))</f>
        <v>170</v>
      </c>
      <c r="J446" s="20" t="n">
        <f aca="false">Orders!F446</f>
        <v>0.15</v>
      </c>
      <c r="K446" s="6" t="n">
        <f aca="false">G446*H446</f>
        <v>399</v>
      </c>
      <c r="L446" s="6" t="n">
        <f aca="false">K446*J446</f>
        <v>59.85</v>
      </c>
      <c r="M446" s="6" t="n">
        <f aca="false">K446-L446</f>
        <v>339.15</v>
      </c>
      <c r="N446" s="6" t="n">
        <f aca="false">G446*I446</f>
        <v>170</v>
      </c>
      <c r="O446" s="6" t="n">
        <f aca="false">M446-N446</f>
        <v>169.15</v>
      </c>
      <c r="P446" s="21" t="n">
        <f aca="false">IFERROR(O446/M446,0)</f>
        <v>0.49874686716792</v>
      </c>
      <c r="Q446" s="6" t="str">
        <f aca="false">Orders!H446</f>
        <v>Delivered</v>
      </c>
      <c r="R446" s="1" t="str">
        <f aca="false">INDEX(Customers!$C$2:$C$301,MATCH(C446,Customers!$A$2:$A$301,0))</f>
        <v>Jaipur</v>
      </c>
      <c r="S446" s="1" t="str">
        <f aca="false">INDEX(Customers!$E$2:$E$301,MATCH(C446,Customers!$A$2:$A$301,0))</f>
        <v>Returning</v>
      </c>
      <c r="T446" s="6" t="str">
        <f aca="false">Orders!I446</f>
        <v>Website</v>
      </c>
      <c r="U446" s="1" t="str">
        <f aca="false">IF(Q446="Delivered","Completed",IF(Q446="Cancelled","Cancelled",IF(Q446="Returned","Returned","In Progress")))</f>
        <v>Completed</v>
      </c>
      <c r="V446" s="1" t="str">
        <f aca="false">IF(M446&gt;=10000,"High Value",IF(M446&gt;=5000,"Medium Value","Low Value"))</f>
        <v>Low Value</v>
      </c>
      <c r="W446" s="1" t="str">
        <f aca="false">IF(O446&gt;0,"Profitable",IF(O446=0,"Break-even","Loss"))</f>
        <v>Profitable</v>
      </c>
      <c r="X446" s="1" t="str">
        <f aca="false">IF(Q446="Cancelled","Not Applicable",IF(Q446="Processing","Pending",IF(B446="","Unknown",IF(Orders!J446="","Unknown",IF(Orders!J446&lt;=3,"Fast",IF(Orders!J446&lt;=6,"Standard","Slow"))))))</f>
        <v>Fast</v>
      </c>
      <c r="Y446" s="1" t="n">
        <f aca="false">IF(OR(Q446="Cancelled",Q446="Returned"),0,O446)</f>
        <v>169.15</v>
      </c>
    </row>
    <row r="447" customFormat="false" ht="15" hidden="false" customHeight="false" outlineLevel="0" collapsed="false">
      <c r="A447" s="6" t="str">
        <f aca="false">Orders!A447</f>
        <v>O000446</v>
      </c>
      <c r="B447" s="19" t="n">
        <f aca="false">Orders!B447</f>
        <v>45836</v>
      </c>
      <c r="C447" s="6" t="str">
        <f aca="false">Orders!C447</f>
        <v>C0082</v>
      </c>
      <c r="D447" s="6" t="str">
        <f aca="false">Orders!D447</f>
        <v>P1058</v>
      </c>
      <c r="E447" s="6" t="str">
        <f aca="false">INDEX(Products!$B$2:$B$101,MATCH(D447,Products!$A$2:$A$101,0))</f>
        <v>Nail Care Kit</v>
      </c>
      <c r="F447" s="1" t="str">
        <f aca="false">INDEX(Products!$C$2:$C$101,MATCH(D447,Products!$A$2:$A$101,0))</f>
        <v>Beauty</v>
      </c>
      <c r="G447" s="6" t="n">
        <f aca="false">Orders!E447</f>
        <v>4</v>
      </c>
      <c r="H447" s="16" t="n">
        <f aca="false">INDEX(Products!$D$2:$D$101,MATCH(D447,Products!$A$2:$A$101,0))</f>
        <v>399</v>
      </c>
      <c r="I447" s="16" t="n">
        <f aca="false">INDEX(Products!$E$2:$E$101,MATCH(D447,Products!$A$2:$A$101,0))</f>
        <v>170</v>
      </c>
      <c r="J447" s="20" t="n">
        <f aca="false">Orders!F447</f>
        <v>0.25</v>
      </c>
      <c r="K447" s="6" t="n">
        <f aca="false">G447*H447</f>
        <v>1596</v>
      </c>
      <c r="L447" s="6" t="n">
        <f aca="false">K447*J447</f>
        <v>399</v>
      </c>
      <c r="M447" s="6" t="n">
        <f aca="false">K447-L447</f>
        <v>1197</v>
      </c>
      <c r="N447" s="6" t="n">
        <f aca="false">G447*I447</f>
        <v>680</v>
      </c>
      <c r="O447" s="6" t="n">
        <f aca="false">M447-N447</f>
        <v>517</v>
      </c>
      <c r="P447" s="21" t="n">
        <f aca="false">IFERROR(O447/M447,0)</f>
        <v>0.431913116123642</v>
      </c>
      <c r="Q447" s="6" t="str">
        <f aca="false">Orders!H447</f>
        <v>Delivered</v>
      </c>
      <c r="R447" s="1" t="str">
        <f aca="false">INDEX(Customers!$C$2:$C$301,MATCH(C447,Customers!$A$2:$A$301,0))</f>
        <v>Mumbai</v>
      </c>
      <c r="S447" s="1" t="str">
        <f aca="false">INDEX(Customers!$E$2:$E$301,MATCH(C447,Customers!$A$2:$A$301,0))</f>
        <v>Returning</v>
      </c>
      <c r="T447" s="6" t="str">
        <f aca="false">Orders!I447</f>
        <v>Marketplace</v>
      </c>
      <c r="U447" s="1" t="str">
        <f aca="false">IF(Q447="Delivered","Completed",IF(Q447="Cancelled","Cancelled",IF(Q447="Returned","Returned","In Progress")))</f>
        <v>Completed</v>
      </c>
      <c r="V447" s="1" t="str">
        <f aca="false">IF(M447&gt;=10000,"High Value",IF(M447&gt;=5000,"Medium Value","Low Value"))</f>
        <v>Low Value</v>
      </c>
      <c r="W447" s="1" t="str">
        <f aca="false">IF(O447&gt;0,"Profitable",IF(O447=0,"Break-even","Loss"))</f>
        <v>Profitable</v>
      </c>
      <c r="X447" s="1" t="str">
        <f aca="false">IF(Q447="Cancelled","Not Applicable",IF(Q447="Processing","Pending",IF(B447="","Unknown",IF(Orders!J447="","Unknown",IF(Orders!J447&lt;=3,"Fast",IF(Orders!J447&lt;=6,"Standard","Slow"))))))</f>
        <v>Slow</v>
      </c>
      <c r="Y447" s="1" t="n">
        <f aca="false">IF(OR(Q447="Cancelled",Q447="Returned"),0,O447)</f>
        <v>517</v>
      </c>
    </row>
    <row r="448" customFormat="false" ht="15" hidden="false" customHeight="false" outlineLevel="0" collapsed="false">
      <c r="A448" s="6" t="str">
        <f aca="false">Orders!A448</f>
        <v>O000447</v>
      </c>
      <c r="B448" s="19" t="n">
        <f aca="false">Orders!B448</f>
        <v>45830</v>
      </c>
      <c r="C448" s="6" t="str">
        <f aca="false">Orders!C448</f>
        <v>C0123</v>
      </c>
      <c r="D448" s="6" t="str">
        <f aca="false">Orders!D448</f>
        <v>P1050</v>
      </c>
      <c r="E448" s="6" t="str">
        <f aca="false">INDEX(Products!$B$2:$B$101,MATCH(D448,Products!$A$2:$A$101,0))</f>
        <v>Hair Serum</v>
      </c>
      <c r="F448" s="1" t="str">
        <f aca="false">INDEX(Products!$C$2:$C$101,MATCH(D448,Products!$A$2:$A$101,0))</f>
        <v>Beauty</v>
      </c>
      <c r="G448" s="6" t="n">
        <f aca="false">Orders!E448</f>
        <v>2</v>
      </c>
      <c r="H448" s="16" t="n">
        <f aca="false">INDEX(Products!$D$2:$D$101,MATCH(D448,Products!$A$2:$A$101,0))</f>
        <v>449</v>
      </c>
      <c r="I448" s="16" t="n">
        <f aca="false">INDEX(Products!$E$2:$E$101,MATCH(D448,Products!$A$2:$A$101,0))</f>
        <v>190</v>
      </c>
      <c r="J448" s="20" t="n">
        <f aca="false">Orders!F448</f>
        <v>0.2</v>
      </c>
      <c r="K448" s="6" t="n">
        <f aca="false">G448*H448</f>
        <v>898</v>
      </c>
      <c r="L448" s="6" t="n">
        <f aca="false">K448*J448</f>
        <v>179.6</v>
      </c>
      <c r="M448" s="6" t="n">
        <f aca="false">K448-L448</f>
        <v>718.4</v>
      </c>
      <c r="N448" s="6" t="n">
        <f aca="false">G448*I448</f>
        <v>380</v>
      </c>
      <c r="O448" s="6" t="n">
        <f aca="false">M448-N448</f>
        <v>338.4</v>
      </c>
      <c r="P448" s="21" t="n">
        <f aca="false">IFERROR(O448/M448,0)</f>
        <v>0.471046770601336</v>
      </c>
      <c r="Q448" s="6" t="str">
        <f aca="false">Orders!H448</f>
        <v>Delivered</v>
      </c>
      <c r="R448" s="1" t="str">
        <f aca="false">INDEX(Customers!$C$2:$C$301,MATCH(C448,Customers!$A$2:$A$301,0))</f>
        <v>Bengaluru</v>
      </c>
      <c r="S448" s="1" t="str">
        <f aca="false">INDEX(Customers!$E$2:$E$301,MATCH(C448,Customers!$A$2:$A$301,0))</f>
        <v>Returning</v>
      </c>
      <c r="T448" s="6" t="str">
        <f aca="false">Orders!I448</f>
        <v>Mobile App</v>
      </c>
      <c r="U448" s="1" t="str">
        <f aca="false">IF(Q448="Delivered","Completed",IF(Q448="Cancelled","Cancelled",IF(Q448="Returned","Returned","In Progress")))</f>
        <v>Completed</v>
      </c>
      <c r="V448" s="1" t="str">
        <f aca="false">IF(M448&gt;=10000,"High Value",IF(M448&gt;=5000,"Medium Value","Low Value"))</f>
        <v>Low Value</v>
      </c>
      <c r="W448" s="1" t="str">
        <f aca="false">IF(O448&gt;0,"Profitable",IF(O448=0,"Break-even","Loss"))</f>
        <v>Profitable</v>
      </c>
      <c r="X448" s="1" t="str">
        <f aca="false">IF(Q448="Cancelled","Not Applicable",IF(Q448="Processing","Pending",IF(B448="","Unknown",IF(Orders!J448="","Unknown",IF(Orders!J448&lt;=3,"Fast",IF(Orders!J448&lt;=6,"Standard","Slow"))))))</f>
        <v>Standard</v>
      </c>
      <c r="Y448" s="1" t="n">
        <f aca="false">IF(OR(Q448="Cancelled",Q448="Returned"),0,O448)</f>
        <v>338.4</v>
      </c>
    </row>
    <row r="449" customFormat="false" ht="15" hidden="false" customHeight="false" outlineLevel="0" collapsed="false">
      <c r="A449" s="6" t="str">
        <f aca="false">Orders!A449</f>
        <v>O000448</v>
      </c>
      <c r="B449" s="19" t="n">
        <f aca="false">Orders!B449</f>
        <v>45897</v>
      </c>
      <c r="C449" s="6" t="str">
        <f aca="false">Orders!C449</f>
        <v>C0177</v>
      </c>
      <c r="D449" s="6" t="str">
        <f aca="false">Orders!D449</f>
        <v>P1062</v>
      </c>
      <c r="E449" s="6" t="str">
        <f aca="false">INDEX(Products!$B$2:$B$101,MATCH(D449,Products!$A$2:$A$101,0))</f>
        <v>Skipping Rope</v>
      </c>
      <c r="F449" s="1" t="str">
        <f aca="false">INDEX(Products!$C$2:$C$101,MATCH(D449,Products!$A$2:$A$101,0))</f>
        <v>Sports &amp; Outdoors</v>
      </c>
      <c r="G449" s="6" t="n">
        <f aca="false">Orders!E449</f>
        <v>1</v>
      </c>
      <c r="H449" s="16" t="n">
        <f aca="false">INDEX(Products!$D$2:$D$101,MATCH(D449,Products!$A$2:$A$101,0))</f>
        <v>249</v>
      </c>
      <c r="I449" s="16" t="n">
        <f aca="false">INDEX(Products!$E$2:$E$101,MATCH(D449,Products!$A$2:$A$101,0))</f>
        <v>80</v>
      </c>
      <c r="J449" s="20" t="n">
        <f aca="false">Orders!F449</f>
        <v>0.05</v>
      </c>
      <c r="K449" s="6" t="n">
        <f aca="false">G449*H449</f>
        <v>249</v>
      </c>
      <c r="L449" s="6" t="n">
        <f aca="false">K449*J449</f>
        <v>12.45</v>
      </c>
      <c r="M449" s="6" t="n">
        <f aca="false">K449-L449</f>
        <v>236.55</v>
      </c>
      <c r="N449" s="6" t="n">
        <f aca="false">G449*I449</f>
        <v>80</v>
      </c>
      <c r="O449" s="6" t="n">
        <f aca="false">M449-N449</f>
        <v>156.55</v>
      </c>
      <c r="P449" s="21" t="n">
        <f aca="false">IFERROR(O449/M449,0)</f>
        <v>0.661805115197633</v>
      </c>
      <c r="Q449" s="6" t="str">
        <f aca="false">Orders!H449</f>
        <v>Delivered</v>
      </c>
      <c r="R449" s="1" t="str">
        <f aca="false">INDEX(Customers!$C$2:$C$301,MATCH(C449,Customers!$A$2:$A$301,0))</f>
        <v>Surat</v>
      </c>
      <c r="S449" s="1" t="str">
        <f aca="false">INDEX(Customers!$E$2:$E$301,MATCH(C449,Customers!$A$2:$A$301,0))</f>
        <v>New</v>
      </c>
      <c r="T449" s="6" t="str">
        <f aca="false">Orders!I449</f>
        <v>Website</v>
      </c>
      <c r="U449" s="1" t="str">
        <f aca="false">IF(Q449="Delivered","Completed",IF(Q449="Cancelled","Cancelled",IF(Q449="Returned","Returned","In Progress")))</f>
        <v>Completed</v>
      </c>
      <c r="V449" s="1" t="str">
        <f aca="false">IF(M449&gt;=10000,"High Value",IF(M449&gt;=5000,"Medium Value","Low Value"))</f>
        <v>Low Value</v>
      </c>
      <c r="W449" s="1" t="str">
        <f aca="false">IF(O449&gt;0,"Profitable",IF(O449=0,"Break-even","Loss"))</f>
        <v>Profitable</v>
      </c>
      <c r="X449" s="1" t="str">
        <f aca="false">IF(Q449="Cancelled","Not Applicable",IF(Q449="Processing","Pending",IF(B449="","Unknown",IF(Orders!J449="","Unknown",IF(Orders!J449&lt;=3,"Fast",IF(Orders!J449&lt;=6,"Standard","Slow"))))))</f>
        <v>Standard</v>
      </c>
      <c r="Y449" s="1" t="n">
        <f aca="false">IF(OR(Q449="Cancelled",Q449="Returned"),0,O449)</f>
        <v>156.55</v>
      </c>
    </row>
    <row r="450" customFormat="false" ht="15" hidden="false" customHeight="false" outlineLevel="0" collapsed="false">
      <c r="A450" s="6" t="str">
        <f aca="false">Orders!A450</f>
        <v>O000449</v>
      </c>
      <c r="B450" s="19" t="n">
        <f aca="false">Orders!B450</f>
        <v>45765</v>
      </c>
      <c r="C450" s="6" t="str">
        <f aca="false">Orders!C450</f>
        <v>C0029</v>
      </c>
      <c r="D450" s="6" t="str">
        <f aca="false">Orders!D450</f>
        <v>P1034</v>
      </c>
      <c r="E450" s="6" t="str">
        <f aca="false">INDEX(Products!$B$2:$B$101,MATCH(D450,Products!$A$2:$A$101,0))</f>
        <v>Table Lamp</v>
      </c>
      <c r="F450" s="1" t="str">
        <f aca="false">INDEX(Products!$C$2:$C$101,MATCH(D450,Products!$A$2:$A$101,0))</f>
        <v>Home &amp; Kitchen</v>
      </c>
      <c r="G450" s="6" t="n">
        <f aca="false">Orders!E450</f>
        <v>2</v>
      </c>
      <c r="H450" s="16" t="n">
        <f aca="false">INDEX(Products!$D$2:$D$101,MATCH(D450,Products!$A$2:$A$101,0))</f>
        <v>899</v>
      </c>
      <c r="I450" s="16" t="n">
        <f aca="false">INDEX(Products!$E$2:$E$101,MATCH(D450,Products!$A$2:$A$101,0))</f>
        <v>420</v>
      </c>
      <c r="J450" s="20" t="n">
        <f aca="false">Orders!F450</f>
        <v>0.1</v>
      </c>
      <c r="K450" s="6" t="n">
        <f aca="false">G450*H450</f>
        <v>1798</v>
      </c>
      <c r="L450" s="6" t="n">
        <f aca="false">K450*J450</f>
        <v>179.8</v>
      </c>
      <c r="M450" s="6" t="n">
        <f aca="false">K450-L450</f>
        <v>1618.2</v>
      </c>
      <c r="N450" s="6" t="n">
        <f aca="false">G450*I450</f>
        <v>840</v>
      </c>
      <c r="O450" s="6" t="n">
        <f aca="false">M450-N450</f>
        <v>778.2</v>
      </c>
      <c r="P450" s="21" t="n">
        <f aca="false">IFERROR(O450/M450,0)</f>
        <v>0.480904708935855</v>
      </c>
      <c r="Q450" s="6" t="str">
        <f aca="false">Orders!H450</f>
        <v>Delivered</v>
      </c>
      <c r="R450" s="1" t="str">
        <f aca="false">INDEX(Customers!$C$2:$C$301,MATCH(C450,Customers!$A$2:$A$301,0))</f>
        <v>Ahmedabad</v>
      </c>
      <c r="S450" s="1" t="str">
        <f aca="false">INDEX(Customers!$E$2:$E$301,MATCH(C450,Customers!$A$2:$A$301,0))</f>
        <v>Returning</v>
      </c>
      <c r="T450" s="6" t="str">
        <f aca="false">Orders!I450</f>
        <v>Marketplace</v>
      </c>
      <c r="U450" s="1" t="str">
        <f aca="false">IF(Q450="Delivered","Completed",IF(Q450="Cancelled","Cancelled",IF(Q450="Returned","Returned","In Progress")))</f>
        <v>Completed</v>
      </c>
      <c r="V450" s="1" t="str">
        <f aca="false">IF(M450&gt;=10000,"High Value",IF(M450&gt;=5000,"Medium Value","Low Value"))</f>
        <v>Low Value</v>
      </c>
      <c r="W450" s="1" t="str">
        <f aca="false">IF(O450&gt;0,"Profitable",IF(O450=0,"Break-even","Loss"))</f>
        <v>Profitable</v>
      </c>
      <c r="X450" s="1" t="str">
        <f aca="false">IF(Q450="Cancelled","Not Applicable",IF(Q450="Processing","Pending",IF(B450="","Unknown",IF(Orders!J450="","Unknown",IF(Orders!J450&lt;=3,"Fast",IF(Orders!J450&lt;=6,"Standard","Slow"))))))</f>
        <v>Fast</v>
      </c>
      <c r="Y450" s="1" t="n">
        <f aca="false">IF(OR(Q450="Cancelled",Q450="Returned"),0,O450)</f>
        <v>778.2</v>
      </c>
    </row>
    <row r="451" customFormat="false" ht="15" hidden="false" customHeight="false" outlineLevel="0" collapsed="false">
      <c r="A451" s="6" t="str">
        <f aca="false">Orders!A451</f>
        <v>O000450</v>
      </c>
      <c r="B451" s="19" t="n">
        <f aca="false">Orders!B451</f>
        <v>45922</v>
      </c>
      <c r="C451" s="6" t="str">
        <f aca="false">Orders!C451</f>
        <v>C0159</v>
      </c>
      <c r="D451" s="6" t="str">
        <f aca="false">Orders!D451</f>
        <v>P1027</v>
      </c>
      <c r="E451" s="6" t="str">
        <f aca="false">INDEX(Products!$B$2:$B$101,MATCH(D451,Products!$A$2:$A$101,0))</f>
        <v>Belt</v>
      </c>
      <c r="F451" s="1" t="str">
        <f aca="false">INDEX(Products!$C$2:$C$101,MATCH(D451,Products!$A$2:$A$101,0))</f>
        <v>Fashion</v>
      </c>
      <c r="G451" s="6" t="n">
        <f aca="false">Orders!E451</f>
        <v>2</v>
      </c>
      <c r="H451" s="16" t="n">
        <f aca="false">INDEX(Products!$D$2:$D$101,MATCH(D451,Products!$A$2:$A$101,0))</f>
        <v>399</v>
      </c>
      <c r="I451" s="16" t="n">
        <f aca="false">INDEX(Products!$E$2:$E$101,MATCH(D451,Products!$A$2:$A$101,0))</f>
        <v>160</v>
      </c>
      <c r="J451" s="20" t="n">
        <f aca="false">Orders!F451</f>
        <v>0.1</v>
      </c>
      <c r="K451" s="6" t="n">
        <f aca="false">G451*H451</f>
        <v>798</v>
      </c>
      <c r="L451" s="6" t="n">
        <f aca="false">K451*J451</f>
        <v>79.8</v>
      </c>
      <c r="M451" s="6" t="n">
        <f aca="false">K451-L451</f>
        <v>718.2</v>
      </c>
      <c r="N451" s="6" t="n">
        <f aca="false">G451*I451</f>
        <v>320</v>
      </c>
      <c r="O451" s="6" t="n">
        <f aca="false">M451-N451</f>
        <v>398.2</v>
      </c>
      <c r="P451" s="21" t="n">
        <f aca="false">IFERROR(O451/M451,0)</f>
        <v>0.554441659704818</v>
      </c>
      <c r="Q451" s="6" t="str">
        <f aca="false">Orders!H451</f>
        <v>Shipped</v>
      </c>
      <c r="R451" s="1" t="str">
        <f aca="false">INDEX(Customers!$C$2:$C$301,MATCH(C451,Customers!$A$2:$A$301,0))</f>
        <v>Coimbatore</v>
      </c>
      <c r="S451" s="1" t="str">
        <f aca="false">INDEX(Customers!$E$2:$E$301,MATCH(C451,Customers!$A$2:$A$301,0))</f>
        <v>New</v>
      </c>
      <c r="T451" s="6" t="str">
        <f aca="false">Orders!I451</f>
        <v>Mobile App</v>
      </c>
      <c r="U451" s="1" t="str">
        <f aca="false">IF(Q451="Delivered","Completed",IF(Q451="Cancelled","Cancelled",IF(Q451="Returned","Returned","In Progress")))</f>
        <v>In Progress</v>
      </c>
      <c r="V451" s="1" t="str">
        <f aca="false">IF(M451&gt;=10000,"High Value",IF(M451&gt;=5000,"Medium Value","Low Value"))</f>
        <v>Low Value</v>
      </c>
      <c r="W451" s="1" t="str">
        <f aca="false">IF(O451&gt;0,"Profitable",IF(O451=0,"Break-even","Loss"))</f>
        <v>Profitable</v>
      </c>
      <c r="X451" s="1" t="str">
        <f aca="false">IF(Q451="Cancelled","Not Applicable",IF(Q451="Processing","Pending",IF(B451="","Unknown",IF(Orders!J451="","Unknown",IF(Orders!J451&lt;=3,"Fast",IF(Orders!J451&lt;=6,"Standard","Slow"))))))</f>
        <v>Fast</v>
      </c>
      <c r="Y451" s="1" t="n">
        <f aca="false">IF(OR(Q451="Cancelled",Q451="Returned"),0,O451)</f>
        <v>398.2</v>
      </c>
    </row>
    <row r="452" customFormat="false" ht="15" hidden="false" customHeight="false" outlineLevel="0" collapsed="false">
      <c r="A452" s="6" t="str">
        <f aca="false">Orders!A452</f>
        <v>O000451</v>
      </c>
      <c r="B452" s="19" t="n">
        <f aca="false">Orders!B452</f>
        <v>45722</v>
      </c>
      <c r="C452" s="6" t="str">
        <f aca="false">Orders!C452</f>
        <v>C0180</v>
      </c>
      <c r="D452" s="6" t="str">
        <f aca="false">Orders!D452</f>
        <v>P1005</v>
      </c>
      <c r="E452" s="6" t="str">
        <f aca="false">INDEX(Products!$B$2:$B$101,MATCH(D452,Products!$A$2:$A$101,0))</f>
        <v>Power Bank</v>
      </c>
      <c r="F452" s="1" t="str">
        <f aca="false">INDEX(Products!$C$2:$C$101,MATCH(D452,Products!$A$2:$A$101,0))</f>
        <v>Electronics</v>
      </c>
      <c r="G452" s="6" t="n">
        <f aca="false">Orders!E452</f>
        <v>1</v>
      </c>
      <c r="H452" s="16" t="n">
        <f aca="false">INDEX(Products!$D$2:$D$101,MATCH(D452,Products!$A$2:$A$101,0))</f>
        <v>1199</v>
      </c>
      <c r="I452" s="16" t="n">
        <f aca="false">INDEX(Products!$E$2:$E$101,MATCH(D452,Products!$A$2:$A$101,0))</f>
        <v>650</v>
      </c>
      <c r="J452" s="20" t="n">
        <f aca="false">Orders!F452</f>
        <v>0</v>
      </c>
      <c r="K452" s="6" t="n">
        <f aca="false">G452*H452</f>
        <v>1199</v>
      </c>
      <c r="L452" s="6" t="n">
        <f aca="false">K452*J452</f>
        <v>0</v>
      </c>
      <c r="M452" s="6" t="n">
        <f aca="false">K452-L452</f>
        <v>1199</v>
      </c>
      <c r="N452" s="6" t="n">
        <f aca="false">G452*I452</f>
        <v>650</v>
      </c>
      <c r="O452" s="6" t="n">
        <f aca="false">M452-N452</f>
        <v>549</v>
      </c>
      <c r="P452" s="21" t="n">
        <f aca="false">IFERROR(O452/M452,0)</f>
        <v>0.457881567973311</v>
      </c>
      <c r="Q452" s="6" t="str">
        <f aca="false">Orders!H452</f>
        <v>Cancelled</v>
      </c>
      <c r="R452" s="1" t="str">
        <f aca="false">INDEX(Customers!$C$2:$C$301,MATCH(C452,Customers!$A$2:$A$301,0))</f>
        <v>Visakhapatnam</v>
      </c>
      <c r="S452" s="1" t="str">
        <f aca="false">INDEX(Customers!$E$2:$E$301,MATCH(C452,Customers!$A$2:$A$301,0))</f>
        <v>New</v>
      </c>
      <c r="T452" s="6" t="str">
        <f aca="false">Orders!I452</f>
        <v>Marketplace</v>
      </c>
      <c r="U452" s="1" t="str">
        <f aca="false">IF(Q452="Delivered","Completed",IF(Q452="Cancelled","Cancelled",IF(Q452="Returned","Returned","In Progress")))</f>
        <v>Cancelled</v>
      </c>
      <c r="V452" s="1" t="str">
        <f aca="false">IF(M452&gt;=10000,"High Value",IF(M452&gt;=5000,"Medium Value","Low Value"))</f>
        <v>Low Value</v>
      </c>
      <c r="W452" s="1" t="str">
        <f aca="false">IF(O452&gt;0,"Profitable",IF(O452=0,"Break-even","Loss"))</f>
        <v>Profitable</v>
      </c>
      <c r="X452" s="1" t="str">
        <f aca="false">IF(Q452="Cancelled","Not Applicable",IF(Q452="Processing","Pending",IF(B452="","Unknown",IF(Orders!J452="","Unknown",IF(Orders!J452&lt;=3,"Fast",IF(Orders!J452&lt;=6,"Standard","Slow"))))))</f>
        <v>Not Applicable</v>
      </c>
      <c r="Y452" s="1" t="n">
        <f aca="false">IF(OR(Q452="Cancelled",Q452="Returned"),0,O452)</f>
        <v>0</v>
      </c>
    </row>
    <row r="453" customFormat="false" ht="15" hidden="false" customHeight="false" outlineLevel="0" collapsed="false">
      <c r="A453" s="6" t="str">
        <f aca="false">Orders!A453</f>
        <v>O000452</v>
      </c>
      <c r="B453" s="19" t="n">
        <f aca="false">Orders!B453</f>
        <v>45843</v>
      </c>
      <c r="C453" s="6" t="str">
        <f aca="false">Orders!C453</f>
        <v>C0125</v>
      </c>
      <c r="D453" s="6" t="str">
        <f aca="false">Orders!D453</f>
        <v>P1098</v>
      </c>
      <c r="E453" s="6" t="str">
        <f aca="false">INDEX(Products!$B$2:$B$101,MATCH(D453,Products!$A$2:$A$101,0))</f>
        <v>Steam Iron</v>
      </c>
      <c r="F453" s="1" t="str">
        <f aca="false">INDEX(Products!$C$2:$C$101,MATCH(D453,Products!$A$2:$A$101,0))</f>
        <v>Appliances</v>
      </c>
      <c r="G453" s="6" t="n">
        <f aca="false">Orders!E453</f>
        <v>1</v>
      </c>
      <c r="H453" s="16" t="n">
        <f aca="false">INDEX(Products!$D$2:$D$101,MATCH(D453,Products!$A$2:$A$101,0))</f>
        <v>999</v>
      </c>
      <c r="I453" s="16" t="n">
        <f aca="false">INDEX(Products!$E$2:$E$101,MATCH(D453,Products!$A$2:$A$101,0))</f>
        <v>550</v>
      </c>
      <c r="J453" s="20" t="n">
        <f aca="false">Orders!F453</f>
        <v>0.15</v>
      </c>
      <c r="K453" s="6" t="n">
        <f aca="false">G453*H453</f>
        <v>999</v>
      </c>
      <c r="L453" s="6" t="n">
        <f aca="false">K453*J453</f>
        <v>149.85</v>
      </c>
      <c r="M453" s="6" t="n">
        <f aca="false">K453-L453</f>
        <v>849.15</v>
      </c>
      <c r="N453" s="6" t="n">
        <f aca="false">G453*I453</f>
        <v>550</v>
      </c>
      <c r="O453" s="6" t="n">
        <f aca="false">M453-N453</f>
        <v>299.15</v>
      </c>
      <c r="P453" s="21" t="n">
        <f aca="false">IFERROR(O453/M453,0)</f>
        <v>0.352293469940529</v>
      </c>
      <c r="Q453" s="6" t="str">
        <f aca="false">Orders!H453</f>
        <v>Delivered</v>
      </c>
      <c r="R453" s="1" t="str">
        <f aca="false">INDEX(Customers!$C$2:$C$301,MATCH(C453,Customers!$A$2:$A$301,0))</f>
        <v>Chennai</v>
      </c>
      <c r="S453" s="1" t="str">
        <f aca="false">INDEX(Customers!$E$2:$E$301,MATCH(C453,Customers!$A$2:$A$301,0))</f>
        <v>Returning</v>
      </c>
      <c r="T453" s="6" t="str">
        <f aca="false">Orders!I453</f>
        <v>Mobile App</v>
      </c>
      <c r="U453" s="1" t="str">
        <f aca="false">IF(Q453="Delivered","Completed",IF(Q453="Cancelled","Cancelled",IF(Q453="Returned","Returned","In Progress")))</f>
        <v>Completed</v>
      </c>
      <c r="V453" s="1" t="str">
        <f aca="false">IF(M453&gt;=10000,"High Value",IF(M453&gt;=5000,"Medium Value","Low Value"))</f>
        <v>Low Value</v>
      </c>
      <c r="W453" s="1" t="str">
        <f aca="false">IF(O453&gt;0,"Profitable",IF(O453=0,"Break-even","Loss"))</f>
        <v>Profitable</v>
      </c>
      <c r="X453" s="1" t="str">
        <f aca="false">IF(Q453="Cancelled","Not Applicable",IF(Q453="Processing","Pending",IF(B453="","Unknown",IF(Orders!J453="","Unknown",IF(Orders!J453&lt;=3,"Fast",IF(Orders!J453&lt;=6,"Standard","Slow"))))))</f>
        <v>Slow</v>
      </c>
      <c r="Y453" s="1" t="n">
        <f aca="false">IF(OR(Q453="Cancelled",Q453="Returned"),0,O453)</f>
        <v>299.15</v>
      </c>
    </row>
    <row r="454" customFormat="false" ht="15" hidden="false" customHeight="false" outlineLevel="0" collapsed="false">
      <c r="A454" s="6" t="str">
        <f aca="false">Orders!A454</f>
        <v>O000453</v>
      </c>
      <c r="B454" s="19" t="n">
        <f aca="false">Orders!B454</f>
        <v>45678</v>
      </c>
      <c r="C454" s="6" t="str">
        <f aca="false">Orders!C454</f>
        <v>C0122</v>
      </c>
      <c r="D454" s="6" t="str">
        <f aca="false">Orders!D454</f>
        <v>P1036</v>
      </c>
      <c r="E454" s="6" t="str">
        <f aca="false">INDEX(Products!$B$2:$B$101,MATCH(D454,Products!$A$2:$A$101,0))</f>
        <v>Dinner Set</v>
      </c>
      <c r="F454" s="1" t="str">
        <f aca="false">INDEX(Products!$C$2:$C$101,MATCH(D454,Products!$A$2:$A$101,0))</f>
        <v>Home &amp; Kitchen</v>
      </c>
      <c r="G454" s="6" t="n">
        <f aca="false">Orders!E454</f>
        <v>2</v>
      </c>
      <c r="H454" s="16" t="n">
        <f aca="false">INDEX(Products!$D$2:$D$101,MATCH(D454,Products!$A$2:$A$101,0))</f>
        <v>1499</v>
      </c>
      <c r="I454" s="16" t="n">
        <f aca="false">INDEX(Products!$E$2:$E$101,MATCH(D454,Products!$A$2:$A$101,0))</f>
        <v>800</v>
      </c>
      <c r="J454" s="20" t="n">
        <f aca="false">Orders!F454</f>
        <v>0.05</v>
      </c>
      <c r="K454" s="6" t="n">
        <f aca="false">G454*H454</f>
        <v>2998</v>
      </c>
      <c r="L454" s="6" t="n">
        <f aca="false">K454*J454</f>
        <v>149.9</v>
      </c>
      <c r="M454" s="6" t="n">
        <f aca="false">K454-L454</f>
        <v>2848.1</v>
      </c>
      <c r="N454" s="6" t="n">
        <f aca="false">G454*I454</f>
        <v>1600</v>
      </c>
      <c r="O454" s="6" t="n">
        <f aca="false">M454-N454</f>
        <v>1248.1</v>
      </c>
      <c r="P454" s="21" t="n">
        <f aca="false">IFERROR(O454/M454,0)</f>
        <v>0.438221972543099</v>
      </c>
      <c r="Q454" s="6" t="str">
        <f aca="false">Orders!H454</f>
        <v>Delivered</v>
      </c>
      <c r="R454" s="1" t="str">
        <f aca="false">INDEX(Customers!$C$2:$C$301,MATCH(C454,Customers!$A$2:$A$301,0))</f>
        <v>Mumbai</v>
      </c>
      <c r="S454" s="1" t="str">
        <f aca="false">INDEX(Customers!$E$2:$E$301,MATCH(C454,Customers!$A$2:$A$301,0))</f>
        <v>New</v>
      </c>
      <c r="T454" s="6" t="str">
        <f aca="false">Orders!I454</f>
        <v>Mobile App</v>
      </c>
      <c r="U454" s="1" t="str">
        <f aca="false">IF(Q454="Delivered","Completed",IF(Q454="Cancelled","Cancelled",IF(Q454="Returned","Returned","In Progress")))</f>
        <v>Completed</v>
      </c>
      <c r="V454" s="1" t="str">
        <f aca="false">IF(M454&gt;=10000,"High Value",IF(M454&gt;=5000,"Medium Value","Low Value"))</f>
        <v>Low Value</v>
      </c>
      <c r="W454" s="1" t="str">
        <f aca="false">IF(O454&gt;0,"Profitable",IF(O454=0,"Break-even","Loss"))</f>
        <v>Profitable</v>
      </c>
      <c r="X454" s="1" t="str">
        <f aca="false">IF(Q454="Cancelled","Not Applicable",IF(Q454="Processing","Pending",IF(B454="","Unknown",IF(Orders!J454="","Unknown",IF(Orders!J454&lt;=3,"Fast",IF(Orders!J454&lt;=6,"Standard","Slow"))))))</f>
        <v>Slow</v>
      </c>
      <c r="Y454" s="1" t="n">
        <f aca="false">IF(OR(Q454="Cancelled",Q454="Returned"),0,O454)</f>
        <v>1248.1</v>
      </c>
    </row>
    <row r="455" customFormat="false" ht="23.85" hidden="false" customHeight="false" outlineLevel="0" collapsed="false">
      <c r="A455" s="6" t="str">
        <f aca="false">Orders!A455</f>
        <v>O000454</v>
      </c>
      <c r="B455" s="19" t="n">
        <f aca="false">Orders!B455</f>
        <v>45928</v>
      </c>
      <c r="C455" s="6" t="str">
        <f aca="false">Orders!C455</f>
        <v>C0264</v>
      </c>
      <c r="D455" s="6" t="str">
        <f aca="false">Orders!D455</f>
        <v>P1061</v>
      </c>
      <c r="E455" s="6" t="str">
        <f aca="false">INDEX(Products!$B$2:$B$101,MATCH(D455,Products!$A$2:$A$101,0))</f>
        <v>Resistance Bands</v>
      </c>
      <c r="F455" s="1" t="str">
        <f aca="false">INDEX(Products!$C$2:$C$101,MATCH(D455,Products!$A$2:$A$101,0))</f>
        <v>Sports &amp; Outdoors</v>
      </c>
      <c r="G455" s="6" t="n">
        <f aca="false">Orders!E455</f>
        <v>1</v>
      </c>
      <c r="H455" s="16" t="n">
        <f aca="false">INDEX(Products!$D$2:$D$101,MATCH(D455,Products!$A$2:$A$101,0))</f>
        <v>399</v>
      </c>
      <c r="I455" s="16" t="n">
        <f aca="false">INDEX(Products!$E$2:$E$101,MATCH(D455,Products!$A$2:$A$101,0))</f>
        <v>150</v>
      </c>
      <c r="J455" s="20" t="n">
        <f aca="false">Orders!F455</f>
        <v>0.1</v>
      </c>
      <c r="K455" s="6" t="n">
        <f aca="false">G455*H455</f>
        <v>399</v>
      </c>
      <c r="L455" s="6" t="n">
        <f aca="false">K455*J455</f>
        <v>39.9</v>
      </c>
      <c r="M455" s="6" t="n">
        <f aca="false">K455-L455</f>
        <v>359.1</v>
      </c>
      <c r="N455" s="6" t="n">
        <f aca="false">G455*I455</f>
        <v>150</v>
      </c>
      <c r="O455" s="6" t="n">
        <f aca="false">M455-N455</f>
        <v>209.1</v>
      </c>
      <c r="P455" s="21" t="n">
        <f aca="false">IFERROR(O455/M455,0)</f>
        <v>0.582289055973267</v>
      </c>
      <c r="Q455" s="6" t="str">
        <f aca="false">Orders!H455</f>
        <v>Delivered</v>
      </c>
      <c r="R455" s="1" t="str">
        <f aca="false">INDEX(Customers!$C$2:$C$301,MATCH(C455,Customers!$A$2:$A$301,0))</f>
        <v>Hyderabad</v>
      </c>
      <c r="S455" s="1" t="str">
        <f aca="false">INDEX(Customers!$E$2:$E$301,MATCH(C455,Customers!$A$2:$A$301,0))</f>
        <v>VIP</v>
      </c>
      <c r="T455" s="6" t="str">
        <f aca="false">Orders!I455</f>
        <v>Marketplace</v>
      </c>
      <c r="U455" s="1" t="str">
        <f aca="false">IF(Q455="Delivered","Completed",IF(Q455="Cancelled","Cancelled",IF(Q455="Returned","Returned","In Progress")))</f>
        <v>Completed</v>
      </c>
      <c r="V455" s="1" t="str">
        <f aca="false">IF(M455&gt;=10000,"High Value",IF(M455&gt;=5000,"Medium Value","Low Value"))</f>
        <v>Low Value</v>
      </c>
      <c r="W455" s="1" t="str">
        <f aca="false">IF(O455&gt;0,"Profitable",IF(O455=0,"Break-even","Loss"))</f>
        <v>Profitable</v>
      </c>
      <c r="X455" s="1" t="str">
        <f aca="false">IF(Q455="Cancelled","Not Applicable",IF(Q455="Processing","Pending",IF(B455="","Unknown",IF(Orders!J455="","Unknown",IF(Orders!J455&lt;=3,"Fast",IF(Orders!J455&lt;=6,"Standard","Slow"))))))</f>
        <v>Slow</v>
      </c>
      <c r="Y455" s="1" t="n">
        <f aca="false">IF(OR(Q455="Cancelled",Q455="Returned"),0,O455)</f>
        <v>209.1</v>
      </c>
    </row>
    <row r="456" customFormat="false" ht="15" hidden="false" customHeight="false" outlineLevel="0" collapsed="false">
      <c r="A456" s="6" t="str">
        <f aca="false">Orders!A456</f>
        <v>O000455</v>
      </c>
      <c r="B456" s="19" t="n">
        <f aca="false">Orders!B456</f>
        <v>45826</v>
      </c>
      <c r="C456" s="6" t="str">
        <f aca="false">Orders!C456</f>
        <v>C0173</v>
      </c>
      <c r="D456" s="6" t="str">
        <f aca="false">Orders!D456</f>
        <v>P1057</v>
      </c>
      <c r="E456" s="6" t="str">
        <f aca="false">INDEX(Products!$B$2:$B$101,MATCH(D456,Products!$A$2:$A$101,0))</f>
        <v>Comb Set</v>
      </c>
      <c r="F456" s="1" t="str">
        <f aca="false">INDEX(Products!$C$2:$C$101,MATCH(D456,Products!$A$2:$A$101,0))</f>
        <v>Beauty</v>
      </c>
      <c r="G456" s="6" t="n">
        <f aca="false">Orders!E456</f>
        <v>1</v>
      </c>
      <c r="H456" s="16" t="n">
        <f aca="false">INDEX(Products!$D$2:$D$101,MATCH(D456,Products!$A$2:$A$101,0))</f>
        <v>199</v>
      </c>
      <c r="I456" s="16" t="n">
        <f aca="false">INDEX(Products!$E$2:$E$101,MATCH(D456,Products!$A$2:$A$101,0))</f>
        <v>65</v>
      </c>
      <c r="J456" s="20" t="n">
        <f aca="false">Orders!F456</f>
        <v>0.2</v>
      </c>
      <c r="K456" s="6" t="n">
        <f aca="false">G456*H456</f>
        <v>199</v>
      </c>
      <c r="L456" s="6" t="n">
        <f aca="false">K456*J456</f>
        <v>39.8</v>
      </c>
      <c r="M456" s="6" t="n">
        <f aca="false">K456-L456</f>
        <v>159.2</v>
      </c>
      <c r="N456" s="6" t="n">
        <f aca="false">G456*I456</f>
        <v>65</v>
      </c>
      <c r="O456" s="6" t="n">
        <f aca="false">M456-N456</f>
        <v>94.2</v>
      </c>
      <c r="P456" s="21" t="n">
        <f aca="false">IFERROR(O456/M456,0)</f>
        <v>0.591708542713568</v>
      </c>
      <c r="Q456" s="6" t="str">
        <f aca="false">Orders!H456</f>
        <v>Delivered</v>
      </c>
      <c r="R456" s="1" t="str">
        <f aca="false">INDEX(Customers!$C$2:$C$301,MATCH(C456,Customers!$A$2:$A$301,0))</f>
        <v>Kochi</v>
      </c>
      <c r="S456" s="1" t="str">
        <f aca="false">INDEX(Customers!$E$2:$E$301,MATCH(C456,Customers!$A$2:$A$301,0))</f>
        <v>New</v>
      </c>
      <c r="T456" s="6" t="str">
        <f aca="false">Orders!I456</f>
        <v>Mobile App</v>
      </c>
      <c r="U456" s="1" t="str">
        <f aca="false">IF(Q456="Delivered","Completed",IF(Q456="Cancelled","Cancelled",IF(Q456="Returned","Returned","In Progress")))</f>
        <v>Completed</v>
      </c>
      <c r="V456" s="1" t="str">
        <f aca="false">IF(M456&gt;=10000,"High Value",IF(M456&gt;=5000,"Medium Value","Low Value"))</f>
        <v>Low Value</v>
      </c>
      <c r="W456" s="1" t="str">
        <f aca="false">IF(O456&gt;0,"Profitable",IF(O456=0,"Break-even","Loss"))</f>
        <v>Profitable</v>
      </c>
      <c r="X456" s="1" t="str">
        <f aca="false">IF(Q456="Cancelled","Not Applicable",IF(Q456="Processing","Pending",IF(B456="","Unknown",IF(Orders!J456="","Unknown",IF(Orders!J456&lt;=3,"Fast",IF(Orders!J456&lt;=6,"Standard","Slow"))))))</f>
        <v>Standard</v>
      </c>
      <c r="Y456" s="1" t="n">
        <f aca="false">IF(OR(Q456="Cancelled",Q456="Returned"),0,O456)</f>
        <v>94.2</v>
      </c>
    </row>
    <row r="457" customFormat="false" ht="15" hidden="false" customHeight="false" outlineLevel="0" collapsed="false">
      <c r="A457" s="6" t="str">
        <f aca="false">Orders!A457</f>
        <v>O000456</v>
      </c>
      <c r="B457" s="19" t="n">
        <f aca="false">Orders!B457</f>
        <v>45762</v>
      </c>
      <c r="C457" s="6" t="str">
        <f aca="false">Orders!C457</f>
        <v>C0192</v>
      </c>
      <c r="D457" s="6" t="str">
        <f aca="false">Orders!D457</f>
        <v>P1091</v>
      </c>
      <c r="E457" s="6" t="str">
        <f aca="false">INDEX(Products!$B$2:$B$101,MATCH(D457,Products!$A$2:$A$101,0))</f>
        <v>Rice Cooker</v>
      </c>
      <c r="F457" s="1" t="str">
        <f aca="false">INDEX(Products!$C$2:$C$101,MATCH(D457,Products!$A$2:$A$101,0))</f>
        <v>Appliances</v>
      </c>
      <c r="G457" s="6" t="n">
        <f aca="false">Orders!E457</f>
        <v>1</v>
      </c>
      <c r="H457" s="16" t="n">
        <f aca="false">INDEX(Products!$D$2:$D$101,MATCH(D457,Products!$A$2:$A$101,0))</f>
        <v>1999</v>
      </c>
      <c r="I457" s="16" t="n">
        <f aca="false">INDEX(Products!$E$2:$E$101,MATCH(D457,Products!$A$2:$A$101,0))</f>
        <v>1200</v>
      </c>
      <c r="J457" s="20" t="n">
        <f aca="false">Orders!F457</f>
        <v>0.05</v>
      </c>
      <c r="K457" s="6" t="n">
        <f aca="false">G457*H457</f>
        <v>1999</v>
      </c>
      <c r="L457" s="6" t="n">
        <f aca="false">K457*J457</f>
        <v>99.95</v>
      </c>
      <c r="M457" s="6" t="n">
        <f aca="false">K457-L457</f>
        <v>1899.05</v>
      </c>
      <c r="N457" s="6" t="n">
        <f aca="false">G457*I457</f>
        <v>1200</v>
      </c>
      <c r="O457" s="6" t="n">
        <f aca="false">M457-N457</f>
        <v>699.05</v>
      </c>
      <c r="P457" s="21" t="n">
        <f aca="false">IFERROR(O457/M457,0)</f>
        <v>0.368105105184171</v>
      </c>
      <c r="Q457" s="6" t="str">
        <f aca="false">Orders!H457</f>
        <v>Shipped</v>
      </c>
      <c r="R457" s="1" t="str">
        <f aca="false">INDEX(Customers!$C$2:$C$301,MATCH(C457,Customers!$A$2:$A$301,0))</f>
        <v>Noida</v>
      </c>
      <c r="S457" s="1" t="str">
        <f aca="false">INDEX(Customers!$E$2:$E$301,MATCH(C457,Customers!$A$2:$A$301,0))</f>
        <v>Returning</v>
      </c>
      <c r="T457" s="6" t="str">
        <f aca="false">Orders!I457</f>
        <v>Mobile App</v>
      </c>
      <c r="U457" s="1" t="str">
        <f aca="false">IF(Q457="Delivered","Completed",IF(Q457="Cancelled","Cancelled",IF(Q457="Returned","Returned","In Progress")))</f>
        <v>In Progress</v>
      </c>
      <c r="V457" s="1" t="str">
        <f aca="false">IF(M457&gt;=10000,"High Value",IF(M457&gt;=5000,"Medium Value","Low Value"))</f>
        <v>Low Value</v>
      </c>
      <c r="W457" s="1" t="str">
        <f aca="false">IF(O457&gt;0,"Profitable",IF(O457=0,"Break-even","Loss"))</f>
        <v>Profitable</v>
      </c>
      <c r="X457" s="1" t="str">
        <f aca="false">IF(Q457="Cancelled","Not Applicable",IF(Q457="Processing","Pending",IF(B457="","Unknown",IF(Orders!J457="","Unknown",IF(Orders!J457&lt;=3,"Fast",IF(Orders!J457&lt;=6,"Standard","Slow"))))))</f>
        <v>Slow</v>
      </c>
      <c r="Y457" s="1" t="n">
        <f aca="false">IF(OR(Q457="Cancelled",Q457="Returned"),0,O457)</f>
        <v>699.05</v>
      </c>
    </row>
    <row r="458" customFormat="false" ht="15" hidden="false" customHeight="false" outlineLevel="0" collapsed="false">
      <c r="A458" s="6" t="str">
        <f aca="false">Orders!A458</f>
        <v>O000457</v>
      </c>
      <c r="B458" s="19" t="n">
        <f aca="false">Orders!B458</f>
        <v>45998</v>
      </c>
      <c r="C458" s="6" t="str">
        <f aca="false">Orders!C458</f>
        <v>C0124</v>
      </c>
      <c r="D458" s="6" t="str">
        <f aca="false">Orders!D458</f>
        <v>P1039</v>
      </c>
      <c r="E458" s="6" t="str">
        <f aca="false">INDEX(Products!$B$2:$B$101,MATCH(D458,Products!$A$2:$A$101,0))</f>
        <v>Wall Clock</v>
      </c>
      <c r="F458" s="1" t="str">
        <f aca="false">INDEX(Products!$C$2:$C$101,MATCH(D458,Products!$A$2:$A$101,0))</f>
        <v>Home &amp; Kitchen</v>
      </c>
      <c r="G458" s="6" t="n">
        <f aca="false">Orders!E458</f>
        <v>3</v>
      </c>
      <c r="H458" s="16" t="n">
        <f aca="false">INDEX(Products!$D$2:$D$101,MATCH(D458,Products!$A$2:$A$101,0))</f>
        <v>699</v>
      </c>
      <c r="I458" s="16" t="n">
        <f aca="false">INDEX(Products!$E$2:$E$101,MATCH(D458,Products!$A$2:$A$101,0))</f>
        <v>300</v>
      </c>
      <c r="J458" s="20" t="n">
        <f aca="false">Orders!F458</f>
        <v>0.05</v>
      </c>
      <c r="K458" s="6" t="n">
        <f aca="false">G458*H458</f>
        <v>2097</v>
      </c>
      <c r="L458" s="6" t="n">
        <f aca="false">K458*J458</f>
        <v>104.85</v>
      </c>
      <c r="M458" s="6" t="n">
        <f aca="false">K458-L458</f>
        <v>1992.15</v>
      </c>
      <c r="N458" s="6" t="n">
        <f aca="false">G458*I458</f>
        <v>900</v>
      </c>
      <c r="O458" s="6" t="n">
        <f aca="false">M458-N458</f>
        <v>1092.15</v>
      </c>
      <c r="P458" s="21" t="n">
        <f aca="false">IFERROR(O458/M458,0)</f>
        <v>0.548226790151344</v>
      </c>
      <c r="Q458" s="6" t="str">
        <f aca="false">Orders!H458</f>
        <v>Delivered</v>
      </c>
      <c r="R458" s="1" t="str">
        <f aca="false">INDEX(Customers!$C$2:$C$301,MATCH(C458,Customers!$A$2:$A$301,0))</f>
        <v>Hyderabad</v>
      </c>
      <c r="S458" s="1" t="str">
        <f aca="false">INDEX(Customers!$E$2:$E$301,MATCH(C458,Customers!$A$2:$A$301,0))</f>
        <v>Returning</v>
      </c>
      <c r="T458" s="6" t="str">
        <f aca="false">Orders!I458</f>
        <v>Mobile App</v>
      </c>
      <c r="U458" s="1" t="str">
        <f aca="false">IF(Q458="Delivered","Completed",IF(Q458="Cancelled","Cancelled",IF(Q458="Returned","Returned","In Progress")))</f>
        <v>Completed</v>
      </c>
      <c r="V458" s="1" t="str">
        <f aca="false">IF(M458&gt;=10000,"High Value",IF(M458&gt;=5000,"Medium Value","Low Value"))</f>
        <v>Low Value</v>
      </c>
      <c r="W458" s="1" t="str">
        <f aca="false">IF(O458&gt;0,"Profitable",IF(O458=0,"Break-even","Loss"))</f>
        <v>Profitable</v>
      </c>
      <c r="X458" s="1" t="str">
        <f aca="false">IF(Q458="Cancelled","Not Applicable",IF(Q458="Processing","Pending",IF(B458="","Unknown",IF(Orders!J458="","Unknown",IF(Orders!J458&lt;=3,"Fast",IF(Orders!J458&lt;=6,"Standard","Slow"))))))</f>
        <v>Fast</v>
      </c>
      <c r="Y458" s="1" t="n">
        <f aca="false">IF(OR(Q458="Cancelled",Q458="Returned"),0,O458)</f>
        <v>1092.15</v>
      </c>
    </row>
    <row r="459" customFormat="false" ht="23.85" hidden="false" customHeight="false" outlineLevel="0" collapsed="false">
      <c r="A459" s="6" t="str">
        <f aca="false">Orders!A459</f>
        <v>O000458</v>
      </c>
      <c r="B459" s="19" t="n">
        <f aca="false">Orders!B459</f>
        <v>45854</v>
      </c>
      <c r="C459" s="6" t="str">
        <f aca="false">Orders!C459</f>
        <v>C0120</v>
      </c>
      <c r="D459" s="6" t="str">
        <f aca="false">Orders!D459</f>
        <v>P1099</v>
      </c>
      <c r="E459" s="6" t="str">
        <f aca="false">INDEX(Products!$B$2:$B$101,MATCH(D459,Products!$A$2:$A$101,0))</f>
        <v>Sandwich Maker</v>
      </c>
      <c r="F459" s="1" t="str">
        <f aca="false">INDEX(Products!$C$2:$C$101,MATCH(D459,Products!$A$2:$A$101,0))</f>
        <v>Appliances</v>
      </c>
      <c r="G459" s="6" t="n">
        <f aca="false">Orders!E459</f>
        <v>2</v>
      </c>
      <c r="H459" s="16" t="n">
        <f aca="false">INDEX(Products!$D$2:$D$101,MATCH(D459,Products!$A$2:$A$101,0))</f>
        <v>1299</v>
      </c>
      <c r="I459" s="16" t="n">
        <f aca="false">INDEX(Products!$E$2:$E$101,MATCH(D459,Products!$A$2:$A$101,0))</f>
        <v>750</v>
      </c>
      <c r="J459" s="20" t="n">
        <f aca="false">Orders!F459</f>
        <v>0.05</v>
      </c>
      <c r="K459" s="6" t="n">
        <f aca="false">G459*H459</f>
        <v>2598</v>
      </c>
      <c r="L459" s="6" t="n">
        <f aca="false">K459*J459</f>
        <v>129.9</v>
      </c>
      <c r="M459" s="6" t="n">
        <f aca="false">K459-L459</f>
        <v>2468.1</v>
      </c>
      <c r="N459" s="6" t="n">
        <f aca="false">G459*I459</f>
        <v>1500</v>
      </c>
      <c r="O459" s="6" t="n">
        <f aca="false">M459-N459</f>
        <v>968.1</v>
      </c>
      <c r="P459" s="21" t="n">
        <f aca="false">IFERROR(O459/M459,0)</f>
        <v>0.392245046797131</v>
      </c>
      <c r="Q459" s="6" t="str">
        <f aca="false">Orders!H459</f>
        <v>Delivered</v>
      </c>
      <c r="R459" s="1" t="str">
        <f aca="false">INDEX(Customers!$C$2:$C$301,MATCH(C459,Customers!$A$2:$A$301,0))</f>
        <v>Visakhapatnam</v>
      </c>
      <c r="S459" s="1" t="str">
        <f aca="false">INDEX(Customers!$E$2:$E$301,MATCH(C459,Customers!$A$2:$A$301,0))</f>
        <v>Returning</v>
      </c>
      <c r="T459" s="6" t="str">
        <f aca="false">Orders!I459</f>
        <v>Mobile App</v>
      </c>
      <c r="U459" s="1" t="str">
        <f aca="false">IF(Q459="Delivered","Completed",IF(Q459="Cancelled","Cancelled",IF(Q459="Returned","Returned","In Progress")))</f>
        <v>Completed</v>
      </c>
      <c r="V459" s="1" t="str">
        <f aca="false">IF(M459&gt;=10000,"High Value",IF(M459&gt;=5000,"Medium Value","Low Value"))</f>
        <v>Low Value</v>
      </c>
      <c r="W459" s="1" t="str">
        <f aca="false">IF(O459&gt;0,"Profitable",IF(O459=0,"Break-even","Loss"))</f>
        <v>Profitable</v>
      </c>
      <c r="X459" s="1" t="str">
        <f aca="false">IF(Q459="Cancelled","Not Applicable",IF(Q459="Processing","Pending",IF(B459="","Unknown",IF(Orders!J459="","Unknown",IF(Orders!J459&lt;=3,"Fast",IF(Orders!J459&lt;=6,"Standard","Slow"))))))</f>
        <v>Standard</v>
      </c>
      <c r="Y459" s="1" t="n">
        <f aca="false">IF(OR(Q459="Cancelled",Q459="Returned"),0,O459)</f>
        <v>968.1</v>
      </c>
    </row>
    <row r="460" customFormat="false" ht="15" hidden="false" customHeight="false" outlineLevel="0" collapsed="false">
      <c r="A460" s="6" t="str">
        <f aca="false">Orders!A460</f>
        <v>O000459</v>
      </c>
      <c r="B460" s="19" t="n">
        <f aca="false">Orders!B460</f>
        <v>45828</v>
      </c>
      <c r="C460" s="6" t="str">
        <f aca="false">Orders!C460</f>
        <v>C0081</v>
      </c>
      <c r="D460" s="6" t="str">
        <f aca="false">Orders!D460</f>
        <v>P1074</v>
      </c>
      <c r="E460" s="6" t="str">
        <f aca="false">INDEX(Products!$B$2:$B$101,MATCH(D460,Products!$A$2:$A$101,0))</f>
        <v>Notebook Pack</v>
      </c>
      <c r="F460" s="1" t="str">
        <f aca="false">INDEX(Products!$C$2:$C$101,MATCH(D460,Products!$A$2:$A$101,0))</f>
        <v>Books &amp; Stationery</v>
      </c>
      <c r="G460" s="6" t="n">
        <f aca="false">Orders!E460</f>
        <v>2</v>
      </c>
      <c r="H460" s="16" t="n">
        <f aca="false">INDEX(Products!$D$2:$D$101,MATCH(D460,Products!$A$2:$A$101,0))</f>
        <v>299</v>
      </c>
      <c r="I460" s="16" t="n">
        <f aca="false">INDEX(Products!$E$2:$E$101,MATCH(D460,Products!$A$2:$A$101,0))</f>
        <v>110</v>
      </c>
      <c r="J460" s="20" t="n">
        <f aca="false">Orders!F460</f>
        <v>0.2</v>
      </c>
      <c r="K460" s="6" t="n">
        <f aca="false">G460*H460</f>
        <v>598</v>
      </c>
      <c r="L460" s="6" t="n">
        <f aca="false">K460*J460</f>
        <v>119.6</v>
      </c>
      <c r="M460" s="6" t="n">
        <f aca="false">K460-L460</f>
        <v>478.4</v>
      </c>
      <c r="N460" s="6" t="n">
        <f aca="false">G460*I460</f>
        <v>220</v>
      </c>
      <c r="O460" s="6" t="n">
        <f aca="false">M460-N460</f>
        <v>258.4</v>
      </c>
      <c r="P460" s="21" t="n">
        <f aca="false">IFERROR(O460/M460,0)</f>
        <v>0.540133779264214</v>
      </c>
      <c r="Q460" s="6" t="str">
        <f aca="false">Orders!H460</f>
        <v>Delivered</v>
      </c>
      <c r="R460" s="1" t="str">
        <f aca="false">INDEX(Customers!$C$2:$C$301,MATCH(C460,Customers!$A$2:$A$301,0))</f>
        <v>Delhi</v>
      </c>
      <c r="S460" s="1" t="str">
        <f aca="false">INDEX(Customers!$E$2:$E$301,MATCH(C460,Customers!$A$2:$A$301,0))</f>
        <v>Returning</v>
      </c>
      <c r="T460" s="6" t="str">
        <f aca="false">Orders!I460</f>
        <v>Marketplace</v>
      </c>
      <c r="U460" s="1" t="str">
        <f aca="false">IF(Q460="Delivered","Completed",IF(Q460="Cancelled","Cancelled",IF(Q460="Returned","Returned","In Progress")))</f>
        <v>Completed</v>
      </c>
      <c r="V460" s="1" t="str">
        <f aca="false">IF(M460&gt;=10000,"High Value",IF(M460&gt;=5000,"Medium Value","Low Value"))</f>
        <v>Low Value</v>
      </c>
      <c r="W460" s="1" t="str">
        <f aca="false">IF(O460&gt;0,"Profitable",IF(O460=0,"Break-even","Loss"))</f>
        <v>Profitable</v>
      </c>
      <c r="X460" s="1" t="str">
        <f aca="false">IF(Q460="Cancelled","Not Applicable",IF(Q460="Processing","Pending",IF(B460="","Unknown",IF(Orders!J460="","Unknown",IF(Orders!J460&lt;=3,"Fast",IF(Orders!J460&lt;=6,"Standard","Slow"))))))</f>
        <v>Fast</v>
      </c>
      <c r="Y460" s="1" t="n">
        <f aca="false">IF(OR(Q460="Cancelled",Q460="Returned"),0,O460)</f>
        <v>258.4</v>
      </c>
    </row>
    <row r="461" customFormat="false" ht="15" hidden="false" customHeight="false" outlineLevel="0" collapsed="false">
      <c r="A461" s="6" t="str">
        <f aca="false">Orders!A461</f>
        <v>O000460</v>
      </c>
      <c r="B461" s="19" t="n">
        <f aca="false">Orders!B461</f>
        <v>45700</v>
      </c>
      <c r="C461" s="6" t="str">
        <f aca="false">Orders!C461</f>
        <v>C0281</v>
      </c>
      <c r="D461" s="6" t="str">
        <f aca="false">Orders!D461</f>
        <v>P1038</v>
      </c>
      <c r="E461" s="6" t="str">
        <f aca="false">INDEX(Products!$B$2:$B$101,MATCH(D461,Products!$A$2:$A$101,0))</f>
        <v>Laundry Basket</v>
      </c>
      <c r="F461" s="1" t="str">
        <f aca="false">INDEX(Products!$C$2:$C$101,MATCH(D461,Products!$A$2:$A$101,0))</f>
        <v>Home &amp; Kitchen</v>
      </c>
      <c r="G461" s="6" t="n">
        <f aca="false">Orders!E461</f>
        <v>1</v>
      </c>
      <c r="H461" s="16" t="n">
        <f aca="false">INDEX(Products!$D$2:$D$101,MATCH(D461,Products!$A$2:$A$101,0))</f>
        <v>599</v>
      </c>
      <c r="I461" s="16" t="n">
        <f aca="false">INDEX(Products!$E$2:$E$101,MATCH(D461,Products!$A$2:$A$101,0))</f>
        <v>260</v>
      </c>
      <c r="J461" s="20" t="n">
        <f aca="false">Orders!F461</f>
        <v>0.05</v>
      </c>
      <c r="K461" s="6" t="n">
        <f aca="false">G461*H461</f>
        <v>599</v>
      </c>
      <c r="L461" s="6" t="n">
        <f aca="false">K461*J461</f>
        <v>29.95</v>
      </c>
      <c r="M461" s="6" t="n">
        <f aca="false">K461-L461</f>
        <v>569.05</v>
      </c>
      <c r="N461" s="6" t="n">
        <f aca="false">G461*I461</f>
        <v>260</v>
      </c>
      <c r="O461" s="6" t="n">
        <f aca="false">M461-N461</f>
        <v>309.05</v>
      </c>
      <c r="P461" s="21" t="n">
        <f aca="false">IFERROR(O461/M461,0)</f>
        <v>0.543098146032862</v>
      </c>
      <c r="Q461" s="6" t="str">
        <f aca="false">Orders!H461</f>
        <v>Delivered</v>
      </c>
      <c r="R461" s="1" t="str">
        <f aca="false">INDEX(Customers!$C$2:$C$301,MATCH(C461,Customers!$A$2:$A$301,0))</f>
        <v>Delhi</v>
      </c>
      <c r="S461" s="1" t="str">
        <f aca="false">INDEX(Customers!$E$2:$E$301,MATCH(C461,Customers!$A$2:$A$301,0))</f>
        <v>VIP</v>
      </c>
      <c r="T461" s="6" t="str">
        <f aca="false">Orders!I461</f>
        <v>Website</v>
      </c>
      <c r="U461" s="1" t="str">
        <f aca="false">IF(Q461="Delivered","Completed",IF(Q461="Cancelled","Cancelled",IF(Q461="Returned","Returned","In Progress")))</f>
        <v>Completed</v>
      </c>
      <c r="V461" s="1" t="str">
        <f aca="false">IF(M461&gt;=10000,"High Value",IF(M461&gt;=5000,"Medium Value","Low Value"))</f>
        <v>Low Value</v>
      </c>
      <c r="W461" s="1" t="str">
        <f aca="false">IF(O461&gt;0,"Profitable",IF(O461=0,"Break-even","Loss"))</f>
        <v>Profitable</v>
      </c>
      <c r="X461" s="1" t="str">
        <f aca="false">IF(Q461="Cancelled","Not Applicable",IF(Q461="Processing","Pending",IF(B461="","Unknown",IF(Orders!J461="","Unknown",IF(Orders!J461&lt;=3,"Fast",IF(Orders!J461&lt;=6,"Standard","Slow"))))))</f>
        <v>Standard</v>
      </c>
      <c r="Y461" s="1" t="n">
        <f aca="false">IF(OR(Q461="Cancelled",Q461="Returned"),0,O461)</f>
        <v>309.05</v>
      </c>
    </row>
    <row r="462" customFormat="false" ht="15" hidden="false" customHeight="false" outlineLevel="0" collapsed="false">
      <c r="A462" s="6" t="str">
        <f aca="false">Orders!A462</f>
        <v>O000461</v>
      </c>
      <c r="B462" s="19" t="n">
        <f aca="false">Orders!B462</f>
        <v>46002</v>
      </c>
      <c r="C462" s="6" t="str">
        <f aca="false">Orders!C462</f>
        <v>C0134</v>
      </c>
      <c r="D462" s="6" t="str">
        <f aca="false">Orders!D462</f>
        <v>P1024</v>
      </c>
      <c r="E462" s="6" t="str">
        <f aca="false">INDEX(Products!$B$2:$B$101,MATCH(D462,Products!$A$2:$A$101,0))</f>
        <v>Kurta</v>
      </c>
      <c r="F462" s="1" t="str">
        <f aca="false">INDEX(Products!$C$2:$C$101,MATCH(D462,Products!$A$2:$A$101,0))</f>
        <v>Fashion</v>
      </c>
      <c r="G462" s="6" t="n">
        <f aca="false">Orders!E462</f>
        <v>2</v>
      </c>
      <c r="H462" s="16" t="n">
        <f aca="false">INDEX(Products!$D$2:$D$101,MATCH(D462,Products!$A$2:$A$101,0))</f>
        <v>999</v>
      </c>
      <c r="I462" s="16" t="n">
        <f aca="false">INDEX(Products!$E$2:$E$101,MATCH(D462,Products!$A$2:$A$101,0))</f>
        <v>450</v>
      </c>
      <c r="J462" s="20" t="n">
        <f aca="false">Orders!F462</f>
        <v>0</v>
      </c>
      <c r="K462" s="6" t="n">
        <f aca="false">G462*H462</f>
        <v>1998</v>
      </c>
      <c r="L462" s="6" t="n">
        <f aca="false">K462*J462</f>
        <v>0</v>
      </c>
      <c r="M462" s="6" t="n">
        <f aca="false">K462-L462</f>
        <v>1998</v>
      </c>
      <c r="N462" s="6" t="n">
        <f aca="false">G462*I462</f>
        <v>900</v>
      </c>
      <c r="O462" s="6" t="n">
        <f aca="false">M462-N462</f>
        <v>1098</v>
      </c>
      <c r="P462" s="21" t="n">
        <f aca="false">IFERROR(O462/M462,0)</f>
        <v>0.54954954954955</v>
      </c>
      <c r="Q462" s="6" t="str">
        <f aca="false">Orders!H462</f>
        <v>Shipped</v>
      </c>
      <c r="R462" s="1" t="str">
        <f aca="false">INDEX(Customers!$C$2:$C$301,MATCH(C462,Customers!$A$2:$A$301,0))</f>
        <v>Indore</v>
      </c>
      <c r="S462" s="1" t="str">
        <f aca="false">INDEX(Customers!$E$2:$E$301,MATCH(C462,Customers!$A$2:$A$301,0))</f>
        <v>New</v>
      </c>
      <c r="T462" s="6" t="str">
        <f aca="false">Orders!I462</f>
        <v>Mobile App</v>
      </c>
      <c r="U462" s="1" t="str">
        <f aca="false">IF(Q462="Delivered","Completed",IF(Q462="Cancelled","Cancelled",IF(Q462="Returned","Returned","In Progress")))</f>
        <v>In Progress</v>
      </c>
      <c r="V462" s="1" t="str">
        <f aca="false">IF(M462&gt;=10000,"High Value",IF(M462&gt;=5000,"Medium Value","Low Value"))</f>
        <v>Low Value</v>
      </c>
      <c r="W462" s="1" t="str">
        <f aca="false">IF(O462&gt;0,"Profitable",IF(O462=0,"Break-even","Loss"))</f>
        <v>Profitable</v>
      </c>
      <c r="X462" s="1" t="str">
        <f aca="false">IF(Q462="Cancelled","Not Applicable",IF(Q462="Processing","Pending",IF(B462="","Unknown",IF(Orders!J462="","Unknown",IF(Orders!J462&lt;=3,"Fast",IF(Orders!J462&lt;=6,"Standard","Slow"))))))</f>
        <v>Fast</v>
      </c>
      <c r="Y462" s="1" t="n">
        <f aca="false">IF(OR(Q462="Cancelled",Q462="Returned"),0,O462)</f>
        <v>1098</v>
      </c>
    </row>
    <row r="463" customFormat="false" ht="15" hidden="false" customHeight="false" outlineLevel="0" collapsed="false">
      <c r="A463" s="6" t="str">
        <f aca="false">Orders!A463</f>
        <v>O000462</v>
      </c>
      <c r="B463" s="19" t="n">
        <f aca="false">Orders!B463</f>
        <v>45907</v>
      </c>
      <c r="C463" s="6" t="str">
        <f aca="false">Orders!C463</f>
        <v>C0241</v>
      </c>
      <c r="D463" s="6" t="str">
        <f aca="false">Orders!D463</f>
        <v>P1006</v>
      </c>
      <c r="E463" s="6" t="str">
        <f aca="false">INDEX(Products!$B$2:$B$101,MATCH(D463,Products!$A$2:$A$101,0))</f>
        <v>Wireless Mouse</v>
      </c>
      <c r="F463" s="1" t="str">
        <f aca="false">INDEX(Products!$C$2:$C$101,MATCH(D463,Products!$A$2:$A$101,0))</f>
        <v>Electronics</v>
      </c>
      <c r="G463" s="6" t="n">
        <f aca="false">Orders!E463</f>
        <v>3</v>
      </c>
      <c r="H463" s="16" t="n">
        <f aca="false">INDEX(Products!$D$2:$D$101,MATCH(D463,Products!$A$2:$A$101,0))</f>
        <v>699</v>
      </c>
      <c r="I463" s="16" t="n">
        <f aca="false">INDEX(Products!$E$2:$E$101,MATCH(D463,Products!$A$2:$A$101,0))</f>
        <v>300</v>
      </c>
      <c r="J463" s="20" t="n">
        <f aca="false">Orders!F463</f>
        <v>0</v>
      </c>
      <c r="K463" s="6" t="n">
        <f aca="false">G463*H463</f>
        <v>2097</v>
      </c>
      <c r="L463" s="6" t="n">
        <f aca="false">K463*J463</f>
        <v>0</v>
      </c>
      <c r="M463" s="6" t="n">
        <f aca="false">K463-L463</f>
        <v>2097</v>
      </c>
      <c r="N463" s="6" t="n">
        <f aca="false">G463*I463</f>
        <v>900</v>
      </c>
      <c r="O463" s="6" t="n">
        <f aca="false">M463-N463</f>
        <v>1197</v>
      </c>
      <c r="P463" s="21" t="n">
        <f aca="false">IFERROR(O463/M463,0)</f>
        <v>0.570815450643777</v>
      </c>
      <c r="Q463" s="6" t="str">
        <f aca="false">Orders!H463</f>
        <v>Delivered</v>
      </c>
      <c r="R463" s="1" t="str">
        <f aca="false">INDEX(Customers!$C$2:$C$301,MATCH(C463,Customers!$A$2:$A$301,0))</f>
        <v>Delhi</v>
      </c>
      <c r="S463" s="1" t="str">
        <f aca="false">INDEX(Customers!$E$2:$E$301,MATCH(C463,Customers!$A$2:$A$301,0))</f>
        <v>Returning</v>
      </c>
      <c r="T463" s="6" t="str">
        <f aca="false">Orders!I463</f>
        <v>Website</v>
      </c>
      <c r="U463" s="1" t="str">
        <f aca="false">IF(Q463="Delivered","Completed",IF(Q463="Cancelled","Cancelled",IF(Q463="Returned","Returned","In Progress")))</f>
        <v>Completed</v>
      </c>
      <c r="V463" s="1" t="str">
        <f aca="false">IF(M463&gt;=10000,"High Value",IF(M463&gt;=5000,"Medium Value","Low Value"))</f>
        <v>Low Value</v>
      </c>
      <c r="W463" s="1" t="str">
        <f aca="false">IF(O463&gt;0,"Profitable",IF(O463=0,"Break-even","Loss"))</f>
        <v>Profitable</v>
      </c>
      <c r="X463" s="1" t="str">
        <f aca="false">IF(Q463="Cancelled","Not Applicable",IF(Q463="Processing","Pending",IF(B463="","Unknown",IF(Orders!J463="","Unknown",IF(Orders!J463&lt;=3,"Fast",IF(Orders!J463&lt;=6,"Standard","Slow"))))))</f>
        <v>Standard</v>
      </c>
      <c r="Y463" s="1" t="n">
        <f aca="false">IF(OR(Q463="Cancelled",Q463="Returned"),0,O463)</f>
        <v>1197</v>
      </c>
    </row>
    <row r="464" customFormat="false" ht="23.85" hidden="false" customHeight="false" outlineLevel="0" collapsed="false">
      <c r="A464" s="6" t="str">
        <f aca="false">Orders!A464</f>
        <v>O000463</v>
      </c>
      <c r="B464" s="19" t="n">
        <f aca="false">Orders!B464</f>
        <v>45707</v>
      </c>
      <c r="C464" s="6" t="str">
        <f aca="false">Orders!C464</f>
        <v>C0164</v>
      </c>
      <c r="D464" s="6" t="str">
        <f aca="false">Orders!D464</f>
        <v>P1065</v>
      </c>
      <c r="E464" s="6" t="str">
        <f aca="false">INDEX(Products!$B$2:$B$101,MATCH(D464,Products!$A$2:$A$101,0))</f>
        <v>Badminton Racket</v>
      </c>
      <c r="F464" s="1" t="str">
        <f aca="false">INDEX(Products!$C$2:$C$101,MATCH(D464,Products!$A$2:$A$101,0))</f>
        <v>Sports &amp; Outdoors</v>
      </c>
      <c r="G464" s="6" t="n">
        <f aca="false">Orders!E464</f>
        <v>4</v>
      </c>
      <c r="H464" s="16" t="n">
        <f aca="false">INDEX(Products!$D$2:$D$101,MATCH(D464,Products!$A$2:$A$101,0))</f>
        <v>999</v>
      </c>
      <c r="I464" s="16" t="n">
        <f aca="false">INDEX(Products!$E$2:$E$101,MATCH(D464,Products!$A$2:$A$101,0))</f>
        <v>520</v>
      </c>
      <c r="J464" s="20" t="n">
        <f aca="false">Orders!F464</f>
        <v>0.2</v>
      </c>
      <c r="K464" s="6" t="n">
        <f aca="false">G464*H464</f>
        <v>3996</v>
      </c>
      <c r="L464" s="6" t="n">
        <f aca="false">K464*J464</f>
        <v>799.2</v>
      </c>
      <c r="M464" s="6" t="n">
        <f aca="false">K464-L464</f>
        <v>3196.8</v>
      </c>
      <c r="N464" s="6" t="n">
        <f aca="false">G464*I464</f>
        <v>2080</v>
      </c>
      <c r="O464" s="6" t="n">
        <f aca="false">M464-N464</f>
        <v>1116.8</v>
      </c>
      <c r="P464" s="21" t="n">
        <f aca="false">IFERROR(O464/M464,0)</f>
        <v>0.349349349349349</v>
      </c>
      <c r="Q464" s="6" t="str">
        <f aca="false">Orders!H464</f>
        <v>Delivered</v>
      </c>
      <c r="R464" s="1" t="str">
        <f aca="false">INDEX(Customers!$C$2:$C$301,MATCH(C464,Customers!$A$2:$A$301,0))</f>
        <v>Hyderabad</v>
      </c>
      <c r="S464" s="1" t="str">
        <f aca="false">INDEX(Customers!$E$2:$E$301,MATCH(C464,Customers!$A$2:$A$301,0))</f>
        <v>Returning</v>
      </c>
      <c r="T464" s="6" t="str">
        <f aca="false">Orders!I464</f>
        <v>Marketplace</v>
      </c>
      <c r="U464" s="1" t="str">
        <f aca="false">IF(Q464="Delivered","Completed",IF(Q464="Cancelled","Cancelled",IF(Q464="Returned","Returned","In Progress")))</f>
        <v>Completed</v>
      </c>
      <c r="V464" s="1" t="str">
        <f aca="false">IF(M464&gt;=10000,"High Value",IF(M464&gt;=5000,"Medium Value","Low Value"))</f>
        <v>Low Value</v>
      </c>
      <c r="W464" s="1" t="str">
        <f aca="false">IF(O464&gt;0,"Profitable",IF(O464=0,"Break-even","Loss"))</f>
        <v>Profitable</v>
      </c>
      <c r="X464" s="1" t="str">
        <f aca="false">IF(Q464="Cancelled","Not Applicable",IF(Q464="Processing","Pending",IF(B464="","Unknown",IF(Orders!J464="","Unknown",IF(Orders!J464&lt;=3,"Fast",IF(Orders!J464&lt;=6,"Standard","Slow"))))))</f>
        <v>Slow</v>
      </c>
      <c r="Y464" s="1" t="n">
        <f aca="false">IF(OR(Q464="Cancelled",Q464="Returned"),0,O464)</f>
        <v>1116.8</v>
      </c>
    </row>
    <row r="465" customFormat="false" ht="15" hidden="false" customHeight="false" outlineLevel="0" collapsed="false">
      <c r="A465" s="6" t="str">
        <f aca="false">Orders!A465</f>
        <v>O000464</v>
      </c>
      <c r="B465" s="19" t="n">
        <f aca="false">Orders!B465</f>
        <v>45925</v>
      </c>
      <c r="C465" s="6" t="str">
        <f aca="false">Orders!C465</f>
        <v>C0161</v>
      </c>
      <c r="D465" s="6" t="str">
        <f aca="false">Orders!D465</f>
        <v>P1088</v>
      </c>
      <c r="E465" s="6" t="str">
        <f aca="false">INDEX(Products!$B$2:$B$101,MATCH(D465,Products!$A$2:$A$101,0))</f>
        <v>Electric Kettle</v>
      </c>
      <c r="F465" s="1" t="str">
        <f aca="false">INDEX(Products!$C$2:$C$101,MATCH(D465,Products!$A$2:$A$101,0))</f>
        <v>Appliances</v>
      </c>
      <c r="G465" s="6" t="n">
        <f aca="false">Orders!E465</f>
        <v>3</v>
      </c>
      <c r="H465" s="16" t="n">
        <f aca="false">INDEX(Products!$D$2:$D$101,MATCH(D465,Products!$A$2:$A$101,0))</f>
        <v>1299</v>
      </c>
      <c r="I465" s="16" t="n">
        <f aca="false">INDEX(Products!$E$2:$E$101,MATCH(D465,Products!$A$2:$A$101,0))</f>
        <v>750</v>
      </c>
      <c r="J465" s="20" t="n">
        <f aca="false">Orders!F465</f>
        <v>0.15</v>
      </c>
      <c r="K465" s="6" t="n">
        <f aca="false">G465*H465</f>
        <v>3897</v>
      </c>
      <c r="L465" s="6" t="n">
        <f aca="false">K465*J465</f>
        <v>584.55</v>
      </c>
      <c r="M465" s="6" t="n">
        <f aca="false">K465-L465</f>
        <v>3312.45</v>
      </c>
      <c r="N465" s="6" t="n">
        <f aca="false">G465*I465</f>
        <v>2250</v>
      </c>
      <c r="O465" s="6" t="n">
        <f aca="false">M465-N465</f>
        <v>1062.45</v>
      </c>
      <c r="P465" s="21" t="n">
        <f aca="false">IFERROR(O465/M465,0)</f>
        <v>0.320744464067382</v>
      </c>
      <c r="Q465" s="6" t="str">
        <f aca="false">Orders!H465</f>
        <v>Delivered</v>
      </c>
      <c r="R465" s="1" t="str">
        <f aca="false">INDEX(Customers!$C$2:$C$301,MATCH(C465,Customers!$A$2:$A$301,0))</f>
        <v>Delhi</v>
      </c>
      <c r="S465" s="1" t="str">
        <f aca="false">INDEX(Customers!$E$2:$E$301,MATCH(C465,Customers!$A$2:$A$301,0))</f>
        <v>New</v>
      </c>
      <c r="T465" s="6" t="str">
        <f aca="false">Orders!I465</f>
        <v>Website</v>
      </c>
      <c r="U465" s="1" t="str">
        <f aca="false">IF(Q465="Delivered","Completed",IF(Q465="Cancelled","Cancelled",IF(Q465="Returned","Returned","In Progress")))</f>
        <v>Completed</v>
      </c>
      <c r="V465" s="1" t="str">
        <f aca="false">IF(M465&gt;=10000,"High Value",IF(M465&gt;=5000,"Medium Value","Low Value"))</f>
        <v>Low Value</v>
      </c>
      <c r="W465" s="1" t="str">
        <f aca="false">IF(O465&gt;0,"Profitable",IF(O465=0,"Break-even","Loss"))</f>
        <v>Profitable</v>
      </c>
      <c r="X465" s="1" t="str">
        <f aca="false">IF(Q465="Cancelled","Not Applicable",IF(Q465="Processing","Pending",IF(B465="","Unknown",IF(Orders!J465="","Unknown",IF(Orders!J465&lt;=3,"Fast",IF(Orders!J465&lt;=6,"Standard","Slow"))))))</f>
        <v>Fast</v>
      </c>
      <c r="Y465" s="1" t="n">
        <f aca="false">IF(OR(Q465="Cancelled",Q465="Returned"),0,O465)</f>
        <v>1062.45</v>
      </c>
    </row>
    <row r="466" customFormat="false" ht="15" hidden="false" customHeight="false" outlineLevel="0" collapsed="false">
      <c r="A466" s="6" t="str">
        <f aca="false">Orders!A466</f>
        <v>O000465</v>
      </c>
      <c r="B466" s="19" t="n">
        <f aca="false">Orders!B466</f>
        <v>45730</v>
      </c>
      <c r="C466" s="6" t="str">
        <f aca="false">Orders!C466</f>
        <v>C0153</v>
      </c>
      <c r="D466" s="6" t="str">
        <f aca="false">Orders!D466</f>
        <v>P1096</v>
      </c>
      <c r="E466" s="6" t="str">
        <f aca="false">INDEX(Products!$B$2:$B$101,MATCH(D466,Products!$A$2:$A$101,0))</f>
        <v>Air Fryer</v>
      </c>
      <c r="F466" s="1" t="str">
        <f aca="false">INDEX(Products!$C$2:$C$101,MATCH(D466,Products!$A$2:$A$101,0))</f>
        <v>Appliances</v>
      </c>
      <c r="G466" s="6" t="n">
        <f aca="false">Orders!E466</f>
        <v>2</v>
      </c>
      <c r="H466" s="16" t="n">
        <f aca="false">INDEX(Products!$D$2:$D$101,MATCH(D466,Products!$A$2:$A$101,0))</f>
        <v>3999</v>
      </c>
      <c r="I466" s="16" t="n">
        <f aca="false">INDEX(Products!$E$2:$E$101,MATCH(D466,Products!$A$2:$A$101,0))</f>
        <v>2700</v>
      </c>
      <c r="J466" s="20" t="n">
        <f aca="false">Orders!F466</f>
        <v>0.15</v>
      </c>
      <c r="K466" s="6" t="n">
        <f aca="false">G466*H466</f>
        <v>7998</v>
      </c>
      <c r="L466" s="6" t="n">
        <f aca="false">K466*J466</f>
        <v>1199.7</v>
      </c>
      <c r="M466" s="6" t="n">
        <f aca="false">K466-L466</f>
        <v>6798.3</v>
      </c>
      <c r="N466" s="6" t="n">
        <f aca="false">G466*I466</f>
        <v>5400</v>
      </c>
      <c r="O466" s="6" t="n">
        <f aca="false">M466-N466</f>
        <v>1398.3</v>
      </c>
      <c r="P466" s="21" t="n">
        <f aca="false">IFERROR(O466/M466,0)</f>
        <v>0.205683773884648</v>
      </c>
      <c r="Q466" s="6" t="str">
        <f aca="false">Orders!H466</f>
        <v>Delivered</v>
      </c>
      <c r="R466" s="1" t="str">
        <f aca="false">INDEX(Customers!$C$2:$C$301,MATCH(C466,Customers!$A$2:$A$301,0))</f>
        <v>Kochi</v>
      </c>
      <c r="S466" s="1" t="str">
        <f aca="false">INDEX(Customers!$E$2:$E$301,MATCH(C466,Customers!$A$2:$A$301,0))</f>
        <v>Returning</v>
      </c>
      <c r="T466" s="6" t="str">
        <f aca="false">Orders!I466</f>
        <v>Mobile App</v>
      </c>
      <c r="U466" s="1" t="str">
        <f aca="false">IF(Q466="Delivered","Completed",IF(Q466="Cancelled","Cancelled",IF(Q466="Returned","Returned","In Progress")))</f>
        <v>Completed</v>
      </c>
      <c r="V466" s="1" t="str">
        <f aca="false">IF(M466&gt;=10000,"High Value",IF(M466&gt;=5000,"Medium Value","Low Value"))</f>
        <v>Medium Value</v>
      </c>
      <c r="W466" s="1" t="str">
        <f aca="false">IF(O466&gt;0,"Profitable",IF(O466=0,"Break-even","Loss"))</f>
        <v>Profitable</v>
      </c>
      <c r="X466" s="1" t="str">
        <f aca="false">IF(Q466="Cancelled","Not Applicable",IF(Q466="Processing","Pending",IF(B466="","Unknown",IF(Orders!J466="","Unknown",IF(Orders!J466&lt;=3,"Fast",IF(Orders!J466&lt;=6,"Standard","Slow"))))))</f>
        <v>Standard</v>
      </c>
      <c r="Y466" s="1" t="n">
        <f aca="false">IF(OR(Q466="Cancelled",Q466="Returned"),0,O466)</f>
        <v>1398.3</v>
      </c>
    </row>
    <row r="467" customFormat="false" ht="15" hidden="false" customHeight="false" outlineLevel="0" collapsed="false">
      <c r="A467" s="6" t="str">
        <f aca="false">Orders!A467</f>
        <v>O000466</v>
      </c>
      <c r="B467" s="19" t="n">
        <f aca="false">Orders!B467</f>
        <v>45966</v>
      </c>
      <c r="C467" s="6" t="str">
        <f aca="false">Orders!C467</f>
        <v>C0025</v>
      </c>
      <c r="D467" s="6" t="str">
        <f aca="false">Orders!D467</f>
        <v>P1009</v>
      </c>
      <c r="E467" s="6" t="str">
        <f aca="false">INDEX(Products!$B$2:$B$101,MATCH(D467,Products!$A$2:$A$101,0))</f>
        <v>Laptop Sleeve</v>
      </c>
      <c r="F467" s="1" t="str">
        <f aca="false">INDEX(Products!$C$2:$C$101,MATCH(D467,Products!$A$2:$A$101,0))</f>
        <v>Electronics</v>
      </c>
      <c r="G467" s="6" t="n">
        <f aca="false">Orders!E467</f>
        <v>1</v>
      </c>
      <c r="H467" s="16" t="n">
        <f aca="false">INDEX(Products!$D$2:$D$101,MATCH(D467,Products!$A$2:$A$101,0))</f>
        <v>799</v>
      </c>
      <c r="I467" s="16" t="n">
        <f aca="false">INDEX(Products!$E$2:$E$101,MATCH(D467,Products!$A$2:$A$101,0))</f>
        <v>350</v>
      </c>
      <c r="J467" s="20" t="n">
        <f aca="false">Orders!F467</f>
        <v>0.1</v>
      </c>
      <c r="K467" s="6" t="n">
        <f aca="false">G467*H467</f>
        <v>799</v>
      </c>
      <c r="L467" s="6" t="n">
        <f aca="false">K467*J467</f>
        <v>79.9</v>
      </c>
      <c r="M467" s="6" t="n">
        <f aca="false">K467-L467</f>
        <v>719.1</v>
      </c>
      <c r="N467" s="6" t="n">
        <f aca="false">G467*I467</f>
        <v>350</v>
      </c>
      <c r="O467" s="6" t="n">
        <f aca="false">M467-N467</f>
        <v>369.1</v>
      </c>
      <c r="P467" s="21" t="n">
        <f aca="false">IFERROR(O467/M467,0)</f>
        <v>0.513280489500765</v>
      </c>
      <c r="Q467" s="6" t="str">
        <f aca="false">Orders!H467</f>
        <v>Delivered</v>
      </c>
      <c r="R467" s="1" t="str">
        <f aca="false">INDEX(Customers!$C$2:$C$301,MATCH(C467,Customers!$A$2:$A$301,0))</f>
        <v>Chennai</v>
      </c>
      <c r="S467" s="1" t="str">
        <f aca="false">INDEX(Customers!$E$2:$E$301,MATCH(C467,Customers!$A$2:$A$301,0))</f>
        <v>Returning</v>
      </c>
      <c r="T467" s="6" t="str">
        <f aca="false">Orders!I467</f>
        <v>Mobile App</v>
      </c>
      <c r="U467" s="1" t="str">
        <f aca="false">IF(Q467="Delivered","Completed",IF(Q467="Cancelled","Cancelled",IF(Q467="Returned","Returned","In Progress")))</f>
        <v>Completed</v>
      </c>
      <c r="V467" s="1" t="str">
        <f aca="false">IF(M467&gt;=10000,"High Value",IF(M467&gt;=5000,"Medium Value","Low Value"))</f>
        <v>Low Value</v>
      </c>
      <c r="W467" s="1" t="str">
        <f aca="false">IF(O467&gt;0,"Profitable",IF(O467=0,"Break-even","Loss"))</f>
        <v>Profitable</v>
      </c>
      <c r="X467" s="1" t="str">
        <f aca="false">IF(Q467="Cancelled","Not Applicable",IF(Q467="Processing","Pending",IF(B467="","Unknown",IF(Orders!J467="","Unknown",IF(Orders!J467&lt;=3,"Fast",IF(Orders!J467&lt;=6,"Standard","Slow"))))))</f>
        <v>Fast</v>
      </c>
      <c r="Y467" s="1" t="n">
        <f aca="false">IF(OR(Q467="Cancelled",Q467="Returned"),0,O467)</f>
        <v>369.1</v>
      </c>
    </row>
    <row r="468" customFormat="false" ht="15" hidden="false" customHeight="false" outlineLevel="0" collapsed="false">
      <c r="A468" s="6" t="str">
        <f aca="false">Orders!A468</f>
        <v>O000467</v>
      </c>
      <c r="B468" s="19" t="n">
        <f aca="false">Orders!B468</f>
        <v>45726</v>
      </c>
      <c r="C468" s="6" t="str">
        <f aca="false">Orders!C468</f>
        <v>C0158</v>
      </c>
      <c r="D468" s="6" t="str">
        <f aca="false">Orders!D468</f>
        <v>P1086</v>
      </c>
      <c r="E468" s="6" t="str">
        <f aca="false">INDEX(Products!$B$2:$B$101,MATCH(D468,Products!$A$2:$A$101,0))</f>
        <v>Geometry Box</v>
      </c>
      <c r="F468" s="1" t="str">
        <f aca="false">INDEX(Products!$C$2:$C$101,MATCH(D468,Products!$A$2:$A$101,0))</f>
        <v>Books &amp; Stationery</v>
      </c>
      <c r="G468" s="6" t="n">
        <f aca="false">Orders!E468</f>
        <v>1</v>
      </c>
      <c r="H468" s="16" t="n">
        <f aca="false">INDEX(Products!$D$2:$D$101,MATCH(D468,Products!$A$2:$A$101,0))</f>
        <v>199</v>
      </c>
      <c r="I468" s="16" t="n">
        <f aca="false">INDEX(Products!$E$2:$E$101,MATCH(D468,Products!$A$2:$A$101,0))</f>
        <v>70</v>
      </c>
      <c r="J468" s="20" t="n">
        <f aca="false">Orders!F468</f>
        <v>0.1</v>
      </c>
      <c r="K468" s="6" t="n">
        <f aca="false">G468*H468</f>
        <v>199</v>
      </c>
      <c r="L468" s="6" t="n">
        <f aca="false">K468*J468</f>
        <v>19.9</v>
      </c>
      <c r="M468" s="6" t="n">
        <f aca="false">K468-L468</f>
        <v>179.1</v>
      </c>
      <c r="N468" s="6" t="n">
        <f aca="false">G468*I468</f>
        <v>70</v>
      </c>
      <c r="O468" s="6" t="n">
        <f aca="false">M468-N468</f>
        <v>109.1</v>
      </c>
      <c r="P468" s="21" t="n">
        <f aca="false">IFERROR(O468/M468,0)</f>
        <v>0.609156895589056</v>
      </c>
      <c r="Q468" s="6" t="str">
        <f aca="false">Orders!H468</f>
        <v>Delivered</v>
      </c>
      <c r="R468" s="1" t="str">
        <f aca="false">INDEX(Customers!$C$2:$C$301,MATCH(C468,Customers!$A$2:$A$301,0))</f>
        <v>Nagpur</v>
      </c>
      <c r="S468" s="1" t="str">
        <f aca="false">INDEX(Customers!$E$2:$E$301,MATCH(C468,Customers!$A$2:$A$301,0))</f>
        <v>Returning</v>
      </c>
      <c r="T468" s="6" t="str">
        <f aca="false">Orders!I468</f>
        <v>Mobile App</v>
      </c>
      <c r="U468" s="1" t="str">
        <f aca="false">IF(Q468="Delivered","Completed",IF(Q468="Cancelled","Cancelled",IF(Q468="Returned","Returned","In Progress")))</f>
        <v>Completed</v>
      </c>
      <c r="V468" s="1" t="str">
        <f aca="false">IF(M468&gt;=10000,"High Value",IF(M468&gt;=5000,"Medium Value","Low Value"))</f>
        <v>Low Value</v>
      </c>
      <c r="W468" s="1" t="str">
        <f aca="false">IF(O468&gt;0,"Profitable",IF(O468=0,"Break-even","Loss"))</f>
        <v>Profitable</v>
      </c>
      <c r="X468" s="1" t="str">
        <f aca="false">IF(Q468="Cancelled","Not Applicable",IF(Q468="Processing","Pending",IF(B468="","Unknown",IF(Orders!J468="","Unknown",IF(Orders!J468&lt;=3,"Fast",IF(Orders!J468&lt;=6,"Standard","Slow"))))))</f>
        <v>Fast</v>
      </c>
      <c r="Y468" s="1" t="n">
        <f aca="false">IF(OR(Q468="Cancelled",Q468="Returned"),0,O468)</f>
        <v>109.1</v>
      </c>
    </row>
    <row r="469" customFormat="false" ht="15" hidden="false" customHeight="false" outlineLevel="0" collapsed="false">
      <c r="A469" s="6" t="str">
        <f aca="false">Orders!A469</f>
        <v>O000468</v>
      </c>
      <c r="B469" s="19" t="n">
        <f aca="false">Orders!B469</f>
        <v>45834</v>
      </c>
      <c r="C469" s="6" t="str">
        <f aca="false">Orders!C469</f>
        <v>C0116</v>
      </c>
      <c r="D469" s="6" t="str">
        <f aca="false">Orders!D469</f>
        <v>P1011</v>
      </c>
      <c r="E469" s="6" t="str">
        <f aca="false">INDEX(Products!$B$2:$B$101,MATCH(D469,Products!$A$2:$A$101,0))</f>
        <v>Headphones</v>
      </c>
      <c r="F469" s="1" t="str">
        <f aca="false">INDEX(Products!$C$2:$C$101,MATCH(D469,Products!$A$2:$A$101,0))</f>
        <v>Electronics</v>
      </c>
      <c r="G469" s="6" t="n">
        <f aca="false">Orders!E469</f>
        <v>1</v>
      </c>
      <c r="H469" s="16" t="n">
        <f aca="false">INDEX(Products!$D$2:$D$101,MATCH(D469,Products!$A$2:$A$101,0))</f>
        <v>1599</v>
      </c>
      <c r="I469" s="16" t="n">
        <f aca="false">INDEX(Products!$E$2:$E$101,MATCH(D469,Products!$A$2:$A$101,0))</f>
        <v>900</v>
      </c>
      <c r="J469" s="20" t="n">
        <f aca="false">Orders!F469</f>
        <v>0.05</v>
      </c>
      <c r="K469" s="6" t="n">
        <f aca="false">G469*H469</f>
        <v>1599</v>
      </c>
      <c r="L469" s="6" t="n">
        <f aca="false">K469*J469</f>
        <v>79.95</v>
      </c>
      <c r="M469" s="6" t="n">
        <f aca="false">K469-L469</f>
        <v>1519.05</v>
      </c>
      <c r="N469" s="6" t="n">
        <f aca="false">G469*I469</f>
        <v>900</v>
      </c>
      <c r="O469" s="6" t="n">
        <f aca="false">M469-N469</f>
        <v>619.05</v>
      </c>
      <c r="P469" s="21" t="n">
        <f aca="false">IFERROR(O469/M469,0)</f>
        <v>0.407524439616866</v>
      </c>
      <c r="Q469" s="6" t="str">
        <f aca="false">Orders!H469</f>
        <v>Delivered</v>
      </c>
      <c r="R469" s="1" t="str">
        <f aca="false">INDEX(Customers!$C$2:$C$301,MATCH(C469,Customers!$A$2:$A$301,0))</f>
        <v>Chandigarh</v>
      </c>
      <c r="S469" s="1" t="str">
        <f aca="false">INDEX(Customers!$E$2:$E$301,MATCH(C469,Customers!$A$2:$A$301,0))</f>
        <v>New</v>
      </c>
      <c r="T469" s="6" t="str">
        <f aca="false">Orders!I469</f>
        <v>Marketplace</v>
      </c>
      <c r="U469" s="1" t="str">
        <f aca="false">IF(Q469="Delivered","Completed",IF(Q469="Cancelled","Cancelled",IF(Q469="Returned","Returned","In Progress")))</f>
        <v>Completed</v>
      </c>
      <c r="V469" s="1" t="str">
        <f aca="false">IF(M469&gt;=10000,"High Value",IF(M469&gt;=5000,"Medium Value","Low Value"))</f>
        <v>Low Value</v>
      </c>
      <c r="W469" s="1" t="str">
        <f aca="false">IF(O469&gt;0,"Profitable",IF(O469=0,"Break-even","Loss"))</f>
        <v>Profitable</v>
      </c>
      <c r="X469" s="1" t="str">
        <f aca="false">IF(Q469="Cancelled","Not Applicable",IF(Q469="Processing","Pending",IF(B469="","Unknown",IF(Orders!J469="","Unknown",IF(Orders!J469&lt;=3,"Fast",IF(Orders!J469&lt;=6,"Standard","Slow"))))))</f>
        <v>Slow</v>
      </c>
      <c r="Y469" s="1" t="n">
        <f aca="false">IF(OR(Q469="Cancelled",Q469="Returned"),0,O469)</f>
        <v>619.05</v>
      </c>
    </row>
    <row r="470" customFormat="false" ht="15" hidden="false" customHeight="false" outlineLevel="0" collapsed="false">
      <c r="A470" s="6" t="str">
        <f aca="false">Orders!A470</f>
        <v>O000469</v>
      </c>
      <c r="B470" s="19" t="n">
        <f aca="false">Orders!B470</f>
        <v>45901</v>
      </c>
      <c r="C470" s="6" t="str">
        <f aca="false">Orders!C470</f>
        <v>C0056</v>
      </c>
      <c r="D470" s="6" t="str">
        <f aca="false">Orders!D470</f>
        <v>P1023</v>
      </c>
      <c r="E470" s="6" t="str">
        <f aca="false">INDEX(Products!$B$2:$B$101,MATCH(D470,Products!$A$2:$A$101,0))</f>
        <v>Sports Cap</v>
      </c>
      <c r="F470" s="1" t="str">
        <f aca="false">INDEX(Products!$C$2:$C$101,MATCH(D470,Products!$A$2:$A$101,0))</f>
        <v>Fashion</v>
      </c>
      <c r="G470" s="6" t="n">
        <f aca="false">Orders!E470</f>
        <v>3</v>
      </c>
      <c r="H470" s="16" t="n">
        <f aca="false">INDEX(Products!$D$2:$D$101,MATCH(D470,Products!$A$2:$A$101,0))</f>
        <v>349</v>
      </c>
      <c r="I470" s="16" t="n">
        <f aca="false">INDEX(Products!$E$2:$E$101,MATCH(D470,Products!$A$2:$A$101,0))</f>
        <v>120</v>
      </c>
      <c r="J470" s="20" t="n">
        <f aca="false">Orders!F470</f>
        <v>0.05</v>
      </c>
      <c r="K470" s="6" t="n">
        <f aca="false">G470*H470</f>
        <v>1047</v>
      </c>
      <c r="L470" s="6" t="n">
        <f aca="false">K470*J470</f>
        <v>52.35</v>
      </c>
      <c r="M470" s="6" t="n">
        <f aca="false">K470-L470</f>
        <v>994.65</v>
      </c>
      <c r="N470" s="6" t="n">
        <f aca="false">G470*I470</f>
        <v>360</v>
      </c>
      <c r="O470" s="6" t="n">
        <f aca="false">M470-N470</f>
        <v>634.65</v>
      </c>
      <c r="P470" s="21" t="n">
        <f aca="false">IFERROR(O470/M470,0)</f>
        <v>0.63806364047655</v>
      </c>
      <c r="Q470" s="6" t="str">
        <f aca="false">Orders!H470</f>
        <v>Shipped</v>
      </c>
      <c r="R470" s="1" t="str">
        <f aca="false">INDEX(Customers!$C$2:$C$301,MATCH(C470,Customers!$A$2:$A$301,0))</f>
        <v>Chandigarh</v>
      </c>
      <c r="S470" s="1" t="str">
        <f aca="false">INDEX(Customers!$E$2:$E$301,MATCH(C470,Customers!$A$2:$A$301,0))</f>
        <v>Returning</v>
      </c>
      <c r="T470" s="6" t="str">
        <f aca="false">Orders!I470</f>
        <v>Marketplace</v>
      </c>
      <c r="U470" s="1" t="str">
        <f aca="false">IF(Q470="Delivered","Completed",IF(Q470="Cancelled","Cancelled",IF(Q470="Returned","Returned","In Progress")))</f>
        <v>In Progress</v>
      </c>
      <c r="V470" s="1" t="str">
        <f aca="false">IF(M470&gt;=10000,"High Value",IF(M470&gt;=5000,"Medium Value","Low Value"))</f>
        <v>Low Value</v>
      </c>
      <c r="W470" s="1" t="str">
        <f aca="false">IF(O470&gt;0,"Profitable",IF(O470=0,"Break-even","Loss"))</f>
        <v>Profitable</v>
      </c>
      <c r="X470" s="1" t="str">
        <f aca="false">IF(Q470="Cancelled","Not Applicable",IF(Q470="Processing","Pending",IF(B470="","Unknown",IF(Orders!J470="","Unknown",IF(Orders!J470&lt;=3,"Fast",IF(Orders!J470&lt;=6,"Standard","Slow"))))))</f>
        <v>Standard</v>
      </c>
      <c r="Y470" s="1" t="n">
        <f aca="false">IF(OR(Q470="Cancelled",Q470="Returned"),0,O470)</f>
        <v>634.65</v>
      </c>
    </row>
    <row r="471" customFormat="false" ht="23.85" hidden="false" customHeight="false" outlineLevel="0" collapsed="false">
      <c r="A471" s="6" t="str">
        <f aca="false">Orders!A471</f>
        <v>O000470</v>
      </c>
      <c r="B471" s="19" t="n">
        <f aca="false">Orders!B471</f>
        <v>45859</v>
      </c>
      <c r="C471" s="6" t="str">
        <f aca="false">Orders!C471</f>
        <v>C0219</v>
      </c>
      <c r="D471" s="6" t="str">
        <f aca="false">Orders!D471</f>
        <v>P1047</v>
      </c>
      <c r="E471" s="6" t="str">
        <f aca="false">INDEX(Products!$B$2:$B$101,MATCH(D471,Products!$A$2:$A$101,0))</f>
        <v>Sunscreen Lotion</v>
      </c>
      <c r="F471" s="1" t="str">
        <f aca="false">INDEX(Products!$C$2:$C$101,MATCH(D471,Products!$A$2:$A$101,0))</f>
        <v>Beauty</v>
      </c>
      <c r="G471" s="6" t="n">
        <f aca="false">Orders!E471</f>
        <v>1</v>
      </c>
      <c r="H471" s="16" t="n">
        <f aca="false">INDEX(Products!$D$2:$D$101,MATCH(D471,Products!$A$2:$A$101,0))</f>
        <v>399</v>
      </c>
      <c r="I471" s="16" t="n">
        <f aca="false">INDEX(Products!$E$2:$E$101,MATCH(D471,Products!$A$2:$A$101,0))</f>
        <v>170</v>
      </c>
      <c r="J471" s="20" t="n">
        <f aca="false">Orders!F471</f>
        <v>0.05</v>
      </c>
      <c r="K471" s="6" t="n">
        <f aca="false">G471*H471</f>
        <v>399</v>
      </c>
      <c r="L471" s="6" t="n">
        <f aca="false">K471*J471</f>
        <v>19.95</v>
      </c>
      <c r="M471" s="6" t="n">
        <f aca="false">K471-L471</f>
        <v>379.05</v>
      </c>
      <c r="N471" s="6" t="n">
        <f aca="false">G471*I471</f>
        <v>170</v>
      </c>
      <c r="O471" s="6" t="n">
        <f aca="false">M471-N471</f>
        <v>209.05</v>
      </c>
      <c r="P471" s="21" t="n">
        <f aca="false">IFERROR(O471/M471,0)</f>
        <v>0.551510354834455</v>
      </c>
      <c r="Q471" s="6" t="str">
        <f aca="false">Orders!H471</f>
        <v>Delivered</v>
      </c>
      <c r="R471" s="1" t="str">
        <f aca="false">INDEX(Customers!$C$2:$C$301,MATCH(C471,Customers!$A$2:$A$301,0))</f>
        <v>Coimbatore</v>
      </c>
      <c r="S471" s="1" t="str">
        <f aca="false">INDEX(Customers!$E$2:$E$301,MATCH(C471,Customers!$A$2:$A$301,0))</f>
        <v>New</v>
      </c>
      <c r="T471" s="6" t="str">
        <f aca="false">Orders!I471</f>
        <v>Mobile App</v>
      </c>
      <c r="U471" s="1" t="str">
        <f aca="false">IF(Q471="Delivered","Completed",IF(Q471="Cancelled","Cancelled",IF(Q471="Returned","Returned","In Progress")))</f>
        <v>Completed</v>
      </c>
      <c r="V471" s="1" t="str">
        <f aca="false">IF(M471&gt;=10000,"High Value",IF(M471&gt;=5000,"Medium Value","Low Value"))</f>
        <v>Low Value</v>
      </c>
      <c r="W471" s="1" t="str">
        <f aca="false">IF(O471&gt;0,"Profitable",IF(O471=0,"Break-even","Loss"))</f>
        <v>Profitable</v>
      </c>
      <c r="X471" s="1" t="str">
        <f aca="false">IF(Q471="Cancelled","Not Applicable",IF(Q471="Processing","Pending",IF(B471="","Unknown",IF(Orders!J471="","Unknown",IF(Orders!J471&lt;=3,"Fast",IF(Orders!J471&lt;=6,"Standard","Slow"))))))</f>
        <v>Standard</v>
      </c>
      <c r="Y471" s="1" t="n">
        <f aca="false">IF(OR(Q471="Cancelled",Q471="Returned"),0,O471)</f>
        <v>209.05</v>
      </c>
    </row>
    <row r="472" customFormat="false" ht="15" hidden="false" customHeight="false" outlineLevel="0" collapsed="false">
      <c r="A472" s="6" t="str">
        <f aca="false">Orders!A472</f>
        <v>O000471</v>
      </c>
      <c r="B472" s="19" t="n">
        <f aca="false">Orders!B472</f>
        <v>45690</v>
      </c>
      <c r="C472" s="6" t="str">
        <f aca="false">Orders!C472</f>
        <v>C0025</v>
      </c>
      <c r="D472" s="6" t="str">
        <f aca="false">Orders!D472</f>
        <v>P1010</v>
      </c>
      <c r="E472" s="6" t="str">
        <f aca="false">INDEX(Products!$B$2:$B$101,MATCH(D472,Products!$A$2:$A$101,0))</f>
        <v>Webcam</v>
      </c>
      <c r="F472" s="1" t="str">
        <f aca="false">INDEX(Products!$C$2:$C$101,MATCH(D472,Products!$A$2:$A$101,0))</f>
        <v>Electronics</v>
      </c>
      <c r="G472" s="6" t="n">
        <f aca="false">Orders!E472</f>
        <v>2</v>
      </c>
      <c r="H472" s="16" t="n">
        <f aca="false">INDEX(Products!$D$2:$D$101,MATCH(D472,Products!$A$2:$A$101,0))</f>
        <v>1799</v>
      </c>
      <c r="I472" s="16" t="n">
        <f aca="false">INDEX(Products!$E$2:$E$101,MATCH(D472,Products!$A$2:$A$101,0))</f>
        <v>1050</v>
      </c>
      <c r="J472" s="20" t="n">
        <f aca="false">Orders!F472</f>
        <v>0.15</v>
      </c>
      <c r="K472" s="6" t="n">
        <f aca="false">G472*H472</f>
        <v>3598</v>
      </c>
      <c r="L472" s="6" t="n">
        <f aca="false">K472*J472</f>
        <v>539.7</v>
      </c>
      <c r="M472" s="6" t="n">
        <f aca="false">K472-L472</f>
        <v>3058.3</v>
      </c>
      <c r="N472" s="6" t="n">
        <f aca="false">G472*I472</f>
        <v>2100</v>
      </c>
      <c r="O472" s="6" t="n">
        <f aca="false">M472-N472</f>
        <v>958.3</v>
      </c>
      <c r="P472" s="21" t="n">
        <f aca="false">IFERROR(O472/M472,0)</f>
        <v>0.313344014648661</v>
      </c>
      <c r="Q472" s="6" t="str">
        <f aca="false">Orders!H472</f>
        <v>Processing</v>
      </c>
      <c r="R472" s="1" t="str">
        <f aca="false">INDEX(Customers!$C$2:$C$301,MATCH(C472,Customers!$A$2:$A$301,0))</f>
        <v>Chennai</v>
      </c>
      <c r="S472" s="1" t="str">
        <f aca="false">INDEX(Customers!$E$2:$E$301,MATCH(C472,Customers!$A$2:$A$301,0))</f>
        <v>Returning</v>
      </c>
      <c r="T472" s="6" t="str">
        <f aca="false">Orders!I472</f>
        <v>Mobile App</v>
      </c>
      <c r="U472" s="1" t="str">
        <f aca="false">IF(Q472="Delivered","Completed",IF(Q472="Cancelled","Cancelled",IF(Q472="Returned","Returned","In Progress")))</f>
        <v>In Progress</v>
      </c>
      <c r="V472" s="1" t="str">
        <f aca="false">IF(M472&gt;=10000,"High Value",IF(M472&gt;=5000,"Medium Value","Low Value"))</f>
        <v>Low Value</v>
      </c>
      <c r="W472" s="1" t="str">
        <f aca="false">IF(O472&gt;0,"Profitable",IF(O472=0,"Break-even","Loss"))</f>
        <v>Profitable</v>
      </c>
      <c r="X472" s="1" t="str">
        <f aca="false">IF(Q472="Cancelled","Not Applicable",IF(Q472="Processing","Pending",IF(B472="","Unknown",IF(Orders!J472="","Unknown",IF(Orders!J472&lt;=3,"Fast",IF(Orders!J472&lt;=6,"Standard","Slow"))))))</f>
        <v>Pending</v>
      </c>
      <c r="Y472" s="1" t="n">
        <f aca="false">IF(OR(Q472="Cancelled",Q472="Returned"),0,O472)</f>
        <v>958.3</v>
      </c>
    </row>
    <row r="473" customFormat="false" ht="15" hidden="false" customHeight="false" outlineLevel="0" collapsed="false">
      <c r="A473" s="6" t="str">
        <f aca="false">Orders!A473</f>
        <v>O000472</v>
      </c>
      <c r="B473" s="19" t="n">
        <f aca="false">Orders!B473</f>
        <v>45982</v>
      </c>
      <c r="C473" s="6" t="str">
        <f aca="false">Orders!C473</f>
        <v>C0289</v>
      </c>
      <c r="D473" s="6" t="str">
        <f aca="false">Orders!D473</f>
        <v>P1095</v>
      </c>
      <c r="E473" s="6" t="str">
        <f aca="false">INDEX(Products!$B$2:$B$101,MATCH(D473,Products!$A$2:$A$101,0))</f>
        <v>Table Fan</v>
      </c>
      <c r="F473" s="1" t="str">
        <f aca="false">INDEX(Products!$C$2:$C$101,MATCH(D473,Products!$A$2:$A$101,0))</f>
        <v>Appliances</v>
      </c>
      <c r="G473" s="6" t="n">
        <f aca="false">Orders!E473</f>
        <v>1</v>
      </c>
      <c r="H473" s="16" t="n">
        <f aca="false">INDEX(Products!$D$2:$D$101,MATCH(D473,Products!$A$2:$A$101,0))</f>
        <v>1599</v>
      </c>
      <c r="I473" s="16" t="n">
        <f aca="false">INDEX(Products!$E$2:$E$101,MATCH(D473,Products!$A$2:$A$101,0))</f>
        <v>950</v>
      </c>
      <c r="J473" s="20" t="n">
        <f aca="false">Orders!F473</f>
        <v>0.1</v>
      </c>
      <c r="K473" s="6" t="n">
        <f aca="false">G473*H473</f>
        <v>1599</v>
      </c>
      <c r="L473" s="6" t="n">
        <f aca="false">K473*J473</f>
        <v>159.9</v>
      </c>
      <c r="M473" s="6" t="n">
        <f aca="false">K473-L473</f>
        <v>1439.1</v>
      </c>
      <c r="N473" s="6" t="n">
        <f aca="false">G473*I473</f>
        <v>950</v>
      </c>
      <c r="O473" s="6" t="n">
        <f aca="false">M473-N473</f>
        <v>489.1</v>
      </c>
      <c r="P473" s="21" t="n">
        <f aca="false">IFERROR(O473/M473,0)</f>
        <v>0.33986519352373</v>
      </c>
      <c r="Q473" s="6" t="str">
        <f aca="false">Orders!H473</f>
        <v>Delivered</v>
      </c>
      <c r="R473" s="1" t="str">
        <f aca="false">INDEX(Customers!$C$2:$C$301,MATCH(C473,Customers!$A$2:$A$301,0))</f>
        <v>Ahmedabad</v>
      </c>
      <c r="S473" s="1" t="str">
        <f aca="false">INDEX(Customers!$E$2:$E$301,MATCH(C473,Customers!$A$2:$A$301,0))</f>
        <v>Returning</v>
      </c>
      <c r="T473" s="6" t="str">
        <f aca="false">Orders!I473</f>
        <v>Mobile App</v>
      </c>
      <c r="U473" s="1" t="str">
        <f aca="false">IF(Q473="Delivered","Completed",IF(Q473="Cancelled","Cancelled",IF(Q473="Returned","Returned","In Progress")))</f>
        <v>Completed</v>
      </c>
      <c r="V473" s="1" t="str">
        <f aca="false">IF(M473&gt;=10000,"High Value",IF(M473&gt;=5000,"Medium Value","Low Value"))</f>
        <v>Low Value</v>
      </c>
      <c r="W473" s="1" t="str">
        <f aca="false">IF(O473&gt;0,"Profitable",IF(O473=0,"Break-even","Loss"))</f>
        <v>Profitable</v>
      </c>
      <c r="X473" s="1" t="str">
        <f aca="false">IF(Q473="Cancelled","Not Applicable",IF(Q473="Processing","Pending",IF(B473="","Unknown",IF(Orders!J473="","Unknown",IF(Orders!J473&lt;=3,"Fast",IF(Orders!J473&lt;=6,"Standard","Slow"))))))</f>
        <v>Standard</v>
      </c>
      <c r="Y473" s="1" t="n">
        <f aca="false">IF(OR(Q473="Cancelled",Q473="Returned"),0,O473)</f>
        <v>489.1</v>
      </c>
    </row>
    <row r="474" customFormat="false" ht="23.85" hidden="false" customHeight="false" outlineLevel="0" collapsed="false">
      <c r="A474" s="6" t="str">
        <f aca="false">Orders!A474</f>
        <v>O000473</v>
      </c>
      <c r="B474" s="19" t="n">
        <f aca="false">Orders!B474</f>
        <v>45721</v>
      </c>
      <c r="C474" s="6" t="str">
        <f aca="false">Orders!C474</f>
        <v>C0084</v>
      </c>
      <c r="D474" s="6" t="str">
        <f aca="false">Orders!D474</f>
        <v>P1061</v>
      </c>
      <c r="E474" s="6" t="str">
        <f aca="false">INDEX(Products!$B$2:$B$101,MATCH(D474,Products!$A$2:$A$101,0))</f>
        <v>Resistance Bands</v>
      </c>
      <c r="F474" s="1" t="str">
        <f aca="false">INDEX(Products!$C$2:$C$101,MATCH(D474,Products!$A$2:$A$101,0))</f>
        <v>Sports &amp; Outdoors</v>
      </c>
      <c r="G474" s="6" t="n">
        <f aca="false">Orders!E474</f>
        <v>3</v>
      </c>
      <c r="H474" s="16" t="n">
        <f aca="false">INDEX(Products!$D$2:$D$101,MATCH(D474,Products!$A$2:$A$101,0))</f>
        <v>399</v>
      </c>
      <c r="I474" s="16" t="n">
        <f aca="false">INDEX(Products!$E$2:$E$101,MATCH(D474,Products!$A$2:$A$101,0))</f>
        <v>150</v>
      </c>
      <c r="J474" s="20" t="n">
        <f aca="false">Orders!F474</f>
        <v>0.1</v>
      </c>
      <c r="K474" s="6" t="n">
        <f aca="false">G474*H474</f>
        <v>1197</v>
      </c>
      <c r="L474" s="6" t="n">
        <f aca="false">K474*J474</f>
        <v>119.7</v>
      </c>
      <c r="M474" s="6" t="n">
        <f aca="false">K474-L474</f>
        <v>1077.3</v>
      </c>
      <c r="N474" s="6" t="n">
        <f aca="false">G474*I474</f>
        <v>450</v>
      </c>
      <c r="O474" s="6" t="n">
        <f aca="false">M474-N474</f>
        <v>627.3</v>
      </c>
      <c r="P474" s="21" t="n">
        <f aca="false">IFERROR(O474/M474,0)</f>
        <v>0.582289055973267</v>
      </c>
      <c r="Q474" s="6" t="str">
        <f aca="false">Orders!H474</f>
        <v>Delivered</v>
      </c>
      <c r="R474" s="1" t="str">
        <f aca="false">INDEX(Customers!$C$2:$C$301,MATCH(C474,Customers!$A$2:$A$301,0))</f>
        <v>Hyderabad</v>
      </c>
      <c r="S474" s="1" t="str">
        <f aca="false">INDEX(Customers!$E$2:$E$301,MATCH(C474,Customers!$A$2:$A$301,0))</f>
        <v>Returning</v>
      </c>
      <c r="T474" s="6" t="str">
        <f aca="false">Orders!I474</f>
        <v>Marketplace</v>
      </c>
      <c r="U474" s="1" t="str">
        <f aca="false">IF(Q474="Delivered","Completed",IF(Q474="Cancelled","Cancelled",IF(Q474="Returned","Returned","In Progress")))</f>
        <v>Completed</v>
      </c>
      <c r="V474" s="1" t="str">
        <f aca="false">IF(M474&gt;=10000,"High Value",IF(M474&gt;=5000,"Medium Value","Low Value"))</f>
        <v>Low Value</v>
      </c>
      <c r="W474" s="1" t="str">
        <f aca="false">IF(O474&gt;0,"Profitable",IF(O474=0,"Break-even","Loss"))</f>
        <v>Profitable</v>
      </c>
      <c r="X474" s="1" t="str">
        <f aca="false">IF(Q474="Cancelled","Not Applicable",IF(Q474="Processing","Pending",IF(B474="","Unknown",IF(Orders!J474="","Unknown",IF(Orders!J474&lt;=3,"Fast",IF(Orders!J474&lt;=6,"Standard","Slow"))))))</f>
        <v>Standard</v>
      </c>
      <c r="Y474" s="1" t="n">
        <f aca="false">IF(OR(Q474="Cancelled",Q474="Returned"),0,O474)</f>
        <v>627.3</v>
      </c>
    </row>
    <row r="475" customFormat="false" ht="15" hidden="false" customHeight="false" outlineLevel="0" collapsed="false">
      <c r="A475" s="6" t="str">
        <f aca="false">Orders!A475</f>
        <v>O000474</v>
      </c>
      <c r="B475" s="19" t="n">
        <f aca="false">Orders!B475</f>
        <v>45850</v>
      </c>
      <c r="C475" s="6" t="str">
        <f aca="false">Orders!C475</f>
        <v>C0134</v>
      </c>
      <c r="D475" s="6" t="str">
        <f aca="false">Orders!D475</f>
        <v>P1078</v>
      </c>
      <c r="E475" s="6" t="str">
        <f aca="false">INDEX(Products!$B$2:$B$101,MATCH(D475,Products!$A$2:$A$101,0))</f>
        <v>Sketchbook</v>
      </c>
      <c r="F475" s="1" t="str">
        <f aca="false">INDEX(Products!$C$2:$C$101,MATCH(D475,Products!$A$2:$A$101,0))</f>
        <v>Books &amp; Stationery</v>
      </c>
      <c r="G475" s="6" t="n">
        <f aca="false">Orders!E475</f>
        <v>1</v>
      </c>
      <c r="H475" s="16" t="n">
        <f aca="false">INDEX(Products!$D$2:$D$101,MATCH(D475,Products!$A$2:$A$101,0))</f>
        <v>249</v>
      </c>
      <c r="I475" s="16" t="n">
        <f aca="false">INDEX(Products!$E$2:$E$101,MATCH(D475,Products!$A$2:$A$101,0))</f>
        <v>90</v>
      </c>
      <c r="J475" s="20" t="n">
        <f aca="false">Orders!F475</f>
        <v>0.15</v>
      </c>
      <c r="K475" s="6" t="n">
        <f aca="false">G475*H475</f>
        <v>249</v>
      </c>
      <c r="L475" s="6" t="n">
        <f aca="false">K475*J475</f>
        <v>37.35</v>
      </c>
      <c r="M475" s="6" t="n">
        <f aca="false">K475-L475</f>
        <v>211.65</v>
      </c>
      <c r="N475" s="6" t="n">
        <f aca="false">G475*I475</f>
        <v>90</v>
      </c>
      <c r="O475" s="6" t="n">
        <f aca="false">M475-N475</f>
        <v>121.65</v>
      </c>
      <c r="P475" s="21" t="n">
        <f aca="false">IFERROR(O475/M475,0)</f>
        <v>0.574769666902906</v>
      </c>
      <c r="Q475" s="6" t="str">
        <f aca="false">Orders!H475</f>
        <v>Delivered</v>
      </c>
      <c r="R475" s="1" t="str">
        <f aca="false">INDEX(Customers!$C$2:$C$301,MATCH(C475,Customers!$A$2:$A$301,0))</f>
        <v>Indore</v>
      </c>
      <c r="S475" s="1" t="str">
        <f aca="false">INDEX(Customers!$E$2:$E$301,MATCH(C475,Customers!$A$2:$A$301,0))</f>
        <v>New</v>
      </c>
      <c r="T475" s="6" t="str">
        <f aca="false">Orders!I475</f>
        <v>Marketplace</v>
      </c>
      <c r="U475" s="1" t="str">
        <f aca="false">IF(Q475="Delivered","Completed",IF(Q475="Cancelled","Cancelled",IF(Q475="Returned","Returned","In Progress")))</f>
        <v>Completed</v>
      </c>
      <c r="V475" s="1" t="str">
        <f aca="false">IF(M475&gt;=10000,"High Value",IF(M475&gt;=5000,"Medium Value","Low Value"))</f>
        <v>Low Value</v>
      </c>
      <c r="W475" s="1" t="str">
        <f aca="false">IF(O475&gt;0,"Profitable",IF(O475=0,"Break-even","Loss"))</f>
        <v>Profitable</v>
      </c>
      <c r="X475" s="1" t="str">
        <f aca="false">IF(Q475="Cancelled","Not Applicable",IF(Q475="Processing","Pending",IF(B475="","Unknown",IF(Orders!J475="","Unknown",IF(Orders!J475&lt;=3,"Fast",IF(Orders!J475&lt;=6,"Standard","Slow"))))))</f>
        <v>Fast</v>
      </c>
      <c r="Y475" s="1" t="n">
        <f aca="false">IF(OR(Q475="Cancelled",Q475="Returned"),0,O475)</f>
        <v>121.65</v>
      </c>
    </row>
    <row r="476" customFormat="false" ht="15" hidden="false" customHeight="false" outlineLevel="0" collapsed="false">
      <c r="A476" s="6" t="str">
        <f aca="false">Orders!A476</f>
        <v>O000475</v>
      </c>
      <c r="B476" s="19" t="n">
        <f aca="false">Orders!B476</f>
        <v>45970</v>
      </c>
      <c r="C476" s="6" t="str">
        <f aca="false">Orders!C476</f>
        <v>C0208</v>
      </c>
      <c r="D476" s="6" t="str">
        <f aca="false">Orders!D476</f>
        <v>P1006</v>
      </c>
      <c r="E476" s="6" t="str">
        <f aca="false">INDEX(Products!$B$2:$B$101,MATCH(D476,Products!$A$2:$A$101,0))</f>
        <v>Wireless Mouse</v>
      </c>
      <c r="F476" s="1" t="str">
        <f aca="false">INDEX(Products!$C$2:$C$101,MATCH(D476,Products!$A$2:$A$101,0))</f>
        <v>Electronics</v>
      </c>
      <c r="G476" s="6" t="n">
        <f aca="false">Orders!E476</f>
        <v>1</v>
      </c>
      <c r="H476" s="16" t="n">
        <f aca="false">INDEX(Products!$D$2:$D$101,MATCH(D476,Products!$A$2:$A$101,0))</f>
        <v>699</v>
      </c>
      <c r="I476" s="16" t="n">
        <f aca="false">INDEX(Products!$E$2:$E$101,MATCH(D476,Products!$A$2:$A$101,0))</f>
        <v>300</v>
      </c>
      <c r="J476" s="20" t="n">
        <f aca="false">Orders!F476</f>
        <v>0.25</v>
      </c>
      <c r="K476" s="6" t="n">
        <f aca="false">G476*H476</f>
        <v>699</v>
      </c>
      <c r="L476" s="6" t="n">
        <f aca="false">K476*J476</f>
        <v>174.75</v>
      </c>
      <c r="M476" s="6" t="n">
        <f aca="false">K476-L476</f>
        <v>524.25</v>
      </c>
      <c r="N476" s="6" t="n">
        <f aca="false">G476*I476</f>
        <v>300</v>
      </c>
      <c r="O476" s="6" t="n">
        <f aca="false">M476-N476</f>
        <v>224.25</v>
      </c>
      <c r="P476" s="21" t="n">
        <f aca="false">IFERROR(O476/M476,0)</f>
        <v>0.427753934191702</v>
      </c>
      <c r="Q476" s="6" t="str">
        <f aca="false">Orders!H476</f>
        <v>Delivered</v>
      </c>
      <c r="R476" s="1" t="str">
        <f aca="false">INDEX(Customers!$C$2:$C$301,MATCH(C476,Customers!$A$2:$A$301,0))</f>
        <v>Jaipur</v>
      </c>
      <c r="S476" s="1" t="str">
        <f aca="false">INDEX(Customers!$E$2:$E$301,MATCH(C476,Customers!$A$2:$A$301,0))</f>
        <v>Returning</v>
      </c>
      <c r="T476" s="6" t="str">
        <f aca="false">Orders!I476</f>
        <v>Marketplace</v>
      </c>
      <c r="U476" s="1" t="str">
        <f aca="false">IF(Q476="Delivered","Completed",IF(Q476="Cancelled","Cancelled",IF(Q476="Returned","Returned","In Progress")))</f>
        <v>Completed</v>
      </c>
      <c r="V476" s="1" t="str">
        <f aca="false">IF(M476&gt;=10000,"High Value",IF(M476&gt;=5000,"Medium Value","Low Value"))</f>
        <v>Low Value</v>
      </c>
      <c r="W476" s="1" t="str">
        <f aca="false">IF(O476&gt;0,"Profitable",IF(O476=0,"Break-even","Loss"))</f>
        <v>Profitable</v>
      </c>
      <c r="X476" s="1" t="str">
        <f aca="false">IF(Q476="Cancelled","Not Applicable",IF(Q476="Processing","Pending",IF(B476="","Unknown",IF(Orders!J476="","Unknown",IF(Orders!J476&lt;=3,"Fast",IF(Orders!J476&lt;=6,"Standard","Slow"))))))</f>
        <v>Standard</v>
      </c>
      <c r="Y476" s="1" t="n">
        <f aca="false">IF(OR(Q476="Cancelled",Q476="Returned"),0,O476)</f>
        <v>224.25</v>
      </c>
    </row>
    <row r="477" customFormat="false" ht="15" hidden="false" customHeight="false" outlineLevel="0" collapsed="false">
      <c r="A477" s="6" t="str">
        <f aca="false">Orders!A477</f>
        <v>O000476</v>
      </c>
      <c r="B477" s="19" t="n">
        <f aca="false">Orders!B477</f>
        <v>45841</v>
      </c>
      <c r="C477" s="6" t="str">
        <f aca="false">Orders!C477</f>
        <v>C0151</v>
      </c>
      <c r="D477" s="6" t="str">
        <f aca="false">Orders!D477</f>
        <v>P1097</v>
      </c>
      <c r="E477" s="6" t="str">
        <f aca="false">INDEX(Products!$B$2:$B$101,MATCH(D477,Products!$A$2:$A$101,0))</f>
        <v>Vacuum Cleaner</v>
      </c>
      <c r="F477" s="1" t="str">
        <f aca="false">INDEX(Products!$C$2:$C$101,MATCH(D477,Products!$A$2:$A$101,0))</f>
        <v>Appliances</v>
      </c>
      <c r="G477" s="6" t="n">
        <f aca="false">Orders!E477</f>
        <v>1</v>
      </c>
      <c r="H477" s="16" t="n">
        <f aca="false">INDEX(Products!$D$2:$D$101,MATCH(D477,Products!$A$2:$A$101,0))</f>
        <v>3499</v>
      </c>
      <c r="I477" s="16" t="n">
        <f aca="false">INDEX(Products!$E$2:$E$101,MATCH(D477,Products!$A$2:$A$101,0))</f>
        <v>2400</v>
      </c>
      <c r="J477" s="20" t="n">
        <f aca="false">Orders!F477</f>
        <v>0</v>
      </c>
      <c r="K477" s="6" t="n">
        <f aca="false">G477*H477</f>
        <v>3499</v>
      </c>
      <c r="L477" s="6" t="n">
        <f aca="false">K477*J477</f>
        <v>0</v>
      </c>
      <c r="M477" s="6" t="n">
        <f aca="false">K477-L477</f>
        <v>3499</v>
      </c>
      <c r="N477" s="6" t="n">
        <f aca="false">G477*I477</f>
        <v>2400</v>
      </c>
      <c r="O477" s="6" t="n">
        <f aca="false">M477-N477</f>
        <v>1099</v>
      </c>
      <c r="P477" s="21" t="n">
        <f aca="false">IFERROR(O477/M477,0)</f>
        <v>0.314089739925693</v>
      </c>
      <c r="Q477" s="6" t="str">
        <f aca="false">Orders!H477</f>
        <v>Delivered</v>
      </c>
      <c r="R477" s="1" t="str">
        <f aca="false">INDEX(Customers!$C$2:$C$301,MATCH(C477,Customers!$A$2:$A$301,0))</f>
        <v>Gurugram</v>
      </c>
      <c r="S477" s="1" t="str">
        <f aca="false">INDEX(Customers!$E$2:$E$301,MATCH(C477,Customers!$A$2:$A$301,0))</f>
        <v>New</v>
      </c>
      <c r="T477" s="6" t="str">
        <f aca="false">Orders!I477</f>
        <v>Mobile App</v>
      </c>
      <c r="U477" s="1" t="str">
        <f aca="false">IF(Q477="Delivered","Completed",IF(Q477="Cancelled","Cancelled",IF(Q477="Returned","Returned","In Progress")))</f>
        <v>Completed</v>
      </c>
      <c r="V477" s="1" t="str">
        <f aca="false">IF(M477&gt;=10000,"High Value",IF(M477&gt;=5000,"Medium Value","Low Value"))</f>
        <v>Low Value</v>
      </c>
      <c r="W477" s="1" t="str">
        <f aca="false">IF(O477&gt;0,"Profitable",IF(O477=0,"Break-even","Loss"))</f>
        <v>Profitable</v>
      </c>
      <c r="X477" s="1" t="str">
        <f aca="false">IF(Q477="Cancelled","Not Applicable",IF(Q477="Processing","Pending",IF(B477="","Unknown",IF(Orders!J477="","Unknown",IF(Orders!J477&lt;=3,"Fast",IF(Orders!J477&lt;=6,"Standard","Slow"))))))</f>
        <v>Standard</v>
      </c>
      <c r="Y477" s="1" t="n">
        <f aca="false">IF(OR(Q477="Cancelled",Q477="Returned"),0,O477)</f>
        <v>1099</v>
      </c>
    </row>
    <row r="478" customFormat="false" ht="15" hidden="false" customHeight="false" outlineLevel="0" collapsed="false">
      <c r="A478" s="6" t="str">
        <f aca="false">Orders!A478</f>
        <v>O000477</v>
      </c>
      <c r="B478" s="19" t="n">
        <f aca="false">Orders!B478</f>
        <v>45796</v>
      </c>
      <c r="C478" s="6" t="str">
        <f aca="false">Orders!C478</f>
        <v>C0191</v>
      </c>
      <c r="D478" s="6" t="str">
        <f aca="false">Orders!D478</f>
        <v>P1088</v>
      </c>
      <c r="E478" s="6" t="str">
        <f aca="false">INDEX(Products!$B$2:$B$101,MATCH(D478,Products!$A$2:$A$101,0))</f>
        <v>Electric Kettle</v>
      </c>
      <c r="F478" s="1" t="str">
        <f aca="false">INDEX(Products!$C$2:$C$101,MATCH(D478,Products!$A$2:$A$101,0))</f>
        <v>Appliances</v>
      </c>
      <c r="G478" s="6" t="n">
        <f aca="false">Orders!E478</f>
        <v>1</v>
      </c>
      <c r="H478" s="16" t="n">
        <f aca="false">INDEX(Products!$D$2:$D$101,MATCH(D478,Products!$A$2:$A$101,0))</f>
        <v>1299</v>
      </c>
      <c r="I478" s="16" t="n">
        <f aca="false">INDEX(Products!$E$2:$E$101,MATCH(D478,Products!$A$2:$A$101,0))</f>
        <v>750</v>
      </c>
      <c r="J478" s="20" t="n">
        <f aca="false">Orders!F478</f>
        <v>0.1</v>
      </c>
      <c r="K478" s="6" t="n">
        <f aca="false">G478*H478</f>
        <v>1299</v>
      </c>
      <c r="L478" s="6" t="n">
        <f aca="false">K478*J478</f>
        <v>129.9</v>
      </c>
      <c r="M478" s="6" t="n">
        <f aca="false">K478-L478</f>
        <v>1169.1</v>
      </c>
      <c r="N478" s="6" t="n">
        <f aca="false">G478*I478</f>
        <v>750</v>
      </c>
      <c r="O478" s="6" t="n">
        <f aca="false">M478-N478</f>
        <v>419.1</v>
      </c>
      <c r="P478" s="21" t="n">
        <f aca="false">IFERROR(O478/M478,0)</f>
        <v>0.358480882730305</v>
      </c>
      <c r="Q478" s="6" t="str">
        <f aca="false">Orders!H478</f>
        <v>Delivered</v>
      </c>
      <c r="R478" s="1" t="str">
        <f aca="false">INDEX(Customers!$C$2:$C$301,MATCH(C478,Customers!$A$2:$A$301,0))</f>
        <v>Gurugram</v>
      </c>
      <c r="S478" s="1" t="str">
        <f aca="false">INDEX(Customers!$E$2:$E$301,MATCH(C478,Customers!$A$2:$A$301,0))</f>
        <v>Returning</v>
      </c>
      <c r="T478" s="6" t="str">
        <f aca="false">Orders!I478</f>
        <v>Mobile App</v>
      </c>
      <c r="U478" s="1" t="str">
        <f aca="false">IF(Q478="Delivered","Completed",IF(Q478="Cancelled","Cancelled",IF(Q478="Returned","Returned","In Progress")))</f>
        <v>Completed</v>
      </c>
      <c r="V478" s="1" t="str">
        <f aca="false">IF(M478&gt;=10000,"High Value",IF(M478&gt;=5000,"Medium Value","Low Value"))</f>
        <v>Low Value</v>
      </c>
      <c r="W478" s="1" t="str">
        <f aca="false">IF(O478&gt;0,"Profitable",IF(O478=0,"Break-even","Loss"))</f>
        <v>Profitable</v>
      </c>
      <c r="X478" s="1" t="str">
        <f aca="false">IF(Q478="Cancelled","Not Applicable",IF(Q478="Processing","Pending",IF(B478="","Unknown",IF(Orders!J478="","Unknown",IF(Orders!J478&lt;=3,"Fast",IF(Orders!J478&lt;=6,"Standard","Slow"))))))</f>
        <v>Standard</v>
      </c>
      <c r="Y478" s="1" t="n">
        <f aca="false">IF(OR(Q478="Cancelled",Q478="Returned"),0,O478)</f>
        <v>419.1</v>
      </c>
    </row>
    <row r="479" customFormat="false" ht="15" hidden="false" customHeight="false" outlineLevel="0" collapsed="false">
      <c r="A479" s="6" t="str">
        <f aca="false">Orders!A479</f>
        <v>O000478</v>
      </c>
      <c r="B479" s="19" t="n">
        <f aca="false">Orders!B479</f>
        <v>45667</v>
      </c>
      <c r="C479" s="6" t="str">
        <f aca="false">Orders!C479</f>
        <v>C0096</v>
      </c>
      <c r="D479" s="6" t="str">
        <f aca="false">Orders!D479</f>
        <v>P1090</v>
      </c>
      <c r="E479" s="6" t="str">
        <f aca="false">INDEX(Products!$B$2:$B$101,MATCH(D479,Products!$A$2:$A$101,0))</f>
        <v>Toaster</v>
      </c>
      <c r="F479" s="1" t="str">
        <f aca="false">INDEX(Products!$C$2:$C$101,MATCH(D479,Products!$A$2:$A$101,0))</f>
        <v>Appliances</v>
      </c>
      <c r="G479" s="6" t="n">
        <f aca="false">Orders!E479</f>
        <v>1</v>
      </c>
      <c r="H479" s="16" t="n">
        <f aca="false">INDEX(Products!$D$2:$D$101,MATCH(D479,Products!$A$2:$A$101,0))</f>
        <v>1499</v>
      </c>
      <c r="I479" s="16" t="n">
        <f aca="false">INDEX(Products!$E$2:$E$101,MATCH(D479,Products!$A$2:$A$101,0))</f>
        <v>900</v>
      </c>
      <c r="J479" s="20" t="n">
        <f aca="false">Orders!F479</f>
        <v>0.15</v>
      </c>
      <c r="K479" s="6" t="n">
        <f aca="false">G479*H479</f>
        <v>1499</v>
      </c>
      <c r="L479" s="6" t="n">
        <f aca="false">K479*J479</f>
        <v>224.85</v>
      </c>
      <c r="M479" s="6" t="n">
        <f aca="false">K479-L479</f>
        <v>1274.15</v>
      </c>
      <c r="N479" s="6" t="n">
        <f aca="false">G479*I479</f>
        <v>900</v>
      </c>
      <c r="O479" s="6" t="n">
        <f aca="false">M479-N479</f>
        <v>374.15</v>
      </c>
      <c r="P479" s="21" t="n">
        <f aca="false">IFERROR(O479/M479,0)</f>
        <v>0.293646744888749</v>
      </c>
      <c r="Q479" s="6" t="str">
        <f aca="false">Orders!H479</f>
        <v>Returned</v>
      </c>
      <c r="R479" s="1" t="str">
        <f aca="false">INDEX(Customers!$C$2:$C$301,MATCH(C479,Customers!$A$2:$A$301,0))</f>
        <v>Chandigarh</v>
      </c>
      <c r="S479" s="1" t="str">
        <f aca="false">INDEX(Customers!$E$2:$E$301,MATCH(C479,Customers!$A$2:$A$301,0))</f>
        <v>VIP</v>
      </c>
      <c r="T479" s="6" t="str">
        <f aca="false">Orders!I479</f>
        <v>Mobile App</v>
      </c>
      <c r="U479" s="1" t="str">
        <f aca="false">IF(Q479="Delivered","Completed",IF(Q479="Cancelled","Cancelled",IF(Q479="Returned","Returned","In Progress")))</f>
        <v>Returned</v>
      </c>
      <c r="V479" s="1" t="str">
        <f aca="false">IF(M479&gt;=10000,"High Value",IF(M479&gt;=5000,"Medium Value","Low Value"))</f>
        <v>Low Value</v>
      </c>
      <c r="W479" s="1" t="str">
        <f aca="false">IF(O479&gt;0,"Profitable",IF(O479=0,"Break-even","Loss"))</f>
        <v>Profitable</v>
      </c>
      <c r="X479" s="1" t="str">
        <f aca="false">IF(Q479="Cancelled","Not Applicable",IF(Q479="Processing","Pending",IF(B479="","Unknown",IF(Orders!J479="","Unknown",IF(Orders!J479&lt;=3,"Fast",IF(Orders!J479&lt;=6,"Standard","Slow"))))))</f>
        <v>Fast</v>
      </c>
      <c r="Y479" s="1" t="n">
        <f aca="false">IF(OR(Q479="Cancelled",Q479="Returned"),0,O479)</f>
        <v>0</v>
      </c>
    </row>
    <row r="480" customFormat="false" ht="15" hidden="false" customHeight="false" outlineLevel="0" collapsed="false">
      <c r="A480" s="6" t="str">
        <f aca="false">Orders!A480</f>
        <v>O000479</v>
      </c>
      <c r="B480" s="19" t="n">
        <f aca="false">Orders!B480</f>
        <v>45771</v>
      </c>
      <c r="C480" s="6" t="str">
        <f aca="false">Orders!C480</f>
        <v>C0043</v>
      </c>
      <c r="D480" s="6" t="str">
        <f aca="false">Orders!D480</f>
        <v>P1010</v>
      </c>
      <c r="E480" s="6" t="str">
        <f aca="false">INDEX(Products!$B$2:$B$101,MATCH(D480,Products!$A$2:$A$101,0))</f>
        <v>Webcam</v>
      </c>
      <c r="F480" s="1" t="str">
        <f aca="false">INDEX(Products!$C$2:$C$101,MATCH(D480,Products!$A$2:$A$101,0))</f>
        <v>Electronics</v>
      </c>
      <c r="G480" s="6" t="n">
        <f aca="false">Orders!E480</f>
        <v>1</v>
      </c>
      <c r="H480" s="16" t="n">
        <f aca="false">INDEX(Products!$D$2:$D$101,MATCH(D480,Products!$A$2:$A$101,0))</f>
        <v>1799</v>
      </c>
      <c r="I480" s="16" t="n">
        <f aca="false">INDEX(Products!$E$2:$E$101,MATCH(D480,Products!$A$2:$A$101,0))</f>
        <v>1050</v>
      </c>
      <c r="J480" s="20" t="n">
        <f aca="false">Orders!F480</f>
        <v>0.1</v>
      </c>
      <c r="K480" s="6" t="n">
        <f aca="false">G480*H480</f>
        <v>1799</v>
      </c>
      <c r="L480" s="6" t="n">
        <f aca="false">K480*J480</f>
        <v>179.9</v>
      </c>
      <c r="M480" s="6" t="n">
        <f aca="false">K480-L480</f>
        <v>1619.1</v>
      </c>
      <c r="N480" s="6" t="n">
        <f aca="false">G480*I480</f>
        <v>1050</v>
      </c>
      <c r="O480" s="6" t="n">
        <f aca="false">M480-N480</f>
        <v>569.1</v>
      </c>
      <c r="P480" s="21" t="n">
        <f aca="false">IFERROR(O480/M480,0)</f>
        <v>0.351491569390402</v>
      </c>
      <c r="Q480" s="6" t="str">
        <f aca="false">Orders!H480</f>
        <v>Delivered</v>
      </c>
      <c r="R480" s="1" t="str">
        <f aca="false">INDEX(Customers!$C$2:$C$301,MATCH(C480,Customers!$A$2:$A$301,0))</f>
        <v>Bengaluru</v>
      </c>
      <c r="S480" s="1" t="str">
        <f aca="false">INDEX(Customers!$E$2:$E$301,MATCH(C480,Customers!$A$2:$A$301,0))</f>
        <v>New</v>
      </c>
      <c r="T480" s="6" t="str">
        <f aca="false">Orders!I480</f>
        <v>Mobile App</v>
      </c>
      <c r="U480" s="1" t="str">
        <f aca="false">IF(Q480="Delivered","Completed",IF(Q480="Cancelled","Cancelled",IF(Q480="Returned","Returned","In Progress")))</f>
        <v>Completed</v>
      </c>
      <c r="V480" s="1" t="str">
        <f aca="false">IF(M480&gt;=10000,"High Value",IF(M480&gt;=5000,"Medium Value","Low Value"))</f>
        <v>Low Value</v>
      </c>
      <c r="W480" s="1" t="str">
        <f aca="false">IF(O480&gt;0,"Profitable",IF(O480=0,"Break-even","Loss"))</f>
        <v>Profitable</v>
      </c>
      <c r="X480" s="1" t="str">
        <f aca="false">IF(Q480="Cancelled","Not Applicable",IF(Q480="Processing","Pending",IF(B480="","Unknown",IF(Orders!J480="","Unknown",IF(Orders!J480&lt;=3,"Fast",IF(Orders!J480&lt;=6,"Standard","Slow"))))))</f>
        <v>Standard</v>
      </c>
      <c r="Y480" s="1" t="n">
        <f aca="false">IF(OR(Q480="Cancelled",Q480="Returned"),0,O480)</f>
        <v>569.1</v>
      </c>
    </row>
    <row r="481" customFormat="false" ht="15" hidden="false" customHeight="false" outlineLevel="0" collapsed="false">
      <c r="A481" s="6" t="str">
        <f aca="false">Orders!A481</f>
        <v>O000480</v>
      </c>
      <c r="B481" s="19" t="n">
        <f aca="false">Orders!B481</f>
        <v>45814</v>
      </c>
      <c r="C481" s="6" t="str">
        <f aca="false">Orders!C481</f>
        <v>C0090</v>
      </c>
      <c r="D481" s="6" t="str">
        <f aca="false">Orders!D481</f>
        <v>P1044</v>
      </c>
      <c r="E481" s="6" t="str">
        <f aca="false">INDEX(Products!$B$2:$B$101,MATCH(D481,Products!$A$2:$A$101,0))</f>
        <v>Doormat</v>
      </c>
      <c r="F481" s="1" t="str">
        <f aca="false">INDEX(Products!$C$2:$C$101,MATCH(D481,Products!$A$2:$A$101,0))</f>
        <v>Home &amp; Kitchen</v>
      </c>
      <c r="G481" s="6" t="n">
        <f aca="false">Orders!E481</f>
        <v>2</v>
      </c>
      <c r="H481" s="16" t="n">
        <f aca="false">INDEX(Products!$D$2:$D$101,MATCH(D481,Products!$A$2:$A$101,0))</f>
        <v>299</v>
      </c>
      <c r="I481" s="16" t="n">
        <f aca="false">INDEX(Products!$E$2:$E$101,MATCH(D481,Products!$A$2:$A$101,0))</f>
        <v>100</v>
      </c>
      <c r="J481" s="20" t="n">
        <f aca="false">Orders!F481</f>
        <v>0.25</v>
      </c>
      <c r="K481" s="6" t="n">
        <f aca="false">G481*H481</f>
        <v>598</v>
      </c>
      <c r="L481" s="6" t="n">
        <f aca="false">K481*J481</f>
        <v>149.5</v>
      </c>
      <c r="M481" s="6" t="n">
        <f aca="false">K481-L481</f>
        <v>448.5</v>
      </c>
      <c r="N481" s="6" t="n">
        <f aca="false">G481*I481</f>
        <v>200</v>
      </c>
      <c r="O481" s="6" t="n">
        <f aca="false">M481-N481</f>
        <v>248.5</v>
      </c>
      <c r="P481" s="21" t="n">
        <f aca="false">IFERROR(O481/M481,0)</f>
        <v>0.554069119286511</v>
      </c>
      <c r="Q481" s="6" t="str">
        <f aca="false">Orders!H481</f>
        <v>Delivered</v>
      </c>
      <c r="R481" s="1" t="str">
        <f aca="false">INDEX(Customers!$C$2:$C$301,MATCH(C481,Customers!$A$2:$A$301,0))</f>
        <v>Lucknow</v>
      </c>
      <c r="S481" s="1" t="str">
        <f aca="false">INDEX(Customers!$E$2:$E$301,MATCH(C481,Customers!$A$2:$A$301,0))</f>
        <v>New</v>
      </c>
      <c r="T481" s="6" t="str">
        <f aca="false">Orders!I481</f>
        <v>Mobile App</v>
      </c>
      <c r="U481" s="1" t="str">
        <f aca="false">IF(Q481="Delivered","Completed",IF(Q481="Cancelled","Cancelled",IF(Q481="Returned","Returned","In Progress")))</f>
        <v>Completed</v>
      </c>
      <c r="V481" s="1" t="str">
        <f aca="false">IF(M481&gt;=10000,"High Value",IF(M481&gt;=5000,"Medium Value","Low Value"))</f>
        <v>Low Value</v>
      </c>
      <c r="W481" s="1" t="str">
        <f aca="false">IF(O481&gt;0,"Profitable",IF(O481=0,"Break-even","Loss"))</f>
        <v>Profitable</v>
      </c>
      <c r="X481" s="1" t="str">
        <f aca="false">IF(Q481="Cancelled","Not Applicable",IF(Q481="Processing","Pending",IF(B481="","Unknown",IF(Orders!J481="","Unknown",IF(Orders!J481&lt;=3,"Fast",IF(Orders!J481&lt;=6,"Standard","Slow"))))))</f>
        <v>Standard</v>
      </c>
      <c r="Y481" s="1" t="n">
        <f aca="false">IF(OR(Q481="Cancelled",Q481="Returned"),0,O481)</f>
        <v>248.5</v>
      </c>
    </row>
    <row r="482" customFormat="false" ht="15" hidden="false" customHeight="false" outlineLevel="0" collapsed="false">
      <c r="A482" s="6" t="str">
        <f aca="false">Orders!A482</f>
        <v>O000481</v>
      </c>
      <c r="B482" s="19" t="n">
        <f aca="false">Orders!B482</f>
        <v>45914</v>
      </c>
      <c r="C482" s="6" t="str">
        <f aca="false">Orders!C482</f>
        <v>C0248</v>
      </c>
      <c r="D482" s="6" t="str">
        <f aca="false">Orders!D482</f>
        <v>P1017</v>
      </c>
      <c r="E482" s="6" t="str">
        <f aca="false">INDEX(Products!$B$2:$B$101,MATCH(D482,Products!$A$2:$A$101,0))</f>
        <v>Denim Jeans</v>
      </c>
      <c r="F482" s="1" t="str">
        <f aca="false">INDEX(Products!$C$2:$C$101,MATCH(D482,Products!$A$2:$A$101,0))</f>
        <v>Fashion</v>
      </c>
      <c r="G482" s="6" t="n">
        <f aca="false">Orders!E482</f>
        <v>2</v>
      </c>
      <c r="H482" s="16" t="n">
        <f aca="false">INDEX(Products!$D$2:$D$101,MATCH(D482,Products!$A$2:$A$101,0))</f>
        <v>1299</v>
      </c>
      <c r="I482" s="16" t="n">
        <f aca="false">INDEX(Products!$E$2:$E$101,MATCH(D482,Products!$A$2:$A$101,0))</f>
        <v>650</v>
      </c>
      <c r="J482" s="20" t="n">
        <f aca="false">Orders!F482</f>
        <v>0.2</v>
      </c>
      <c r="K482" s="6" t="n">
        <f aca="false">G482*H482</f>
        <v>2598</v>
      </c>
      <c r="L482" s="6" t="n">
        <f aca="false">K482*J482</f>
        <v>519.6</v>
      </c>
      <c r="M482" s="6" t="n">
        <f aca="false">K482-L482</f>
        <v>2078.4</v>
      </c>
      <c r="N482" s="6" t="n">
        <f aca="false">G482*I482</f>
        <v>1300</v>
      </c>
      <c r="O482" s="6" t="n">
        <f aca="false">M482-N482</f>
        <v>778.4</v>
      </c>
      <c r="P482" s="21" t="n">
        <f aca="false">IFERROR(O482/M482,0)</f>
        <v>0.374518860662048</v>
      </c>
      <c r="Q482" s="6" t="str">
        <f aca="false">Orders!H482</f>
        <v>Returned</v>
      </c>
      <c r="R482" s="1" t="str">
        <f aca="false">INDEX(Customers!$C$2:$C$301,MATCH(C482,Customers!$A$2:$A$301,0))</f>
        <v>Jaipur</v>
      </c>
      <c r="S482" s="1" t="str">
        <f aca="false">INDEX(Customers!$E$2:$E$301,MATCH(C482,Customers!$A$2:$A$301,0))</f>
        <v>Returning</v>
      </c>
      <c r="T482" s="6" t="str">
        <f aca="false">Orders!I482</f>
        <v>Mobile App</v>
      </c>
      <c r="U482" s="1" t="str">
        <f aca="false">IF(Q482="Delivered","Completed",IF(Q482="Cancelled","Cancelled",IF(Q482="Returned","Returned","In Progress")))</f>
        <v>Returned</v>
      </c>
      <c r="V482" s="1" t="str">
        <f aca="false">IF(M482&gt;=10000,"High Value",IF(M482&gt;=5000,"Medium Value","Low Value"))</f>
        <v>Low Value</v>
      </c>
      <c r="W482" s="1" t="str">
        <f aca="false">IF(O482&gt;0,"Profitable",IF(O482=0,"Break-even","Loss"))</f>
        <v>Profitable</v>
      </c>
      <c r="X482" s="1" t="str">
        <f aca="false">IF(Q482="Cancelled","Not Applicable",IF(Q482="Processing","Pending",IF(B482="","Unknown",IF(Orders!J482="","Unknown",IF(Orders!J482&lt;=3,"Fast",IF(Orders!J482&lt;=6,"Standard","Slow"))))))</f>
        <v>Fast</v>
      </c>
      <c r="Y482" s="1" t="n">
        <f aca="false">IF(OR(Q482="Cancelled",Q482="Returned"),0,O482)</f>
        <v>0</v>
      </c>
    </row>
    <row r="483" customFormat="false" ht="23.85" hidden="false" customHeight="false" outlineLevel="0" collapsed="false">
      <c r="A483" s="6" t="str">
        <f aca="false">Orders!A483</f>
        <v>O000482</v>
      </c>
      <c r="B483" s="19" t="n">
        <f aca="false">Orders!B483</f>
        <v>45967</v>
      </c>
      <c r="C483" s="6" t="str">
        <f aca="false">Orders!C483</f>
        <v>C0121</v>
      </c>
      <c r="D483" s="6" t="str">
        <f aca="false">Orders!D483</f>
        <v>P1012</v>
      </c>
      <c r="E483" s="6" t="str">
        <f aca="false">INDEX(Products!$B$2:$B$101,MATCH(D483,Products!$A$2:$A$101,0))</f>
        <v>Charging Adapter</v>
      </c>
      <c r="F483" s="1" t="str">
        <f aca="false">INDEX(Products!$C$2:$C$101,MATCH(D483,Products!$A$2:$A$101,0))</f>
        <v>Electronics</v>
      </c>
      <c r="G483" s="6" t="n">
        <f aca="false">Orders!E483</f>
        <v>3</v>
      </c>
      <c r="H483" s="16" t="n">
        <f aca="false">INDEX(Products!$D$2:$D$101,MATCH(D483,Products!$A$2:$A$101,0))</f>
        <v>599</v>
      </c>
      <c r="I483" s="16" t="n">
        <f aca="false">INDEX(Products!$E$2:$E$101,MATCH(D483,Products!$A$2:$A$101,0))</f>
        <v>260</v>
      </c>
      <c r="J483" s="20" t="n">
        <f aca="false">Orders!F483</f>
        <v>0.05</v>
      </c>
      <c r="K483" s="6" t="n">
        <f aca="false">G483*H483</f>
        <v>1797</v>
      </c>
      <c r="L483" s="6" t="n">
        <f aca="false">K483*J483</f>
        <v>89.85</v>
      </c>
      <c r="M483" s="6" t="n">
        <f aca="false">K483-L483</f>
        <v>1707.15</v>
      </c>
      <c r="N483" s="6" t="n">
        <f aca="false">G483*I483</f>
        <v>780</v>
      </c>
      <c r="O483" s="6" t="n">
        <f aca="false">M483-N483</f>
        <v>927.15</v>
      </c>
      <c r="P483" s="21" t="n">
        <f aca="false">IFERROR(O483/M483,0)</f>
        <v>0.543098146032862</v>
      </c>
      <c r="Q483" s="6" t="str">
        <f aca="false">Orders!H483</f>
        <v>Delivered</v>
      </c>
      <c r="R483" s="1" t="str">
        <f aca="false">INDEX(Customers!$C$2:$C$301,MATCH(C483,Customers!$A$2:$A$301,0))</f>
        <v>Delhi</v>
      </c>
      <c r="S483" s="1" t="str">
        <f aca="false">INDEX(Customers!$E$2:$E$301,MATCH(C483,Customers!$A$2:$A$301,0))</f>
        <v>Returning</v>
      </c>
      <c r="T483" s="6" t="str">
        <f aca="false">Orders!I483</f>
        <v>Marketplace</v>
      </c>
      <c r="U483" s="1" t="str">
        <f aca="false">IF(Q483="Delivered","Completed",IF(Q483="Cancelled","Cancelled",IF(Q483="Returned","Returned","In Progress")))</f>
        <v>Completed</v>
      </c>
      <c r="V483" s="1" t="str">
        <f aca="false">IF(M483&gt;=10000,"High Value",IF(M483&gt;=5000,"Medium Value","Low Value"))</f>
        <v>Low Value</v>
      </c>
      <c r="W483" s="1" t="str">
        <f aca="false">IF(O483&gt;0,"Profitable",IF(O483=0,"Break-even","Loss"))</f>
        <v>Profitable</v>
      </c>
      <c r="X483" s="1" t="str">
        <f aca="false">IF(Q483="Cancelled","Not Applicable",IF(Q483="Processing","Pending",IF(B483="","Unknown",IF(Orders!J483="","Unknown",IF(Orders!J483&lt;=3,"Fast",IF(Orders!J483&lt;=6,"Standard","Slow"))))))</f>
        <v>Slow</v>
      </c>
      <c r="Y483" s="1" t="n">
        <f aca="false">IF(OR(Q483="Cancelled",Q483="Returned"),0,O483)</f>
        <v>927.15</v>
      </c>
    </row>
    <row r="484" customFormat="false" ht="23.85" hidden="false" customHeight="false" outlineLevel="0" collapsed="false">
      <c r="A484" s="6" t="str">
        <f aca="false">Orders!A484</f>
        <v>O000483</v>
      </c>
      <c r="B484" s="19" t="n">
        <f aca="false">Orders!B484</f>
        <v>45856</v>
      </c>
      <c r="C484" s="6" t="str">
        <f aca="false">Orders!C484</f>
        <v>C0221</v>
      </c>
      <c r="D484" s="6" t="str">
        <f aca="false">Orders!D484</f>
        <v>P1053</v>
      </c>
      <c r="E484" s="6" t="str">
        <f aca="false">INDEX(Products!$B$2:$B$101,MATCH(D484,Products!$A$2:$A$101,0))</f>
        <v>Makeup Brush Set</v>
      </c>
      <c r="F484" s="1" t="str">
        <f aca="false">INDEX(Products!$C$2:$C$101,MATCH(D484,Products!$A$2:$A$101,0))</f>
        <v>Beauty</v>
      </c>
      <c r="G484" s="6" t="n">
        <f aca="false">Orders!E484</f>
        <v>2</v>
      </c>
      <c r="H484" s="16" t="n">
        <f aca="false">INDEX(Products!$D$2:$D$101,MATCH(D484,Products!$A$2:$A$101,0))</f>
        <v>599</v>
      </c>
      <c r="I484" s="16" t="n">
        <f aca="false">INDEX(Products!$E$2:$E$101,MATCH(D484,Products!$A$2:$A$101,0))</f>
        <v>250</v>
      </c>
      <c r="J484" s="20" t="n">
        <f aca="false">Orders!F484</f>
        <v>0.15</v>
      </c>
      <c r="K484" s="6" t="n">
        <f aca="false">G484*H484</f>
        <v>1198</v>
      </c>
      <c r="L484" s="6" t="n">
        <f aca="false">K484*J484</f>
        <v>179.7</v>
      </c>
      <c r="M484" s="6" t="n">
        <f aca="false">K484-L484</f>
        <v>1018.3</v>
      </c>
      <c r="N484" s="6" t="n">
        <f aca="false">G484*I484</f>
        <v>500</v>
      </c>
      <c r="O484" s="6" t="n">
        <f aca="false">M484-N484</f>
        <v>518.3</v>
      </c>
      <c r="P484" s="21" t="n">
        <f aca="false">IFERROR(O484/M484,0)</f>
        <v>0.508985564175587</v>
      </c>
      <c r="Q484" s="6" t="str">
        <f aca="false">Orders!H484</f>
        <v>Delivered</v>
      </c>
      <c r="R484" s="1" t="str">
        <f aca="false">INDEX(Customers!$C$2:$C$301,MATCH(C484,Customers!$A$2:$A$301,0))</f>
        <v>Delhi</v>
      </c>
      <c r="S484" s="1" t="str">
        <f aca="false">INDEX(Customers!$E$2:$E$301,MATCH(C484,Customers!$A$2:$A$301,0))</f>
        <v>New</v>
      </c>
      <c r="T484" s="6" t="str">
        <f aca="false">Orders!I484</f>
        <v>Mobile App</v>
      </c>
      <c r="U484" s="1" t="str">
        <f aca="false">IF(Q484="Delivered","Completed",IF(Q484="Cancelled","Cancelled",IF(Q484="Returned","Returned","In Progress")))</f>
        <v>Completed</v>
      </c>
      <c r="V484" s="1" t="str">
        <f aca="false">IF(M484&gt;=10000,"High Value",IF(M484&gt;=5000,"Medium Value","Low Value"))</f>
        <v>Low Value</v>
      </c>
      <c r="W484" s="1" t="str">
        <f aca="false">IF(O484&gt;0,"Profitable",IF(O484=0,"Break-even","Loss"))</f>
        <v>Profitable</v>
      </c>
      <c r="X484" s="1" t="str">
        <f aca="false">IF(Q484="Cancelled","Not Applicable",IF(Q484="Processing","Pending",IF(B484="","Unknown",IF(Orders!J484="","Unknown",IF(Orders!J484&lt;=3,"Fast",IF(Orders!J484&lt;=6,"Standard","Slow"))))))</f>
        <v>Standard</v>
      </c>
      <c r="Y484" s="1" t="n">
        <f aca="false">IF(OR(Q484="Cancelled",Q484="Returned"),0,O484)</f>
        <v>518.3</v>
      </c>
    </row>
    <row r="485" customFormat="false" ht="23.85" hidden="false" customHeight="false" outlineLevel="0" collapsed="false">
      <c r="A485" s="6" t="str">
        <f aca="false">Orders!A485</f>
        <v>O000484</v>
      </c>
      <c r="B485" s="19" t="n">
        <f aca="false">Orders!B485</f>
        <v>45765</v>
      </c>
      <c r="C485" s="6" t="str">
        <f aca="false">Orders!C485</f>
        <v>C0033</v>
      </c>
      <c r="D485" s="6" t="str">
        <f aca="false">Orders!D485</f>
        <v>P1053</v>
      </c>
      <c r="E485" s="6" t="str">
        <f aca="false">INDEX(Products!$B$2:$B$101,MATCH(D485,Products!$A$2:$A$101,0))</f>
        <v>Makeup Brush Set</v>
      </c>
      <c r="F485" s="1" t="str">
        <f aca="false">INDEX(Products!$C$2:$C$101,MATCH(D485,Products!$A$2:$A$101,0))</f>
        <v>Beauty</v>
      </c>
      <c r="G485" s="6" t="n">
        <f aca="false">Orders!E485</f>
        <v>2</v>
      </c>
      <c r="H485" s="16" t="n">
        <f aca="false">INDEX(Products!$D$2:$D$101,MATCH(D485,Products!$A$2:$A$101,0))</f>
        <v>599</v>
      </c>
      <c r="I485" s="16" t="n">
        <f aca="false">INDEX(Products!$E$2:$E$101,MATCH(D485,Products!$A$2:$A$101,0))</f>
        <v>250</v>
      </c>
      <c r="J485" s="20" t="n">
        <f aca="false">Orders!F485</f>
        <v>0.05</v>
      </c>
      <c r="K485" s="6" t="n">
        <f aca="false">G485*H485</f>
        <v>1198</v>
      </c>
      <c r="L485" s="6" t="n">
        <f aca="false">K485*J485</f>
        <v>59.9</v>
      </c>
      <c r="M485" s="6" t="n">
        <f aca="false">K485-L485</f>
        <v>1138.1</v>
      </c>
      <c r="N485" s="6" t="n">
        <f aca="false">G485*I485</f>
        <v>500</v>
      </c>
      <c r="O485" s="6" t="n">
        <f aca="false">M485-N485</f>
        <v>638.1</v>
      </c>
      <c r="P485" s="21" t="n">
        <f aca="false">IFERROR(O485/M485,0)</f>
        <v>0.560671294262367</v>
      </c>
      <c r="Q485" s="6" t="str">
        <f aca="false">Orders!H485</f>
        <v>Delivered</v>
      </c>
      <c r="R485" s="1" t="str">
        <f aca="false">INDEX(Customers!$C$2:$C$301,MATCH(C485,Customers!$A$2:$A$301,0))</f>
        <v>Kochi</v>
      </c>
      <c r="S485" s="1" t="str">
        <f aca="false">INDEX(Customers!$E$2:$E$301,MATCH(C485,Customers!$A$2:$A$301,0))</f>
        <v>VIP</v>
      </c>
      <c r="T485" s="6" t="str">
        <f aca="false">Orders!I485</f>
        <v>Marketplace</v>
      </c>
      <c r="U485" s="1" t="str">
        <f aca="false">IF(Q485="Delivered","Completed",IF(Q485="Cancelled","Cancelled",IF(Q485="Returned","Returned","In Progress")))</f>
        <v>Completed</v>
      </c>
      <c r="V485" s="1" t="str">
        <f aca="false">IF(M485&gt;=10000,"High Value",IF(M485&gt;=5000,"Medium Value","Low Value"))</f>
        <v>Low Value</v>
      </c>
      <c r="W485" s="1" t="str">
        <f aca="false">IF(O485&gt;0,"Profitable",IF(O485=0,"Break-even","Loss"))</f>
        <v>Profitable</v>
      </c>
      <c r="X485" s="1" t="str">
        <f aca="false">IF(Q485="Cancelled","Not Applicable",IF(Q485="Processing","Pending",IF(B485="","Unknown",IF(Orders!J485="","Unknown",IF(Orders!J485&lt;=3,"Fast",IF(Orders!J485&lt;=6,"Standard","Slow"))))))</f>
        <v>Standard</v>
      </c>
      <c r="Y485" s="1" t="n">
        <f aca="false">IF(OR(Q485="Cancelled",Q485="Returned"),0,O485)</f>
        <v>638.1</v>
      </c>
    </row>
    <row r="486" customFormat="false" ht="15" hidden="false" customHeight="false" outlineLevel="0" collapsed="false">
      <c r="A486" s="6" t="str">
        <f aca="false">Orders!A486</f>
        <v>O000485</v>
      </c>
      <c r="B486" s="19" t="n">
        <f aca="false">Orders!B486</f>
        <v>45835</v>
      </c>
      <c r="C486" s="6" t="str">
        <f aca="false">Orders!C486</f>
        <v>C0108</v>
      </c>
      <c r="D486" s="6" t="str">
        <f aca="false">Orders!D486</f>
        <v>P1045</v>
      </c>
      <c r="E486" s="6" t="str">
        <f aca="false">INDEX(Products!$B$2:$B$101,MATCH(D486,Products!$A$2:$A$101,0))</f>
        <v>Lunch Box</v>
      </c>
      <c r="F486" s="1" t="str">
        <f aca="false">INDEX(Products!$C$2:$C$101,MATCH(D486,Products!$A$2:$A$101,0))</f>
        <v>Home &amp; Kitchen</v>
      </c>
      <c r="G486" s="6" t="n">
        <f aca="false">Orders!E486</f>
        <v>3</v>
      </c>
      <c r="H486" s="16" t="n">
        <f aca="false">INDEX(Products!$D$2:$D$101,MATCH(D486,Products!$A$2:$A$101,0))</f>
        <v>449</v>
      </c>
      <c r="I486" s="16" t="n">
        <f aca="false">INDEX(Products!$E$2:$E$101,MATCH(D486,Products!$A$2:$A$101,0))</f>
        <v>180</v>
      </c>
      <c r="J486" s="20" t="n">
        <f aca="false">Orders!F486</f>
        <v>0.05</v>
      </c>
      <c r="K486" s="6" t="n">
        <f aca="false">G486*H486</f>
        <v>1347</v>
      </c>
      <c r="L486" s="6" t="n">
        <f aca="false">K486*J486</f>
        <v>67.35</v>
      </c>
      <c r="M486" s="6" t="n">
        <f aca="false">K486-L486</f>
        <v>1279.65</v>
      </c>
      <c r="N486" s="6" t="n">
        <f aca="false">G486*I486</f>
        <v>540</v>
      </c>
      <c r="O486" s="6" t="n">
        <f aca="false">M486-N486</f>
        <v>739.65</v>
      </c>
      <c r="P486" s="21" t="n">
        <f aca="false">IFERROR(O486/M486,0)</f>
        <v>0.578009612003282</v>
      </c>
      <c r="Q486" s="6" t="str">
        <f aca="false">Orders!H486</f>
        <v>Processing</v>
      </c>
      <c r="R486" s="1" t="str">
        <f aca="false">INDEX(Customers!$C$2:$C$301,MATCH(C486,Customers!$A$2:$A$301,0))</f>
        <v>Jaipur</v>
      </c>
      <c r="S486" s="1" t="str">
        <f aca="false">INDEX(Customers!$E$2:$E$301,MATCH(C486,Customers!$A$2:$A$301,0))</f>
        <v>Returning</v>
      </c>
      <c r="T486" s="6" t="str">
        <f aca="false">Orders!I486</f>
        <v>Mobile App</v>
      </c>
      <c r="U486" s="1" t="str">
        <f aca="false">IF(Q486="Delivered","Completed",IF(Q486="Cancelled","Cancelled",IF(Q486="Returned","Returned","In Progress")))</f>
        <v>In Progress</v>
      </c>
      <c r="V486" s="1" t="str">
        <f aca="false">IF(M486&gt;=10000,"High Value",IF(M486&gt;=5000,"Medium Value","Low Value"))</f>
        <v>Low Value</v>
      </c>
      <c r="W486" s="1" t="str">
        <f aca="false">IF(O486&gt;0,"Profitable",IF(O486=0,"Break-even","Loss"))</f>
        <v>Profitable</v>
      </c>
      <c r="X486" s="1" t="str">
        <f aca="false">IF(Q486="Cancelled","Not Applicable",IF(Q486="Processing","Pending",IF(B486="","Unknown",IF(Orders!J486="","Unknown",IF(Orders!J486&lt;=3,"Fast",IF(Orders!J486&lt;=6,"Standard","Slow"))))))</f>
        <v>Pending</v>
      </c>
      <c r="Y486" s="1" t="n">
        <f aca="false">IF(OR(Q486="Cancelled",Q486="Returned"),0,O486)</f>
        <v>739.65</v>
      </c>
    </row>
    <row r="487" customFormat="false" ht="15" hidden="false" customHeight="false" outlineLevel="0" collapsed="false">
      <c r="A487" s="6" t="str">
        <f aca="false">Orders!A487</f>
        <v>O000486</v>
      </c>
      <c r="B487" s="19" t="n">
        <f aca="false">Orders!B487</f>
        <v>45785</v>
      </c>
      <c r="C487" s="6" t="str">
        <f aca="false">Orders!C487</f>
        <v>C0046</v>
      </c>
      <c r="D487" s="6" t="str">
        <f aca="false">Orders!D487</f>
        <v>P1094</v>
      </c>
      <c r="E487" s="6" t="str">
        <f aca="false">INDEX(Products!$B$2:$B$101,MATCH(D487,Products!$A$2:$A$101,0))</f>
        <v>Room Heater</v>
      </c>
      <c r="F487" s="1" t="str">
        <f aca="false">INDEX(Products!$C$2:$C$101,MATCH(D487,Products!$A$2:$A$101,0))</f>
        <v>Appliances</v>
      </c>
      <c r="G487" s="6" t="n">
        <f aca="false">Orders!E487</f>
        <v>1</v>
      </c>
      <c r="H487" s="16" t="n">
        <f aca="false">INDEX(Products!$D$2:$D$101,MATCH(D487,Products!$A$2:$A$101,0))</f>
        <v>1999</v>
      </c>
      <c r="I487" s="16" t="n">
        <f aca="false">INDEX(Products!$E$2:$E$101,MATCH(D487,Products!$A$2:$A$101,0))</f>
        <v>1250</v>
      </c>
      <c r="J487" s="20" t="n">
        <f aca="false">Orders!F487</f>
        <v>0.25</v>
      </c>
      <c r="K487" s="6" t="n">
        <f aca="false">G487*H487</f>
        <v>1999</v>
      </c>
      <c r="L487" s="6" t="n">
        <f aca="false">K487*J487</f>
        <v>499.75</v>
      </c>
      <c r="M487" s="6" t="n">
        <f aca="false">K487-L487</f>
        <v>1499.25</v>
      </c>
      <c r="N487" s="6" t="n">
        <f aca="false">G487*I487</f>
        <v>1250</v>
      </c>
      <c r="O487" s="6" t="n">
        <f aca="false">M487-N487</f>
        <v>249.25</v>
      </c>
      <c r="P487" s="21" t="n">
        <f aca="false">IFERROR(O487/M487,0)</f>
        <v>0.166249791562448</v>
      </c>
      <c r="Q487" s="6" t="str">
        <f aca="false">Orders!H487</f>
        <v>Processing</v>
      </c>
      <c r="R487" s="1" t="str">
        <f aca="false">INDEX(Customers!$C$2:$C$301,MATCH(C487,Customers!$A$2:$A$301,0))</f>
        <v>Kolkata</v>
      </c>
      <c r="S487" s="1" t="str">
        <f aca="false">INDEX(Customers!$E$2:$E$301,MATCH(C487,Customers!$A$2:$A$301,0))</f>
        <v>New</v>
      </c>
      <c r="T487" s="6" t="str">
        <f aca="false">Orders!I487</f>
        <v>Website</v>
      </c>
      <c r="U487" s="1" t="str">
        <f aca="false">IF(Q487="Delivered","Completed",IF(Q487="Cancelled","Cancelled",IF(Q487="Returned","Returned","In Progress")))</f>
        <v>In Progress</v>
      </c>
      <c r="V487" s="1" t="str">
        <f aca="false">IF(M487&gt;=10000,"High Value",IF(M487&gt;=5000,"Medium Value","Low Value"))</f>
        <v>Low Value</v>
      </c>
      <c r="W487" s="1" t="str">
        <f aca="false">IF(O487&gt;0,"Profitable",IF(O487=0,"Break-even","Loss"))</f>
        <v>Profitable</v>
      </c>
      <c r="X487" s="1" t="str">
        <f aca="false">IF(Q487="Cancelled","Not Applicable",IF(Q487="Processing","Pending",IF(B487="","Unknown",IF(Orders!J487="","Unknown",IF(Orders!J487&lt;=3,"Fast",IF(Orders!J487&lt;=6,"Standard","Slow"))))))</f>
        <v>Pending</v>
      </c>
      <c r="Y487" s="1" t="n">
        <f aca="false">IF(OR(Q487="Cancelled",Q487="Returned"),0,O487)</f>
        <v>249.25</v>
      </c>
    </row>
    <row r="488" customFormat="false" ht="15" hidden="false" customHeight="false" outlineLevel="0" collapsed="false">
      <c r="A488" s="6" t="str">
        <f aca="false">Orders!A488</f>
        <v>O000487</v>
      </c>
      <c r="B488" s="19" t="n">
        <f aca="false">Orders!B488</f>
        <v>45906</v>
      </c>
      <c r="C488" s="6" t="str">
        <f aca="false">Orders!C488</f>
        <v>C0269</v>
      </c>
      <c r="D488" s="6" t="str">
        <f aca="false">Orders!D488</f>
        <v>P1009</v>
      </c>
      <c r="E488" s="6" t="str">
        <f aca="false">INDEX(Products!$B$2:$B$101,MATCH(D488,Products!$A$2:$A$101,0))</f>
        <v>Laptop Sleeve</v>
      </c>
      <c r="F488" s="1" t="str">
        <f aca="false">INDEX(Products!$C$2:$C$101,MATCH(D488,Products!$A$2:$A$101,0))</f>
        <v>Electronics</v>
      </c>
      <c r="G488" s="6" t="n">
        <f aca="false">Orders!E488</f>
        <v>2</v>
      </c>
      <c r="H488" s="16" t="n">
        <f aca="false">INDEX(Products!$D$2:$D$101,MATCH(D488,Products!$A$2:$A$101,0))</f>
        <v>799</v>
      </c>
      <c r="I488" s="16" t="n">
        <f aca="false">INDEX(Products!$E$2:$E$101,MATCH(D488,Products!$A$2:$A$101,0))</f>
        <v>350</v>
      </c>
      <c r="J488" s="20" t="n">
        <f aca="false">Orders!F488</f>
        <v>0.05</v>
      </c>
      <c r="K488" s="6" t="n">
        <f aca="false">G488*H488</f>
        <v>1598</v>
      </c>
      <c r="L488" s="6" t="n">
        <f aca="false">K488*J488</f>
        <v>79.9</v>
      </c>
      <c r="M488" s="6" t="n">
        <f aca="false">K488-L488</f>
        <v>1518.1</v>
      </c>
      <c r="N488" s="6" t="n">
        <f aca="false">G488*I488</f>
        <v>700</v>
      </c>
      <c r="O488" s="6" t="n">
        <f aca="false">M488-N488</f>
        <v>818.1</v>
      </c>
      <c r="P488" s="21" t="n">
        <f aca="false">IFERROR(O488/M488,0)</f>
        <v>0.53889730584283</v>
      </c>
      <c r="Q488" s="6" t="str">
        <f aca="false">Orders!H488</f>
        <v>Delivered</v>
      </c>
      <c r="R488" s="1" t="str">
        <f aca="false">INDEX(Customers!$C$2:$C$301,MATCH(C488,Customers!$A$2:$A$301,0))</f>
        <v>Ahmedabad</v>
      </c>
      <c r="S488" s="1" t="str">
        <f aca="false">INDEX(Customers!$E$2:$E$301,MATCH(C488,Customers!$A$2:$A$301,0))</f>
        <v>New</v>
      </c>
      <c r="T488" s="6" t="str">
        <f aca="false">Orders!I488</f>
        <v>Mobile App</v>
      </c>
      <c r="U488" s="1" t="str">
        <f aca="false">IF(Q488="Delivered","Completed",IF(Q488="Cancelled","Cancelled",IF(Q488="Returned","Returned","In Progress")))</f>
        <v>Completed</v>
      </c>
      <c r="V488" s="1" t="str">
        <f aca="false">IF(M488&gt;=10000,"High Value",IF(M488&gt;=5000,"Medium Value","Low Value"))</f>
        <v>Low Value</v>
      </c>
      <c r="W488" s="1" t="str">
        <f aca="false">IF(O488&gt;0,"Profitable",IF(O488=0,"Break-even","Loss"))</f>
        <v>Profitable</v>
      </c>
      <c r="X488" s="1" t="str">
        <f aca="false">IF(Q488="Cancelled","Not Applicable",IF(Q488="Processing","Pending",IF(B488="","Unknown",IF(Orders!J488="","Unknown",IF(Orders!J488&lt;=3,"Fast",IF(Orders!J488&lt;=6,"Standard","Slow"))))))</f>
        <v>Slow</v>
      </c>
      <c r="Y488" s="1" t="n">
        <f aca="false">IF(OR(Q488="Cancelled",Q488="Returned"),0,O488)</f>
        <v>818.1</v>
      </c>
    </row>
    <row r="489" customFormat="false" ht="15" hidden="false" customHeight="false" outlineLevel="0" collapsed="false">
      <c r="A489" s="6" t="str">
        <f aca="false">Orders!A489</f>
        <v>O000488</v>
      </c>
      <c r="B489" s="19" t="n">
        <f aca="false">Orders!B489</f>
        <v>45663</v>
      </c>
      <c r="C489" s="6" t="str">
        <f aca="false">Orders!C489</f>
        <v>C0079</v>
      </c>
      <c r="D489" s="6" t="str">
        <f aca="false">Orders!D489</f>
        <v>P1056</v>
      </c>
      <c r="E489" s="6" t="str">
        <f aca="false">INDEX(Products!$B$2:$B$101,MATCH(D489,Products!$A$2:$A$101,0))</f>
        <v>Hair Dryer</v>
      </c>
      <c r="F489" s="1" t="str">
        <f aca="false">INDEX(Products!$C$2:$C$101,MATCH(D489,Products!$A$2:$A$101,0))</f>
        <v>Beauty</v>
      </c>
      <c r="G489" s="6" t="n">
        <f aca="false">Orders!E489</f>
        <v>2</v>
      </c>
      <c r="H489" s="16" t="n">
        <f aca="false">INDEX(Products!$D$2:$D$101,MATCH(D489,Products!$A$2:$A$101,0))</f>
        <v>1299</v>
      </c>
      <c r="I489" s="16" t="n">
        <f aca="false">INDEX(Products!$E$2:$E$101,MATCH(D489,Products!$A$2:$A$101,0))</f>
        <v>750</v>
      </c>
      <c r="J489" s="20" t="n">
        <f aca="false">Orders!F489</f>
        <v>0</v>
      </c>
      <c r="K489" s="6" t="n">
        <f aca="false">G489*H489</f>
        <v>2598</v>
      </c>
      <c r="L489" s="6" t="n">
        <f aca="false">K489*J489</f>
        <v>0</v>
      </c>
      <c r="M489" s="6" t="n">
        <f aca="false">K489-L489</f>
        <v>2598</v>
      </c>
      <c r="N489" s="6" t="n">
        <f aca="false">G489*I489</f>
        <v>1500</v>
      </c>
      <c r="O489" s="6" t="n">
        <f aca="false">M489-N489</f>
        <v>1098</v>
      </c>
      <c r="P489" s="21" t="n">
        <f aca="false">IFERROR(O489/M489,0)</f>
        <v>0.422632794457275</v>
      </c>
      <c r="Q489" s="6" t="str">
        <f aca="false">Orders!H489</f>
        <v>Shipped</v>
      </c>
      <c r="R489" s="1" t="str">
        <f aca="false">INDEX(Customers!$C$2:$C$301,MATCH(C489,Customers!$A$2:$A$301,0))</f>
        <v>Coimbatore</v>
      </c>
      <c r="S489" s="1" t="str">
        <f aca="false">INDEX(Customers!$E$2:$E$301,MATCH(C489,Customers!$A$2:$A$301,0))</f>
        <v>Returning</v>
      </c>
      <c r="T489" s="6" t="str">
        <f aca="false">Orders!I489</f>
        <v>Marketplace</v>
      </c>
      <c r="U489" s="1" t="str">
        <f aca="false">IF(Q489="Delivered","Completed",IF(Q489="Cancelled","Cancelled",IF(Q489="Returned","Returned","In Progress")))</f>
        <v>In Progress</v>
      </c>
      <c r="V489" s="1" t="str">
        <f aca="false">IF(M489&gt;=10000,"High Value",IF(M489&gt;=5000,"Medium Value","Low Value"))</f>
        <v>Low Value</v>
      </c>
      <c r="W489" s="1" t="str">
        <f aca="false">IF(O489&gt;0,"Profitable",IF(O489=0,"Break-even","Loss"))</f>
        <v>Profitable</v>
      </c>
      <c r="X489" s="1" t="str">
        <f aca="false">IF(Q489="Cancelled","Not Applicable",IF(Q489="Processing","Pending",IF(B489="","Unknown",IF(Orders!J489="","Unknown",IF(Orders!J489&lt;=3,"Fast",IF(Orders!J489&lt;=6,"Standard","Slow"))))))</f>
        <v>Fast</v>
      </c>
      <c r="Y489" s="1" t="n">
        <f aca="false">IF(OR(Q489="Cancelled",Q489="Returned"),0,O489)</f>
        <v>1098</v>
      </c>
    </row>
    <row r="490" customFormat="false" ht="23.85" hidden="false" customHeight="false" outlineLevel="0" collapsed="false">
      <c r="A490" s="6" t="str">
        <f aca="false">Orders!A490</f>
        <v>O000489</v>
      </c>
      <c r="B490" s="19" t="n">
        <f aca="false">Orders!B490</f>
        <v>45974</v>
      </c>
      <c r="C490" s="6" t="str">
        <f aca="false">Orders!C490</f>
        <v>C0258</v>
      </c>
      <c r="D490" s="6" t="str">
        <f aca="false">Orders!D490</f>
        <v>P1069</v>
      </c>
      <c r="E490" s="6" t="str">
        <f aca="false">INDEX(Products!$B$2:$B$101,MATCH(D490,Products!$A$2:$A$101,0))</f>
        <v>Sports Duffel Bag</v>
      </c>
      <c r="F490" s="1" t="str">
        <f aca="false">INDEX(Products!$C$2:$C$101,MATCH(D490,Products!$A$2:$A$101,0))</f>
        <v>Sports &amp; Outdoors</v>
      </c>
      <c r="G490" s="6" t="n">
        <f aca="false">Orders!E490</f>
        <v>2</v>
      </c>
      <c r="H490" s="16" t="n">
        <f aca="false">INDEX(Products!$D$2:$D$101,MATCH(D490,Products!$A$2:$A$101,0))</f>
        <v>999</v>
      </c>
      <c r="I490" s="16" t="n">
        <f aca="false">INDEX(Products!$E$2:$E$101,MATCH(D490,Products!$A$2:$A$101,0))</f>
        <v>500</v>
      </c>
      <c r="J490" s="20" t="n">
        <f aca="false">Orders!F490</f>
        <v>0.05</v>
      </c>
      <c r="K490" s="6" t="n">
        <f aca="false">G490*H490</f>
        <v>1998</v>
      </c>
      <c r="L490" s="6" t="n">
        <f aca="false">K490*J490</f>
        <v>99.9</v>
      </c>
      <c r="M490" s="6" t="n">
        <f aca="false">K490-L490</f>
        <v>1898.1</v>
      </c>
      <c r="N490" s="6" t="n">
        <f aca="false">G490*I490</f>
        <v>1000</v>
      </c>
      <c r="O490" s="6" t="n">
        <f aca="false">M490-N490</f>
        <v>898.1</v>
      </c>
      <c r="P490" s="21" t="n">
        <f aca="false">IFERROR(O490/M490,0)</f>
        <v>0.47315736789421</v>
      </c>
      <c r="Q490" s="6" t="str">
        <f aca="false">Orders!H490</f>
        <v>Delivered</v>
      </c>
      <c r="R490" s="1" t="str">
        <f aca="false">INDEX(Customers!$C$2:$C$301,MATCH(C490,Customers!$A$2:$A$301,0))</f>
        <v>Nagpur</v>
      </c>
      <c r="S490" s="1" t="str">
        <f aca="false">INDEX(Customers!$E$2:$E$301,MATCH(C490,Customers!$A$2:$A$301,0))</f>
        <v>New</v>
      </c>
      <c r="T490" s="6" t="str">
        <f aca="false">Orders!I490</f>
        <v>Mobile App</v>
      </c>
      <c r="U490" s="1" t="str">
        <f aca="false">IF(Q490="Delivered","Completed",IF(Q490="Cancelled","Cancelled",IF(Q490="Returned","Returned","In Progress")))</f>
        <v>Completed</v>
      </c>
      <c r="V490" s="1" t="str">
        <f aca="false">IF(M490&gt;=10000,"High Value",IF(M490&gt;=5000,"Medium Value","Low Value"))</f>
        <v>Low Value</v>
      </c>
      <c r="W490" s="1" t="str">
        <f aca="false">IF(O490&gt;0,"Profitable",IF(O490=0,"Break-even","Loss"))</f>
        <v>Profitable</v>
      </c>
      <c r="X490" s="1" t="str">
        <f aca="false">IF(Q490="Cancelled","Not Applicable",IF(Q490="Processing","Pending",IF(B490="","Unknown",IF(Orders!J490="","Unknown",IF(Orders!J490&lt;=3,"Fast",IF(Orders!J490&lt;=6,"Standard","Slow"))))))</f>
        <v>Fast</v>
      </c>
      <c r="Y490" s="1" t="n">
        <f aca="false">IF(OR(Q490="Cancelled",Q490="Returned"),0,O490)</f>
        <v>898.1</v>
      </c>
    </row>
    <row r="491" customFormat="false" ht="15" hidden="false" customHeight="false" outlineLevel="0" collapsed="false">
      <c r="A491" s="6" t="str">
        <f aca="false">Orders!A491</f>
        <v>O000490</v>
      </c>
      <c r="B491" s="19" t="n">
        <f aca="false">Orders!B491</f>
        <v>45698</v>
      </c>
      <c r="C491" s="6" t="str">
        <f aca="false">Orders!C491</f>
        <v>C0202</v>
      </c>
      <c r="D491" s="6" t="str">
        <f aca="false">Orders!D491</f>
        <v>P1062</v>
      </c>
      <c r="E491" s="6" t="str">
        <f aca="false">INDEX(Products!$B$2:$B$101,MATCH(D491,Products!$A$2:$A$101,0))</f>
        <v>Skipping Rope</v>
      </c>
      <c r="F491" s="1" t="str">
        <f aca="false">INDEX(Products!$C$2:$C$101,MATCH(D491,Products!$A$2:$A$101,0))</f>
        <v>Sports &amp; Outdoors</v>
      </c>
      <c r="G491" s="6" t="n">
        <f aca="false">Orders!E491</f>
        <v>1</v>
      </c>
      <c r="H491" s="16" t="n">
        <f aca="false">INDEX(Products!$D$2:$D$101,MATCH(D491,Products!$A$2:$A$101,0))</f>
        <v>249</v>
      </c>
      <c r="I491" s="16" t="n">
        <f aca="false">INDEX(Products!$E$2:$E$101,MATCH(D491,Products!$A$2:$A$101,0))</f>
        <v>80</v>
      </c>
      <c r="J491" s="20" t="n">
        <f aca="false">Orders!F491</f>
        <v>0.15</v>
      </c>
      <c r="K491" s="6" t="n">
        <f aca="false">G491*H491</f>
        <v>249</v>
      </c>
      <c r="L491" s="6" t="n">
        <f aca="false">K491*J491</f>
        <v>37.35</v>
      </c>
      <c r="M491" s="6" t="n">
        <f aca="false">K491-L491</f>
        <v>211.65</v>
      </c>
      <c r="N491" s="6" t="n">
        <f aca="false">G491*I491</f>
        <v>80</v>
      </c>
      <c r="O491" s="6" t="n">
        <f aca="false">M491-N491</f>
        <v>131.65</v>
      </c>
      <c r="P491" s="21" t="n">
        <f aca="false">IFERROR(O491/M491,0)</f>
        <v>0.622017481691472</v>
      </c>
      <c r="Q491" s="6" t="str">
        <f aca="false">Orders!H491</f>
        <v>Delivered</v>
      </c>
      <c r="R491" s="1" t="str">
        <f aca="false">INDEX(Customers!$C$2:$C$301,MATCH(C491,Customers!$A$2:$A$301,0))</f>
        <v>Mumbai</v>
      </c>
      <c r="S491" s="1" t="str">
        <f aca="false">INDEX(Customers!$E$2:$E$301,MATCH(C491,Customers!$A$2:$A$301,0))</f>
        <v>New</v>
      </c>
      <c r="T491" s="6" t="str">
        <f aca="false">Orders!I491</f>
        <v>Website</v>
      </c>
      <c r="U491" s="1" t="str">
        <f aca="false">IF(Q491="Delivered","Completed",IF(Q491="Cancelled","Cancelled",IF(Q491="Returned","Returned","In Progress")))</f>
        <v>Completed</v>
      </c>
      <c r="V491" s="1" t="str">
        <f aca="false">IF(M491&gt;=10000,"High Value",IF(M491&gt;=5000,"Medium Value","Low Value"))</f>
        <v>Low Value</v>
      </c>
      <c r="W491" s="1" t="str">
        <f aca="false">IF(O491&gt;0,"Profitable",IF(O491=0,"Break-even","Loss"))</f>
        <v>Profitable</v>
      </c>
      <c r="X491" s="1" t="str">
        <f aca="false">IF(Q491="Cancelled","Not Applicable",IF(Q491="Processing","Pending",IF(B491="","Unknown",IF(Orders!J491="","Unknown",IF(Orders!J491&lt;=3,"Fast",IF(Orders!J491&lt;=6,"Standard","Slow"))))))</f>
        <v>Slow</v>
      </c>
      <c r="Y491" s="1" t="n">
        <f aca="false">IF(OR(Q491="Cancelled",Q491="Returned"),0,O491)</f>
        <v>131.65</v>
      </c>
    </row>
    <row r="492" customFormat="false" ht="15" hidden="false" customHeight="false" outlineLevel="0" collapsed="false">
      <c r="A492" s="6" t="str">
        <f aca="false">Orders!A492</f>
        <v>O000491</v>
      </c>
      <c r="B492" s="19" t="n">
        <f aca="false">Orders!B492</f>
        <v>45709</v>
      </c>
      <c r="C492" s="6" t="str">
        <f aca="false">Orders!C492</f>
        <v>C0179</v>
      </c>
      <c r="D492" s="6" t="str">
        <f aca="false">Orders!D492</f>
        <v>P1014</v>
      </c>
      <c r="E492" s="6" t="str">
        <f aca="false">INDEX(Products!$B$2:$B$101,MATCH(D492,Products!$A$2:$A$101,0))</f>
        <v>HDMI Cable</v>
      </c>
      <c r="F492" s="1" t="str">
        <f aca="false">INDEX(Products!$C$2:$C$101,MATCH(D492,Products!$A$2:$A$101,0))</f>
        <v>Electronics</v>
      </c>
      <c r="G492" s="6" t="n">
        <f aca="false">Orders!E492</f>
        <v>1</v>
      </c>
      <c r="H492" s="16" t="n">
        <f aca="false">INDEX(Products!$D$2:$D$101,MATCH(D492,Products!$A$2:$A$101,0))</f>
        <v>449</v>
      </c>
      <c r="I492" s="16" t="n">
        <f aca="false">INDEX(Products!$E$2:$E$101,MATCH(D492,Products!$A$2:$A$101,0))</f>
        <v>180</v>
      </c>
      <c r="J492" s="20" t="n">
        <f aca="false">Orders!F492</f>
        <v>0.05</v>
      </c>
      <c r="K492" s="6" t="n">
        <f aca="false">G492*H492</f>
        <v>449</v>
      </c>
      <c r="L492" s="6" t="n">
        <f aca="false">K492*J492</f>
        <v>22.45</v>
      </c>
      <c r="M492" s="6" t="n">
        <f aca="false">K492-L492</f>
        <v>426.55</v>
      </c>
      <c r="N492" s="6" t="n">
        <f aca="false">G492*I492</f>
        <v>180</v>
      </c>
      <c r="O492" s="6" t="n">
        <f aca="false">M492-N492</f>
        <v>246.55</v>
      </c>
      <c r="P492" s="21" t="n">
        <f aca="false">IFERROR(O492/M492,0)</f>
        <v>0.578009612003282</v>
      </c>
      <c r="Q492" s="6" t="str">
        <f aca="false">Orders!H492</f>
        <v>Delivered</v>
      </c>
      <c r="R492" s="1" t="str">
        <f aca="false">INDEX(Customers!$C$2:$C$301,MATCH(C492,Customers!$A$2:$A$301,0))</f>
        <v>Coimbatore</v>
      </c>
      <c r="S492" s="1" t="str">
        <f aca="false">INDEX(Customers!$E$2:$E$301,MATCH(C492,Customers!$A$2:$A$301,0))</f>
        <v>New</v>
      </c>
      <c r="T492" s="6" t="str">
        <f aca="false">Orders!I492</f>
        <v>Mobile App</v>
      </c>
      <c r="U492" s="1" t="str">
        <f aca="false">IF(Q492="Delivered","Completed",IF(Q492="Cancelled","Cancelled",IF(Q492="Returned","Returned","In Progress")))</f>
        <v>Completed</v>
      </c>
      <c r="V492" s="1" t="str">
        <f aca="false">IF(M492&gt;=10000,"High Value",IF(M492&gt;=5000,"Medium Value","Low Value"))</f>
        <v>Low Value</v>
      </c>
      <c r="W492" s="1" t="str">
        <f aca="false">IF(O492&gt;0,"Profitable",IF(O492=0,"Break-even","Loss"))</f>
        <v>Profitable</v>
      </c>
      <c r="X492" s="1" t="str">
        <f aca="false">IF(Q492="Cancelled","Not Applicable",IF(Q492="Processing","Pending",IF(B492="","Unknown",IF(Orders!J492="","Unknown",IF(Orders!J492&lt;=3,"Fast",IF(Orders!J492&lt;=6,"Standard","Slow"))))))</f>
        <v>Standard</v>
      </c>
      <c r="Y492" s="1" t="n">
        <f aca="false">IF(OR(Q492="Cancelled",Q492="Returned"),0,O492)</f>
        <v>246.55</v>
      </c>
    </row>
    <row r="493" customFormat="false" ht="15" hidden="false" customHeight="false" outlineLevel="0" collapsed="false">
      <c r="A493" s="6" t="str">
        <f aca="false">Orders!A493</f>
        <v>O000492</v>
      </c>
      <c r="B493" s="19" t="n">
        <f aca="false">Orders!B493</f>
        <v>45666</v>
      </c>
      <c r="C493" s="6" t="str">
        <f aca="false">Orders!C493</f>
        <v>C0023</v>
      </c>
      <c r="D493" s="6" t="str">
        <f aca="false">Orders!D493</f>
        <v>P1086</v>
      </c>
      <c r="E493" s="6" t="str">
        <f aca="false">INDEX(Products!$B$2:$B$101,MATCH(D493,Products!$A$2:$A$101,0))</f>
        <v>Geometry Box</v>
      </c>
      <c r="F493" s="1" t="str">
        <f aca="false">INDEX(Products!$C$2:$C$101,MATCH(D493,Products!$A$2:$A$101,0))</f>
        <v>Books &amp; Stationery</v>
      </c>
      <c r="G493" s="6" t="n">
        <f aca="false">Orders!E493</f>
        <v>2</v>
      </c>
      <c r="H493" s="16" t="n">
        <f aca="false">INDEX(Products!$D$2:$D$101,MATCH(D493,Products!$A$2:$A$101,0))</f>
        <v>199</v>
      </c>
      <c r="I493" s="16" t="n">
        <f aca="false">INDEX(Products!$E$2:$E$101,MATCH(D493,Products!$A$2:$A$101,0))</f>
        <v>70</v>
      </c>
      <c r="J493" s="20" t="n">
        <f aca="false">Orders!F493</f>
        <v>0.2</v>
      </c>
      <c r="K493" s="6" t="n">
        <f aca="false">G493*H493</f>
        <v>398</v>
      </c>
      <c r="L493" s="6" t="n">
        <f aca="false">K493*J493</f>
        <v>79.6</v>
      </c>
      <c r="M493" s="6" t="n">
        <f aca="false">K493-L493</f>
        <v>318.4</v>
      </c>
      <c r="N493" s="6" t="n">
        <f aca="false">G493*I493</f>
        <v>140</v>
      </c>
      <c r="O493" s="6" t="n">
        <f aca="false">M493-N493</f>
        <v>178.4</v>
      </c>
      <c r="P493" s="21" t="n">
        <f aca="false">IFERROR(O493/M493,0)</f>
        <v>0.560301507537688</v>
      </c>
      <c r="Q493" s="6" t="str">
        <f aca="false">Orders!H493</f>
        <v>Delivered</v>
      </c>
      <c r="R493" s="1" t="str">
        <f aca="false">INDEX(Customers!$C$2:$C$301,MATCH(C493,Customers!$A$2:$A$301,0))</f>
        <v>Bengaluru</v>
      </c>
      <c r="S493" s="1" t="str">
        <f aca="false">INDEX(Customers!$E$2:$E$301,MATCH(C493,Customers!$A$2:$A$301,0))</f>
        <v>Returning</v>
      </c>
      <c r="T493" s="6" t="str">
        <f aca="false">Orders!I493</f>
        <v>Mobile App</v>
      </c>
      <c r="U493" s="1" t="str">
        <f aca="false">IF(Q493="Delivered","Completed",IF(Q493="Cancelled","Cancelled",IF(Q493="Returned","Returned","In Progress")))</f>
        <v>Completed</v>
      </c>
      <c r="V493" s="1" t="str">
        <f aca="false">IF(M493&gt;=10000,"High Value",IF(M493&gt;=5000,"Medium Value","Low Value"))</f>
        <v>Low Value</v>
      </c>
      <c r="W493" s="1" t="str">
        <f aca="false">IF(O493&gt;0,"Profitable",IF(O493=0,"Break-even","Loss"))</f>
        <v>Profitable</v>
      </c>
      <c r="X493" s="1" t="str">
        <f aca="false">IF(Q493="Cancelled","Not Applicable",IF(Q493="Processing","Pending",IF(B493="","Unknown",IF(Orders!J493="","Unknown",IF(Orders!J493&lt;=3,"Fast",IF(Orders!J493&lt;=6,"Standard","Slow"))))))</f>
        <v>Standard</v>
      </c>
      <c r="Y493" s="1" t="n">
        <f aca="false">IF(OR(Q493="Cancelled",Q493="Returned"),0,O493)</f>
        <v>178.4</v>
      </c>
    </row>
    <row r="494" customFormat="false" ht="15" hidden="false" customHeight="false" outlineLevel="0" collapsed="false">
      <c r="A494" s="6" t="str">
        <f aca="false">Orders!A494</f>
        <v>O000493</v>
      </c>
      <c r="B494" s="19" t="n">
        <f aca="false">Orders!B494</f>
        <v>45777</v>
      </c>
      <c r="C494" s="6" t="str">
        <f aca="false">Orders!C494</f>
        <v>C0049</v>
      </c>
      <c r="D494" s="6" t="str">
        <f aca="false">Orders!D494</f>
        <v>P1088</v>
      </c>
      <c r="E494" s="6" t="str">
        <f aca="false">INDEX(Products!$B$2:$B$101,MATCH(D494,Products!$A$2:$A$101,0))</f>
        <v>Electric Kettle</v>
      </c>
      <c r="F494" s="1" t="str">
        <f aca="false">INDEX(Products!$C$2:$C$101,MATCH(D494,Products!$A$2:$A$101,0))</f>
        <v>Appliances</v>
      </c>
      <c r="G494" s="6" t="n">
        <f aca="false">Orders!E494</f>
        <v>1</v>
      </c>
      <c r="H494" s="16" t="n">
        <f aca="false">INDEX(Products!$D$2:$D$101,MATCH(D494,Products!$A$2:$A$101,0))</f>
        <v>1299</v>
      </c>
      <c r="I494" s="16" t="n">
        <f aca="false">INDEX(Products!$E$2:$E$101,MATCH(D494,Products!$A$2:$A$101,0))</f>
        <v>750</v>
      </c>
      <c r="J494" s="20" t="n">
        <f aca="false">Orders!F494</f>
        <v>0</v>
      </c>
      <c r="K494" s="6" t="n">
        <f aca="false">G494*H494</f>
        <v>1299</v>
      </c>
      <c r="L494" s="6" t="n">
        <f aca="false">K494*J494</f>
        <v>0</v>
      </c>
      <c r="M494" s="6" t="n">
        <f aca="false">K494-L494</f>
        <v>1299</v>
      </c>
      <c r="N494" s="6" t="n">
        <f aca="false">G494*I494</f>
        <v>750</v>
      </c>
      <c r="O494" s="6" t="n">
        <f aca="false">M494-N494</f>
        <v>549</v>
      </c>
      <c r="P494" s="21" t="n">
        <f aca="false">IFERROR(O494/M494,0)</f>
        <v>0.422632794457275</v>
      </c>
      <c r="Q494" s="6" t="str">
        <f aca="false">Orders!H494</f>
        <v>Delivered</v>
      </c>
      <c r="R494" s="1" t="str">
        <f aca="false">INDEX(Customers!$C$2:$C$301,MATCH(C494,Customers!$A$2:$A$301,0))</f>
        <v>Ahmedabad</v>
      </c>
      <c r="S494" s="1" t="str">
        <f aca="false">INDEX(Customers!$E$2:$E$301,MATCH(C494,Customers!$A$2:$A$301,0))</f>
        <v>Returning</v>
      </c>
      <c r="T494" s="6" t="str">
        <f aca="false">Orders!I494</f>
        <v>Mobile App</v>
      </c>
      <c r="U494" s="1" t="str">
        <f aca="false">IF(Q494="Delivered","Completed",IF(Q494="Cancelled","Cancelled",IF(Q494="Returned","Returned","In Progress")))</f>
        <v>Completed</v>
      </c>
      <c r="V494" s="1" t="str">
        <f aca="false">IF(M494&gt;=10000,"High Value",IF(M494&gt;=5000,"Medium Value","Low Value"))</f>
        <v>Low Value</v>
      </c>
      <c r="W494" s="1" t="str">
        <f aca="false">IF(O494&gt;0,"Profitable",IF(O494=0,"Break-even","Loss"))</f>
        <v>Profitable</v>
      </c>
      <c r="X494" s="1" t="str">
        <f aca="false">IF(Q494="Cancelled","Not Applicable",IF(Q494="Processing","Pending",IF(B494="","Unknown",IF(Orders!J494="","Unknown",IF(Orders!J494&lt;=3,"Fast",IF(Orders!J494&lt;=6,"Standard","Slow"))))))</f>
        <v>Fast</v>
      </c>
      <c r="Y494" s="1" t="n">
        <f aca="false">IF(OR(Q494="Cancelled",Q494="Returned"),0,O494)</f>
        <v>549</v>
      </c>
    </row>
    <row r="495" customFormat="false" ht="23.85" hidden="false" customHeight="false" outlineLevel="0" collapsed="false">
      <c r="A495" s="6" t="str">
        <f aca="false">Orders!A495</f>
        <v>O000494</v>
      </c>
      <c r="B495" s="19" t="n">
        <f aca="false">Orders!B495</f>
        <v>45690</v>
      </c>
      <c r="C495" s="6" t="str">
        <f aca="false">Orders!C495</f>
        <v>C0145</v>
      </c>
      <c r="D495" s="6" t="str">
        <f aca="false">Orders!D495</f>
        <v>P1046</v>
      </c>
      <c r="E495" s="6" t="str">
        <f aca="false">INDEX(Products!$B$2:$B$101,MATCH(D495,Products!$A$2:$A$101,0))</f>
        <v>Face Moisturizer</v>
      </c>
      <c r="F495" s="1" t="str">
        <f aca="false">INDEX(Products!$C$2:$C$101,MATCH(D495,Products!$A$2:$A$101,0))</f>
        <v>Beauty</v>
      </c>
      <c r="G495" s="6" t="n">
        <f aca="false">Orders!E495</f>
        <v>1</v>
      </c>
      <c r="H495" s="16" t="n">
        <f aca="false">INDEX(Products!$D$2:$D$101,MATCH(D495,Products!$A$2:$A$101,0))</f>
        <v>499</v>
      </c>
      <c r="I495" s="16" t="n">
        <f aca="false">INDEX(Products!$E$2:$E$101,MATCH(D495,Products!$A$2:$A$101,0))</f>
        <v>220</v>
      </c>
      <c r="J495" s="20" t="n">
        <f aca="false">Orders!F495</f>
        <v>0.15</v>
      </c>
      <c r="K495" s="6" t="n">
        <f aca="false">G495*H495</f>
        <v>499</v>
      </c>
      <c r="L495" s="6" t="n">
        <f aca="false">K495*J495</f>
        <v>74.85</v>
      </c>
      <c r="M495" s="6" t="n">
        <f aca="false">K495-L495</f>
        <v>424.15</v>
      </c>
      <c r="N495" s="6" t="n">
        <f aca="false">G495*I495</f>
        <v>220</v>
      </c>
      <c r="O495" s="6" t="n">
        <f aca="false">M495-N495</f>
        <v>204.15</v>
      </c>
      <c r="P495" s="21" t="n">
        <f aca="false">IFERROR(O495/M495,0)</f>
        <v>0.481315572321113</v>
      </c>
      <c r="Q495" s="6" t="str">
        <f aca="false">Orders!H495</f>
        <v>Shipped</v>
      </c>
      <c r="R495" s="1" t="str">
        <f aca="false">INDEX(Customers!$C$2:$C$301,MATCH(C495,Customers!$A$2:$A$301,0))</f>
        <v>Chennai</v>
      </c>
      <c r="S495" s="1" t="str">
        <f aca="false">INDEX(Customers!$E$2:$E$301,MATCH(C495,Customers!$A$2:$A$301,0))</f>
        <v>New</v>
      </c>
      <c r="T495" s="6" t="str">
        <f aca="false">Orders!I495</f>
        <v>Marketplace</v>
      </c>
      <c r="U495" s="1" t="str">
        <f aca="false">IF(Q495="Delivered","Completed",IF(Q495="Cancelled","Cancelled",IF(Q495="Returned","Returned","In Progress")))</f>
        <v>In Progress</v>
      </c>
      <c r="V495" s="1" t="str">
        <f aca="false">IF(M495&gt;=10000,"High Value",IF(M495&gt;=5000,"Medium Value","Low Value"))</f>
        <v>Low Value</v>
      </c>
      <c r="W495" s="1" t="str">
        <f aca="false">IF(O495&gt;0,"Profitable",IF(O495=0,"Break-even","Loss"))</f>
        <v>Profitable</v>
      </c>
      <c r="X495" s="1" t="str">
        <f aca="false">IF(Q495="Cancelled","Not Applicable",IF(Q495="Processing","Pending",IF(B495="","Unknown",IF(Orders!J495="","Unknown",IF(Orders!J495&lt;=3,"Fast",IF(Orders!J495&lt;=6,"Standard","Slow"))))))</f>
        <v>Fast</v>
      </c>
      <c r="Y495" s="1" t="n">
        <f aca="false">IF(OR(Q495="Cancelled",Q495="Returned"),0,O495)</f>
        <v>204.15</v>
      </c>
    </row>
    <row r="496" customFormat="false" ht="23.85" hidden="false" customHeight="false" outlineLevel="0" collapsed="false">
      <c r="A496" s="6" t="str">
        <f aca="false">Orders!A496</f>
        <v>O000495</v>
      </c>
      <c r="B496" s="19" t="n">
        <f aca="false">Orders!B496</f>
        <v>45956</v>
      </c>
      <c r="C496" s="6" t="str">
        <f aca="false">Orders!C496</f>
        <v>C0084</v>
      </c>
      <c r="D496" s="6" t="str">
        <f aca="false">Orders!D496</f>
        <v>P1001</v>
      </c>
      <c r="E496" s="6" t="str">
        <f aca="false">INDEX(Products!$B$2:$B$101,MATCH(D496,Products!$A$2:$A$101,0))</f>
        <v>Wireless Earbuds</v>
      </c>
      <c r="F496" s="1" t="str">
        <f aca="false">INDEX(Products!$C$2:$C$101,MATCH(D496,Products!$A$2:$A$101,0))</f>
        <v>Electronics</v>
      </c>
      <c r="G496" s="6" t="n">
        <f aca="false">Orders!E496</f>
        <v>2</v>
      </c>
      <c r="H496" s="16" t="n">
        <f aca="false">INDEX(Products!$D$2:$D$101,MATCH(D496,Products!$A$2:$A$101,0))</f>
        <v>899</v>
      </c>
      <c r="I496" s="16" t="n">
        <f aca="false">INDEX(Products!$E$2:$E$101,MATCH(D496,Products!$A$2:$A$101,0))</f>
        <v>499</v>
      </c>
      <c r="J496" s="20" t="n">
        <f aca="false">Orders!F496</f>
        <v>0.2</v>
      </c>
      <c r="K496" s="6" t="n">
        <f aca="false">G496*H496</f>
        <v>1798</v>
      </c>
      <c r="L496" s="6" t="n">
        <f aca="false">K496*J496</f>
        <v>359.6</v>
      </c>
      <c r="M496" s="6" t="n">
        <f aca="false">K496-L496</f>
        <v>1438.4</v>
      </c>
      <c r="N496" s="6" t="n">
        <f aca="false">G496*I496</f>
        <v>998</v>
      </c>
      <c r="O496" s="6" t="n">
        <f aca="false">M496-N496</f>
        <v>440.4</v>
      </c>
      <c r="P496" s="21" t="n">
        <f aca="false">IFERROR(O496/M496,0)</f>
        <v>0.306173526140156</v>
      </c>
      <c r="Q496" s="6" t="str">
        <f aca="false">Orders!H496</f>
        <v>Delivered</v>
      </c>
      <c r="R496" s="1" t="str">
        <f aca="false">INDEX(Customers!$C$2:$C$301,MATCH(C496,Customers!$A$2:$A$301,0))</f>
        <v>Hyderabad</v>
      </c>
      <c r="S496" s="1" t="str">
        <f aca="false">INDEX(Customers!$E$2:$E$301,MATCH(C496,Customers!$A$2:$A$301,0))</f>
        <v>Returning</v>
      </c>
      <c r="T496" s="6" t="str">
        <f aca="false">Orders!I496</f>
        <v>Mobile App</v>
      </c>
      <c r="U496" s="1" t="str">
        <f aca="false">IF(Q496="Delivered","Completed",IF(Q496="Cancelled","Cancelled",IF(Q496="Returned","Returned","In Progress")))</f>
        <v>Completed</v>
      </c>
      <c r="V496" s="1" t="str">
        <f aca="false">IF(M496&gt;=10000,"High Value",IF(M496&gt;=5000,"Medium Value","Low Value"))</f>
        <v>Low Value</v>
      </c>
      <c r="W496" s="1" t="str">
        <f aca="false">IF(O496&gt;0,"Profitable",IF(O496=0,"Break-even","Loss"))</f>
        <v>Profitable</v>
      </c>
      <c r="X496" s="1" t="str">
        <f aca="false">IF(Q496="Cancelled","Not Applicable",IF(Q496="Processing","Pending",IF(B496="","Unknown",IF(Orders!J496="","Unknown",IF(Orders!J496&lt;=3,"Fast",IF(Orders!J496&lt;=6,"Standard","Slow"))))))</f>
        <v>Standard</v>
      </c>
      <c r="Y496" s="1" t="n">
        <f aca="false">IF(OR(Q496="Cancelled",Q496="Returned"),0,O496)</f>
        <v>440.4</v>
      </c>
    </row>
    <row r="497" customFormat="false" ht="15" hidden="false" customHeight="false" outlineLevel="0" collapsed="false">
      <c r="A497" s="6" t="str">
        <f aca="false">Orders!A497</f>
        <v>O000496</v>
      </c>
      <c r="B497" s="19" t="n">
        <f aca="false">Orders!B497</f>
        <v>45986</v>
      </c>
      <c r="C497" s="6" t="str">
        <f aca="false">Orders!C497</f>
        <v>C0169</v>
      </c>
      <c r="D497" s="6" t="str">
        <f aca="false">Orders!D497</f>
        <v>P1096</v>
      </c>
      <c r="E497" s="6" t="str">
        <f aca="false">INDEX(Products!$B$2:$B$101,MATCH(D497,Products!$A$2:$A$101,0))</f>
        <v>Air Fryer</v>
      </c>
      <c r="F497" s="1" t="str">
        <f aca="false">INDEX(Products!$C$2:$C$101,MATCH(D497,Products!$A$2:$A$101,0))</f>
        <v>Appliances</v>
      </c>
      <c r="G497" s="6" t="n">
        <f aca="false">Orders!E497</f>
        <v>2</v>
      </c>
      <c r="H497" s="16" t="n">
        <f aca="false">INDEX(Products!$D$2:$D$101,MATCH(D497,Products!$A$2:$A$101,0))</f>
        <v>3999</v>
      </c>
      <c r="I497" s="16" t="n">
        <f aca="false">INDEX(Products!$E$2:$E$101,MATCH(D497,Products!$A$2:$A$101,0))</f>
        <v>2700</v>
      </c>
      <c r="J497" s="20" t="n">
        <f aca="false">Orders!F497</f>
        <v>0.1</v>
      </c>
      <c r="K497" s="6" t="n">
        <f aca="false">G497*H497</f>
        <v>7998</v>
      </c>
      <c r="L497" s="6" t="n">
        <f aca="false">K497*J497</f>
        <v>799.8</v>
      </c>
      <c r="M497" s="6" t="n">
        <f aca="false">K497-L497</f>
        <v>7198.2</v>
      </c>
      <c r="N497" s="6" t="n">
        <f aca="false">G497*I497</f>
        <v>5400</v>
      </c>
      <c r="O497" s="6" t="n">
        <f aca="false">M497-N497</f>
        <v>1798.2</v>
      </c>
      <c r="P497" s="21" t="n">
        <f aca="false">IFERROR(O497/M497,0)</f>
        <v>0.249812453113278</v>
      </c>
      <c r="Q497" s="6" t="str">
        <f aca="false">Orders!H497</f>
        <v>Cancelled</v>
      </c>
      <c r="R497" s="1" t="str">
        <f aca="false">INDEX(Customers!$C$2:$C$301,MATCH(C497,Customers!$A$2:$A$301,0))</f>
        <v>Ahmedabad</v>
      </c>
      <c r="S497" s="1" t="str">
        <f aca="false">INDEX(Customers!$E$2:$E$301,MATCH(C497,Customers!$A$2:$A$301,0))</f>
        <v>Returning</v>
      </c>
      <c r="T497" s="6" t="str">
        <f aca="false">Orders!I497</f>
        <v>Marketplace</v>
      </c>
      <c r="U497" s="1" t="str">
        <f aca="false">IF(Q497="Delivered","Completed",IF(Q497="Cancelled","Cancelled",IF(Q497="Returned","Returned","In Progress")))</f>
        <v>Cancelled</v>
      </c>
      <c r="V497" s="1" t="str">
        <f aca="false">IF(M497&gt;=10000,"High Value",IF(M497&gt;=5000,"Medium Value","Low Value"))</f>
        <v>Medium Value</v>
      </c>
      <c r="W497" s="1" t="str">
        <f aca="false">IF(O497&gt;0,"Profitable",IF(O497=0,"Break-even","Loss"))</f>
        <v>Profitable</v>
      </c>
      <c r="X497" s="1" t="str">
        <f aca="false">IF(Q497="Cancelled","Not Applicable",IF(Q497="Processing","Pending",IF(B497="","Unknown",IF(Orders!J497="","Unknown",IF(Orders!J497&lt;=3,"Fast",IF(Orders!J497&lt;=6,"Standard","Slow"))))))</f>
        <v>Not Applicable</v>
      </c>
      <c r="Y497" s="1" t="n">
        <f aca="false">IF(OR(Q497="Cancelled",Q497="Returned"),0,O497)</f>
        <v>0</v>
      </c>
    </row>
    <row r="498" customFormat="false" ht="15" hidden="false" customHeight="false" outlineLevel="0" collapsed="false">
      <c r="A498" s="6" t="str">
        <f aca="false">Orders!A498</f>
        <v>O000497</v>
      </c>
      <c r="B498" s="19" t="n">
        <f aca="false">Orders!B498</f>
        <v>45823</v>
      </c>
      <c r="C498" s="6" t="str">
        <f aca="false">Orders!C498</f>
        <v>C0179</v>
      </c>
      <c r="D498" s="6" t="str">
        <f aca="false">Orders!D498</f>
        <v>P1077</v>
      </c>
      <c r="E498" s="6" t="str">
        <f aca="false">INDEX(Products!$B$2:$B$101,MATCH(D498,Products!$A$2:$A$101,0))</f>
        <v>Planner</v>
      </c>
      <c r="F498" s="1" t="str">
        <f aca="false">INDEX(Products!$C$2:$C$101,MATCH(D498,Products!$A$2:$A$101,0))</f>
        <v>Books &amp; Stationery</v>
      </c>
      <c r="G498" s="6" t="n">
        <f aca="false">Orders!E498</f>
        <v>2</v>
      </c>
      <c r="H498" s="16" t="n">
        <f aca="false">INDEX(Products!$D$2:$D$101,MATCH(D498,Products!$A$2:$A$101,0))</f>
        <v>349</v>
      </c>
      <c r="I498" s="16" t="n">
        <f aca="false">INDEX(Products!$E$2:$E$101,MATCH(D498,Products!$A$2:$A$101,0))</f>
        <v>130</v>
      </c>
      <c r="J498" s="20" t="n">
        <f aca="false">Orders!F498</f>
        <v>0.05</v>
      </c>
      <c r="K498" s="6" t="n">
        <f aca="false">G498*H498</f>
        <v>698</v>
      </c>
      <c r="L498" s="6" t="n">
        <f aca="false">K498*J498</f>
        <v>34.9</v>
      </c>
      <c r="M498" s="6" t="n">
        <f aca="false">K498-L498</f>
        <v>663.1</v>
      </c>
      <c r="N498" s="6" t="n">
        <f aca="false">G498*I498</f>
        <v>260</v>
      </c>
      <c r="O498" s="6" t="n">
        <f aca="false">M498-N498</f>
        <v>403.1</v>
      </c>
      <c r="P498" s="21" t="n">
        <f aca="false">IFERROR(O498/M498,0)</f>
        <v>0.607902277182929</v>
      </c>
      <c r="Q498" s="6" t="str">
        <f aca="false">Orders!H498</f>
        <v>Delivered</v>
      </c>
      <c r="R498" s="1" t="str">
        <f aca="false">INDEX(Customers!$C$2:$C$301,MATCH(C498,Customers!$A$2:$A$301,0))</f>
        <v>Coimbatore</v>
      </c>
      <c r="S498" s="1" t="str">
        <f aca="false">INDEX(Customers!$E$2:$E$301,MATCH(C498,Customers!$A$2:$A$301,0))</f>
        <v>New</v>
      </c>
      <c r="T498" s="6" t="str">
        <f aca="false">Orders!I498</f>
        <v>Marketplace</v>
      </c>
      <c r="U498" s="1" t="str">
        <f aca="false">IF(Q498="Delivered","Completed",IF(Q498="Cancelled","Cancelled",IF(Q498="Returned","Returned","In Progress")))</f>
        <v>Completed</v>
      </c>
      <c r="V498" s="1" t="str">
        <f aca="false">IF(M498&gt;=10000,"High Value",IF(M498&gt;=5000,"Medium Value","Low Value"))</f>
        <v>Low Value</v>
      </c>
      <c r="W498" s="1" t="str">
        <f aca="false">IF(O498&gt;0,"Profitable",IF(O498=0,"Break-even","Loss"))</f>
        <v>Profitable</v>
      </c>
      <c r="X498" s="1" t="str">
        <f aca="false">IF(Q498="Cancelled","Not Applicable",IF(Q498="Processing","Pending",IF(B498="","Unknown",IF(Orders!J498="","Unknown",IF(Orders!J498&lt;=3,"Fast",IF(Orders!J498&lt;=6,"Standard","Slow"))))))</f>
        <v>Standard</v>
      </c>
      <c r="Y498" s="1" t="n">
        <f aca="false">IF(OR(Q498="Cancelled",Q498="Returned"),0,O498)</f>
        <v>403.1</v>
      </c>
    </row>
    <row r="499" customFormat="false" ht="15" hidden="false" customHeight="false" outlineLevel="0" collapsed="false">
      <c r="A499" s="6" t="str">
        <f aca="false">Orders!A499</f>
        <v>O000498</v>
      </c>
      <c r="B499" s="19" t="n">
        <f aca="false">Orders!B499</f>
        <v>45672</v>
      </c>
      <c r="C499" s="6" t="str">
        <f aca="false">Orders!C499</f>
        <v>C0245</v>
      </c>
      <c r="D499" s="6" t="str">
        <f aca="false">Orders!D499</f>
        <v>P1030</v>
      </c>
      <c r="E499" s="6" t="str">
        <f aca="false">INDEX(Products!$B$2:$B$101,MATCH(D499,Products!$A$2:$A$101,0))</f>
        <v>Formal Shoes</v>
      </c>
      <c r="F499" s="1" t="str">
        <f aca="false">INDEX(Products!$C$2:$C$101,MATCH(D499,Products!$A$2:$A$101,0))</f>
        <v>Fashion</v>
      </c>
      <c r="G499" s="6" t="n">
        <f aca="false">Orders!E499</f>
        <v>4</v>
      </c>
      <c r="H499" s="16" t="n">
        <f aca="false">INDEX(Products!$D$2:$D$101,MATCH(D499,Products!$A$2:$A$101,0))</f>
        <v>2299</v>
      </c>
      <c r="I499" s="16" t="n">
        <f aca="false">INDEX(Products!$E$2:$E$101,MATCH(D499,Products!$A$2:$A$101,0))</f>
        <v>1300</v>
      </c>
      <c r="J499" s="20" t="n">
        <f aca="false">Orders!F499</f>
        <v>0.05</v>
      </c>
      <c r="K499" s="6" t="n">
        <f aca="false">G499*H499</f>
        <v>9196</v>
      </c>
      <c r="L499" s="6" t="n">
        <f aca="false">K499*J499</f>
        <v>459.8</v>
      </c>
      <c r="M499" s="6" t="n">
        <f aca="false">K499-L499</f>
        <v>8736.2</v>
      </c>
      <c r="N499" s="6" t="n">
        <f aca="false">G499*I499</f>
        <v>5200</v>
      </c>
      <c r="O499" s="6" t="n">
        <f aca="false">M499-N499</f>
        <v>3536.2</v>
      </c>
      <c r="P499" s="21" t="n">
        <f aca="false">IFERROR(O499/M499,0)</f>
        <v>0.404775531695703</v>
      </c>
      <c r="Q499" s="6" t="str">
        <f aca="false">Orders!H499</f>
        <v>Delivered</v>
      </c>
      <c r="R499" s="1" t="str">
        <f aca="false">INDEX(Customers!$C$2:$C$301,MATCH(C499,Customers!$A$2:$A$301,0))</f>
        <v>Chennai</v>
      </c>
      <c r="S499" s="1" t="str">
        <f aca="false">INDEX(Customers!$E$2:$E$301,MATCH(C499,Customers!$A$2:$A$301,0))</f>
        <v>New</v>
      </c>
      <c r="T499" s="6" t="str">
        <f aca="false">Orders!I499</f>
        <v>Mobile App</v>
      </c>
      <c r="U499" s="1" t="str">
        <f aca="false">IF(Q499="Delivered","Completed",IF(Q499="Cancelled","Cancelled",IF(Q499="Returned","Returned","In Progress")))</f>
        <v>Completed</v>
      </c>
      <c r="V499" s="1" t="str">
        <f aca="false">IF(M499&gt;=10000,"High Value",IF(M499&gt;=5000,"Medium Value","Low Value"))</f>
        <v>Medium Value</v>
      </c>
      <c r="W499" s="1" t="str">
        <f aca="false">IF(O499&gt;0,"Profitable",IF(O499=0,"Break-even","Loss"))</f>
        <v>Profitable</v>
      </c>
      <c r="X499" s="1" t="str">
        <f aca="false">IF(Q499="Cancelled","Not Applicable",IF(Q499="Processing","Pending",IF(B499="","Unknown",IF(Orders!J499="","Unknown",IF(Orders!J499&lt;=3,"Fast",IF(Orders!J499&lt;=6,"Standard","Slow"))))))</f>
        <v>Standard</v>
      </c>
      <c r="Y499" s="1" t="n">
        <f aca="false">IF(OR(Q499="Cancelled",Q499="Returned"),0,O499)</f>
        <v>3536.2</v>
      </c>
    </row>
    <row r="500" customFormat="false" ht="15" hidden="false" customHeight="false" outlineLevel="0" collapsed="false">
      <c r="A500" s="6" t="str">
        <f aca="false">Orders!A500</f>
        <v>O000499</v>
      </c>
      <c r="B500" s="19" t="n">
        <f aca="false">Orders!B500</f>
        <v>45925</v>
      </c>
      <c r="C500" s="6" t="str">
        <f aca="false">Orders!C500</f>
        <v>C0122</v>
      </c>
      <c r="D500" s="6" t="str">
        <f aca="false">Orders!D500</f>
        <v>P1088</v>
      </c>
      <c r="E500" s="6" t="str">
        <f aca="false">INDEX(Products!$B$2:$B$101,MATCH(D500,Products!$A$2:$A$101,0))</f>
        <v>Electric Kettle</v>
      </c>
      <c r="F500" s="1" t="str">
        <f aca="false">INDEX(Products!$C$2:$C$101,MATCH(D500,Products!$A$2:$A$101,0))</f>
        <v>Appliances</v>
      </c>
      <c r="G500" s="6" t="n">
        <f aca="false">Orders!E500</f>
        <v>3</v>
      </c>
      <c r="H500" s="16" t="n">
        <f aca="false">INDEX(Products!$D$2:$D$101,MATCH(D500,Products!$A$2:$A$101,0))</f>
        <v>1299</v>
      </c>
      <c r="I500" s="16" t="n">
        <f aca="false">INDEX(Products!$E$2:$E$101,MATCH(D500,Products!$A$2:$A$101,0))</f>
        <v>750</v>
      </c>
      <c r="J500" s="20" t="n">
        <f aca="false">Orders!F500</f>
        <v>0</v>
      </c>
      <c r="K500" s="6" t="n">
        <f aca="false">G500*H500</f>
        <v>3897</v>
      </c>
      <c r="L500" s="6" t="n">
        <f aca="false">K500*J500</f>
        <v>0</v>
      </c>
      <c r="M500" s="6" t="n">
        <f aca="false">K500-L500</f>
        <v>3897</v>
      </c>
      <c r="N500" s="6" t="n">
        <f aca="false">G500*I500</f>
        <v>2250</v>
      </c>
      <c r="O500" s="6" t="n">
        <f aca="false">M500-N500</f>
        <v>1647</v>
      </c>
      <c r="P500" s="21" t="n">
        <f aca="false">IFERROR(O500/M500,0)</f>
        <v>0.422632794457275</v>
      </c>
      <c r="Q500" s="6" t="str">
        <f aca="false">Orders!H500</f>
        <v>Returned</v>
      </c>
      <c r="R500" s="1" t="str">
        <f aca="false">INDEX(Customers!$C$2:$C$301,MATCH(C500,Customers!$A$2:$A$301,0))</f>
        <v>Mumbai</v>
      </c>
      <c r="S500" s="1" t="str">
        <f aca="false">INDEX(Customers!$E$2:$E$301,MATCH(C500,Customers!$A$2:$A$301,0))</f>
        <v>New</v>
      </c>
      <c r="T500" s="6" t="str">
        <f aca="false">Orders!I500</f>
        <v>Mobile App</v>
      </c>
      <c r="U500" s="1" t="str">
        <f aca="false">IF(Q500="Delivered","Completed",IF(Q500="Cancelled","Cancelled",IF(Q500="Returned","Returned","In Progress")))</f>
        <v>Returned</v>
      </c>
      <c r="V500" s="1" t="str">
        <f aca="false">IF(M500&gt;=10000,"High Value",IF(M500&gt;=5000,"Medium Value","Low Value"))</f>
        <v>Low Value</v>
      </c>
      <c r="W500" s="1" t="str">
        <f aca="false">IF(O500&gt;0,"Profitable",IF(O500=0,"Break-even","Loss"))</f>
        <v>Profitable</v>
      </c>
      <c r="X500" s="1" t="str">
        <f aca="false">IF(Q500="Cancelled","Not Applicable",IF(Q500="Processing","Pending",IF(B500="","Unknown",IF(Orders!J500="","Unknown",IF(Orders!J500&lt;=3,"Fast",IF(Orders!J500&lt;=6,"Standard","Slow"))))))</f>
        <v>Fast</v>
      </c>
      <c r="Y500" s="1" t="n">
        <f aca="false">IF(OR(Q500="Cancelled",Q500="Returned"),0,O500)</f>
        <v>0</v>
      </c>
    </row>
    <row r="501" customFormat="false" ht="15" hidden="false" customHeight="false" outlineLevel="0" collapsed="false">
      <c r="A501" s="6" t="str">
        <f aca="false">Orders!A501</f>
        <v>O000500</v>
      </c>
      <c r="B501" s="19" t="n">
        <f aca="false">Orders!B501</f>
        <v>45901</v>
      </c>
      <c r="C501" s="6" t="str">
        <f aca="false">Orders!C501</f>
        <v>C0144</v>
      </c>
      <c r="D501" s="6" t="str">
        <f aca="false">Orders!D501</f>
        <v>P1017</v>
      </c>
      <c r="E501" s="6" t="str">
        <f aca="false">INDEX(Products!$B$2:$B$101,MATCH(D501,Products!$A$2:$A$101,0))</f>
        <v>Denim Jeans</v>
      </c>
      <c r="F501" s="1" t="str">
        <f aca="false">INDEX(Products!$C$2:$C$101,MATCH(D501,Products!$A$2:$A$101,0))</f>
        <v>Fashion</v>
      </c>
      <c r="G501" s="6" t="n">
        <f aca="false">Orders!E501</f>
        <v>2</v>
      </c>
      <c r="H501" s="16" t="n">
        <f aca="false">INDEX(Products!$D$2:$D$101,MATCH(D501,Products!$A$2:$A$101,0))</f>
        <v>1299</v>
      </c>
      <c r="I501" s="16" t="n">
        <f aca="false">INDEX(Products!$E$2:$E$101,MATCH(D501,Products!$A$2:$A$101,0))</f>
        <v>650</v>
      </c>
      <c r="J501" s="20" t="n">
        <f aca="false">Orders!F501</f>
        <v>0.1</v>
      </c>
      <c r="K501" s="6" t="n">
        <f aca="false">G501*H501</f>
        <v>2598</v>
      </c>
      <c r="L501" s="6" t="n">
        <f aca="false">K501*J501</f>
        <v>259.8</v>
      </c>
      <c r="M501" s="6" t="n">
        <f aca="false">K501-L501</f>
        <v>2338.2</v>
      </c>
      <c r="N501" s="6" t="n">
        <f aca="false">G501*I501</f>
        <v>1300</v>
      </c>
      <c r="O501" s="6" t="n">
        <f aca="false">M501-N501</f>
        <v>1038.2</v>
      </c>
      <c r="P501" s="21" t="n">
        <f aca="false">IFERROR(O501/M501,0)</f>
        <v>0.444016765032931</v>
      </c>
      <c r="Q501" s="6" t="str">
        <f aca="false">Orders!H501</f>
        <v>Delivered</v>
      </c>
      <c r="R501" s="1" t="str">
        <f aca="false">INDEX(Customers!$C$2:$C$301,MATCH(C501,Customers!$A$2:$A$301,0))</f>
        <v>Hyderabad</v>
      </c>
      <c r="S501" s="1" t="str">
        <f aca="false">INDEX(Customers!$E$2:$E$301,MATCH(C501,Customers!$A$2:$A$301,0))</f>
        <v>Returning</v>
      </c>
      <c r="T501" s="6" t="str">
        <f aca="false">Orders!I501</f>
        <v>Marketplace</v>
      </c>
      <c r="U501" s="1" t="str">
        <f aca="false">IF(Q501="Delivered","Completed",IF(Q501="Cancelled","Cancelled",IF(Q501="Returned","Returned","In Progress")))</f>
        <v>Completed</v>
      </c>
      <c r="V501" s="1" t="str">
        <f aca="false">IF(M501&gt;=10000,"High Value",IF(M501&gt;=5000,"Medium Value","Low Value"))</f>
        <v>Low Value</v>
      </c>
      <c r="W501" s="1" t="str">
        <f aca="false">IF(O501&gt;0,"Profitable",IF(O501=0,"Break-even","Loss"))</f>
        <v>Profitable</v>
      </c>
      <c r="X501" s="1" t="str">
        <f aca="false">IF(Q501="Cancelled","Not Applicable",IF(Q501="Processing","Pending",IF(B501="","Unknown",IF(Orders!J501="","Unknown",IF(Orders!J501&lt;=3,"Fast",IF(Orders!J501&lt;=6,"Standard","Slow"))))))</f>
        <v>Standard</v>
      </c>
      <c r="Y501" s="1" t="n">
        <f aca="false">IF(OR(Q501="Cancelled",Q501="Returned"),0,O501)</f>
        <v>1038.2</v>
      </c>
    </row>
    <row r="502" customFormat="false" ht="15" hidden="false" customHeight="false" outlineLevel="0" collapsed="false">
      <c r="A502" s="6" t="str">
        <f aca="false">Orders!A502</f>
        <v>O000501</v>
      </c>
      <c r="B502" s="19" t="n">
        <f aca="false">Orders!B502</f>
        <v>45820</v>
      </c>
      <c r="C502" s="6" t="str">
        <f aca="false">Orders!C502</f>
        <v>C0081</v>
      </c>
      <c r="D502" s="6" t="str">
        <f aca="false">Orders!D502</f>
        <v>P1025</v>
      </c>
      <c r="E502" s="6" t="str">
        <f aca="false">INDEX(Products!$B$2:$B$101,MATCH(D502,Products!$A$2:$A$101,0))</f>
        <v>Hoodie</v>
      </c>
      <c r="F502" s="1" t="str">
        <f aca="false">INDEX(Products!$C$2:$C$101,MATCH(D502,Products!$A$2:$A$101,0))</f>
        <v>Fashion</v>
      </c>
      <c r="G502" s="6" t="n">
        <f aca="false">Orders!E502</f>
        <v>4</v>
      </c>
      <c r="H502" s="16" t="n">
        <f aca="false">INDEX(Products!$D$2:$D$101,MATCH(D502,Products!$A$2:$A$101,0))</f>
        <v>1399</v>
      </c>
      <c r="I502" s="16" t="n">
        <f aca="false">INDEX(Products!$E$2:$E$101,MATCH(D502,Products!$A$2:$A$101,0))</f>
        <v>720</v>
      </c>
      <c r="J502" s="20" t="n">
        <f aca="false">Orders!F502</f>
        <v>0.25</v>
      </c>
      <c r="K502" s="6" t="n">
        <f aca="false">G502*H502</f>
        <v>5596</v>
      </c>
      <c r="L502" s="6" t="n">
        <f aca="false">K502*J502</f>
        <v>1399</v>
      </c>
      <c r="M502" s="6" t="n">
        <f aca="false">K502-L502</f>
        <v>4197</v>
      </c>
      <c r="N502" s="6" t="n">
        <f aca="false">G502*I502</f>
        <v>2880</v>
      </c>
      <c r="O502" s="6" t="n">
        <f aca="false">M502-N502</f>
        <v>1317</v>
      </c>
      <c r="P502" s="21" t="n">
        <f aca="false">IFERROR(O502/M502,0)</f>
        <v>0.313795568263045</v>
      </c>
      <c r="Q502" s="6" t="str">
        <f aca="false">Orders!H502</f>
        <v>Delivered</v>
      </c>
      <c r="R502" s="1" t="str">
        <f aca="false">INDEX(Customers!$C$2:$C$301,MATCH(C502,Customers!$A$2:$A$301,0))</f>
        <v>Delhi</v>
      </c>
      <c r="S502" s="1" t="str">
        <f aca="false">INDEX(Customers!$E$2:$E$301,MATCH(C502,Customers!$A$2:$A$301,0))</f>
        <v>Returning</v>
      </c>
      <c r="T502" s="6" t="str">
        <f aca="false">Orders!I502</f>
        <v>Marketplace</v>
      </c>
      <c r="U502" s="1" t="str">
        <f aca="false">IF(Q502="Delivered","Completed",IF(Q502="Cancelled","Cancelled",IF(Q502="Returned","Returned","In Progress")))</f>
        <v>Completed</v>
      </c>
      <c r="V502" s="1" t="str">
        <f aca="false">IF(M502&gt;=10000,"High Value",IF(M502&gt;=5000,"Medium Value","Low Value"))</f>
        <v>Low Value</v>
      </c>
      <c r="W502" s="1" t="str">
        <f aca="false">IF(O502&gt;0,"Profitable",IF(O502=0,"Break-even","Loss"))</f>
        <v>Profitable</v>
      </c>
      <c r="X502" s="1" t="str">
        <f aca="false">IF(Q502="Cancelled","Not Applicable",IF(Q502="Processing","Pending",IF(B502="","Unknown",IF(Orders!J502="","Unknown",IF(Orders!J502&lt;=3,"Fast",IF(Orders!J502&lt;=6,"Standard","Slow"))))))</f>
        <v>Slow</v>
      </c>
      <c r="Y502" s="1" t="n">
        <f aca="false">IF(OR(Q502="Cancelled",Q502="Returned"),0,O502)</f>
        <v>1317</v>
      </c>
    </row>
    <row r="503" customFormat="false" ht="15" hidden="false" customHeight="false" outlineLevel="0" collapsed="false">
      <c r="A503" s="6" t="str">
        <f aca="false">Orders!A503</f>
        <v>O000502</v>
      </c>
      <c r="B503" s="19" t="n">
        <f aca="false">Orders!B503</f>
        <v>45700</v>
      </c>
      <c r="C503" s="6" t="str">
        <f aca="false">Orders!C503</f>
        <v>C0183</v>
      </c>
      <c r="D503" s="6" t="str">
        <f aca="false">Orders!D503</f>
        <v>P1067</v>
      </c>
      <c r="E503" s="6" t="str">
        <f aca="false">INDEX(Products!$B$2:$B$101,MATCH(D503,Products!$A$2:$A$101,0))</f>
        <v>Camping Torch</v>
      </c>
      <c r="F503" s="1" t="str">
        <f aca="false">INDEX(Products!$C$2:$C$101,MATCH(D503,Products!$A$2:$A$101,0))</f>
        <v>Sports &amp; Outdoors</v>
      </c>
      <c r="G503" s="6" t="n">
        <f aca="false">Orders!E503</f>
        <v>1</v>
      </c>
      <c r="H503" s="16" t="n">
        <f aca="false">INDEX(Products!$D$2:$D$101,MATCH(D503,Products!$A$2:$A$101,0))</f>
        <v>599</v>
      </c>
      <c r="I503" s="16" t="n">
        <f aca="false">INDEX(Products!$E$2:$E$101,MATCH(D503,Products!$A$2:$A$101,0))</f>
        <v>250</v>
      </c>
      <c r="J503" s="20" t="n">
        <f aca="false">Orders!F503</f>
        <v>0</v>
      </c>
      <c r="K503" s="6" t="n">
        <f aca="false">G503*H503</f>
        <v>599</v>
      </c>
      <c r="L503" s="6" t="n">
        <f aca="false">K503*J503</f>
        <v>0</v>
      </c>
      <c r="M503" s="6" t="n">
        <f aca="false">K503-L503</f>
        <v>599</v>
      </c>
      <c r="N503" s="6" t="n">
        <f aca="false">G503*I503</f>
        <v>250</v>
      </c>
      <c r="O503" s="6" t="n">
        <f aca="false">M503-N503</f>
        <v>349</v>
      </c>
      <c r="P503" s="21" t="n">
        <f aca="false">IFERROR(O503/M503,0)</f>
        <v>0.582637729549249</v>
      </c>
      <c r="Q503" s="6" t="str">
        <f aca="false">Orders!H503</f>
        <v>Processing</v>
      </c>
      <c r="R503" s="1" t="str">
        <f aca="false">INDEX(Customers!$C$2:$C$301,MATCH(C503,Customers!$A$2:$A$301,0))</f>
        <v>Bengaluru</v>
      </c>
      <c r="S503" s="1" t="str">
        <f aca="false">INDEX(Customers!$E$2:$E$301,MATCH(C503,Customers!$A$2:$A$301,0))</f>
        <v>New</v>
      </c>
      <c r="T503" s="6" t="str">
        <f aca="false">Orders!I503</f>
        <v>Marketplace</v>
      </c>
      <c r="U503" s="1" t="str">
        <f aca="false">IF(Q503="Delivered","Completed",IF(Q503="Cancelled","Cancelled",IF(Q503="Returned","Returned","In Progress")))</f>
        <v>In Progress</v>
      </c>
      <c r="V503" s="1" t="str">
        <f aca="false">IF(M503&gt;=10000,"High Value",IF(M503&gt;=5000,"Medium Value","Low Value"))</f>
        <v>Low Value</v>
      </c>
      <c r="W503" s="1" t="str">
        <f aca="false">IF(O503&gt;0,"Profitable",IF(O503=0,"Break-even","Loss"))</f>
        <v>Profitable</v>
      </c>
      <c r="X503" s="1" t="str">
        <f aca="false">IF(Q503="Cancelled","Not Applicable",IF(Q503="Processing","Pending",IF(B503="","Unknown",IF(Orders!J503="","Unknown",IF(Orders!J503&lt;=3,"Fast",IF(Orders!J503&lt;=6,"Standard","Slow"))))))</f>
        <v>Pending</v>
      </c>
      <c r="Y503" s="1" t="n">
        <f aca="false">IF(OR(Q503="Cancelled",Q503="Returned"),0,O503)</f>
        <v>349</v>
      </c>
    </row>
    <row r="504" customFormat="false" ht="15" hidden="false" customHeight="false" outlineLevel="0" collapsed="false">
      <c r="A504" s="6" t="str">
        <f aca="false">Orders!A504</f>
        <v>O000503</v>
      </c>
      <c r="B504" s="19" t="n">
        <f aca="false">Orders!B504</f>
        <v>45680</v>
      </c>
      <c r="C504" s="6" t="str">
        <f aca="false">Orders!C504</f>
        <v>C0248</v>
      </c>
      <c r="D504" s="6" t="str">
        <f aca="false">Orders!D504</f>
        <v>P1021</v>
      </c>
      <c r="E504" s="6" t="str">
        <f aca="false">INDEX(Products!$B$2:$B$101,MATCH(D504,Products!$A$2:$A$101,0))</f>
        <v>Handbag</v>
      </c>
      <c r="F504" s="1" t="str">
        <f aca="false">INDEX(Products!$C$2:$C$101,MATCH(D504,Products!$A$2:$A$101,0))</f>
        <v>Fashion</v>
      </c>
      <c r="G504" s="6" t="n">
        <f aca="false">Orders!E504</f>
        <v>2</v>
      </c>
      <c r="H504" s="16" t="n">
        <f aca="false">INDEX(Products!$D$2:$D$101,MATCH(D504,Products!$A$2:$A$101,0))</f>
        <v>1499</v>
      </c>
      <c r="I504" s="16" t="n">
        <f aca="false">INDEX(Products!$E$2:$E$101,MATCH(D504,Products!$A$2:$A$101,0))</f>
        <v>700</v>
      </c>
      <c r="J504" s="20" t="n">
        <f aca="false">Orders!F504</f>
        <v>0.05</v>
      </c>
      <c r="K504" s="6" t="n">
        <f aca="false">G504*H504</f>
        <v>2998</v>
      </c>
      <c r="L504" s="6" t="n">
        <f aca="false">K504*J504</f>
        <v>149.9</v>
      </c>
      <c r="M504" s="6" t="n">
        <f aca="false">K504-L504</f>
        <v>2848.1</v>
      </c>
      <c r="N504" s="6" t="n">
        <f aca="false">G504*I504</f>
        <v>1400</v>
      </c>
      <c r="O504" s="6" t="n">
        <f aca="false">M504-N504</f>
        <v>1448.1</v>
      </c>
      <c r="P504" s="21" t="n">
        <f aca="false">IFERROR(O504/M504,0)</f>
        <v>0.508444225975212</v>
      </c>
      <c r="Q504" s="6" t="str">
        <f aca="false">Orders!H504</f>
        <v>Shipped</v>
      </c>
      <c r="R504" s="1" t="str">
        <f aca="false">INDEX(Customers!$C$2:$C$301,MATCH(C504,Customers!$A$2:$A$301,0))</f>
        <v>Jaipur</v>
      </c>
      <c r="S504" s="1" t="str">
        <f aca="false">INDEX(Customers!$E$2:$E$301,MATCH(C504,Customers!$A$2:$A$301,0))</f>
        <v>Returning</v>
      </c>
      <c r="T504" s="6" t="str">
        <f aca="false">Orders!I504</f>
        <v>Website</v>
      </c>
      <c r="U504" s="1" t="str">
        <f aca="false">IF(Q504="Delivered","Completed",IF(Q504="Cancelled","Cancelled",IF(Q504="Returned","Returned","In Progress")))</f>
        <v>In Progress</v>
      </c>
      <c r="V504" s="1" t="str">
        <f aca="false">IF(M504&gt;=10000,"High Value",IF(M504&gt;=5000,"Medium Value","Low Value"))</f>
        <v>Low Value</v>
      </c>
      <c r="W504" s="1" t="str">
        <f aca="false">IF(O504&gt;0,"Profitable",IF(O504=0,"Break-even","Loss"))</f>
        <v>Profitable</v>
      </c>
      <c r="X504" s="1" t="str">
        <f aca="false">IF(Q504="Cancelled","Not Applicable",IF(Q504="Processing","Pending",IF(B504="","Unknown",IF(Orders!J504="","Unknown",IF(Orders!J504&lt;=3,"Fast",IF(Orders!J504&lt;=6,"Standard","Slow"))))))</f>
        <v>Standard</v>
      </c>
      <c r="Y504" s="1" t="n">
        <f aca="false">IF(OR(Q504="Cancelled",Q504="Returned"),0,O504)</f>
        <v>1448.1</v>
      </c>
    </row>
    <row r="505" customFormat="false" ht="15" hidden="false" customHeight="false" outlineLevel="0" collapsed="false">
      <c r="A505" s="6" t="str">
        <f aca="false">Orders!A505</f>
        <v>O000504</v>
      </c>
      <c r="B505" s="19" t="n">
        <f aca="false">Orders!B505</f>
        <v>45772</v>
      </c>
      <c r="C505" s="6" t="str">
        <f aca="false">Orders!C505</f>
        <v>C0044</v>
      </c>
      <c r="D505" s="6" t="str">
        <f aca="false">Orders!D505</f>
        <v>P1060</v>
      </c>
      <c r="E505" s="6" t="str">
        <f aca="false">INDEX(Products!$B$2:$B$101,MATCH(D505,Products!$A$2:$A$101,0))</f>
        <v>Yoga Mat</v>
      </c>
      <c r="F505" s="1" t="str">
        <f aca="false">INDEX(Products!$C$2:$C$101,MATCH(D505,Products!$A$2:$A$101,0))</f>
        <v>Sports &amp; Outdoors</v>
      </c>
      <c r="G505" s="6" t="n">
        <f aca="false">Orders!E505</f>
        <v>2</v>
      </c>
      <c r="H505" s="16" t="n">
        <f aca="false">INDEX(Products!$D$2:$D$101,MATCH(D505,Products!$A$2:$A$101,0))</f>
        <v>799</v>
      </c>
      <c r="I505" s="16" t="n">
        <f aca="false">INDEX(Products!$E$2:$E$101,MATCH(D505,Products!$A$2:$A$101,0))</f>
        <v>350</v>
      </c>
      <c r="J505" s="20" t="n">
        <f aca="false">Orders!F505</f>
        <v>0.05</v>
      </c>
      <c r="K505" s="6" t="n">
        <f aca="false">G505*H505</f>
        <v>1598</v>
      </c>
      <c r="L505" s="6" t="n">
        <f aca="false">K505*J505</f>
        <v>79.9</v>
      </c>
      <c r="M505" s="6" t="n">
        <f aca="false">K505-L505</f>
        <v>1518.1</v>
      </c>
      <c r="N505" s="6" t="n">
        <f aca="false">G505*I505</f>
        <v>700</v>
      </c>
      <c r="O505" s="6" t="n">
        <f aca="false">M505-N505</f>
        <v>818.1</v>
      </c>
      <c r="P505" s="21" t="n">
        <f aca="false">IFERROR(O505/M505,0)</f>
        <v>0.53889730584283</v>
      </c>
      <c r="Q505" s="6" t="str">
        <f aca="false">Orders!H505</f>
        <v>Returned</v>
      </c>
      <c r="R505" s="1" t="str">
        <f aca="false">INDEX(Customers!$C$2:$C$301,MATCH(C505,Customers!$A$2:$A$301,0))</f>
        <v>Hyderabad</v>
      </c>
      <c r="S505" s="1" t="str">
        <f aca="false">INDEX(Customers!$E$2:$E$301,MATCH(C505,Customers!$A$2:$A$301,0))</f>
        <v>Returning</v>
      </c>
      <c r="T505" s="6" t="str">
        <f aca="false">Orders!I505</f>
        <v>Website</v>
      </c>
      <c r="U505" s="1" t="str">
        <f aca="false">IF(Q505="Delivered","Completed",IF(Q505="Cancelled","Cancelled",IF(Q505="Returned","Returned","In Progress")))</f>
        <v>Returned</v>
      </c>
      <c r="V505" s="1" t="str">
        <f aca="false">IF(M505&gt;=10000,"High Value",IF(M505&gt;=5000,"Medium Value","Low Value"))</f>
        <v>Low Value</v>
      </c>
      <c r="W505" s="1" t="str">
        <f aca="false">IF(O505&gt;0,"Profitable",IF(O505=0,"Break-even","Loss"))</f>
        <v>Profitable</v>
      </c>
      <c r="X505" s="1" t="str">
        <f aca="false">IF(Q505="Cancelled","Not Applicable",IF(Q505="Processing","Pending",IF(B505="","Unknown",IF(Orders!J505="","Unknown",IF(Orders!J505&lt;=3,"Fast",IF(Orders!J505&lt;=6,"Standard","Slow"))))))</f>
        <v>Slow</v>
      </c>
      <c r="Y505" s="1" t="n">
        <f aca="false">IF(OR(Q505="Cancelled",Q505="Returned"),0,O505)</f>
        <v>0</v>
      </c>
    </row>
    <row r="506" customFormat="false" ht="15" hidden="false" customHeight="false" outlineLevel="0" collapsed="false">
      <c r="A506" s="6" t="str">
        <f aca="false">Orders!A506</f>
        <v>O000505</v>
      </c>
      <c r="B506" s="19" t="n">
        <f aca="false">Orders!B506</f>
        <v>45881</v>
      </c>
      <c r="C506" s="6" t="str">
        <f aca="false">Orders!C506</f>
        <v>C0299</v>
      </c>
      <c r="D506" s="6" t="str">
        <f aca="false">Orders!D506</f>
        <v>P1023</v>
      </c>
      <c r="E506" s="6" t="str">
        <f aca="false">INDEX(Products!$B$2:$B$101,MATCH(D506,Products!$A$2:$A$101,0))</f>
        <v>Sports Cap</v>
      </c>
      <c r="F506" s="1" t="str">
        <f aca="false">INDEX(Products!$C$2:$C$101,MATCH(D506,Products!$A$2:$A$101,0))</f>
        <v>Fashion</v>
      </c>
      <c r="G506" s="6" t="n">
        <f aca="false">Orders!E506</f>
        <v>1</v>
      </c>
      <c r="H506" s="16" t="n">
        <f aca="false">INDEX(Products!$D$2:$D$101,MATCH(D506,Products!$A$2:$A$101,0))</f>
        <v>349</v>
      </c>
      <c r="I506" s="16" t="n">
        <f aca="false">INDEX(Products!$E$2:$E$101,MATCH(D506,Products!$A$2:$A$101,0))</f>
        <v>120</v>
      </c>
      <c r="J506" s="20" t="n">
        <f aca="false">Orders!F506</f>
        <v>0.05</v>
      </c>
      <c r="K506" s="6" t="n">
        <f aca="false">G506*H506</f>
        <v>349</v>
      </c>
      <c r="L506" s="6" t="n">
        <f aca="false">K506*J506</f>
        <v>17.45</v>
      </c>
      <c r="M506" s="6" t="n">
        <f aca="false">K506-L506</f>
        <v>331.55</v>
      </c>
      <c r="N506" s="6" t="n">
        <f aca="false">G506*I506</f>
        <v>120</v>
      </c>
      <c r="O506" s="6" t="n">
        <f aca="false">M506-N506</f>
        <v>211.55</v>
      </c>
      <c r="P506" s="21" t="n">
        <f aca="false">IFERROR(O506/M506,0)</f>
        <v>0.63806364047655</v>
      </c>
      <c r="Q506" s="6" t="str">
        <f aca="false">Orders!H506</f>
        <v>Delivered</v>
      </c>
      <c r="R506" s="1" t="str">
        <f aca="false">INDEX(Customers!$C$2:$C$301,MATCH(C506,Customers!$A$2:$A$301,0))</f>
        <v>Coimbatore</v>
      </c>
      <c r="S506" s="1" t="str">
        <f aca="false">INDEX(Customers!$E$2:$E$301,MATCH(C506,Customers!$A$2:$A$301,0))</f>
        <v>Returning</v>
      </c>
      <c r="T506" s="6" t="str">
        <f aca="false">Orders!I506</f>
        <v>Marketplace</v>
      </c>
      <c r="U506" s="1" t="str">
        <f aca="false">IF(Q506="Delivered","Completed",IF(Q506="Cancelled","Cancelled",IF(Q506="Returned","Returned","In Progress")))</f>
        <v>Completed</v>
      </c>
      <c r="V506" s="1" t="str">
        <f aca="false">IF(M506&gt;=10000,"High Value",IF(M506&gt;=5000,"Medium Value","Low Value"))</f>
        <v>Low Value</v>
      </c>
      <c r="W506" s="1" t="str">
        <f aca="false">IF(O506&gt;0,"Profitable",IF(O506=0,"Break-even","Loss"))</f>
        <v>Profitable</v>
      </c>
      <c r="X506" s="1" t="str">
        <f aca="false">IF(Q506="Cancelled","Not Applicable",IF(Q506="Processing","Pending",IF(B506="","Unknown",IF(Orders!J506="","Unknown",IF(Orders!J506&lt;=3,"Fast",IF(Orders!J506&lt;=6,"Standard","Slow"))))))</f>
        <v>Standard</v>
      </c>
      <c r="Y506" s="1" t="n">
        <f aca="false">IF(OR(Q506="Cancelled",Q506="Returned"),0,O506)</f>
        <v>211.55</v>
      </c>
    </row>
    <row r="507" customFormat="false" ht="15" hidden="false" customHeight="false" outlineLevel="0" collapsed="false">
      <c r="A507" s="6" t="str">
        <f aca="false">Orders!A507</f>
        <v>O000506</v>
      </c>
      <c r="B507" s="19" t="n">
        <f aca="false">Orders!B507</f>
        <v>45924</v>
      </c>
      <c r="C507" s="6" t="str">
        <f aca="false">Orders!C507</f>
        <v>C0286</v>
      </c>
      <c r="D507" s="6" t="str">
        <f aca="false">Orders!D507</f>
        <v>P1039</v>
      </c>
      <c r="E507" s="6" t="str">
        <f aca="false">INDEX(Products!$B$2:$B$101,MATCH(D507,Products!$A$2:$A$101,0))</f>
        <v>Wall Clock</v>
      </c>
      <c r="F507" s="1" t="str">
        <f aca="false">INDEX(Products!$C$2:$C$101,MATCH(D507,Products!$A$2:$A$101,0))</f>
        <v>Home &amp; Kitchen</v>
      </c>
      <c r="G507" s="6" t="n">
        <f aca="false">Orders!E507</f>
        <v>4</v>
      </c>
      <c r="H507" s="16" t="n">
        <f aca="false">INDEX(Products!$D$2:$D$101,MATCH(D507,Products!$A$2:$A$101,0))</f>
        <v>699</v>
      </c>
      <c r="I507" s="16" t="n">
        <f aca="false">INDEX(Products!$E$2:$E$101,MATCH(D507,Products!$A$2:$A$101,0))</f>
        <v>300</v>
      </c>
      <c r="J507" s="20" t="n">
        <f aca="false">Orders!F507</f>
        <v>0.1</v>
      </c>
      <c r="K507" s="6" t="n">
        <f aca="false">G507*H507</f>
        <v>2796</v>
      </c>
      <c r="L507" s="6" t="n">
        <f aca="false">K507*J507</f>
        <v>279.6</v>
      </c>
      <c r="M507" s="6" t="n">
        <f aca="false">K507-L507</f>
        <v>2516.4</v>
      </c>
      <c r="N507" s="6" t="n">
        <f aca="false">G507*I507</f>
        <v>1200</v>
      </c>
      <c r="O507" s="6" t="n">
        <f aca="false">M507-N507</f>
        <v>1316.4</v>
      </c>
      <c r="P507" s="21" t="n">
        <f aca="false">IFERROR(O507/M507,0)</f>
        <v>0.523128278493085</v>
      </c>
      <c r="Q507" s="6" t="str">
        <f aca="false">Orders!H507</f>
        <v>Delivered</v>
      </c>
      <c r="R507" s="1" t="str">
        <f aca="false">INDEX(Customers!$C$2:$C$301,MATCH(C507,Customers!$A$2:$A$301,0))</f>
        <v>Kolkata</v>
      </c>
      <c r="S507" s="1" t="str">
        <f aca="false">INDEX(Customers!$E$2:$E$301,MATCH(C507,Customers!$A$2:$A$301,0))</f>
        <v>New</v>
      </c>
      <c r="T507" s="6" t="str">
        <f aca="false">Orders!I507</f>
        <v>Website</v>
      </c>
      <c r="U507" s="1" t="str">
        <f aca="false">IF(Q507="Delivered","Completed",IF(Q507="Cancelled","Cancelled",IF(Q507="Returned","Returned","In Progress")))</f>
        <v>Completed</v>
      </c>
      <c r="V507" s="1" t="str">
        <f aca="false">IF(M507&gt;=10000,"High Value",IF(M507&gt;=5000,"Medium Value","Low Value"))</f>
        <v>Low Value</v>
      </c>
      <c r="W507" s="1" t="str">
        <f aca="false">IF(O507&gt;0,"Profitable",IF(O507=0,"Break-even","Loss"))</f>
        <v>Profitable</v>
      </c>
      <c r="X507" s="1" t="str">
        <f aca="false">IF(Q507="Cancelled","Not Applicable",IF(Q507="Processing","Pending",IF(B507="","Unknown",IF(Orders!J507="","Unknown",IF(Orders!J507&lt;=3,"Fast",IF(Orders!J507&lt;=6,"Standard","Slow"))))))</f>
        <v>Slow</v>
      </c>
      <c r="Y507" s="1" t="n">
        <f aca="false">IF(OR(Q507="Cancelled",Q507="Returned"),0,O507)</f>
        <v>1316.4</v>
      </c>
    </row>
    <row r="508" customFormat="false" ht="15" hidden="false" customHeight="false" outlineLevel="0" collapsed="false">
      <c r="A508" s="6" t="str">
        <f aca="false">Orders!A508</f>
        <v>O000507</v>
      </c>
      <c r="B508" s="19" t="n">
        <f aca="false">Orders!B508</f>
        <v>45907</v>
      </c>
      <c r="C508" s="6" t="str">
        <f aca="false">Orders!C508</f>
        <v>C0017</v>
      </c>
      <c r="D508" s="6" t="str">
        <f aca="false">Orders!D508</f>
        <v>P1075</v>
      </c>
      <c r="E508" s="6" t="str">
        <f aca="false">INDEX(Products!$B$2:$B$101,MATCH(D508,Products!$A$2:$A$101,0))</f>
        <v>Ball Pen Set</v>
      </c>
      <c r="F508" s="1" t="str">
        <f aca="false">INDEX(Products!$C$2:$C$101,MATCH(D508,Products!$A$2:$A$101,0))</f>
        <v>Books &amp; Stationery</v>
      </c>
      <c r="G508" s="6" t="n">
        <f aca="false">Orders!E508</f>
        <v>1</v>
      </c>
      <c r="H508" s="16" t="n">
        <f aca="false">INDEX(Products!$D$2:$D$101,MATCH(D508,Products!$A$2:$A$101,0))</f>
        <v>199</v>
      </c>
      <c r="I508" s="16" t="n">
        <f aca="false">INDEX(Products!$E$2:$E$101,MATCH(D508,Products!$A$2:$A$101,0))</f>
        <v>65</v>
      </c>
      <c r="J508" s="20" t="n">
        <f aca="false">Orders!F508</f>
        <v>0.1</v>
      </c>
      <c r="K508" s="6" t="n">
        <f aca="false">G508*H508</f>
        <v>199</v>
      </c>
      <c r="L508" s="6" t="n">
        <f aca="false">K508*J508</f>
        <v>19.9</v>
      </c>
      <c r="M508" s="6" t="n">
        <f aca="false">K508-L508</f>
        <v>179.1</v>
      </c>
      <c r="N508" s="6" t="n">
        <f aca="false">G508*I508</f>
        <v>65</v>
      </c>
      <c r="O508" s="6" t="n">
        <f aca="false">M508-N508</f>
        <v>114.1</v>
      </c>
      <c r="P508" s="21" t="n">
        <f aca="false">IFERROR(O508/M508,0)</f>
        <v>0.637074260189838</v>
      </c>
      <c r="Q508" s="6" t="str">
        <f aca="false">Orders!H508</f>
        <v>Delivered</v>
      </c>
      <c r="R508" s="1" t="str">
        <f aca="false">INDEX(Customers!$C$2:$C$301,MATCH(C508,Customers!$A$2:$A$301,0))</f>
        <v>Surat</v>
      </c>
      <c r="S508" s="1" t="str">
        <f aca="false">INDEX(Customers!$E$2:$E$301,MATCH(C508,Customers!$A$2:$A$301,0))</f>
        <v>Returning</v>
      </c>
      <c r="T508" s="6" t="str">
        <f aca="false">Orders!I508</f>
        <v>Website</v>
      </c>
      <c r="U508" s="1" t="str">
        <f aca="false">IF(Q508="Delivered","Completed",IF(Q508="Cancelled","Cancelled",IF(Q508="Returned","Returned","In Progress")))</f>
        <v>Completed</v>
      </c>
      <c r="V508" s="1" t="str">
        <f aca="false">IF(M508&gt;=10000,"High Value",IF(M508&gt;=5000,"Medium Value","Low Value"))</f>
        <v>Low Value</v>
      </c>
      <c r="W508" s="1" t="str">
        <f aca="false">IF(O508&gt;0,"Profitable",IF(O508=0,"Break-even","Loss"))</f>
        <v>Profitable</v>
      </c>
      <c r="X508" s="1" t="str">
        <f aca="false">IF(Q508="Cancelled","Not Applicable",IF(Q508="Processing","Pending",IF(B508="","Unknown",IF(Orders!J508="","Unknown",IF(Orders!J508&lt;=3,"Fast",IF(Orders!J508&lt;=6,"Standard","Slow"))))))</f>
        <v>Fast</v>
      </c>
      <c r="Y508" s="1" t="n">
        <f aca="false">IF(OR(Q508="Cancelled",Q508="Returned"),0,O508)</f>
        <v>114.1</v>
      </c>
    </row>
    <row r="509" customFormat="false" ht="15" hidden="false" customHeight="false" outlineLevel="0" collapsed="false">
      <c r="A509" s="6" t="str">
        <f aca="false">Orders!A509</f>
        <v>O000508</v>
      </c>
      <c r="B509" s="19" t="n">
        <f aca="false">Orders!B509</f>
        <v>45895</v>
      </c>
      <c r="C509" s="6" t="str">
        <f aca="false">Orders!C509</f>
        <v>C0073</v>
      </c>
      <c r="D509" s="6" t="str">
        <f aca="false">Orders!D509</f>
        <v>P1067</v>
      </c>
      <c r="E509" s="6" t="str">
        <f aca="false">INDEX(Products!$B$2:$B$101,MATCH(D509,Products!$A$2:$A$101,0))</f>
        <v>Camping Torch</v>
      </c>
      <c r="F509" s="1" t="str">
        <f aca="false">INDEX(Products!$C$2:$C$101,MATCH(D509,Products!$A$2:$A$101,0))</f>
        <v>Sports &amp; Outdoors</v>
      </c>
      <c r="G509" s="6" t="n">
        <f aca="false">Orders!E509</f>
        <v>1</v>
      </c>
      <c r="H509" s="16" t="n">
        <f aca="false">INDEX(Products!$D$2:$D$101,MATCH(D509,Products!$A$2:$A$101,0))</f>
        <v>599</v>
      </c>
      <c r="I509" s="16" t="n">
        <f aca="false">INDEX(Products!$E$2:$E$101,MATCH(D509,Products!$A$2:$A$101,0))</f>
        <v>250</v>
      </c>
      <c r="J509" s="20" t="n">
        <f aca="false">Orders!F509</f>
        <v>0.15</v>
      </c>
      <c r="K509" s="6" t="n">
        <f aca="false">G509*H509</f>
        <v>599</v>
      </c>
      <c r="L509" s="6" t="n">
        <f aca="false">K509*J509</f>
        <v>89.85</v>
      </c>
      <c r="M509" s="6" t="n">
        <f aca="false">K509-L509</f>
        <v>509.15</v>
      </c>
      <c r="N509" s="6" t="n">
        <f aca="false">G509*I509</f>
        <v>250</v>
      </c>
      <c r="O509" s="6" t="n">
        <f aca="false">M509-N509</f>
        <v>259.15</v>
      </c>
      <c r="P509" s="21" t="n">
        <f aca="false">IFERROR(O509/M509,0)</f>
        <v>0.508985564175587</v>
      </c>
      <c r="Q509" s="6" t="str">
        <f aca="false">Orders!H509</f>
        <v>Delivered</v>
      </c>
      <c r="R509" s="1" t="str">
        <f aca="false">INDEX(Customers!$C$2:$C$301,MATCH(C509,Customers!$A$2:$A$301,0))</f>
        <v>Kochi</v>
      </c>
      <c r="S509" s="1" t="str">
        <f aca="false">INDEX(Customers!$E$2:$E$301,MATCH(C509,Customers!$A$2:$A$301,0))</f>
        <v>Returning</v>
      </c>
      <c r="T509" s="6" t="str">
        <f aca="false">Orders!I509</f>
        <v>Website</v>
      </c>
      <c r="U509" s="1" t="str">
        <f aca="false">IF(Q509="Delivered","Completed",IF(Q509="Cancelled","Cancelled",IF(Q509="Returned","Returned","In Progress")))</f>
        <v>Completed</v>
      </c>
      <c r="V509" s="1" t="str">
        <f aca="false">IF(M509&gt;=10000,"High Value",IF(M509&gt;=5000,"Medium Value","Low Value"))</f>
        <v>Low Value</v>
      </c>
      <c r="W509" s="1" t="str">
        <f aca="false">IF(O509&gt;0,"Profitable",IF(O509=0,"Break-even","Loss"))</f>
        <v>Profitable</v>
      </c>
      <c r="X509" s="1" t="str">
        <f aca="false">IF(Q509="Cancelled","Not Applicable",IF(Q509="Processing","Pending",IF(B509="","Unknown",IF(Orders!J509="","Unknown",IF(Orders!J509&lt;=3,"Fast",IF(Orders!J509&lt;=6,"Standard","Slow"))))))</f>
        <v>Standard</v>
      </c>
      <c r="Y509" s="1" t="n">
        <f aca="false">IF(OR(Q509="Cancelled",Q509="Returned"),0,O509)</f>
        <v>259.15</v>
      </c>
    </row>
    <row r="510" customFormat="false" ht="15" hidden="false" customHeight="false" outlineLevel="0" collapsed="false">
      <c r="A510" s="6" t="str">
        <f aca="false">Orders!A510</f>
        <v>O000509</v>
      </c>
      <c r="B510" s="19" t="n">
        <f aca="false">Orders!B510</f>
        <v>45969</v>
      </c>
      <c r="C510" s="6" t="str">
        <f aca="false">Orders!C510</f>
        <v>C0020</v>
      </c>
      <c r="D510" s="6" t="str">
        <f aca="false">Orders!D510</f>
        <v>P1079</v>
      </c>
      <c r="E510" s="6" t="str">
        <f aca="false">INDEX(Products!$B$2:$B$101,MATCH(D510,Products!$A$2:$A$101,0))</f>
        <v>Art Supply Kit</v>
      </c>
      <c r="F510" s="1" t="str">
        <f aca="false">INDEX(Products!$C$2:$C$101,MATCH(D510,Products!$A$2:$A$101,0))</f>
        <v>Books &amp; Stationery</v>
      </c>
      <c r="G510" s="6" t="n">
        <f aca="false">Orders!E510</f>
        <v>2</v>
      </c>
      <c r="H510" s="16" t="n">
        <f aca="false">INDEX(Products!$D$2:$D$101,MATCH(D510,Products!$A$2:$A$101,0))</f>
        <v>699</v>
      </c>
      <c r="I510" s="16" t="n">
        <f aca="false">INDEX(Products!$E$2:$E$101,MATCH(D510,Products!$A$2:$A$101,0))</f>
        <v>350</v>
      </c>
      <c r="J510" s="20" t="n">
        <f aca="false">Orders!F510</f>
        <v>0.25</v>
      </c>
      <c r="K510" s="6" t="n">
        <f aca="false">G510*H510</f>
        <v>1398</v>
      </c>
      <c r="L510" s="6" t="n">
        <f aca="false">K510*J510</f>
        <v>349.5</v>
      </c>
      <c r="M510" s="6" t="n">
        <f aca="false">K510-L510</f>
        <v>1048.5</v>
      </c>
      <c r="N510" s="6" t="n">
        <f aca="false">G510*I510</f>
        <v>700</v>
      </c>
      <c r="O510" s="6" t="n">
        <f aca="false">M510-N510</f>
        <v>348.5</v>
      </c>
      <c r="P510" s="21" t="n">
        <f aca="false">IFERROR(O510/M510,0)</f>
        <v>0.33237958989032</v>
      </c>
      <c r="Q510" s="6" t="str">
        <f aca="false">Orders!H510</f>
        <v>Delivered</v>
      </c>
      <c r="R510" s="1" t="str">
        <f aca="false">INDEX(Customers!$C$2:$C$301,MATCH(C510,Customers!$A$2:$A$301,0))</f>
        <v>Visakhapatnam</v>
      </c>
      <c r="S510" s="1" t="str">
        <f aca="false">INDEX(Customers!$E$2:$E$301,MATCH(C510,Customers!$A$2:$A$301,0))</f>
        <v>Returning</v>
      </c>
      <c r="T510" s="6" t="str">
        <f aca="false">Orders!I510</f>
        <v>Website</v>
      </c>
      <c r="U510" s="1" t="str">
        <f aca="false">IF(Q510="Delivered","Completed",IF(Q510="Cancelled","Cancelled",IF(Q510="Returned","Returned","In Progress")))</f>
        <v>Completed</v>
      </c>
      <c r="V510" s="1" t="str">
        <f aca="false">IF(M510&gt;=10000,"High Value",IF(M510&gt;=5000,"Medium Value","Low Value"))</f>
        <v>Low Value</v>
      </c>
      <c r="W510" s="1" t="str">
        <f aca="false">IF(O510&gt;0,"Profitable",IF(O510=0,"Break-even","Loss"))</f>
        <v>Profitable</v>
      </c>
      <c r="X510" s="1" t="str">
        <f aca="false">IF(Q510="Cancelled","Not Applicable",IF(Q510="Processing","Pending",IF(B510="","Unknown",IF(Orders!J510="","Unknown",IF(Orders!J510&lt;=3,"Fast",IF(Orders!J510&lt;=6,"Standard","Slow"))))))</f>
        <v>Fast</v>
      </c>
      <c r="Y510" s="1" t="n">
        <f aca="false">IF(OR(Q510="Cancelled",Q510="Returned"),0,O510)</f>
        <v>348.5</v>
      </c>
    </row>
    <row r="511" customFormat="false" ht="15" hidden="false" customHeight="false" outlineLevel="0" collapsed="false">
      <c r="A511" s="6" t="str">
        <f aca="false">Orders!A511</f>
        <v>O000510</v>
      </c>
      <c r="B511" s="19" t="n">
        <f aca="false">Orders!B511</f>
        <v>45799</v>
      </c>
      <c r="C511" s="6" t="str">
        <f aca="false">Orders!C511</f>
        <v>C0060</v>
      </c>
      <c r="D511" s="6" t="str">
        <f aca="false">Orders!D511</f>
        <v>P1058</v>
      </c>
      <c r="E511" s="6" t="str">
        <f aca="false">INDEX(Products!$B$2:$B$101,MATCH(D511,Products!$A$2:$A$101,0))</f>
        <v>Nail Care Kit</v>
      </c>
      <c r="F511" s="1" t="str">
        <f aca="false">INDEX(Products!$C$2:$C$101,MATCH(D511,Products!$A$2:$A$101,0))</f>
        <v>Beauty</v>
      </c>
      <c r="G511" s="6" t="n">
        <f aca="false">Orders!E511</f>
        <v>3</v>
      </c>
      <c r="H511" s="16" t="n">
        <f aca="false">INDEX(Products!$D$2:$D$101,MATCH(D511,Products!$A$2:$A$101,0))</f>
        <v>399</v>
      </c>
      <c r="I511" s="16" t="n">
        <f aca="false">INDEX(Products!$E$2:$E$101,MATCH(D511,Products!$A$2:$A$101,0))</f>
        <v>170</v>
      </c>
      <c r="J511" s="20" t="n">
        <f aca="false">Orders!F511</f>
        <v>0.2</v>
      </c>
      <c r="K511" s="6" t="n">
        <f aca="false">G511*H511</f>
        <v>1197</v>
      </c>
      <c r="L511" s="6" t="n">
        <f aca="false">K511*J511</f>
        <v>239.4</v>
      </c>
      <c r="M511" s="6" t="n">
        <f aca="false">K511-L511</f>
        <v>957.6</v>
      </c>
      <c r="N511" s="6" t="n">
        <f aca="false">G511*I511</f>
        <v>510</v>
      </c>
      <c r="O511" s="6" t="n">
        <f aca="false">M511-N511</f>
        <v>447.6</v>
      </c>
      <c r="P511" s="21" t="n">
        <f aca="false">IFERROR(O511/M511,0)</f>
        <v>0.467418546365915</v>
      </c>
      <c r="Q511" s="6" t="str">
        <f aca="false">Orders!H511</f>
        <v>Delivered</v>
      </c>
      <c r="R511" s="1" t="str">
        <f aca="false">INDEX(Customers!$C$2:$C$301,MATCH(C511,Customers!$A$2:$A$301,0))</f>
        <v>Visakhapatnam</v>
      </c>
      <c r="S511" s="1" t="str">
        <f aca="false">INDEX(Customers!$E$2:$E$301,MATCH(C511,Customers!$A$2:$A$301,0))</f>
        <v>New</v>
      </c>
      <c r="T511" s="6" t="str">
        <f aca="false">Orders!I511</f>
        <v>Mobile App</v>
      </c>
      <c r="U511" s="1" t="str">
        <f aca="false">IF(Q511="Delivered","Completed",IF(Q511="Cancelled","Cancelled",IF(Q511="Returned","Returned","In Progress")))</f>
        <v>Completed</v>
      </c>
      <c r="V511" s="1" t="str">
        <f aca="false">IF(M511&gt;=10000,"High Value",IF(M511&gt;=5000,"Medium Value","Low Value"))</f>
        <v>Low Value</v>
      </c>
      <c r="W511" s="1" t="str">
        <f aca="false">IF(O511&gt;0,"Profitable",IF(O511=0,"Break-even","Loss"))</f>
        <v>Profitable</v>
      </c>
      <c r="X511" s="1" t="str">
        <f aca="false">IF(Q511="Cancelled","Not Applicable",IF(Q511="Processing","Pending",IF(B511="","Unknown",IF(Orders!J511="","Unknown",IF(Orders!J511&lt;=3,"Fast",IF(Orders!J511&lt;=6,"Standard","Slow"))))))</f>
        <v>Fast</v>
      </c>
      <c r="Y511" s="1" t="n">
        <f aca="false">IF(OR(Q511="Cancelled",Q511="Returned"),0,O511)</f>
        <v>447.6</v>
      </c>
    </row>
    <row r="512" customFormat="false" ht="15" hidden="false" customHeight="false" outlineLevel="0" collapsed="false">
      <c r="A512" s="6" t="str">
        <f aca="false">Orders!A512</f>
        <v>O000511</v>
      </c>
      <c r="B512" s="19" t="n">
        <f aca="false">Orders!B512</f>
        <v>45954</v>
      </c>
      <c r="C512" s="6" t="str">
        <f aca="false">Orders!C512</f>
        <v>C0005</v>
      </c>
      <c r="D512" s="6" t="str">
        <f aca="false">Orders!D512</f>
        <v>P1029</v>
      </c>
      <c r="E512" s="6" t="str">
        <f aca="false">INDEX(Products!$B$2:$B$101,MATCH(D512,Products!$A$2:$A$101,0))</f>
        <v>Scarf</v>
      </c>
      <c r="F512" s="1" t="str">
        <f aca="false">INDEX(Products!$C$2:$C$101,MATCH(D512,Products!$A$2:$A$101,0))</f>
        <v>Fashion</v>
      </c>
      <c r="G512" s="6" t="n">
        <f aca="false">Orders!E512</f>
        <v>1</v>
      </c>
      <c r="H512" s="16" t="n">
        <f aca="false">INDEX(Products!$D$2:$D$101,MATCH(D512,Products!$A$2:$A$101,0))</f>
        <v>299</v>
      </c>
      <c r="I512" s="16" t="n">
        <f aca="false">INDEX(Products!$E$2:$E$101,MATCH(D512,Products!$A$2:$A$101,0))</f>
        <v>100</v>
      </c>
      <c r="J512" s="20" t="n">
        <f aca="false">Orders!F512</f>
        <v>0.25</v>
      </c>
      <c r="K512" s="6" t="n">
        <f aca="false">G512*H512</f>
        <v>299</v>
      </c>
      <c r="L512" s="6" t="n">
        <f aca="false">K512*J512</f>
        <v>74.75</v>
      </c>
      <c r="M512" s="6" t="n">
        <f aca="false">K512-L512</f>
        <v>224.25</v>
      </c>
      <c r="N512" s="6" t="n">
        <f aca="false">G512*I512</f>
        <v>100</v>
      </c>
      <c r="O512" s="6" t="n">
        <f aca="false">M512-N512</f>
        <v>124.25</v>
      </c>
      <c r="P512" s="21" t="n">
        <f aca="false">IFERROR(O512/M512,0)</f>
        <v>0.554069119286511</v>
      </c>
      <c r="Q512" s="6" t="str">
        <f aca="false">Orders!H512</f>
        <v>Delivered</v>
      </c>
      <c r="R512" s="1" t="str">
        <f aca="false">INDEX(Customers!$C$2:$C$301,MATCH(C512,Customers!$A$2:$A$301,0))</f>
        <v>Chennai</v>
      </c>
      <c r="S512" s="1" t="str">
        <f aca="false">INDEX(Customers!$E$2:$E$301,MATCH(C512,Customers!$A$2:$A$301,0))</f>
        <v>Returning</v>
      </c>
      <c r="T512" s="6" t="str">
        <f aca="false">Orders!I512</f>
        <v>Website</v>
      </c>
      <c r="U512" s="1" t="str">
        <f aca="false">IF(Q512="Delivered","Completed",IF(Q512="Cancelled","Cancelled",IF(Q512="Returned","Returned","In Progress")))</f>
        <v>Completed</v>
      </c>
      <c r="V512" s="1" t="str">
        <f aca="false">IF(M512&gt;=10000,"High Value",IF(M512&gt;=5000,"Medium Value","Low Value"))</f>
        <v>Low Value</v>
      </c>
      <c r="W512" s="1" t="str">
        <f aca="false">IF(O512&gt;0,"Profitable",IF(O512=0,"Break-even","Loss"))</f>
        <v>Profitable</v>
      </c>
      <c r="X512" s="1" t="str">
        <f aca="false">IF(Q512="Cancelled","Not Applicable",IF(Q512="Processing","Pending",IF(B512="","Unknown",IF(Orders!J512="","Unknown",IF(Orders!J512&lt;=3,"Fast",IF(Orders!J512&lt;=6,"Standard","Slow"))))))</f>
        <v>Standard</v>
      </c>
      <c r="Y512" s="1" t="n">
        <f aca="false">IF(OR(Q512="Cancelled",Q512="Returned"),0,O512)</f>
        <v>124.25</v>
      </c>
    </row>
    <row r="513" customFormat="false" ht="15" hidden="false" customHeight="false" outlineLevel="0" collapsed="false">
      <c r="A513" s="6" t="str">
        <f aca="false">Orders!A513</f>
        <v>O000512</v>
      </c>
      <c r="B513" s="19" t="n">
        <f aca="false">Orders!B513</f>
        <v>45702</v>
      </c>
      <c r="C513" s="6" t="str">
        <f aca="false">Orders!C513</f>
        <v>C0030</v>
      </c>
      <c r="D513" s="6" t="str">
        <f aca="false">Orders!D513</f>
        <v>P1043</v>
      </c>
      <c r="E513" s="6" t="str">
        <f aca="false">INDEX(Products!$B$2:$B$101,MATCH(D513,Products!$A$2:$A$101,0))</f>
        <v>Kitchen Rack</v>
      </c>
      <c r="F513" s="1" t="str">
        <f aca="false">INDEX(Products!$C$2:$C$101,MATCH(D513,Products!$A$2:$A$101,0))</f>
        <v>Home &amp; Kitchen</v>
      </c>
      <c r="G513" s="6" t="n">
        <f aca="false">Orders!E513</f>
        <v>2</v>
      </c>
      <c r="H513" s="16" t="n">
        <f aca="false">INDEX(Products!$D$2:$D$101,MATCH(D513,Products!$A$2:$A$101,0))</f>
        <v>1299</v>
      </c>
      <c r="I513" s="16" t="n">
        <f aca="false">INDEX(Products!$E$2:$E$101,MATCH(D513,Products!$A$2:$A$101,0))</f>
        <v>700</v>
      </c>
      <c r="J513" s="20" t="n">
        <f aca="false">Orders!F513</f>
        <v>0.25</v>
      </c>
      <c r="K513" s="6" t="n">
        <f aca="false">G513*H513</f>
        <v>2598</v>
      </c>
      <c r="L513" s="6" t="n">
        <f aca="false">K513*J513</f>
        <v>649.5</v>
      </c>
      <c r="M513" s="6" t="n">
        <f aca="false">K513-L513</f>
        <v>1948.5</v>
      </c>
      <c r="N513" s="6" t="n">
        <f aca="false">G513*I513</f>
        <v>1400</v>
      </c>
      <c r="O513" s="6" t="n">
        <f aca="false">M513-N513</f>
        <v>548.5</v>
      </c>
      <c r="P513" s="21" t="n">
        <f aca="false">IFERROR(O513/M513,0)</f>
        <v>0.281498588657942</v>
      </c>
      <c r="Q513" s="6" t="str">
        <f aca="false">Orders!H513</f>
        <v>Cancelled</v>
      </c>
      <c r="R513" s="1" t="str">
        <f aca="false">INDEX(Customers!$C$2:$C$301,MATCH(C513,Customers!$A$2:$A$301,0))</f>
        <v>Lucknow</v>
      </c>
      <c r="S513" s="1" t="str">
        <f aca="false">INDEX(Customers!$E$2:$E$301,MATCH(C513,Customers!$A$2:$A$301,0))</f>
        <v>Returning</v>
      </c>
      <c r="T513" s="6" t="str">
        <f aca="false">Orders!I513</f>
        <v>Mobile App</v>
      </c>
      <c r="U513" s="1" t="str">
        <f aca="false">IF(Q513="Delivered","Completed",IF(Q513="Cancelled","Cancelled",IF(Q513="Returned","Returned","In Progress")))</f>
        <v>Cancelled</v>
      </c>
      <c r="V513" s="1" t="str">
        <f aca="false">IF(M513&gt;=10000,"High Value",IF(M513&gt;=5000,"Medium Value","Low Value"))</f>
        <v>Low Value</v>
      </c>
      <c r="W513" s="1" t="str">
        <f aca="false">IF(O513&gt;0,"Profitable",IF(O513=0,"Break-even","Loss"))</f>
        <v>Profitable</v>
      </c>
      <c r="X513" s="1" t="str">
        <f aca="false">IF(Q513="Cancelled","Not Applicable",IF(Q513="Processing","Pending",IF(B513="","Unknown",IF(Orders!J513="","Unknown",IF(Orders!J513&lt;=3,"Fast",IF(Orders!J513&lt;=6,"Standard","Slow"))))))</f>
        <v>Not Applicable</v>
      </c>
      <c r="Y513" s="1" t="n">
        <f aca="false">IF(OR(Q513="Cancelled",Q513="Returned"),0,O513)</f>
        <v>0</v>
      </c>
    </row>
    <row r="514" customFormat="false" ht="15" hidden="false" customHeight="false" outlineLevel="0" collapsed="false">
      <c r="A514" s="6" t="str">
        <f aca="false">Orders!A514</f>
        <v>O000513</v>
      </c>
      <c r="B514" s="19" t="n">
        <f aca="false">Orders!B514</f>
        <v>45942</v>
      </c>
      <c r="C514" s="6" t="str">
        <f aca="false">Orders!C514</f>
        <v>C0233</v>
      </c>
      <c r="D514" s="6" t="str">
        <f aca="false">Orders!D514</f>
        <v>P1034</v>
      </c>
      <c r="E514" s="6" t="str">
        <f aca="false">INDEX(Products!$B$2:$B$101,MATCH(D514,Products!$A$2:$A$101,0))</f>
        <v>Table Lamp</v>
      </c>
      <c r="F514" s="1" t="str">
        <f aca="false">INDEX(Products!$C$2:$C$101,MATCH(D514,Products!$A$2:$A$101,0))</f>
        <v>Home &amp; Kitchen</v>
      </c>
      <c r="G514" s="6" t="n">
        <f aca="false">Orders!E514</f>
        <v>2</v>
      </c>
      <c r="H514" s="16" t="n">
        <f aca="false">INDEX(Products!$D$2:$D$101,MATCH(D514,Products!$A$2:$A$101,0))</f>
        <v>899</v>
      </c>
      <c r="I514" s="16" t="n">
        <f aca="false">INDEX(Products!$E$2:$E$101,MATCH(D514,Products!$A$2:$A$101,0))</f>
        <v>420</v>
      </c>
      <c r="J514" s="20" t="n">
        <f aca="false">Orders!F514</f>
        <v>0.2</v>
      </c>
      <c r="K514" s="6" t="n">
        <f aca="false">G514*H514</f>
        <v>1798</v>
      </c>
      <c r="L514" s="6" t="n">
        <f aca="false">K514*J514</f>
        <v>359.6</v>
      </c>
      <c r="M514" s="6" t="n">
        <f aca="false">K514-L514</f>
        <v>1438.4</v>
      </c>
      <c r="N514" s="6" t="n">
        <f aca="false">G514*I514</f>
        <v>840</v>
      </c>
      <c r="O514" s="6" t="n">
        <f aca="false">M514-N514</f>
        <v>598.4</v>
      </c>
      <c r="P514" s="21" t="n">
        <f aca="false">IFERROR(O514/M514,0)</f>
        <v>0.416017797552837</v>
      </c>
      <c r="Q514" s="6" t="str">
        <f aca="false">Orders!H514</f>
        <v>Shipped</v>
      </c>
      <c r="R514" s="1" t="str">
        <f aca="false">INDEX(Customers!$C$2:$C$301,MATCH(C514,Customers!$A$2:$A$301,0))</f>
        <v>Kochi</v>
      </c>
      <c r="S514" s="1" t="str">
        <f aca="false">INDEX(Customers!$E$2:$E$301,MATCH(C514,Customers!$A$2:$A$301,0))</f>
        <v>New</v>
      </c>
      <c r="T514" s="6" t="str">
        <f aca="false">Orders!I514</f>
        <v>Website</v>
      </c>
      <c r="U514" s="1" t="str">
        <f aca="false">IF(Q514="Delivered","Completed",IF(Q514="Cancelled","Cancelled",IF(Q514="Returned","Returned","In Progress")))</f>
        <v>In Progress</v>
      </c>
      <c r="V514" s="1" t="str">
        <f aca="false">IF(M514&gt;=10000,"High Value",IF(M514&gt;=5000,"Medium Value","Low Value"))</f>
        <v>Low Value</v>
      </c>
      <c r="W514" s="1" t="str">
        <f aca="false">IF(O514&gt;0,"Profitable",IF(O514=0,"Break-even","Loss"))</f>
        <v>Profitable</v>
      </c>
      <c r="X514" s="1" t="str">
        <f aca="false">IF(Q514="Cancelled","Not Applicable",IF(Q514="Processing","Pending",IF(B514="","Unknown",IF(Orders!J514="","Unknown",IF(Orders!J514&lt;=3,"Fast",IF(Orders!J514&lt;=6,"Standard","Slow"))))))</f>
        <v>Standard</v>
      </c>
      <c r="Y514" s="1" t="n">
        <f aca="false">IF(OR(Q514="Cancelled",Q514="Returned"),0,O514)</f>
        <v>598.4</v>
      </c>
    </row>
    <row r="515" customFormat="false" ht="15" hidden="false" customHeight="false" outlineLevel="0" collapsed="false">
      <c r="A515" s="6" t="str">
        <f aca="false">Orders!A515</f>
        <v>O000514</v>
      </c>
      <c r="B515" s="19" t="n">
        <f aca="false">Orders!B515</f>
        <v>45933</v>
      </c>
      <c r="C515" s="6" t="str">
        <f aca="false">Orders!C515</f>
        <v>C0194</v>
      </c>
      <c r="D515" s="6" t="str">
        <f aca="false">Orders!D515</f>
        <v>P1085</v>
      </c>
      <c r="E515" s="6" t="str">
        <f aca="false">INDEX(Products!$B$2:$B$101,MATCH(D515,Products!$A$2:$A$101,0))</f>
        <v>Marker Set</v>
      </c>
      <c r="F515" s="1" t="str">
        <f aca="false">INDEX(Products!$C$2:$C$101,MATCH(D515,Products!$A$2:$A$101,0))</f>
        <v>Books &amp; Stationery</v>
      </c>
      <c r="G515" s="6" t="n">
        <f aca="false">Orders!E515</f>
        <v>3</v>
      </c>
      <c r="H515" s="16" t="n">
        <f aca="false">INDEX(Products!$D$2:$D$101,MATCH(D515,Products!$A$2:$A$101,0))</f>
        <v>299</v>
      </c>
      <c r="I515" s="16" t="n">
        <f aca="false">INDEX(Products!$E$2:$E$101,MATCH(D515,Products!$A$2:$A$101,0))</f>
        <v>110</v>
      </c>
      <c r="J515" s="20" t="n">
        <f aca="false">Orders!F515</f>
        <v>0.2</v>
      </c>
      <c r="K515" s="6" t="n">
        <f aca="false">G515*H515</f>
        <v>897</v>
      </c>
      <c r="L515" s="6" t="n">
        <f aca="false">K515*J515</f>
        <v>179.4</v>
      </c>
      <c r="M515" s="6" t="n">
        <f aca="false">K515-L515</f>
        <v>717.6</v>
      </c>
      <c r="N515" s="6" t="n">
        <f aca="false">G515*I515</f>
        <v>330</v>
      </c>
      <c r="O515" s="6" t="n">
        <f aca="false">M515-N515</f>
        <v>387.6</v>
      </c>
      <c r="P515" s="21" t="n">
        <f aca="false">IFERROR(O515/M515,0)</f>
        <v>0.540133779264214</v>
      </c>
      <c r="Q515" s="6" t="str">
        <f aca="false">Orders!H515</f>
        <v>Delivered</v>
      </c>
      <c r="R515" s="1" t="str">
        <f aca="false">INDEX(Customers!$C$2:$C$301,MATCH(C515,Customers!$A$2:$A$301,0))</f>
        <v>Indore</v>
      </c>
      <c r="S515" s="1" t="str">
        <f aca="false">INDEX(Customers!$E$2:$E$301,MATCH(C515,Customers!$A$2:$A$301,0))</f>
        <v>Returning</v>
      </c>
      <c r="T515" s="6" t="str">
        <f aca="false">Orders!I515</f>
        <v>Mobile App</v>
      </c>
      <c r="U515" s="1" t="str">
        <f aca="false">IF(Q515="Delivered","Completed",IF(Q515="Cancelled","Cancelled",IF(Q515="Returned","Returned","In Progress")))</f>
        <v>Completed</v>
      </c>
      <c r="V515" s="1" t="str">
        <f aca="false">IF(M515&gt;=10000,"High Value",IF(M515&gt;=5000,"Medium Value","Low Value"))</f>
        <v>Low Value</v>
      </c>
      <c r="W515" s="1" t="str">
        <f aca="false">IF(O515&gt;0,"Profitable",IF(O515=0,"Break-even","Loss"))</f>
        <v>Profitable</v>
      </c>
      <c r="X515" s="1" t="str">
        <f aca="false">IF(Q515="Cancelled","Not Applicable",IF(Q515="Processing","Pending",IF(B515="","Unknown",IF(Orders!J515="","Unknown",IF(Orders!J515&lt;=3,"Fast",IF(Orders!J515&lt;=6,"Standard","Slow"))))))</f>
        <v>Fast</v>
      </c>
      <c r="Y515" s="1" t="n">
        <f aca="false">IF(OR(Q515="Cancelled",Q515="Returned"),0,O515)</f>
        <v>387.6</v>
      </c>
    </row>
    <row r="516" customFormat="false" ht="15" hidden="false" customHeight="false" outlineLevel="0" collapsed="false">
      <c r="A516" s="6" t="str">
        <f aca="false">Orders!A516</f>
        <v>O000515</v>
      </c>
      <c r="B516" s="19" t="n">
        <f aca="false">Orders!B516</f>
        <v>45905</v>
      </c>
      <c r="C516" s="6" t="str">
        <f aca="false">Orders!C516</f>
        <v>C0297</v>
      </c>
      <c r="D516" s="6" t="str">
        <f aca="false">Orders!D516</f>
        <v>P1027</v>
      </c>
      <c r="E516" s="6" t="str">
        <f aca="false">INDEX(Products!$B$2:$B$101,MATCH(D516,Products!$A$2:$A$101,0))</f>
        <v>Belt</v>
      </c>
      <c r="F516" s="1" t="str">
        <f aca="false">INDEX(Products!$C$2:$C$101,MATCH(D516,Products!$A$2:$A$101,0))</f>
        <v>Fashion</v>
      </c>
      <c r="G516" s="6" t="n">
        <f aca="false">Orders!E516</f>
        <v>2</v>
      </c>
      <c r="H516" s="16" t="n">
        <f aca="false">INDEX(Products!$D$2:$D$101,MATCH(D516,Products!$A$2:$A$101,0))</f>
        <v>399</v>
      </c>
      <c r="I516" s="16" t="n">
        <f aca="false">INDEX(Products!$E$2:$E$101,MATCH(D516,Products!$A$2:$A$101,0))</f>
        <v>160</v>
      </c>
      <c r="J516" s="20" t="n">
        <f aca="false">Orders!F516</f>
        <v>0</v>
      </c>
      <c r="K516" s="6" t="n">
        <f aca="false">G516*H516</f>
        <v>798</v>
      </c>
      <c r="L516" s="6" t="n">
        <f aca="false">K516*J516</f>
        <v>0</v>
      </c>
      <c r="M516" s="6" t="n">
        <f aca="false">K516-L516</f>
        <v>798</v>
      </c>
      <c r="N516" s="6" t="n">
        <f aca="false">G516*I516</f>
        <v>320</v>
      </c>
      <c r="O516" s="6" t="n">
        <f aca="false">M516-N516</f>
        <v>478</v>
      </c>
      <c r="P516" s="21" t="n">
        <f aca="false">IFERROR(O516/M516,0)</f>
        <v>0.598997493734336</v>
      </c>
      <c r="Q516" s="6" t="str">
        <f aca="false">Orders!H516</f>
        <v>Delivered</v>
      </c>
      <c r="R516" s="1" t="str">
        <f aca="false">INDEX(Customers!$C$2:$C$301,MATCH(C516,Customers!$A$2:$A$301,0))</f>
        <v>Surat</v>
      </c>
      <c r="S516" s="1" t="str">
        <f aca="false">INDEX(Customers!$E$2:$E$301,MATCH(C516,Customers!$A$2:$A$301,0))</f>
        <v>New</v>
      </c>
      <c r="T516" s="6" t="str">
        <f aca="false">Orders!I516</f>
        <v>Marketplace</v>
      </c>
      <c r="U516" s="1" t="str">
        <f aca="false">IF(Q516="Delivered","Completed",IF(Q516="Cancelled","Cancelled",IF(Q516="Returned","Returned","In Progress")))</f>
        <v>Completed</v>
      </c>
      <c r="V516" s="1" t="str">
        <f aca="false">IF(M516&gt;=10000,"High Value",IF(M516&gt;=5000,"Medium Value","Low Value"))</f>
        <v>Low Value</v>
      </c>
      <c r="W516" s="1" t="str">
        <f aca="false">IF(O516&gt;0,"Profitable",IF(O516=0,"Break-even","Loss"))</f>
        <v>Profitable</v>
      </c>
      <c r="X516" s="1" t="str">
        <f aca="false">IF(Q516="Cancelled","Not Applicable",IF(Q516="Processing","Pending",IF(B516="","Unknown",IF(Orders!J516="","Unknown",IF(Orders!J516&lt;=3,"Fast",IF(Orders!J516&lt;=6,"Standard","Slow"))))))</f>
        <v>Fast</v>
      </c>
      <c r="Y516" s="1" t="n">
        <f aca="false">IF(OR(Q516="Cancelled",Q516="Returned"),0,O516)</f>
        <v>478</v>
      </c>
    </row>
    <row r="517" customFormat="false" ht="15" hidden="false" customHeight="false" outlineLevel="0" collapsed="false">
      <c r="A517" s="6" t="str">
        <f aca="false">Orders!A517</f>
        <v>O000516</v>
      </c>
      <c r="B517" s="19" t="n">
        <f aca="false">Orders!B517</f>
        <v>45682</v>
      </c>
      <c r="C517" s="6" t="str">
        <f aca="false">Orders!C517</f>
        <v>C0070</v>
      </c>
      <c r="D517" s="6" t="str">
        <f aca="false">Orders!D517</f>
        <v>P1076</v>
      </c>
      <c r="E517" s="6" t="str">
        <f aca="false">INDEX(Products!$B$2:$B$101,MATCH(D517,Products!$A$2:$A$101,0))</f>
        <v>Desk Organizer</v>
      </c>
      <c r="F517" s="1" t="str">
        <f aca="false">INDEX(Products!$C$2:$C$101,MATCH(D517,Products!$A$2:$A$101,0))</f>
        <v>Books &amp; Stationery</v>
      </c>
      <c r="G517" s="6" t="n">
        <f aca="false">Orders!E517</f>
        <v>1</v>
      </c>
      <c r="H517" s="16" t="n">
        <f aca="false">INDEX(Products!$D$2:$D$101,MATCH(D517,Products!$A$2:$A$101,0))</f>
        <v>399</v>
      </c>
      <c r="I517" s="16" t="n">
        <f aca="false">INDEX(Products!$E$2:$E$101,MATCH(D517,Products!$A$2:$A$101,0))</f>
        <v>170</v>
      </c>
      <c r="J517" s="20" t="n">
        <f aca="false">Orders!F517</f>
        <v>0.15</v>
      </c>
      <c r="K517" s="6" t="n">
        <f aca="false">G517*H517</f>
        <v>399</v>
      </c>
      <c r="L517" s="6" t="n">
        <f aca="false">K517*J517</f>
        <v>59.85</v>
      </c>
      <c r="M517" s="6" t="n">
        <f aca="false">K517-L517</f>
        <v>339.15</v>
      </c>
      <c r="N517" s="6" t="n">
        <f aca="false">G517*I517</f>
        <v>170</v>
      </c>
      <c r="O517" s="6" t="n">
        <f aca="false">M517-N517</f>
        <v>169.15</v>
      </c>
      <c r="P517" s="21" t="n">
        <f aca="false">IFERROR(O517/M517,0)</f>
        <v>0.49874686716792</v>
      </c>
      <c r="Q517" s="6" t="str">
        <f aca="false">Orders!H517</f>
        <v>Delivered</v>
      </c>
      <c r="R517" s="1" t="str">
        <f aca="false">INDEX(Customers!$C$2:$C$301,MATCH(C517,Customers!$A$2:$A$301,0))</f>
        <v>Lucknow</v>
      </c>
      <c r="S517" s="1" t="str">
        <f aca="false">INDEX(Customers!$E$2:$E$301,MATCH(C517,Customers!$A$2:$A$301,0))</f>
        <v>Returning</v>
      </c>
      <c r="T517" s="6" t="str">
        <f aca="false">Orders!I517</f>
        <v>Mobile App</v>
      </c>
      <c r="U517" s="1" t="str">
        <f aca="false">IF(Q517="Delivered","Completed",IF(Q517="Cancelled","Cancelled",IF(Q517="Returned","Returned","In Progress")))</f>
        <v>Completed</v>
      </c>
      <c r="V517" s="1" t="str">
        <f aca="false">IF(M517&gt;=10000,"High Value",IF(M517&gt;=5000,"Medium Value","Low Value"))</f>
        <v>Low Value</v>
      </c>
      <c r="W517" s="1" t="str">
        <f aca="false">IF(O517&gt;0,"Profitable",IF(O517=0,"Break-even","Loss"))</f>
        <v>Profitable</v>
      </c>
      <c r="X517" s="1" t="str">
        <f aca="false">IF(Q517="Cancelled","Not Applicable",IF(Q517="Processing","Pending",IF(B517="","Unknown",IF(Orders!J517="","Unknown",IF(Orders!J517&lt;=3,"Fast",IF(Orders!J517&lt;=6,"Standard","Slow"))))))</f>
        <v>Fast</v>
      </c>
      <c r="Y517" s="1" t="n">
        <f aca="false">IF(OR(Q517="Cancelled",Q517="Returned"),0,O517)</f>
        <v>169.15</v>
      </c>
    </row>
    <row r="518" customFormat="false" ht="15" hidden="false" customHeight="false" outlineLevel="0" collapsed="false">
      <c r="A518" s="6" t="str">
        <f aca="false">Orders!A518</f>
        <v>O000517</v>
      </c>
      <c r="B518" s="19" t="n">
        <f aca="false">Orders!B518</f>
        <v>45691</v>
      </c>
      <c r="C518" s="6" t="str">
        <f aca="false">Orders!C518</f>
        <v>C0159</v>
      </c>
      <c r="D518" s="6" t="str">
        <f aca="false">Orders!D518</f>
        <v>P1082</v>
      </c>
      <c r="E518" s="6" t="str">
        <f aca="false">INDEX(Products!$B$2:$B$101,MATCH(D518,Products!$A$2:$A$101,0))</f>
        <v>File Folder Set</v>
      </c>
      <c r="F518" s="1" t="str">
        <f aca="false">INDEX(Products!$C$2:$C$101,MATCH(D518,Products!$A$2:$A$101,0))</f>
        <v>Books &amp; Stationery</v>
      </c>
      <c r="G518" s="6" t="n">
        <f aca="false">Orders!E518</f>
        <v>1</v>
      </c>
      <c r="H518" s="16" t="n">
        <f aca="false">INDEX(Products!$D$2:$D$101,MATCH(D518,Products!$A$2:$A$101,0))</f>
        <v>249</v>
      </c>
      <c r="I518" s="16" t="n">
        <f aca="false">INDEX(Products!$E$2:$E$101,MATCH(D518,Products!$A$2:$A$101,0))</f>
        <v>90</v>
      </c>
      <c r="J518" s="20" t="n">
        <f aca="false">Orders!F518</f>
        <v>0.25</v>
      </c>
      <c r="K518" s="6" t="n">
        <f aca="false">G518*H518</f>
        <v>249</v>
      </c>
      <c r="L518" s="6" t="n">
        <f aca="false">K518*J518</f>
        <v>62.25</v>
      </c>
      <c r="M518" s="6" t="n">
        <f aca="false">K518-L518</f>
        <v>186.75</v>
      </c>
      <c r="N518" s="6" t="n">
        <f aca="false">G518*I518</f>
        <v>90</v>
      </c>
      <c r="O518" s="6" t="n">
        <f aca="false">M518-N518</f>
        <v>96.75</v>
      </c>
      <c r="P518" s="21" t="n">
        <f aca="false">IFERROR(O518/M518,0)</f>
        <v>0.518072289156627</v>
      </c>
      <c r="Q518" s="6" t="str">
        <f aca="false">Orders!H518</f>
        <v>Shipped</v>
      </c>
      <c r="R518" s="1" t="str">
        <f aca="false">INDEX(Customers!$C$2:$C$301,MATCH(C518,Customers!$A$2:$A$301,0))</f>
        <v>Coimbatore</v>
      </c>
      <c r="S518" s="1" t="str">
        <f aca="false">INDEX(Customers!$E$2:$E$301,MATCH(C518,Customers!$A$2:$A$301,0))</f>
        <v>New</v>
      </c>
      <c r="T518" s="6" t="str">
        <f aca="false">Orders!I518</f>
        <v>Mobile App</v>
      </c>
      <c r="U518" s="1" t="str">
        <f aca="false">IF(Q518="Delivered","Completed",IF(Q518="Cancelled","Cancelled",IF(Q518="Returned","Returned","In Progress")))</f>
        <v>In Progress</v>
      </c>
      <c r="V518" s="1" t="str">
        <f aca="false">IF(M518&gt;=10000,"High Value",IF(M518&gt;=5000,"Medium Value","Low Value"))</f>
        <v>Low Value</v>
      </c>
      <c r="W518" s="1" t="str">
        <f aca="false">IF(O518&gt;0,"Profitable",IF(O518=0,"Break-even","Loss"))</f>
        <v>Profitable</v>
      </c>
      <c r="X518" s="1" t="str">
        <f aca="false">IF(Q518="Cancelled","Not Applicable",IF(Q518="Processing","Pending",IF(B518="","Unknown",IF(Orders!J518="","Unknown",IF(Orders!J518&lt;=3,"Fast",IF(Orders!J518&lt;=6,"Standard","Slow"))))))</f>
        <v>Fast</v>
      </c>
      <c r="Y518" s="1" t="n">
        <f aca="false">IF(OR(Q518="Cancelled",Q518="Returned"),0,O518)</f>
        <v>96.75</v>
      </c>
    </row>
    <row r="519" customFormat="false" ht="15" hidden="false" customHeight="false" outlineLevel="0" collapsed="false">
      <c r="A519" s="6" t="str">
        <f aca="false">Orders!A519</f>
        <v>O000518</v>
      </c>
      <c r="B519" s="19" t="n">
        <f aca="false">Orders!B519</f>
        <v>45713</v>
      </c>
      <c r="C519" s="6" t="str">
        <f aca="false">Orders!C519</f>
        <v>C0125</v>
      </c>
      <c r="D519" s="6" t="str">
        <f aca="false">Orders!D519</f>
        <v>P1059</v>
      </c>
      <c r="E519" s="6" t="str">
        <f aca="false">INDEX(Products!$B$2:$B$101,MATCH(D519,Products!$A$2:$A$101,0))</f>
        <v>Bath Gift Set</v>
      </c>
      <c r="F519" s="1" t="str">
        <f aca="false">INDEX(Products!$C$2:$C$101,MATCH(D519,Products!$A$2:$A$101,0))</f>
        <v>Beauty</v>
      </c>
      <c r="G519" s="6" t="n">
        <f aca="false">Orders!E519</f>
        <v>1</v>
      </c>
      <c r="H519" s="16" t="n">
        <f aca="false">INDEX(Products!$D$2:$D$101,MATCH(D519,Products!$A$2:$A$101,0))</f>
        <v>699</v>
      </c>
      <c r="I519" s="16" t="n">
        <f aca="false">INDEX(Products!$E$2:$E$101,MATCH(D519,Products!$A$2:$A$101,0))</f>
        <v>350</v>
      </c>
      <c r="J519" s="20" t="n">
        <f aca="false">Orders!F519</f>
        <v>0.1</v>
      </c>
      <c r="K519" s="6" t="n">
        <f aca="false">G519*H519</f>
        <v>699</v>
      </c>
      <c r="L519" s="6" t="n">
        <f aca="false">K519*J519</f>
        <v>69.9</v>
      </c>
      <c r="M519" s="6" t="n">
        <f aca="false">K519-L519</f>
        <v>629.1</v>
      </c>
      <c r="N519" s="6" t="n">
        <f aca="false">G519*I519</f>
        <v>350</v>
      </c>
      <c r="O519" s="6" t="n">
        <f aca="false">M519-N519</f>
        <v>279.1</v>
      </c>
      <c r="P519" s="21" t="n">
        <f aca="false">IFERROR(O519/M519,0)</f>
        <v>0.443649658241933</v>
      </c>
      <c r="Q519" s="6" t="str">
        <f aca="false">Orders!H519</f>
        <v>Shipped</v>
      </c>
      <c r="R519" s="1" t="str">
        <f aca="false">INDEX(Customers!$C$2:$C$301,MATCH(C519,Customers!$A$2:$A$301,0))</f>
        <v>Chennai</v>
      </c>
      <c r="S519" s="1" t="str">
        <f aca="false">INDEX(Customers!$E$2:$E$301,MATCH(C519,Customers!$A$2:$A$301,0))</f>
        <v>Returning</v>
      </c>
      <c r="T519" s="6" t="str">
        <f aca="false">Orders!I519</f>
        <v>Mobile App</v>
      </c>
      <c r="U519" s="1" t="str">
        <f aca="false">IF(Q519="Delivered","Completed",IF(Q519="Cancelled","Cancelled",IF(Q519="Returned","Returned","In Progress")))</f>
        <v>In Progress</v>
      </c>
      <c r="V519" s="1" t="str">
        <f aca="false">IF(M519&gt;=10000,"High Value",IF(M519&gt;=5000,"Medium Value","Low Value"))</f>
        <v>Low Value</v>
      </c>
      <c r="W519" s="1" t="str">
        <f aca="false">IF(O519&gt;0,"Profitable",IF(O519=0,"Break-even","Loss"))</f>
        <v>Profitable</v>
      </c>
      <c r="X519" s="1" t="str">
        <f aca="false">IF(Q519="Cancelled","Not Applicable",IF(Q519="Processing","Pending",IF(B519="","Unknown",IF(Orders!J519="","Unknown",IF(Orders!J519&lt;=3,"Fast",IF(Orders!J519&lt;=6,"Standard","Slow"))))))</f>
        <v>Fast</v>
      </c>
      <c r="Y519" s="1" t="n">
        <f aca="false">IF(OR(Q519="Cancelled",Q519="Returned"),0,O519)</f>
        <v>279.1</v>
      </c>
    </row>
    <row r="520" customFormat="false" ht="15" hidden="false" customHeight="false" outlineLevel="0" collapsed="false">
      <c r="A520" s="6" t="str">
        <f aca="false">Orders!A520</f>
        <v>O000519</v>
      </c>
      <c r="B520" s="19" t="n">
        <f aca="false">Orders!B520</f>
        <v>45920</v>
      </c>
      <c r="C520" s="6" t="str">
        <f aca="false">Orders!C520</f>
        <v>C0261</v>
      </c>
      <c r="D520" s="6" t="str">
        <f aca="false">Orders!D520</f>
        <v>P1024</v>
      </c>
      <c r="E520" s="6" t="str">
        <f aca="false">INDEX(Products!$B$2:$B$101,MATCH(D520,Products!$A$2:$A$101,0))</f>
        <v>Kurta</v>
      </c>
      <c r="F520" s="1" t="str">
        <f aca="false">INDEX(Products!$C$2:$C$101,MATCH(D520,Products!$A$2:$A$101,0))</f>
        <v>Fashion</v>
      </c>
      <c r="G520" s="6" t="n">
        <f aca="false">Orders!E520</f>
        <v>1</v>
      </c>
      <c r="H520" s="16" t="n">
        <f aca="false">INDEX(Products!$D$2:$D$101,MATCH(D520,Products!$A$2:$A$101,0))</f>
        <v>999</v>
      </c>
      <c r="I520" s="16" t="n">
        <f aca="false">INDEX(Products!$E$2:$E$101,MATCH(D520,Products!$A$2:$A$101,0))</f>
        <v>450</v>
      </c>
      <c r="J520" s="20" t="n">
        <f aca="false">Orders!F520</f>
        <v>0.1</v>
      </c>
      <c r="K520" s="6" t="n">
        <f aca="false">G520*H520</f>
        <v>999</v>
      </c>
      <c r="L520" s="6" t="n">
        <f aca="false">K520*J520</f>
        <v>99.9</v>
      </c>
      <c r="M520" s="6" t="n">
        <f aca="false">K520-L520</f>
        <v>899.1</v>
      </c>
      <c r="N520" s="6" t="n">
        <f aca="false">G520*I520</f>
        <v>450</v>
      </c>
      <c r="O520" s="6" t="n">
        <f aca="false">M520-N520</f>
        <v>449.1</v>
      </c>
      <c r="P520" s="21" t="n">
        <f aca="false">IFERROR(O520/M520,0)</f>
        <v>0.4994994994995</v>
      </c>
      <c r="Q520" s="6" t="str">
        <f aca="false">Orders!H520</f>
        <v>Delivered</v>
      </c>
      <c r="R520" s="1" t="str">
        <f aca="false">INDEX(Customers!$C$2:$C$301,MATCH(C520,Customers!$A$2:$A$301,0))</f>
        <v>Delhi</v>
      </c>
      <c r="S520" s="1" t="str">
        <f aca="false">INDEX(Customers!$E$2:$E$301,MATCH(C520,Customers!$A$2:$A$301,0))</f>
        <v>Returning</v>
      </c>
      <c r="T520" s="6" t="str">
        <f aca="false">Orders!I520</f>
        <v>Mobile App</v>
      </c>
      <c r="U520" s="1" t="str">
        <f aca="false">IF(Q520="Delivered","Completed",IF(Q520="Cancelled","Cancelled",IF(Q520="Returned","Returned","In Progress")))</f>
        <v>Completed</v>
      </c>
      <c r="V520" s="1" t="str">
        <f aca="false">IF(M520&gt;=10000,"High Value",IF(M520&gt;=5000,"Medium Value","Low Value"))</f>
        <v>Low Value</v>
      </c>
      <c r="W520" s="1" t="str">
        <f aca="false">IF(O520&gt;0,"Profitable",IF(O520=0,"Break-even","Loss"))</f>
        <v>Profitable</v>
      </c>
      <c r="X520" s="1" t="str">
        <f aca="false">IF(Q520="Cancelled","Not Applicable",IF(Q520="Processing","Pending",IF(B520="","Unknown",IF(Orders!J520="","Unknown",IF(Orders!J520&lt;=3,"Fast",IF(Orders!J520&lt;=6,"Standard","Slow"))))))</f>
        <v>Standard</v>
      </c>
      <c r="Y520" s="1" t="n">
        <f aca="false">IF(OR(Q520="Cancelled",Q520="Returned"),0,O520)</f>
        <v>449.1</v>
      </c>
    </row>
    <row r="521" customFormat="false" ht="15" hidden="false" customHeight="false" outlineLevel="0" collapsed="false">
      <c r="A521" s="6" t="str">
        <f aca="false">Orders!A521</f>
        <v>O000520</v>
      </c>
      <c r="B521" s="19" t="n">
        <f aca="false">Orders!B521</f>
        <v>45681</v>
      </c>
      <c r="C521" s="6" t="str">
        <f aca="false">Orders!C521</f>
        <v>C0016</v>
      </c>
      <c r="D521" s="6" t="str">
        <f aca="false">Orders!D521</f>
        <v>P1011</v>
      </c>
      <c r="E521" s="6" t="str">
        <f aca="false">INDEX(Products!$B$2:$B$101,MATCH(D521,Products!$A$2:$A$101,0))</f>
        <v>Headphones</v>
      </c>
      <c r="F521" s="1" t="str">
        <f aca="false">INDEX(Products!$C$2:$C$101,MATCH(D521,Products!$A$2:$A$101,0))</f>
        <v>Electronics</v>
      </c>
      <c r="G521" s="6" t="n">
        <f aca="false">Orders!E521</f>
        <v>1</v>
      </c>
      <c r="H521" s="16" t="n">
        <f aca="false">INDEX(Products!$D$2:$D$101,MATCH(D521,Products!$A$2:$A$101,0))</f>
        <v>1599</v>
      </c>
      <c r="I521" s="16" t="n">
        <f aca="false">INDEX(Products!$E$2:$E$101,MATCH(D521,Products!$A$2:$A$101,0))</f>
        <v>900</v>
      </c>
      <c r="J521" s="20" t="n">
        <f aca="false">Orders!F521</f>
        <v>0.2</v>
      </c>
      <c r="K521" s="6" t="n">
        <f aca="false">G521*H521</f>
        <v>1599</v>
      </c>
      <c r="L521" s="6" t="n">
        <f aca="false">K521*J521</f>
        <v>319.8</v>
      </c>
      <c r="M521" s="6" t="n">
        <f aca="false">K521-L521</f>
        <v>1279.2</v>
      </c>
      <c r="N521" s="6" t="n">
        <f aca="false">G521*I521</f>
        <v>900</v>
      </c>
      <c r="O521" s="6" t="n">
        <f aca="false">M521-N521</f>
        <v>379.2</v>
      </c>
      <c r="P521" s="21" t="n">
        <f aca="false">IFERROR(O521/M521,0)</f>
        <v>0.296435272045028</v>
      </c>
      <c r="Q521" s="6" t="str">
        <f aca="false">Orders!H521</f>
        <v>Delivered</v>
      </c>
      <c r="R521" s="1" t="str">
        <f aca="false">INDEX(Customers!$C$2:$C$301,MATCH(C521,Customers!$A$2:$A$301,0))</f>
        <v>Chandigarh</v>
      </c>
      <c r="S521" s="1" t="str">
        <f aca="false">INDEX(Customers!$E$2:$E$301,MATCH(C521,Customers!$A$2:$A$301,0))</f>
        <v>New</v>
      </c>
      <c r="T521" s="6" t="str">
        <f aca="false">Orders!I521</f>
        <v>Marketplace</v>
      </c>
      <c r="U521" s="1" t="str">
        <f aca="false">IF(Q521="Delivered","Completed",IF(Q521="Cancelled","Cancelled",IF(Q521="Returned","Returned","In Progress")))</f>
        <v>Completed</v>
      </c>
      <c r="V521" s="1" t="str">
        <f aca="false">IF(M521&gt;=10000,"High Value",IF(M521&gt;=5000,"Medium Value","Low Value"))</f>
        <v>Low Value</v>
      </c>
      <c r="W521" s="1" t="str">
        <f aca="false">IF(O521&gt;0,"Profitable",IF(O521=0,"Break-even","Loss"))</f>
        <v>Profitable</v>
      </c>
      <c r="X521" s="1" t="str">
        <f aca="false">IF(Q521="Cancelled","Not Applicable",IF(Q521="Processing","Pending",IF(B521="","Unknown",IF(Orders!J521="","Unknown",IF(Orders!J521&lt;=3,"Fast",IF(Orders!J521&lt;=6,"Standard","Slow"))))))</f>
        <v>Standard</v>
      </c>
      <c r="Y521" s="1" t="n">
        <f aca="false">IF(OR(Q521="Cancelled",Q521="Returned"),0,O521)</f>
        <v>379.2</v>
      </c>
    </row>
    <row r="522" customFormat="false" ht="15" hidden="false" customHeight="false" outlineLevel="0" collapsed="false">
      <c r="A522" s="6" t="str">
        <f aca="false">Orders!A522</f>
        <v>O000521</v>
      </c>
      <c r="B522" s="19" t="n">
        <f aca="false">Orders!B522</f>
        <v>45804</v>
      </c>
      <c r="C522" s="6" t="str">
        <f aca="false">Orders!C522</f>
        <v>C0248</v>
      </c>
      <c r="D522" s="6" t="str">
        <f aca="false">Orders!D522</f>
        <v>P1067</v>
      </c>
      <c r="E522" s="6" t="str">
        <f aca="false">INDEX(Products!$B$2:$B$101,MATCH(D522,Products!$A$2:$A$101,0))</f>
        <v>Camping Torch</v>
      </c>
      <c r="F522" s="1" t="str">
        <f aca="false">INDEX(Products!$C$2:$C$101,MATCH(D522,Products!$A$2:$A$101,0))</f>
        <v>Sports &amp; Outdoors</v>
      </c>
      <c r="G522" s="6" t="n">
        <f aca="false">Orders!E522</f>
        <v>1</v>
      </c>
      <c r="H522" s="16" t="n">
        <f aca="false">INDEX(Products!$D$2:$D$101,MATCH(D522,Products!$A$2:$A$101,0))</f>
        <v>599</v>
      </c>
      <c r="I522" s="16" t="n">
        <f aca="false">INDEX(Products!$E$2:$E$101,MATCH(D522,Products!$A$2:$A$101,0))</f>
        <v>250</v>
      </c>
      <c r="J522" s="20" t="n">
        <f aca="false">Orders!F522</f>
        <v>0.25</v>
      </c>
      <c r="K522" s="6" t="n">
        <f aca="false">G522*H522</f>
        <v>599</v>
      </c>
      <c r="L522" s="6" t="n">
        <f aca="false">K522*J522</f>
        <v>149.75</v>
      </c>
      <c r="M522" s="6" t="n">
        <f aca="false">K522-L522</f>
        <v>449.25</v>
      </c>
      <c r="N522" s="6" t="n">
        <f aca="false">G522*I522</f>
        <v>250</v>
      </c>
      <c r="O522" s="6" t="n">
        <f aca="false">M522-N522</f>
        <v>199.25</v>
      </c>
      <c r="P522" s="21" t="n">
        <f aca="false">IFERROR(O522/M522,0)</f>
        <v>0.443516972732332</v>
      </c>
      <c r="Q522" s="6" t="str">
        <f aca="false">Orders!H522</f>
        <v>Delivered</v>
      </c>
      <c r="R522" s="1" t="str">
        <f aca="false">INDEX(Customers!$C$2:$C$301,MATCH(C522,Customers!$A$2:$A$301,0))</f>
        <v>Jaipur</v>
      </c>
      <c r="S522" s="1" t="str">
        <f aca="false">INDEX(Customers!$E$2:$E$301,MATCH(C522,Customers!$A$2:$A$301,0))</f>
        <v>Returning</v>
      </c>
      <c r="T522" s="6" t="str">
        <f aca="false">Orders!I522</f>
        <v>Website</v>
      </c>
      <c r="U522" s="1" t="str">
        <f aca="false">IF(Q522="Delivered","Completed",IF(Q522="Cancelled","Cancelled",IF(Q522="Returned","Returned","In Progress")))</f>
        <v>Completed</v>
      </c>
      <c r="V522" s="1" t="str">
        <f aca="false">IF(M522&gt;=10000,"High Value",IF(M522&gt;=5000,"Medium Value","Low Value"))</f>
        <v>Low Value</v>
      </c>
      <c r="W522" s="1" t="str">
        <f aca="false">IF(O522&gt;0,"Profitable",IF(O522=0,"Break-even","Loss"))</f>
        <v>Profitable</v>
      </c>
      <c r="X522" s="1" t="str">
        <f aca="false">IF(Q522="Cancelled","Not Applicable",IF(Q522="Processing","Pending",IF(B522="","Unknown",IF(Orders!J522="","Unknown",IF(Orders!J522&lt;=3,"Fast",IF(Orders!J522&lt;=6,"Standard","Slow"))))))</f>
        <v>Slow</v>
      </c>
      <c r="Y522" s="1" t="n">
        <f aca="false">IF(OR(Q522="Cancelled",Q522="Returned"),0,O522)</f>
        <v>199.25</v>
      </c>
    </row>
    <row r="523" customFormat="false" ht="15" hidden="false" customHeight="false" outlineLevel="0" collapsed="false">
      <c r="A523" s="6" t="str">
        <f aca="false">Orders!A523</f>
        <v>O000522</v>
      </c>
      <c r="B523" s="19" t="n">
        <f aca="false">Orders!B523</f>
        <v>45910</v>
      </c>
      <c r="C523" s="6" t="str">
        <f aca="false">Orders!C523</f>
        <v>C0139</v>
      </c>
      <c r="D523" s="6" t="str">
        <f aca="false">Orders!D523</f>
        <v>P1020</v>
      </c>
      <c r="E523" s="6" t="str">
        <f aca="false">INDEX(Products!$B$2:$B$101,MATCH(D523,Products!$A$2:$A$101,0))</f>
        <v>Backpack</v>
      </c>
      <c r="F523" s="1" t="str">
        <f aca="false">INDEX(Products!$C$2:$C$101,MATCH(D523,Products!$A$2:$A$101,0))</f>
        <v>Fashion</v>
      </c>
      <c r="G523" s="6" t="n">
        <f aca="false">Orders!E523</f>
        <v>1</v>
      </c>
      <c r="H523" s="16" t="n">
        <f aca="false">INDEX(Products!$D$2:$D$101,MATCH(D523,Products!$A$2:$A$101,0))</f>
        <v>1199</v>
      </c>
      <c r="I523" s="16" t="n">
        <f aca="false">INDEX(Products!$E$2:$E$101,MATCH(D523,Products!$A$2:$A$101,0))</f>
        <v>600</v>
      </c>
      <c r="J523" s="20" t="n">
        <f aca="false">Orders!F523</f>
        <v>0.15</v>
      </c>
      <c r="K523" s="6" t="n">
        <f aca="false">G523*H523</f>
        <v>1199</v>
      </c>
      <c r="L523" s="6" t="n">
        <f aca="false">K523*J523</f>
        <v>179.85</v>
      </c>
      <c r="M523" s="6" t="n">
        <f aca="false">K523-L523</f>
        <v>1019.15</v>
      </c>
      <c r="N523" s="6" t="n">
        <f aca="false">G523*I523</f>
        <v>600</v>
      </c>
      <c r="O523" s="6" t="n">
        <f aca="false">M523-N523</f>
        <v>419.15</v>
      </c>
      <c r="P523" s="21" t="n">
        <f aca="false">IFERROR(O523/M523,0)</f>
        <v>0.411274100966492</v>
      </c>
      <c r="Q523" s="6" t="str">
        <f aca="false">Orders!H523</f>
        <v>Delivered</v>
      </c>
      <c r="R523" s="1" t="str">
        <f aca="false">INDEX(Customers!$C$2:$C$301,MATCH(C523,Customers!$A$2:$A$301,0))</f>
        <v>Coimbatore</v>
      </c>
      <c r="S523" s="1" t="str">
        <f aca="false">INDEX(Customers!$E$2:$E$301,MATCH(C523,Customers!$A$2:$A$301,0))</f>
        <v>Returning</v>
      </c>
      <c r="T523" s="6" t="str">
        <f aca="false">Orders!I523</f>
        <v>Marketplace</v>
      </c>
      <c r="U523" s="1" t="str">
        <f aca="false">IF(Q523="Delivered","Completed",IF(Q523="Cancelled","Cancelled",IF(Q523="Returned","Returned","In Progress")))</f>
        <v>Completed</v>
      </c>
      <c r="V523" s="1" t="str">
        <f aca="false">IF(M523&gt;=10000,"High Value",IF(M523&gt;=5000,"Medium Value","Low Value"))</f>
        <v>Low Value</v>
      </c>
      <c r="W523" s="1" t="str">
        <f aca="false">IF(O523&gt;0,"Profitable",IF(O523=0,"Break-even","Loss"))</f>
        <v>Profitable</v>
      </c>
      <c r="X523" s="1" t="str">
        <f aca="false">IF(Q523="Cancelled","Not Applicable",IF(Q523="Processing","Pending",IF(B523="","Unknown",IF(Orders!J523="","Unknown",IF(Orders!J523&lt;=3,"Fast",IF(Orders!J523&lt;=6,"Standard","Slow"))))))</f>
        <v>Fast</v>
      </c>
      <c r="Y523" s="1" t="n">
        <f aca="false">IF(OR(Q523="Cancelled",Q523="Returned"),0,O523)</f>
        <v>419.15</v>
      </c>
    </row>
    <row r="524" customFormat="false" ht="15" hidden="false" customHeight="false" outlineLevel="0" collapsed="false">
      <c r="A524" s="6" t="str">
        <f aca="false">Orders!A524</f>
        <v>O000523</v>
      </c>
      <c r="B524" s="19" t="n">
        <f aca="false">Orders!B524</f>
        <v>45732</v>
      </c>
      <c r="C524" s="6" t="str">
        <f aca="false">Orders!C524</f>
        <v>C0247</v>
      </c>
      <c r="D524" s="6" t="str">
        <f aca="false">Orders!D524</f>
        <v>P1083</v>
      </c>
      <c r="E524" s="6" t="str">
        <f aca="false">INDEX(Products!$B$2:$B$101,MATCH(D524,Products!$A$2:$A$101,0))</f>
        <v>Reading Light</v>
      </c>
      <c r="F524" s="1" t="str">
        <f aca="false">INDEX(Products!$C$2:$C$101,MATCH(D524,Products!$A$2:$A$101,0))</f>
        <v>Books &amp; Stationery</v>
      </c>
      <c r="G524" s="6" t="n">
        <f aca="false">Orders!E524</f>
        <v>1</v>
      </c>
      <c r="H524" s="16" t="n">
        <f aca="false">INDEX(Products!$D$2:$D$101,MATCH(D524,Products!$A$2:$A$101,0))</f>
        <v>399</v>
      </c>
      <c r="I524" s="16" t="n">
        <f aca="false">INDEX(Products!$E$2:$E$101,MATCH(D524,Products!$A$2:$A$101,0))</f>
        <v>180</v>
      </c>
      <c r="J524" s="20" t="n">
        <f aca="false">Orders!F524</f>
        <v>0.1</v>
      </c>
      <c r="K524" s="6" t="n">
        <f aca="false">G524*H524</f>
        <v>399</v>
      </c>
      <c r="L524" s="6" t="n">
        <f aca="false">K524*J524</f>
        <v>39.9</v>
      </c>
      <c r="M524" s="6" t="n">
        <f aca="false">K524-L524</f>
        <v>359.1</v>
      </c>
      <c r="N524" s="6" t="n">
        <f aca="false">G524*I524</f>
        <v>180</v>
      </c>
      <c r="O524" s="6" t="n">
        <f aca="false">M524-N524</f>
        <v>179.1</v>
      </c>
      <c r="P524" s="21" t="n">
        <f aca="false">IFERROR(O524/M524,0)</f>
        <v>0.49874686716792</v>
      </c>
      <c r="Q524" s="6" t="str">
        <f aca="false">Orders!H524</f>
        <v>Delivered</v>
      </c>
      <c r="R524" s="1" t="str">
        <f aca="false">INDEX(Customers!$C$2:$C$301,MATCH(C524,Customers!$A$2:$A$301,0))</f>
        <v>Pune</v>
      </c>
      <c r="S524" s="1" t="str">
        <f aca="false">INDEX(Customers!$E$2:$E$301,MATCH(C524,Customers!$A$2:$A$301,0))</f>
        <v>Returning</v>
      </c>
      <c r="T524" s="6" t="str">
        <f aca="false">Orders!I524</f>
        <v>Mobile App</v>
      </c>
      <c r="U524" s="1" t="str">
        <f aca="false">IF(Q524="Delivered","Completed",IF(Q524="Cancelled","Cancelled",IF(Q524="Returned","Returned","In Progress")))</f>
        <v>Completed</v>
      </c>
      <c r="V524" s="1" t="str">
        <f aca="false">IF(M524&gt;=10000,"High Value",IF(M524&gt;=5000,"Medium Value","Low Value"))</f>
        <v>Low Value</v>
      </c>
      <c r="W524" s="1" t="str">
        <f aca="false">IF(O524&gt;0,"Profitable",IF(O524=0,"Break-even","Loss"))</f>
        <v>Profitable</v>
      </c>
      <c r="X524" s="1" t="str">
        <f aca="false">IF(Q524="Cancelled","Not Applicable",IF(Q524="Processing","Pending",IF(B524="","Unknown",IF(Orders!J524="","Unknown",IF(Orders!J524&lt;=3,"Fast",IF(Orders!J524&lt;=6,"Standard","Slow"))))))</f>
        <v>Slow</v>
      </c>
      <c r="Y524" s="1" t="n">
        <f aca="false">IF(OR(Q524="Cancelled",Q524="Returned"),0,O524)</f>
        <v>179.1</v>
      </c>
    </row>
    <row r="525" customFormat="false" ht="15" hidden="false" customHeight="false" outlineLevel="0" collapsed="false">
      <c r="A525" s="6" t="str">
        <f aca="false">Orders!A525</f>
        <v>O000524</v>
      </c>
      <c r="B525" s="19" t="n">
        <f aca="false">Orders!B525</f>
        <v>45718</v>
      </c>
      <c r="C525" s="6" t="str">
        <f aca="false">Orders!C525</f>
        <v>C0049</v>
      </c>
      <c r="D525" s="6" t="str">
        <f aca="false">Orders!D525</f>
        <v>P1014</v>
      </c>
      <c r="E525" s="6" t="str">
        <f aca="false">INDEX(Products!$B$2:$B$101,MATCH(D525,Products!$A$2:$A$101,0))</f>
        <v>HDMI Cable</v>
      </c>
      <c r="F525" s="1" t="str">
        <f aca="false">INDEX(Products!$C$2:$C$101,MATCH(D525,Products!$A$2:$A$101,0))</f>
        <v>Electronics</v>
      </c>
      <c r="G525" s="6" t="n">
        <f aca="false">Orders!E525</f>
        <v>1</v>
      </c>
      <c r="H525" s="16" t="n">
        <f aca="false">INDEX(Products!$D$2:$D$101,MATCH(D525,Products!$A$2:$A$101,0))</f>
        <v>449</v>
      </c>
      <c r="I525" s="16" t="n">
        <f aca="false">INDEX(Products!$E$2:$E$101,MATCH(D525,Products!$A$2:$A$101,0))</f>
        <v>180</v>
      </c>
      <c r="J525" s="20" t="n">
        <f aca="false">Orders!F525</f>
        <v>0.05</v>
      </c>
      <c r="K525" s="6" t="n">
        <f aca="false">G525*H525</f>
        <v>449</v>
      </c>
      <c r="L525" s="6" t="n">
        <f aca="false">K525*J525</f>
        <v>22.45</v>
      </c>
      <c r="M525" s="6" t="n">
        <f aca="false">K525-L525</f>
        <v>426.55</v>
      </c>
      <c r="N525" s="6" t="n">
        <f aca="false">G525*I525</f>
        <v>180</v>
      </c>
      <c r="O525" s="6" t="n">
        <f aca="false">M525-N525</f>
        <v>246.55</v>
      </c>
      <c r="P525" s="21" t="n">
        <f aca="false">IFERROR(O525/M525,0)</f>
        <v>0.578009612003282</v>
      </c>
      <c r="Q525" s="6" t="str">
        <f aca="false">Orders!H525</f>
        <v>Processing</v>
      </c>
      <c r="R525" s="1" t="str">
        <f aca="false">INDEX(Customers!$C$2:$C$301,MATCH(C525,Customers!$A$2:$A$301,0))</f>
        <v>Ahmedabad</v>
      </c>
      <c r="S525" s="1" t="str">
        <f aca="false">INDEX(Customers!$E$2:$E$301,MATCH(C525,Customers!$A$2:$A$301,0))</f>
        <v>Returning</v>
      </c>
      <c r="T525" s="6" t="str">
        <f aca="false">Orders!I525</f>
        <v>Marketplace</v>
      </c>
      <c r="U525" s="1" t="str">
        <f aca="false">IF(Q525="Delivered","Completed",IF(Q525="Cancelled","Cancelled",IF(Q525="Returned","Returned","In Progress")))</f>
        <v>In Progress</v>
      </c>
      <c r="V525" s="1" t="str">
        <f aca="false">IF(M525&gt;=10000,"High Value",IF(M525&gt;=5000,"Medium Value","Low Value"))</f>
        <v>Low Value</v>
      </c>
      <c r="W525" s="1" t="str">
        <f aca="false">IF(O525&gt;0,"Profitable",IF(O525=0,"Break-even","Loss"))</f>
        <v>Profitable</v>
      </c>
      <c r="X525" s="1" t="str">
        <f aca="false">IF(Q525="Cancelled","Not Applicable",IF(Q525="Processing","Pending",IF(B525="","Unknown",IF(Orders!J525="","Unknown",IF(Orders!J525&lt;=3,"Fast",IF(Orders!J525&lt;=6,"Standard","Slow"))))))</f>
        <v>Pending</v>
      </c>
      <c r="Y525" s="1" t="n">
        <f aca="false">IF(OR(Q525="Cancelled",Q525="Returned"),0,O525)</f>
        <v>246.55</v>
      </c>
    </row>
    <row r="526" customFormat="false" ht="15" hidden="false" customHeight="false" outlineLevel="0" collapsed="false">
      <c r="A526" s="6" t="str">
        <f aca="false">Orders!A526</f>
        <v>O000525</v>
      </c>
      <c r="B526" s="19" t="n">
        <f aca="false">Orders!B526</f>
        <v>45681</v>
      </c>
      <c r="C526" s="6" t="str">
        <f aca="false">Orders!C526</f>
        <v>C0152</v>
      </c>
      <c r="D526" s="6" t="str">
        <f aca="false">Orders!D526</f>
        <v>P1057</v>
      </c>
      <c r="E526" s="6" t="str">
        <f aca="false">INDEX(Products!$B$2:$B$101,MATCH(D526,Products!$A$2:$A$101,0))</f>
        <v>Comb Set</v>
      </c>
      <c r="F526" s="1" t="str">
        <f aca="false">INDEX(Products!$C$2:$C$101,MATCH(D526,Products!$A$2:$A$101,0))</f>
        <v>Beauty</v>
      </c>
      <c r="G526" s="6" t="n">
        <f aca="false">Orders!E526</f>
        <v>1</v>
      </c>
      <c r="H526" s="16" t="n">
        <f aca="false">INDEX(Products!$D$2:$D$101,MATCH(D526,Products!$A$2:$A$101,0))</f>
        <v>199</v>
      </c>
      <c r="I526" s="16" t="n">
        <f aca="false">INDEX(Products!$E$2:$E$101,MATCH(D526,Products!$A$2:$A$101,0))</f>
        <v>65</v>
      </c>
      <c r="J526" s="20" t="n">
        <f aca="false">Orders!F526</f>
        <v>0.25</v>
      </c>
      <c r="K526" s="6" t="n">
        <f aca="false">G526*H526</f>
        <v>199</v>
      </c>
      <c r="L526" s="6" t="n">
        <f aca="false">K526*J526</f>
        <v>49.75</v>
      </c>
      <c r="M526" s="6" t="n">
        <f aca="false">K526-L526</f>
        <v>149.25</v>
      </c>
      <c r="N526" s="6" t="n">
        <f aca="false">G526*I526</f>
        <v>65</v>
      </c>
      <c r="O526" s="6" t="n">
        <f aca="false">M526-N526</f>
        <v>84.25</v>
      </c>
      <c r="P526" s="21" t="n">
        <f aca="false">IFERROR(O526/M526,0)</f>
        <v>0.564489112227806</v>
      </c>
      <c r="Q526" s="6" t="str">
        <f aca="false">Orders!H526</f>
        <v>Delivered</v>
      </c>
      <c r="R526" s="1" t="str">
        <f aca="false">INDEX(Customers!$C$2:$C$301,MATCH(C526,Customers!$A$2:$A$301,0))</f>
        <v>Noida</v>
      </c>
      <c r="S526" s="1" t="str">
        <f aca="false">INDEX(Customers!$E$2:$E$301,MATCH(C526,Customers!$A$2:$A$301,0))</f>
        <v>Returning</v>
      </c>
      <c r="T526" s="6" t="str">
        <f aca="false">Orders!I526</f>
        <v>Website</v>
      </c>
      <c r="U526" s="1" t="str">
        <f aca="false">IF(Q526="Delivered","Completed",IF(Q526="Cancelled","Cancelled",IF(Q526="Returned","Returned","In Progress")))</f>
        <v>Completed</v>
      </c>
      <c r="V526" s="1" t="str">
        <f aca="false">IF(M526&gt;=10000,"High Value",IF(M526&gt;=5000,"Medium Value","Low Value"))</f>
        <v>Low Value</v>
      </c>
      <c r="W526" s="1" t="str">
        <f aca="false">IF(O526&gt;0,"Profitable",IF(O526=0,"Break-even","Loss"))</f>
        <v>Profitable</v>
      </c>
      <c r="X526" s="1" t="str">
        <f aca="false">IF(Q526="Cancelled","Not Applicable",IF(Q526="Processing","Pending",IF(B526="","Unknown",IF(Orders!J526="","Unknown",IF(Orders!J526&lt;=3,"Fast",IF(Orders!J526&lt;=6,"Standard","Slow"))))))</f>
        <v>Standard</v>
      </c>
      <c r="Y526" s="1" t="n">
        <f aca="false">IF(OR(Q526="Cancelled",Q526="Returned"),0,O526)</f>
        <v>84.25</v>
      </c>
    </row>
    <row r="527" customFormat="false" ht="15" hidden="false" customHeight="false" outlineLevel="0" collapsed="false">
      <c r="A527" s="6" t="str">
        <f aca="false">Orders!A527</f>
        <v>O000526</v>
      </c>
      <c r="B527" s="19" t="n">
        <f aca="false">Orders!B527</f>
        <v>45797</v>
      </c>
      <c r="C527" s="6" t="str">
        <f aca="false">Orders!C527</f>
        <v>C0009</v>
      </c>
      <c r="D527" s="6" t="str">
        <f aca="false">Orders!D527</f>
        <v>P1083</v>
      </c>
      <c r="E527" s="6" t="str">
        <f aca="false">INDEX(Products!$B$2:$B$101,MATCH(D527,Products!$A$2:$A$101,0))</f>
        <v>Reading Light</v>
      </c>
      <c r="F527" s="1" t="str">
        <f aca="false">INDEX(Products!$C$2:$C$101,MATCH(D527,Products!$A$2:$A$101,0))</f>
        <v>Books &amp; Stationery</v>
      </c>
      <c r="G527" s="6" t="n">
        <f aca="false">Orders!E527</f>
        <v>3</v>
      </c>
      <c r="H527" s="16" t="n">
        <f aca="false">INDEX(Products!$D$2:$D$101,MATCH(D527,Products!$A$2:$A$101,0))</f>
        <v>399</v>
      </c>
      <c r="I527" s="16" t="n">
        <f aca="false">INDEX(Products!$E$2:$E$101,MATCH(D527,Products!$A$2:$A$101,0))</f>
        <v>180</v>
      </c>
      <c r="J527" s="20" t="n">
        <f aca="false">Orders!F527</f>
        <v>0.1</v>
      </c>
      <c r="K527" s="6" t="n">
        <f aca="false">G527*H527</f>
        <v>1197</v>
      </c>
      <c r="L527" s="6" t="n">
        <f aca="false">K527*J527</f>
        <v>119.7</v>
      </c>
      <c r="M527" s="6" t="n">
        <f aca="false">K527-L527</f>
        <v>1077.3</v>
      </c>
      <c r="N527" s="6" t="n">
        <f aca="false">G527*I527</f>
        <v>540</v>
      </c>
      <c r="O527" s="6" t="n">
        <f aca="false">M527-N527</f>
        <v>537.3</v>
      </c>
      <c r="P527" s="21" t="n">
        <f aca="false">IFERROR(O527/M527,0)</f>
        <v>0.49874686716792</v>
      </c>
      <c r="Q527" s="6" t="str">
        <f aca="false">Orders!H527</f>
        <v>Delivered</v>
      </c>
      <c r="R527" s="1" t="str">
        <f aca="false">INDEX(Customers!$C$2:$C$301,MATCH(C527,Customers!$A$2:$A$301,0))</f>
        <v>Ahmedabad</v>
      </c>
      <c r="S527" s="1" t="str">
        <f aca="false">INDEX(Customers!$E$2:$E$301,MATCH(C527,Customers!$A$2:$A$301,0))</f>
        <v>New</v>
      </c>
      <c r="T527" s="6" t="str">
        <f aca="false">Orders!I527</f>
        <v>Marketplace</v>
      </c>
      <c r="U527" s="1" t="str">
        <f aca="false">IF(Q527="Delivered","Completed",IF(Q527="Cancelled","Cancelled",IF(Q527="Returned","Returned","In Progress")))</f>
        <v>Completed</v>
      </c>
      <c r="V527" s="1" t="str">
        <f aca="false">IF(M527&gt;=10000,"High Value",IF(M527&gt;=5000,"Medium Value","Low Value"))</f>
        <v>Low Value</v>
      </c>
      <c r="W527" s="1" t="str">
        <f aca="false">IF(O527&gt;0,"Profitable",IF(O527=0,"Break-even","Loss"))</f>
        <v>Profitable</v>
      </c>
      <c r="X527" s="1" t="str">
        <f aca="false">IF(Q527="Cancelled","Not Applicable",IF(Q527="Processing","Pending",IF(B527="","Unknown",IF(Orders!J527="","Unknown",IF(Orders!J527&lt;=3,"Fast",IF(Orders!J527&lt;=6,"Standard","Slow"))))))</f>
        <v>Fast</v>
      </c>
      <c r="Y527" s="1" t="n">
        <f aca="false">IF(OR(Q527="Cancelled",Q527="Returned"),0,O527)</f>
        <v>537.3</v>
      </c>
    </row>
    <row r="528" customFormat="false" ht="15" hidden="false" customHeight="false" outlineLevel="0" collapsed="false">
      <c r="A528" s="6" t="str">
        <f aca="false">Orders!A528</f>
        <v>O000527</v>
      </c>
      <c r="B528" s="19" t="n">
        <f aca="false">Orders!B528</f>
        <v>45698</v>
      </c>
      <c r="C528" s="6" t="str">
        <f aca="false">Orders!C528</f>
        <v>C0183</v>
      </c>
      <c r="D528" s="6" t="str">
        <f aca="false">Orders!D528</f>
        <v>P1055</v>
      </c>
      <c r="E528" s="6" t="str">
        <f aca="false">INDEX(Products!$B$2:$B$101,MATCH(D528,Products!$A$2:$A$101,0))</f>
        <v>Perfume</v>
      </c>
      <c r="F528" s="1" t="str">
        <f aca="false">INDEX(Products!$C$2:$C$101,MATCH(D528,Products!$A$2:$A$101,0))</f>
        <v>Beauty</v>
      </c>
      <c r="G528" s="6" t="n">
        <f aca="false">Orders!E528</f>
        <v>1</v>
      </c>
      <c r="H528" s="16" t="n">
        <f aca="false">INDEX(Products!$D$2:$D$101,MATCH(D528,Products!$A$2:$A$101,0))</f>
        <v>999</v>
      </c>
      <c r="I528" s="16" t="n">
        <f aca="false">INDEX(Products!$E$2:$E$101,MATCH(D528,Products!$A$2:$A$101,0))</f>
        <v>500</v>
      </c>
      <c r="J528" s="20" t="n">
        <f aca="false">Orders!F528</f>
        <v>0</v>
      </c>
      <c r="K528" s="6" t="n">
        <f aca="false">G528*H528</f>
        <v>999</v>
      </c>
      <c r="L528" s="6" t="n">
        <f aca="false">K528*J528</f>
        <v>0</v>
      </c>
      <c r="M528" s="6" t="n">
        <f aca="false">K528-L528</f>
        <v>999</v>
      </c>
      <c r="N528" s="6" t="n">
        <f aca="false">G528*I528</f>
        <v>500</v>
      </c>
      <c r="O528" s="6" t="n">
        <f aca="false">M528-N528</f>
        <v>499</v>
      </c>
      <c r="P528" s="21" t="n">
        <f aca="false">IFERROR(O528/M528,0)</f>
        <v>0.4994994994995</v>
      </c>
      <c r="Q528" s="6" t="str">
        <f aca="false">Orders!H528</f>
        <v>Delivered</v>
      </c>
      <c r="R528" s="1" t="str">
        <f aca="false">INDEX(Customers!$C$2:$C$301,MATCH(C528,Customers!$A$2:$A$301,0))</f>
        <v>Bengaluru</v>
      </c>
      <c r="S528" s="1" t="str">
        <f aca="false">INDEX(Customers!$E$2:$E$301,MATCH(C528,Customers!$A$2:$A$301,0))</f>
        <v>New</v>
      </c>
      <c r="T528" s="6" t="str">
        <f aca="false">Orders!I528</f>
        <v>Mobile App</v>
      </c>
      <c r="U528" s="1" t="str">
        <f aca="false">IF(Q528="Delivered","Completed",IF(Q528="Cancelled","Cancelled",IF(Q528="Returned","Returned","In Progress")))</f>
        <v>Completed</v>
      </c>
      <c r="V528" s="1" t="str">
        <f aca="false">IF(M528&gt;=10000,"High Value",IF(M528&gt;=5000,"Medium Value","Low Value"))</f>
        <v>Low Value</v>
      </c>
      <c r="W528" s="1" t="str">
        <f aca="false">IF(O528&gt;0,"Profitable",IF(O528=0,"Break-even","Loss"))</f>
        <v>Profitable</v>
      </c>
      <c r="X528" s="1" t="str">
        <f aca="false">IF(Q528="Cancelled","Not Applicable",IF(Q528="Processing","Pending",IF(B528="","Unknown",IF(Orders!J528="","Unknown",IF(Orders!J528&lt;=3,"Fast",IF(Orders!J528&lt;=6,"Standard","Slow"))))))</f>
        <v>Standard</v>
      </c>
      <c r="Y528" s="1" t="n">
        <f aca="false">IF(OR(Q528="Cancelled",Q528="Returned"),0,O528)</f>
        <v>499</v>
      </c>
    </row>
    <row r="529" customFormat="false" ht="23.85" hidden="false" customHeight="false" outlineLevel="0" collapsed="false">
      <c r="A529" s="6" t="str">
        <f aca="false">Orders!A529</f>
        <v>O000528</v>
      </c>
      <c r="B529" s="19" t="n">
        <f aca="false">Orders!B529</f>
        <v>45708</v>
      </c>
      <c r="C529" s="6" t="str">
        <f aca="false">Orders!C529</f>
        <v>C0296</v>
      </c>
      <c r="D529" s="6" t="str">
        <f aca="false">Orders!D529</f>
        <v>P1002</v>
      </c>
      <c r="E529" s="6" t="str">
        <f aca="false">INDEX(Products!$B$2:$B$101,MATCH(D529,Products!$A$2:$A$101,0))</f>
        <v>Bluetooth Speaker</v>
      </c>
      <c r="F529" s="1" t="str">
        <f aca="false">INDEX(Products!$C$2:$C$101,MATCH(D529,Products!$A$2:$A$101,0))</f>
        <v>Electronics</v>
      </c>
      <c r="G529" s="6" t="n">
        <f aca="false">Orders!E529</f>
        <v>4</v>
      </c>
      <c r="H529" s="16" t="n">
        <f aca="false">INDEX(Products!$D$2:$D$101,MATCH(D529,Products!$A$2:$A$101,0))</f>
        <v>1499</v>
      </c>
      <c r="I529" s="16" t="n">
        <f aca="false">INDEX(Products!$E$2:$E$101,MATCH(D529,Products!$A$2:$A$101,0))</f>
        <v>850</v>
      </c>
      <c r="J529" s="20" t="n">
        <f aca="false">Orders!F529</f>
        <v>0.15</v>
      </c>
      <c r="K529" s="6" t="n">
        <f aca="false">G529*H529</f>
        <v>5996</v>
      </c>
      <c r="L529" s="6" t="n">
        <f aca="false">K529*J529</f>
        <v>899.4</v>
      </c>
      <c r="M529" s="6" t="n">
        <f aca="false">K529-L529</f>
        <v>5096.6</v>
      </c>
      <c r="N529" s="6" t="n">
        <f aca="false">G529*I529</f>
        <v>3400</v>
      </c>
      <c r="O529" s="6" t="n">
        <f aca="false">M529-N529</f>
        <v>1696.6</v>
      </c>
      <c r="P529" s="21" t="n">
        <f aca="false">IFERROR(O529/M529,0)</f>
        <v>0.33288859239493</v>
      </c>
      <c r="Q529" s="6" t="str">
        <f aca="false">Orders!H529</f>
        <v>Processing</v>
      </c>
      <c r="R529" s="1" t="str">
        <f aca="false">INDEX(Customers!$C$2:$C$301,MATCH(C529,Customers!$A$2:$A$301,0))</f>
        <v>Chandigarh</v>
      </c>
      <c r="S529" s="1" t="str">
        <f aca="false">INDEX(Customers!$E$2:$E$301,MATCH(C529,Customers!$A$2:$A$301,0))</f>
        <v>New</v>
      </c>
      <c r="T529" s="6" t="str">
        <f aca="false">Orders!I529</f>
        <v>Mobile App</v>
      </c>
      <c r="U529" s="1" t="str">
        <f aca="false">IF(Q529="Delivered","Completed",IF(Q529="Cancelled","Cancelled",IF(Q529="Returned","Returned","In Progress")))</f>
        <v>In Progress</v>
      </c>
      <c r="V529" s="1" t="str">
        <f aca="false">IF(M529&gt;=10000,"High Value",IF(M529&gt;=5000,"Medium Value","Low Value"))</f>
        <v>Medium Value</v>
      </c>
      <c r="W529" s="1" t="str">
        <f aca="false">IF(O529&gt;0,"Profitable",IF(O529=0,"Break-even","Loss"))</f>
        <v>Profitable</v>
      </c>
      <c r="X529" s="1" t="str">
        <f aca="false">IF(Q529="Cancelled","Not Applicable",IF(Q529="Processing","Pending",IF(B529="","Unknown",IF(Orders!J529="","Unknown",IF(Orders!J529&lt;=3,"Fast",IF(Orders!J529&lt;=6,"Standard","Slow"))))))</f>
        <v>Pending</v>
      </c>
      <c r="Y529" s="1" t="n">
        <f aca="false">IF(OR(Q529="Cancelled",Q529="Returned"),0,O529)</f>
        <v>1696.6</v>
      </c>
    </row>
    <row r="530" customFormat="false" ht="15" hidden="false" customHeight="false" outlineLevel="0" collapsed="false">
      <c r="A530" s="6" t="str">
        <f aca="false">Orders!A530</f>
        <v>O000529</v>
      </c>
      <c r="B530" s="19" t="n">
        <f aca="false">Orders!B530</f>
        <v>45760</v>
      </c>
      <c r="C530" s="6" t="str">
        <f aca="false">Orders!C530</f>
        <v>C0060</v>
      </c>
      <c r="D530" s="6" t="str">
        <f aca="false">Orders!D530</f>
        <v>P1016</v>
      </c>
      <c r="E530" s="6" t="str">
        <f aca="false">INDEX(Products!$B$2:$B$101,MATCH(D530,Products!$A$2:$A$101,0))</f>
        <v>Casual T-Shirt</v>
      </c>
      <c r="F530" s="1" t="str">
        <f aca="false">INDEX(Products!$C$2:$C$101,MATCH(D530,Products!$A$2:$A$101,0))</f>
        <v>Fashion</v>
      </c>
      <c r="G530" s="6" t="n">
        <f aca="false">Orders!E530</f>
        <v>2</v>
      </c>
      <c r="H530" s="16" t="n">
        <f aca="false">INDEX(Products!$D$2:$D$101,MATCH(D530,Products!$A$2:$A$101,0))</f>
        <v>499</v>
      </c>
      <c r="I530" s="16" t="n">
        <f aca="false">INDEX(Products!$E$2:$E$101,MATCH(D530,Products!$A$2:$A$101,0))</f>
        <v>220</v>
      </c>
      <c r="J530" s="20" t="n">
        <f aca="false">Orders!F530</f>
        <v>0.1</v>
      </c>
      <c r="K530" s="6" t="n">
        <f aca="false">G530*H530</f>
        <v>998</v>
      </c>
      <c r="L530" s="6" t="n">
        <f aca="false">K530*J530</f>
        <v>99.8</v>
      </c>
      <c r="M530" s="6" t="n">
        <f aca="false">K530-L530</f>
        <v>898.2</v>
      </c>
      <c r="N530" s="6" t="n">
        <f aca="false">G530*I530</f>
        <v>440</v>
      </c>
      <c r="O530" s="6" t="n">
        <f aca="false">M530-N530</f>
        <v>458.2</v>
      </c>
      <c r="P530" s="21" t="n">
        <f aca="false">IFERROR(O530/M530,0)</f>
        <v>0.510131373858829</v>
      </c>
      <c r="Q530" s="6" t="str">
        <f aca="false">Orders!H530</f>
        <v>Delivered</v>
      </c>
      <c r="R530" s="1" t="str">
        <f aca="false">INDEX(Customers!$C$2:$C$301,MATCH(C530,Customers!$A$2:$A$301,0))</f>
        <v>Visakhapatnam</v>
      </c>
      <c r="S530" s="1" t="str">
        <f aca="false">INDEX(Customers!$E$2:$E$301,MATCH(C530,Customers!$A$2:$A$301,0))</f>
        <v>New</v>
      </c>
      <c r="T530" s="6" t="str">
        <f aca="false">Orders!I530</f>
        <v>Website</v>
      </c>
      <c r="U530" s="1" t="str">
        <f aca="false">IF(Q530="Delivered","Completed",IF(Q530="Cancelled","Cancelled",IF(Q530="Returned","Returned","In Progress")))</f>
        <v>Completed</v>
      </c>
      <c r="V530" s="1" t="str">
        <f aca="false">IF(M530&gt;=10000,"High Value",IF(M530&gt;=5000,"Medium Value","Low Value"))</f>
        <v>Low Value</v>
      </c>
      <c r="W530" s="1" t="str">
        <f aca="false">IF(O530&gt;0,"Profitable",IF(O530=0,"Break-even","Loss"))</f>
        <v>Profitable</v>
      </c>
      <c r="X530" s="1" t="str">
        <f aca="false">IF(Q530="Cancelled","Not Applicable",IF(Q530="Processing","Pending",IF(B530="","Unknown",IF(Orders!J530="","Unknown",IF(Orders!J530&lt;=3,"Fast",IF(Orders!J530&lt;=6,"Standard","Slow"))))))</f>
        <v>Slow</v>
      </c>
      <c r="Y530" s="1" t="n">
        <f aca="false">IF(OR(Q530="Cancelled",Q530="Returned"),0,O530)</f>
        <v>458.2</v>
      </c>
    </row>
    <row r="531" customFormat="false" ht="15" hidden="false" customHeight="false" outlineLevel="0" collapsed="false">
      <c r="A531" s="6" t="str">
        <f aca="false">Orders!A531</f>
        <v>O000530</v>
      </c>
      <c r="B531" s="19" t="n">
        <f aca="false">Orders!B531</f>
        <v>46014</v>
      </c>
      <c r="C531" s="6" t="str">
        <f aca="false">Orders!C531</f>
        <v>C0300</v>
      </c>
      <c r="D531" s="6" t="str">
        <f aca="false">Orders!D531</f>
        <v>P1082</v>
      </c>
      <c r="E531" s="6" t="str">
        <f aca="false">INDEX(Products!$B$2:$B$101,MATCH(D531,Products!$A$2:$A$101,0))</f>
        <v>File Folder Set</v>
      </c>
      <c r="F531" s="1" t="str">
        <f aca="false">INDEX(Products!$C$2:$C$101,MATCH(D531,Products!$A$2:$A$101,0))</f>
        <v>Books &amp; Stationery</v>
      </c>
      <c r="G531" s="6" t="n">
        <f aca="false">Orders!E531</f>
        <v>1</v>
      </c>
      <c r="H531" s="16" t="n">
        <f aca="false">INDEX(Products!$D$2:$D$101,MATCH(D531,Products!$A$2:$A$101,0))</f>
        <v>249</v>
      </c>
      <c r="I531" s="16" t="n">
        <f aca="false">INDEX(Products!$E$2:$E$101,MATCH(D531,Products!$A$2:$A$101,0))</f>
        <v>90</v>
      </c>
      <c r="J531" s="20" t="n">
        <f aca="false">Orders!F531</f>
        <v>0</v>
      </c>
      <c r="K531" s="6" t="n">
        <f aca="false">G531*H531</f>
        <v>249</v>
      </c>
      <c r="L531" s="6" t="n">
        <f aca="false">K531*J531</f>
        <v>0</v>
      </c>
      <c r="M531" s="6" t="n">
        <f aca="false">K531-L531</f>
        <v>249</v>
      </c>
      <c r="N531" s="6" t="n">
        <f aca="false">G531*I531</f>
        <v>90</v>
      </c>
      <c r="O531" s="6" t="n">
        <f aca="false">M531-N531</f>
        <v>159</v>
      </c>
      <c r="P531" s="21" t="n">
        <f aca="false">IFERROR(O531/M531,0)</f>
        <v>0.63855421686747</v>
      </c>
      <c r="Q531" s="6" t="str">
        <f aca="false">Orders!H531</f>
        <v>Shipped</v>
      </c>
      <c r="R531" s="1" t="str">
        <f aca="false">INDEX(Customers!$C$2:$C$301,MATCH(C531,Customers!$A$2:$A$301,0))</f>
        <v>Visakhapatnam</v>
      </c>
      <c r="S531" s="1" t="str">
        <f aca="false">INDEX(Customers!$E$2:$E$301,MATCH(C531,Customers!$A$2:$A$301,0))</f>
        <v>Returning</v>
      </c>
      <c r="T531" s="6" t="str">
        <f aca="false">Orders!I531</f>
        <v>Mobile App</v>
      </c>
      <c r="U531" s="1" t="str">
        <f aca="false">IF(Q531="Delivered","Completed",IF(Q531="Cancelled","Cancelled",IF(Q531="Returned","Returned","In Progress")))</f>
        <v>In Progress</v>
      </c>
      <c r="V531" s="1" t="str">
        <f aca="false">IF(M531&gt;=10000,"High Value",IF(M531&gt;=5000,"Medium Value","Low Value"))</f>
        <v>Low Value</v>
      </c>
      <c r="W531" s="1" t="str">
        <f aca="false">IF(O531&gt;0,"Profitable",IF(O531=0,"Break-even","Loss"))</f>
        <v>Profitable</v>
      </c>
      <c r="X531" s="1" t="str">
        <f aca="false">IF(Q531="Cancelled","Not Applicable",IF(Q531="Processing","Pending",IF(B531="","Unknown",IF(Orders!J531="","Unknown",IF(Orders!J531&lt;=3,"Fast",IF(Orders!J531&lt;=6,"Standard","Slow"))))))</f>
        <v>Fast</v>
      </c>
      <c r="Y531" s="1" t="n">
        <f aca="false">IF(OR(Q531="Cancelled",Q531="Returned"),0,O531)</f>
        <v>159</v>
      </c>
    </row>
    <row r="532" customFormat="false" ht="15" hidden="false" customHeight="false" outlineLevel="0" collapsed="false">
      <c r="A532" s="6" t="str">
        <f aca="false">Orders!A532</f>
        <v>O000531</v>
      </c>
      <c r="B532" s="19" t="n">
        <f aca="false">Orders!B532</f>
        <v>45764</v>
      </c>
      <c r="C532" s="6" t="str">
        <f aca="false">Orders!C532</f>
        <v>C0177</v>
      </c>
      <c r="D532" s="6" t="str">
        <f aca="false">Orders!D532</f>
        <v>P1064</v>
      </c>
      <c r="E532" s="6" t="str">
        <f aca="false">INDEX(Products!$B$2:$B$101,MATCH(D532,Products!$A$2:$A$101,0))</f>
        <v>Football</v>
      </c>
      <c r="F532" s="1" t="str">
        <f aca="false">INDEX(Products!$C$2:$C$101,MATCH(D532,Products!$A$2:$A$101,0))</f>
        <v>Sports &amp; Outdoors</v>
      </c>
      <c r="G532" s="6" t="n">
        <f aca="false">Orders!E532</f>
        <v>2</v>
      </c>
      <c r="H532" s="16" t="n">
        <f aca="false">INDEX(Products!$D$2:$D$101,MATCH(D532,Products!$A$2:$A$101,0))</f>
        <v>699</v>
      </c>
      <c r="I532" s="16" t="n">
        <f aca="false">INDEX(Products!$E$2:$E$101,MATCH(D532,Products!$A$2:$A$101,0))</f>
        <v>300</v>
      </c>
      <c r="J532" s="20" t="n">
        <f aca="false">Orders!F532</f>
        <v>0.15</v>
      </c>
      <c r="K532" s="6" t="n">
        <f aca="false">G532*H532</f>
        <v>1398</v>
      </c>
      <c r="L532" s="6" t="n">
        <f aca="false">K532*J532</f>
        <v>209.7</v>
      </c>
      <c r="M532" s="6" t="n">
        <f aca="false">K532-L532</f>
        <v>1188.3</v>
      </c>
      <c r="N532" s="6" t="n">
        <f aca="false">G532*I532</f>
        <v>600</v>
      </c>
      <c r="O532" s="6" t="n">
        <f aca="false">M532-N532</f>
        <v>588.3</v>
      </c>
      <c r="P532" s="21" t="n">
        <f aca="false">IFERROR(O532/M532,0)</f>
        <v>0.495077000757385</v>
      </c>
      <c r="Q532" s="6" t="str">
        <f aca="false">Orders!H532</f>
        <v>Delivered</v>
      </c>
      <c r="R532" s="1" t="str">
        <f aca="false">INDEX(Customers!$C$2:$C$301,MATCH(C532,Customers!$A$2:$A$301,0))</f>
        <v>Surat</v>
      </c>
      <c r="S532" s="1" t="str">
        <f aca="false">INDEX(Customers!$E$2:$E$301,MATCH(C532,Customers!$A$2:$A$301,0))</f>
        <v>New</v>
      </c>
      <c r="T532" s="6" t="str">
        <f aca="false">Orders!I532</f>
        <v>Mobile App</v>
      </c>
      <c r="U532" s="1" t="str">
        <f aca="false">IF(Q532="Delivered","Completed",IF(Q532="Cancelled","Cancelled",IF(Q532="Returned","Returned","In Progress")))</f>
        <v>Completed</v>
      </c>
      <c r="V532" s="1" t="str">
        <f aca="false">IF(M532&gt;=10000,"High Value",IF(M532&gt;=5000,"Medium Value","Low Value"))</f>
        <v>Low Value</v>
      </c>
      <c r="W532" s="1" t="str">
        <f aca="false">IF(O532&gt;0,"Profitable",IF(O532=0,"Break-even","Loss"))</f>
        <v>Profitable</v>
      </c>
      <c r="X532" s="1" t="str">
        <f aca="false">IF(Q532="Cancelled","Not Applicable",IF(Q532="Processing","Pending",IF(B532="","Unknown",IF(Orders!J532="","Unknown",IF(Orders!J532&lt;=3,"Fast",IF(Orders!J532&lt;=6,"Standard","Slow"))))))</f>
        <v>Standard</v>
      </c>
      <c r="Y532" s="1" t="n">
        <f aca="false">IF(OR(Q532="Cancelled",Q532="Returned"),0,O532)</f>
        <v>588.3</v>
      </c>
    </row>
    <row r="533" customFormat="false" ht="23.85" hidden="false" customHeight="false" outlineLevel="0" collapsed="false">
      <c r="A533" s="6" t="str">
        <f aca="false">Orders!A533</f>
        <v>O000532</v>
      </c>
      <c r="B533" s="19" t="n">
        <f aca="false">Orders!B533</f>
        <v>45940</v>
      </c>
      <c r="C533" s="6" t="str">
        <f aca="false">Orders!C533</f>
        <v>C0264</v>
      </c>
      <c r="D533" s="6" t="str">
        <f aca="false">Orders!D533</f>
        <v>P1031</v>
      </c>
      <c r="E533" s="6" t="str">
        <f aca="false">INDEX(Products!$B$2:$B$101,MATCH(D533,Products!$A$2:$A$101,0))</f>
        <v>Storage Container Set</v>
      </c>
      <c r="F533" s="1" t="str">
        <f aca="false">INDEX(Products!$C$2:$C$101,MATCH(D533,Products!$A$2:$A$101,0))</f>
        <v>Home &amp; Kitchen</v>
      </c>
      <c r="G533" s="6" t="n">
        <f aca="false">Orders!E533</f>
        <v>5</v>
      </c>
      <c r="H533" s="16" t="n">
        <f aca="false">INDEX(Products!$D$2:$D$101,MATCH(D533,Products!$A$2:$A$101,0))</f>
        <v>699</v>
      </c>
      <c r="I533" s="16" t="n">
        <f aca="false">INDEX(Products!$E$2:$E$101,MATCH(D533,Products!$A$2:$A$101,0))</f>
        <v>300</v>
      </c>
      <c r="J533" s="20" t="n">
        <f aca="false">Orders!F533</f>
        <v>0.15</v>
      </c>
      <c r="K533" s="6" t="n">
        <f aca="false">G533*H533</f>
        <v>3495</v>
      </c>
      <c r="L533" s="6" t="n">
        <f aca="false">K533*J533</f>
        <v>524.25</v>
      </c>
      <c r="M533" s="6" t="n">
        <f aca="false">K533-L533</f>
        <v>2970.75</v>
      </c>
      <c r="N533" s="6" t="n">
        <f aca="false">G533*I533</f>
        <v>1500</v>
      </c>
      <c r="O533" s="6" t="n">
        <f aca="false">M533-N533</f>
        <v>1470.75</v>
      </c>
      <c r="P533" s="21" t="n">
        <f aca="false">IFERROR(O533/M533,0)</f>
        <v>0.495077000757385</v>
      </c>
      <c r="Q533" s="6" t="str">
        <f aca="false">Orders!H533</f>
        <v>Delivered</v>
      </c>
      <c r="R533" s="1" t="str">
        <f aca="false">INDEX(Customers!$C$2:$C$301,MATCH(C533,Customers!$A$2:$A$301,0))</f>
        <v>Hyderabad</v>
      </c>
      <c r="S533" s="1" t="str">
        <f aca="false">INDEX(Customers!$E$2:$E$301,MATCH(C533,Customers!$A$2:$A$301,0))</f>
        <v>VIP</v>
      </c>
      <c r="T533" s="6" t="str">
        <f aca="false">Orders!I533</f>
        <v>Website</v>
      </c>
      <c r="U533" s="1" t="str">
        <f aca="false">IF(Q533="Delivered","Completed",IF(Q533="Cancelled","Cancelled",IF(Q533="Returned","Returned","In Progress")))</f>
        <v>Completed</v>
      </c>
      <c r="V533" s="1" t="str">
        <f aca="false">IF(M533&gt;=10000,"High Value",IF(M533&gt;=5000,"Medium Value","Low Value"))</f>
        <v>Low Value</v>
      </c>
      <c r="W533" s="1" t="str">
        <f aca="false">IF(O533&gt;0,"Profitable",IF(O533=0,"Break-even","Loss"))</f>
        <v>Profitable</v>
      </c>
      <c r="X533" s="1" t="str">
        <f aca="false">IF(Q533="Cancelled","Not Applicable",IF(Q533="Processing","Pending",IF(B533="","Unknown",IF(Orders!J533="","Unknown",IF(Orders!J533&lt;=3,"Fast",IF(Orders!J533&lt;=6,"Standard","Slow"))))))</f>
        <v>Slow</v>
      </c>
      <c r="Y533" s="1" t="n">
        <f aca="false">IF(OR(Q533="Cancelled",Q533="Returned"),0,O533)</f>
        <v>1470.75</v>
      </c>
    </row>
    <row r="534" customFormat="false" ht="15" hidden="false" customHeight="false" outlineLevel="0" collapsed="false">
      <c r="A534" s="6" t="str">
        <f aca="false">Orders!A534</f>
        <v>O000533</v>
      </c>
      <c r="B534" s="19" t="n">
        <f aca="false">Orders!B534</f>
        <v>45979</v>
      </c>
      <c r="C534" s="6" t="str">
        <f aca="false">Orders!C534</f>
        <v>C0196</v>
      </c>
      <c r="D534" s="6" t="str">
        <f aca="false">Orders!D534</f>
        <v>P1013</v>
      </c>
      <c r="E534" s="6" t="str">
        <f aca="false">INDEX(Products!$B$2:$B$101,MATCH(D534,Products!$A$2:$A$101,0))</f>
        <v>Memory Card</v>
      </c>
      <c r="F534" s="1" t="str">
        <f aca="false">INDEX(Products!$C$2:$C$101,MATCH(D534,Products!$A$2:$A$101,0))</f>
        <v>Electronics</v>
      </c>
      <c r="G534" s="6" t="n">
        <f aca="false">Orders!E534</f>
        <v>1</v>
      </c>
      <c r="H534" s="16" t="n">
        <f aca="false">INDEX(Products!$D$2:$D$101,MATCH(D534,Products!$A$2:$A$101,0))</f>
        <v>699</v>
      </c>
      <c r="I534" s="16" t="n">
        <f aca="false">INDEX(Products!$E$2:$E$101,MATCH(D534,Products!$A$2:$A$101,0))</f>
        <v>400</v>
      </c>
      <c r="J534" s="20" t="n">
        <f aca="false">Orders!F534</f>
        <v>0.05</v>
      </c>
      <c r="K534" s="6" t="n">
        <f aca="false">G534*H534</f>
        <v>699</v>
      </c>
      <c r="L534" s="6" t="n">
        <f aca="false">K534*J534</f>
        <v>34.95</v>
      </c>
      <c r="M534" s="6" t="n">
        <f aca="false">K534-L534</f>
        <v>664.05</v>
      </c>
      <c r="N534" s="6" t="n">
        <f aca="false">G534*I534</f>
        <v>400</v>
      </c>
      <c r="O534" s="6" t="n">
        <f aca="false">M534-N534</f>
        <v>264.05</v>
      </c>
      <c r="P534" s="21" t="n">
        <f aca="false">IFERROR(O534/M534,0)</f>
        <v>0.397635720201792</v>
      </c>
      <c r="Q534" s="6" t="str">
        <f aca="false">Orders!H534</f>
        <v>Delivered</v>
      </c>
      <c r="R534" s="1" t="str">
        <f aca="false">INDEX(Customers!$C$2:$C$301,MATCH(C534,Customers!$A$2:$A$301,0))</f>
        <v>Chandigarh</v>
      </c>
      <c r="S534" s="1" t="str">
        <f aca="false">INDEX(Customers!$E$2:$E$301,MATCH(C534,Customers!$A$2:$A$301,0))</f>
        <v>Returning</v>
      </c>
      <c r="T534" s="6" t="str">
        <f aca="false">Orders!I534</f>
        <v>Mobile App</v>
      </c>
      <c r="U534" s="1" t="str">
        <f aca="false">IF(Q534="Delivered","Completed",IF(Q534="Cancelled","Cancelled",IF(Q534="Returned","Returned","In Progress")))</f>
        <v>Completed</v>
      </c>
      <c r="V534" s="1" t="str">
        <f aca="false">IF(M534&gt;=10000,"High Value",IF(M534&gt;=5000,"Medium Value","Low Value"))</f>
        <v>Low Value</v>
      </c>
      <c r="W534" s="1" t="str">
        <f aca="false">IF(O534&gt;0,"Profitable",IF(O534=0,"Break-even","Loss"))</f>
        <v>Profitable</v>
      </c>
      <c r="X534" s="1" t="str">
        <f aca="false">IF(Q534="Cancelled","Not Applicable",IF(Q534="Processing","Pending",IF(B534="","Unknown",IF(Orders!J534="","Unknown",IF(Orders!J534&lt;=3,"Fast",IF(Orders!J534&lt;=6,"Standard","Slow"))))))</f>
        <v>Standard</v>
      </c>
      <c r="Y534" s="1" t="n">
        <f aca="false">IF(OR(Q534="Cancelled",Q534="Returned"),0,O534)</f>
        <v>264.05</v>
      </c>
    </row>
    <row r="535" customFormat="false" ht="15" hidden="false" customHeight="false" outlineLevel="0" collapsed="false">
      <c r="A535" s="6" t="str">
        <f aca="false">Orders!A535</f>
        <v>O000534</v>
      </c>
      <c r="B535" s="19" t="n">
        <f aca="false">Orders!B535</f>
        <v>45905</v>
      </c>
      <c r="C535" s="6" t="str">
        <f aca="false">Orders!C535</f>
        <v>C0183</v>
      </c>
      <c r="D535" s="6" t="str">
        <f aca="false">Orders!D535</f>
        <v>P1082</v>
      </c>
      <c r="E535" s="6" t="str">
        <f aca="false">INDEX(Products!$B$2:$B$101,MATCH(D535,Products!$A$2:$A$101,0))</f>
        <v>File Folder Set</v>
      </c>
      <c r="F535" s="1" t="str">
        <f aca="false">INDEX(Products!$C$2:$C$101,MATCH(D535,Products!$A$2:$A$101,0))</f>
        <v>Books &amp; Stationery</v>
      </c>
      <c r="G535" s="6" t="n">
        <f aca="false">Orders!E535</f>
        <v>3</v>
      </c>
      <c r="H535" s="16" t="n">
        <f aca="false">INDEX(Products!$D$2:$D$101,MATCH(D535,Products!$A$2:$A$101,0))</f>
        <v>249</v>
      </c>
      <c r="I535" s="16" t="n">
        <f aca="false">INDEX(Products!$E$2:$E$101,MATCH(D535,Products!$A$2:$A$101,0))</f>
        <v>90</v>
      </c>
      <c r="J535" s="20" t="n">
        <f aca="false">Orders!F535</f>
        <v>0</v>
      </c>
      <c r="K535" s="6" t="n">
        <f aca="false">G535*H535</f>
        <v>747</v>
      </c>
      <c r="L535" s="6" t="n">
        <f aca="false">K535*J535</f>
        <v>0</v>
      </c>
      <c r="M535" s="6" t="n">
        <f aca="false">K535-L535</f>
        <v>747</v>
      </c>
      <c r="N535" s="6" t="n">
        <f aca="false">G535*I535</f>
        <v>270</v>
      </c>
      <c r="O535" s="6" t="n">
        <f aca="false">M535-N535</f>
        <v>477</v>
      </c>
      <c r="P535" s="21" t="n">
        <f aca="false">IFERROR(O535/M535,0)</f>
        <v>0.63855421686747</v>
      </c>
      <c r="Q535" s="6" t="str">
        <f aca="false">Orders!H535</f>
        <v>Delivered</v>
      </c>
      <c r="R535" s="1" t="str">
        <f aca="false">INDEX(Customers!$C$2:$C$301,MATCH(C535,Customers!$A$2:$A$301,0))</f>
        <v>Bengaluru</v>
      </c>
      <c r="S535" s="1" t="str">
        <f aca="false">INDEX(Customers!$E$2:$E$301,MATCH(C535,Customers!$A$2:$A$301,0))</f>
        <v>New</v>
      </c>
      <c r="T535" s="6" t="str">
        <f aca="false">Orders!I535</f>
        <v>Marketplace</v>
      </c>
      <c r="U535" s="1" t="str">
        <f aca="false">IF(Q535="Delivered","Completed",IF(Q535="Cancelled","Cancelled",IF(Q535="Returned","Returned","In Progress")))</f>
        <v>Completed</v>
      </c>
      <c r="V535" s="1" t="str">
        <f aca="false">IF(M535&gt;=10000,"High Value",IF(M535&gt;=5000,"Medium Value","Low Value"))</f>
        <v>Low Value</v>
      </c>
      <c r="W535" s="1" t="str">
        <f aca="false">IF(O535&gt;0,"Profitable",IF(O535=0,"Break-even","Loss"))</f>
        <v>Profitable</v>
      </c>
      <c r="X535" s="1" t="str">
        <f aca="false">IF(Q535="Cancelled","Not Applicable",IF(Q535="Processing","Pending",IF(B535="","Unknown",IF(Orders!J535="","Unknown",IF(Orders!J535&lt;=3,"Fast",IF(Orders!J535&lt;=6,"Standard","Slow"))))))</f>
        <v>Standard</v>
      </c>
      <c r="Y535" s="1" t="n">
        <f aca="false">IF(OR(Q535="Cancelled",Q535="Returned"),0,O535)</f>
        <v>477</v>
      </c>
    </row>
    <row r="536" customFormat="false" ht="15" hidden="false" customHeight="false" outlineLevel="0" collapsed="false">
      <c r="A536" s="6" t="str">
        <f aca="false">Orders!A536</f>
        <v>O000535</v>
      </c>
      <c r="B536" s="19" t="n">
        <f aca="false">Orders!B536</f>
        <v>45663</v>
      </c>
      <c r="C536" s="6" t="str">
        <f aca="false">Orders!C536</f>
        <v>C0121</v>
      </c>
      <c r="D536" s="6" t="str">
        <f aca="false">Orders!D536</f>
        <v>P1083</v>
      </c>
      <c r="E536" s="6" t="str">
        <f aca="false">INDEX(Products!$B$2:$B$101,MATCH(D536,Products!$A$2:$A$101,0))</f>
        <v>Reading Light</v>
      </c>
      <c r="F536" s="1" t="str">
        <f aca="false">INDEX(Products!$C$2:$C$101,MATCH(D536,Products!$A$2:$A$101,0))</f>
        <v>Books &amp; Stationery</v>
      </c>
      <c r="G536" s="6" t="n">
        <f aca="false">Orders!E536</f>
        <v>2</v>
      </c>
      <c r="H536" s="16" t="n">
        <f aca="false">INDEX(Products!$D$2:$D$101,MATCH(D536,Products!$A$2:$A$101,0))</f>
        <v>399</v>
      </c>
      <c r="I536" s="16" t="n">
        <f aca="false">INDEX(Products!$E$2:$E$101,MATCH(D536,Products!$A$2:$A$101,0))</f>
        <v>180</v>
      </c>
      <c r="J536" s="20" t="n">
        <f aca="false">Orders!F536</f>
        <v>0.1</v>
      </c>
      <c r="K536" s="6" t="n">
        <f aca="false">G536*H536</f>
        <v>798</v>
      </c>
      <c r="L536" s="6" t="n">
        <f aca="false">K536*J536</f>
        <v>79.8</v>
      </c>
      <c r="M536" s="6" t="n">
        <f aca="false">K536-L536</f>
        <v>718.2</v>
      </c>
      <c r="N536" s="6" t="n">
        <f aca="false">G536*I536</f>
        <v>360</v>
      </c>
      <c r="O536" s="6" t="n">
        <f aca="false">M536-N536</f>
        <v>358.2</v>
      </c>
      <c r="P536" s="21" t="n">
        <f aca="false">IFERROR(O536/M536,0)</f>
        <v>0.49874686716792</v>
      </c>
      <c r="Q536" s="6" t="str">
        <f aca="false">Orders!H536</f>
        <v>Delivered</v>
      </c>
      <c r="R536" s="1" t="str">
        <f aca="false">INDEX(Customers!$C$2:$C$301,MATCH(C536,Customers!$A$2:$A$301,0))</f>
        <v>Delhi</v>
      </c>
      <c r="S536" s="1" t="str">
        <f aca="false">INDEX(Customers!$E$2:$E$301,MATCH(C536,Customers!$A$2:$A$301,0))</f>
        <v>Returning</v>
      </c>
      <c r="T536" s="6" t="str">
        <f aca="false">Orders!I536</f>
        <v>Mobile App</v>
      </c>
      <c r="U536" s="1" t="str">
        <f aca="false">IF(Q536="Delivered","Completed",IF(Q536="Cancelled","Cancelled",IF(Q536="Returned","Returned","In Progress")))</f>
        <v>Completed</v>
      </c>
      <c r="V536" s="1" t="str">
        <f aca="false">IF(M536&gt;=10000,"High Value",IF(M536&gt;=5000,"Medium Value","Low Value"))</f>
        <v>Low Value</v>
      </c>
      <c r="W536" s="1" t="str">
        <f aca="false">IF(O536&gt;0,"Profitable",IF(O536=0,"Break-even","Loss"))</f>
        <v>Profitable</v>
      </c>
      <c r="X536" s="1" t="str">
        <f aca="false">IF(Q536="Cancelled","Not Applicable",IF(Q536="Processing","Pending",IF(B536="","Unknown",IF(Orders!J536="","Unknown",IF(Orders!J536&lt;=3,"Fast",IF(Orders!J536&lt;=6,"Standard","Slow"))))))</f>
        <v>Standard</v>
      </c>
      <c r="Y536" s="1" t="n">
        <f aca="false">IF(OR(Q536="Cancelled",Q536="Returned"),0,O536)</f>
        <v>358.2</v>
      </c>
    </row>
    <row r="537" customFormat="false" ht="15" hidden="false" customHeight="false" outlineLevel="0" collapsed="false">
      <c r="A537" s="6" t="str">
        <f aca="false">Orders!A537</f>
        <v>O000536</v>
      </c>
      <c r="B537" s="19" t="n">
        <f aca="false">Orders!B537</f>
        <v>45884</v>
      </c>
      <c r="C537" s="6" t="str">
        <f aca="false">Orders!C537</f>
        <v>C0025</v>
      </c>
      <c r="D537" s="6" t="str">
        <f aca="false">Orders!D537</f>
        <v>P1011</v>
      </c>
      <c r="E537" s="6" t="str">
        <f aca="false">INDEX(Products!$B$2:$B$101,MATCH(D537,Products!$A$2:$A$101,0))</f>
        <v>Headphones</v>
      </c>
      <c r="F537" s="1" t="str">
        <f aca="false">INDEX(Products!$C$2:$C$101,MATCH(D537,Products!$A$2:$A$101,0))</f>
        <v>Electronics</v>
      </c>
      <c r="G537" s="6" t="n">
        <f aca="false">Orders!E537</f>
        <v>5</v>
      </c>
      <c r="H537" s="16" t="n">
        <f aca="false">INDEX(Products!$D$2:$D$101,MATCH(D537,Products!$A$2:$A$101,0))</f>
        <v>1599</v>
      </c>
      <c r="I537" s="16" t="n">
        <f aca="false">INDEX(Products!$E$2:$E$101,MATCH(D537,Products!$A$2:$A$101,0))</f>
        <v>900</v>
      </c>
      <c r="J537" s="20" t="n">
        <f aca="false">Orders!F537</f>
        <v>0</v>
      </c>
      <c r="K537" s="6" t="n">
        <f aca="false">G537*H537</f>
        <v>7995</v>
      </c>
      <c r="L537" s="6" t="n">
        <f aca="false">K537*J537</f>
        <v>0</v>
      </c>
      <c r="M537" s="6" t="n">
        <f aca="false">K537-L537</f>
        <v>7995</v>
      </c>
      <c r="N537" s="6" t="n">
        <f aca="false">G537*I537</f>
        <v>4500</v>
      </c>
      <c r="O537" s="6" t="n">
        <f aca="false">M537-N537</f>
        <v>3495</v>
      </c>
      <c r="P537" s="21" t="n">
        <f aca="false">IFERROR(O537/M537,0)</f>
        <v>0.437148217636023</v>
      </c>
      <c r="Q537" s="6" t="str">
        <f aca="false">Orders!H537</f>
        <v>Delivered</v>
      </c>
      <c r="R537" s="1" t="str">
        <f aca="false">INDEX(Customers!$C$2:$C$301,MATCH(C537,Customers!$A$2:$A$301,0))</f>
        <v>Chennai</v>
      </c>
      <c r="S537" s="1" t="str">
        <f aca="false">INDEX(Customers!$E$2:$E$301,MATCH(C537,Customers!$A$2:$A$301,0))</f>
        <v>Returning</v>
      </c>
      <c r="T537" s="6" t="str">
        <f aca="false">Orders!I537</f>
        <v>Marketplace</v>
      </c>
      <c r="U537" s="1" t="str">
        <f aca="false">IF(Q537="Delivered","Completed",IF(Q537="Cancelled","Cancelled",IF(Q537="Returned","Returned","In Progress")))</f>
        <v>Completed</v>
      </c>
      <c r="V537" s="1" t="str">
        <f aca="false">IF(M537&gt;=10000,"High Value",IF(M537&gt;=5000,"Medium Value","Low Value"))</f>
        <v>Medium Value</v>
      </c>
      <c r="W537" s="1" t="str">
        <f aca="false">IF(O537&gt;0,"Profitable",IF(O537=0,"Break-even","Loss"))</f>
        <v>Profitable</v>
      </c>
      <c r="X537" s="1" t="str">
        <f aca="false">IF(Q537="Cancelled","Not Applicable",IF(Q537="Processing","Pending",IF(B537="","Unknown",IF(Orders!J537="","Unknown",IF(Orders!J537&lt;=3,"Fast",IF(Orders!J537&lt;=6,"Standard","Slow"))))))</f>
        <v>Slow</v>
      </c>
      <c r="Y537" s="1" t="n">
        <f aca="false">IF(OR(Q537="Cancelled",Q537="Returned"),0,O537)</f>
        <v>3495</v>
      </c>
    </row>
    <row r="538" customFormat="false" ht="15" hidden="false" customHeight="false" outlineLevel="0" collapsed="false">
      <c r="A538" s="6" t="str">
        <f aca="false">Orders!A538</f>
        <v>O000537</v>
      </c>
      <c r="B538" s="19" t="n">
        <f aca="false">Orders!B538</f>
        <v>45745</v>
      </c>
      <c r="C538" s="6" t="str">
        <f aca="false">Orders!C538</f>
        <v>C0183</v>
      </c>
      <c r="D538" s="6" t="str">
        <f aca="false">Orders!D538</f>
        <v>P1013</v>
      </c>
      <c r="E538" s="6" t="str">
        <f aca="false">INDEX(Products!$B$2:$B$101,MATCH(D538,Products!$A$2:$A$101,0))</f>
        <v>Memory Card</v>
      </c>
      <c r="F538" s="1" t="str">
        <f aca="false">INDEX(Products!$C$2:$C$101,MATCH(D538,Products!$A$2:$A$101,0))</f>
        <v>Electronics</v>
      </c>
      <c r="G538" s="6" t="n">
        <f aca="false">Orders!E538</f>
        <v>1</v>
      </c>
      <c r="H538" s="16" t="n">
        <f aca="false">INDEX(Products!$D$2:$D$101,MATCH(D538,Products!$A$2:$A$101,0))</f>
        <v>699</v>
      </c>
      <c r="I538" s="16" t="n">
        <f aca="false">INDEX(Products!$E$2:$E$101,MATCH(D538,Products!$A$2:$A$101,0))</f>
        <v>400</v>
      </c>
      <c r="J538" s="20" t="n">
        <f aca="false">Orders!F538</f>
        <v>0.1</v>
      </c>
      <c r="K538" s="6" t="n">
        <f aca="false">G538*H538</f>
        <v>699</v>
      </c>
      <c r="L538" s="6" t="n">
        <f aca="false">K538*J538</f>
        <v>69.9</v>
      </c>
      <c r="M538" s="6" t="n">
        <f aca="false">K538-L538</f>
        <v>629.1</v>
      </c>
      <c r="N538" s="6" t="n">
        <f aca="false">G538*I538</f>
        <v>400</v>
      </c>
      <c r="O538" s="6" t="n">
        <f aca="false">M538-N538</f>
        <v>229.1</v>
      </c>
      <c r="P538" s="21" t="n">
        <f aca="false">IFERROR(O538/M538,0)</f>
        <v>0.364171037990781</v>
      </c>
      <c r="Q538" s="6" t="str">
        <f aca="false">Orders!H538</f>
        <v>Delivered</v>
      </c>
      <c r="R538" s="1" t="str">
        <f aca="false">INDEX(Customers!$C$2:$C$301,MATCH(C538,Customers!$A$2:$A$301,0))</f>
        <v>Bengaluru</v>
      </c>
      <c r="S538" s="1" t="str">
        <f aca="false">INDEX(Customers!$E$2:$E$301,MATCH(C538,Customers!$A$2:$A$301,0))</f>
        <v>New</v>
      </c>
      <c r="T538" s="6" t="str">
        <f aca="false">Orders!I538</f>
        <v>Mobile App</v>
      </c>
      <c r="U538" s="1" t="str">
        <f aca="false">IF(Q538="Delivered","Completed",IF(Q538="Cancelled","Cancelled",IF(Q538="Returned","Returned","In Progress")))</f>
        <v>Completed</v>
      </c>
      <c r="V538" s="1" t="str">
        <f aca="false">IF(M538&gt;=10000,"High Value",IF(M538&gt;=5000,"Medium Value","Low Value"))</f>
        <v>Low Value</v>
      </c>
      <c r="W538" s="1" t="str">
        <f aca="false">IF(O538&gt;0,"Profitable",IF(O538=0,"Break-even","Loss"))</f>
        <v>Profitable</v>
      </c>
      <c r="X538" s="1" t="str">
        <f aca="false">IF(Q538="Cancelled","Not Applicable",IF(Q538="Processing","Pending",IF(B538="","Unknown",IF(Orders!J538="","Unknown",IF(Orders!J538&lt;=3,"Fast",IF(Orders!J538&lt;=6,"Standard","Slow"))))))</f>
        <v>Fast</v>
      </c>
      <c r="Y538" s="1" t="n">
        <f aca="false">IF(OR(Q538="Cancelled",Q538="Returned"),0,O538)</f>
        <v>229.1</v>
      </c>
    </row>
    <row r="539" customFormat="false" ht="15" hidden="false" customHeight="false" outlineLevel="0" collapsed="false">
      <c r="A539" s="6" t="str">
        <f aca="false">Orders!A539</f>
        <v>O000538</v>
      </c>
      <c r="B539" s="19" t="n">
        <f aca="false">Orders!B539</f>
        <v>45948</v>
      </c>
      <c r="C539" s="6" t="str">
        <f aca="false">Orders!C539</f>
        <v>C0026</v>
      </c>
      <c r="D539" s="6" t="str">
        <f aca="false">Orders!D539</f>
        <v>P1015</v>
      </c>
      <c r="E539" s="6" t="str">
        <f aca="false">INDEX(Products!$B$2:$B$101,MATCH(D539,Products!$A$2:$A$101,0))</f>
        <v>Portable SSD</v>
      </c>
      <c r="F539" s="1" t="str">
        <f aca="false">INDEX(Products!$C$2:$C$101,MATCH(D539,Products!$A$2:$A$101,0))</f>
        <v>Electronics</v>
      </c>
      <c r="G539" s="6" t="n">
        <f aca="false">Orders!E539</f>
        <v>2</v>
      </c>
      <c r="H539" s="16" t="n">
        <f aca="false">INDEX(Products!$D$2:$D$101,MATCH(D539,Products!$A$2:$A$101,0))</f>
        <v>3999</v>
      </c>
      <c r="I539" s="16" t="n">
        <f aca="false">INDEX(Products!$E$2:$E$101,MATCH(D539,Products!$A$2:$A$101,0))</f>
        <v>2800</v>
      </c>
      <c r="J539" s="20" t="n">
        <f aca="false">Orders!F539</f>
        <v>0.2</v>
      </c>
      <c r="K539" s="6" t="n">
        <f aca="false">G539*H539</f>
        <v>7998</v>
      </c>
      <c r="L539" s="6" t="n">
        <f aca="false">K539*J539</f>
        <v>1599.6</v>
      </c>
      <c r="M539" s="6" t="n">
        <f aca="false">K539-L539</f>
        <v>6398.4</v>
      </c>
      <c r="N539" s="6" t="n">
        <f aca="false">G539*I539</f>
        <v>5600</v>
      </c>
      <c r="O539" s="6" t="n">
        <f aca="false">M539-N539</f>
        <v>798.4</v>
      </c>
      <c r="P539" s="21" t="n">
        <f aca="false">IFERROR(O539/M539,0)</f>
        <v>0.124781195298825</v>
      </c>
      <c r="Q539" s="6" t="str">
        <f aca="false">Orders!H539</f>
        <v>Delivered</v>
      </c>
      <c r="R539" s="1" t="str">
        <f aca="false">INDEX(Customers!$C$2:$C$301,MATCH(C539,Customers!$A$2:$A$301,0))</f>
        <v>Kolkata</v>
      </c>
      <c r="S539" s="1" t="str">
        <f aca="false">INDEX(Customers!$E$2:$E$301,MATCH(C539,Customers!$A$2:$A$301,0))</f>
        <v>Returning</v>
      </c>
      <c r="T539" s="6" t="str">
        <f aca="false">Orders!I539</f>
        <v>Mobile App</v>
      </c>
      <c r="U539" s="1" t="str">
        <f aca="false">IF(Q539="Delivered","Completed",IF(Q539="Cancelled","Cancelled",IF(Q539="Returned","Returned","In Progress")))</f>
        <v>Completed</v>
      </c>
      <c r="V539" s="1" t="str">
        <f aca="false">IF(M539&gt;=10000,"High Value",IF(M539&gt;=5000,"Medium Value","Low Value"))</f>
        <v>Medium Value</v>
      </c>
      <c r="W539" s="1" t="str">
        <f aca="false">IF(O539&gt;0,"Profitable",IF(O539=0,"Break-even","Loss"))</f>
        <v>Profitable</v>
      </c>
      <c r="X539" s="1" t="str">
        <f aca="false">IF(Q539="Cancelled","Not Applicable",IF(Q539="Processing","Pending",IF(B539="","Unknown",IF(Orders!J539="","Unknown",IF(Orders!J539&lt;=3,"Fast",IF(Orders!J539&lt;=6,"Standard","Slow"))))))</f>
        <v>Fast</v>
      </c>
      <c r="Y539" s="1" t="n">
        <f aca="false">IF(OR(Q539="Cancelled",Q539="Returned"),0,O539)</f>
        <v>798.4</v>
      </c>
    </row>
    <row r="540" customFormat="false" ht="15" hidden="false" customHeight="false" outlineLevel="0" collapsed="false">
      <c r="A540" s="6" t="str">
        <f aca="false">Orders!A540</f>
        <v>O000539</v>
      </c>
      <c r="B540" s="19" t="n">
        <f aca="false">Orders!B540</f>
        <v>45681</v>
      </c>
      <c r="C540" s="6" t="str">
        <f aca="false">Orders!C540</f>
        <v>C0069</v>
      </c>
      <c r="D540" s="6" t="str">
        <f aca="false">Orders!D540</f>
        <v>P1010</v>
      </c>
      <c r="E540" s="6" t="str">
        <f aca="false">INDEX(Products!$B$2:$B$101,MATCH(D540,Products!$A$2:$A$101,0))</f>
        <v>Webcam</v>
      </c>
      <c r="F540" s="1" t="str">
        <f aca="false">INDEX(Products!$C$2:$C$101,MATCH(D540,Products!$A$2:$A$101,0))</f>
        <v>Electronics</v>
      </c>
      <c r="G540" s="6" t="n">
        <f aca="false">Orders!E540</f>
        <v>2</v>
      </c>
      <c r="H540" s="16" t="n">
        <f aca="false">INDEX(Products!$D$2:$D$101,MATCH(D540,Products!$A$2:$A$101,0))</f>
        <v>1799</v>
      </c>
      <c r="I540" s="16" t="n">
        <f aca="false">INDEX(Products!$E$2:$E$101,MATCH(D540,Products!$A$2:$A$101,0))</f>
        <v>1050</v>
      </c>
      <c r="J540" s="20" t="n">
        <f aca="false">Orders!F540</f>
        <v>0.15</v>
      </c>
      <c r="K540" s="6" t="n">
        <f aca="false">G540*H540</f>
        <v>3598</v>
      </c>
      <c r="L540" s="6" t="n">
        <f aca="false">K540*J540</f>
        <v>539.7</v>
      </c>
      <c r="M540" s="6" t="n">
        <f aca="false">K540-L540</f>
        <v>3058.3</v>
      </c>
      <c r="N540" s="6" t="n">
        <f aca="false">G540*I540</f>
        <v>2100</v>
      </c>
      <c r="O540" s="6" t="n">
        <f aca="false">M540-N540</f>
        <v>958.3</v>
      </c>
      <c r="P540" s="21" t="n">
        <f aca="false">IFERROR(O540/M540,0)</f>
        <v>0.313344014648661</v>
      </c>
      <c r="Q540" s="6" t="str">
        <f aca="false">Orders!H540</f>
        <v>Delivered</v>
      </c>
      <c r="R540" s="1" t="str">
        <f aca="false">INDEX(Customers!$C$2:$C$301,MATCH(C540,Customers!$A$2:$A$301,0))</f>
        <v>Ahmedabad</v>
      </c>
      <c r="S540" s="1" t="str">
        <f aca="false">INDEX(Customers!$E$2:$E$301,MATCH(C540,Customers!$A$2:$A$301,0))</f>
        <v>New</v>
      </c>
      <c r="T540" s="6" t="str">
        <f aca="false">Orders!I540</f>
        <v>Marketplace</v>
      </c>
      <c r="U540" s="1" t="str">
        <f aca="false">IF(Q540="Delivered","Completed",IF(Q540="Cancelled","Cancelled",IF(Q540="Returned","Returned","In Progress")))</f>
        <v>Completed</v>
      </c>
      <c r="V540" s="1" t="str">
        <f aca="false">IF(M540&gt;=10000,"High Value",IF(M540&gt;=5000,"Medium Value","Low Value"))</f>
        <v>Low Value</v>
      </c>
      <c r="W540" s="1" t="str">
        <f aca="false">IF(O540&gt;0,"Profitable",IF(O540=0,"Break-even","Loss"))</f>
        <v>Profitable</v>
      </c>
      <c r="X540" s="1" t="str">
        <f aca="false">IF(Q540="Cancelled","Not Applicable",IF(Q540="Processing","Pending",IF(B540="","Unknown",IF(Orders!J540="","Unknown",IF(Orders!J540&lt;=3,"Fast",IF(Orders!J540&lt;=6,"Standard","Slow"))))))</f>
        <v>Slow</v>
      </c>
      <c r="Y540" s="1" t="n">
        <f aca="false">IF(OR(Q540="Cancelled",Q540="Returned"),0,O540)</f>
        <v>958.3</v>
      </c>
    </row>
    <row r="541" customFormat="false" ht="23.85" hidden="false" customHeight="false" outlineLevel="0" collapsed="false">
      <c r="A541" s="6" t="str">
        <f aca="false">Orders!A541</f>
        <v>O000540</v>
      </c>
      <c r="B541" s="19" t="n">
        <f aca="false">Orders!B541</f>
        <v>46006</v>
      </c>
      <c r="C541" s="6" t="str">
        <f aca="false">Orders!C541</f>
        <v>C0238</v>
      </c>
      <c r="D541" s="6" t="str">
        <f aca="false">Orders!D541</f>
        <v>P1002</v>
      </c>
      <c r="E541" s="6" t="str">
        <f aca="false">INDEX(Products!$B$2:$B$101,MATCH(D541,Products!$A$2:$A$101,0))</f>
        <v>Bluetooth Speaker</v>
      </c>
      <c r="F541" s="1" t="str">
        <f aca="false">INDEX(Products!$C$2:$C$101,MATCH(D541,Products!$A$2:$A$101,0))</f>
        <v>Electronics</v>
      </c>
      <c r="G541" s="6" t="n">
        <f aca="false">Orders!E541</f>
        <v>3</v>
      </c>
      <c r="H541" s="16" t="n">
        <f aca="false">INDEX(Products!$D$2:$D$101,MATCH(D541,Products!$A$2:$A$101,0))</f>
        <v>1499</v>
      </c>
      <c r="I541" s="16" t="n">
        <f aca="false">INDEX(Products!$E$2:$E$101,MATCH(D541,Products!$A$2:$A$101,0))</f>
        <v>850</v>
      </c>
      <c r="J541" s="20" t="n">
        <f aca="false">Orders!F541</f>
        <v>0.15</v>
      </c>
      <c r="K541" s="6" t="n">
        <f aca="false">G541*H541</f>
        <v>4497</v>
      </c>
      <c r="L541" s="6" t="n">
        <f aca="false">K541*J541</f>
        <v>674.55</v>
      </c>
      <c r="M541" s="6" t="n">
        <f aca="false">K541-L541</f>
        <v>3822.45</v>
      </c>
      <c r="N541" s="6" t="n">
        <f aca="false">G541*I541</f>
        <v>2550</v>
      </c>
      <c r="O541" s="6" t="n">
        <f aca="false">M541-N541</f>
        <v>1272.45</v>
      </c>
      <c r="P541" s="21" t="n">
        <f aca="false">IFERROR(O541/M541,0)</f>
        <v>0.33288859239493</v>
      </c>
      <c r="Q541" s="6" t="str">
        <f aca="false">Orders!H541</f>
        <v>Delivered</v>
      </c>
      <c r="R541" s="1" t="str">
        <f aca="false">INDEX(Customers!$C$2:$C$301,MATCH(C541,Customers!$A$2:$A$301,0))</f>
        <v>Nagpur</v>
      </c>
      <c r="S541" s="1" t="str">
        <f aca="false">INDEX(Customers!$E$2:$E$301,MATCH(C541,Customers!$A$2:$A$301,0))</f>
        <v>Returning</v>
      </c>
      <c r="T541" s="6" t="str">
        <f aca="false">Orders!I541</f>
        <v>Marketplace</v>
      </c>
      <c r="U541" s="1" t="str">
        <f aca="false">IF(Q541="Delivered","Completed",IF(Q541="Cancelled","Cancelled",IF(Q541="Returned","Returned","In Progress")))</f>
        <v>Completed</v>
      </c>
      <c r="V541" s="1" t="str">
        <f aca="false">IF(M541&gt;=10000,"High Value",IF(M541&gt;=5000,"Medium Value","Low Value"))</f>
        <v>Low Value</v>
      </c>
      <c r="W541" s="1" t="str">
        <f aca="false">IF(O541&gt;0,"Profitable",IF(O541=0,"Break-even","Loss"))</f>
        <v>Profitable</v>
      </c>
      <c r="X541" s="1" t="str">
        <f aca="false">IF(Q541="Cancelled","Not Applicable",IF(Q541="Processing","Pending",IF(B541="","Unknown",IF(Orders!J541="","Unknown",IF(Orders!J541&lt;=3,"Fast",IF(Orders!J541&lt;=6,"Standard","Slow"))))))</f>
        <v>Fast</v>
      </c>
      <c r="Y541" s="1" t="n">
        <f aca="false">IF(OR(Q541="Cancelled",Q541="Returned"),0,O541)</f>
        <v>1272.45</v>
      </c>
    </row>
    <row r="542" customFormat="false" ht="23.85" hidden="false" customHeight="false" outlineLevel="0" collapsed="false">
      <c r="A542" s="6" t="str">
        <f aca="false">Orders!A542</f>
        <v>O000541</v>
      </c>
      <c r="B542" s="19" t="n">
        <f aca="false">Orders!B542</f>
        <v>46022</v>
      </c>
      <c r="C542" s="6" t="str">
        <f aca="false">Orders!C542</f>
        <v>C0142</v>
      </c>
      <c r="D542" s="6" t="str">
        <f aca="false">Orders!D542</f>
        <v>P1070</v>
      </c>
      <c r="E542" s="6" t="str">
        <f aca="false">INDEX(Products!$B$2:$B$101,MATCH(D542,Products!$A$2:$A$101,0))</f>
        <v>Knee Support Pair</v>
      </c>
      <c r="F542" s="1" t="str">
        <f aca="false">INDEX(Products!$C$2:$C$101,MATCH(D542,Products!$A$2:$A$101,0))</f>
        <v>Sports &amp; Outdoors</v>
      </c>
      <c r="G542" s="6" t="n">
        <f aca="false">Orders!E542</f>
        <v>1</v>
      </c>
      <c r="H542" s="16" t="n">
        <f aca="false">INDEX(Products!$D$2:$D$101,MATCH(D542,Products!$A$2:$A$101,0))</f>
        <v>449</v>
      </c>
      <c r="I542" s="16" t="n">
        <f aca="false">INDEX(Products!$E$2:$E$101,MATCH(D542,Products!$A$2:$A$101,0))</f>
        <v>180</v>
      </c>
      <c r="J542" s="20" t="n">
        <f aca="false">Orders!F542</f>
        <v>0</v>
      </c>
      <c r="K542" s="6" t="n">
        <f aca="false">G542*H542</f>
        <v>449</v>
      </c>
      <c r="L542" s="6" t="n">
        <f aca="false">K542*J542</f>
        <v>0</v>
      </c>
      <c r="M542" s="6" t="n">
        <f aca="false">K542-L542</f>
        <v>449</v>
      </c>
      <c r="N542" s="6" t="n">
        <f aca="false">G542*I542</f>
        <v>180</v>
      </c>
      <c r="O542" s="6" t="n">
        <f aca="false">M542-N542</f>
        <v>269</v>
      </c>
      <c r="P542" s="21" t="n">
        <f aca="false">IFERROR(O542/M542,0)</f>
        <v>0.599109131403118</v>
      </c>
      <c r="Q542" s="6" t="str">
        <f aca="false">Orders!H542</f>
        <v>Delivered</v>
      </c>
      <c r="R542" s="1" t="str">
        <f aca="false">INDEX(Customers!$C$2:$C$301,MATCH(C542,Customers!$A$2:$A$301,0))</f>
        <v>Mumbai</v>
      </c>
      <c r="S542" s="1" t="str">
        <f aca="false">INDEX(Customers!$E$2:$E$301,MATCH(C542,Customers!$A$2:$A$301,0))</f>
        <v>VIP</v>
      </c>
      <c r="T542" s="6" t="str">
        <f aca="false">Orders!I542</f>
        <v>Mobile App</v>
      </c>
      <c r="U542" s="1" t="str">
        <f aca="false">IF(Q542="Delivered","Completed",IF(Q542="Cancelled","Cancelled",IF(Q542="Returned","Returned","In Progress")))</f>
        <v>Completed</v>
      </c>
      <c r="V542" s="1" t="str">
        <f aca="false">IF(M542&gt;=10000,"High Value",IF(M542&gt;=5000,"Medium Value","Low Value"))</f>
        <v>Low Value</v>
      </c>
      <c r="W542" s="1" t="str">
        <f aca="false">IF(O542&gt;0,"Profitable",IF(O542=0,"Break-even","Loss"))</f>
        <v>Profitable</v>
      </c>
      <c r="X542" s="1" t="str">
        <f aca="false">IF(Q542="Cancelled","Not Applicable",IF(Q542="Processing","Pending",IF(B542="","Unknown",IF(Orders!J542="","Unknown",IF(Orders!J542&lt;=3,"Fast",IF(Orders!J542&lt;=6,"Standard","Slow"))))))</f>
        <v>Fast</v>
      </c>
      <c r="Y542" s="1" t="n">
        <f aca="false">IF(OR(Q542="Cancelled",Q542="Returned"),0,O542)</f>
        <v>269</v>
      </c>
    </row>
    <row r="543" customFormat="false" ht="15" hidden="false" customHeight="false" outlineLevel="0" collapsed="false">
      <c r="A543" s="6" t="str">
        <f aca="false">Orders!A543</f>
        <v>O000542</v>
      </c>
      <c r="B543" s="19" t="n">
        <f aca="false">Orders!B543</f>
        <v>45796</v>
      </c>
      <c r="C543" s="6" t="str">
        <f aca="false">Orders!C543</f>
        <v>C0090</v>
      </c>
      <c r="D543" s="6" t="str">
        <f aca="false">Orders!D543</f>
        <v>P1017</v>
      </c>
      <c r="E543" s="6" t="str">
        <f aca="false">INDEX(Products!$B$2:$B$101,MATCH(D543,Products!$A$2:$A$101,0))</f>
        <v>Denim Jeans</v>
      </c>
      <c r="F543" s="1" t="str">
        <f aca="false">INDEX(Products!$C$2:$C$101,MATCH(D543,Products!$A$2:$A$101,0))</f>
        <v>Fashion</v>
      </c>
      <c r="G543" s="6" t="n">
        <f aca="false">Orders!E543</f>
        <v>1</v>
      </c>
      <c r="H543" s="16" t="n">
        <f aca="false">INDEX(Products!$D$2:$D$101,MATCH(D543,Products!$A$2:$A$101,0))</f>
        <v>1299</v>
      </c>
      <c r="I543" s="16" t="n">
        <f aca="false">INDEX(Products!$E$2:$E$101,MATCH(D543,Products!$A$2:$A$101,0))</f>
        <v>650</v>
      </c>
      <c r="J543" s="20" t="n">
        <f aca="false">Orders!F543</f>
        <v>0.05</v>
      </c>
      <c r="K543" s="6" t="n">
        <f aca="false">G543*H543</f>
        <v>1299</v>
      </c>
      <c r="L543" s="6" t="n">
        <f aca="false">K543*J543</f>
        <v>64.95</v>
      </c>
      <c r="M543" s="6" t="n">
        <f aca="false">K543-L543</f>
        <v>1234.05</v>
      </c>
      <c r="N543" s="6" t="n">
        <f aca="false">G543*I543</f>
        <v>650</v>
      </c>
      <c r="O543" s="6" t="n">
        <f aca="false">M543-N543</f>
        <v>584.05</v>
      </c>
      <c r="P543" s="21" t="n">
        <f aca="false">IFERROR(O543/M543,0)</f>
        <v>0.473279040557514</v>
      </c>
      <c r="Q543" s="6" t="str">
        <f aca="false">Orders!H543</f>
        <v>Delivered</v>
      </c>
      <c r="R543" s="1" t="str">
        <f aca="false">INDEX(Customers!$C$2:$C$301,MATCH(C543,Customers!$A$2:$A$301,0))</f>
        <v>Lucknow</v>
      </c>
      <c r="S543" s="1" t="str">
        <f aca="false">INDEX(Customers!$E$2:$E$301,MATCH(C543,Customers!$A$2:$A$301,0))</f>
        <v>New</v>
      </c>
      <c r="T543" s="6" t="str">
        <f aca="false">Orders!I543</f>
        <v>Website</v>
      </c>
      <c r="U543" s="1" t="str">
        <f aca="false">IF(Q543="Delivered","Completed",IF(Q543="Cancelled","Cancelled",IF(Q543="Returned","Returned","In Progress")))</f>
        <v>Completed</v>
      </c>
      <c r="V543" s="1" t="str">
        <f aca="false">IF(M543&gt;=10000,"High Value",IF(M543&gt;=5000,"Medium Value","Low Value"))</f>
        <v>Low Value</v>
      </c>
      <c r="W543" s="1" t="str">
        <f aca="false">IF(O543&gt;0,"Profitable",IF(O543=0,"Break-even","Loss"))</f>
        <v>Profitable</v>
      </c>
      <c r="X543" s="1" t="str">
        <f aca="false">IF(Q543="Cancelled","Not Applicable",IF(Q543="Processing","Pending",IF(B543="","Unknown",IF(Orders!J543="","Unknown",IF(Orders!J543&lt;=3,"Fast",IF(Orders!J543&lt;=6,"Standard","Slow"))))))</f>
        <v>Standard</v>
      </c>
      <c r="Y543" s="1" t="n">
        <f aca="false">IF(OR(Q543="Cancelled",Q543="Returned"),0,O543)</f>
        <v>584.05</v>
      </c>
    </row>
    <row r="544" customFormat="false" ht="15" hidden="false" customHeight="false" outlineLevel="0" collapsed="false">
      <c r="A544" s="6" t="str">
        <f aca="false">Orders!A544</f>
        <v>O000543</v>
      </c>
      <c r="B544" s="19" t="n">
        <f aca="false">Orders!B544</f>
        <v>45811</v>
      </c>
      <c r="C544" s="6" t="str">
        <f aca="false">Orders!C544</f>
        <v>C0083</v>
      </c>
      <c r="D544" s="6" t="str">
        <f aca="false">Orders!D544</f>
        <v>P1024</v>
      </c>
      <c r="E544" s="6" t="str">
        <f aca="false">INDEX(Products!$B$2:$B$101,MATCH(D544,Products!$A$2:$A$101,0))</f>
        <v>Kurta</v>
      </c>
      <c r="F544" s="1" t="str">
        <f aca="false">INDEX(Products!$C$2:$C$101,MATCH(D544,Products!$A$2:$A$101,0))</f>
        <v>Fashion</v>
      </c>
      <c r="G544" s="6" t="n">
        <f aca="false">Orders!E544</f>
        <v>2</v>
      </c>
      <c r="H544" s="16" t="n">
        <f aca="false">INDEX(Products!$D$2:$D$101,MATCH(D544,Products!$A$2:$A$101,0))</f>
        <v>999</v>
      </c>
      <c r="I544" s="16" t="n">
        <f aca="false">INDEX(Products!$E$2:$E$101,MATCH(D544,Products!$A$2:$A$101,0))</f>
        <v>450</v>
      </c>
      <c r="J544" s="20" t="n">
        <f aca="false">Orders!F544</f>
        <v>0</v>
      </c>
      <c r="K544" s="6" t="n">
        <f aca="false">G544*H544</f>
        <v>1998</v>
      </c>
      <c r="L544" s="6" t="n">
        <f aca="false">K544*J544</f>
        <v>0</v>
      </c>
      <c r="M544" s="6" t="n">
        <f aca="false">K544-L544</f>
        <v>1998</v>
      </c>
      <c r="N544" s="6" t="n">
        <f aca="false">G544*I544</f>
        <v>900</v>
      </c>
      <c r="O544" s="6" t="n">
        <f aca="false">M544-N544</f>
        <v>1098</v>
      </c>
      <c r="P544" s="21" t="n">
        <f aca="false">IFERROR(O544/M544,0)</f>
        <v>0.54954954954955</v>
      </c>
      <c r="Q544" s="6" t="str">
        <f aca="false">Orders!H544</f>
        <v>Delivered</v>
      </c>
      <c r="R544" s="1" t="str">
        <f aca="false">INDEX(Customers!$C$2:$C$301,MATCH(C544,Customers!$A$2:$A$301,0))</f>
        <v>Bengaluru</v>
      </c>
      <c r="S544" s="1" t="str">
        <f aca="false">INDEX(Customers!$E$2:$E$301,MATCH(C544,Customers!$A$2:$A$301,0))</f>
        <v>VIP</v>
      </c>
      <c r="T544" s="6" t="str">
        <f aca="false">Orders!I544</f>
        <v>Mobile App</v>
      </c>
      <c r="U544" s="1" t="str">
        <f aca="false">IF(Q544="Delivered","Completed",IF(Q544="Cancelled","Cancelled",IF(Q544="Returned","Returned","In Progress")))</f>
        <v>Completed</v>
      </c>
      <c r="V544" s="1" t="str">
        <f aca="false">IF(M544&gt;=10000,"High Value",IF(M544&gt;=5000,"Medium Value","Low Value"))</f>
        <v>Low Value</v>
      </c>
      <c r="W544" s="1" t="str">
        <f aca="false">IF(O544&gt;0,"Profitable",IF(O544=0,"Break-even","Loss"))</f>
        <v>Profitable</v>
      </c>
      <c r="X544" s="1" t="str">
        <f aca="false">IF(Q544="Cancelled","Not Applicable",IF(Q544="Processing","Pending",IF(B544="","Unknown",IF(Orders!J544="","Unknown",IF(Orders!J544&lt;=3,"Fast",IF(Orders!J544&lt;=6,"Standard","Slow"))))))</f>
        <v>Fast</v>
      </c>
      <c r="Y544" s="1" t="n">
        <f aca="false">IF(OR(Q544="Cancelled",Q544="Returned"),0,O544)</f>
        <v>1098</v>
      </c>
    </row>
    <row r="545" customFormat="false" ht="15" hidden="false" customHeight="false" outlineLevel="0" collapsed="false">
      <c r="A545" s="6" t="str">
        <f aca="false">Orders!A545</f>
        <v>O000544</v>
      </c>
      <c r="B545" s="19" t="n">
        <f aca="false">Orders!B545</f>
        <v>45719</v>
      </c>
      <c r="C545" s="6" t="str">
        <f aca="false">Orders!C545</f>
        <v>C0085</v>
      </c>
      <c r="D545" s="6" t="str">
        <f aca="false">Orders!D545</f>
        <v>P1067</v>
      </c>
      <c r="E545" s="6" t="str">
        <f aca="false">INDEX(Products!$B$2:$B$101,MATCH(D545,Products!$A$2:$A$101,0))</f>
        <v>Camping Torch</v>
      </c>
      <c r="F545" s="1" t="str">
        <f aca="false">INDEX(Products!$C$2:$C$101,MATCH(D545,Products!$A$2:$A$101,0))</f>
        <v>Sports &amp; Outdoors</v>
      </c>
      <c r="G545" s="6" t="n">
        <f aca="false">Orders!E545</f>
        <v>2</v>
      </c>
      <c r="H545" s="16" t="n">
        <f aca="false">INDEX(Products!$D$2:$D$101,MATCH(D545,Products!$A$2:$A$101,0))</f>
        <v>599</v>
      </c>
      <c r="I545" s="16" t="n">
        <f aca="false">INDEX(Products!$E$2:$E$101,MATCH(D545,Products!$A$2:$A$101,0))</f>
        <v>250</v>
      </c>
      <c r="J545" s="20" t="n">
        <f aca="false">Orders!F545</f>
        <v>0.15</v>
      </c>
      <c r="K545" s="6" t="n">
        <f aca="false">G545*H545</f>
        <v>1198</v>
      </c>
      <c r="L545" s="6" t="n">
        <f aca="false">K545*J545</f>
        <v>179.7</v>
      </c>
      <c r="M545" s="6" t="n">
        <f aca="false">K545-L545</f>
        <v>1018.3</v>
      </c>
      <c r="N545" s="6" t="n">
        <f aca="false">G545*I545</f>
        <v>500</v>
      </c>
      <c r="O545" s="6" t="n">
        <f aca="false">M545-N545</f>
        <v>518.3</v>
      </c>
      <c r="P545" s="21" t="n">
        <f aca="false">IFERROR(O545/M545,0)</f>
        <v>0.508985564175587</v>
      </c>
      <c r="Q545" s="6" t="str">
        <f aca="false">Orders!H545</f>
        <v>Returned</v>
      </c>
      <c r="R545" s="1" t="str">
        <f aca="false">INDEX(Customers!$C$2:$C$301,MATCH(C545,Customers!$A$2:$A$301,0))</f>
        <v>Chennai</v>
      </c>
      <c r="S545" s="1" t="str">
        <f aca="false">INDEX(Customers!$E$2:$E$301,MATCH(C545,Customers!$A$2:$A$301,0))</f>
        <v>VIP</v>
      </c>
      <c r="T545" s="6" t="str">
        <f aca="false">Orders!I545</f>
        <v>Mobile App</v>
      </c>
      <c r="U545" s="1" t="str">
        <f aca="false">IF(Q545="Delivered","Completed",IF(Q545="Cancelled","Cancelled",IF(Q545="Returned","Returned","In Progress")))</f>
        <v>Returned</v>
      </c>
      <c r="V545" s="1" t="str">
        <f aca="false">IF(M545&gt;=10000,"High Value",IF(M545&gt;=5000,"Medium Value","Low Value"))</f>
        <v>Low Value</v>
      </c>
      <c r="W545" s="1" t="str">
        <f aca="false">IF(O545&gt;0,"Profitable",IF(O545=0,"Break-even","Loss"))</f>
        <v>Profitable</v>
      </c>
      <c r="X545" s="1" t="str">
        <f aca="false">IF(Q545="Cancelled","Not Applicable",IF(Q545="Processing","Pending",IF(B545="","Unknown",IF(Orders!J545="","Unknown",IF(Orders!J545&lt;=3,"Fast",IF(Orders!J545&lt;=6,"Standard","Slow"))))))</f>
        <v>Standard</v>
      </c>
      <c r="Y545" s="1" t="n">
        <f aca="false">IF(OR(Q545="Cancelled",Q545="Returned"),0,O545)</f>
        <v>0</v>
      </c>
    </row>
    <row r="546" customFormat="false" ht="23.85" hidden="false" customHeight="false" outlineLevel="0" collapsed="false">
      <c r="A546" s="6" t="str">
        <f aca="false">Orders!A546</f>
        <v>O000545</v>
      </c>
      <c r="B546" s="19" t="n">
        <f aca="false">Orders!B546</f>
        <v>45818</v>
      </c>
      <c r="C546" s="6" t="str">
        <f aca="false">Orders!C546</f>
        <v>C0258</v>
      </c>
      <c r="D546" s="6" t="str">
        <f aca="false">Orders!D546</f>
        <v>P1093</v>
      </c>
      <c r="E546" s="6" t="str">
        <f aca="false">INDEX(Products!$B$2:$B$101,MATCH(D546,Products!$A$2:$A$101,0))</f>
        <v>Induction Cooktop</v>
      </c>
      <c r="F546" s="1" t="str">
        <f aca="false">INDEX(Products!$C$2:$C$101,MATCH(D546,Products!$A$2:$A$101,0))</f>
        <v>Appliances</v>
      </c>
      <c r="G546" s="6" t="n">
        <f aca="false">Orders!E546</f>
        <v>1</v>
      </c>
      <c r="H546" s="16" t="n">
        <f aca="false">INDEX(Products!$D$2:$D$101,MATCH(D546,Products!$A$2:$A$101,0))</f>
        <v>2299</v>
      </c>
      <c r="I546" s="16" t="n">
        <f aca="false">INDEX(Products!$E$2:$E$101,MATCH(D546,Products!$A$2:$A$101,0))</f>
        <v>1450</v>
      </c>
      <c r="J546" s="20" t="n">
        <f aca="false">Orders!F546</f>
        <v>0</v>
      </c>
      <c r="K546" s="6" t="n">
        <f aca="false">G546*H546</f>
        <v>2299</v>
      </c>
      <c r="L546" s="6" t="n">
        <f aca="false">K546*J546</f>
        <v>0</v>
      </c>
      <c r="M546" s="6" t="n">
        <f aca="false">K546-L546</f>
        <v>2299</v>
      </c>
      <c r="N546" s="6" t="n">
        <f aca="false">G546*I546</f>
        <v>1450</v>
      </c>
      <c r="O546" s="6" t="n">
        <f aca="false">M546-N546</f>
        <v>849</v>
      </c>
      <c r="P546" s="21" t="n">
        <f aca="false">IFERROR(O546/M546,0)</f>
        <v>0.369290996085254</v>
      </c>
      <c r="Q546" s="6" t="str">
        <f aca="false">Orders!H546</f>
        <v>Delivered</v>
      </c>
      <c r="R546" s="1" t="str">
        <f aca="false">INDEX(Customers!$C$2:$C$301,MATCH(C546,Customers!$A$2:$A$301,0))</f>
        <v>Nagpur</v>
      </c>
      <c r="S546" s="1" t="str">
        <f aca="false">INDEX(Customers!$E$2:$E$301,MATCH(C546,Customers!$A$2:$A$301,0))</f>
        <v>New</v>
      </c>
      <c r="T546" s="6" t="str">
        <f aca="false">Orders!I546</f>
        <v>Mobile App</v>
      </c>
      <c r="U546" s="1" t="str">
        <f aca="false">IF(Q546="Delivered","Completed",IF(Q546="Cancelled","Cancelled",IF(Q546="Returned","Returned","In Progress")))</f>
        <v>Completed</v>
      </c>
      <c r="V546" s="1" t="str">
        <f aca="false">IF(M546&gt;=10000,"High Value",IF(M546&gt;=5000,"Medium Value","Low Value"))</f>
        <v>Low Value</v>
      </c>
      <c r="W546" s="1" t="str">
        <f aca="false">IF(O546&gt;0,"Profitable",IF(O546=0,"Break-even","Loss"))</f>
        <v>Profitable</v>
      </c>
      <c r="X546" s="1" t="str">
        <f aca="false">IF(Q546="Cancelled","Not Applicable",IF(Q546="Processing","Pending",IF(B546="","Unknown",IF(Orders!J546="","Unknown",IF(Orders!J546&lt;=3,"Fast",IF(Orders!J546&lt;=6,"Standard","Slow"))))))</f>
        <v>Fast</v>
      </c>
      <c r="Y546" s="1" t="n">
        <f aca="false">IF(OR(Q546="Cancelled",Q546="Returned"),0,O546)</f>
        <v>849</v>
      </c>
    </row>
    <row r="547" customFormat="false" ht="15" hidden="false" customHeight="false" outlineLevel="0" collapsed="false">
      <c r="A547" s="6" t="str">
        <f aca="false">Orders!A547</f>
        <v>O000546</v>
      </c>
      <c r="B547" s="19" t="n">
        <f aca="false">Orders!B547</f>
        <v>45750</v>
      </c>
      <c r="C547" s="6" t="str">
        <f aca="false">Orders!C547</f>
        <v>C0035</v>
      </c>
      <c r="D547" s="6" t="str">
        <f aca="false">Orders!D547</f>
        <v>P1064</v>
      </c>
      <c r="E547" s="6" t="str">
        <f aca="false">INDEX(Products!$B$2:$B$101,MATCH(D547,Products!$A$2:$A$101,0))</f>
        <v>Football</v>
      </c>
      <c r="F547" s="1" t="str">
        <f aca="false">INDEX(Products!$C$2:$C$101,MATCH(D547,Products!$A$2:$A$101,0))</f>
        <v>Sports &amp; Outdoors</v>
      </c>
      <c r="G547" s="6" t="n">
        <f aca="false">Orders!E547</f>
        <v>4</v>
      </c>
      <c r="H547" s="16" t="n">
        <f aca="false">INDEX(Products!$D$2:$D$101,MATCH(D547,Products!$A$2:$A$101,0))</f>
        <v>699</v>
      </c>
      <c r="I547" s="16" t="n">
        <f aca="false">INDEX(Products!$E$2:$E$101,MATCH(D547,Products!$A$2:$A$101,0))</f>
        <v>300</v>
      </c>
      <c r="J547" s="20" t="n">
        <f aca="false">Orders!F547</f>
        <v>0.05</v>
      </c>
      <c r="K547" s="6" t="n">
        <f aca="false">G547*H547</f>
        <v>2796</v>
      </c>
      <c r="L547" s="6" t="n">
        <f aca="false">K547*J547</f>
        <v>139.8</v>
      </c>
      <c r="M547" s="6" t="n">
        <f aca="false">K547-L547</f>
        <v>2656.2</v>
      </c>
      <c r="N547" s="6" t="n">
        <f aca="false">G547*I547</f>
        <v>1200</v>
      </c>
      <c r="O547" s="6" t="n">
        <f aca="false">M547-N547</f>
        <v>1456.2</v>
      </c>
      <c r="P547" s="21" t="n">
        <f aca="false">IFERROR(O547/M547,0)</f>
        <v>0.548226790151344</v>
      </c>
      <c r="Q547" s="6" t="str">
        <f aca="false">Orders!H547</f>
        <v>Delivered</v>
      </c>
      <c r="R547" s="1" t="str">
        <f aca="false">INDEX(Customers!$C$2:$C$301,MATCH(C547,Customers!$A$2:$A$301,0))</f>
        <v>Bhopal</v>
      </c>
      <c r="S547" s="1" t="str">
        <f aca="false">INDEX(Customers!$E$2:$E$301,MATCH(C547,Customers!$A$2:$A$301,0))</f>
        <v>Returning</v>
      </c>
      <c r="T547" s="6" t="str">
        <f aca="false">Orders!I547</f>
        <v>Mobile App</v>
      </c>
      <c r="U547" s="1" t="str">
        <f aca="false">IF(Q547="Delivered","Completed",IF(Q547="Cancelled","Cancelled",IF(Q547="Returned","Returned","In Progress")))</f>
        <v>Completed</v>
      </c>
      <c r="V547" s="1" t="str">
        <f aca="false">IF(M547&gt;=10000,"High Value",IF(M547&gt;=5000,"Medium Value","Low Value"))</f>
        <v>Low Value</v>
      </c>
      <c r="W547" s="1" t="str">
        <f aca="false">IF(O547&gt;0,"Profitable",IF(O547=0,"Break-even","Loss"))</f>
        <v>Profitable</v>
      </c>
      <c r="X547" s="1" t="str">
        <f aca="false">IF(Q547="Cancelled","Not Applicable",IF(Q547="Processing","Pending",IF(B547="","Unknown",IF(Orders!J547="","Unknown",IF(Orders!J547&lt;=3,"Fast",IF(Orders!J547&lt;=6,"Standard","Slow"))))))</f>
        <v>Fast</v>
      </c>
      <c r="Y547" s="1" t="n">
        <f aca="false">IF(OR(Q547="Cancelled",Q547="Returned"),0,O547)</f>
        <v>1456.2</v>
      </c>
    </row>
    <row r="548" customFormat="false" ht="15" hidden="false" customHeight="false" outlineLevel="0" collapsed="false">
      <c r="A548" s="6" t="str">
        <f aca="false">Orders!A548</f>
        <v>O000547</v>
      </c>
      <c r="B548" s="19" t="n">
        <f aca="false">Orders!B548</f>
        <v>45984</v>
      </c>
      <c r="C548" s="6" t="str">
        <f aca="false">Orders!C548</f>
        <v>C0005</v>
      </c>
      <c r="D548" s="6" t="str">
        <f aca="false">Orders!D548</f>
        <v>P1036</v>
      </c>
      <c r="E548" s="6" t="str">
        <f aca="false">INDEX(Products!$B$2:$B$101,MATCH(D548,Products!$A$2:$A$101,0))</f>
        <v>Dinner Set</v>
      </c>
      <c r="F548" s="1" t="str">
        <f aca="false">INDEX(Products!$C$2:$C$101,MATCH(D548,Products!$A$2:$A$101,0))</f>
        <v>Home &amp; Kitchen</v>
      </c>
      <c r="G548" s="6" t="n">
        <f aca="false">Orders!E548</f>
        <v>1</v>
      </c>
      <c r="H548" s="16" t="n">
        <f aca="false">INDEX(Products!$D$2:$D$101,MATCH(D548,Products!$A$2:$A$101,0))</f>
        <v>1499</v>
      </c>
      <c r="I548" s="16" t="n">
        <f aca="false">INDEX(Products!$E$2:$E$101,MATCH(D548,Products!$A$2:$A$101,0))</f>
        <v>800</v>
      </c>
      <c r="J548" s="20" t="n">
        <f aca="false">Orders!F548</f>
        <v>0</v>
      </c>
      <c r="K548" s="6" t="n">
        <f aca="false">G548*H548</f>
        <v>1499</v>
      </c>
      <c r="L548" s="6" t="n">
        <f aca="false">K548*J548</f>
        <v>0</v>
      </c>
      <c r="M548" s="6" t="n">
        <f aca="false">K548-L548</f>
        <v>1499</v>
      </c>
      <c r="N548" s="6" t="n">
        <f aca="false">G548*I548</f>
        <v>800</v>
      </c>
      <c r="O548" s="6" t="n">
        <f aca="false">M548-N548</f>
        <v>699</v>
      </c>
      <c r="P548" s="21" t="n">
        <f aca="false">IFERROR(O548/M548,0)</f>
        <v>0.466310873915944</v>
      </c>
      <c r="Q548" s="6" t="str">
        <f aca="false">Orders!H548</f>
        <v>Delivered</v>
      </c>
      <c r="R548" s="1" t="str">
        <f aca="false">INDEX(Customers!$C$2:$C$301,MATCH(C548,Customers!$A$2:$A$301,0))</f>
        <v>Chennai</v>
      </c>
      <c r="S548" s="1" t="str">
        <f aca="false">INDEX(Customers!$E$2:$E$301,MATCH(C548,Customers!$A$2:$A$301,0))</f>
        <v>Returning</v>
      </c>
      <c r="T548" s="6" t="str">
        <f aca="false">Orders!I548</f>
        <v>Mobile App</v>
      </c>
      <c r="U548" s="1" t="str">
        <f aca="false">IF(Q548="Delivered","Completed",IF(Q548="Cancelled","Cancelled",IF(Q548="Returned","Returned","In Progress")))</f>
        <v>Completed</v>
      </c>
      <c r="V548" s="1" t="str">
        <f aca="false">IF(M548&gt;=10000,"High Value",IF(M548&gt;=5000,"Medium Value","Low Value"))</f>
        <v>Low Value</v>
      </c>
      <c r="W548" s="1" t="str">
        <f aca="false">IF(O548&gt;0,"Profitable",IF(O548=0,"Break-even","Loss"))</f>
        <v>Profitable</v>
      </c>
      <c r="X548" s="1" t="str">
        <f aca="false">IF(Q548="Cancelled","Not Applicable",IF(Q548="Processing","Pending",IF(B548="","Unknown",IF(Orders!J548="","Unknown",IF(Orders!J548&lt;=3,"Fast",IF(Orders!J548&lt;=6,"Standard","Slow"))))))</f>
        <v>Standard</v>
      </c>
      <c r="Y548" s="1" t="n">
        <f aca="false">IF(OR(Q548="Cancelled",Q548="Returned"),0,O548)</f>
        <v>699</v>
      </c>
    </row>
    <row r="549" customFormat="false" ht="15" hidden="false" customHeight="false" outlineLevel="0" collapsed="false">
      <c r="A549" s="6" t="str">
        <f aca="false">Orders!A549</f>
        <v>O000548</v>
      </c>
      <c r="B549" s="19" t="n">
        <f aca="false">Orders!B549</f>
        <v>45701</v>
      </c>
      <c r="C549" s="6" t="str">
        <f aca="false">Orders!C549</f>
        <v>C0065</v>
      </c>
      <c r="D549" s="6" t="str">
        <f aca="false">Orders!D549</f>
        <v>P1090</v>
      </c>
      <c r="E549" s="6" t="str">
        <f aca="false">INDEX(Products!$B$2:$B$101,MATCH(D549,Products!$A$2:$A$101,0))</f>
        <v>Toaster</v>
      </c>
      <c r="F549" s="1" t="str">
        <f aca="false">INDEX(Products!$C$2:$C$101,MATCH(D549,Products!$A$2:$A$101,0))</f>
        <v>Appliances</v>
      </c>
      <c r="G549" s="6" t="n">
        <f aca="false">Orders!E549</f>
        <v>2</v>
      </c>
      <c r="H549" s="16" t="n">
        <f aca="false">INDEX(Products!$D$2:$D$101,MATCH(D549,Products!$A$2:$A$101,0))</f>
        <v>1499</v>
      </c>
      <c r="I549" s="16" t="n">
        <f aca="false">INDEX(Products!$E$2:$E$101,MATCH(D549,Products!$A$2:$A$101,0))</f>
        <v>900</v>
      </c>
      <c r="J549" s="20" t="n">
        <f aca="false">Orders!F549</f>
        <v>0.05</v>
      </c>
      <c r="K549" s="6" t="n">
        <f aca="false">G549*H549</f>
        <v>2998</v>
      </c>
      <c r="L549" s="6" t="n">
        <f aca="false">K549*J549</f>
        <v>149.9</v>
      </c>
      <c r="M549" s="6" t="n">
        <f aca="false">K549-L549</f>
        <v>2848.1</v>
      </c>
      <c r="N549" s="6" t="n">
        <f aca="false">G549*I549</f>
        <v>1800</v>
      </c>
      <c r="O549" s="6" t="n">
        <f aca="false">M549-N549</f>
        <v>1048.1</v>
      </c>
      <c r="P549" s="21" t="n">
        <f aca="false">IFERROR(O549/M549,0)</f>
        <v>0.367999719110986</v>
      </c>
      <c r="Q549" s="6" t="str">
        <f aca="false">Orders!H549</f>
        <v>Delivered</v>
      </c>
      <c r="R549" s="1" t="str">
        <f aca="false">INDEX(Customers!$C$2:$C$301,MATCH(C549,Customers!$A$2:$A$301,0))</f>
        <v>Chennai</v>
      </c>
      <c r="S549" s="1" t="str">
        <f aca="false">INDEX(Customers!$E$2:$E$301,MATCH(C549,Customers!$A$2:$A$301,0))</f>
        <v>Returning</v>
      </c>
      <c r="T549" s="6" t="str">
        <f aca="false">Orders!I549</f>
        <v>Marketplace</v>
      </c>
      <c r="U549" s="1" t="str">
        <f aca="false">IF(Q549="Delivered","Completed",IF(Q549="Cancelled","Cancelled",IF(Q549="Returned","Returned","In Progress")))</f>
        <v>Completed</v>
      </c>
      <c r="V549" s="1" t="str">
        <f aca="false">IF(M549&gt;=10000,"High Value",IF(M549&gt;=5000,"Medium Value","Low Value"))</f>
        <v>Low Value</v>
      </c>
      <c r="W549" s="1" t="str">
        <f aca="false">IF(O549&gt;0,"Profitable",IF(O549=0,"Break-even","Loss"))</f>
        <v>Profitable</v>
      </c>
      <c r="X549" s="1" t="str">
        <f aca="false">IF(Q549="Cancelled","Not Applicable",IF(Q549="Processing","Pending",IF(B549="","Unknown",IF(Orders!J549="","Unknown",IF(Orders!J549&lt;=3,"Fast",IF(Orders!J549&lt;=6,"Standard","Slow"))))))</f>
        <v>Slow</v>
      </c>
      <c r="Y549" s="1" t="n">
        <f aca="false">IF(OR(Q549="Cancelled",Q549="Returned"),0,O549)</f>
        <v>1048.1</v>
      </c>
    </row>
    <row r="550" customFormat="false" ht="15" hidden="false" customHeight="false" outlineLevel="0" collapsed="false">
      <c r="A550" s="6" t="str">
        <f aca="false">Orders!A550</f>
        <v>O000549</v>
      </c>
      <c r="B550" s="19" t="n">
        <f aca="false">Orders!B550</f>
        <v>45837</v>
      </c>
      <c r="C550" s="6" t="str">
        <f aca="false">Orders!C550</f>
        <v>C0278</v>
      </c>
      <c r="D550" s="6" t="str">
        <f aca="false">Orders!D550</f>
        <v>P1035</v>
      </c>
      <c r="E550" s="6" t="str">
        <f aca="false">INDEX(Products!$B$2:$B$101,MATCH(D550,Products!$A$2:$A$101,0))</f>
        <v>Nonstick Pan</v>
      </c>
      <c r="F550" s="1" t="str">
        <f aca="false">INDEX(Products!$C$2:$C$101,MATCH(D550,Products!$A$2:$A$101,0))</f>
        <v>Home &amp; Kitchen</v>
      </c>
      <c r="G550" s="6" t="n">
        <f aca="false">Orders!E550</f>
        <v>2</v>
      </c>
      <c r="H550" s="16" t="n">
        <f aca="false">INDEX(Products!$D$2:$D$101,MATCH(D550,Products!$A$2:$A$101,0))</f>
        <v>999</v>
      </c>
      <c r="I550" s="16" t="n">
        <f aca="false">INDEX(Products!$E$2:$E$101,MATCH(D550,Products!$A$2:$A$101,0))</f>
        <v>520</v>
      </c>
      <c r="J550" s="20" t="n">
        <f aca="false">Orders!F550</f>
        <v>0.15</v>
      </c>
      <c r="K550" s="6" t="n">
        <f aca="false">G550*H550</f>
        <v>1998</v>
      </c>
      <c r="L550" s="6" t="n">
        <f aca="false">K550*J550</f>
        <v>299.7</v>
      </c>
      <c r="M550" s="6" t="n">
        <f aca="false">K550-L550</f>
        <v>1698.3</v>
      </c>
      <c r="N550" s="6" t="n">
        <f aca="false">G550*I550</f>
        <v>1040</v>
      </c>
      <c r="O550" s="6" t="n">
        <f aca="false">M550-N550</f>
        <v>658.3</v>
      </c>
      <c r="P550" s="21" t="n">
        <f aca="false">IFERROR(O550/M550,0)</f>
        <v>0.387622917034682</v>
      </c>
      <c r="Q550" s="6" t="str">
        <f aca="false">Orders!H550</f>
        <v>Delivered</v>
      </c>
      <c r="R550" s="1" t="str">
        <f aca="false">INDEX(Customers!$C$2:$C$301,MATCH(C550,Customers!$A$2:$A$301,0))</f>
        <v>Nagpur</v>
      </c>
      <c r="S550" s="1" t="str">
        <f aca="false">INDEX(Customers!$E$2:$E$301,MATCH(C550,Customers!$A$2:$A$301,0))</f>
        <v>Returning</v>
      </c>
      <c r="T550" s="6" t="str">
        <f aca="false">Orders!I550</f>
        <v>Mobile App</v>
      </c>
      <c r="U550" s="1" t="str">
        <f aca="false">IF(Q550="Delivered","Completed",IF(Q550="Cancelled","Cancelled",IF(Q550="Returned","Returned","In Progress")))</f>
        <v>Completed</v>
      </c>
      <c r="V550" s="1" t="str">
        <f aca="false">IF(M550&gt;=10000,"High Value",IF(M550&gt;=5000,"Medium Value","Low Value"))</f>
        <v>Low Value</v>
      </c>
      <c r="W550" s="1" t="str">
        <f aca="false">IF(O550&gt;0,"Profitable",IF(O550=0,"Break-even","Loss"))</f>
        <v>Profitable</v>
      </c>
      <c r="X550" s="1" t="str">
        <f aca="false">IF(Q550="Cancelled","Not Applicable",IF(Q550="Processing","Pending",IF(B550="","Unknown",IF(Orders!J550="","Unknown",IF(Orders!J550&lt;=3,"Fast",IF(Orders!J550&lt;=6,"Standard","Slow"))))))</f>
        <v>Slow</v>
      </c>
      <c r="Y550" s="1" t="n">
        <f aca="false">IF(OR(Q550="Cancelled",Q550="Returned"),0,O550)</f>
        <v>658.3</v>
      </c>
    </row>
    <row r="551" customFormat="false" ht="15" hidden="false" customHeight="false" outlineLevel="0" collapsed="false">
      <c r="A551" s="6" t="str">
        <f aca="false">Orders!A551</f>
        <v>O000550</v>
      </c>
      <c r="B551" s="19" t="n">
        <f aca="false">Orders!B551</f>
        <v>45941</v>
      </c>
      <c r="C551" s="6" t="str">
        <f aca="false">Orders!C551</f>
        <v>C0255</v>
      </c>
      <c r="D551" s="6" t="str">
        <f aca="false">Orders!D551</f>
        <v>P1091</v>
      </c>
      <c r="E551" s="6" t="str">
        <f aca="false">INDEX(Products!$B$2:$B$101,MATCH(D551,Products!$A$2:$A$101,0))</f>
        <v>Rice Cooker</v>
      </c>
      <c r="F551" s="1" t="str">
        <f aca="false">INDEX(Products!$C$2:$C$101,MATCH(D551,Products!$A$2:$A$101,0))</f>
        <v>Appliances</v>
      </c>
      <c r="G551" s="6" t="n">
        <f aca="false">Orders!E551</f>
        <v>1</v>
      </c>
      <c r="H551" s="16" t="n">
        <f aca="false">INDEX(Products!$D$2:$D$101,MATCH(D551,Products!$A$2:$A$101,0))</f>
        <v>1999</v>
      </c>
      <c r="I551" s="16" t="n">
        <f aca="false">INDEX(Products!$E$2:$E$101,MATCH(D551,Products!$A$2:$A$101,0))</f>
        <v>1200</v>
      </c>
      <c r="J551" s="20" t="n">
        <f aca="false">Orders!F551</f>
        <v>0.2</v>
      </c>
      <c r="K551" s="6" t="n">
        <f aca="false">G551*H551</f>
        <v>1999</v>
      </c>
      <c r="L551" s="6" t="n">
        <f aca="false">K551*J551</f>
        <v>399.8</v>
      </c>
      <c r="M551" s="6" t="n">
        <f aca="false">K551-L551</f>
        <v>1599.2</v>
      </c>
      <c r="N551" s="6" t="n">
        <f aca="false">G551*I551</f>
        <v>1200</v>
      </c>
      <c r="O551" s="6" t="n">
        <f aca="false">M551-N551</f>
        <v>399.2</v>
      </c>
      <c r="P551" s="21" t="n">
        <f aca="false">IFERROR(O551/M551,0)</f>
        <v>0.249624812406203</v>
      </c>
      <c r="Q551" s="6" t="str">
        <f aca="false">Orders!H551</f>
        <v>Delivered</v>
      </c>
      <c r="R551" s="1" t="str">
        <f aca="false">INDEX(Customers!$C$2:$C$301,MATCH(C551,Customers!$A$2:$A$301,0))</f>
        <v>Bhopal</v>
      </c>
      <c r="S551" s="1" t="str">
        <f aca="false">INDEX(Customers!$E$2:$E$301,MATCH(C551,Customers!$A$2:$A$301,0))</f>
        <v>Returning</v>
      </c>
      <c r="T551" s="6" t="str">
        <f aca="false">Orders!I551</f>
        <v>Marketplace</v>
      </c>
      <c r="U551" s="1" t="str">
        <f aca="false">IF(Q551="Delivered","Completed",IF(Q551="Cancelled","Cancelled",IF(Q551="Returned","Returned","In Progress")))</f>
        <v>Completed</v>
      </c>
      <c r="V551" s="1" t="str">
        <f aca="false">IF(M551&gt;=10000,"High Value",IF(M551&gt;=5000,"Medium Value","Low Value"))</f>
        <v>Low Value</v>
      </c>
      <c r="W551" s="1" t="str">
        <f aca="false">IF(O551&gt;0,"Profitable",IF(O551=0,"Break-even","Loss"))</f>
        <v>Profitable</v>
      </c>
      <c r="X551" s="1" t="str">
        <f aca="false">IF(Q551="Cancelled","Not Applicable",IF(Q551="Processing","Pending",IF(B551="","Unknown",IF(Orders!J551="","Unknown",IF(Orders!J551&lt;=3,"Fast",IF(Orders!J551&lt;=6,"Standard","Slow"))))))</f>
        <v>Slow</v>
      </c>
      <c r="Y551" s="1" t="n">
        <f aca="false">IF(OR(Q551="Cancelled",Q551="Returned"),0,O551)</f>
        <v>399.2</v>
      </c>
    </row>
    <row r="552" customFormat="false" ht="15" hidden="false" customHeight="false" outlineLevel="0" collapsed="false">
      <c r="A552" s="6" t="str">
        <f aca="false">Orders!A552</f>
        <v>O000551</v>
      </c>
      <c r="B552" s="19" t="n">
        <f aca="false">Orders!B552</f>
        <v>45799</v>
      </c>
      <c r="C552" s="6" t="str">
        <f aca="false">Orders!C552</f>
        <v>C0064</v>
      </c>
      <c r="D552" s="6" t="str">
        <f aca="false">Orders!D552</f>
        <v>P1017</v>
      </c>
      <c r="E552" s="6" t="str">
        <f aca="false">INDEX(Products!$B$2:$B$101,MATCH(D552,Products!$A$2:$A$101,0))</f>
        <v>Denim Jeans</v>
      </c>
      <c r="F552" s="1" t="str">
        <f aca="false">INDEX(Products!$C$2:$C$101,MATCH(D552,Products!$A$2:$A$101,0))</f>
        <v>Fashion</v>
      </c>
      <c r="G552" s="6" t="n">
        <f aca="false">Orders!E552</f>
        <v>2</v>
      </c>
      <c r="H552" s="16" t="n">
        <f aca="false">INDEX(Products!$D$2:$D$101,MATCH(D552,Products!$A$2:$A$101,0))</f>
        <v>1299</v>
      </c>
      <c r="I552" s="16" t="n">
        <f aca="false">INDEX(Products!$E$2:$E$101,MATCH(D552,Products!$A$2:$A$101,0))</f>
        <v>650</v>
      </c>
      <c r="J552" s="20" t="n">
        <f aca="false">Orders!F552</f>
        <v>0</v>
      </c>
      <c r="K552" s="6" t="n">
        <f aca="false">G552*H552</f>
        <v>2598</v>
      </c>
      <c r="L552" s="6" t="n">
        <f aca="false">K552*J552</f>
        <v>0</v>
      </c>
      <c r="M552" s="6" t="n">
        <f aca="false">K552-L552</f>
        <v>2598</v>
      </c>
      <c r="N552" s="6" t="n">
        <f aca="false">G552*I552</f>
        <v>1300</v>
      </c>
      <c r="O552" s="6" t="n">
        <f aca="false">M552-N552</f>
        <v>1298</v>
      </c>
      <c r="P552" s="21" t="n">
        <f aca="false">IFERROR(O552/M552,0)</f>
        <v>0.499615088529638</v>
      </c>
      <c r="Q552" s="6" t="str">
        <f aca="false">Orders!H552</f>
        <v>Processing</v>
      </c>
      <c r="R552" s="1" t="str">
        <f aca="false">INDEX(Customers!$C$2:$C$301,MATCH(C552,Customers!$A$2:$A$301,0))</f>
        <v>Hyderabad</v>
      </c>
      <c r="S552" s="1" t="str">
        <f aca="false">INDEX(Customers!$E$2:$E$301,MATCH(C552,Customers!$A$2:$A$301,0))</f>
        <v>Returning</v>
      </c>
      <c r="T552" s="6" t="str">
        <f aca="false">Orders!I552</f>
        <v>Marketplace</v>
      </c>
      <c r="U552" s="1" t="str">
        <f aca="false">IF(Q552="Delivered","Completed",IF(Q552="Cancelled","Cancelled",IF(Q552="Returned","Returned","In Progress")))</f>
        <v>In Progress</v>
      </c>
      <c r="V552" s="1" t="str">
        <f aca="false">IF(M552&gt;=10000,"High Value",IF(M552&gt;=5000,"Medium Value","Low Value"))</f>
        <v>Low Value</v>
      </c>
      <c r="W552" s="1" t="str">
        <f aca="false">IF(O552&gt;0,"Profitable",IF(O552=0,"Break-even","Loss"))</f>
        <v>Profitable</v>
      </c>
      <c r="X552" s="1" t="str">
        <f aca="false">IF(Q552="Cancelled","Not Applicable",IF(Q552="Processing","Pending",IF(B552="","Unknown",IF(Orders!J552="","Unknown",IF(Orders!J552&lt;=3,"Fast",IF(Orders!J552&lt;=6,"Standard","Slow"))))))</f>
        <v>Pending</v>
      </c>
      <c r="Y552" s="1" t="n">
        <f aca="false">IF(OR(Q552="Cancelled",Q552="Returned"),0,O552)</f>
        <v>1298</v>
      </c>
    </row>
    <row r="553" customFormat="false" ht="15" hidden="false" customHeight="false" outlineLevel="0" collapsed="false">
      <c r="A553" s="6" t="str">
        <f aca="false">Orders!A553</f>
        <v>O000552</v>
      </c>
      <c r="B553" s="19" t="n">
        <f aca="false">Orders!B553</f>
        <v>45822</v>
      </c>
      <c r="C553" s="6" t="str">
        <f aca="false">Orders!C553</f>
        <v>C0080</v>
      </c>
      <c r="D553" s="6" t="str">
        <f aca="false">Orders!D553</f>
        <v>P1040</v>
      </c>
      <c r="E553" s="6" t="str">
        <f aca="false">INDEX(Products!$B$2:$B$101,MATCH(D553,Products!$A$2:$A$101,0))</f>
        <v>Curtain Set</v>
      </c>
      <c r="F553" s="1" t="str">
        <f aca="false">INDEX(Products!$C$2:$C$101,MATCH(D553,Products!$A$2:$A$101,0))</f>
        <v>Home &amp; Kitchen</v>
      </c>
      <c r="G553" s="6" t="n">
        <f aca="false">Orders!E553</f>
        <v>3</v>
      </c>
      <c r="H553" s="16" t="n">
        <f aca="false">INDEX(Products!$D$2:$D$101,MATCH(D553,Products!$A$2:$A$101,0))</f>
        <v>1099</v>
      </c>
      <c r="I553" s="16" t="n">
        <f aca="false">INDEX(Products!$E$2:$E$101,MATCH(D553,Products!$A$2:$A$101,0))</f>
        <v>550</v>
      </c>
      <c r="J553" s="20" t="n">
        <f aca="false">Orders!F553</f>
        <v>0.05</v>
      </c>
      <c r="K553" s="6" t="n">
        <f aca="false">G553*H553</f>
        <v>3297</v>
      </c>
      <c r="L553" s="6" t="n">
        <f aca="false">K553*J553</f>
        <v>164.85</v>
      </c>
      <c r="M553" s="6" t="n">
        <f aca="false">K553-L553</f>
        <v>3132.15</v>
      </c>
      <c r="N553" s="6" t="n">
        <f aca="false">G553*I553</f>
        <v>1650</v>
      </c>
      <c r="O553" s="6" t="n">
        <f aca="false">M553-N553</f>
        <v>1482.15</v>
      </c>
      <c r="P553" s="21" t="n">
        <f aca="false">IFERROR(O553/M553,0)</f>
        <v>0.473205306259279</v>
      </c>
      <c r="Q553" s="6" t="str">
        <f aca="false">Orders!H553</f>
        <v>Delivered</v>
      </c>
      <c r="R553" s="1" t="str">
        <f aca="false">INDEX(Customers!$C$2:$C$301,MATCH(C553,Customers!$A$2:$A$301,0))</f>
        <v>Visakhapatnam</v>
      </c>
      <c r="S553" s="1" t="str">
        <f aca="false">INDEX(Customers!$E$2:$E$301,MATCH(C553,Customers!$A$2:$A$301,0))</f>
        <v>New</v>
      </c>
      <c r="T553" s="6" t="str">
        <f aca="false">Orders!I553</f>
        <v>Mobile App</v>
      </c>
      <c r="U553" s="1" t="str">
        <f aca="false">IF(Q553="Delivered","Completed",IF(Q553="Cancelled","Cancelled",IF(Q553="Returned","Returned","In Progress")))</f>
        <v>Completed</v>
      </c>
      <c r="V553" s="1" t="str">
        <f aca="false">IF(M553&gt;=10000,"High Value",IF(M553&gt;=5000,"Medium Value","Low Value"))</f>
        <v>Low Value</v>
      </c>
      <c r="W553" s="1" t="str">
        <f aca="false">IF(O553&gt;0,"Profitable",IF(O553=0,"Break-even","Loss"))</f>
        <v>Profitable</v>
      </c>
      <c r="X553" s="1" t="str">
        <f aca="false">IF(Q553="Cancelled","Not Applicable",IF(Q553="Processing","Pending",IF(B553="","Unknown",IF(Orders!J553="","Unknown",IF(Orders!J553&lt;=3,"Fast",IF(Orders!J553&lt;=6,"Standard","Slow"))))))</f>
        <v>Fast</v>
      </c>
      <c r="Y553" s="1" t="n">
        <f aca="false">IF(OR(Q553="Cancelled",Q553="Returned"),0,O553)</f>
        <v>1482.15</v>
      </c>
    </row>
    <row r="554" customFormat="false" ht="15" hidden="false" customHeight="false" outlineLevel="0" collapsed="false">
      <c r="A554" s="6" t="str">
        <f aca="false">Orders!A554</f>
        <v>O000553</v>
      </c>
      <c r="B554" s="19" t="n">
        <f aca="false">Orders!B554</f>
        <v>45946</v>
      </c>
      <c r="C554" s="6" t="str">
        <f aca="false">Orders!C554</f>
        <v>C0261</v>
      </c>
      <c r="D554" s="6" t="str">
        <f aca="false">Orders!D554</f>
        <v>P1039</v>
      </c>
      <c r="E554" s="6" t="str">
        <f aca="false">INDEX(Products!$B$2:$B$101,MATCH(D554,Products!$A$2:$A$101,0))</f>
        <v>Wall Clock</v>
      </c>
      <c r="F554" s="1" t="str">
        <f aca="false">INDEX(Products!$C$2:$C$101,MATCH(D554,Products!$A$2:$A$101,0))</f>
        <v>Home &amp; Kitchen</v>
      </c>
      <c r="G554" s="6" t="n">
        <f aca="false">Orders!E554</f>
        <v>1</v>
      </c>
      <c r="H554" s="16" t="n">
        <f aca="false">INDEX(Products!$D$2:$D$101,MATCH(D554,Products!$A$2:$A$101,0))</f>
        <v>699</v>
      </c>
      <c r="I554" s="16" t="n">
        <f aca="false">INDEX(Products!$E$2:$E$101,MATCH(D554,Products!$A$2:$A$101,0))</f>
        <v>300</v>
      </c>
      <c r="J554" s="20" t="n">
        <f aca="false">Orders!F554</f>
        <v>0.05</v>
      </c>
      <c r="K554" s="6" t="n">
        <f aca="false">G554*H554</f>
        <v>699</v>
      </c>
      <c r="L554" s="6" t="n">
        <f aca="false">K554*J554</f>
        <v>34.95</v>
      </c>
      <c r="M554" s="6" t="n">
        <f aca="false">K554-L554</f>
        <v>664.05</v>
      </c>
      <c r="N554" s="6" t="n">
        <f aca="false">G554*I554</f>
        <v>300</v>
      </c>
      <c r="O554" s="6" t="n">
        <f aca="false">M554-N554</f>
        <v>364.05</v>
      </c>
      <c r="P554" s="21" t="n">
        <f aca="false">IFERROR(O554/M554,0)</f>
        <v>0.548226790151344</v>
      </c>
      <c r="Q554" s="6" t="str">
        <f aca="false">Orders!H554</f>
        <v>Delivered</v>
      </c>
      <c r="R554" s="1" t="str">
        <f aca="false">INDEX(Customers!$C$2:$C$301,MATCH(C554,Customers!$A$2:$A$301,0))</f>
        <v>Delhi</v>
      </c>
      <c r="S554" s="1" t="str">
        <f aca="false">INDEX(Customers!$E$2:$E$301,MATCH(C554,Customers!$A$2:$A$301,0))</f>
        <v>Returning</v>
      </c>
      <c r="T554" s="6" t="str">
        <f aca="false">Orders!I554</f>
        <v>Website</v>
      </c>
      <c r="U554" s="1" t="str">
        <f aca="false">IF(Q554="Delivered","Completed",IF(Q554="Cancelled","Cancelled",IF(Q554="Returned","Returned","In Progress")))</f>
        <v>Completed</v>
      </c>
      <c r="V554" s="1" t="str">
        <f aca="false">IF(M554&gt;=10000,"High Value",IF(M554&gt;=5000,"Medium Value","Low Value"))</f>
        <v>Low Value</v>
      </c>
      <c r="W554" s="1" t="str">
        <f aca="false">IF(O554&gt;0,"Profitable",IF(O554=0,"Break-even","Loss"))</f>
        <v>Profitable</v>
      </c>
      <c r="X554" s="1" t="str">
        <f aca="false">IF(Q554="Cancelled","Not Applicable",IF(Q554="Processing","Pending",IF(B554="","Unknown",IF(Orders!J554="","Unknown",IF(Orders!J554&lt;=3,"Fast",IF(Orders!J554&lt;=6,"Standard","Slow"))))))</f>
        <v>Slow</v>
      </c>
      <c r="Y554" s="1" t="n">
        <f aca="false">IF(OR(Q554="Cancelled",Q554="Returned"),0,O554)</f>
        <v>364.05</v>
      </c>
    </row>
    <row r="555" customFormat="false" ht="15" hidden="false" customHeight="false" outlineLevel="0" collapsed="false">
      <c r="A555" s="6" t="str">
        <f aca="false">Orders!A555</f>
        <v>O000554</v>
      </c>
      <c r="B555" s="19" t="n">
        <f aca="false">Orders!B555</f>
        <v>45681</v>
      </c>
      <c r="C555" s="6" t="str">
        <f aca="false">Orders!C555</f>
        <v>C0076</v>
      </c>
      <c r="D555" s="6" t="str">
        <f aca="false">Orders!D555</f>
        <v>P1048</v>
      </c>
      <c r="E555" s="6" t="str">
        <f aca="false">INDEX(Products!$B$2:$B$101,MATCH(D555,Products!$A$2:$A$101,0))</f>
        <v>Shampoo</v>
      </c>
      <c r="F555" s="1" t="str">
        <f aca="false">INDEX(Products!$C$2:$C$101,MATCH(D555,Products!$A$2:$A$101,0))</f>
        <v>Beauty</v>
      </c>
      <c r="G555" s="6" t="n">
        <f aca="false">Orders!E555</f>
        <v>2</v>
      </c>
      <c r="H555" s="16" t="n">
        <f aca="false">INDEX(Products!$D$2:$D$101,MATCH(D555,Products!$A$2:$A$101,0))</f>
        <v>349</v>
      </c>
      <c r="I555" s="16" t="n">
        <f aca="false">INDEX(Products!$E$2:$E$101,MATCH(D555,Products!$A$2:$A$101,0))</f>
        <v>150</v>
      </c>
      <c r="J555" s="20" t="n">
        <f aca="false">Orders!F555</f>
        <v>0.15</v>
      </c>
      <c r="K555" s="6" t="n">
        <f aca="false">G555*H555</f>
        <v>698</v>
      </c>
      <c r="L555" s="6" t="n">
        <f aca="false">K555*J555</f>
        <v>104.7</v>
      </c>
      <c r="M555" s="6" t="n">
        <f aca="false">K555-L555</f>
        <v>593.3</v>
      </c>
      <c r="N555" s="6" t="n">
        <f aca="false">G555*I555</f>
        <v>300</v>
      </c>
      <c r="O555" s="6" t="n">
        <f aca="false">M555-N555</f>
        <v>293.3</v>
      </c>
      <c r="P555" s="21" t="n">
        <f aca="false">IFERROR(O555/M555,0)</f>
        <v>0.49435361537165</v>
      </c>
      <c r="Q555" s="6" t="str">
        <f aca="false">Orders!H555</f>
        <v>Delivered</v>
      </c>
      <c r="R555" s="1" t="str">
        <f aca="false">INDEX(Customers!$C$2:$C$301,MATCH(C555,Customers!$A$2:$A$301,0))</f>
        <v>Chandigarh</v>
      </c>
      <c r="S555" s="1" t="str">
        <f aca="false">INDEX(Customers!$E$2:$E$301,MATCH(C555,Customers!$A$2:$A$301,0))</f>
        <v>Returning</v>
      </c>
      <c r="T555" s="6" t="str">
        <f aca="false">Orders!I555</f>
        <v>Mobile App</v>
      </c>
      <c r="U555" s="1" t="str">
        <f aca="false">IF(Q555="Delivered","Completed",IF(Q555="Cancelled","Cancelled",IF(Q555="Returned","Returned","In Progress")))</f>
        <v>Completed</v>
      </c>
      <c r="V555" s="1" t="str">
        <f aca="false">IF(M555&gt;=10000,"High Value",IF(M555&gt;=5000,"Medium Value","Low Value"))</f>
        <v>Low Value</v>
      </c>
      <c r="W555" s="1" t="str">
        <f aca="false">IF(O555&gt;0,"Profitable",IF(O555=0,"Break-even","Loss"))</f>
        <v>Profitable</v>
      </c>
      <c r="X555" s="1" t="str">
        <f aca="false">IF(Q555="Cancelled","Not Applicable",IF(Q555="Processing","Pending",IF(B555="","Unknown",IF(Orders!J555="","Unknown",IF(Orders!J555&lt;=3,"Fast",IF(Orders!J555&lt;=6,"Standard","Slow"))))))</f>
        <v>Fast</v>
      </c>
      <c r="Y555" s="1" t="n">
        <f aca="false">IF(OR(Q555="Cancelled",Q555="Returned"),0,O555)</f>
        <v>293.3</v>
      </c>
    </row>
    <row r="556" customFormat="false" ht="15" hidden="false" customHeight="false" outlineLevel="0" collapsed="false">
      <c r="A556" s="6" t="str">
        <f aca="false">Orders!A556</f>
        <v>O000555</v>
      </c>
      <c r="B556" s="19" t="n">
        <f aca="false">Orders!B556</f>
        <v>45916</v>
      </c>
      <c r="C556" s="6" t="str">
        <f aca="false">Orders!C556</f>
        <v>C0158</v>
      </c>
      <c r="D556" s="6" t="str">
        <f aca="false">Orders!D556</f>
        <v>P1055</v>
      </c>
      <c r="E556" s="6" t="str">
        <f aca="false">INDEX(Products!$B$2:$B$101,MATCH(D556,Products!$A$2:$A$101,0))</f>
        <v>Perfume</v>
      </c>
      <c r="F556" s="1" t="str">
        <f aca="false">INDEX(Products!$C$2:$C$101,MATCH(D556,Products!$A$2:$A$101,0))</f>
        <v>Beauty</v>
      </c>
      <c r="G556" s="6" t="n">
        <f aca="false">Orders!E556</f>
        <v>2</v>
      </c>
      <c r="H556" s="16" t="n">
        <f aca="false">INDEX(Products!$D$2:$D$101,MATCH(D556,Products!$A$2:$A$101,0))</f>
        <v>999</v>
      </c>
      <c r="I556" s="16" t="n">
        <f aca="false">INDEX(Products!$E$2:$E$101,MATCH(D556,Products!$A$2:$A$101,0))</f>
        <v>500</v>
      </c>
      <c r="J556" s="20" t="n">
        <f aca="false">Orders!F556</f>
        <v>0.05</v>
      </c>
      <c r="K556" s="6" t="n">
        <f aca="false">G556*H556</f>
        <v>1998</v>
      </c>
      <c r="L556" s="6" t="n">
        <f aca="false">K556*J556</f>
        <v>99.9</v>
      </c>
      <c r="M556" s="6" t="n">
        <f aca="false">K556-L556</f>
        <v>1898.1</v>
      </c>
      <c r="N556" s="6" t="n">
        <f aca="false">G556*I556</f>
        <v>1000</v>
      </c>
      <c r="O556" s="6" t="n">
        <f aca="false">M556-N556</f>
        <v>898.1</v>
      </c>
      <c r="P556" s="21" t="n">
        <f aca="false">IFERROR(O556/M556,0)</f>
        <v>0.47315736789421</v>
      </c>
      <c r="Q556" s="6" t="str">
        <f aca="false">Orders!H556</f>
        <v>Delivered</v>
      </c>
      <c r="R556" s="1" t="str">
        <f aca="false">INDEX(Customers!$C$2:$C$301,MATCH(C556,Customers!$A$2:$A$301,0))</f>
        <v>Nagpur</v>
      </c>
      <c r="S556" s="1" t="str">
        <f aca="false">INDEX(Customers!$E$2:$E$301,MATCH(C556,Customers!$A$2:$A$301,0))</f>
        <v>Returning</v>
      </c>
      <c r="T556" s="6" t="str">
        <f aca="false">Orders!I556</f>
        <v>Marketplace</v>
      </c>
      <c r="U556" s="1" t="str">
        <f aca="false">IF(Q556="Delivered","Completed",IF(Q556="Cancelled","Cancelled",IF(Q556="Returned","Returned","In Progress")))</f>
        <v>Completed</v>
      </c>
      <c r="V556" s="1" t="str">
        <f aca="false">IF(M556&gt;=10000,"High Value",IF(M556&gt;=5000,"Medium Value","Low Value"))</f>
        <v>Low Value</v>
      </c>
      <c r="W556" s="1" t="str">
        <f aca="false">IF(O556&gt;0,"Profitable",IF(O556=0,"Break-even","Loss"))</f>
        <v>Profitable</v>
      </c>
      <c r="X556" s="1" t="str">
        <f aca="false">IF(Q556="Cancelled","Not Applicable",IF(Q556="Processing","Pending",IF(B556="","Unknown",IF(Orders!J556="","Unknown",IF(Orders!J556&lt;=3,"Fast",IF(Orders!J556&lt;=6,"Standard","Slow"))))))</f>
        <v>Standard</v>
      </c>
      <c r="Y556" s="1" t="n">
        <f aca="false">IF(OR(Q556="Cancelled",Q556="Returned"),0,O556)</f>
        <v>898.1</v>
      </c>
    </row>
    <row r="557" customFormat="false" ht="15" hidden="false" customHeight="false" outlineLevel="0" collapsed="false">
      <c r="A557" s="6" t="str">
        <f aca="false">Orders!A557</f>
        <v>O000556</v>
      </c>
      <c r="B557" s="19" t="n">
        <f aca="false">Orders!B557</f>
        <v>46021</v>
      </c>
      <c r="C557" s="6" t="str">
        <f aca="false">Orders!C557</f>
        <v>C0270</v>
      </c>
      <c r="D557" s="6" t="str">
        <f aca="false">Orders!D557</f>
        <v>P1056</v>
      </c>
      <c r="E557" s="6" t="str">
        <f aca="false">INDEX(Products!$B$2:$B$101,MATCH(D557,Products!$A$2:$A$101,0))</f>
        <v>Hair Dryer</v>
      </c>
      <c r="F557" s="1" t="str">
        <f aca="false">INDEX(Products!$C$2:$C$101,MATCH(D557,Products!$A$2:$A$101,0))</f>
        <v>Beauty</v>
      </c>
      <c r="G557" s="6" t="n">
        <f aca="false">Orders!E557</f>
        <v>2</v>
      </c>
      <c r="H557" s="16" t="n">
        <f aca="false">INDEX(Products!$D$2:$D$101,MATCH(D557,Products!$A$2:$A$101,0))</f>
        <v>1299</v>
      </c>
      <c r="I557" s="16" t="n">
        <f aca="false">INDEX(Products!$E$2:$E$101,MATCH(D557,Products!$A$2:$A$101,0))</f>
        <v>750</v>
      </c>
      <c r="J557" s="20" t="n">
        <f aca="false">Orders!F557</f>
        <v>0.15</v>
      </c>
      <c r="K557" s="6" t="n">
        <f aca="false">G557*H557</f>
        <v>2598</v>
      </c>
      <c r="L557" s="6" t="n">
        <f aca="false">K557*J557</f>
        <v>389.7</v>
      </c>
      <c r="M557" s="6" t="n">
        <f aca="false">K557-L557</f>
        <v>2208.3</v>
      </c>
      <c r="N557" s="6" t="n">
        <f aca="false">G557*I557</f>
        <v>1500</v>
      </c>
      <c r="O557" s="6" t="n">
        <f aca="false">M557-N557</f>
        <v>708.3</v>
      </c>
      <c r="P557" s="21" t="n">
        <f aca="false">IFERROR(O557/M557,0)</f>
        <v>0.320744464067382</v>
      </c>
      <c r="Q557" s="6" t="str">
        <f aca="false">Orders!H557</f>
        <v>Delivered</v>
      </c>
      <c r="R557" s="1" t="str">
        <f aca="false">INDEX(Customers!$C$2:$C$301,MATCH(C557,Customers!$A$2:$A$301,0))</f>
        <v>Lucknow</v>
      </c>
      <c r="S557" s="1" t="str">
        <f aca="false">INDEX(Customers!$E$2:$E$301,MATCH(C557,Customers!$A$2:$A$301,0))</f>
        <v>Returning</v>
      </c>
      <c r="T557" s="6" t="str">
        <f aca="false">Orders!I557</f>
        <v>Mobile App</v>
      </c>
      <c r="U557" s="1" t="str">
        <f aca="false">IF(Q557="Delivered","Completed",IF(Q557="Cancelled","Cancelled",IF(Q557="Returned","Returned","In Progress")))</f>
        <v>Completed</v>
      </c>
      <c r="V557" s="1" t="str">
        <f aca="false">IF(M557&gt;=10000,"High Value",IF(M557&gt;=5000,"Medium Value","Low Value"))</f>
        <v>Low Value</v>
      </c>
      <c r="W557" s="1" t="str">
        <f aca="false">IF(O557&gt;0,"Profitable",IF(O557=0,"Break-even","Loss"))</f>
        <v>Profitable</v>
      </c>
      <c r="X557" s="1" t="str">
        <f aca="false">IF(Q557="Cancelled","Not Applicable",IF(Q557="Processing","Pending",IF(B557="","Unknown",IF(Orders!J557="","Unknown",IF(Orders!J557&lt;=3,"Fast",IF(Orders!J557&lt;=6,"Standard","Slow"))))))</f>
        <v>Standard</v>
      </c>
      <c r="Y557" s="1" t="n">
        <f aca="false">IF(OR(Q557="Cancelled",Q557="Returned"),0,O557)</f>
        <v>708.3</v>
      </c>
    </row>
    <row r="558" customFormat="false" ht="15" hidden="false" customHeight="false" outlineLevel="0" collapsed="false">
      <c r="A558" s="6" t="str">
        <f aca="false">Orders!A558</f>
        <v>O000557</v>
      </c>
      <c r="B558" s="19" t="n">
        <f aca="false">Orders!B558</f>
        <v>45972</v>
      </c>
      <c r="C558" s="6" t="str">
        <f aca="false">Orders!C558</f>
        <v>C0092</v>
      </c>
      <c r="D558" s="6" t="str">
        <f aca="false">Orders!D558</f>
        <v>P1035</v>
      </c>
      <c r="E558" s="6" t="str">
        <f aca="false">INDEX(Products!$B$2:$B$101,MATCH(D558,Products!$A$2:$A$101,0))</f>
        <v>Nonstick Pan</v>
      </c>
      <c r="F558" s="1" t="str">
        <f aca="false">INDEX(Products!$C$2:$C$101,MATCH(D558,Products!$A$2:$A$101,0))</f>
        <v>Home &amp; Kitchen</v>
      </c>
      <c r="G558" s="6" t="n">
        <f aca="false">Orders!E558</f>
        <v>3</v>
      </c>
      <c r="H558" s="16" t="n">
        <f aca="false">INDEX(Products!$D$2:$D$101,MATCH(D558,Products!$A$2:$A$101,0))</f>
        <v>999</v>
      </c>
      <c r="I558" s="16" t="n">
        <f aca="false">INDEX(Products!$E$2:$E$101,MATCH(D558,Products!$A$2:$A$101,0))</f>
        <v>520</v>
      </c>
      <c r="J558" s="20" t="n">
        <f aca="false">Orders!F558</f>
        <v>0.25</v>
      </c>
      <c r="K558" s="6" t="n">
        <f aca="false">G558*H558</f>
        <v>2997</v>
      </c>
      <c r="L558" s="6" t="n">
        <f aca="false">K558*J558</f>
        <v>749.25</v>
      </c>
      <c r="M558" s="6" t="n">
        <f aca="false">K558-L558</f>
        <v>2247.75</v>
      </c>
      <c r="N558" s="6" t="n">
        <f aca="false">G558*I558</f>
        <v>1560</v>
      </c>
      <c r="O558" s="6" t="n">
        <f aca="false">M558-N558</f>
        <v>687.75</v>
      </c>
      <c r="P558" s="21" t="n">
        <f aca="false">IFERROR(O558/M558,0)</f>
        <v>0.305972639305973</v>
      </c>
      <c r="Q558" s="6" t="str">
        <f aca="false">Orders!H558</f>
        <v>Delivered</v>
      </c>
      <c r="R558" s="1" t="str">
        <f aca="false">INDEX(Customers!$C$2:$C$301,MATCH(C558,Customers!$A$2:$A$301,0))</f>
        <v>Noida</v>
      </c>
      <c r="S558" s="1" t="str">
        <f aca="false">INDEX(Customers!$E$2:$E$301,MATCH(C558,Customers!$A$2:$A$301,0))</f>
        <v>New</v>
      </c>
      <c r="T558" s="6" t="str">
        <f aca="false">Orders!I558</f>
        <v>Mobile App</v>
      </c>
      <c r="U558" s="1" t="str">
        <f aca="false">IF(Q558="Delivered","Completed",IF(Q558="Cancelled","Cancelled",IF(Q558="Returned","Returned","In Progress")))</f>
        <v>Completed</v>
      </c>
      <c r="V558" s="1" t="str">
        <f aca="false">IF(M558&gt;=10000,"High Value",IF(M558&gt;=5000,"Medium Value","Low Value"))</f>
        <v>Low Value</v>
      </c>
      <c r="W558" s="1" t="str">
        <f aca="false">IF(O558&gt;0,"Profitable",IF(O558=0,"Break-even","Loss"))</f>
        <v>Profitable</v>
      </c>
      <c r="X558" s="1" t="str">
        <f aca="false">IF(Q558="Cancelled","Not Applicable",IF(Q558="Processing","Pending",IF(B558="","Unknown",IF(Orders!J558="","Unknown",IF(Orders!J558&lt;=3,"Fast",IF(Orders!J558&lt;=6,"Standard","Slow"))))))</f>
        <v>Slow</v>
      </c>
      <c r="Y558" s="1" t="n">
        <f aca="false">IF(OR(Q558="Cancelled",Q558="Returned"),0,O558)</f>
        <v>687.75</v>
      </c>
    </row>
    <row r="559" customFormat="false" ht="15" hidden="false" customHeight="false" outlineLevel="0" collapsed="false">
      <c r="A559" s="6" t="str">
        <f aca="false">Orders!A559</f>
        <v>O000558</v>
      </c>
      <c r="B559" s="19" t="n">
        <f aca="false">Orders!B559</f>
        <v>45781</v>
      </c>
      <c r="C559" s="6" t="str">
        <f aca="false">Orders!C559</f>
        <v>C0010</v>
      </c>
      <c r="D559" s="6" t="str">
        <f aca="false">Orders!D559</f>
        <v>P1084</v>
      </c>
      <c r="E559" s="6" t="str">
        <f aca="false">INDEX(Products!$B$2:$B$101,MATCH(D559,Products!$A$2:$A$101,0))</f>
        <v>Whiteboard</v>
      </c>
      <c r="F559" s="1" t="str">
        <f aca="false">INDEX(Products!$C$2:$C$101,MATCH(D559,Products!$A$2:$A$101,0))</f>
        <v>Books &amp; Stationery</v>
      </c>
      <c r="G559" s="6" t="n">
        <f aca="false">Orders!E559</f>
        <v>2</v>
      </c>
      <c r="H559" s="16" t="n">
        <f aca="false">INDEX(Products!$D$2:$D$101,MATCH(D559,Products!$A$2:$A$101,0))</f>
        <v>799</v>
      </c>
      <c r="I559" s="16" t="n">
        <f aca="false">INDEX(Products!$E$2:$E$101,MATCH(D559,Products!$A$2:$A$101,0))</f>
        <v>420</v>
      </c>
      <c r="J559" s="20" t="n">
        <f aca="false">Orders!F559</f>
        <v>0.2</v>
      </c>
      <c r="K559" s="6" t="n">
        <f aca="false">G559*H559</f>
        <v>1598</v>
      </c>
      <c r="L559" s="6" t="n">
        <f aca="false">K559*J559</f>
        <v>319.6</v>
      </c>
      <c r="M559" s="6" t="n">
        <f aca="false">K559-L559</f>
        <v>1278.4</v>
      </c>
      <c r="N559" s="6" t="n">
        <f aca="false">G559*I559</f>
        <v>840</v>
      </c>
      <c r="O559" s="6" t="n">
        <f aca="false">M559-N559</f>
        <v>438.4</v>
      </c>
      <c r="P559" s="21" t="n">
        <f aca="false">IFERROR(O559/M559,0)</f>
        <v>0.342928660826033</v>
      </c>
      <c r="Q559" s="6" t="str">
        <f aca="false">Orders!H559</f>
        <v>Delivered</v>
      </c>
      <c r="R559" s="1" t="str">
        <f aca="false">INDEX(Customers!$C$2:$C$301,MATCH(C559,Customers!$A$2:$A$301,0))</f>
        <v>Lucknow</v>
      </c>
      <c r="S559" s="1" t="str">
        <f aca="false">INDEX(Customers!$E$2:$E$301,MATCH(C559,Customers!$A$2:$A$301,0))</f>
        <v>Returning</v>
      </c>
      <c r="T559" s="6" t="str">
        <f aca="false">Orders!I559</f>
        <v>Marketplace</v>
      </c>
      <c r="U559" s="1" t="str">
        <f aca="false">IF(Q559="Delivered","Completed",IF(Q559="Cancelled","Cancelled",IF(Q559="Returned","Returned","In Progress")))</f>
        <v>Completed</v>
      </c>
      <c r="V559" s="1" t="str">
        <f aca="false">IF(M559&gt;=10000,"High Value",IF(M559&gt;=5000,"Medium Value","Low Value"))</f>
        <v>Low Value</v>
      </c>
      <c r="W559" s="1" t="str">
        <f aca="false">IF(O559&gt;0,"Profitable",IF(O559=0,"Break-even","Loss"))</f>
        <v>Profitable</v>
      </c>
      <c r="X559" s="1" t="str">
        <f aca="false">IF(Q559="Cancelled","Not Applicable",IF(Q559="Processing","Pending",IF(B559="","Unknown",IF(Orders!J559="","Unknown",IF(Orders!J559&lt;=3,"Fast",IF(Orders!J559&lt;=6,"Standard","Slow"))))))</f>
        <v>Standard</v>
      </c>
      <c r="Y559" s="1" t="n">
        <f aca="false">IF(OR(Q559="Cancelled",Q559="Returned"),0,O559)</f>
        <v>438.4</v>
      </c>
    </row>
    <row r="560" customFormat="false" ht="23.85" hidden="false" customHeight="false" outlineLevel="0" collapsed="false">
      <c r="A560" s="6" t="str">
        <f aca="false">Orders!A560</f>
        <v>O000559</v>
      </c>
      <c r="B560" s="19" t="n">
        <f aca="false">Orders!B560</f>
        <v>45771</v>
      </c>
      <c r="C560" s="6" t="str">
        <f aca="false">Orders!C560</f>
        <v>C0175</v>
      </c>
      <c r="D560" s="6" t="str">
        <f aca="false">Orders!D560</f>
        <v>P1093</v>
      </c>
      <c r="E560" s="6" t="str">
        <f aca="false">INDEX(Products!$B$2:$B$101,MATCH(D560,Products!$A$2:$A$101,0))</f>
        <v>Induction Cooktop</v>
      </c>
      <c r="F560" s="1" t="str">
        <f aca="false">INDEX(Products!$C$2:$C$101,MATCH(D560,Products!$A$2:$A$101,0))</f>
        <v>Appliances</v>
      </c>
      <c r="G560" s="6" t="n">
        <f aca="false">Orders!E560</f>
        <v>1</v>
      </c>
      <c r="H560" s="16" t="n">
        <f aca="false">INDEX(Products!$D$2:$D$101,MATCH(D560,Products!$A$2:$A$101,0))</f>
        <v>2299</v>
      </c>
      <c r="I560" s="16" t="n">
        <f aca="false">INDEX(Products!$E$2:$E$101,MATCH(D560,Products!$A$2:$A$101,0))</f>
        <v>1450</v>
      </c>
      <c r="J560" s="20" t="n">
        <f aca="false">Orders!F560</f>
        <v>0.2</v>
      </c>
      <c r="K560" s="6" t="n">
        <f aca="false">G560*H560</f>
        <v>2299</v>
      </c>
      <c r="L560" s="6" t="n">
        <f aca="false">K560*J560</f>
        <v>459.8</v>
      </c>
      <c r="M560" s="6" t="n">
        <f aca="false">K560-L560</f>
        <v>1839.2</v>
      </c>
      <c r="N560" s="6" t="n">
        <f aca="false">G560*I560</f>
        <v>1450</v>
      </c>
      <c r="O560" s="6" t="n">
        <f aca="false">M560-N560</f>
        <v>389.2</v>
      </c>
      <c r="P560" s="21" t="n">
        <f aca="false">IFERROR(O560/M560,0)</f>
        <v>0.211613745106568</v>
      </c>
      <c r="Q560" s="6" t="str">
        <f aca="false">Orders!H560</f>
        <v>Delivered</v>
      </c>
      <c r="R560" s="1" t="str">
        <f aca="false">INDEX(Customers!$C$2:$C$301,MATCH(C560,Customers!$A$2:$A$301,0))</f>
        <v>Bhopal</v>
      </c>
      <c r="S560" s="1" t="str">
        <f aca="false">INDEX(Customers!$E$2:$E$301,MATCH(C560,Customers!$A$2:$A$301,0))</f>
        <v>Returning</v>
      </c>
      <c r="T560" s="6" t="str">
        <f aca="false">Orders!I560</f>
        <v>Mobile App</v>
      </c>
      <c r="U560" s="1" t="str">
        <f aca="false">IF(Q560="Delivered","Completed",IF(Q560="Cancelled","Cancelled",IF(Q560="Returned","Returned","In Progress")))</f>
        <v>Completed</v>
      </c>
      <c r="V560" s="1" t="str">
        <f aca="false">IF(M560&gt;=10000,"High Value",IF(M560&gt;=5000,"Medium Value","Low Value"))</f>
        <v>Low Value</v>
      </c>
      <c r="W560" s="1" t="str">
        <f aca="false">IF(O560&gt;0,"Profitable",IF(O560=0,"Break-even","Loss"))</f>
        <v>Profitable</v>
      </c>
      <c r="X560" s="1" t="str">
        <f aca="false">IF(Q560="Cancelled","Not Applicable",IF(Q560="Processing","Pending",IF(B560="","Unknown",IF(Orders!J560="","Unknown",IF(Orders!J560&lt;=3,"Fast",IF(Orders!J560&lt;=6,"Standard","Slow"))))))</f>
        <v>Standard</v>
      </c>
      <c r="Y560" s="1" t="n">
        <f aca="false">IF(OR(Q560="Cancelled",Q560="Returned"),0,O560)</f>
        <v>389.2</v>
      </c>
    </row>
    <row r="561" customFormat="false" ht="15" hidden="false" customHeight="false" outlineLevel="0" collapsed="false">
      <c r="A561" s="6" t="str">
        <f aca="false">Orders!A561</f>
        <v>O000560</v>
      </c>
      <c r="B561" s="19" t="n">
        <f aca="false">Orders!B561</f>
        <v>45799</v>
      </c>
      <c r="C561" s="6" t="str">
        <f aca="false">Orders!C561</f>
        <v>C0007</v>
      </c>
      <c r="D561" s="6" t="str">
        <f aca="false">Orders!D561</f>
        <v>P1083</v>
      </c>
      <c r="E561" s="6" t="str">
        <f aca="false">INDEX(Products!$B$2:$B$101,MATCH(D561,Products!$A$2:$A$101,0))</f>
        <v>Reading Light</v>
      </c>
      <c r="F561" s="1" t="str">
        <f aca="false">INDEX(Products!$C$2:$C$101,MATCH(D561,Products!$A$2:$A$101,0))</f>
        <v>Books &amp; Stationery</v>
      </c>
      <c r="G561" s="6" t="n">
        <f aca="false">Orders!E561</f>
        <v>1</v>
      </c>
      <c r="H561" s="16" t="n">
        <f aca="false">INDEX(Products!$D$2:$D$101,MATCH(D561,Products!$A$2:$A$101,0))</f>
        <v>399</v>
      </c>
      <c r="I561" s="16" t="n">
        <f aca="false">INDEX(Products!$E$2:$E$101,MATCH(D561,Products!$A$2:$A$101,0))</f>
        <v>180</v>
      </c>
      <c r="J561" s="20" t="n">
        <f aca="false">Orders!F561</f>
        <v>0.05</v>
      </c>
      <c r="K561" s="6" t="n">
        <f aca="false">G561*H561</f>
        <v>399</v>
      </c>
      <c r="L561" s="6" t="n">
        <f aca="false">K561*J561</f>
        <v>19.95</v>
      </c>
      <c r="M561" s="6" t="n">
        <f aca="false">K561-L561</f>
        <v>379.05</v>
      </c>
      <c r="N561" s="6" t="n">
        <f aca="false">G561*I561</f>
        <v>180</v>
      </c>
      <c r="O561" s="6" t="n">
        <f aca="false">M561-N561</f>
        <v>199.05</v>
      </c>
      <c r="P561" s="21" t="n">
        <f aca="false">IFERROR(O561/M561,0)</f>
        <v>0.525128611001187</v>
      </c>
      <c r="Q561" s="6" t="str">
        <f aca="false">Orders!H561</f>
        <v>Shipped</v>
      </c>
      <c r="R561" s="1" t="str">
        <f aca="false">INDEX(Customers!$C$2:$C$301,MATCH(C561,Customers!$A$2:$A$301,0))</f>
        <v>Pune</v>
      </c>
      <c r="S561" s="1" t="str">
        <f aca="false">INDEX(Customers!$E$2:$E$301,MATCH(C561,Customers!$A$2:$A$301,0))</f>
        <v>Returning</v>
      </c>
      <c r="T561" s="6" t="str">
        <f aca="false">Orders!I561</f>
        <v>Mobile App</v>
      </c>
      <c r="U561" s="1" t="str">
        <f aca="false">IF(Q561="Delivered","Completed",IF(Q561="Cancelled","Cancelled",IF(Q561="Returned","Returned","In Progress")))</f>
        <v>In Progress</v>
      </c>
      <c r="V561" s="1" t="str">
        <f aca="false">IF(M561&gt;=10000,"High Value",IF(M561&gt;=5000,"Medium Value","Low Value"))</f>
        <v>Low Value</v>
      </c>
      <c r="W561" s="1" t="str">
        <f aca="false">IF(O561&gt;0,"Profitable",IF(O561=0,"Break-even","Loss"))</f>
        <v>Profitable</v>
      </c>
      <c r="X561" s="1" t="str">
        <f aca="false">IF(Q561="Cancelled","Not Applicable",IF(Q561="Processing","Pending",IF(B561="","Unknown",IF(Orders!J561="","Unknown",IF(Orders!J561&lt;=3,"Fast",IF(Orders!J561&lt;=6,"Standard","Slow"))))))</f>
        <v>Standard</v>
      </c>
      <c r="Y561" s="1" t="n">
        <f aca="false">IF(OR(Q561="Cancelled",Q561="Returned"),0,O561)</f>
        <v>199.05</v>
      </c>
    </row>
    <row r="562" customFormat="false" ht="15" hidden="false" customHeight="false" outlineLevel="0" collapsed="false">
      <c r="A562" s="6" t="str">
        <f aca="false">Orders!A562</f>
        <v>O000561</v>
      </c>
      <c r="B562" s="19" t="n">
        <f aca="false">Orders!B562</f>
        <v>46022</v>
      </c>
      <c r="C562" s="6" t="str">
        <f aca="false">Orders!C562</f>
        <v>C0015</v>
      </c>
      <c r="D562" s="6" t="str">
        <f aca="false">Orders!D562</f>
        <v>P1040</v>
      </c>
      <c r="E562" s="6" t="str">
        <f aca="false">INDEX(Products!$B$2:$B$101,MATCH(D562,Products!$A$2:$A$101,0))</f>
        <v>Curtain Set</v>
      </c>
      <c r="F562" s="1" t="str">
        <f aca="false">INDEX(Products!$C$2:$C$101,MATCH(D562,Products!$A$2:$A$101,0))</f>
        <v>Home &amp; Kitchen</v>
      </c>
      <c r="G562" s="6" t="n">
        <f aca="false">Orders!E562</f>
        <v>1</v>
      </c>
      <c r="H562" s="16" t="n">
        <f aca="false">INDEX(Products!$D$2:$D$101,MATCH(D562,Products!$A$2:$A$101,0))</f>
        <v>1099</v>
      </c>
      <c r="I562" s="16" t="n">
        <f aca="false">INDEX(Products!$E$2:$E$101,MATCH(D562,Products!$A$2:$A$101,0))</f>
        <v>550</v>
      </c>
      <c r="J562" s="20" t="n">
        <f aca="false">Orders!F562</f>
        <v>0.2</v>
      </c>
      <c r="K562" s="6" t="n">
        <f aca="false">G562*H562</f>
        <v>1099</v>
      </c>
      <c r="L562" s="6" t="n">
        <f aca="false">K562*J562</f>
        <v>219.8</v>
      </c>
      <c r="M562" s="6" t="n">
        <f aca="false">K562-L562</f>
        <v>879.2</v>
      </c>
      <c r="N562" s="6" t="n">
        <f aca="false">G562*I562</f>
        <v>550</v>
      </c>
      <c r="O562" s="6" t="n">
        <f aca="false">M562-N562</f>
        <v>329.2</v>
      </c>
      <c r="P562" s="21" t="n">
        <f aca="false">IFERROR(O562/M562,0)</f>
        <v>0.374431301182894</v>
      </c>
      <c r="Q562" s="6" t="str">
        <f aca="false">Orders!H562</f>
        <v>Delivered</v>
      </c>
      <c r="R562" s="1" t="str">
        <f aca="false">INDEX(Customers!$C$2:$C$301,MATCH(C562,Customers!$A$2:$A$301,0))</f>
        <v>Bhopal</v>
      </c>
      <c r="S562" s="1" t="str">
        <f aca="false">INDEX(Customers!$E$2:$E$301,MATCH(C562,Customers!$A$2:$A$301,0))</f>
        <v>Returning</v>
      </c>
      <c r="T562" s="6" t="str">
        <f aca="false">Orders!I562</f>
        <v>Mobile App</v>
      </c>
      <c r="U562" s="1" t="str">
        <f aca="false">IF(Q562="Delivered","Completed",IF(Q562="Cancelled","Cancelled",IF(Q562="Returned","Returned","In Progress")))</f>
        <v>Completed</v>
      </c>
      <c r="V562" s="1" t="str">
        <f aca="false">IF(M562&gt;=10000,"High Value",IF(M562&gt;=5000,"Medium Value","Low Value"))</f>
        <v>Low Value</v>
      </c>
      <c r="W562" s="1" t="str">
        <f aca="false">IF(O562&gt;0,"Profitable",IF(O562=0,"Break-even","Loss"))</f>
        <v>Profitable</v>
      </c>
      <c r="X562" s="1" t="str">
        <f aca="false">IF(Q562="Cancelled","Not Applicable",IF(Q562="Processing","Pending",IF(B562="","Unknown",IF(Orders!J562="","Unknown",IF(Orders!J562&lt;=3,"Fast",IF(Orders!J562&lt;=6,"Standard","Slow"))))))</f>
        <v>Slow</v>
      </c>
      <c r="Y562" s="1" t="n">
        <f aca="false">IF(OR(Q562="Cancelled",Q562="Returned"),0,O562)</f>
        <v>329.2</v>
      </c>
    </row>
    <row r="563" customFormat="false" ht="23.85" hidden="false" customHeight="false" outlineLevel="0" collapsed="false">
      <c r="A563" s="6" t="str">
        <f aca="false">Orders!A563</f>
        <v>O000562</v>
      </c>
      <c r="B563" s="19" t="n">
        <f aca="false">Orders!B563</f>
        <v>45708</v>
      </c>
      <c r="C563" s="6" t="str">
        <f aca="false">Orders!C563</f>
        <v>C0246</v>
      </c>
      <c r="D563" s="6" t="str">
        <f aca="false">Orders!D563</f>
        <v>P1012</v>
      </c>
      <c r="E563" s="6" t="str">
        <f aca="false">INDEX(Products!$B$2:$B$101,MATCH(D563,Products!$A$2:$A$101,0))</f>
        <v>Charging Adapter</v>
      </c>
      <c r="F563" s="1" t="str">
        <f aca="false">INDEX(Products!$C$2:$C$101,MATCH(D563,Products!$A$2:$A$101,0))</f>
        <v>Electronics</v>
      </c>
      <c r="G563" s="6" t="n">
        <f aca="false">Orders!E563</f>
        <v>1</v>
      </c>
      <c r="H563" s="16" t="n">
        <f aca="false">INDEX(Products!$D$2:$D$101,MATCH(D563,Products!$A$2:$A$101,0))</f>
        <v>599</v>
      </c>
      <c r="I563" s="16" t="n">
        <f aca="false">INDEX(Products!$E$2:$E$101,MATCH(D563,Products!$A$2:$A$101,0))</f>
        <v>260</v>
      </c>
      <c r="J563" s="20" t="n">
        <f aca="false">Orders!F563</f>
        <v>0.05</v>
      </c>
      <c r="K563" s="6" t="n">
        <f aca="false">G563*H563</f>
        <v>599</v>
      </c>
      <c r="L563" s="6" t="n">
        <f aca="false">K563*J563</f>
        <v>29.95</v>
      </c>
      <c r="M563" s="6" t="n">
        <f aca="false">K563-L563</f>
        <v>569.05</v>
      </c>
      <c r="N563" s="6" t="n">
        <f aca="false">G563*I563</f>
        <v>260</v>
      </c>
      <c r="O563" s="6" t="n">
        <f aca="false">M563-N563</f>
        <v>309.05</v>
      </c>
      <c r="P563" s="21" t="n">
        <f aca="false">IFERROR(O563/M563,0)</f>
        <v>0.543098146032862</v>
      </c>
      <c r="Q563" s="6" t="str">
        <f aca="false">Orders!H563</f>
        <v>Delivered</v>
      </c>
      <c r="R563" s="1" t="str">
        <f aca="false">INDEX(Customers!$C$2:$C$301,MATCH(C563,Customers!$A$2:$A$301,0))</f>
        <v>Kolkata</v>
      </c>
      <c r="S563" s="1" t="str">
        <f aca="false">INDEX(Customers!$E$2:$E$301,MATCH(C563,Customers!$A$2:$A$301,0))</f>
        <v>New</v>
      </c>
      <c r="T563" s="6" t="str">
        <f aca="false">Orders!I563</f>
        <v>Marketplace</v>
      </c>
      <c r="U563" s="1" t="str">
        <f aca="false">IF(Q563="Delivered","Completed",IF(Q563="Cancelled","Cancelled",IF(Q563="Returned","Returned","In Progress")))</f>
        <v>Completed</v>
      </c>
      <c r="V563" s="1" t="str">
        <f aca="false">IF(M563&gt;=10000,"High Value",IF(M563&gt;=5000,"Medium Value","Low Value"))</f>
        <v>Low Value</v>
      </c>
      <c r="W563" s="1" t="str">
        <f aca="false">IF(O563&gt;0,"Profitable",IF(O563=0,"Break-even","Loss"))</f>
        <v>Profitable</v>
      </c>
      <c r="X563" s="1" t="str">
        <f aca="false">IF(Q563="Cancelled","Not Applicable",IF(Q563="Processing","Pending",IF(B563="","Unknown",IF(Orders!J563="","Unknown",IF(Orders!J563&lt;=3,"Fast",IF(Orders!J563&lt;=6,"Standard","Slow"))))))</f>
        <v>Fast</v>
      </c>
      <c r="Y563" s="1" t="n">
        <f aca="false">IF(OR(Q563="Cancelled",Q563="Returned"),0,O563)</f>
        <v>309.05</v>
      </c>
    </row>
    <row r="564" customFormat="false" ht="15" hidden="false" customHeight="false" outlineLevel="0" collapsed="false">
      <c r="A564" s="6" t="str">
        <f aca="false">Orders!A564</f>
        <v>O000563</v>
      </c>
      <c r="B564" s="19" t="n">
        <f aca="false">Orders!B564</f>
        <v>45709</v>
      </c>
      <c r="C564" s="6" t="str">
        <f aca="false">Orders!C564</f>
        <v>C0008</v>
      </c>
      <c r="D564" s="6" t="str">
        <f aca="false">Orders!D564</f>
        <v>P1060</v>
      </c>
      <c r="E564" s="6" t="str">
        <f aca="false">INDEX(Products!$B$2:$B$101,MATCH(D564,Products!$A$2:$A$101,0))</f>
        <v>Yoga Mat</v>
      </c>
      <c r="F564" s="1" t="str">
        <f aca="false">INDEX(Products!$C$2:$C$101,MATCH(D564,Products!$A$2:$A$101,0))</f>
        <v>Sports &amp; Outdoors</v>
      </c>
      <c r="G564" s="6" t="n">
        <f aca="false">Orders!E564</f>
        <v>2</v>
      </c>
      <c r="H564" s="16" t="n">
        <f aca="false">INDEX(Products!$D$2:$D$101,MATCH(D564,Products!$A$2:$A$101,0))</f>
        <v>799</v>
      </c>
      <c r="I564" s="16" t="n">
        <f aca="false">INDEX(Products!$E$2:$E$101,MATCH(D564,Products!$A$2:$A$101,0))</f>
        <v>350</v>
      </c>
      <c r="J564" s="20" t="n">
        <f aca="false">Orders!F564</f>
        <v>0.15</v>
      </c>
      <c r="K564" s="6" t="n">
        <f aca="false">G564*H564</f>
        <v>1598</v>
      </c>
      <c r="L564" s="6" t="n">
        <f aca="false">K564*J564</f>
        <v>239.7</v>
      </c>
      <c r="M564" s="6" t="n">
        <f aca="false">K564-L564</f>
        <v>1358.3</v>
      </c>
      <c r="N564" s="6" t="n">
        <f aca="false">G564*I564</f>
        <v>700</v>
      </c>
      <c r="O564" s="6" t="n">
        <f aca="false">M564-N564</f>
        <v>658.3</v>
      </c>
      <c r="P564" s="21" t="n">
        <f aca="false">IFERROR(O564/M564,0)</f>
        <v>0.484649930059633</v>
      </c>
      <c r="Q564" s="6" t="str">
        <f aca="false">Orders!H564</f>
        <v>Shipped</v>
      </c>
      <c r="R564" s="1" t="str">
        <f aca="false">INDEX(Customers!$C$2:$C$301,MATCH(C564,Customers!$A$2:$A$301,0))</f>
        <v>Jaipur</v>
      </c>
      <c r="S564" s="1" t="str">
        <f aca="false">INDEX(Customers!$E$2:$E$301,MATCH(C564,Customers!$A$2:$A$301,0))</f>
        <v>New</v>
      </c>
      <c r="T564" s="6" t="str">
        <f aca="false">Orders!I564</f>
        <v>Marketplace</v>
      </c>
      <c r="U564" s="1" t="str">
        <f aca="false">IF(Q564="Delivered","Completed",IF(Q564="Cancelled","Cancelled",IF(Q564="Returned","Returned","In Progress")))</f>
        <v>In Progress</v>
      </c>
      <c r="V564" s="1" t="str">
        <f aca="false">IF(M564&gt;=10000,"High Value",IF(M564&gt;=5000,"Medium Value","Low Value"))</f>
        <v>Low Value</v>
      </c>
      <c r="W564" s="1" t="str">
        <f aca="false">IF(O564&gt;0,"Profitable",IF(O564=0,"Break-even","Loss"))</f>
        <v>Profitable</v>
      </c>
      <c r="X564" s="1" t="str">
        <f aca="false">IF(Q564="Cancelled","Not Applicable",IF(Q564="Processing","Pending",IF(B564="","Unknown",IF(Orders!J564="","Unknown",IF(Orders!J564&lt;=3,"Fast",IF(Orders!J564&lt;=6,"Standard","Slow"))))))</f>
        <v>Fast</v>
      </c>
      <c r="Y564" s="1" t="n">
        <f aca="false">IF(OR(Q564="Cancelled",Q564="Returned"),0,O564)</f>
        <v>658.3</v>
      </c>
    </row>
    <row r="565" customFormat="false" ht="15" hidden="false" customHeight="false" outlineLevel="0" collapsed="false">
      <c r="A565" s="6" t="str">
        <f aca="false">Orders!A565</f>
        <v>O000564</v>
      </c>
      <c r="B565" s="19" t="n">
        <f aca="false">Orders!B565</f>
        <v>45782</v>
      </c>
      <c r="C565" s="6" t="str">
        <f aca="false">Orders!C565</f>
        <v>C0162</v>
      </c>
      <c r="D565" s="6" t="str">
        <f aca="false">Orders!D565</f>
        <v>P1017</v>
      </c>
      <c r="E565" s="6" t="str">
        <f aca="false">INDEX(Products!$B$2:$B$101,MATCH(D565,Products!$A$2:$A$101,0))</f>
        <v>Denim Jeans</v>
      </c>
      <c r="F565" s="1" t="str">
        <f aca="false">INDEX(Products!$C$2:$C$101,MATCH(D565,Products!$A$2:$A$101,0))</f>
        <v>Fashion</v>
      </c>
      <c r="G565" s="6" t="n">
        <f aca="false">Orders!E565</f>
        <v>1</v>
      </c>
      <c r="H565" s="16" t="n">
        <f aca="false">INDEX(Products!$D$2:$D$101,MATCH(D565,Products!$A$2:$A$101,0))</f>
        <v>1299</v>
      </c>
      <c r="I565" s="16" t="n">
        <f aca="false">INDEX(Products!$E$2:$E$101,MATCH(D565,Products!$A$2:$A$101,0))</f>
        <v>650</v>
      </c>
      <c r="J565" s="20" t="n">
        <f aca="false">Orders!F565</f>
        <v>0.2</v>
      </c>
      <c r="K565" s="6" t="n">
        <f aca="false">G565*H565</f>
        <v>1299</v>
      </c>
      <c r="L565" s="6" t="n">
        <f aca="false">K565*J565</f>
        <v>259.8</v>
      </c>
      <c r="M565" s="6" t="n">
        <f aca="false">K565-L565</f>
        <v>1039.2</v>
      </c>
      <c r="N565" s="6" t="n">
        <f aca="false">G565*I565</f>
        <v>650</v>
      </c>
      <c r="O565" s="6" t="n">
        <f aca="false">M565-N565</f>
        <v>389.2</v>
      </c>
      <c r="P565" s="21" t="n">
        <f aca="false">IFERROR(O565/M565,0)</f>
        <v>0.374518860662048</v>
      </c>
      <c r="Q565" s="6" t="str">
        <f aca="false">Orders!H565</f>
        <v>Delivered</v>
      </c>
      <c r="R565" s="1" t="str">
        <f aca="false">INDEX(Customers!$C$2:$C$301,MATCH(C565,Customers!$A$2:$A$301,0))</f>
        <v>Mumbai</v>
      </c>
      <c r="S565" s="1" t="str">
        <f aca="false">INDEX(Customers!$E$2:$E$301,MATCH(C565,Customers!$A$2:$A$301,0))</f>
        <v>New</v>
      </c>
      <c r="T565" s="6" t="str">
        <f aca="false">Orders!I565</f>
        <v>Mobile App</v>
      </c>
      <c r="U565" s="1" t="str">
        <f aca="false">IF(Q565="Delivered","Completed",IF(Q565="Cancelled","Cancelled",IF(Q565="Returned","Returned","In Progress")))</f>
        <v>Completed</v>
      </c>
      <c r="V565" s="1" t="str">
        <f aca="false">IF(M565&gt;=10000,"High Value",IF(M565&gt;=5000,"Medium Value","Low Value"))</f>
        <v>Low Value</v>
      </c>
      <c r="W565" s="1" t="str">
        <f aca="false">IF(O565&gt;0,"Profitable",IF(O565=0,"Break-even","Loss"))</f>
        <v>Profitable</v>
      </c>
      <c r="X565" s="1" t="str">
        <f aca="false">IF(Q565="Cancelled","Not Applicable",IF(Q565="Processing","Pending",IF(B565="","Unknown",IF(Orders!J565="","Unknown",IF(Orders!J565&lt;=3,"Fast",IF(Orders!J565&lt;=6,"Standard","Slow"))))))</f>
        <v>Standard</v>
      </c>
      <c r="Y565" s="1" t="n">
        <f aca="false">IF(OR(Q565="Cancelled",Q565="Returned"),0,O565)</f>
        <v>389.2</v>
      </c>
    </row>
    <row r="566" customFormat="false" ht="15" hidden="false" customHeight="false" outlineLevel="0" collapsed="false">
      <c r="A566" s="6" t="str">
        <f aca="false">Orders!A566</f>
        <v>O000565</v>
      </c>
      <c r="B566" s="19" t="n">
        <f aca="false">Orders!B566</f>
        <v>45705</v>
      </c>
      <c r="C566" s="6" t="str">
        <f aca="false">Orders!C566</f>
        <v>C0238</v>
      </c>
      <c r="D566" s="6" t="str">
        <f aca="false">Orders!D566</f>
        <v>P1045</v>
      </c>
      <c r="E566" s="6" t="str">
        <f aca="false">INDEX(Products!$B$2:$B$101,MATCH(D566,Products!$A$2:$A$101,0))</f>
        <v>Lunch Box</v>
      </c>
      <c r="F566" s="1" t="str">
        <f aca="false">INDEX(Products!$C$2:$C$101,MATCH(D566,Products!$A$2:$A$101,0))</f>
        <v>Home &amp; Kitchen</v>
      </c>
      <c r="G566" s="6" t="n">
        <f aca="false">Orders!E566</f>
        <v>5</v>
      </c>
      <c r="H566" s="16" t="n">
        <f aca="false">INDEX(Products!$D$2:$D$101,MATCH(D566,Products!$A$2:$A$101,0))</f>
        <v>449</v>
      </c>
      <c r="I566" s="16" t="n">
        <f aca="false">INDEX(Products!$E$2:$E$101,MATCH(D566,Products!$A$2:$A$101,0))</f>
        <v>180</v>
      </c>
      <c r="J566" s="20" t="n">
        <f aca="false">Orders!F566</f>
        <v>0.05</v>
      </c>
      <c r="K566" s="6" t="n">
        <f aca="false">G566*H566</f>
        <v>2245</v>
      </c>
      <c r="L566" s="6" t="n">
        <f aca="false">K566*J566</f>
        <v>112.25</v>
      </c>
      <c r="M566" s="6" t="n">
        <f aca="false">K566-L566</f>
        <v>2132.75</v>
      </c>
      <c r="N566" s="6" t="n">
        <f aca="false">G566*I566</f>
        <v>900</v>
      </c>
      <c r="O566" s="6" t="n">
        <f aca="false">M566-N566</f>
        <v>1232.75</v>
      </c>
      <c r="P566" s="21" t="n">
        <f aca="false">IFERROR(O566/M566,0)</f>
        <v>0.578009612003282</v>
      </c>
      <c r="Q566" s="6" t="str">
        <f aca="false">Orders!H566</f>
        <v>Delivered</v>
      </c>
      <c r="R566" s="1" t="str">
        <f aca="false">INDEX(Customers!$C$2:$C$301,MATCH(C566,Customers!$A$2:$A$301,0))</f>
        <v>Nagpur</v>
      </c>
      <c r="S566" s="1" t="str">
        <f aca="false">INDEX(Customers!$E$2:$E$301,MATCH(C566,Customers!$A$2:$A$301,0))</f>
        <v>Returning</v>
      </c>
      <c r="T566" s="6" t="str">
        <f aca="false">Orders!I566</f>
        <v>Mobile App</v>
      </c>
      <c r="U566" s="1" t="str">
        <f aca="false">IF(Q566="Delivered","Completed",IF(Q566="Cancelled","Cancelled",IF(Q566="Returned","Returned","In Progress")))</f>
        <v>Completed</v>
      </c>
      <c r="V566" s="1" t="str">
        <f aca="false">IF(M566&gt;=10000,"High Value",IF(M566&gt;=5000,"Medium Value","Low Value"))</f>
        <v>Low Value</v>
      </c>
      <c r="W566" s="1" t="str">
        <f aca="false">IF(O566&gt;0,"Profitable",IF(O566=0,"Break-even","Loss"))</f>
        <v>Profitable</v>
      </c>
      <c r="X566" s="1" t="str">
        <f aca="false">IF(Q566="Cancelled","Not Applicable",IF(Q566="Processing","Pending",IF(B566="","Unknown",IF(Orders!J566="","Unknown",IF(Orders!J566&lt;=3,"Fast",IF(Orders!J566&lt;=6,"Standard","Slow"))))))</f>
        <v>Fast</v>
      </c>
      <c r="Y566" s="1" t="n">
        <f aca="false">IF(OR(Q566="Cancelled",Q566="Returned"),0,O566)</f>
        <v>1232.75</v>
      </c>
    </row>
    <row r="567" customFormat="false" ht="23.85" hidden="false" customHeight="false" outlineLevel="0" collapsed="false">
      <c r="A567" s="6" t="str">
        <f aca="false">Orders!A567</f>
        <v>O000566</v>
      </c>
      <c r="B567" s="19" t="n">
        <f aca="false">Orders!B567</f>
        <v>45740</v>
      </c>
      <c r="C567" s="6" t="str">
        <f aca="false">Orders!C567</f>
        <v>C0010</v>
      </c>
      <c r="D567" s="6" t="str">
        <f aca="false">Orders!D567</f>
        <v>P1001</v>
      </c>
      <c r="E567" s="6" t="str">
        <f aca="false">INDEX(Products!$B$2:$B$101,MATCH(D567,Products!$A$2:$A$101,0))</f>
        <v>Wireless Earbuds</v>
      </c>
      <c r="F567" s="1" t="str">
        <f aca="false">INDEX(Products!$C$2:$C$101,MATCH(D567,Products!$A$2:$A$101,0))</f>
        <v>Electronics</v>
      </c>
      <c r="G567" s="6" t="n">
        <f aca="false">Orders!E567</f>
        <v>1</v>
      </c>
      <c r="H567" s="16" t="n">
        <f aca="false">INDEX(Products!$D$2:$D$101,MATCH(D567,Products!$A$2:$A$101,0))</f>
        <v>899</v>
      </c>
      <c r="I567" s="16" t="n">
        <f aca="false">INDEX(Products!$E$2:$E$101,MATCH(D567,Products!$A$2:$A$101,0))</f>
        <v>499</v>
      </c>
      <c r="J567" s="20" t="n">
        <f aca="false">Orders!F567</f>
        <v>0.1</v>
      </c>
      <c r="K567" s="6" t="n">
        <f aca="false">G567*H567</f>
        <v>899</v>
      </c>
      <c r="L567" s="6" t="n">
        <f aca="false">K567*J567</f>
        <v>89.9</v>
      </c>
      <c r="M567" s="6" t="n">
        <f aca="false">K567-L567</f>
        <v>809.1</v>
      </c>
      <c r="N567" s="6" t="n">
        <f aca="false">G567*I567</f>
        <v>499</v>
      </c>
      <c r="O567" s="6" t="n">
        <f aca="false">M567-N567</f>
        <v>310.1</v>
      </c>
      <c r="P567" s="21" t="n">
        <f aca="false">IFERROR(O567/M567,0)</f>
        <v>0.383265356569027</v>
      </c>
      <c r="Q567" s="6" t="str">
        <f aca="false">Orders!H567</f>
        <v>Delivered</v>
      </c>
      <c r="R567" s="1" t="str">
        <f aca="false">INDEX(Customers!$C$2:$C$301,MATCH(C567,Customers!$A$2:$A$301,0))</f>
        <v>Lucknow</v>
      </c>
      <c r="S567" s="1" t="str">
        <f aca="false">INDEX(Customers!$E$2:$E$301,MATCH(C567,Customers!$A$2:$A$301,0))</f>
        <v>Returning</v>
      </c>
      <c r="T567" s="6" t="str">
        <f aca="false">Orders!I567</f>
        <v>Website</v>
      </c>
      <c r="U567" s="1" t="str">
        <f aca="false">IF(Q567="Delivered","Completed",IF(Q567="Cancelled","Cancelled",IF(Q567="Returned","Returned","In Progress")))</f>
        <v>Completed</v>
      </c>
      <c r="V567" s="1" t="str">
        <f aca="false">IF(M567&gt;=10000,"High Value",IF(M567&gt;=5000,"Medium Value","Low Value"))</f>
        <v>Low Value</v>
      </c>
      <c r="W567" s="1" t="str">
        <f aca="false">IF(O567&gt;0,"Profitable",IF(O567=0,"Break-even","Loss"))</f>
        <v>Profitable</v>
      </c>
      <c r="X567" s="1" t="str">
        <f aca="false">IF(Q567="Cancelled","Not Applicable",IF(Q567="Processing","Pending",IF(B567="","Unknown",IF(Orders!J567="","Unknown",IF(Orders!J567&lt;=3,"Fast",IF(Orders!J567&lt;=6,"Standard","Slow"))))))</f>
        <v>Fast</v>
      </c>
      <c r="Y567" s="1" t="n">
        <f aca="false">IF(OR(Q567="Cancelled",Q567="Returned"),0,O567)</f>
        <v>310.1</v>
      </c>
    </row>
    <row r="568" customFormat="false" ht="15" hidden="false" customHeight="false" outlineLevel="0" collapsed="false">
      <c r="A568" s="6" t="str">
        <f aca="false">Orders!A568</f>
        <v>O000567</v>
      </c>
      <c r="B568" s="19" t="n">
        <f aca="false">Orders!B568</f>
        <v>45848</v>
      </c>
      <c r="C568" s="6" t="str">
        <f aca="false">Orders!C568</f>
        <v>C0192</v>
      </c>
      <c r="D568" s="6" t="str">
        <f aca="false">Orders!D568</f>
        <v>P1074</v>
      </c>
      <c r="E568" s="6" t="str">
        <f aca="false">INDEX(Products!$B$2:$B$101,MATCH(D568,Products!$A$2:$A$101,0))</f>
        <v>Notebook Pack</v>
      </c>
      <c r="F568" s="1" t="str">
        <f aca="false">INDEX(Products!$C$2:$C$101,MATCH(D568,Products!$A$2:$A$101,0))</f>
        <v>Books &amp; Stationery</v>
      </c>
      <c r="G568" s="6" t="n">
        <f aca="false">Orders!E568</f>
        <v>1</v>
      </c>
      <c r="H568" s="16" t="n">
        <f aca="false">INDEX(Products!$D$2:$D$101,MATCH(D568,Products!$A$2:$A$101,0))</f>
        <v>299</v>
      </c>
      <c r="I568" s="16" t="n">
        <f aca="false">INDEX(Products!$E$2:$E$101,MATCH(D568,Products!$A$2:$A$101,0))</f>
        <v>110</v>
      </c>
      <c r="J568" s="20" t="n">
        <f aca="false">Orders!F568</f>
        <v>0.25</v>
      </c>
      <c r="K568" s="6" t="n">
        <f aca="false">G568*H568</f>
        <v>299</v>
      </c>
      <c r="L568" s="6" t="n">
        <f aca="false">K568*J568</f>
        <v>74.75</v>
      </c>
      <c r="M568" s="6" t="n">
        <f aca="false">K568-L568</f>
        <v>224.25</v>
      </c>
      <c r="N568" s="6" t="n">
        <f aca="false">G568*I568</f>
        <v>110</v>
      </c>
      <c r="O568" s="6" t="n">
        <f aca="false">M568-N568</f>
        <v>114.25</v>
      </c>
      <c r="P568" s="21" t="n">
        <f aca="false">IFERROR(O568/M568,0)</f>
        <v>0.509476031215162</v>
      </c>
      <c r="Q568" s="6" t="str">
        <f aca="false">Orders!H568</f>
        <v>Cancelled</v>
      </c>
      <c r="R568" s="1" t="str">
        <f aca="false">INDEX(Customers!$C$2:$C$301,MATCH(C568,Customers!$A$2:$A$301,0))</f>
        <v>Noida</v>
      </c>
      <c r="S568" s="1" t="str">
        <f aca="false">INDEX(Customers!$E$2:$E$301,MATCH(C568,Customers!$A$2:$A$301,0))</f>
        <v>Returning</v>
      </c>
      <c r="T568" s="6" t="str">
        <f aca="false">Orders!I568</f>
        <v>Mobile App</v>
      </c>
      <c r="U568" s="1" t="str">
        <f aca="false">IF(Q568="Delivered","Completed",IF(Q568="Cancelled","Cancelled",IF(Q568="Returned","Returned","In Progress")))</f>
        <v>Cancelled</v>
      </c>
      <c r="V568" s="1" t="str">
        <f aca="false">IF(M568&gt;=10000,"High Value",IF(M568&gt;=5000,"Medium Value","Low Value"))</f>
        <v>Low Value</v>
      </c>
      <c r="W568" s="1" t="str">
        <f aca="false">IF(O568&gt;0,"Profitable",IF(O568=0,"Break-even","Loss"))</f>
        <v>Profitable</v>
      </c>
      <c r="X568" s="1" t="str">
        <f aca="false">IF(Q568="Cancelled","Not Applicable",IF(Q568="Processing","Pending",IF(B568="","Unknown",IF(Orders!J568="","Unknown",IF(Orders!J568&lt;=3,"Fast",IF(Orders!J568&lt;=6,"Standard","Slow"))))))</f>
        <v>Not Applicable</v>
      </c>
      <c r="Y568" s="1" t="n">
        <f aca="false">IF(OR(Q568="Cancelled",Q568="Returned"),0,O568)</f>
        <v>0</v>
      </c>
    </row>
    <row r="569" customFormat="false" ht="15" hidden="false" customHeight="false" outlineLevel="0" collapsed="false">
      <c r="A569" s="6" t="str">
        <f aca="false">Orders!A569</f>
        <v>O000568</v>
      </c>
      <c r="B569" s="19" t="n">
        <f aca="false">Orders!B569</f>
        <v>45919</v>
      </c>
      <c r="C569" s="6" t="str">
        <f aca="false">Orders!C569</f>
        <v>C0142</v>
      </c>
      <c r="D569" s="6" t="str">
        <f aca="false">Orders!D569</f>
        <v>P1042</v>
      </c>
      <c r="E569" s="6" t="str">
        <f aca="false">INDEX(Products!$B$2:$B$101,MATCH(D569,Products!$A$2:$A$101,0))</f>
        <v>Bath Towel Set</v>
      </c>
      <c r="F569" s="1" t="str">
        <f aca="false">INDEX(Products!$C$2:$C$101,MATCH(D569,Products!$A$2:$A$101,0))</f>
        <v>Home &amp; Kitchen</v>
      </c>
      <c r="G569" s="6" t="n">
        <f aca="false">Orders!E569</f>
        <v>2</v>
      </c>
      <c r="H569" s="16" t="n">
        <f aca="false">INDEX(Products!$D$2:$D$101,MATCH(D569,Products!$A$2:$A$101,0))</f>
        <v>799</v>
      </c>
      <c r="I569" s="16" t="n">
        <f aca="false">INDEX(Products!$E$2:$E$101,MATCH(D569,Products!$A$2:$A$101,0))</f>
        <v>360</v>
      </c>
      <c r="J569" s="20" t="n">
        <f aca="false">Orders!F569</f>
        <v>0.05</v>
      </c>
      <c r="K569" s="6" t="n">
        <f aca="false">G569*H569</f>
        <v>1598</v>
      </c>
      <c r="L569" s="6" t="n">
        <f aca="false">K569*J569</f>
        <v>79.9</v>
      </c>
      <c r="M569" s="6" t="n">
        <f aca="false">K569-L569</f>
        <v>1518.1</v>
      </c>
      <c r="N569" s="6" t="n">
        <f aca="false">G569*I569</f>
        <v>720</v>
      </c>
      <c r="O569" s="6" t="n">
        <f aca="false">M569-N569</f>
        <v>798.1</v>
      </c>
      <c r="P569" s="21" t="n">
        <f aca="false">IFERROR(O569/M569,0)</f>
        <v>0.525722943152625</v>
      </c>
      <c r="Q569" s="6" t="str">
        <f aca="false">Orders!H569</f>
        <v>Returned</v>
      </c>
      <c r="R569" s="1" t="str">
        <f aca="false">INDEX(Customers!$C$2:$C$301,MATCH(C569,Customers!$A$2:$A$301,0))</f>
        <v>Mumbai</v>
      </c>
      <c r="S569" s="1" t="str">
        <f aca="false">INDEX(Customers!$E$2:$E$301,MATCH(C569,Customers!$A$2:$A$301,0))</f>
        <v>VIP</v>
      </c>
      <c r="T569" s="6" t="str">
        <f aca="false">Orders!I569</f>
        <v>Mobile App</v>
      </c>
      <c r="U569" s="1" t="str">
        <f aca="false">IF(Q569="Delivered","Completed",IF(Q569="Cancelled","Cancelled",IF(Q569="Returned","Returned","In Progress")))</f>
        <v>Returned</v>
      </c>
      <c r="V569" s="1" t="str">
        <f aca="false">IF(M569&gt;=10000,"High Value",IF(M569&gt;=5000,"Medium Value","Low Value"))</f>
        <v>Low Value</v>
      </c>
      <c r="W569" s="1" t="str">
        <f aca="false">IF(O569&gt;0,"Profitable",IF(O569=0,"Break-even","Loss"))</f>
        <v>Profitable</v>
      </c>
      <c r="X569" s="1" t="str">
        <f aca="false">IF(Q569="Cancelled","Not Applicable",IF(Q569="Processing","Pending",IF(B569="","Unknown",IF(Orders!J569="","Unknown",IF(Orders!J569&lt;=3,"Fast",IF(Orders!J569&lt;=6,"Standard","Slow"))))))</f>
        <v>Fast</v>
      </c>
      <c r="Y569" s="1" t="n">
        <f aca="false">IF(OR(Q569="Cancelled",Q569="Returned"),0,O569)</f>
        <v>0</v>
      </c>
    </row>
    <row r="570" customFormat="false" ht="15" hidden="false" customHeight="false" outlineLevel="0" collapsed="false">
      <c r="A570" s="6" t="str">
        <f aca="false">Orders!A570</f>
        <v>O000569</v>
      </c>
      <c r="B570" s="19" t="n">
        <f aca="false">Orders!B570</f>
        <v>45696</v>
      </c>
      <c r="C570" s="6" t="str">
        <f aca="false">Orders!C570</f>
        <v>C0069</v>
      </c>
      <c r="D570" s="6" t="str">
        <f aca="false">Orders!D570</f>
        <v>P1044</v>
      </c>
      <c r="E570" s="6" t="str">
        <f aca="false">INDEX(Products!$B$2:$B$101,MATCH(D570,Products!$A$2:$A$101,0))</f>
        <v>Doormat</v>
      </c>
      <c r="F570" s="1" t="str">
        <f aca="false">INDEX(Products!$C$2:$C$101,MATCH(D570,Products!$A$2:$A$101,0))</f>
        <v>Home &amp; Kitchen</v>
      </c>
      <c r="G570" s="6" t="n">
        <f aca="false">Orders!E570</f>
        <v>1</v>
      </c>
      <c r="H570" s="16" t="n">
        <f aca="false">INDEX(Products!$D$2:$D$101,MATCH(D570,Products!$A$2:$A$101,0))</f>
        <v>299</v>
      </c>
      <c r="I570" s="16" t="n">
        <f aca="false">INDEX(Products!$E$2:$E$101,MATCH(D570,Products!$A$2:$A$101,0))</f>
        <v>100</v>
      </c>
      <c r="J570" s="20" t="n">
        <f aca="false">Orders!F570</f>
        <v>0.15</v>
      </c>
      <c r="K570" s="6" t="n">
        <f aca="false">G570*H570</f>
        <v>299</v>
      </c>
      <c r="L570" s="6" t="n">
        <f aca="false">K570*J570</f>
        <v>44.85</v>
      </c>
      <c r="M570" s="6" t="n">
        <f aca="false">K570-L570</f>
        <v>254.15</v>
      </c>
      <c r="N570" s="6" t="n">
        <f aca="false">G570*I570</f>
        <v>100</v>
      </c>
      <c r="O570" s="6" t="n">
        <f aca="false">M570-N570</f>
        <v>154.15</v>
      </c>
      <c r="P570" s="21" t="n">
        <f aca="false">IFERROR(O570/M570,0)</f>
        <v>0.606531575841039</v>
      </c>
      <c r="Q570" s="6" t="str">
        <f aca="false">Orders!H570</f>
        <v>Delivered</v>
      </c>
      <c r="R570" s="1" t="str">
        <f aca="false">INDEX(Customers!$C$2:$C$301,MATCH(C570,Customers!$A$2:$A$301,0))</f>
        <v>Ahmedabad</v>
      </c>
      <c r="S570" s="1" t="str">
        <f aca="false">INDEX(Customers!$E$2:$E$301,MATCH(C570,Customers!$A$2:$A$301,0))</f>
        <v>New</v>
      </c>
      <c r="T570" s="6" t="str">
        <f aca="false">Orders!I570</f>
        <v>Mobile App</v>
      </c>
      <c r="U570" s="1" t="str">
        <f aca="false">IF(Q570="Delivered","Completed",IF(Q570="Cancelled","Cancelled",IF(Q570="Returned","Returned","In Progress")))</f>
        <v>Completed</v>
      </c>
      <c r="V570" s="1" t="str">
        <f aca="false">IF(M570&gt;=10000,"High Value",IF(M570&gt;=5000,"Medium Value","Low Value"))</f>
        <v>Low Value</v>
      </c>
      <c r="W570" s="1" t="str">
        <f aca="false">IF(O570&gt;0,"Profitable",IF(O570=0,"Break-even","Loss"))</f>
        <v>Profitable</v>
      </c>
      <c r="X570" s="1" t="str">
        <f aca="false">IF(Q570="Cancelled","Not Applicable",IF(Q570="Processing","Pending",IF(B570="","Unknown",IF(Orders!J570="","Unknown",IF(Orders!J570&lt;=3,"Fast",IF(Orders!J570&lt;=6,"Standard","Slow"))))))</f>
        <v>Fast</v>
      </c>
      <c r="Y570" s="1" t="n">
        <f aca="false">IF(OR(Q570="Cancelled",Q570="Returned"),0,O570)</f>
        <v>154.15</v>
      </c>
    </row>
    <row r="571" customFormat="false" ht="15" hidden="false" customHeight="false" outlineLevel="0" collapsed="false">
      <c r="A571" s="6" t="str">
        <f aca="false">Orders!A571</f>
        <v>O000570</v>
      </c>
      <c r="B571" s="19" t="n">
        <f aca="false">Orders!B571</f>
        <v>45668</v>
      </c>
      <c r="C571" s="6" t="str">
        <f aca="false">Orders!C571</f>
        <v>C0078</v>
      </c>
      <c r="D571" s="6" t="str">
        <f aca="false">Orders!D571</f>
        <v>P1080</v>
      </c>
      <c r="E571" s="6" t="str">
        <f aca="false">INDEX(Products!$B$2:$B$101,MATCH(D571,Products!$A$2:$A$101,0))</f>
        <v>Calculator</v>
      </c>
      <c r="F571" s="1" t="str">
        <f aca="false">INDEX(Products!$C$2:$C$101,MATCH(D571,Products!$A$2:$A$101,0))</f>
        <v>Books &amp; Stationery</v>
      </c>
      <c r="G571" s="6" t="n">
        <f aca="false">Orders!E571</f>
        <v>2</v>
      </c>
      <c r="H571" s="16" t="n">
        <f aca="false">INDEX(Products!$D$2:$D$101,MATCH(D571,Products!$A$2:$A$101,0))</f>
        <v>599</v>
      </c>
      <c r="I571" s="16" t="n">
        <f aca="false">INDEX(Products!$E$2:$E$101,MATCH(D571,Products!$A$2:$A$101,0))</f>
        <v>300</v>
      </c>
      <c r="J571" s="20" t="n">
        <f aca="false">Orders!F571</f>
        <v>0.05</v>
      </c>
      <c r="K571" s="6" t="n">
        <f aca="false">G571*H571</f>
        <v>1198</v>
      </c>
      <c r="L571" s="6" t="n">
        <f aca="false">K571*J571</f>
        <v>59.9</v>
      </c>
      <c r="M571" s="6" t="n">
        <f aca="false">K571-L571</f>
        <v>1138.1</v>
      </c>
      <c r="N571" s="6" t="n">
        <f aca="false">G571*I571</f>
        <v>600</v>
      </c>
      <c r="O571" s="6" t="n">
        <f aca="false">M571-N571</f>
        <v>538.1</v>
      </c>
      <c r="P571" s="21" t="n">
        <f aca="false">IFERROR(O571/M571,0)</f>
        <v>0.47280555311484</v>
      </c>
      <c r="Q571" s="6" t="str">
        <f aca="false">Orders!H571</f>
        <v>Delivered</v>
      </c>
      <c r="R571" s="1" t="str">
        <f aca="false">INDEX(Customers!$C$2:$C$301,MATCH(C571,Customers!$A$2:$A$301,0))</f>
        <v>Nagpur</v>
      </c>
      <c r="S571" s="1" t="str">
        <f aca="false">INDEX(Customers!$E$2:$E$301,MATCH(C571,Customers!$A$2:$A$301,0))</f>
        <v>New</v>
      </c>
      <c r="T571" s="6" t="str">
        <f aca="false">Orders!I571</f>
        <v>Marketplace</v>
      </c>
      <c r="U571" s="1" t="str">
        <f aca="false">IF(Q571="Delivered","Completed",IF(Q571="Cancelled","Cancelled",IF(Q571="Returned","Returned","In Progress")))</f>
        <v>Completed</v>
      </c>
      <c r="V571" s="1" t="str">
        <f aca="false">IF(M571&gt;=10000,"High Value",IF(M571&gt;=5000,"Medium Value","Low Value"))</f>
        <v>Low Value</v>
      </c>
      <c r="W571" s="1" t="str">
        <f aca="false">IF(O571&gt;0,"Profitable",IF(O571=0,"Break-even","Loss"))</f>
        <v>Profitable</v>
      </c>
      <c r="X571" s="1" t="str">
        <f aca="false">IF(Q571="Cancelled","Not Applicable",IF(Q571="Processing","Pending",IF(B571="","Unknown",IF(Orders!J571="","Unknown",IF(Orders!J571&lt;=3,"Fast",IF(Orders!J571&lt;=6,"Standard","Slow"))))))</f>
        <v>Standard</v>
      </c>
      <c r="Y571" s="1" t="n">
        <f aca="false">IF(OR(Q571="Cancelled",Q571="Returned"),0,O571)</f>
        <v>538.1</v>
      </c>
    </row>
    <row r="572" customFormat="false" ht="15" hidden="false" customHeight="false" outlineLevel="0" collapsed="false">
      <c r="A572" s="6" t="str">
        <f aca="false">Orders!A572</f>
        <v>O000571</v>
      </c>
      <c r="B572" s="19" t="n">
        <f aca="false">Orders!B572</f>
        <v>45871</v>
      </c>
      <c r="C572" s="6" t="str">
        <f aca="false">Orders!C572</f>
        <v>C0020</v>
      </c>
      <c r="D572" s="6" t="str">
        <f aca="false">Orders!D572</f>
        <v>P1011</v>
      </c>
      <c r="E572" s="6" t="str">
        <f aca="false">INDEX(Products!$B$2:$B$101,MATCH(D572,Products!$A$2:$A$101,0))</f>
        <v>Headphones</v>
      </c>
      <c r="F572" s="1" t="str">
        <f aca="false">INDEX(Products!$C$2:$C$101,MATCH(D572,Products!$A$2:$A$101,0))</f>
        <v>Electronics</v>
      </c>
      <c r="G572" s="6" t="n">
        <f aca="false">Orders!E572</f>
        <v>2</v>
      </c>
      <c r="H572" s="16" t="n">
        <f aca="false">INDEX(Products!$D$2:$D$101,MATCH(D572,Products!$A$2:$A$101,0))</f>
        <v>1599</v>
      </c>
      <c r="I572" s="16" t="n">
        <f aca="false">INDEX(Products!$E$2:$E$101,MATCH(D572,Products!$A$2:$A$101,0))</f>
        <v>900</v>
      </c>
      <c r="J572" s="20" t="n">
        <f aca="false">Orders!F572</f>
        <v>0.15</v>
      </c>
      <c r="K572" s="6" t="n">
        <f aca="false">G572*H572</f>
        <v>3198</v>
      </c>
      <c r="L572" s="6" t="n">
        <f aca="false">K572*J572</f>
        <v>479.7</v>
      </c>
      <c r="M572" s="6" t="n">
        <f aca="false">K572-L572</f>
        <v>2718.3</v>
      </c>
      <c r="N572" s="6" t="n">
        <f aca="false">G572*I572</f>
        <v>1800</v>
      </c>
      <c r="O572" s="6" t="n">
        <f aca="false">M572-N572</f>
        <v>918.3</v>
      </c>
      <c r="P572" s="21" t="n">
        <f aca="false">IFERROR(O572/M572,0)</f>
        <v>0.337821432512968</v>
      </c>
      <c r="Q572" s="6" t="str">
        <f aca="false">Orders!H572</f>
        <v>Delivered</v>
      </c>
      <c r="R572" s="1" t="str">
        <f aca="false">INDEX(Customers!$C$2:$C$301,MATCH(C572,Customers!$A$2:$A$301,0))</f>
        <v>Visakhapatnam</v>
      </c>
      <c r="S572" s="1" t="str">
        <f aca="false">INDEX(Customers!$E$2:$E$301,MATCH(C572,Customers!$A$2:$A$301,0))</f>
        <v>Returning</v>
      </c>
      <c r="T572" s="6" t="str">
        <f aca="false">Orders!I572</f>
        <v>Mobile App</v>
      </c>
      <c r="U572" s="1" t="str">
        <f aca="false">IF(Q572="Delivered","Completed",IF(Q572="Cancelled","Cancelled",IF(Q572="Returned","Returned","In Progress")))</f>
        <v>Completed</v>
      </c>
      <c r="V572" s="1" t="str">
        <f aca="false">IF(M572&gt;=10000,"High Value",IF(M572&gt;=5000,"Medium Value","Low Value"))</f>
        <v>Low Value</v>
      </c>
      <c r="W572" s="1" t="str">
        <f aca="false">IF(O572&gt;0,"Profitable",IF(O572=0,"Break-even","Loss"))</f>
        <v>Profitable</v>
      </c>
      <c r="X572" s="1" t="str">
        <f aca="false">IF(Q572="Cancelled","Not Applicable",IF(Q572="Processing","Pending",IF(B572="","Unknown",IF(Orders!J572="","Unknown",IF(Orders!J572&lt;=3,"Fast",IF(Orders!J572&lt;=6,"Standard","Slow"))))))</f>
        <v>Slow</v>
      </c>
      <c r="Y572" s="1" t="n">
        <f aca="false">IF(OR(Q572="Cancelled",Q572="Returned"),0,O572)</f>
        <v>918.3</v>
      </c>
    </row>
    <row r="573" customFormat="false" ht="15" hidden="false" customHeight="false" outlineLevel="0" collapsed="false">
      <c r="A573" s="6" t="str">
        <f aca="false">Orders!A573</f>
        <v>O000572</v>
      </c>
      <c r="B573" s="19" t="n">
        <f aca="false">Orders!B573</f>
        <v>45790</v>
      </c>
      <c r="C573" s="6" t="str">
        <f aca="false">Orders!C573</f>
        <v>C0199</v>
      </c>
      <c r="D573" s="6" t="str">
        <f aca="false">Orders!D573</f>
        <v>P1062</v>
      </c>
      <c r="E573" s="6" t="str">
        <f aca="false">INDEX(Products!$B$2:$B$101,MATCH(D573,Products!$A$2:$A$101,0))</f>
        <v>Skipping Rope</v>
      </c>
      <c r="F573" s="1" t="str">
        <f aca="false">INDEX(Products!$C$2:$C$101,MATCH(D573,Products!$A$2:$A$101,0))</f>
        <v>Sports &amp; Outdoors</v>
      </c>
      <c r="G573" s="6" t="n">
        <f aca="false">Orders!E573</f>
        <v>1</v>
      </c>
      <c r="H573" s="16" t="n">
        <f aca="false">INDEX(Products!$D$2:$D$101,MATCH(D573,Products!$A$2:$A$101,0))</f>
        <v>249</v>
      </c>
      <c r="I573" s="16" t="n">
        <f aca="false">INDEX(Products!$E$2:$E$101,MATCH(D573,Products!$A$2:$A$101,0))</f>
        <v>80</v>
      </c>
      <c r="J573" s="20" t="n">
        <f aca="false">Orders!F573</f>
        <v>0.15</v>
      </c>
      <c r="K573" s="6" t="n">
        <f aca="false">G573*H573</f>
        <v>249</v>
      </c>
      <c r="L573" s="6" t="n">
        <f aca="false">K573*J573</f>
        <v>37.35</v>
      </c>
      <c r="M573" s="6" t="n">
        <f aca="false">K573-L573</f>
        <v>211.65</v>
      </c>
      <c r="N573" s="6" t="n">
        <f aca="false">G573*I573</f>
        <v>80</v>
      </c>
      <c r="O573" s="6" t="n">
        <f aca="false">M573-N573</f>
        <v>131.65</v>
      </c>
      <c r="P573" s="21" t="n">
        <f aca="false">IFERROR(O573/M573,0)</f>
        <v>0.622017481691472</v>
      </c>
      <c r="Q573" s="6" t="str">
        <f aca="false">Orders!H573</f>
        <v>Delivered</v>
      </c>
      <c r="R573" s="1" t="str">
        <f aca="false">INDEX(Customers!$C$2:$C$301,MATCH(C573,Customers!$A$2:$A$301,0))</f>
        <v>Coimbatore</v>
      </c>
      <c r="S573" s="1" t="str">
        <f aca="false">INDEX(Customers!$E$2:$E$301,MATCH(C573,Customers!$A$2:$A$301,0))</f>
        <v>Returning</v>
      </c>
      <c r="T573" s="6" t="str">
        <f aca="false">Orders!I573</f>
        <v>Website</v>
      </c>
      <c r="U573" s="1" t="str">
        <f aca="false">IF(Q573="Delivered","Completed",IF(Q573="Cancelled","Cancelled",IF(Q573="Returned","Returned","In Progress")))</f>
        <v>Completed</v>
      </c>
      <c r="V573" s="1" t="str">
        <f aca="false">IF(M573&gt;=10000,"High Value",IF(M573&gt;=5000,"Medium Value","Low Value"))</f>
        <v>Low Value</v>
      </c>
      <c r="W573" s="1" t="str">
        <f aca="false">IF(O573&gt;0,"Profitable",IF(O573=0,"Break-even","Loss"))</f>
        <v>Profitable</v>
      </c>
      <c r="X573" s="1" t="str">
        <f aca="false">IF(Q573="Cancelled","Not Applicable",IF(Q573="Processing","Pending",IF(B573="","Unknown",IF(Orders!J573="","Unknown",IF(Orders!J573&lt;=3,"Fast",IF(Orders!J573&lt;=6,"Standard","Slow"))))))</f>
        <v>Fast</v>
      </c>
      <c r="Y573" s="1" t="n">
        <f aca="false">IF(OR(Q573="Cancelled",Q573="Returned"),0,O573)</f>
        <v>131.65</v>
      </c>
    </row>
    <row r="574" customFormat="false" ht="23.85" hidden="false" customHeight="false" outlineLevel="0" collapsed="false">
      <c r="A574" s="6" t="str">
        <f aca="false">Orders!A574</f>
        <v>O000573</v>
      </c>
      <c r="B574" s="19" t="n">
        <f aca="false">Orders!B574</f>
        <v>45911</v>
      </c>
      <c r="C574" s="6" t="str">
        <f aca="false">Orders!C574</f>
        <v>C0009</v>
      </c>
      <c r="D574" s="6" t="str">
        <f aca="false">Orders!D574</f>
        <v>P1001</v>
      </c>
      <c r="E574" s="6" t="str">
        <f aca="false">INDEX(Products!$B$2:$B$101,MATCH(D574,Products!$A$2:$A$101,0))</f>
        <v>Wireless Earbuds</v>
      </c>
      <c r="F574" s="1" t="str">
        <f aca="false">INDEX(Products!$C$2:$C$101,MATCH(D574,Products!$A$2:$A$101,0))</f>
        <v>Electronics</v>
      </c>
      <c r="G574" s="6" t="n">
        <f aca="false">Orders!E574</f>
        <v>1</v>
      </c>
      <c r="H574" s="16" t="n">
        <f aca="false">INDEX(Products!$D$2:$D$101,MATCH(D574,Products!$A$2:$A$101,0))</f>
        <v>899</v>
      </c>
      <c r="I574" s="16" t="n">
        <f aca="false">INDEX(Products!$E$2:$E$101,MATCH(D574,Products!$A$2:$A$101,0))</f>
        <v>499</v>
      </c>
      <c r="J574" s="20" t="n">
        <f aca="false">Orders!F574</f>
        <v>0.25</v>
      </c>
      <c r="K574" s="6" t="n">
        <f aca="false">G574*H574</f>
        <v>899</v>
      </c>
      <c r="L574" s="6" t="n">
        <f aca="false">K574*J574</f>
        <v>224.75</v>
      </c>
      <c r="M574" s="6" t="n">
        <f aca="false">K574-L574</f>
        <v>674.25</v>
      </c>
      <c r="N574" s="6" t="n">
        <f aca="false">G574*I574</f>
        <v>499</v>
      </c>
      <c r="O574" s="6" t="n">
        <f aca="false">M574-N574</f>
        <v>175.25</v>
      </c>
      <c r="P574" s="21" t="n">
        <f aca="false">IFERROR(O574/M574,0)</f>
        <v>0.259918427882833</v>
      </c>
      <c r="Q574" s="6" t="str">
        <f aca="false">Orders!H574</f>
        <v>Shipped</v>
      </c>
      <c r="R574" s="1" t="str">
        <f aca="false">INDEX(Customers!$C$2:$C$301,MATCH(C574,Customers!$A$2:$A$301,0))</f>
        <v>Ahmedabad</v>
      </c>
      <c r="S574" s="1" t="str">
        <f aca="false">INDEX(Customers!$E$2:$E$301,MATCH(C574,Customers!$A$2:$A$301,0))</f>
        <v>New</v>
      </c>
      <c r="T574" s="6" t="str">
        <f aca="false">Orders!I574</f>
        <v>Mobile App</v>
      </c>
      <c r="U574" s="1" t="str">
        <f aca="false">IF(Q574="Delivered","Completed",IF(Q574="Cancelled","Cancelled",IF(Q574="Returned","Returned","In Progress")))</f>
        <v>In Progress</v>
      </c>
      <c r="V574" s="1" t="str">
        <f aca="false">IF(M574&gt;=10000,"High Value",IF(M574&gt;=5000,"Medium Value","Low Value"))</f>
        <v>Low Value</v>
      </c>
      <c r="W574" s="1" t="str">
        <f aca="false">IF(O574&gt;0,"Profitable",IF(O574=0,"Break-even","Loss"))</f>
        <v>Profitable</v>
      </c>
      <c r="X574" s="1" t="str">
        <f aca="false">IF(Q574="Cancelled","Not Applicable",IF(Q574="Processing","Pending",IF(B574="","Unknown",IF(Orders!J574="","Unknown",IF(Orders!J574&lt;=3,"Fast",IF(Orders!J574&lt;=6,"Standard","Slow"))))))</f>
        <v>Slow</v>
      </c>
      <c r="Y574" s="1" t="n">
        <f aca="false">IF(OR(Q574="Cancelled",Q574="Returned"),0,O574)</f>
        <v>175.25</v>
      </c>
    </row>
    <row r="575" customFormat="false" ht="15" hidden="false" customHeight="false" outlineLevel="0" collapsed="false">
      <c r="A575" s="6" t="str">
        <f aca="false">Orders!A575</f>
        <v>O000574</v>
      </c>
      <c r="B575" s="19" t="n">
        <f aca="false">Orders!B575</f>
        <v>45808</v>
      </c>
      <c r="C575" s="6" t="str">
        <f aca="false">Orders!C575</f>
        <v>C0037</v>
      </c>
      <c r="D575" s="6" t="str">
        <f aca="false">Orders!D575</f>
        <v>P1036</v>
      </c>
      <c r="E575" s="6" t="str">
        <f aca="false">INDEX(Products!$B$2:$B$101,MATCH(D575,Products!$A$2:$A$101,0))</f>
        <v>Dinner Set</v>
      </c>
      <c r="F575" s="1" t="str">
        <f aca="false">INDEX(Products!$C$2:$C$101,MATCH(D575,Products!$A$2:$A$101,0))</f>
        <v>Home &amp; Kitchen</v>
      </c>
      <c r="G575" s="6" t="n">
        <f aca="false">Orders!E575</f>
        <v>1</v>
      </c>
      <c r="H575" s="16" t="n">
        <f aca="false">INDEX(Products!$D$2:$D$101,MATCH(D575,Products!$A$2:$A$101,0))</f>
        <v>1499</v>
      </c>
      <c r="I575" s="16" t="n">
        <f aca="false">INDEX(Products!$E$2:$E$101,MATCH(D575,Products!$A$2:$A$101,0))</f>
        <v>800</v>
      </c>
      <c r="J575" s="20" t="n">
        <f aca="false">Orders!F575</f>
        <v>0.1</v>
      </c>
      <c r="K575" s="6" t="n">
        <f aca="false">G575*H575</f>
        <v>1499</v>
      </c>
      <c r="L575" s="6" t="n">
        <f aca="false">K575*J575</f>
        <v>149.9</v>
      </c>
      <c r="M575" s="6" t="n">
        <f aca="false">K575-L575</f>
        <v>1349.1</v>
      </c>
      <c r="N575" s="6" t="n">
        <f aca="false">G575*I575</f>
        <v>800</v>
      </c>
      <c r="O575" s="6" t="n">
        <f aca="false">M575-N575</f>
        <v>549.1</v>
      </c>
      <c r="P575" s="21" t="n">
        <f aca="false">IFERROR(O575/M575,0)</f>
        <v>0.407012082128827</v>
      </c>
      <c r="Q575" s="6" t="str">
        <f aca="false">Orders!H575</f>
        <v>Cancelled</v>
      </c>
      <c r="R575" s="1" t="str">
        <f aca="false">INDEX(Customers!$C$2:$C$301,MATCH(C575,Customers!$A$2:$A$301,0))</f>
        <v>Surat</v>
      </c>
      <c r="S575" s="1" t="str">
        <f aca="false">INDEX(Customers!$E$2:$E$301,MATCH(C575,Customers!$A$2:$A$301,0))</f>
        <v>Returning</v>
      </c>
      <c r="T575" s="6" t="str">
        <f aca="false">Orders!I575</f>
        <v>Marketplace</v>
      </c>
      <c r="U575" s="1" t="str">
        <f aca="false">IF(Q575="Delivered","Completed",IF(Q575="Cancelled","Cancelled",IF(Q575="Returned","Returned","In Progress")))</f>
        <v>Cancelled</v>
      </c>
      <c r="V575" s="1" t="str">
        <f aca="false">IF(M575&gt;=10000,"High Value",IF(M575&gt;=5000,"Medium Value","Low Value"))</f>
        <v>Low Value</v>
      </c>
      <c r="W575" s="1" t="str">
        <f aca="false">IF(O575&gt;0,"Profitable",IF(O575=0,"Break-even","Loss"))</f>
        <v>Profitable</v>
      </c>
      <c r="X575" s="1" t="str">
        <f aca="false">IF(Q575="Cancelled","Not Applicable",IF(Q575="Processing","Pending",IF(B575="","Unknown",IF(Orders!J575="","Unknown",IF(Orders!J575&lt;=3,"Fast",IF(Orders!J575&lt;=6,"Standard","Slow"))))))</f>
        <v>Not Applicable</v>
      </c>
      <c r="Y575" s="1" t="n">
        <f aca="false">IF(OR(Q575="Cancelled",Q575="Returned"),0,O575)</f>
        <v>0</v>
      </c>
    </row>
    <row r="576" customFormat="false" ht="15" hidden="false" customHeight="false" outlineLevel="0" collapsed="false">
      <c r="A576" s="6" t="str">
        <f aca="false">Orders!A576</f>
        <v>O000575</v>
      </c>
      <c r="B576" s="19" t="n">
        <f aca="false">Orders!B576</f>
        <v>45683</v>
      </c>
      <c r="C576" s="6" t="str">
        <f aca="false">Orders!C576</f>
        <v>C0147</v>
      </c>
      <c r="D576" s="6" t="str">
        <f aca="false">Orders!D576</f>
        <v>P1011</v>
      </c>
      <c r="E576" s="6" t="str">
        <f aca="false">INDEX(Products!$B$2:$B$101,MATCH(D576,Products!$A$2:$A$101,0))</f>
        <v>Headphones</v>
      </c>
      <c r="F576" s="1" t="str">
        <f aca="false">INDEX(Products!$C$2:$C$101,MATCH(D576,Products!$A$2:$A$101,0))</f>
        <v>Electronics</v>
      </c>
      <c r="G576" s="6" t="n">
        <f aca="false">Orders!E576</f>
        <v>1</v>
      </c>
      <c r="H576" s="16" t="n">
        <f aca="false">INDEX(Products!$D$2:$D$101,MATCH(D576,Products!$A$2:$A$101,0))</f>
        <v>1599</v>
      </c>
      <c r="I576" s="16" t="n">
        <f aca="false">INDEX(Products!$E$2:$E$101,MATCH(D576,Products!$A$2:$A$101,0))</f>
        <v>900</v>
      </c>
      <c r="J576" s="20" t="n">
        <f aca="false">Orders!F576</f>
        <v>0.2</v>
      </c>
      <c r="K576" s="6" t="n">
        <f aca="false">G576*H576</f>
        <v>1599</v>
      </c>
      <c r="L576" s="6" t="n">
        <f aca="false">K576*J576</f>
        <v>319.8</v>
      </c>
      <c r="M576" s="6" t="n">
        <f aca="false">K576-L576</f>
        <v>1279.2</v>
      </c>
      <c r="N576" s="6" t="n">
        <f aca="false">G576*I576</f>
        <v>900</v>
      </c>
      <c r="O576" s="6" t="n">
        <f aca="false">M576-N576</f>
        <v>379.2</v>
      </c>
      <c r="P576" s="21" t="n">
        <f aca="false">IFERROR(O576/M576,0)</f>
        <v>0.296435272045028</v>
      </c>
      <c r="Q576" s="6" t="str">
        <f aca="false">Orders!H576</f>
        <v>Processing</v>
      </c>
      <c r="R576" s="1" t="str">
        <f aca="false">INDEX(Customers!$C$2:$C$301,MATCH(C576,Customers!$A$2:$A$301,0))</f>
        <v>Pune</v>
      </c>
      <c r="S576" s="1" t="str">
        <f aca="false">INDEX(Customers!$E$2:$E$301,MATCH(C576,Customers!$A$2:$A$301,0))</f>
        <v>Returning</v>
      </c>
      <c r="T576" s="6" t="str">
        <f aca="false">Orders!I576</f>
        <v>Mobile App</v>
      </c>
      <c r="U576" s="1" t="str">
        <f aca="false">IF(Q576="Delivered","Completed",IF(Q576="Cancelled","Cancelled",IF(Q576="Returned","Returned","In Progress")))</f>
        <v>In Progress</v>
      </c>
      <c r="V576" s="1" t="str">
        <f aca="false">IF(M576&gt;=10000,"High Value",IF(M576&gt;=5000,"Medium Value","Low Value"))</f>
        <v>Low Value</v>
      </c>
      <c r="W576" s="1" t="str">
        <f aca="false">IF(O576&gt;0,"Profitable",IF(O576=0,"Break-even","Loss"))</f>
        <v>Profitable</v>
      </c>
      <c r="X576" s="1" t="str">
        <f aca="false">IF(Q576="Cancelled","Not Applicable",IF(Q576="Processing","Pending",IF(B576="","Unknown",IF(Orders!J576="","Unknown",IF(Orders!J576&lt;=3,"Fast",IF(Orders!J576&lt;=6,"Standard","Slow"))))))</f>
        <v>Pending</v>
      </c>
      <c r="Y576" s="1" t="n">
        <f aca="false">IF(OR(Q576="Cancelled",Q576="Returned"),0,O576)</f>
        <v>379.2</v>
      </c>
    </row>
    <row r="577" customFormat="false" ht="15" hidden="false" customHeight="false" outlineLevel="0" collapsed="false">
      <c r="A577" s="6" t="str">
        <f aca="false">Orders!A577</f>
        <v>O000576</v>
      </c>
      <c r="B577" s="19" t="n">
        <f aca="false">Orders!B577</f>
        <v>45733</v>
      </c>
      <c r="C577" s="6" t="str">
        <f aca="false">Orders!C577</f>
        <v>C0254</v>
      </c>
      <c r="D577" s="6" t="str">
        <f aca="false">Orders!D577</f>
        <v>P1011</v>
      </c>
      <c r="E577" s="6" t="str">
        <f aca="false">INDEX(Products!$B$2:$B$101,MATCH(D577,Products!$A$2:$A$101,0))</f>
        <v>Headphones</v>
      </c>
      <c r="F577" s="1" t="str">
        <f aca="false">INDEX(Products!$C$2:$C$101,MATCH(D577,Products!$A$2:$A$101,0))</f>
        <v>Electronics</v>
      </c>
      <c r="G577" s="6" t="n">
        <f aca="false">Orders!E577</f>
        <v>1</v>
      </c>
      <c r="H577" s="16" t="n">
        <f aca="false">INDEX(Products!$D$2:$D$101,MATCH(D577,Products!$A$2:$A$101,0))</f>
        <v>1599</v>
      </c>
      <c r="I577" s="16" t="n">
        <f aca="false">INDEX(Products!$E$2:$E$101,MATCH(D577,Products!$A$2:$A$101,0))</f>
        <v>900</v>
      </c>
      <c r="J577" s="20" t="n">
        <f aca="false">Orders!F577</f>
        <v>0.1</v>
      </c>
      <c r="K577" s="6" t="n">
        <f aca="false">G577*H577</f>
        <v>1599</v>
      </c>
      <c r="L577" s="6" t="n">
        <f aca="false">K577*J577</f>
        <v>159.9</v>
      </c>
      <c r="M577" s="6" t="n">
        <f aca="false">K577-L577</f>
        <v>1439.1</v>
      </c>
      <c r="N577" s="6" t="n">
        <f aca="false">G577*I577</f>
        <v>900</v>
      </c>
      <c r="O577" s="6" t="n">
        <f aca="false">M577-N577</f>
        <v>539.1</v>
      </c>
      <c r="P577" s="21" t="n">
        <f aca="false">IFERROR(O577/M577,0)</f>
        <v>0.374609130706692</v>
      </c>
      <c r="Q577" s="6" t="str">
        <f aca="false">Orders!H577</f>
        <v>Delivered</v>
      </c>
      <c r="R577" s="1" t="str">
        <f aca="false">INDEX(Customers!$C$2:$C$301,MATCH(C577,Customers!$A$2:$A$301,0))</f>
        <v>Indore</v>
      </c>
      <c r="S577" s="1" t="str">
        <f aca="false">INDEX(Customers!$E$2:$E$301,MATCH(C577,Customers!$A$2:$A$301,0))</f>
        <v>Returning</v>
      </c>
      <c r="T577" s="6" t="str">
        <f aca="false">Orders!I577</f>
        <v>Website</v>
      </c>
      <c r="U577" s="1" t="str">
        <f aca="false">IF(Q577="Delivered","Completed",IF(Q577="Cancelled","Cancelled",IF(Q577="Returned","Returned","In Progress")))</f>
        <v>Completed</v>
      </c>
      <c r="V577" s="1" t="str">
        <f aca="false">IF(M577&gt;=10000,"High Value",IF(M577&gt;=5000,"Medium Value","Low Value"))</f>
        <v>Low Value</v>
      </c>
      <c r="W577" s="1" t="str">
        <f aca="false">IF(O577&gt;0,"Profitable",IF(O577=0,"Break-even","Loss"))</f>
        <v>Profitable</v>
      </c>
      <c r="X577" s="1" t="str">
        <f aca="false">IF(Q577="Cancelled","Not Applicable",IF(Q577="Processing","Pending",IF(B577="","Unknown",IF(Orders!J577="","Unknown",IF(Orders!J577&lt;=3,"Fast",IF(Orders!J577&lt;=6,"Standard","Slow"))))))</f>
        <v>Slow</v>
      </c>
      <c r="Y577" s="1" t="n">
        <f aca="false">IF(OR(Q577="Cancelled",Q577="Returned"),0,O577)</f>
        <v>539.1</v>
      </c>
    </row>
    <row r="578" customFormat="false" ht="15" hidden="false" customHeight="false" outlineLevel="0" collapsed="false">
      <c r="A578" s="6" t="str">
        <f aca="false">Orders!A578</f>
        <v>O000577</v>
      </c>
      <c r="B578" s="19" t="n">
        <f aca="false">Orders!B578</f>
        <v>46001</v>
      </c>
      <c r="C578" s="6" t="str">
        <f aca="false">Orders!C578</f>
        <v>C0012</v>
      </c>
      <c r="D578" s="6" t="str">
        <f aca="false">Orders!D578</f>
        <v>P1028</v>
      </c>
      <c r="E578" s="6" t="str">
        <f aca="false">INDEX(Products!$B$2:$B$101,MATCH(D578,Products!$A$2:$A$101,0))</f>
        <v>Sneakers</v>
      </c>
      <c r="F578" s="1" t="str">
        <f aca="false">INDEX(Products!$C$2:$C$101,MATCH(D578,Products!$A$2:$A$101,0))</f>
        <v>Fashion</v>
      </c>
      <c r="G578" s="6" t="n">
        <f aca="false">Orders!E578</f>
        <v>1</v>
      </c>
      <c r="H578" s="16" t="n">
        <f aca="false">INDEX(Products!$D$2:$D$101,MATCH(D578,Products!$A$2:$A$101,0))</f>
        <v>1799</v>
      </c>
      <c r="I578" s="16" t="n">
        <f aca="false">INDEX(Products!$E$2:$E$101,MATCH(D578,Products!$A$2:$A$101,0))</f>
        <v>950</v>
      </c>
      <c r="J578" s="20" t="n">
        <f aca="false">Orders!F578</f>
        <v>0.1</v>
      </c>
      <c r="K578" s="6" t="n">
        <f aca="false">G578*H578</f>
        <v>1799</v>
      </c>
      <c r="L578" s="6" t="n">
        <f aca="false">K578*J578</f>
        <v>179.9</v>
      </c>
      <c r="M578" s="6" t="n">
        <f aca="false">K578-L578</f>
        <v>1619.1</v>
      </c>
      <c r="N578" s="6" t="n">
        <f aca="false">G578*I578</f>
        <v>950</v>
      </c>
      <c r="O578" s="6" t="n">
        <f aca="false">M578-N578</f>
        <v>669.1</v>
      </c>
      <c r="P578" s="21" t="n">
        <f aca="false">IFERROR(O578/M578,0)</f>
        <v>0.413254277067507</v>
      </c>
      <c r="Q578" s="6" t="str">
        <f aca="false">Orders!H578</f>
        <v>Delivered</v>
      </c>
      <c r="R578" s="1" t="str">
        <f aca="false">INDEX(Customers!$C$2:$C$301,MATCH(C578,Customers!$A$2:$A$301,0))</f>
        <v>Noida</v>
      </c>
      <c r="S578" s="1" t="str">
        <f aca="false">INDEX(Customers!$E$2:$E$301,MATCH(C578,Customers!$A$2:$A$301,0))</f>
        <v>Returning</v>
      </c>
      <c r="T578" s="6" t="str">
        <f aca="false">Orders!I578</f>
        <v>Marketplace</v>
      </c>
      <c r="U578" s="1" t="str">
        <f aca="false">IF(Q578="Delivered","Completed",IF(Q578="Cancelled","Cancelled",IF(Q578="Returned","Returned","In Progress")))</f>
        <v>Completed</v>
      </c>
      <c r="V578" s="1" t="str">
        <f aca="false">IF(M578&gt;=10000,"High Value",IF(M578&gt;=5000,"Medium Value","Low Value"))</f>
        <v>Low Value</v>
      </c>
      <c r="W578" s="1" t="str">
        <f aca="false">IF(O578&gt;0,"Profitable",IF(O578=0,"Break-even","Loss"))</f>
        <v>Profitable</v>
      </c>
      <c r="X578" s="1" t="str">
        <f aca="false">IF(Q578="Cancelled","Not Applicable",IF(Q578="Processing","Pending",IF(B578="","Unknown",IF(Orders!J578="","Unknown",IF(Orders!J578&lt;=3,"Fast",IF(Orders!J578&lt;=6,"Standard","Slow"))))))</f>
        <v>Standard</v>
      </c>
      <c r="Y578" s="1" t="n">
        <f aca="false">IF(OR(Q578="Cancelled",Q578="Returned"),0,O578)</f>
        <v>669.1</v>
      </c>
    </row>
    <row r="579" customFormat="false" ht="23.85" hidden="false" customHeight="false" outlineLevel="0" collapsed="false">
      <c r="A579" s="6" t="str">
        <f aca="false">Orders!A579</f>
        <v>O000578</v>
      </c>
      <c r="B579" s="19" t="n">
        <f aca="false">Orders!B579</f>
        <v>45808</v>
      </c>
      <c r="C579" s="6" t="str">
        <f aca="false">Orders!C579</f>
        <v>C0216</v>
      </c>
      <c r="D579" s="6" t="str">
        <f aca="false">Orders!D579</f>
        <v>P1093</v>
      </c>
      <c r="E579" s="6" t="str">
        <f aca="false">INDEX(Products!$B$2:$B$101,MATCH(D579,Products!$A$2:$A$101,0))</f>
        <v>Induction Cooktop</v>
      </c>
      <c r="F579" s="1" t="str">
        <f aca="false">INDEX(Products!$C$2:$C$101,MATCH(D579,Products!$A$2:$A$101,0))</f>
        <v>Appliances</v>
      </c>
      <c r="G579" s="6" t="n">
        <f aca="false">Orders!E579</f>
        <v>2</v>
      </c>
      <c r="H579" s="16" t="n">
        <f aca="false">INDEX(Products!$D$2:$D$101,MATCH(D579,Products!$A$2:$A$101,0))</f>
        <v>2299</v>
      </c>
      <c r="I579" s="16" t="n">
        <f aca="false">INDEX(Products!$E$2:$E$101,MATCH(D579,Products!$A$2:$A$101,0))</f>
        <v>1450</v>
      </c>
      <c r="J579" s="20" t="n">
        <f aca="false">Orders!F579</f>
        <v>0.2</v>
      </c>
      <c r="K579" s="6" t="n">
        <f aca="false">G579*H579</f>
        <v>4598</v>
      </c>
      <c r="L579" s="6" t="n">
        <f aca="false">K579*J579</f>
        <v>919.6</v>
      </c>
      <c r="M579" s="6" t="n">
        <f aca="false">K579-L579</f>
        <v>3678.4</v>
      </c>
      <c r="N579" s="6" t="n">
        <f aca="false">G579*I579</f>
        <v>2900</v>
      </c>
      <c r="O579" s="6" t="n">
        <f aca="false">M579-N579</f>
        <v>778.4</v>
      </c>
      <c r="P579" s="21" t="n">
        <f aca="false">IFERROR(O579/M579,0)</f>
        <v>0.211613745106568</v>
      </c>
      <c r="Q579" s="6" t="str">
        <f aca="false">Orders!H579</f>
        <v>Returned</v>
      </c>
      <c r="R579" s="1" t="str">
        <f aca="false">INDEX(Customers!$C$2:$C$301,MATCH(C579,Customers!$A$2:$A$301,0))</f>
        <v>Chandigarh</v>
      </c>
      <c r="S579" s="1" t="str">
        <f aca="false">INDEX(Customers!$E$2:$E$301,MATCH(C579,Customers!$A$2:$A$301,0))</f>
        <v>Returning</v>
      </c>
      <c r="T579" s="6" t="str">
        <f aca="false">Orders!I579</f>
        <v>Website</v>
      </c>
      <c r="U579" s="1" t="str">
        <f aca="false">IF(Q579="Delivered","Completed",IF(Q579="Cancelled","Cancelled",IF(Q579="Returned","Returned","In Progress")))</f>
        <v>Returned</v>
      </c>
      <c r="V579" s="1" t="str">
        <f aca="false">IF(M579&gt;=10000,"High Value",IF(M579&gt;=5000,"Medium Value","Low Value"))</f>
        <v>Low Value</v>
      </c>
      <c r="W579" s="1" t="str">
        <f aca="false">IF(O579&gt;0,"Profitable",IF(O579=0,"Break-even","Loss"))</f>
        <v>Profitable</v>
      </c>
      <c r="X579" s="1" t="str">
        <f aca="false">IF(Q579="Cancelled","Not Applicable",IF(Q579="Processing","Pending",IF(B579="","Unknown",IF(Orders!J579="","Unknown",IF(Orders!J579&lt;=3,"Fast",IF(Orders!J579&lt;=6,"Standard","Slow"))))))</f>
        <v>Fast</v>
      </c>
      <c r="Y579" s="1" t="n">
        <f aca="false">IF(OR(Q579="Cancelled",Q579="Returned"),0,O579)</f>
        <v>0</v>
      </c>
    </row>
    <row r="580" customFormat="false" ht="15" hidden="false" customHeight="false" outlineLevel="0" collapsed="false">
      <c r="A580" s="6" t="str">
        <f aca="false">Orders!A580</f>
        <v>O000579</v>
      </c>
      <c r="B580" s="19" t="n">
        <f aca="false">Orders!B580</f>
        <v>45819</v>
      </c>
      <c r="C580" s="6" t="str">
        <f aca="false">Orders!C580</f>
        <v>C0247</v>
      </c>
      <c r="D580" s="6" t="str">
        <f aca="false">Orders!D580</f>
        <v>P1023</v>
      </c>
      <c r="E580" s="6" t="str">
        <f aca="false">INDEX(Products!$B$2:$B$101,MATCH(D580,Products!$A$2:$A$101,0))</f>
        <v>Sports Cap</v>
      </c>
      <c r="F580" s="1" t="str">
        <f aca="false">INDEX(Products!$C$2:$C$101,MATCH(D580,Products!$A$2:$A$101,0))</f>
        <v>Fashion</v>
      </c>
      <c r="G580" s="6" t="n">
        <f aca="false">Orders!E580</f>
        <v>2</v>
      </c>
      <c r="H580" s="16" t="n">
        <f aca="false">INDEX(Products!$D$2:$D$101,MATCH(D580,Products!$A$2:$A$101,0))</f>
        <v>349</v>
      </c>
      <c r="I580" s="16" t="n">
        <f aca="false">INDEX(Products!$E$2:$E$101,MATCH(D580,Products!$A$2:$A$101,0))</f>
        <v>120</v>
      </c>
      <c r="J580" s="20" t="n">
        <f aca="false">Orders!F580</f>
        <v>0.15</v>
      </c>
      <c r="K580" s="6" t="n">
        <f aca="false">G580*H580</f>
        <v>698</v>
      </c>
      <c r="L580" s="6" t="n">
        <f aca="false">K580*J580</f>
        <v>104.7</v>
      </c>
      <c r="M580" s="6" t="n">
        <f aca="false">K580-L580</f>
        <v>593.3</v>
      </c>
      <c r="N580" s="6" t="n">
        <f aca="false">G580*I580</f>
        <v>240</v>
      </c>
      <c r="O580" s="6" t="n">
        <f aca="false">M580-N580</f>
        <v>353.3</v>
      </c>
      <c r="P580" s="21" t="n">
        <f aca="false">IFERROR(O580/M580,0)</f>
        <v>0.59548289229732</v>
      </c>
      <c r="Q580" s="6" t="str">
        <f aca="false">Orders!H580</f>
        <v>Processing</v>
      </c>
      <c r="R580" s="1" t="str">
        <f aca="false">INDEX(Customers!$C$2:$C$301,MATCH(C580,Customers!$A$2:$A$301,0))</f>
        <v>Pune</v>
      </c>
      <c r="S580" s="1" t="str">
        <f aca="false">INDEX(Customers!$E$2:$E$301,MATCH(C580,Customers!$A$2:$A$301,0))</f>
        <v>Returning</v>
      </c>
      <c r="T580" s="6" t="str">
        <f aca="false">Orders!I580</f>
        <v>Mobile App</v>
      </c>
      <c r="U580" s="1" t="str">
        <f aca="false">IF(Q580="Delivered","Completed",IF(Q580="Cancelled","Cancelled",IF(Q580="Returned","Returned","In Progress")))</f>
        <v>In Progress</v>
      </c>
      <c r="V580" s="1" t="str">
        <f aca="false">IF(M580&gt;=10000,"High Value",IF(M580&gt;=5000,"Medium Value","Low Value"))</f>
        <v>Low Value</v>
      </c>
      <c r="W580" s="1" t="str">
        <f aca="false">IF(O580&gt;0,"Profitable",IF(O580=0,"Break-even","Loss"))</f>
        <v>Profitable</v>
      </c>
      <c r="X580" s="1" t="str">
        <f aca="false">IF(Q580="Cancelled","Not Applicable",IF(Q580="Processing","Pending",IF(B580="","Unknown",IF(Orders!J580="","Unknown",IF(Orders!J580&lt;=3,"Fast",IF(Orders!J580&lt;=6,"Standard","Slow"))))))</f>
        <v>Pending</v>
      </c>
      <c r="Y580" s="1" t="n">
        <f aca="false">IF(OR(Q580="Cancelled",Q580="Returned"),0,O580)</f>
        <v>353.3</v>
      </c>
    </row>
    <row r="581" customFormat="false" ht="23.85" hidden="false" customHeight="false" outlineLevel="0" collapsed="false">
      <c r="A581" s="6" t="str">
        <f aca="false">Orders!A581</f>
        <v>O000580</v>
      </c>
      <c r="B581" s="19" t="n">
        <f aca="false">Orders!B581</f>
        <v>45963</v>
      </c>
      <c r="C581" s="6" t="str">
        <f aca="false">Orders!C581</f>
        <v>C0050</v>
      </c>
      <c r="D581" s="6" t="str">
        <f aca="false">Orders!D581</f>
        <v>P1047</v>
      </c>
      <c r="E581" s="6" t="str">
        <f aca="false">INDEX(Products!$B$2:$B$101,MATCH(D581,Products!$A$2:$A$101,0))</f>
        <v>Sunscreen Lotion</v>
      </c>
      <c r="F581" s="1" t="str">
        <f aca="false">INDEX(Products!$C$2:$C$101,MATCH(D581,Products!$A$2:$A$101,0))</f>
        <v>Beauty</v>
      </c>
      <c r="G581" s="6" t="n">
        <f aca="false">Orders!E581</f>
        <v>2</v>
      </c>
      <c r="H581" s="16" t="n">
        <f aca="false">INDEX(Products!$D$2:$D$101,MATCH(D581,Products!$A$2:$A$101,0))</f>
        <v>399</v>
      </c>
      <c r="I581" s="16" t="n">
        <f aca="false">INDEX(Products!$E$2:$E$101,MATCH(D581,Products!$A$2:$A$101,0))</f>
        <v>170</v>
      </c>
      <c r="J581" s="20" t="n">
        <f aca="false">Orders!F581</f>
        <v>0.15</v>
      </c>
      <c r="K581" s="6" t="n">
        <f aca="false">G581*H581</f>
        <v>798</v>
      </c>
      <c r="L581" s="6" t="n">
        <f aca="false">K581*J581</f>
        <v>119.7</v>
      </c>
      <c r="M581" s="6" t="n">
        <f aca="false">K581-L581</f>
        <v>678.3</v>
      </c>
      <c r="N581" s="6" t="n">
        <f aca="false">G581*I581</f>
        <v>340</v>
      </c>
      <c r="O581" s="6" t="n">
        <f aca="false">M581-N581</f>
        <v>338.3</v>
      </c>
      <c r="P581" s="21" t="n">
        <f aca="false">IFERROR(O581/M581,0)</f>
        <v>0.49874686716792</v>
      </c>
      <c r="Q581" s="6" t="str">
        <f aca="false">Orders!H581</f>
        <v>Delivered</v>
      </c>
      <c r="R581" s="1" t="str">
        <f aca="false">INDEX(Customers!$C$2:$C$301,MATCH(C581,Customers!$A$2:$A$301,0))</f>
        <v>Lucknow</v>
      </c>
      <c r="S581" s="1" t="str">
        <f aca="false">INDEX(Customers!$E$2:$E$301,MATCH(C581,Customers!$A$2:$A$301,0))</f>
        <v>New</v>
      </c>
      <c r="T581" s="6" t="str">
        <f aca="false">Orders!I581</f>
        <v>Mobile App</v>
      </c>
      <c r="U581" s="1" t="str">
        <f aca="false">IF(Q581="Delivered","Completed",IF(Q581="Cancelled","Cancelled",IF(Q581="Returned","Returned","In Progress")))</f>
        <v>Completed</v>
      </c>
      <c r="V581" s="1" t="str">
        <f aca="false">IF(M581&gt;=10000,"High Value",IF(M581&gt;=5000,"Medium Value","Low Value"))</f>
        <v>Low Value</v>
      </c>
      <c r="W581" s="1" t="str">
        <f aca="false">IF(O581&gt;0,"Profitable",IF(O581=0,"Break-even","Loss"))</f>
        <v>Profitable</v>
      </c>
      <c r="X581" s="1" t="str">
        <f aca="false">IF(Q581="Cancelled","Not Applicable",IF(Q581="Processing","Pending",IF(B581="","Unknown",IF(Orders!J581="","Unknown",IF(Orders!J581&lt;=3,"Fast",IF(Orders!J581&lt;=6,"Standard","Slow"))))))</f>
        <v>Slow</v>
      </c>
      <c r="Y581" s="1" t="n">
        <f aca="false">IF(OR(Q581="Cancelled",Q581="Returned"),0,O581)</f>
        <v>338.3</v>
      </c>
    </row>
    <row r="582" customFormat="false" ht="15" hidden="false" customHeight="false" outlineLevel="0" collapsed="false">
      <c r="A582" s="6" t="str">
        <f aca="false">Orders!A582</f>
        <v>O000581</v>
      </c>
      <c r="B582" s="19" t="n">
        <f aca="false">Orders!B582</f>
        <v>45863</v>
      </c>
      <c r="C582" s="6" t="str">
        <f aca="false">Orders!C582</f>
        <v>C0254</v>
      </c>
      <c r="D582" s="6" t="str">
        <f aca="false">Orders!D582</f>
        <v>P1036</v>
      </c>
      <c r="E582" s="6" t="str">
        <f aca="false">INDEX(Products!$B$2:$B$101,MATCH(D582,Products!$A$2:$A$101,0))</f>
        <v>Dinner Set</v>
      </c>
      <c r="F582" s="1" t="str">
        <f aca="false">INDEX(Products!$C$2:$C$101,MATCH(D582,Products!$A$2:$A$101,0))</f>
        <v>Home &amp; Kitchen</v>
      </c>
      <c r="G582" s="6" t="n">
        <f aca="false">Orders!E582</f>
        <v>2</v>
      </c>
      <c r="H582" s="16" t="n">
        <f aca="false">INDEX(Products!$D$2:$D$101,MATCH(D582,Products!$A$2:$A$101,0))</f>
        <v>1499</v>
      </c>
      <c r="I582" s="16" t="n">
        <f aca="false">INDEX(Products!$E$2:$E$101,MATCH(D582,Products!$A$2:$A$101,0))</f>
        <v>800</v>
      </c>
      <c r="J582" s="20" t="n">
        <f aca="false">Orders!F582</f>
        <v>0</v>
      </c>
      <c r="K582" s="6" t="n">
        <f aca="false">G582*H582</f>
        <v>2998</v>
      </c>
      <c r="L582" s="6" t="n">
        <f aca="false">K582*J582</f>
        <v>0</v>
      </c>
      <c r="M582" s="6" t="n">
        <f aca="false">K582-L582</f>
        <v>2998</v>
      </c>
      <c r="N582" s="6" t="n">
        <f aca="false">G582*I582</f>
        <v>1600</v>
      </c>
      <c r="O582" s="6" t="n">
        <f aca="false">M582-N582</f>
        <v>1398</v>
      </c>
      <c r="P582" s="21" t="n">
        <f aca="false">IFERROR(O582/M582,0)</f>
        <v>0.466310873915944</v>
      </c>
      <c r="Q582" s="6" t="str">
        <f aca="false">Orders!H582</f>
        <v>Delivered</v>
      </c>
      <c r="R582" s="1" t="str">
        <f aca="false">INDEX(Customers!$C$2:$C$301,MATCH(C582,Customers!$A$2:$A$301,0))</f>
        <v>Indore</v>
      </c>
      <c r="S582" s="1" t="str">
        <f aca="false">INDEX(Customers!$E$2:$E$301,MATCH(C582,Customers!$A$2:$A$301,0))</f>
        <v>Returning</v>
      </c>
      <c r="T582" s="6" t="str">
        <f aca="false">Orders!I582</f>
        <v>Mobile App</v>
      </c>
      <c r="U582" s="1" t="str">
        <f aca="false">IF(Q582="Delivered","Completed",IF(Q582="Cancelled","Cancelled",IF(Q582="Returned","Returned","In Progress")))</f>
        <v>Completed</v>
      </c>
      <c r="V582" s="1" t="str">
        <f aca="false">IF(M582&gt;=10000,"High Value",IF(M582&gt;=5000,"Medium Value","Low Value"))</f>
        <v>Low Value</v>
      </c>
      <c r="W582" s="1" t="str">
        <f aca="false">IF(O582&gt;0,"Profitable",IF(O582=0,"Break-even","Loss"))</f>
        <v>Profitable</v>
      </c>
      <c r="X582" s="1" t="str">
        <f aca="false">IF(Q582="Cancelled","Not Applicable",IF(Q582="Processing","Pending",IF(B582="","Unknown",IF(Orders!J582="","Unknown",IF(Orders!J582&lt;=3,"Fast",IF(Orders!J582&lt;=6,"Standard","Slow"))))))</f>
        <v>Fast</v>
      </c>
      <c r="Y582" s="1" t="n">
        <f aca="false">IF(OR(Q582="Cancelled",Q582="Returned"),0,O582)</f>
        <v>1398</v>
      </c>
    </row>
    <row r="583" customFormat="false" ht="15" hidden="false" customHeight="false" outlineLevel="0" collapsed="false">
      <c r="A583" s="6" t="str">
        <f aca="false">Orders!A583</f>
        <v>O000582</v>
      </c>
      <c r="B583" s="19" t="n">
        <f aca="false">Orders!B583</f>
        <v>45812</v>
      </c>
      <c r="C583" s="6" t="str">
        <f aca="false">Orders!C583</f>
        <v>C0257</v>
      </c>
      <c r="D583" s="6" t="str">
        <f aca="false">Orders!D583</f>
        <v>P1059</v>
      </c>
      <c r="E583" s="6" t="str">
        <f aca="false">INDEX(Products!$B$2:$B$101,MATCH(D583,Products!$A$2:$A$101,0))</f>
        <v>Bath Gift Set</v>
      </c>
      <c r="F583" s="1" t="str">
        <f aca="false">INDEX(Products!$C$2:$C$101,MATCH(D583,Products!$A$2:$A$101,0))</f>
        <v>Beauty</v>
      </c>
      <c r="G583" s="6" t="n">
        <f aca="false">Orders!E583</f>
        <v>5</v>
      </c>
      <c r="H583" s="16" t="n">
        <f aca="false">INDEX(Products!$D$2:$D$101,MATCH(D583,Products!$A$2:$A$101,0))</f>
        <v>699</v>
      </c>
      <c r="I583" s="16" t="n">
        <f aca="false">INDEX(Products!$E$2:$E$101,MATCH(D583,Products!$A$2:$A$101,0))</f>
        <v>350</v>
      </c>
      <c r="J583" s="20" t="n">
        <f aca="false">Orders!F583</f>
        <v>0</v>
      </c>
      <c r="K583" s="6" t="n">
        <f aca="false">G583*H583</f>
        <v>3495</v>
      </c>
      <c r="L583" s="6" t="n">
        <f aca="false">K583*J583</f>
        <v>0</v>
      </c>
      <c r="M583" s="6" t="n">
        <f aca="false">K583-L583</f>
        <v>3495</v>
      </c>
      <c r="N583" s="6" t="n">
        <f aca="false">G583*I583</f>
        <v>1750</v>
      </c>
      <c r="O583" s="6" t="n">
        <f aca="false">M583-N583</f>
        <v>1745</v>
      </c>
      <c r="P583" s="21" t="n">
        <f aca="false">IFERROR(O583/M583,0)</f>
        <v>0.49928469241774</v>
      </c>
      <c r="Q583" s="6" t="str">
        <f aca="false">Orders!H583</f>
        <v>Delivered</v>
      </c>
      <c r="R583" s="1" t="str">
        <f aca="false">INDEX(Customers!$C$2:$C$301,MATCH(C583,Customers!$A$2:$A$301,0))</f>
        <v>Surat</v>
      </c>
      <c r="S583" s="1" t="str">
        <f aca="false">INDEX(Customers!$E$2:$E$301,MATCH(C583,Customers!$A$2:$A$301,0))</f>
        <v>New</v>
      </c>
      <c r="T583" s="6" t="str">
        <f aca="false">Orders!I583</f>
        <v>Mobile App</v>
      </c>
      <c r="U583" s="1" t="str">
        <f aca="false">IF(Q583="Delivered","Completed",IF(Q583="Cancelled","Cancelled",IF(Q583="Returned","Returned","In Progress")))</f>
        <v>Completed</v>
      </c>
      <c r="V583" s="1" t="str">
        <f aca="false">IF(M583&gt;=10000,"High Value",IF(M583&gt;=5000,"Medium Value","Low Value"))</f>
        <v>Low Value</v>
      </c>
      <c r="W583" s="1" t="str">
        <f aca="false">IF(O583&gt;0,"Profitable",IF(O583=0,"Break-even","Loss"))</f>
        <v>Profitable</v>
      </c>
      <c r="X583" s="1" t="str">
        <f aca="false">IF(Q583="Cancelled","Not Applicable",IF(Q583="Processing","Pending",IF(B583="","Unknown",IF(Orders!J583="","Unknown",IF(Orders!J583&lt;=3,"Fast",IF(Orders!J583&lt;=6,"Standard","Slow"))))))</f>
        <v>Slow</v>
      </c>
      <c r="Y583" s="1" t="n">
        <f aca="false">IF(OR(Q583="Cancelled",Q583="Returned"),0,O583)</f>
        <v>1745</v>
      </c>
    </row>
    <row r="584" customFormat="false" ht="15" hidden="false" customHeight="false" outlineLevel="0" collapsed="false">
      <c r="A584" s="6" t="str">
        <f aca="false">Orders!A584</f>
        <v>O000583</v>
      </c>
      <c r="B584" s="19" t="n">
        <f aca="false">Orders!B584</f>
        <v>45851</v>
      </c>
      <c r="C584" s="6" t="str">
        <f aca="false">Orders!C584</f>
        <v>C0246</v>
      </c>
      <c r="D584" s="6" t="str">
        <f aca="false">Orders!D584</f>
        <v>P1013</v>
      </c>
      <c r="E584" s="6" t="str">
        <f aca="false">INDEX(Products!$B$2:$B$101,MATCH(D584,Products!$A$2:$A$101,0))</f>
        <v>Memory Card</v>
      </c>
      <c r="F584" s="1" t="str">
        <f aca="false">INDEX(Products!$C$2:$C$101,MATCH(D584,Products!$A$2:$A$101,0))</f>
        <v>Electronics</v>
      </c>
      <c r="G584" s="6" t="n">
        <f aca="false">Orders!E584</f>
        <v>1</v>
      </c>
      <c r="H584" s="16" t="n">
        <f aca="false">INDEX(Products!$D$2:$D$101,MATCH(D584,Products!$A$2:$A$101,0))</f>
        <v>699</v>
      </c>
      <c r="I584" s="16" t="n">
        <f aca="false">INDEX(Products!$E$2:$E$101,MATCH(D584,Products!$A$2:$A$101,0))</f>
        <v>400</v>
      </c>
      <c r="J584" s="20" t="n">
        <f aca="false">Orders!F584</f>
        <v>0.2</v>
      </c>
      <c r="K584" s="6" t="n">
        <f aca="false">G584*H584</f>
        <v>699</v>
      </c>
      <c r="L584" s="6" t="n">
        <f aca="false">K584*J584</f>
        <v>139.8</v>
      </c>
      <c r="M584" s="6" t="n">
        <f aca="false">K584-L584</f>
        <v>559.2</v>
      </c>
      <c r="N584" s="6" t="n">
        <f aca="false">G584*I584</f>
        <v>400</v>
      </c>
      <c r="O584" s="6" t="n">
        <f aca="false">M584-N584</f>
        <v>159.2</v>
      </c>
      <c r="P584" s="21" t="n">
        <f aca="false">IFERROR(O584/M584,0)</f>
        <v>0.284692417739628</v>
      </c>
      <c r="Q584" s="6" t="str">
        <f aca="false">Orders!H584</f>
        <v>Delivered</v>
      </c>
      <c r="R584" s="1" t="str">
        <f aca="false">INDEX(Customers!$C$2:$C$301,MATCH(C584,Customers!$A$2:$A$301,0))</f>
        <v>Kolkata</v>
      </c>
      <c r="S584" s="1" t="str">
        <f aca="false">INDEX(Customers!$E$2:$E$301,MATCH(C584,Customers!$A$2:$A$301,0))</f>
        <v>New</v>
      </c>
      <c r="T584" s="6" t="str">
        <f aca="false">Orders!I584</f>
        <v>Mobile App</v>
      </c>
      <c r="U584" s="1" t="str">
        <f aca="false">IF(Q584="Delivered","Completed",IF(Q584="Cancelled","Cancelled",IF(Q584="Returned","Returned","In Progress")))</f>
        <v>Completed</v>
      </c>
      <c r="V584" s="1" t="str">
        <f aca="false">IF(M584&gt;=10000,"High Value",IF(M584&gt;=5000,"Medium Value","Low Value"))</f>
        <v>Low Value</v>
      </c>
      <c r="W584" s="1" t="str">
        <f aca="false">IF(O584&gt;0,"Profitable",IF(O584=0,"Break-even","Loss"))</f>
        <v>Profitable</v>
      </c>
      <c r="X584" s="1" t="str">
        <f aca="false">IF(Q584="Cancelled","Not Applicable",IF(Q584="Processing","Pending",IF(B584="","Unknown",IF(Orders!J584="","Unknown",IF(Orders!J584&lt;=3,"Fast",IF(Orders!J584&lt;=6,"Standard","Slow"))))))</f>
        <v>Fast</v>
      </c>
      <c r="Y584" s="1" t="n">
        <f aca="false">IF(OR(Q584="Cancelled",Q584="Returned"),0,O584)</f>
        <v>159.2</v>
      </c>
    </row>
    <row r="585" customFormat="false" ht="15" hidden="false" customHeight="false" outlineLevel="0" collapsed="false">
      <c r="A585" s="6" t="str">
        <f aca="false">Orders!A585</f>
        <v>O000584</v>
      </c>
      <c r="B585" s="19" t="n">
        <f aca="false">Orders!B585</f>
        <v>45946</v>
      </c>
      <c r="C585" s="6" t="str">
        <f aca="false">Orders!C585</f>
        <v>C0248</v>
      </c>
      <c r="D585" s="6" t="str">
        <f aca="false">Orders!D585</f>
        <v>P1071</v>
      </c>
      <c r="E585" s="6" t="str">
        <f aca="false">INDEX(Products!$B$2:$B$101,MATCH(D585,Products!$A$2:$A$101,0))</f>
        <v>Exercise Ball</v>
      </c>
      <c r="F585" s="1" t="str">
        <f aca="false">INDEX(Products!$C$2:$C$101,MATCH(D585,Products!$A$2:$A$101,0))</f>
        <v>Sports &amp; Outdoors</v>
      </c>
      <c r="G585" s="6" t="n">
        <f aca="false">Orders!E585</f>
        <v>1</v>
      </c>
      <c r="H585" s="16" t="n">
        <f aca="false">INDEX(Products!$D$2:$D$101,MATCH(D585,Products!$A$2:$A$101,0))</f>
        <v>699</v>
      </c>
      <c r="I585" s="16" t="n">
        <f aca="false">INDEX(Products!$E$2:$E$101,MATCH(D585,Products!$A$2:$A$101,0))</f>
        <v>320</v>
      </c>
      <c r="J585" s="20" t="n">
        <f aca="false">Orders!F585</f>
        <v>0</v>
      </c>
      <c r="K585" s="6" t="n">
        <f aca="false">G585*H585</f>
        <v>699</v>
      </c>
      <c r="L585" s="6" t="n">
        <f aca="false">K585*J585</f>
        <v>0</v>
      </c>
      <c r="M585" s="6" t="n">
        <f aca="false">K585-L585</f>
        <v>699</v>
      </c>
      <c r="N585" s="6" t="n">
        <f aca="false">G585*I585</f>
        <v>320</v>
      </c>
      <c r="O585" s="6" t="n">
        <f aca="false">M585-N585</f>
        <v>379</v>
      </c>
      <c r="P585" s="21" t="n">
        <f aca="false">IFERROR(O585/M585,0)</f>
        <v>0.542203147353362</v>
      </c>
      <c r="Q585" s="6" t="str">
        <f aca="false">Orders!H585</f>
        <v>Delivered</v>
      </c>
      <c r="R585" s="1" t="str">
        <f aca="false">INDEX(Customers!$C$2:$C$301,MATCH(C585,Customers!$A$2:$A$301,0))</f>
        <v>Jaipur</v>
      </c>
      <c r="S585" s="1" t="str">
        <f aca="false">INDEX(Customers!$E$2:$E$301,MATCH(C585,Customers!$A$2:$A$301,0))</f>
        <v>Returning</v>
      </c>
      <c r="T585" s="6" t="str">
        <f aca="false">Orders!I585</f>
        <v>Mobile App</v>
      </c>
      <c r="U585" s="1" t="str">
        <f aca="false">IF(Q585="Delivered","Completed",IF(Q585="Cancelled","Cancelled",IF(Q585="Returned","Returned","In Progress")))</f>
        <v>Completed</v>
      </c>
      <c r="V585" s="1" t="str">
        <f aca="false">IF(M585&gt;=10000,"High Value",IF(M585&gt;=5000,"Medium Value","Low Value"))</f>
        <v>Low Value</v>
      </c>
      <c r="W585" s="1" t="str">
        <f aca="false">IF(O585&gt;0,"Profitable",IF(O585=0,"Break-even","Loss"))</f>
        <v>Profitable</v>
      </c>
      <c r="X585" s="1" t="str">
        <f aca="false">IF(Q585="Cancelled","Not Applicable",IF(Q585="Processing","Pending",IF(B585="","Unknown",IF(Orders!J585="","Unknown",IF(Orders!J585&lt;=3,"Fast",IF(Orders!J585&lt;=6,"Standard","Slow"))))))</f>
        <v>Slow</v>
      </c>
      <c r="Y585" s="1" t="n">
        <f aca="false">IF(OR(Q585="Cancelled",Q585="Returned"),0,O585)</f>
        <v>379</v>
      </c>
    </row>
    <row r="586" customFormat="false" ht="15" hidden="false" customHeight="false" outlineLevel="0" collapsed="false">
      <c r="A586" s="6" t="str">
        <f aca="false">Orders!A586</f>
        <v>O000585</v>
      </c>
      <c r="B586" s="19" t="n">
        <f aca="false">Orders!B586</f>
        <v>45888</v>
      </c>
      <c r="C586" s="6" t="str">
        <f aca="false">Orders!C586</f>
        <v>C0085</v>
      </c>
      <c r="D586" s="6" t="str">
        <f aca="false">Orders!D586</f>
        <v>P1044</v>
      </c>
      <c r="E586" s="6" t="str">
        <f aca="false">INDEX(Products!$B$2:$B$101,MATCH(D586,Products!$A$2:$A$101,0))</f>
        <v>Doormat</v>
      </c>
      <c r="F586" s="1" t="str">
        <f aca="false">INDEX(Products!$C$2:$C$101,MATCH(D586,Products!$A$2:$A$101,0))</f>
        <v>Home &amp; Kitchen</v>
      </c>
      <c r="G586" s="6" t="n">
        <f aca="false">Orders!E586</f>
        <v>1</v>
      </c>
      <c r="H586" s="16" t="n">
        <f aca="false">INDEX(Products!$D$2:$D$101,MATCH(D586,Products!$A$2:$A$101,0))</f>
        <v>299</v>
      </c>
      <c r="I586" s="16" t="n">
        <f aca="false">INDEX(Products!$E$2:$E$101,MATCH(D586,Products!$A$2:$A$101,0))</f>
        <v>100</v>
      </c>
      <c r="J586" s="20" t="n">
        <f aca="false">Orders!F586</f>
        <v>0.15</v>
      </c>
      <c r="K586" s="6" t="n">
        <f aca="false">G586*H586</f>
        <v>299</v>
      </c>
      <c r="L586" s="6" t="n">
        <f aca="false">K586*J586</f>
        <v>44.85</v>
      </c>
      <c r="M586" s="6" t="n">
        <f aca="false">K586-L586</f>
        <v>254.15</v>
      </c>
      <c r="N586" s="6" t="n">
        <f aca="false">G586*I586</f>
        <v>100</v>
      </c>
      <c r="O586" s="6" t="n">
        <f aca="false">M586-N586</f>
        <v>154.15</v>
      </c>
      <c r="P586" s="21" t="n">
        <f aca="false">IFERROR(O586/M586,0)</f>
        <v>0.606531575841039</v>
      </c>
      <c r="Q586" s="6" t="str">
        <f aca="false">Orders!H586</f>
        <v>Delivered</v>
      </c>
      <c r="R586" s="1" t="str">
        <f aca="false">INDEX(Customers!$C$2:$C$301,MATCH(C586,Customers!$A$2:$A$301,0))</f>
        <v>Chennai</v>
      </c>
      <c r="S586" s="1" t="str">
        <f aca="false">INDEX(Customers!$E$2:$E$301,MATCH(C586,Customers!$A$2:$A$301,0))</f>
        <v>VIP</v>
      </c>
      <c r="T586" s="6" t="str">
        <f aca="false">Orders!I586</f>
        <v>Mobile App</v>
      </c>
      <c r="U586" s="1" t="str">
        <f aca="false">IF(Q586="Delivered","Completed",IF(Q586="Cancelled","Cancelled",IF(Q586="Returned","Returned","In Progress")))</f>
        <v>Completed</v>
      </c>
      <c r="V586" s="1" t="str">
        <f aca="false">IF(M586&gt;=10000,"High Value",IF(M586&gt;=5000,"Medium Value","Low Value"))</f>
        <v>Low Value</v>
      </c>
      <c r="W586" s="1" t="str">
        <f aca="false">IF(O586&gt;0,"Profitable",IF(O586=0,"Break-even","Loss"))</f>
        <v>Profitable</v>
      </c>
      <c r="X586" s="1" t="str">
        <f aca="false">IF(Q586="Cancelled","Not Applicable",IF(Q586="Processing","Pending",IF(B586="","Unknown",IF(Orders!J586="","Unknown",IF(Orders!J586&lt;=3,"Fast",IF(Orders!J586&lt;=6,"Standard","Slow"))))))</f>
        <v>Fast</v>
      </c>
      <c r="Y586" s="1" t="n">
        <f aca="false">IF(OR(Q586="Cancelled",Q586="Returned"),0,O586)</f>
        <v>154.15</v>
      </c>
    </row>
    <row r="587" customFormat="false" ht="15" hidden="false" customHeight="false" outlineLevel="0" collapsed="false">
      <c r="A587" s="6" t="str">
        <f aca="false">Orders!A587</f>
        <v>O000586</v>
      </c>
      <c r="B587" s="19" t="n">
        <f aca="false">Orders!B587</f>
        <v>45760</v>
      </c>
      <c r="C587" s="6" t="str">
        <f aca="false">Orders!C587</f>
        <v>C0275</v>
      </c>
      <c r="D587" s="6" t="str">
        <f aca="false">Orders!D587</f>
        <v>P1037</v>
      </c>
      <c r="E587" s="6" t="str">
        <f aca="false">INDEX(Products!$B$2:$B$101,MATCH(D587,Products!$A$2:$A$101,0))</f>
        <v>Pillow Pair</v>
      </c>
      <c r="F587" s="1" t="str">
        <f aca="false">INDEX(Products!$C$2:$C$101,MATCH(D587,Products!$A$2:$A$101,0))</f>
        <v>Home &amp; Kitchen</v>
      </c>
      <c r="G587" s="6" t="n">
        <f aca="false">Orders!E587</f>
        <v>1</v>
      </c>
      <c r="H587" s="16" t="n">
        <f aca="false">INDEX(Products!$D$2:$D$101,MATCH(D587,Products!$A$2:$A$101,0))</f>
        <v>799</v>
      </c>
      <c r="I587" s="16" t="n">
        <f aca="false">INDEX(Products!$E$2:$E$101,MATCH(D587,Products!$A$2:$A$101,0))</f>
        <v>350</v>
      </c>
      <c r="J587" s="20" t="n">
        <f aca="false">Orders!F587</f>
        <v>0</v>
      </c>
      <c r="K587" s="6" t="n">
        <f aca="false">G587*H587</f>
        <v>799</v>
      </c>
      <c r="L587" s="6" t="n">
        <f aca="false">K587*J587</f>
        <v>0</v>
      </c>
      <c r="M587" s="6" t="n">
        <f aca="false">K587-L587</f>
        <v>799</v>
      </c>
      <c r="N587" s="6" t="n">
        <f aca="false">G587*I587</f>
        <v>350</v>
      </c>
      <c r="O587" s="6" t="n">
        <f aca="false">M587-N587</f>
        <v>449</v>
      </c>
      <c r="P587" s="21" t="n">
        <f aca="false">IFERROR(O587/M587,0)</f>
        <v>0.561952440550688</v>
      </c>
      <c r="Q587" s="6" t="str">
        <f aca="false">Orders!H587</f>
        <v>Delivered</v>
      </c>
      <c r="R587" s="1" t="str">
        <f aca="false">INDEX(Customers!$C$2:$C$301,MATCH(C587,Customers!$A$2:$A$301,0))</f>
        <v>Bhopal</v>
      </c>
      <c r="S587" s="1" t="str">
        <f aca="false">INDEX(Customers!$E$2:$E$301,MATCH(C587,Customers!$A$2:$A$301,0))</f>
        <v>VIP</v>
      </c>
      <c r="T587" s="6" t="str">
        <f aca="false">Orders!I587</f>
        <v>Marketplace</v>
      </c>
      <c r="U587" s="1" t="str">
        <f aca="false">IF(Q587="Delivered","Completed",IF(Q587="Cancelled","Cancelled",IF(Q587="Returned","Returned","In Progress")))</f>
        <v>Completed</v>
      </c>
      <c r="V587" s="1" t="str">
        <f aca="false">IF(M587&gt;=10000,"High Value",IF(M587&gt;=5000,"Medium Value","Low Value"))</f>
        <v>Low Value</v>
      </c>
      <c r="W587" s="1" t="str">
        <f aca="false">IF(O587&gt;0,"Profitable",IF(O587=0,"Break-even","Loss"))</f>
        <v>Profitable</v>
      </c>
      <c r="X587" s="1" t="str">
        <f aca="false">IF(Q587="Cancelled","Not Applicable",IF(Q587="Processing","Pending",IF(B587="","Unknown",IF(Orders!J587="","Unknown",IF(Orders!J587&lt;=3,"Fast",IF(Orders!J587&lt;=6,"Standard","Slow"))))))</f>
        <v>Standard</v>
      </c>
      <c r="Y587" s="1" t="n">
        <f aca="false">IF(OR(Q587="Cancelled",Q587="Returned"),0,O587)</f>
        <v>449</v>
      </c>
    </row>
    <row r="588" customFormat="false" ht="15" hidden="false" customHeight="false" outlineLevel="0" collapsed="false">
      <c r="A588" s="6" t="str">
        <f aca="false">Orders!A588</f>
        <v>O000587</v>
      </c>
      <c r="B588" s="19" t="n">
        <f aca="false">Orders!B588</f>
        <v>45672</v>
      </c>
      <c r="C588" s="6" t="str">
        <f aca="false">Orders!C588</f>
        <v>C0154</v>
      </c>
      <c r="D588" s="6" t="str">
        <f aca="false">Orders!D588</f>
        <v>P1025</v>
      </c>
      <c r="E588" s="6" t="str">
        <f aca="false">INDEX(Products!$B$2:$B$101,MATCH(D588,Products!$A$2:$A$101,0))</f>
        <v>Hoodie</v>
      </c>
      <c r="F588" s="1" t="str">
        <f aca="false">INDEX(Products!$C$2:$C$101,MATCH(D588,Products!$A$2:$A$101,0))</f>
        <v>Fashion</v>
      </c>
      <c r="G588" s="6" t="n">
        <f aca="false">Orders!E588</f>
        <v>3</v>
      </c>
      <c r="H588" s="16" t="n">
        <f aca="false">INDEX(Products!$D$2:$D$101,MATCH(D588,Products!$A$2:$A$101,0))</f>
        <v>1399</v>
      </c>
      <c r="I588" s="16" t="n">
        <f aca="false">INDEX(Products!$E$2:$E$101,MATCH(D588,Products!$A$2:$A$101,0))</f>
        <v>720</v>
      </c>
      <c r="J588" s="20" t="n">
        <f aca="false">Orders!F588</f>
        <v>0.15</v>
      </c>
      <c r="K588" s="6" t="n">
        <f aca="false">G588*H588</f>
        <v>4197</v>
      </c>
      <c r="L588" s="6" t="n">
        <f aca="false">K588*J588</f>
        <v>629.55</v>
      </c>
      <c r="M588" s="6" t="n">
        <f aca="false">K588-L588</f>
        <v>3567.45</v>
      </c>
      <c r="N588" s="6" t="n">
        <f aca="false">G588*I588</f>
        <v>2160</v>
      </c>
      <c r="O588" s="6" t="n">
        <f aca="false">M588-N588</f>
        <v>1407.45</v>
      </c>
      <c r="P588" s="21" t="n">
        <f aca="false">IFERROR(O588/M588,0)</f>
        <v>0.394525501408569</v>
      </c>
      <c r="Q588" s="6" t="str">
        <f aca="false">Orders!H588</f>
        <v>Returned</v>
      </c>
      <c r="R588" s="1" t="str">
        <f aca="false">INDEX(Customers!$C$2:$C$301,MATCH(C588,Customers!$A$2:$A$301,0))</f>
        <v>Indore</v>
      </c>
      <c r="S588" s="1" t="str">
        <f aca="false">INDEX(Customers!$E$2:$E$301,MATCH(C588,Customers!$A$2:$A$301,0))</f>
        <v>Returning</v>
      </c>
      <c r="T588" s="6" t="str">
        <f aca="false">Orders!I588</f>
        <v>Website</v>
      </c>
      <c r="U588" s="1" t="str">
        <f aca="false">IF(Q588="Delivered","Completed",IF(Q588="Cancelled","Cancelled",IF(Q588="Returned","Returned","In Progress")))</f>
        <v>Returned</v>
      </c>
      <c r="V588" s="1" t="str">
        <f aca="false">IF(M588&gt;=10000,"High Value",IF(M588&gt;=5000,"Medium Value","Low Value"))</f>
        <v>Low Value</v>
      </c>
      <c r="W588" s="1" t="str">
        <f aca="false">IF(O588&gt;0,"Profitable",IF(O588=0,"Break-even","Loss"))</f>
        <v>Profitable</v>
      </c>
      <c r="X588" s="1" t="str">
        <f aca="false">IF(Q588="Cancelled","Not Applicable",IF(Q588="Processing","Pending",IF(B588="","Unknown",IF(Orders!J588="","Unknown",IF(Orders!J588&lt;=3,"Fast",IF(Orders!J588&lt;=6,"Standard","Slow"))))))</f>
        <v>Fast</v>
      </c>
      <c r="Y588" s="1" t="n">
        <f aca="false">IF(OR(Q588="Cancelled",Q588="Returned"),0,O588)</f>
        <v>0</v>
      </c>
    </row>
    <row r="589" customFormat="false" ht="15" hidden="false" customHeight="false" outlineLevel="0" collapsed="false">
      <c r="A589" s="6" t="str">
        <f aca="false">Orders!A589</f>
        <v>O000588</v>
      </c>
      <c r="B589" s="19" t="n">
        <f aca="false">Orders!B589</f>
        <v>45930</v>
      </c>
      <c r="C589" s="6" t="str">
        <f aca="false">Orders!C589</f>
        <v>C0086</v>
      </c>
      <c r="D589" s="6" t="str">
        <f aca="false">Orders!D589</f>
        <v>P1080</v>
      </c>
      <c r="E589" s="6" t="str">
        <f aca="false">INDEX(Products!$B$2:$B$101,MATCH(D589,Products!$A$2:$A$101,0))</f>
        <v>Calculator</v>
      </c>
      <c r="F589" s="1" t="str">
        <f aca="false">INDEX(Products!$C$2:$C$101,MATCH(D589,Products!$A$2:$A$101,0))</f>
        <v>Books &amp; Stationery</v>
      </c>
      <c r="G589" s="6" t="n">
        <f aca="false">Orders!E589</f>
        <v>2</v>
      </c>
      <c r="H589" s="16" t="n">
        <f aca="false">INDEX(Products!$D$2:$D$101,MATCH(D589,Products!$A$2:$A$101,0))</f>
        <v>599</v>
      </c>
      <c r="I589" s="16" t="n">
        <f aca="false">INDEX(Products!$E$2:$E$101,MATCH(D589,Products!$A$2:$A$101,0))</f>
        <v>300</v>
      </c>
      <c r="J589" s="20" t="n">
        <f aca="false">Orders!F589</f>
        <v>0.1</v>
      </c>
      <c r="K589" s="6" t="n">
        <f aca="false">G589*H589</f>
        <v>1198</v>
      </c>
      <c r="L589" s="6" t="n">
        <f aca="false">K589*J589</f>
        <v>119.8</v>
      </c>
      <c r="M589" s="6" t="n">
        <f aca="false">K589-L589</f>
        <v>1078.2</v>
      </c>
      <c r="N589" s="6" t="n">
        <f aca="false">G589*I589</f>
        <v>600</v>
      </c>
      <c r="O589" s="6" t="n">
        <f aca="false">M589-N589</f>
        <v>478.2</v>
      </c>
      <c r="P589" s="21" t="n">
        <f aca="false">IFERROR(O589/M589,0)</f>
        <v>0.443516972732332</v>
      </c>
      <c r="Q589" s="6" t="str">
        <f aca="false">Orders!H589</f>
        <v>Delivered</v>
      </c>
      <c r="R589" s="1" t="str">
        <f aca="false">INDEX(Customers!$C$2:$C$301,MATCH(C589,Customers!$A$2:$A$301,0))</f>
        <v>Kolkata</v>
      </c>
      <c r="S589" s="1" t="str">
        <f aca="false">INDEX(Customers!$E$2:$E$301,MATCH(C589,Customers!$A$2:$A$301,0))</f>
        <v>Returning</v>
      </c>
      <c r="T589" s="6" t="str">
        <f aca="false">Orders!I589</f>
        <v>Mobile App</v>
      </c>
      <c r="U589" s="1" t="str">
        <f aca="false">IF(Q589="Delivered","Completed",IF(Q589="Cancelled","Cancelled",IF(Q589="Returned","Returned","In Progress")))</f>
        <v>Completed</v>
      </c>
      <c r="V589" s="1" t="str">
        <f aca="false">IF(M589&gt;=10000,"High Value",IF(M589&gt;=5000,"Medium Value","Low Value"))</f>
        <v>Low Value</v>
      </c>
      <c r="W589" s="1" t="str">
        <f aca="false">IF(O589&gt;0,"Profitable",IF(O589=0,"Break-even","Loss"))</f>
        <v>Profitable</v>
      </c>
      <c r="X589" s="1" t="str">
        <f aca="false">IF(Q589="Cancelled","Not Applicable",IF(Q589="Processing","Pending",IF(B589="","Unknown",IF(Orders!J589="","Unknown",IF(Orders!J589&lt;=3,"Fast",IF(Orders!J589&lt;=6,"Standard","Slow"))))))</f>
        <v>Standard</v>
      </c>
      <c r="Y589" s="1" t="n">
        <f aca="false">IF(OR(Q589="Cancelled",Q589="Returned"),0,O589)</f>
        <v>478.2</v>
      </c>
    </row>
    <row r="590" customFormat="false" ht="15" hidden="false" customHeight="false" outlineLevel="0" collapsed="false">
      <c r="A590" s="6" t="str">
        <f aca="false">Orders!A590</f>
        <v>O000589</v>
      </c>
      <c r="B590" s="19" t="n">
        <f aca="false">Orders!B590</f>
        <v>45734</v>
      </c>
      <c r="C590" s="6" t="str">
        <f aca="false">Orders!C590</f>
        <v>C0275</v>
      </c>
      <c r="D590" s="6" t="str">
        <f aca="false">Orders!D590</f>
        <v>P1045</v>
      </c>
      <c r="E590" s="6" t="str">
        <f aca="false">INDEX(Products!$B$2:$B$101,MATCH(D590,Products!$A$2:$A$101,0))</f>
        <v>Lunch Box</v>
      </c>
      <c r="F590" s="1" t="str">
        <f aca="false">INDEX(Products!$C$2:$C$101,MATCH(D590,Products!$A$2:$A$101,0))</f>
        <v>Home &amp; Kitchen</v>
      </c>
      <c r="G590" s="6" t="n">
        <f aca="false">Orders!E590</f>
        <v>1</v>
      </c>
      <c r="H590" s="16" t="n">
        <f aca="false">INDEX(Products!$D$2:$D$101,MATCH(D590,Products!$A$2:$A$101,0))</f>
        <v>449</v>
      </c>
      <c r="I590" s="16" t="n">
        <f aca="false">INDEX(Products!$E$2:$E$101,MATCH(D590,Products!$A$2:$A$101,0))</f>
        <v>180</v>
      </c>
      <c r="J590" s="20" t="n">
        <f aca="false">Orders!F590</f>
        <v>0</v>
      </c>
      <c r="K590" s="6" t="n">
        <f aca="false">G590*H590</f>
        <v>449</v>
      </c>
      <c r="L590" s="6" t="n">
        <f aca="false">K590*J590</f>
        <v>0</v>
      </c>
      <c r="M590" s="6" t="n">
        <f aca="false">K590-L590</f>
        <v>449</v>
      </c>
      <c r="N590" s="6" t="n">
        <f aca="false">G590*I590</f>
        <v>180</v>
      </c>
      <c r="O590" s="6" t="n">
        <f aca="false">M590-N590</f>
        <v>269</v>
      </c>
      <c r="P590" s="21" t="n">
        <f aca="false">IFERROR(O590/M590,0)</f>
        <v>0.599109131403118</v>
      </c>
      <c r="Q590" s="6" t="str">
        <f aca="false">Orders!H590</f>
        <v>Delivered</v>
      </c>
      <c r="R590" s="1" t="str">
        <f aca="false">INDEX(Customers!$C$2:$C$301,MATCH(C590,Customers!$A$2:$A$301,0))</f>
        <v>Bhopal</v>
      </c>
      <c r="S590" s="1" t="str">
        <f aca="false">INDEX(Customers!$E$2:$E$301,MATCH(C590,Customers!$A$2:$A$301,0))</f>
        <v>VIP</v>
      </c>
      <c r="T590" s="6" t="str">
        <f aca="false">Orders!I590</f>
        <v>Website</v>
      </c>
      <c r="U590" s="1" t="str">
        <f aca="false">IF(Q590="Delivered","Completed",IF(Q590="Cancelled","Cancelled",IF(Q590="Returned","Returned","In Progress")))</f>
        <v>Completed</v>
      </c>
      <c r="V590" s="1" t="str">
        <f aca="false">IF(M590&gt;=10000,"High Value",IF(M590&gt;=5000,"Medium Value","Low Value"))</f>
        <v>Low Value</v>
      </c>
      <c r="W590" s="1" t="str">
        <f aca="false">IF(O590&gt;0,"Profitable",IF(O590=0,"Break-even","Loss"))</f>
        <v>Profitable</v>
      </c>
      <c r="X590" s="1" t="str">
        <f aca="false">IF(Q590="Cancelled","Not Applicable",IF(Q590="Processing","Pending",IF(B590="","Unknown",IF(Orders!J590="","Unknown",IF(Orders!J590&lt;=3,"Fast",IF(Orders!J590&lt;=6,"Standard","Slow"))))))</f>
        <v>Standard</v>
      </c>
      <c r="Y590" s="1" t="n">
        <f aca="false">IF(OR(Q590="Cancelled",Q590="Returned"),0,O590)</f>
        <v>269</v>
      </c>
    </row>
    <row r="591" customFormat="false" ht="15" hidden="false" customHeight="false" outlineLevel="0" collapsed="false">
      <c r="A591" s="6" t="str">
        <f aca="false">Orders!A591</f>
        <v>O000590</v>
      </c>
      <c r="B591" s="19" t="n">
        <f aca="false">Orders!B591</f>
        <v>45767</v>
      </c>
      <c r="C591" s="6" t="str">
        <f aca="false">Orders!C591</f>
        <v>C0176</v>
      </c>
      <c r="D591" s="6" t="str">
        <f aca="false">Orders!D591</f>
        <v>P1076</v>
      </c>
      <c r="E591" s="6" t="str">
        <f aca="false">INDEX(Products!$B$2:$B$101,MATCH(D591,Products!$A$2:$A$101,0))</f>
        <v>Desk Organizer</v>
      </c>
      <c r="F591" s="1" t="str">
        <f aca="false">INDEX(Products!$C$2:$C$101,MATCH(D591,Products!$A$2:$A$101,0))</f>
        <v>Books &amp; Stationery</v>
      </c>
      <c r="G591" s="6" t="n">
        <f aca="false">Orders!E591</f>
        <v>1</v>
      </c>
      <c r="H591" s="16" t="n">
        <f aca="false">INDEX(Products!$D$2:$D$101,MATCH(D591,Products!$A$2:$A$101,0))</f>
        <v>399</v>
      </c>
      <c r="I591" s="16" t="n">
        <f aca="false">INDEX(Products!$E$2:$E$101,MATCH(D591,Products!$A$2:$A$101,0))</f>
        <v>170</v>
      </c>
      <c r="J591" s="20" t="n">
        <f aca="false">Orders!F591</f>
        <v>0.05</v>
      </c>
      <c r="K591" s="6" t="n">
        <f aca="false">G591*H591</f>
        <v>399</v>
      </c>
      <c r="L591" s="6" t="n">
        <f aca="false">K591*J591</f>
        <v>19.95</v>
      </c>
      <c r="M591" s="6" t="n">
        <f aca="false">K591-L591</f>
        <v>379.05</v>
      </c>
      <c r="N591" s="6" t="n">
        <f aca="false">G591*I591</f>
        <v>170</v>
      </c>
      <c r="O591" s="6" t="n">
        <f aca="false">M591-N591</f>
        <v>209.05</v>
      </c>
      <c r="P591" s="21" t="n">
        <f aca="false">IFERROR(O591/M591,0)</f>
        <v>0.551510354834455</v>
      </c>
      <c r="Q591" s="6" t="str">
        <f aca="false">Orders!H591</f>
        <v>Delivered</v>
      </c>
      <c r="R591" s="1" t="str">
        <f aca="false">INDEX(Customers!$C$2:$C$301,MATCH(C591,Customers!$A$2:$A$301,0))</f>
        <v>Chandigarh</v>
      </c>
      <c r="S591" s="1" t="str">
        <f aca="false">INDEX(Customers!$E$2:$E$301,MATCH(C591,Customers!$A$2:$A$301,0))</f>
        <v>New</v>
      </c>
      <c r="T591" s="6" t="str">
        <f aca="false">Orders!I591</f>
        <v>Mobile App</v>
      </c>
      <c r="U591" s="1" t="str">
        <f aca="false">IF(Q591="Delivered","Completed",IF(Q591="Cancelled","Cancelled",IF(Q591="Returned","Returned","In Progress")))</f>
        <v>Completed</v>
      </c>
      <c r="V591" s="1" t="str">
        <f aca="false">IF(M591&gt;=10000,"High Value",IF(M591&gt;=5000,"Medium Value","Low Value"))</f>
        <v>Low Value</v>
      </c>
      <c r="W591" s="1" t="str">
        <f aca="false">IF(O591&gt;0,"Profitable",IF(O591=0,"Break-even","Loss"))</f>
        <v>Profitable</v>
      </c>
      <c r="X591" s="1" t="str">
        <f aca="false">IF(Q591="Cancelled","Not Applicable",IF(Q591="Processing","Pending",IF(B591="","Unknown",IF(Orders!J591="","Unknown",IF(Orders!J591&lt;=3,"Fast",IF(Orders!J591&lt;=6,"Standard","Slow"))))))</f>
        <v>Standard</v>
      </c>
      <c r="Y591" s="1" t="n">
        <f aca="false">IF(OR(Q591="Cancelled",Q591="Returned"),0,O591)</f>
        <v>209.05</v>
      </c>
    </row>
    <row r="592" customFormat="false" ht="15" hidden="false" customHeight="false" outlineLevel="0" collapsed="false">
      <c r="A592" s="6" t="str">
        <f aca="false">Orders!A592</f>
        <v>O000591</v>
      </c>
      <c r="B592" s="19" t="n">
        <f aca="false">Orders!B592</f>
        <v>45874</v>
      </c>
      <c r="C592" s="6" t="str">
        <f aca="false">Orders!C592</f>
        <v>C0036</v>
      </c>
      <c r="D592" s="6" t="str">
        <f aca="false">Orders!D592</f>
        <v>P1020</v>
      </c>
      <c r="E592" s="6" t="str">
        <f aca="false">INDEX(Products!$B$2:$B$101,MATCH(D592,Products!$A$2:$A$101,0))</f>
        <v>Backpack</v>
      </c>
      <c r="F592" s="1" t="str">
        <f aca="false">INDEX(Products!$C$2:$C$101,MATCH(D592,Products!$A$2:$A$101,0))</f>
        <v>Fashion</v>
      </c>
      <c r="G592" s="6" t="n">
        <f aca="false">Orders!E592</f>
        <v>1</v>
      </c>
      <c r="H592" s="16" t="n">
        <f aca="false">INDEX(Products!$D$2:$D$101,MATCH(D592,Products!$A$2:$A$101,0))</f>
        <v>1199</v>
      </c>
      <c r="I592" s="16" t="n">
        <f aca="false">INDEX(Products!$E$2:$E$101,MATCH(D592,Products!$A$2:$A$101,0))</f>
        <v>600</v>
      </c>
      <c r="J592" s="20" t="n">
        <f aca="false">Orders!F592</f>
        <v>0.25</v>
      </c>
      <c r="K592" s="6" t="n">
        <f aca="false">G592*H592</f>
        <v>1199</v>
      </c>
      <c r="L592" s="6" t="n">
        <f aca="false">K592*J592</f>
        <v>299.75</v>
      </c>
      <c r="M592" s="6" t="n">
        <f aca="false">K592-L592</f>
        <v>899.25</v>
      </c>
      <c r="N592" s="6" t="n">
        <f aca="false">G592*I592</f>
        <v>600</v>
      </c>
      <c r="O592" s="6" t="n">
        <f aca="false">M592-N592</f>
        <v>299.25</v>
      </c>
      <c r="P592" s="21" t="n">
        <f aca="false">IFERROR(O592/M592,0)</f>
        <v>0.332777314428691</v>
      </c>
      <c r="Q592" s="6" t="str">
        <f aca="false">Orders!H592</f>
        <v>Delivered</v>
      </c>
      <c r="R592" s="1" t="str">
        <f aca="false">INDEX(Customers!$C$2:$C$301,MATCH(C592,Customers!$A$2:$A$301,0))</f>
        <v>Chandigarh</v>
      </c>
      <c r="S592" s="1" t="str">
        <f aca="false">INDEX(Customers!$E$2:$E$301,MATCH(C592,Customers!$A$2:$A$301,0))</f>
        <v>New</v>
      </c>
      <c r="T592" s="6" t="str">
        <f aca="false">Orders!I592</f>
        <v>Website</v>
      </c>
      <c r="U592" s="1" t="str">
        <f aca="false">IF(Q592="Delivered","Completed",IF(Q592="Cancelled","Cancelled",IF(Q592="Returned","Returned","In Progress")))</f>
        <v>Completed</v>
      </c>
      <c r="V592" s="1" t="str">
        <f aca="false">IF(M592&gt;=10000,"High Value",IF(M592&gt;=5000,"Medium Value","Low Value"))</f>
        <v>Low Value</v>
      </c>
      <c r="W592" s="1" t="str">
        <f aca="false">IF(O592&gt;0,"Profitable",IF(O592=0,"Break-even","Loss"))</f>
        <v>Profitable</v>
      </c>
      <c r="X592" s="1" t="str">
        <f aca="false">IF(Q592="Cancelled","Not Applicable",IF(Q592="Processing","Pending",IF(B592="","Unknown",IF(Orders!J592="","Unknown",IF(Orders!J592&lt;=3,"Fast",IF(Orders!J592&lt;=6,"Standard","Slow"))))))</f>
        <v>Fast</v>
      </c>
      <c r="Y592" s="1" t="n">
        <f aca="false">IF(OR(Q592="Cancelled",Q592="Returned"),0,O592)</f>
        <v>299.25</v>
      </c>
    </row>
    <row r="593" customFormat="false" ht="15" hidden="false" customHeight="false" outlineLevel="0" collapsed="false">
      <c r="A593" s="6" t="str">
        <f aca="false">Orders!A593</f>
        <v>O000592</v>
      </c>
      <c r="B593" s="19" t="n">
        <f aca="false">Orders!B593</f>
        <v>45687</v>
      </c>
      <c r="C593" s="6" t="str">
        <f aca="false">Orders!C593</f>
        <v>C0113</v>
      </c>
      <c r="D593" s="6" t="str">
        <f aca="false">Orders!D593</f>
        <v>P1019</v>
      </c>
      <c r="E593" s="6" t="str">
        <f aca="false">INDEX(Products!$B$2:$B$101,MATCH(D593,Products!$A$2:$A$101,0))</f>
        <v>Running Shoes</v>
      </c>
      <c r="F593" s="1" t="str">
        <f aca="false">INDEX(Products!$C$2:$C$101,MATCH(D593,Products!$A$2:$A$101,0))</f>
        <v>Fashion</v>
      </c>
      <c r="G593" s="6" t="n">
        <f aca="false">Orders!E593</f>
        <v>3</v>
      </c>
      <c r="H593" s="16" t="n">
        <f aca="false">INDEX(Products!$D$2:$D$101,MATCH(D593,Products!$A$2:$A$101,0))</f>
        <v>1999</v>
      </c>
      <c r="I593" s="16" t="n">
        <f aca="false">INDEX(Products!$E$2:$E$101,MATCH(D593,Products!$A$2:$A$101,0))</f>
        <v>1100</v>
      </c>
      <c r="J593" s="20" t="n">
        <f aca="false">Orders!F593</f>
        <v>0.25</v>
      </c>
      <c r="K593" s="6" t="n">
        <f aca="false">G593*H593</f>
        <v>5997</v>
      </c>
      <c r="L593" s="6" t="n">
        <f aca="false">K593*J593</f>
        <v>1499.25</v>
      </c>
      <c r="M593" s="6" t="n">
        <f aca="false">K593-L593</f>
        <v>4497.75</v>
      </c>
      <c r="N593" s="6" t="n">
        <f aca="false">G593*I593</f>
        <v>3300</v>
      </c>
      <c r="O593" s="6" t="n">
        <f aca="false">M593-N593</f>
        <v>1197.75</v>
      </c>
      <c r="P593" s="21" t="n">
        <f aca="false">IFERROR(O593/M593,0)</f>
        <v>0.266299816574954</v>
      </c>
      <c r="Q593" s="6" t="str">
        <f aca="false">Orders!H593</f>
        <v>Delivered</v>
      </c>
      <c r="R593" s="1" t="str">
        <f aca="false">INDEX(Customers!$C$2:$C$301,MATCH(C593,Customers!$A$2:$A$301,0))</f>
        <v>Kochi</v>
      </c>
      <c r="S593" s="1" t="str">
        <f aca="false">INDEX(Customers!$E$2:$E$301,MATCH(C593,Customers!$A$2:$A$301,0))</f>
        <v>New</v>
      </c>
      <c r="T593" s="6" t="str">
        <f aca="false">Orders!I593</f>
        <v>Mobile App</v>
      </c>
      <c r="U593" s="1" t="str">
        <f aca="false">IF(Q593="Delivered","Completed",IF(Q593="Cancelled","Cancelled",IF(Q593="Returned","Returned","In Progress")))</f>
        <v>Completed</v>
      </c>
      <c r="V593" s="1" t="str">
        <f aca="false">IF(M593&gt;=10000,"High Value",IF(M593&gt;=5000,"Medium Value","Low Value"))</f>
        <v>Low Value</v>
      </c>
      <c r="W593" s="1" t="str">
        <f aca="false">IF(O593&gt;0,"Profitable",IF(O593=0,"Break-even","Loss"))</f>
        <v>Profitable</v>
      </c>
      <c r="X593" s="1" t="str">
        <f aca="false">IF(Q593="Cancelled","Not Applicable",IF(Q593="Processing","Pending",IF(B593="","Unknown",IF(Orders!J593="","Unknown",IF(Orders!J593&lt;=3,"Fast",IF(Orders!J593&lt;=6,"Standard","Slow"))))))</f>
        <v>Fast</v>
      </c>
      <c r="Y593" s="1" t="n">
        <f aca="false">IF(OR(Q593="Cancelled",Q593="Returned"),0,O593)</f>
        <v>1197.75</v>
      </c>
    </row>
    <row r="594" customFormat="false" ht="15" hidden="false" customHeight="false" outlineLevel="0" collapsed="false">
      <c r="A594" s="6" t="str">
        <f aca="false">Orders!A594</f>
        <v>O000593</v>
      </c>
      <c r="B594" s="19" t="n">
        <f aca="false">Orders!B594</f>
        <v>45828</v>
      </c>
      <c r="C594" s="6" t="str">
        <f aca="false">Orders!C594</f>
        <v>C0127</v>
      </c>
      <c r="D594" s="6" t="str">
        <f aca="false">Orders!D594</f>
        <v>P1015</v>
      </c>
      <c r="E594" s="6" t="str">
        <f aca="false">INDEX(Products!$B$2:$B$101,MATCH(D594,Products!$A$2:$A$101,0))</f>
        <v>Portable SSD</v>
      </c>
      <c r="F594" s="1" t="str">
        <f aca="false">INDEX(Products!$C$2:$C$101,MATCH(D594,Products!$A$2:$A$101,0))</f>
        <v>Electronics</v>
      </c>
      <c r="G594" s="6" t="n">
        <f aca="false">Orders!E594</f>
        <v>2</v>
      </c>
      <c r="H594" s="16" t="n">
        <f aca="false">INDEX(Products!$D$2:$D$101,MATCH(D594,Products!$A$2:$A$101,0))</f>
        <v>3999</v>
      </c>
      <c r="I594" s="16" t="n">
        <f aca="false">INDEX(Products!$E$2:$E$101,MATCH(D594,Products!$A$2:$A$101,0))</f>
        <v>2800</v>
      </c>
      <c r="J594" s="20" t="n">
        <f aca="false">Orders!F594</f>
        <v>0.05</v>
      </c>
      <c r="K594" s="6" t="n">
        <f aca="false">G594*H594</f>
        <v>7998</v>
      </c>
      <c r="L594" s="6" t="n">
        <f aca="false">K594*J594</f>
        <v>399.9</v>
      </c>
      <c r="M594" s="6" t="n">
        <f aca="false">K594-L594</f>
        <v>7598.1</v>
      </c>
      <c r="N594" s="6" t="n">
        <f aca="false">G594*I594</f>
        <v>5600</v>
      </c>
      <c r="O594" s="6" t="n">
        <f aca="false">M594-N594</f>
        <v>1998.1</v>
      </c>
      <c r="P594" s="21" t="n">
        <f aca="false">IFERROR(O594/M594,0)</f>
        <v>0.262973638146379</v>
      </c>
      <c r="Q594" s="6" t="str">
        <f aca="false">Orders!H594</f>
        <v>Cancelled</v>
      </c>
      <c r="R594" s="1" t="str">
        <f aca="false">INDEX(Customers!$C$2:$C$301,MATCH(C594,Customers!$A$2:$A$301,0))</f>
        <v>Pune</v>
      </c>
      <c r="S594" s="1" t="str">
        <f aca="false">INDEX(Customers!$E$2:$E$301,MATCH(C594,Customers!$A$2:$A$301,0))</f>
        <v>New</v>
      </c>
      <c r="T594" s="6" t="str">
        <f aca="false">Orders!I594</f>
        <v>Mobile App</v>
      </c>
      <c r="U594" s="1" t="str">
        <f aca="false">IF(Q594="Delivered","Completed",IF(Q594="Cancelled","Cancelled",IF(Q594="Returned","Returned","In Progress")))</f>
        <v>Cancelled</v>
      </c>
      <c r="V594" s="1" t="str">
        <f aca="false">IF(M594&gt;=10000,"High Value",IF(M594&gt;=5000,"Medium Value","Low Value"))</f>
        <v>Medium Value</v>
      </c>
      <c r="W594" s="1" t="str">
        <f aca="false">IF(O594&gt;0,"Profitable",IF(O594=0,"Break-even","Loss"))</f>
        <v>Profitable</v>
      </c>
      <c r="X594" s="1" t="str">
        <f aca="false">IF(Q594="Cancelled","Not Applicable",IF(Q594="Processing","Pending",IF(B594="","Unknown",IF(Orders!J594="","Unknown",IF(Orders!J594&lt;=3,"Fast",IF(Orders!J594&lt;=6,"Standard","Slow"))))))</f>
        <v>Not Applicable</v>
      </c>
      <c r="Y594" s="1" t="n">
        <f aca="false">IF(OR(Q594="Cancelled",Q594="Returned"),0,O594)</f>
        <v>0</v>
      </c>
    </row>
    <row r="595" customFormat="false" ht="15" hidden="false" customHeight="false" outlineLevel="0" collapsed="false">
      <c r="A595" s="6" t="str">
        <f aca="false">Orders!A595</f>
        <v>O000594</v>
      </c>
      <c r="B595" s="19" t="n">
        <f aca="false">Orders!B595</f>
        <v>45778</v>
      </c>
      <c r="C595" s="6" t="str">
        <f aca="false">Orders!C595</f>
        <v>C0174</v>
      </c>
      <c r="D595" s="6" t="str">
        <f aca="false">Orders!D595</f>
        <v>P1063</v>
      </c>
      <c r="E595" s="6" t="str">
        <f aca="false">INDEX(Products!$B$2:$B$101,MATCH(D595,Products!$A$2:$A$101,0))</f>
        <v>Cricket Bat</v>
      </c>
      <c r="F595" s="1" t="str">
        <f aca="false">INDEX(Products!$C$2:$C$101,MATCH(D595,Products!$A$2:$A$101,0))</f>
        <v>Sports &amp; Outdoors</v>
      </c>
      <c r="G595" s="6" t="n">
        <f aca="false">Orders!E595</f>
        <v>1</v>
      </c>
      <c r="H595" s="16" t="n">
        <f aca="false">INDEX(Products!$D$2:$D$101,MATCH(D595,Products!$A$2:$A$101,0))</f>
        <v>1499</v>
      </c>
      <c r="I595" s="16" t="n">
        <f aca="false">INDEX(Products!$E$2:$E$101,MATCH(D595,Products!$A$2:$A$101,0))</f>
        <v>800</v>
      </c>
      <c r="J595" s="20" t="n">
        <f aca="false">Orders!F595</f>
        <v>0</v>
      </c>
      <c r="K595" s="6" t="n">
        <f aca="false">G595*H595</f>
        <v>1499</v>
      </c>
      <c r="L595" s="6" t="n">
        <f aca="false">K595*J595</f>
        <v>0</v>
      </c>
      <c r="M595" s="6" t="n">
        <f aca="false">K595-L595</f>
        <v>1499</v>
      </c>
      <c r="N595" s="6" t="n">
        <f aca="false">G595*I595</f>
        <v>800</v>
      </c>
      <c r="O595" s="6" t="n">
        <f aca="false">M595-N595</f>
        <v>699</v>
      </c>
      <c r="P595" s="21" t="n">
        <f aca="false">IFERROR(O595/M595,0)</f>
        <v>0.466310873915944</v>
      </c>
      <c r="Q595" s="6" t="str">
        <f aca="false">Orders!H595</f>
        <v>Delivered</v>
      </c>
      <c r="R595" s="1" t="str">
        <f aca="false">INDEX(Customers!$C$2:$C$301,MATCH(C595,Customers!$A$2:$A$301,0))</f>
        <v>Indore</v>
      </c>
      <c r="S595" s="1" t="str">
        <f aca="false">INDEX(Customers!$E$2:$E$301,MATCH(C595,Customers!$A$2:$A$301,0))</f>
        <v>VIP</v>
      </c>
      <c r="T595" s="6" t="str">
        <f aca="false">Orders!I595</f>
        <v>Mobile App</v>
      </c>
      <c r="U595" s="1" t="str">
        <f aca="false">IF(Q595="Delivered","Completed",IF(Q595="Cancelled","Cancelled",IF(Q595="Returned","Returned","In Progress")))</f>
        <v>Completed</v>
      </c>
      <c r="V595" s="1" t="str">
        <f aca="false">IF(M595&gt;=10000,"High Value",IF(M595&gt;=5000,"Medium Value","Low Value"))</f>
        <v>Low Value</v>
      </c>
      <c r="W595" s="1" t="str">
        <f aca="false">IF(O595&gt;0,"Profitable",IF(O595=0,"Break-even","Loss"))</f>
        <v>Profitable</v>
      </c>
      <c r="X595" s="1" t="str">
        <f aca="false">IF(Q595="Cancelled","Not Applicable",IF(Q595="Processing","Pending",IF(B595="","Unknown",IF(Orders!J595="","Unknown",IF(Orders!J595&lt;=3,"Fast",IF(Orders!J595&lt;=6,"Standard","Slow"))))))</f>
        <v>Fast</v>
      </c>
      <c r="Y595" s="1" t="n">
        <f aca="false">IF(OR(Q595="Cancelled",Q595="Returned"),0,O595)</f>
        <v>699</v>
      </c>
    </row>
    <row r="596" customFormat="false" ht="15" hidden="false" customHeight="false" outlineLevel="0" collapsed="false">
      <c r="A596" s="6" t="str">
        <f aca="false">Orders!A596</f>
        <v>O000595</v>
      </c>
      <c r="B596" s="19" t="n">
        <f aca="false">Orders!B596</f>
        <v>45790</v>
      </c>
      <c r="C596" s="6" t="str">
        <f aca="false">Orders!C596</f>
        <v>C0285</v>
      </c>
      <c r="D596" s="6" t="str">
        <f aca="false">Orders!D596</f>
        <v>P1083</v>
      </c>
      <c r="E596" s="6" t="str">
        <f aca="false">INDEX(Products!$B$2:$B$101,MATCH(D596,Products!$A$2:$A$101,0))</f>
        <v>Reading Light</v>
      </c>
      <c r="F596" s="1" t="str">
        <f aca="false">INDEX(Products!$C$2:$C$101,MATCH(D596,Products!$A$2:$A$101,0))</f>
        <v>Books &amp; Stationery</v>
      </c>
      <c r="G596" s="6" t="n">
        <f aca="false">Orders!E596</f>
        <v>3</v>
      </c>
      <c r="H596" s="16" t="n">
        <f aca="false">INDEX(Products!$D$2:$D$101,MATCH(D596,Products!$A$2:$A$101,0))</f>
        <v>399</v>
      </c>
      <c r="I596" s="16" t="n">
        <f aca="false">INDEX(Products!$E$2:$E$101,MATCH(D596,Products!$A$2:$A$101,0))</f>
        <v>180</v>
      </c>
      <c r="J596" s="20" t="n">
        <f aca="false">Orders!F596</f>
        <v>0.2</v>
      </c>
      <c r="K596" s="6" t="n">
        <f aca="false">G596*H596</f>
        <v>1197</v>
      </c>
      <c r="L596" s="6" t="n">
        <f aca="false">K596*J596</f>
        <v>239.4</v>
      </c>
      <c r="M596" s="6" t="n">
        <f aca="false">K596-L596</f>
        <v>957.6</v>
      </c>
      <c r="N596" s="6" t="n">
        <f aca="false">G596*I596</f>
        <v>540</v>
      </c>
      <c r="O596" s="6" t="n">
        <f aca="false">M596-N596</f>
        <v>417.6</v>
      </c>
      <c r="P596" s="21" t="n">
        <f aca="false">IFERROR(O596/M596,0)</f>
        <v>0.43609022556391</v>
      </c>
      <c r="Q596" s="6" t="str">
        <f aca="false">Orders!H596</f>
        <v>Delivered</v>
      </c>
      <c r="R596" s="1" t="str">
        <f aca="false">INDEX(Customers!$C$2:$C$301,MATCH(C596,Customers!$A$2:$A$301,0))</f>
        <v>Chennai</v>
      </c>
      <c r="S596" s="1" t="str">
        <f aca="false">INDEX(Customers!$E$2:$E$301,MATCH(C596,Customers!$A$2:$A$301,0))</f>
        <v>New</v>
      </c>
      <c r="T596" s="6" t="str">
        <f aca="false">Orders!I596</f>
        <v>Marketplace</v>
      </c>
      <c r="U596" s="1" t="str">
        <f aca="false">IF(Q596="Delivered","Completed",IF(Q596="Cancelled","Cancelled",IF(Q596="Returned","Returned","In Progress")))</f>
        <v>Completed</v>
      </c>
      <c r="V596" s="1" t="str">
        <f aca="false">IF(M596&gt;=10000,"High Value",IF(M596&gt;=5000,"Medium Value","Low Value"))</f>
        <v>Low Value</v>
      </c>
      <c r="W596" s="1" t="str">
        <f aca="false">IF(O596&gt;0,"Profitable",IF(O596=0,"Break-even","Loss"))</f>
        <v>Profitable</v>
      </c>
      <c r="X596" s="1" t="str">
        <f aca="false">IF(Q596="Cancelled","Not Applicable",IF(Q596="Processing","Pending",IF(B596="","Unknown",IF(Orders!J596="","Unknown",IF(Orders!J596&lt;=3,"Fast",IF(Orders!J596&lt;=6,"Standard","Slow"))))))</f>
        <v>Standard</v>
      </c>
      <c r="Y596" s="1" t="n">
        <f aca="false">IF(OR(Q596="Cancelled",Q596="Returned"),0,O596)</f>
        <v>417.6</v>
      </c>
    </row>
    <row r="597" customFormat="false" ht="15" hidden="false" customHeight="false" outlineLevel="0" collapsed="false">
      <c r="A597" s="6" t="str">
        <f aca="false">Orders!A597</f>
        <v>O000596</v>
      </c>
      <c r="B597" s="19" t="n">
        <f aca="false">Orders!B597</f>
        <v>45795</v>
      </c>
      <c r="C597" s="6" t="str">
        <f aca="false">Orders!C597</f>
        <v>C0057</v>
      </c>
      <c r="D597" s="6" t="str">
        <f aca="false">Orders!D597</f>
        <v>P1088</v>
      </c>
      <c r="E597" s="6" t="str">
        <f aca="false">INDEX(Products!$B$2:$B$101,MATCH(D597,Products!$A$2:$A$101,0))</f>
        <v>Electric Kettle</v>
      </c>
      <c r="F597" s="1" t="str">
        <f aca="false">INDEX(Products!$C$2:$C$101,MATCH(D597,Products!$A$2:$A$101,0))</f>
        <v>Appliances</v>
      </c>
      <c r="G597" s="6" t="n">
        <f aca="false">Orders!E597</f>
        <v>1</v>
      </c>
      <c r="H597" s="16" t="n">
        <f aca="false">INDEX(Products!$D$2:$D$101,MATCH(D597,Products!$A$2:$A$101,0))</f>
        <v>1299</v>
      </c>
      <c r="I597" s="16" t="n">
        <f aca="false">INDEX(Products!$E$2:$E$101,MATCH(D597,Products!$A$2:$A$101,0))</f>
        <v>750</v>
      </c>
      <c r="J597" s="20" t="n">
        <f aca="false">Orders!F597</f>
        <v>0</v>
      </c>
      <c r="K597" s="6" t="n">
        <f aca="false">G597*H597</f>
        <v>1299</v>
      </c>
      <c r="L597" s="6" t="n">
        <f aca="false">K597*J597</f>
        <v>0</v>
      </c>
      <c r="M597" s="6" t="n">
        <f aca="false">K597-L597</f>
        <v>1299</v>
      </c>
      <c r="N597" s="6" t="n">
        <f aca="false">G597*I597</f>
        <v>750</v>
      </c>
      <c r="O597" s="6" t="n">
        <f aca="false">M597-N597</f>
        <v>549</v>
      </c>
      <c r="P597" s="21" t="n">
        <f aca="false">IFERROR(O597/M597,0)</f>
        <v>0.422632794457275</v>
      </c>
      <c r="Q597" s="6" t="str">
        <f aca="false">Orders!H597</f>
        <v>Delivered</v>
      </c>
      <c r="R597" s="1" t="str">
        <f aca="false">INDEX(Customers!$C$2:$C$301,MATCH(C597,Customers!$A$2:$A$301,0))</f>
        <v>Surat</v>
      </c>
      <c r="S597" s="1" t="str">
        <f aca="false">INDEX(Customers!$E$2:$E$301,MATCH(C597,Customers!$A$2:$A$301,0))</f>
        <v>Returning</v>
      </c>
      <c r="T597" s="6" t="str">
        <f aca="false">Orders!I597</f>
        <v>Website</v>
      </c>
      <c r="U597" s="1" t="str">
        <f aca="false">IF(Q597="Delivered","Completed",IF(Q597="Cancelled","Cancelled",IF(Q597="Returned","Returned","In Progress")))</f>
        <v>Completed</v>
      </c>
      <c r="V597" s="1" t="str">
        <f aca="false">IF(M597&gt;=10000,"High Value",IF(M597&gt;=5000,"Medium Value","Low Value"))</f>
        <v>Low Value</v>
      </c>
      <c r="W597" s="1" t="str">
        <f aca="false">IF(O597&gt;0,"Profitable",IF(O597=0,"Break-even","Loss"))</f>
        <v>Profitable</v>
      </c>
      <c r="X597" s="1" t="str">
        <f aca="false">IF(Q597="Cancelled","Not Applicable",IF(Q597="Processing","Pending",IF(B597="","Unknown",IF(Orders!J597="","Unknown",IF(Orders!J597&lt;=3,"Fast",IF(Orders!J597&lt;=6,"Standard","Slow"))))))</f>
        <v>Standard</v>
      </c>
      <c r="Y597" s="1" t="n">
        <f aca="false">IF(OR(Q597="Cancelled",Q597="Returned"),0,O597)</f>
        <v>549</v>
      </c>
    </row>
    <row r="598" customFormat="false" ht="23.85" hidden="false" customHeight="false" outlineLevel="0" collapsed="false">
      <c r="A598" s="6" t="str">
        <f aca="false">Orders!A598</f>
        <v>O000597</v>
      </c>
      <c r="B598" s="19" t="n">
        <f aca="false">Orders!B598</f>
        <v>46011</v>
      </c>
      <c r="C598" s="6" t="str">
        <f aca="false">Orders!C598</f>
        <v>C0065</v>
      </c>
      <c r="D598" s="6" t="str">
        <f aca="false">Orders!D598</f>
        <v>P1069</v>
      </c>
      <c r="E598" s="6" t="str">
        <f aca="false">INDEX(Products!$B$2:$B$101,MATCH(D598,Products!$A$2:$A$101,0))</f>
        <v>Sports Duffel Bag</v>
      </c>
      <c r="F598" s="1" t="str">
        <f aca="false">INDEX(Products!$C$2:$C$101,MATCH(D598,Products!$A$2:$A$101,0))</f>
        <v>Sports &amp; Outdoors</v>
      </c>
      <c r="G598" s="6" t="n">
        <f aca="false">Orders!E598</f>
        <v>3</v>
      </c>
      <c r="H598" s="16" t="n">
        <f aca="false">INDEX(Products!$D$2:$D$101,MATCH(D598,Products!$A$2:$A$101,0))</f>
        <v>999</v>
      </c>
      <c r="I598" s="16" t="n">
        <f aca="false">INDEX(Products!$E$2:$E$101,MATCH(D598,Products!$A$2:$A$101,0))</f>
        <v>500</v>
      </c>
      <c r="J598" s="20" t="n">
        <f aca="false">Orders!F598</f>
        <v>0.1</v>
      </c>
      <c r="K598" s="6" t="n">
        <f aca="false">G598*H598</f>
        <v>2997</v>
      </c>
      <c r="L598" s="6" t="n">
        <f aca="false">K598*J598</f>
        <v>299.7</v>
      </c>
      <c r="M598" s="6" t="n">
        <f aca="false">K598-L598</f>
        <v>2697.3</v>
      </c>
      <c r="N598" s="6" t="n">
        <f aca="false">G598*I598</f>
        <v>1500</v>
      </c>
      <c r="O598" s="6" t="n">
        <f aca="false">M598-N598</f>
        <v>1197.3</v>
      </c>
      <c r="P598" s="21" t="n">
        <f aca="false">IFERROR(O598/M598,0)</f>
        <v>0.443888332777222</v>
      </c>
      <c r="Q598" s="6" t="str">
        <f aca="false">Orders!H598</f>
        <v>Returned</v>
      </c>
      <c r="R598" s="1" t="str">
        <f aca="false">INDEX(Customers!$C$2:$C$301,MATCH(C598,Customers!$A$2:$A$301,0))</f>
        <v>Chennai</v>
      </c>
      <c r="S598" s="1" t="str">
        <f aca="false">INDEX(Customers!$E$2:$E$301,MATCH(C598,Customers!$A$2:$A$301,0))</f>
        <v>Returning</v>
      </c>
      <c r="T598" s="6" t="str">
        <f aca="false">Orders!I598</f>
        <v>Mobile App</v>
      </c>
      <c r="U598" s="1" t="str">
        <f aca="false">IF(Q598="Delivered","Completed",IF(Q598="Cancelled","Cancelled",IF(Q598="Returned","Returned","In Progress")))</f>
        <v>Returned</v>
      </c>
      <c r="V598" s="1" t="str">
        <f aca="false">IF(M598&gt;=10000,"High Value",IF(M598&gt;=5000,"Medium Value","Low Value"))</f>
        <v>Low Value</v>
      </c>
      <c r="W598" s="1" t="str">
        <f aca="false">IF(O598&gt;0,"Profitable",IF(O598=0,"Break-even","Loss"))</f>
        <v>Profitable</v>
      </c>
      <c r="X598" s="1" t="str">
        <f aca="false">IF(Q598="Cancelled","Not Applicable",IF(Q598="Processing","Pending",IF(B598="","Unknown",IF(Orders!J598="","Unknown",IF(Orders!J598&lt;=3,"Fast",IF(Orders!J598&lt;=6,"Standard","Slow"))))))</f>
        <v>Fast</v>
      </c>
      <c r="Y598" s="1" t="n">
        <f aca="false">IF(OR(Q598="Cancelled",Q598="Returned"),0,O598)</f>
        <v>0</v>
      </c>
    </row>
    <row r="599" customFormat="false" ht="15" hidden="false" customHeight="false" outlineLevel="0" collapsed="false">
      <c r="A599" s="6" t="str">
        <f aca="false">Orders!A599</f>
        <v>O000598</v>
      </c>
      <c r="B599" s="19" t="n">
        <f aca="false">Orders!B599</f>
        <v>45752</v>
      </c>
      <c r="C599" s="6" t="str">
        <f aca="false">Orders!C599</f>
        <v>C0058</v>
      </c>
      <c r="D599" s="6" t="str">
        <f aca="false">Orders!D599</f>
        <v>P1018</v>
      </c>
      <c r="E599" s="6" t="str">
        <f aca="false">INDEX(Products!$B$2:$B$101,MATCH(D599,Products!$A$2:$A$101,0))</f>
        <v>Cotton Shirt</v>
      </c>
      <c r="F599" s="1" t="str">
        <f aca="false">INDEX(Products!$C$2:$C$101,MATCH(D599,Products!$A$2:$A$101,0))</f>
        <v>Fashion</v>
      </c>
      <c r="G599" s="6" t="n">
        <f aca="false">Orders!E599</f>
        <v>2</v>
      </c>
      <c r="H599" s="16" t="n">
        <f aca="false">INDEX(Products!$D$2:$D$101,MATCH(D599,Products!$A$2:$A$101,0))</f>
        <v>899</v>
      </c>
      <c r="I599" s="16" t="n">
        <f aca="false">INDEX(Products!$E$2:$E$101,MATCH(D599,Products!$A$2:$A$101,0))</f>
        <v>420</v>
      </c>
      <c r="J599" s="20" t="n">
        <f aca="false">Orders!F599</f>
        <v>0</v>
      </c>
      <c r="K599" s="6" t="n">
        <f aca="false">G599*H599</f>
        <v>1798</v>
      </c>
      <c r="L599" s="6" t="n">
        <f aca="false">K599*J599</f>
        <v>0</v>
      </c>
      <c r="M599" s="6" t="n">
        <f aca="false">K599-L599</f>
        <v>1798</v>
      </c>
      <c r="N599" s="6" t="n">
        <f aca="false">G599*I599</f>
        <v>840</v>
      </c>
      <c r="O599" s="6" t="n">
        <f aca="false">M599-N599</f>
        <v>958</v>
      </c>
      <c r="P599" s="21" t="n">
        <f aca="false">IFERROR(O599/M599,0)</f>
        <v>0.532814238042269</v>
      </c>
      <c r="Q599" s="6" t="str">
        <f aca="false">Orders!H599</f>
        <v>Delivered</v>
      </c>
      <c r="R599" s="1" t="str">
        <f aca="false">INDEX(Customers!$C$2:$C$301,MATCH(C599,Customers!$A$2:$A$301,0))</f>
        <v>Nagpur</v>
      </c>
      <c r="S599" s="1" t="str">
        <f aca="false">INDEX(Customers!$E$2:$E$301,MATCH(C599,Customers!$A$2:$A$301,0))</f>
        <v>New</v>
      </c>
      <c r="T599" s="6" t="str">
        <f aca="false">Orders!I599</f>
        <v>Website</v>
      </c>
      <c r="U599" s="1" t="str">
        <f aca="false">IF(Q599="Delivered","Completed",IF(Q599="Cancelled","Cancelled",IF(Q599="Returned","Returned","In Progress")))</f>
        <v>Completed</v>
      </c>
      <c r="V599" s="1" t="str">
        <f aca="false">IF(M599&gt;=10000,"High Value",IF(M599&gt;=5000,"Medium Value","Low Value"))</f>
        <v>Low Value</v>
      </c>
      <c r="W599" s="1" t="str">
        <f aca="false">IF(O599&gt;0,"Profitable",IF(O599=0,"Break-even","Loss"))</f>
        <v>Profitable</v>
      </c>
      <c r="X599" s="1" t="str">
        <f aca="false">IF(Q599="Cancelled","Not Applicable",IF(Q599="Processing","Pending",IF(B599="","Unknown",IF(Orders!J599="","Unknown",IF(Orders!J599&lt;=3,"Fast",IF(Orders!J599&lt;=6,"Standard","Slow"))))))</f>
        <v>Fast</v>
      </c>
      <c r="Y599" s="1" t="n">
        <f aca="false">IF(OR(Q599="Cancelled",Q599="Returned"),0,O599)</f>
        <v>958</v>
      </c>
    </row>
    <row r="600" customFormat="false" ht="15" hidden="false" customHeight="false" outlineLevel="0" collapsed="false">
      <c r="A600" s="6" t="str">
        <f aca="false">Orders!A600</f>
        <v>O000599</v>
      </c>
      <c r="B600" s="19" t="n">
        <f aca="false">Orders!B600</f>
        <v>45983</v>
      </c>
      <c r="C600" s="6" t="str">
        <f aca="false">Orders!C600</f>
        <v>C0274</v>
      </c>
      <c r="D600" s="6" t="str">
        <f aca="false">Orders!D600</f>
        <v>P1010</v>
      </c>
      <c r="E600" s="6" t="str">
        <f aca="false">INDEX(Products!$B$2:$B$101,MATCH(D600,Products!$A$2:$A$101,0))</f>
        <v>Webcam</v>
      </c>
      <c r="F600" s="1" t="str">
        <f aca="false">INDEX(Products!$C$2:$C$101,MATCH(D600,Products!$A$2:$A$101,0))</f>
        <v>Electronics</v>
      </c>
      <c r="G600" s="6" t="n">
        <f aca="false">Orders!E600</f>
        <v>2</v>
      </c>
      <c r="H600" s="16" t="n">
        <f aca="false">INDEX(Products!$D$2:$D$101,MATCH(D600,Products!$A$2:$A$101,0))</f>
        <v>1799</v>
      </c>
      <c r="I600" s="16" t="n">
        <f aca="false">INDEX(Products!$E$2:$E$101,MATCH(D600,Products!$A$2:$A$101,0))</f>
        <v>1050</v>
      </c>
      <c r="J600" s="20" t="n">
        <f aca="false">Orders!F600</f>
        <v>0.15</v>
      </c>
      <c r="K600" s="6" t="n">
        <f aca="false">G600*H600</f>
        <v>3598</v>
      </c>
      <c r="L600" s="6" t="n">
        <f aca="false">K600*J600</f>
        <v>539.7</v>
      </c>
      <c r="M600" s="6" t="n">
        <f aca="false">K600-L600</f>
        <v>3058.3</v>
      </c>
      <c r="N600" s="6" t="n">
        <f aca="false">G600*I600</f>
        <v>2100</v>
      </c>
      <c r="O600" s="6" t="n">
        <f aca="false">M600-N600</f>
        <v>958.3</v>
      </c>
      <c r="P600" s="21" t="n">
        <f aca="false">IFERROR(O600/M600,0)</f>
        <v>0.313344014648661</v>
      </c>
      <c r="Q600" s="6" t="str">
        <f aca="false">Orders!H600</f>
        <v>Delivered</v>
      </c>
      <c r="R600" s="1" t="str">
        <f aca="false">INDEX(Customers!$C$2:$C$301,MATCH(C600,Customers!$A$2:$A$301,0))</f>
        <v>Indore</v>
      </c>
      <c r="S600" s="1" t="str">
        <f aca="false">INDEX(Customers!$E$2:$E$301,MATCH(C600,Customers!$A$2:$A$301,0))</f>
        <v>New</v>
      </c>
      <c r="T600" s="6" t="str">
        <f aca="false">Orders!I600</f>
        <v>Marketplace</v>
      </c>
      <c r="U600" s="1" t="str">
        <f aca="false">IF(Q600="Delivered","Completed",IF(Q600="Cancelled","Cancelled",IF(Q600="Returned","Returned","In Progress")))</f>
        <v>Completed</v>
      </c>
      <c r="V600" s="1" t="str">
        <f aca="false">IF(M600&gt;=10000,"High Value",IF(M600&gt;=5000,"Medium Value","Low Value"))</f>
        <v>Low Value</v>
      </c>
      <c r="W600" s="1" t="str">
        <f aca="false">IF(O600&gt;0,"Profitable",IF(O600=0,"Break-even","Loss"))</f>
        <v>Profitable</v>
      </c>
      <c r="X600" s="1" t="str">
        <f aca="false">IF(Q600="Cancelled","Not Applicable",IF(Q600="Processing","Pending",IF(B600="","Unknown",IF(Orders!J600="","Unknown",IF(Orders!J600&lt;=3,"Fast",IF(Orders!J600&lt;=6,"Standard","Slow"))))))</f>
        <v>Standard</v>
      </c>
      <c r="Y600" s="1" t="n">
        <f aca="false">IF(OR(Q600="Cancelled",Q600="Returned"),0,O600)</f>
        <v>958.3</v>
      </c>
    </row>
    <row r="601" customFormat="false" ht="15" hidden="false" customHeight="false" outlineLevel="0" collapsed="false">
      <c r="A601" s="6" t="str">
        <f aca="false">Orders!A601</f>
        <v>O000600</v>
      </c>
      <c r="B601" s="19" t="n">
        <f aca="false">Orders!B601</f>
        <v>45833</v>
      </c>
      <c r="C601" s="6" t="str">
        <f aca="false">Orders!C601</f>
        <v>C0103</v>
      </c>
      <c r="D601" s="6" t="str">
        <f aca="false">Orders!D601</f>
        <v>P1032</v>
      </c>
      <c r="E601" s="6" t="str">
        <f aca="false">INDEX(Products!$B$2:$B$101,MATCH(D601,Products!$A$2:$A$101,0))</f>
        <v>Water Bottle</v>
      </c>
      <c r="F601" s="1" t="str">
        <f aca="false">INDEX(Products!$C$2:$C$101,MATCH(D601,Products!$A$2:$A$101,0))</f>
        <v>Home &amp; Kitchen</v>
      </c>
      <c r="G601" s="6" t="n">
        <f aca="false">Orders!E601</f>
        <v>1</v>
      </c>
      <c r="H601" s="16" t="n">
        <f aca="false">INDEX(Products!$D$2:$D$101,MATCH(D601,Products!$A$2:$A$101,0))</f>
        <v>399</v>
      </c>
      <c r="I601" s="16" t="n">
        <f aca="false">INDEX(Products!$E$2:$E$101,MATCH(D601,Products!$A$2:$A$101,0))</f>
        <v>150</v>
      </c>
      <c r="J601" s="20" t="n">
        <f aca="false">Orders!F601</f>
        <v>0.1</v>
      </c>
      <c r="K601" s="6" t="n">
        <f aca="false">G601*H601</f>
        <v>399</v>
      </c>
      <c r="L601" s="6" t="n">
        <f aca="false">K601*J601</f>
        <v>39.9</v>
      </c>
      <c r="M601" s="6" t="n">
        <f aca="false">K601-L601</f>
        <v>359.1</v>
      </c>
      <c r="N601" s="6" t="n">
        <f aca="false">G601*I601</f>
        <v>150</v>
      </c>
      <c r="O601" s="6" t="n">
        <f aca="false">M601-N601</f>
        <v>209.1</v>
      </c>
      <c r="P601" s="21" t="n">
        <f aca="false">IFERROR(O601/M601,0)</f>
        <v>0.582289055973267</v>
      </c>
      <c r="Q601" s="6" t="str">
        <f aca="false">Orders!H601</f>
        <v>Delivered</v>
      </c>
      <c r="R601" s="1" t="str">
        <f aca="false">INDEX(Customers!$C$2:$C$301,MATCH(C601,Customers!$A$2:$A$301,0))</f>
        <v>Bengaluru</v>
      </c>
      <c r="S601" s="1" t="str">
        <f aca="false">INDEX(Customers!$E$2:$E$301,MATCH(C601,Customers!$A$2:$A$301,0))</f>
        <v>Returning</v>
      </c>
      <c r="T601" s="6" t="str">
        <f aca="false">Orders!I601</f>
        <v>Mobile App</v>
      </c>
      <c r="U601" s="1" t="str">
        <f aca="false">IF(Q601="Delivered","Completed",IF(Q601="Cancelled","Cancelled",IF(Q601="Returned","Returned","In Progress")))</f>
        <v>Completed</v>
      </c>
      <c r="V601" s="1" t="str">
        <f aca="false">IF(M601&gt;=10000,"High Value",IF(M601&gt;=5000,"Medium Value","Low Value"))</f>
        <v>Low Value</v>
      </c>
      <c r="W601" s="1" t="str">
        <f aca="false">IF(O601&gt;0,"Profitable",IF(O601=0,"Break-even","Loss"))</f>
        <v>Profitable</v>
      </c>
      <c r="X601" s="1" t="str">
        <f aca="false">IF(Q601="Cancelled","Not Applicable",IF(Q601="Processing","Pending",IF(B601="","Unknown",IF(Orders!J601="","Unknown",IF(Orders!J601&lt;=3,"Fast",IF(Orders!J601&lt;=6,"Standard","Slow"))))))</f>
        <v>Fast</v>
      </c>
      <c r="Y601" s="1" t="n">
        <f aca="false">IF(OR(Q601="Cancelled",Q601="Returned"),0,O601)</f>
        <v>209.1</v>
      </c>
    </row>
    <row r="602" customFormat="false" ht="23.85" hidden="false" customHeight="false" outlineLevel="0" collapsed="false">
      <c r="A602" s="6" t="str">
        <f aca="false">Orders!A602</f>
        <v>O000601</v>
      </c>
      <c r="B602" s="19" t="n">
        <f aca="false">Orders!B602</f>
        <v>45696</v>
      </c>
      <c r="C602" s="6" t="str">
        <f aca="false">Orders!C602</f>
        <v>C0177</v>
      </c>
      <c r="D602" s="6" t="str">
        <f aca="false">Orders!D602</f>
        <v>P1041</v>
      </c>
      <c r="E602" s="6" t="str">
        <f aca="false">INDEX(Products!$B$2:$B$101,MATCH(D602,Products!$A$2:$A$101,0))</f>
        <v>Food Storage Jars</v>
      </c>
      <c r="F602" s="1" t="str">
        <f aca="false">INDEX(Products!$C$2:$C$101,MATCH(D602,Products!$A$2:$A$101,0))</f>
        <v>Home &amp; Kitchen</v>
      </c>
      <c r="G602" s="6" t="n">
        <f aca="false">Orders!E602</f>
        <v>1</v>
      </c>
      <c r="H602" s="16" t="n">
        <f aca="false">INDEX(Products!$D$2:$D$101,MATCH(D602,Products!$A$2:$A$101,0))</f>
        <v>499</v>
      </c>
      <c r="I602" s="16" t="n">
        <f aca="false">INDEX(Products!$E$2:$E$101,MATCH(D602,Products!$A$2:$A$101,0))</f>
        <v>220</v>
      </c>
      <c r="J602" s="20" t="n">
        <f aca="false">Orders!F602</f>
        <v>0.15</v>
      </c>
      <c r="K602" s="6" t="n">
        <f aca="false">G602*H602</f>
        <v>499</v>
      </c>
      <c r="L602" s="6" t="n">
        <f aca="false">K602*J602</f>
        <v>74.85</v>
      </c>
      <c r="M602" s="6" t="n">
        <f aca="false">K602-L602</f>
        <v>424.15</v>
      </c>
      <c r="N602" s="6" t="n">
        <f aca="false">G602*I602</f>
        <v>220</v>
      </c>
      <c r="O602" s="6" t="n">
        <f aca="false">M602-N602</f>
        <v>204.15</v>
      </c>
      <c r="P602" s="21" t="n">
        <f aca="false">IFERROR(O602/M602,0)</f>
        <v>0.481315572321113</v>
      </c>
      <c r="Q602" s="6" t="str">
        <f aca="false">Orders!H602</f>
        <v>Delivered</v>
      </c>
      <c r="R602" s="1" t="str">
        <f aca="false">INDEX(Customers!$C$2:$C$301,MATCH(C602,Customers!$A$2:$A$301,0))</f>
        <v>Surat</v>
      </c>
      <c r="S602" s="1" t="str">
        <f aca="false">INDEX(Customers!$E$2:$E$301,MATCH(C602,Customers!$A$2:$A$301,0))</f>
        <v>New</v>
      </c>
      <c r="T602" s="6" t="str">
        <f aca="false">Orders!I602</f>
        <v>Marketplace</v>
      </c>
      <c r="U602" s="1" t="str">
        <f aca="false">IF(Q602="Delivered","Completed",IF(Q602="Cancelled","Cancelled",IF(Q602="Returned","Returned","In Progress")))</f>
        <v>Completed</v>
      </c>
      <c r="V602" s="1" t="str">
        <f aca="false">IF(M602&gt;=10000,"High Value",IF(M602&gt;=5000,"Medium Value","Low Value"))</f>
        <v>Low Value</v>
      </c>
      <c r="W602" s="1" t="str">
        <f aca="false">IF(O602&gt;0,"Profitable",IF(O602=0,"Break-even","Loss"))</f>
        <v>Profitable</v>
      </c>
      <c r="X602" s="1" t="str">
        <f aca="false">IF(Q602="Cancelled","Not Applicable",IF(Q602="Processing","Pending",IF(B602="","Unknown",IF(Orders!J602="","Unknown",IF(Orders!J602&lt;=3,"Fast",IF(Orders!J602&lt;=6,"Standard","Slow"))))))</f>
        <v>Fast</v>
      </c>
      <c r="Y602" s="1" t="n">
        <f aca="false">IF(OR(Q602="Cancelled",Q602="Returned"),0,O602)</f>
        <v>204.15</v>
      </c>
    </row>
    <row r="603" customFormat="false" ht="15" hidden="false" customHeight="false" outlineLevel="0" collapsed="false">
      <c r="A603" s="6" t="str">
        <f aca="false">Orders!A603</f>
        <v>O000602</v>
      </c>
      <c r="B603" s="19" t="n">
        <f aca="false">Orders!B603</f>
        <v>45665</v>
      </c>
      <c r="C603" s="6" t="str">
        <f aca="false">Orders!C603</f>
        <v>C0235</v>
      </c>
      <c r="D603" s="6" t="str">
        <f aca="false">Orders!D603</f>
        <v>P1080</v>
      </c>
      <c r="E603" s="6" t="str">
        <f aca="false">INDEX(Products!$B$2:$B$101,MATCH(D603,Products!$A$2:$A$101,0))</f>
        <v>Calculator</v>
      </c>
      <c r="F603" s="1" t="str">
        <f aca="false">INDEX(Products!$C$2:$C$101,MATCH(D603,Products!$A$2:$A$101,0))</f>
        <v>Books &amp; Stationery</v>
      </c>
      <c r="G603" s="6" t="n">
        <f aca="false">Orders!E603</f>
        <v>3</v>
      </c>
      <c r="H603" s="16" t="n">
        <f aca="false">INDEX(Products!$D$2:$D$101,MATCH(D603,Products!$A$2:$A$101,0))</f>
        <v>599</v>
      </c>
      <c r="I603" s="16" t="n">
        <f aca="false">INDEX(Products!$E$2:$E$101,MATCH(D603,Products!$A$2:$A$101,0))</f>
        <v>300</v>
      </c>
      <c r="J603" s="20" t="n">
        <f aca="false">Orders!F603</f>
        <v>0.15</v>
      </c>
      <c r="K603" s="6" t="n">
        <f aca="false">G603*H603</f>
        <v>1797</v>
      </c>
      <c r="L603" s="6" t="n">
        <f aca="false">K603*J603</f>
        <v>269.55</v>
      </c>
      <c r="M603" s="6" t="n">
        <f aca="false">K603-L603</f>
        <v>1527.45</v>
      </c>
      <c r="N603" s="6" t="n">
        <f aca="false">G603*I603</f>
        <v>900</v>
      </c>
      <c r="O603" s="6" t="n">
        <f aca="false">M603-N603</f>
        <v>627.45</v>
      </c>
      <c r="P603" s="21" t="n">
        <f aca="false">IFERROR(O603/M603,0)</f>
        <v>0.410782677010704</v>
      </c>
      <c r="Q603" s="6" t="str">
        <f aca="false">Orders!H603</f>
        <v>Delivered</v>
      </c>
      <c r="R603" s="1" t="str">
        <f aca="false">INDEX(Customers!$C$2:$C$301,MATCH(C603,Customers!$A$2:$A$301,0))</f>
        <v>Bhopal</v>
      </c>
      <c r="S603" s="1" t="str">
        <f aca="false">INDEX(Customers!$E$2:$E$301,MATCH(C603,Customers!$A$2:$A$301,0))</f>
        <v>New</v>
      </c>
      <c r="T603" s="6" t="str">
        <f aca="false">Orders!I603</f>
        <v>Marketplace</v>
      </c>
      <c r="U603" s="1" t="str">
        <f aca="false">IF(Q603="Delivered","Completed",IF(Q603="Cancelled","Cancelled",IF(Q603="Returned","Returned","In Progress")))</f>
        <v>Completed</v>
      </c>
      <c r="V603" s="1" t="str">
        <f aca="false">IF(M603&gt;=10000,"High Value",IF(M603&gt;=5000,"Medium Value","Low Value"))</f>
        <v>Low Value</v>
      </c>
      <c r="W603" s="1" t="str">
        <f aca="false">IF(O603&gt;0,"Profitable",IF(O603=0,"Break-even","Loss"))</f>
        <v>Profitable</v>
      </c>
      <c r="X603" s="1" t="str">
        <f aca="false">IF(Q603="Cancelled","Not Applicable",IF(Q603="Processing","Pending",IF(B603="","Unknown",IF(Orders!J603="","Unknown",IF(Orders!J603&lt;=3,"Fast",IF(Orders!J603&lt;=6,"Standard","Slow"))))))</f>
        <v>Fast</v>
      </c>
      <c r="Y603" s="1" t="n">
        <f aca="false">IF(OR(Q603="Cancelled",Q603="Returned"),0,O603)</f>
        <v>627.45</v>
      </c>
    </row>
    <row r="604" customFormat="false" ht="15" hidden="false" customHeight="false" outlineLevel="0" collapsed="false">
      <c r="A604" s="6" t="str">
        <f aca="false">Orders!A604</f>
        <v>O000603</v>
      </c>
      <c r="B604" s="19" t="n">
        <f aca="false">Orders!B604</f>
        <v>45743</v>
      </c>
      <c r="C604" s="6" t="str">
        <f aca="false">Orders!C604</f>
        <v>C0193</v>
      </c>
      <c r="D604" s="6" t="str">
        <f aca="false">Orders!D604</f>
        <v>P1009</v>
      </c>
      <c r="E604" s="6" t="str">
        <f aca="false">INDEX(Products!$B$2:$B$101,MATCH(D604,Products!$A$2:$A$101,0))</f>
        <v>Laptop Sleeve</v>
      </c>
      <c r="F604" s="1" t="str">
        <f aca="false">INDEX(Products!$C$2:$C$101,MATCH(D604,Products!$A$2:$A$101,0))</f>
        <v>Electronics</v>
      </c>
      <c r="G604" s="6" t="n">
        <f aca="false">Orders!E604</f>
        <v>2</v>
      </c>
      <c r="H604" s="16" t="n">
        <f aca="false">INDEX(Products!$D$2:$D$101,MATCH(D604,Products!$A$2:$A$101,0))</f>
        <v>799</v>
      </c>
      <c r="I604" s="16" t="n">
        <f aca="false">INDEX(Products!$E$2:$E$101,MATCH(D604,Products!$A$2:$A$101,0))</f>
        <v>350</v>
      </c>
      <c r="J604" s="20" t="n">
        <f aca="false">Orders!F604</f>
        <v>0.2</v>
      </c>
      <c r="K604" s="6" t="n">
        <f aca="false">G604*H604</f>
        <v>1598</v>
      </c>
      <c r="L604" s="6" t="n">
        <f aca="false">K604*J604</f>
        <v>319.6</v>
      </c>
      <c r="M604" s="6" t="n">
        <f aca="false">K604-L604</f>
        <v>1278.4</v>
      </c>
      <c r="N604" s="6" t="n">
        <f aca="false">G604*I604</f>
        <v>700</v>
      </c>
      <c r="O604" s="6" t="n">
        <f aca="false">M604-N604</f>
        <v>578.4</v>
      </c>
      <c r="P604" s="21" t="n">
        <f aca="false">IFERROR(O604/M604,0)</f>
        <v>0.452440550688361</v>
      </c>
      <c r="Q604" s="6" t="str">
        <f aca="false">Orders!H604</f>
        <v>Delivered</v>
      </c>
      <c r="R604" s="1" t="str">
        <f aca="false">INDEX(Customers!$C$2:$C$301,MATCH(C604,Customers!$A$2:$A$301,0))</f>
        <v>Kochi</v>
      </c>
      <c r="S604" s="1" t="str">
        <f aca="false">INDEX(Customers!$E$2:$E$301,MATCH(C604,Customers!$A$2:$A$301,0))</f>
        <v>New</v>
      </c>
      <c r="T604" s="6" t="str">
        <f aca="false">Orders!I604</f>
        <v>Mobile App</v>
      </c>
      <c r="U604" s="1" t="str">
        <f aca="false">IF(Q604="Delivered","Completed",IF(Q604="Cancelled","Cancelled",IF(Q604="Returned","Returned","In Progress")))</f>
        <v>Completed</v>
      </c>
      <c r="V604" s="1" t="str">
        <f aca="false">IF(M604&gt;=10000,"High Value",IF(M604&gt;=5000,"Medium Value","Low Value"))</f>
        <v>Low Value</v>
      </c>
      <c r="W604" s="1" t="str">
        <f aca="false">IF(O604&gt;0,"Profitable",IF(O604=0,"Break-even","Loss"))</f>
        <v>Profitable</v>
      </c>
      <c r="X604" s="1" t="str">
        <f aca="false">IF(Q604="Cancelled","Not Applicable",IF(Q604="Processing","Pending",IF(B604="","Unknown",IF(Orders!J604="","Unknown",IF(Orders!J604&lt;=3,"Fast",IF(Orders!J604&lt;=6,"Standard","Slow"))))))</f>
        <v>Slow</v>
      </c>
      <c r="Y604" s="1" t="n">
        <f aca="false">IF(OR(Q604="Cancelled",Q604="Returned"),0,O604)</f>
        <v>578.4</v>
      </c>
    </row>
    <row r="605" customFormat="false" ht="15" hidden="false" customHeight="false" outlineLevel="0" collapsed="false">
      <c r="A605" s="6" t="str">
        <f aca="false">Orders!A605</f>
        <v>O000604</v>
      </c>
      <c r="B605" s="19" t="n">
        <f aca="false">Orders!B605</f>
        <v>45826</v>
      </c>
      <c r="C605" s="6" t="str">
        <f aca="false">Orders!C605</f>
        <v>C0221</v>
      </c>
      <c r="D605" s="6" t="str">
        <f aca="false">Orders!D605</f>
        <v>P1025</v>
      </c>
      <c r="E605" s="6" t="str">
        <f aca="false">INDEX(Products!$B$2:$B$101,MATCH(D605,Products!$A$2:$A$101,0))</f>
        <v>Hoodie</v>
      </c>
      <c r="F605" s="1" t="str">
        <f aca="false">INDEX(Products!$C$2:$C$101,MATCH(D605,Products!$A$2:$A$101,0))</f>
        <v>Fashion</v>
      </c>
      <c r="G605" s="6" t="n">
        <f aca="false">Orders!E605</f>
        <v>1</v>
      </c>
      <c r="H605" s="16" t="n">
        <f aca="false">INDEX(Products!$D$2:$D$101,MATCH(D605,Products!$A$2:$A$101,0))</f>
        <v>1399</v>
      </c>
      <c r="I605" s="16" t="n">
        <f aca="false">INDEX(Products!$E$2:$E$101,MATCH(D605,Products!$A$2:$A$101,0))</f>
        <v>720</v>
      </c>
      <c r="J605" s="20" t="n">
        <f aca="false">Orders!F605</f>
        <v>0.1</v>
      </c>
      <c r="K605" s="6" t="n">
        <f aca="false">G605*H605</f>
        <v>1399</v>
      </c>
      <c r="L605" s="6" t="n">
        <f aca="false">K605*J605</f>
        <v>139.9</v>
      </c>
      <c r="M605" s="6" t="n">
        <f aca="false">K605-L605</f>
        <v>1259.1</v>
      </c>
      <c r="N605" s="6" t="n">
        <f aca="false">G605*I605</f>
        <v>720</v>
      </c>
      <c r="O605" s="6" t="n">
        <f aca="false">M605-N605</f>
        <v>539.1</v>
      </c>
      <c r="P605" s="21" t="n">
        <f aca="false">IFERROR(O605/M605,0)</f>
        <v>0.428162973552537</v>
      </c>
      <c r="Q605" s="6" t="str">
        <f aca="false">Orders!H605</f>
        <v>Shipped</v>
      </c>
      <c r="R605" s="1" t="str">
        <f aca="false">INDEX(Customers!$C$2:$C$301,MATCH(C605,Customers!$A$2:$A$301,0))</f>
        <v>Delhi</v>
      </c>
      <c r="S605" s="1" t="str">
        <f aca="false">INDEX(Customers!$E$2:$E$301,MATCH(C605,Customers!$A$2:$A$301,0))</f>
        <v>New</v>
      </c>
      <c r="T605" s="6" t="str">
        <f aca="false">Orders!I605</f>
        <v>Mobile App</v>
      </c>
      <c r="U605" s="1" t="str">
        <f aca="false">IF(Q605="Delivered","Completed",IF(Q605="Cancelled","Cancelled",IF(Q605="Returned","Returned","In Progress")))</f>
        <v>In Progress</v>
      </c>
      <c r="V605" s="1" t="str">
        <f aca="false">IF(M605&gt;=10000,"High Value",IF(M605&gt;=5000,"Medium Value","Low Value"))</f>
        <v>Low Value</v>
      </c>
      <c r="W605" s="1" t="str">
        <f aca="false">IF(O605&gt;0,"Profitable",IF(O605=0,"Break-even","Loss"))</f>
        <v>Profitable</v>
      </c>
      <c r="X605" s="1" t="str">
        <f aca="false">IF(Q605="Cancelled","Not Applicable",IF(Q605="Processing","Pending",IF(B605="","Unknown",IF(Orders!J605="","Unknown",IF(Orders!J605&lt;=3,"Fast",IF(Orders!J605&lt;=6,"Standard","Slow"))))))</f>
        <v>Fast</v>
      </c>
      <c r="Y605" s="1" t="n">
        <f aca="false">IF(OR(Q605="Cancelled",Q605="Returned"),0,O605)</f>
        <v>539.1</v>
      </c>
    </row>
    <row r="606" customFormat="false" ht="15" hidden="false" customHeight="false" outlineLevel="0" collapsed="false">
      <c r="A606" s="6" t="str">
        <f aca="false">Orders!A606</f>
        <v>O000605</v>
      </c>
      <c r="B606" s="19" t="n">
        <f aca="false">Orders!B606</f>
        <v>45952</v>
      </c>
      <c r="C606" s="6" t="str">
        <f aca="false">Orders!C606</f>
        <v>C0251</v>
      </c>
      <c r="D606" s="6" t="str">
        <f aca="false">Orders!D606</f>
        <v>P1097</v>
      </c>
      <c r="E606" s="6" t="str">
        <f aca="false">INDEX(Products!$B$2:$B$101,MATCH(D606,Products!$A$2:$A$101,0))</f>
        <v>Vacuum Cleaner</v>
      </c>
      <c r="F606" s="1" t="str">
        <f aca="false">INDEX(Products!$C$2:$C$101,MATCH(D606,Products!$A$2:$A$101,0))</f>
        <v>Appliances</v>
      </c>
      <c r="G606" s="6" t="n">
        <f aca="false">Orders!E606</f>
        <v>1</v>
      </c>
      <c r="H606" s="16" t="n">
        <f aca="false">INDEX(Products!$D$2:$D$101,MATCH(D606,Products!$A$2:$A$101,0))</f>
        <v>3499</v>
      </c>
      <c r="I606" s="16" t="n">
        <f aca="false">INDEX(Products!$E$2:$E$101,MATCH(D606,Products!$A$2:$A$101,0))</f>
        <v>2400</v>
      </c>
      <c r="J606" s="20" t="n">
        <f aca="false">Orders!F606</f>
        <v>0.2</v>
      </c>
      <c r="K606" s="6" t="n">
        <f aca="false">G606*H606</f>
        <v>3499</v>
      </c>
      <c r="L606" s="6" t="n">
        <f aca="false">K606*J606</f>
        <v>699.8</v>
      </c>
      <c r="M606" s="6" t="n">
        <f aca="false">K606-L606</f>
        <v>2799.2</v>
      </c>
      <c r="N606" s="6" t="n">
        <f aca="false">G606*I606</f>
        <v>2400</v>
      </c>
      <c r="O606" s="6" t="n">
        <f aca="false">M606-N606</f>
        <v>399.2</v>
      </c>
      <c r="P606" s="21" t="n">
        <f aca="false">IFERROR(O606/M606,0)</f>
        <v>0.142612174907116</v>
      </c>
      <c r="Q606" s="6" t="str">
        <f aca="false">Orders!H606</f>
        <v>Delivered</v>
      </c>
      <c r="R606" s="1" t="str">
        <f aca="false">INDEX(Customers!$C$2:$C$301,MATCH(C606,Customers!$A$2:$A$301,0))</f>
        <v>Gurugram</v>
      </c>
      <c r="S606" s="1" t="str">
        <f aca="false">INDEX(Customers!$E$2:$E$301,MATCH(C606,Customers!$A$2:$A$301,0))</f>
        <v>Returning</v>
      </c>
      <c r="T606" s="6" t="str">
        <f aca="false">Orders!I606</f>
        <v>Mobile App</v>
      </c>
      <c r="U606" s="1" t="str">
        <f aca="false">IF(Q606="Delivered","Completed",IF(Q606="Cancelled","Cancelled",IF(Q606="Returned","Returned","In Progress")))</f>
        <v>Completed</v>
      </c>
      <c r="V606" s="1" t="str">
        <f aca="false">IF(M606&gt;=10000,"High Value",IF(M606&gt;=5000,"Medium Value","Low Value"))</f>
        <v>Low Value</v>
      </c>
      <c r="W606" s="1" t="str">
        <f aca="false">IF(O606&gt;0,"Profitable",IF(O606=0,"Break-even","Loss"))</f>
        <v>Profitable</v>
      </c>
      <c r="X606" s="1" t="str">
        <f aca="false">IF(Q606="Cancelled","Not Applicable",IF(Q606="Processing","Pending",IF(B606="","Unknown",IF(Orders!J606="","Unknown",IF(Orders!J606&lt;=3,"Fast",IF(Orders!J606&lt;=6,"Standard","Slow"))))))</f>
        <v>Fast</v>
      </c>
      <c r="Y606" s="1" t="n">
        <f aca="false">IF(OR(Q606="Cancelled",Q606="Returned"),0,O606)</f>
        <v>399.2</v>
      </c>
    </row>
    <row r="607" customFormat="false" ht="15" hidden="false" customHeight="false" outlineLevel="0" collapsed="false">
      <c r="A607" s="6" t="str">
        <f aca="false">Orders!A607</f>
        <v>O000606</v>
      </c>
      <c r="B607" s="19" t="n">
        <f aca="false">Orders!B607</f>
        <v>46005</v>
      </c>
      <c r="C607" s="6" t="str">
        <f aca="false">Orders!C607</f>
        <v>C0050</v>
      </c>
      <c r="D607" s="6" t="str">
        <f aca="false">Orders!D607</f>
        <v>P1091</v>
      </c>
      <c r="E607" s="6" t="str">
        <f aca="false">INDEX(Products!$B$2:$B$101,MATCH(D607,Products!$A$2:$A$101,0))</f>
        <v>Rice Cooker</v>
      </c>
      <c r="F607" s="1" t="str">
        <f aca="false">INDEX(Products!$C$2:$C$101,MATCH(D607,Products!$A$2:$A$101,0))</f>
        <v>Appliances</v>
      </c>
      <c r="G607" s="6" t="n">
        <f aca="false">Orders!E607</f>
        <v>1</v>
      </c>
      <c r="H607" s="16" t="n">
        <f aca="false">INDEX(Products!$D$2:$D$101,MATCH(D607,Products!$A$2:$A$101,0))</f>
        <v>1999</v>
      </c>
      <c r="I607" s="16" t="n">
        <f aca="false">INDEX(Products!$E$2:$E$101,MATCH(D607,Products!$A$2:$A$101,0))</f>
        <v>1200</v>
      </c>
      <c r="J607" s="20" t="n">
        <f aca="false">Orders!F607</f>
        <v>0.05</v>
      </c>
      <c r="K607" s="6" t="n">
        <f aca="false">G607*H607</f>
        <v>1999</v>
      </c>
      <c r="L607" s="6" t="n">
        <f aca="false">K607*J607</f>
        <v>99.95</v>
      </c>
      <c r="M607" s="6" t="n">
        <f aca="false">K607-L607</f>
        <v>1899.05</v>
      </c>
      <c r="N607" s="6" t="n">
        <f aca="false">G607*I607</f>
        <v>1200</v>
      </c>
      <c r="O607" s="6" t="n">
        <f aca="false">M607-N607</f>
        <v>699.05</v>
      </c>
      <c r="P607" s="21" t="n">
        <f aca="false">IFERROR(O607/M607,0)</f>
        <v>0.368105105184171</v>
      </c>
      <c r="Q607" s="6" t="str">
        <f aca="false">Orders!H607</f>
        <v>Shipped</v>
      </c>
      <c r="R607" s="1" t="str">
        <f aca="false">INDEX(Customers!$C$2:$C$301,MATCH(C607,Customers!$A$2:$A$301,0))</f>
        <v>Lucknow</v>
      </c>
      <c r="S607" s="1" t="str">
        <f aca="false">INDEX(Customers!$E$2:$E$301,MATCH(C607,Customers!$A$2:$A$301,0))</f>
        <v>New</v>
      </c>
      <c r="T607" s="6" t="str">
        <f aca="false">Orders!I607</f>
        <v>Website</v>
      </c>
      <c r="U607" s="1" t="str">
        <f aca="false">IF(Q607="Delivered","Completed",IF(Q607="Cancelled","Cancelled",IF(Q607="Returned","Returned","In Progress")))</f>
        <v>In Progress</v>
      </c>
      <c r="V607" s="1" t="str">
        <f aca="false">IF(M607&gt;=10000,"High Value",IF(M607&gt;=5000,"Medium Value","Low Value"))</f>
        <v>Low Value</v>
      </c>
      <c r="W607" s="1" t="str">
        <f aca="false">IF(O607&gt;0,"Profitable",IF(O607=0,"Break-even","Loss"))</f>
        <v>Profitable</v>
      </c>
      <c r="X607" s="1" t="str">
        <f aca="false">IF(Q607="Cancelled","Not Applicable",IF(Q607="Processing","Pending",IF(B607="","Unknown",IF(Orders!J607="","Unknown",IF(Orders!J607&lt;=3,"Fast",IF(Orders!J607&lt;=6,"Standard","Slow"))))))</f>
        <v>Fast</v>
      </c>
      <c r="Y607" s="1" t="n">
        <f aca="false">IF(OR(Q607="Cancelled",Q607="Returned"),0,O607)</f>
        <v>699.05</v>
      </c>
    </row>
    <row r="608" customFormat="false" ht="15" hidden="false" customHeight="false" outlineLevel="0" collapsed="false">
      <c r="A608" s="6" t="str">
        <f aca="false">Orders!A608</f>
        <v>O000607</v>
      </c>
      <c r="B608" s="19" t="n">
        <f aca="false">Orders!B608</f>
        <v>45834</v>
      </c>
      <c r="C608" s="6" t="str">
        <f aca="false">Orders!C608</f>
        <v>C0009</v>
      </c>
      <c r="D608" s="6" t="str">
        <f aca="false">Orders!D608</f>
        <v>P1057</v>
      </c>
      <c r="E608" s="6" t="str">
        <f aca="false">INDEX(Products!$B$2:$B$101,MATCH(D608,Products!$A$2:$A$101,0))</f>
        <v>Comb Set</v>
      </c>
      <c r="F608" s="1" t="str">
        <f aca="false">INDEX(Products!$C$2:$C$101,MATCH(D608,Products!$A$2:$A$101,0))</f>
        <v>Beauty</v>
      </c>
      <c r="G608" s="6" t="n">
        <f aca="false">Orders!E608</f>
        <v>5</v>
      </c>
      <c r="H608" s="16" t="n">
        <f aca="false">INDEX(Products!$D$2:$D$101,MATCH(D608,Products!$A$2:$A$101,0))</f>
        <v>199</v>
      </c>
      <c r="I608" s="16" t="n">
        <f aca="false">INDEX(Products!$E$2:$E$101,MATCH(D608,Products!$A$2:$A$101,0))</f>
        <v>65</v>
      </c>
      <c r="J608" s="20" t="n">
        <f aca="false">Orders!F608</f>
        <v>0</v>
      </c>
      <c r="K608" s="6" t="n">
        <f aca="false">G608*H608</f>
        <v>995</v>
      </c>
      <c r="L608" s="6" t="n">
        <f aca="false">K608*J608</f>
        <v>0</v>
      </c>
      <c r="M608" s="6" t="n">
        <f aca="false">K608-L608</f>
        <v>995</v>
      </c>
      <c r="N608" s="6" t="n">
        <f aca="false">G608*I608</f>
        <v>325</v>
      </c>
      <c r="O608" s="6" t="n">
        <f aca="false">M608-N608</f>
        <v>670</v>
      </c>
      <c r="P608" s="21" t="n">
        <f aca="false">IFERROR(O608/M608,0)</f>
        <v>0.673366834170854</v>
      </c>
      <c r="Q608" s="6" t="str">
        <f aca="false">Orders!H608</f>
        <v>Delivered</v>
      </c>
      <c r="R608" s="1" t="str">
        <f aca="false">INDEX(Customers!$C$2:$C$301,MATCH(C608,Customers!$A$2:$A$301,0))</f>
        <v>Ahmedabad</v>
      </c>
      <c r="S608" s="1" t="str">
        <f aca="false">INDEX(Customers!$E$2:$E$301,MATCH(C608,Customers!$A$2:$A$301,0))</f>
        <v>New</v>
      </c>
      <c r="T608" s="6" t="str">
        <f aca="false">Orders!I608</f>
        <v>Website</v>
      </c>
      <c r="U608" s="1" t="str">
        <f aca="false">IF(Q608="Delivered","Completed",IF(Q608="Cancelled","Cancelled",IF(Q608="Returned","Returned","In Progress")))</f>
        <v>Completed</v>
      </c>
      <c r="V608" s="1" t="str">
        <f aca="false">IF(M608&gt;=10000,"High Value",IF(M608&gt;=5000,"Medium Value","Low Value"))</f>
        <v>Low Value</v>
      </c>
      <c r="W608" s="1" t="str">
        <f aca="false">IF(O608&gt;0,"Profitable",IF(O608=0,"Break-even","Loss"))</f>
        <v>Profitable</v>
      </c>
      <c r="X608" s="1" t="str">
        <f aca="false">IF(Q608="Cancelled","Not Applicable",IF(Q608="Processing","Pending",IF(B608="","Unknown",IF(Orders!J608="","Unknown",IF(Orders!J608&lt;=3,"Fast",IF(Orders!J608&lt;=6,"Standard","Slow"))))))</f>
        <v>Fast</v>
      </c>
      <c r="Y608" s="1" t="n">
        <f aca="false">IF(OR(Q608="Cancelled",Q608="Returned"),0,O608)</f>
        <v>670</v>
      </c>
    </row>
    <row r="609" customFormat="false" ht="15" hidden="false" customHeight="false" outlineLevel="0" collapsed="false">
      <c r="A609" s="6" t="str">
        <f aca="false">Orders!A609</f>
        <v>O000608</v>
      </c>
      <c r="B609" s="19" t="n">
        <f aca="false">Orders!B609</f>
        <v>45680</v>
      </c>
      <c r="C609" s="6" t="str">
        <f aca="false">Orders!C609</f>
        <v>C0193</v>
      </c>
      <c r="D609" s="6" t="str">
        <f aca="false">Orders!D609</f>
        <v>P1064</v>
      </c>
      <c r="E609" s="6" t="str">
        <f aca="false">INDEX(Products!$B$2:$B$101,MATCH(D609,Products!$A$2:$A$101,0))</f>
        <v>Football</v>
      </c>
      <c r="F609" s="1" t="str">
        <f aca="false">INDEX(Products!$C$2:$C$101,MATCH(D609,Products!$A$2:$A$101,0))</f>
        <v>Sports &amp; Outdoors</v>
      </c>
      <c r="G609" s="6" t="n">
        <f aca="false">Orders!E609</f>
        <v>2</v>
      </c>
      <c r="H609" s="16" t="n">
        <f aca="false">INDEX(Products!$D$2:$D$101,MATCH(D609,Products!$A$2:$A$101,0))</f>
        <v>699</v>
      </c>
      <c r="I609" s="16" t="n">
        <f aca="false">INDEX(Products!$E$2:$E$101,MATCH(D609,Products!$A$2:$A$101,0))</f>
        <v>300</v>
      </c>
      <c r="J609" s="20" t="n">
        <f aca="false">Orders!F609</f>
        <v>0</v>
      </c>
      <c r="K609" s="6" t="n">
        <f aca="false">G609*H609</f>
        <v>1398</v>
      </c>
      <c r="L609" s="6" t="n">
        <f aca="false">K609*J609</f>
        <v>0</v>
      </c>
      <c r="M609" s="6" t="n">
        <f aca="false">K609-L609</f>
        <v>1398</v>
      </c>
      <c r="N609" s="6" t="n">
        <f aca="false">G609*I609</f>
        <v>600</v>
      </c>
      <c r="O609" s="6" t="n">
        <f aca="false">M609-N609</f>
        <v>798</v>
      </c>
      <c r="P609" s="21" t="n">
        <f aca="false">IFERROR(O609/M609,0)</f>
        <v>0.570815450643777</v>
      </c>
      <c r="Q609" s="6" t="str">
        <f aca="false">Orders!H609</f>
        <v>Delivered</v>
      </c>
      <c r="R609" s="1" t="str">
        <f aca="false">INDEX(Customers!$C$2:$C$301,MATCH(C609,Customers!$A$2:$A$301,0))</f>
        <v>Kochi</v>
      </c>
      <c r="S609" s="1" t="str">
        <f aca="false">INDEX(Customers!$E$2:$E$301,MATCH(C609,Customers!$A$2:$A$301,0))</f>
        <v>New</v>
      </c>
      <c r="T609" s="6" t="str">
        <f aca="false">Orders!I609</f>
        <v>Marketplace</v>
      </c>
      <c r="U609" s="1" t="str">
        <f aca="false">IF(Q609="Delivered","Completed",IF(Q609="Cancelled","Cancelled",IF(Q609="Returned","Returned","In Progress")))</f>
        <v>Completed</v>
      </c>
      <c r="V609" s="1" t="str">
        <f aca="false">IF(M609&gt;=10000,"High Value",IF(M609&gt;=5000,"Medium Value","Low Value"))</f>
        <v>Low Value</v>
      </c>
      <c r="W609" s="1" t="str">
        <f aca="false">IF(O609&gt;0,"Profitable",IF(O609=0,"Break-even","Loss"))</f>
        <v>Profitable</v>
      </c>
      <c r="X609" s="1" t="str">
        <f aca="false">IF(Q609="Cancelled","Not Applicable",IF(Q609="Processing","Pending",IF(B609="","Unknown",IF(Orders!J609="","Unknown",IF(Orders!J609&lt;=3,"Fast",IF(Orders!J609&lt;=6,"Standard","Slow"))))))</f>
        <v>Standard</v>
      </c>
      <c r="Y609" s="1" t="n">
        <f aca="false">IF(OR(Q609="Cancelled",Q609="Returned"),0,O609)</f>
        <v>798</v>
      </c>
    </row>
    <row r="610" customFormat="false" ht="15" hidden="false" customHeight="false" outlineLevel="0" collapsed="false">
      <c r="A610" s="6" t="str">
        <f aca="false">Orders!A610</f>
        <v>O000609</v>
      </c>
      <c r="B610" s="19" t="n">
        <f aca="false">Orders!B610</f>
        <v>45870</v>
      </c>
      <c r="C610" s="6" t="str">
        <f aca="false">Orders!C610</f>
        <v>C0074</v>
      </c>
      <c r="D610" s="6" t="str">
        <f aca="false">Orders!D610</f>
        <v>P1077</v>
      </c>
      <c r="E610" s="6" t="str">
        <f aca="false">INDEX(Products!$B$2:$B$101,MATCH(D610,Products!$A$2:$A$101,0))</f>
        <v>Planner</v>
      </c>
      <c r="F610" s="1" t="str">
        <f aca="false">INDEX(Products!$C$2:$C$101,MATCH(D610,Products!$A$2:$A$101,0))</f>
        <v>Books &amp; Stationery</v>
      </c>
      <c r="G610" s="6" t="n">
        <f aca="false">Orders!E610</f>
        <v>2</v>
      </c>
      <c r="H610" s="16" t="n">
        <f aca="false">INDEX(Products!$D$2:$D$101,MATCH(D610,Products!$A$2:$A$101,0))</f>
        <v>349</v>
      </c>
      <c r="I610" s="16" t="n">
        <f aca="false">INDEX(Products!$E$2:$E$101,MATCH(D610,Products!$A$2:$A$101,0))</f>
        <v>130</v>
      </c>
      <c r="J610" s="20" t="n">
        <f aca="false">Orders!F610</f>
        <v>0.2</v>
      </c>
      <c r="K610" s="6" t="n">
        <f aca="false">G610*H610</f>
        <v>698</v>
      </c>
      <c r="L610" s="6" t="n">
        <f aca="false">K610*J610</f>
        <v>139.6</v>
      </c>
      <c r="M610" s="6" t="n">
        <f aca="false">K610-L610</f>
        <v>558.4</v>
      </c>
      <c r="N610" s="6" t="n">
        <f aca="false">G610*I610</f>
        <v>260</v>
      </c>
      <c r="O610" s="6" t="n">
        <f aca="false">M610-N610</f>
        <v>298.4</v>
      </c>
      <c r="P610" s="21" t="n">
        <f aca="false">IFERROR(O610/M610,0)</f>
        <v>0.534383954154728</v>
      </c>
      <c r="Q610" s="6" t="str">
        <f aca="false">Orders!H610</f>
        <v>Delivered</v>
      </c>
      <c r="R610" s="1" t="str">
        <f aca="false">INDEX(Customers!$C$2:$C$301,MATCH(C610,Customers!$A$2:$A$301,0))</f>
        <v>Indore</v>
      </c>
      <c r="S610" s="1" t="str">
        <f aca="false">INDEX(Customers!$E$2:$E$301,MATCH(C610,Customers!$A$2:$A$301,0))</f>
        <v>New</v>
      </c>
      <c r="T610" s="6" t="str">
        <f aca="false">Orders!I610</f>
        <v>Marketplace</v>
      </c>
      <c r="U610" s="1" t="str">
        <f aca="false">IF(Q610="Delivered","Completed",IF(Q610="Cancelled","Cancelled",IF(Q610="Returned","Returned","In Progress")))</f>
        <v>Completed</v>
      </c>
      <c r="V610" s="1" t="str">
        <f aca="false">IF(M610&gt;=10000,"High Value",IF(M610&gt;=5000,"Medium Value","Low Value"))</f>
        <v>Low Value</v>
      </c>
      <c r="W610" s="1" t="str">
        <f aca="false">IF(O610&gt;0,"Profitable",IF(O610=0,"Break-even","Loss"))</f>
        <v>Profitable</v>
      </c>
      <c r="X610" s="1" t="str">
        <f aca="false">IF(Q610="Cancelled","Not Applicable",IF(Q610="Processing","Pending",IF(B610="","Unknown",IF(Orders!J610="","Unknown",IF(Orders!J610&lt;=3,"Fast",IF(Orders!J610&lt;=6,"Standard","Slow"))))))</f>
        <v>Standard</v>
      </c>
      <c r="Y610" s="1" t="n">
        <f aca="false">IF(OR(Q610="Cancelled",Q610="Returned"),0,O610)</f>
        <v>298.4</v>
      </c>
    </row>
    <row r="611" customFormat="false" ht="15" hidden="false" customHeight="false" outlineLevel="0" collapsed="false">
      <c r="A611" s="6" t="str">
        <f aca="false">Orders!A611</f>
        <v>O000610</v>
      </c>
      <c r="B611" s="19" t="n">
        <f aca="false">Orders!B611</f>
        <v>45839</v>
      </c>
      <c r="C611" s="6" t="str">
        <f aca="false">Orders!C611</f>
        <v>C0169</v>
      </c>
      <c r="D611" s="6" t="str">
        <f aca="false">Orders!D611</f>
        <v>P1058</v>
      </c>
      <c r="E611" s="6" t="str">
        <f aca="false">INDEX(Products!$B$2:$B$101,MATCH(D611,Products!$A$2:$A$101,0))</f>
        <v>Nail Care Kit</v>
      </c>
      <c r="F611" s="1" t="str">
        <f aca="false">INDEX(Products!$C$2:$C$101,MATCH(D611,Products!$A$2:$A$101,0))</f>
        <v>Beauty</v>
      </c>
      <c r="G611" s="6" t="n">
        <f aca="false">Orders!E611</f>
        <v>1</v>
      </c>
      <c r="H611" s="16" t="n">
        <f aca="false">INDEX(Products!$D$2:$D$101,MATCH(D611,Products!$A$2:$A$101,0))</f>
        <v>399</v>
      </c>
      <c r="I611" s="16" t="n">
        <f aca="false">INDEX(Products!$E$2:$E$101,MATCH(D611,Products!$A$2:$A$101,0))</f>
        <v>170</v>
      </c>
      <c r="J611" s="20" t="n">
        <f aca="false">Orders!F611</f>
        <v>0.25</v>
      </c>
      <c r="K611" s="6" t="n">
        <f aca="false">G611*H611</f>
        <v>399</v>
      </c>
      <c r="L611" s="6" t="n">
        <f aca="false">K611*J611</f>
        <v>99.75</v>
      </c>
      <c r="M611" s="6" t="n">
        <f aca="false">K611-L611</f>
        <v>299.25</v>
      </c>
      <c r="N611" s="6" t="n">
        <f aca="false">G611*I611</f>
        <v>170</v>
      </c>
      <c r="O611" s="6" t="n">
        <f aca="false">M611-N611</f>
        <v>129.25</v>
      </c>
      <c r="P611" s="21" t="n">
        <f aca="false">IFERROR(O611/M611,0)</f>
        <v>0.431913116123642</v>
      </c>
      <c r="Q611" s="6" t="str">
        <f aca="false">Orders!H611</f>
        <v>Shipped</v>
      </c>
      <c r="R611" s="1" t="str">
        <f aca="false">INDEX(Customers!$C$2:$C$301,MATCH(C611,Customers!$A$2:$A$301,0))</f>
        <v>Ahmedabad</v>
      </c>
      <c r="S611" s="1" t="str">
        <f aca="false">INDEX(Customers!$E$2:$E$301,MATCH(C611,Customers!$A$2:$A$301,0))</f>
        <v>Returning</v>
      </c>
      <c r="T611" s="6" t="str">
        <f aca="false">Orders!I611</f>
        <v>Website</v>
      </c>
      <c r="U611" s="1" t="str">
        <f aca="false">IF(Q611="Delivered","Completed",IF(Q611="Cancelled","Cancelled",IF(Q611="Returned","Returned","In Progress")))</f>
        <v>In Progress</v>
      </c>
      <c r="V611" s="1" t="str">
        <f aca="false">IF(M611&gt;=10000,"High Value",IF(M611&gt;=5000,"Medium Value","Low Value"))</f>
        <v>Low Value</v>
      </c>
      <c r="W611" s="1" t="str">
        <f aca="false">IF(O611&gt;0,"Profitable",IF(O611=0,"Break-even","Loss"))</f>
        <v>Profitable</v>
      </c>
      <c r="X611" s="1" t="str">
        <f aca="false">IF(Q611="Cancelled","Not Applicable",IF(Q611="Processing","Pending",IF(B611="","Unknown",IF(Orders!J611="","Unknown",IF(Orders!J611&lt;=3,"Fast",IF(Orders!J611&lt;=6,"Standard","Slow"))))))</f>
        <v>Fast</v>
      </c>
      <c r="Y611" s="1" t="n">
        <f aca="false">IF(OR(Q611="Cancelled",Q611="Returned"),0,O611)</f>
        <v>129.25</v>
      </c>
    </row>
    <row r="612" customFormat="false" ht="15" hidden="false" customHeight="false" outlineLevel="0" collapsed="false">
      <c r="A612" s="6" t="str">
        <f aca="false">Orders!A612</f>
        <v>O000611</v>
      </c>
      <c r="B612" s="19" t="n">
        <f aca="false">Orders!B612</f>
        <v>45934</v>
      </c>
      <c r="C612" s="6" t="str">
        <f aca="false">Orders!C612</f>
        <v>C0224</v>
      </c>
      <c r="D612" s="6" t="str">
        <f aca="false">Orders!D612</f>
        <v>P1092</v>
      </c>
      <c r="E612" s="6" t="str">
        <f aca="false">INDEX(Products!$B$2:$B$101,MATCH(D612,Products!$A$2:$A$101,0))</f>
        <v>Hand Blender</v>
      </c>
      <c r="F612" s="1" t="str">
        <f aca="false">INDEX(Products!$C$2:$C$101,MATCH(D612,Products!$A$2:$A$101,0))</f>
        <v>Appliances</v>
      </c>
      <c r="G612" s="6" t="n">
        <f aca="false">Orders!E612</f>
        <v>3</v>
      </c>
      <c r="H612" s="16" t="n">
        <f aca="false">INDEX(Products!$D$2:$D$101,MATCH(D612,Products!$A$2:$A$101,0))</f>
        <v>999</v>
      </c>
      <c r="I612" s="16" t="n">
        <f aca="false">INDEX(Products!$E$2:$E$101,MATCH(D612,Products!$A$2:$A$101,0))</f>
        <v>550</v>
      </c>
      <c r="J612" s="20" t="n">
        <f aca="false">Orders!F612</f>
        <v>0.25</v>
      </c>
      <c r="K612" s="6" t="n">
        <f aca="false">G612*H612</f>
        <v>2997</v>
      </c>
      <c r="L612" s="6" t="n">
        <f aca="false">K612*J612</f>
        <v>749.25</v>
      </c>
      <c r="M612" s="6" t="n">
        <f aca="false">K612-L612</f>
        <v>2247.75</v>
      </c>
      <c r="N612" s="6" t="n">
        <f aca="false">G612*I612</f>
        <v>1650</v>
      </c>
      <c r="O612" s="6" t="n">
        <f aca="false">M612-N612</f>
        <v>597.75</v>
      </c>
      <c r="P612" s="21" t="n">
        <f aca="false">IFERROR(O612/M612,0)</f>
        <v>0.265932599265933</v>
      </c>
      <c r="Q612" s="6" t="str">
        <f aca="false">Orders!H612</f>
        <v>Delivered</v>
      </c>
      <c r="R612" s="1" t="str">
        <f aca="false">INDEX(Customers!$C$2:$C$301,MATCH(C612,Customers!$A$2:$A$301,0))</f>
        <v>Hyderabad</v>
      </c>
      <c r="S612" s="1" t="str">
        <f aca="false">INDEX(Customers!$E$2:$E$301,MATCH(C612,Customers!$A$2:$A$301,0))</f>
        <v>Returning</v>
      </c>
      <c r="T612" s="6" t="str">
        <f aca="false">Orders!I612</f>
        <v>Marketplace</v>
      </c>
      <c r="U612" s="1" t="str">
        <f aca="false">IF(Q612="Delivered","Completed",IF(Q612="Cancelled","Cancelled",IF(Q612="Returned","Returned","In Progress")))</f>
        <v>Completed</v>
      </c>
      <c r="V612" s="1" t="str">
        <f aca="false">IF(M612&gt;=10000,"High Value",IF(M612&gt;=5000,"Medium Value","Low Value"))</f>
        <v>Low Value</v>
      </c>
      <c r="W612" s="1" t="str">
        <f aca="false">IF(O612&gt;0,"Profitable",IF(O612=0,"Break-even","Loss"))</f>
        <v>Profitable</v>
      </c>
      <c r="X612" s="1" t="str">
        <f aca="false">IF(Q612="Cancelled","Not Applicable",IF(Q612="Processing","Pending",IF(B612="","Unknown",IF(Orders!J612="","Unknown",IF(Orders!J612&lt;=3,"Fast",IF(Orders!J612&lt;=6,"Standard","Slow"))))))</f>
        <v>Fast</v>
      </c>
      <c r="Y612" s="1" t="n">
        <f aca="false">IF(OR(Q612="Cancelled",Q612="Returned"),0,O612)</f>
        <v>597.75</v>
      </c>
    </row>
    <row r="613" customFormat="false" ht="15" hidden="false" customHeight="false" outlineLevel="0" collapsed="false">
      <c r="A613" s="6" t="str">
        <f aca="false">Orders!A613</f>
        <v>O000612</v>
      </c>
      <c r="B613" s="19" t="n">
        <f aca="false">Orders!B613</f>
        <v>45809</v>
      </c>
      <c r="C613" s="6" t="str">
        <f aca="false">Orders!C613</f>
        <v>C0174</v>
      </c>
      <c r="D613" s="6" t="str">
        <f aca="false">Orders!D613</f>
        <v>P1092</v>
      </c>
      <c r="E613" s="6" t="str">
        <f aca="false">INDEX(Products!$B$2:$B$101,MATCH(D613,Products!$A$2:$A$101,0))</f>
        <v>Hand Blender</v>
      </c>
      <c r="F613" s="1" t="str">
        <f aca="false">INDEX(Products!$C$2:$C$101,MATCH(D613,Products!$A$2:$A$101,0))</f>
        <v>Appliances</v>
      </c>
      <c r="G613" s="6" t="n">
        <f aca="false">Orders!E613</f>
        <v>2</v>
      </c>
      <c r="H613" s="16" t="n">
        <f aca="false">INDEX(Products!$D$2:$D$101,MATCH(D613,Products!$A$2:$A$101,0))</f>
        <v>999</v>
      </c>
      <c r="I613" s="16" t="n">
        <f aca="false">INDEX(Products!$E$2:$E$101,MATCH(D613,Products!$A$2:$A$101,0))</f>
        <v>550</v>
      </c>
      <c r="J613" s="20" t="n">
        <f aca="false">Orders!F613</f>
        <v>0.15</v>
      </c>
      <c r="K613" s="6" t="n">
        <f aca="false">G613*H613</f>
        <v>1998</v>
      </c>
      <c r="L613" s="6" t="n">
        <f aca="false">K613*J613</f>
        <v>299.7</v>
      </c>
      <c r="M613" s="6" t="n">
        <f aca="false">K613-L613</f>
        <v>1698.3</v>
      </c>
      <c r="N613" s="6" t="n">
        <f aca="false">G613*I613</f>
        <v>1100</v>
      </c>
      <c r="O613" s="6" t="n">
        <f aca="false">M613-N613</f>
        <v>598.3</v>
      </c>
      <c r="P613" s="21" t="n">
        <f aca="false">IFERROR(O613/M613,0)</f>
        <v>0.352293469940529</v>
      </c>
      <c r="Q613" s="6" t="str">
        <f aca="false">Orders!H613</f>
        <v>Delivered</v>
      </c>
      <c r="R613" s="1" t="str">
        <f aca="false">INDEX(Customers!$C$2:$C$301,MATCH(C613,Customers!$A$2:$A$301,0))</f>
        <v>Indore</v>
      </c>
      <c r="S613" s="1" t="str">
        <f aca="false">INDEX(Customers!$E$2:$E$301,MATCH(C613,Customers!$A$2:$A$301,0))</f>
        <v>VIP</v>
      </c>
      <c r="T613" s="6" t="str">
        <f aca="false">Orders!I613</f>
        <v>Mobile App</v>
      </c>
      <c r="U613" s="1" t="str">
        <f aca="false">IF(Q613="Delivered","Completed",IF(Q613="Cancelled","Cancelled",IF(Q613="Returned","Returned","In Progress")))</f>
        <v>Completed</v>
      </c>
      <c r="V613" s="1" t="str">
        <f aca="false">IF(M613&gt;=10000,"High Value",IF(M613&gt;=5000,"Medium Value","Low Value"))</f>
        <v>Low Value</v>
      </c>
      <c r="W613" s="1" t="str">
        <f aca="false">IF(O613&gt;0,"Profitable",IF(O613=0,"Break-even","Loss"))</f>
        <v>Profitable</v>
      </c>
      <c r="X613" s="1" t="str">
        <f aca="false">IF(Q613="Cancelled","Not Applicable",IF(Q613="Processing","Pending",IF(B613="","Unknown",IF(Orders!J613="","Unknown",IF(Orders!J613&lt;=3,"Fast",IF(Orders!J613&lt;=6,"Standard","Slow"))))))</f>
        <v>Slow</v>
      </c>
      <c r="Y613" s="1" t="n">
        <f aca="false">IF(OR(Q613="Cancelled",Q613="Returned"),0,O613)</f>
        <v>598.3</v>
      </c>
    </row>
    <row r="614" customFormat="false" ht="15" hidden="false" customHeight="false" outlineLevel="0" collapsed="false">
      <c r="A614" s="6" t="str">
        <f aca="false">Orders!A614</f>
        <v>O000613</v>
      </c>
      <c r="B614" s="19" t="n">
        <f aca="false">Orders!B614</f>
        <v>45821</v>
      </c>
      <c r="C614" s="6" t="str">
        <f aca="false">Orders!C614</f>
        <v>C0109</v>
      </c>
      <c r="D614" s="6" t="str">
        <f aca="false">Orders!D614</f>
        <v>P1015</v>
      </c>
      <c r="E614" s="6" t="str">
        <f aca="false">INDEX(Products!$B$2:$B$101,MATCH(D614,Products!$A$2:$A$101,0))</f>
        <v>Portable SSD</v>
      </c>
      <c r="F614" s="1" t="str">
        <f aca="false">INDEX(Products!$C$2:$C$101,MATCH(D614,Products!$A$2:$A$101,0))</f>
        <v>Electronics</v>
      </c>
      <c r="G614" s="6" t="n">
        <f aca="false">Orders!E614</f>
        <v>1</v>
      </c>
      <c r="H614" s="16" t="n">
        <f aca="false">INDEX(Products!$D$2:$D$101,MATCH(D614,Products!$A$2:$A$101,0))</f>
        <v>3999</v>
      </c>
      <c r="I614" s="16" t="n">
        <f aca="false">INDEX(Products!$E$2:$E$101,MATCH(D614,Products!$A$2:$A$101,0))</f>
        <v>2800</v>
      </c>
      <c r="J614" s="20" t="n">
        <f aca="false">Orders!F614</f>
        <v>0.2</v>
      </c>
      <c r="K614" s="6" t="n">
        <f aca="false">G614*H614</f>
        <v>3999</v>
      </c>
      <c r="L614" s="6" t="n">
        <f aca="false">K614*J614</f>
        <v>799.8</v>
      </c>
      <c r="M614" s="6" t="n">
        <f aca="false">K614-L614</f>
        <v>3199.2</v>
      </c>
      <c r="N614" s="6" t="n">
        <f aca="false">G614*I614</f>
        <v>2800</v>
      </c>
      <c r="O614" s="6" t="n">
        <f aca="false">M614-N614</f>
        <v>399.2</v>
      </c>
      <c r="P614" s="21" t="n">
        <f aca="false">IFERROR(O614/M614,0)</f>
        <v>0.124781195298825</v>
      </c>
      <c r="Q614" s="6" t="str">
        <f aca="false">Orders!H614</f>
        <v>Delivered</v>
      </c>
      <c r="R614" s="1" t="str">
        <f aca="false">INDEX(Customers!$C$2:$C$301,MATCH(C614,Customers!$A$2:$A$301,0))</f>
        <v>Ahmedabad</v>
      </c>
      <c r="S614" s="1" t="str">
        <f aca="false">INDEX(Customers!$E$2:$E$301,MATCH(C614,Customers!$A$2:$A$301,0))</f>
        <v>New</v>
      </c>
      <c r="T614" s="6" t="str">
        <f aca="false">Orders!I614</f>
        <v>Marketplace</v>
      </c>
      <c r="U614" s="1" t="str">
        <f aca="false">IF(Q614="Delivered","Completed",IF(Q614="Cancelled","Cancelled",IF(Q614="Returned","Returned","In Progress")))</f>
        <v>Completed</v>
      </c>
      <c r="V614" s="1" t="str">
        <f aca="false">IF(M614&gt;=10000,"High Value",IF(M614&gt;=5000,"Medium Value","Low Value"))</f>
        <v>Low Value</v>
      </c>
      <c r="W614" s="1" t="str">
        <f aca="false">IF(O614&gt;0,"Profitable",IF(O614=0,"Break-even","Loss"))</f>
        <v>Profitable</v>
      </c>
      <c r="X614" s="1" t="str">
        <f aca="false">IF(Q614="Cancelled","Not Applicable",IF(Q614="Processing","Pending",IF(B614="","Unknown",IF(Orders!J614="","Unknown",IF(Orders!J614&lt;=3,"Fast",IF(Orders!J614&lt;=6,"Standard","Slow"))))))</f>
        <v>Fast</v>
      </c>
      <c r="Y614" s="1" t="n">
        <f aca="false">IF(OR(Q614="Cancelled",Q614="Returned"),0,O614)</f>
        <v>399.2</v>
      </c>
    </row>
    <row r="615" customFormat="false" ht="15" hidden="false" customHeight="false" outlineLevel="0" collapsed="false">
      <c r="A615" s="6" t="str">
        <f aca="false">Orders!A615</f>
        <v>O000614</v>
      </c>
      <c r="B615" s="19" t="n">
        <f aca="false">Orders!B615</f>
        <v>45963</v>
      </c>
      <c r="C615" s="6" t="str">
        <f aca="false">Orders!C615</f>
        <v>C0257</v>
      </c>
      <c r="D615" s="6" t="str">
        <f aca="false">Orders!D615</f>
        <v>P1023</v>
      </c>
      <c r="E615" s="6" t="str">
        <f aca="false">INDEX(Products!$B$2:$B$101,MATCH(D615,Products!$A$2:$A$101,0))</f>
        <v>Sports Cap</v>
      </c>
      <c r="F615" s="1" t="str">
        <f aca="false">INDEX(Products!$C$2:$C$101,MATCH(D615,Products!$A$2:$A$101,0))</f>
        <v>Fashion</v>
      </c>
      <c r="G615" s="6" t="n">
        <f aca="false">Orders!E615</f>
        <v>3</v>
      </c>
      <c r="H615" s="16" t="n">
        <f aca="false">INDEX(Products!$D$2:$D$101,MATCH(D615,Products!$A$2:$A$101,0))</f>
        <v>349</v>
      </c>
      <c r="I615" s="16" t="n">
        <f aca="false">INDEX(Products!$E$2:$E$101,MATCH(D615,Products!$A$2:$A$101,0))</f>
        <v>120</v>
      </c>
      <c r="J615" s="20" t="n">
        <f aca="false">Orders!F615</f>
        <v>0.2</v>
      </c>
      <c r="K615" s="6" t="n">
        <f aca="false">G615*H615</f>
        <v>1047</v>
      </c>
      <c r="L615" s="6" t="n">
        <f aca="false">K615*J615</f>
        <v>209.4</v>
      </c>
      <c r="M615" s="6" t="n">
        <f aca="false">K615-L615</f>
        <v>837.6</v>
      </c>
      <c r="N615" s="6" t="n">
        <f aca="false">G615*I615</f>
        <v>360</v>
      </c>
      <c r="O615" s="6" t="n">
        <f aca="false">M615-N615</f>
        <v>477.6</v>
      </c>
      <c r="P615" s="21" t="n">
        <f aca="false">IFERROR(O615/M615,0)</f>
        <v>0.570200573065903</v>
      </c>
      <c r="Q615" s="6" t="str">
        <f aca="false">Orders!H615</f>
        <v>Delivered</v>
      </c>
      <c r="R615" s="1" t="str">
        <f aca="false">INDEX(Customers!$C$2:$C$301,MATCH(C615,Customers!$A$2:$A$301,0))</f>
        <v>Surat</v>
      </c>
      <c r="S615" s="1" t="str">
        <f aca="false">INDEX(Customers!$E$2:$E$301,MATCH(C615,Customers!$A$2:$A$301,0))</f>
        <v>New</v>
      </c>
      <c r="T615" s="6" t="str">
        <f aca="false">Orders!I615</f>
        <v>Website</v>
      </c>
      <c r="U615" s="1" t="str">
        <f aca="false">IF(Q615="Delivered","Completed",IF(Q615="Cancelled","Cancelled",IF(Q615="Returned","Returned","In Progress")))</f>
        <v>Completed</v>
      </c>
      <c r="V615" s="1" t="str">
        <f aca="false">IF(M615&gt;=10000,"High Value",IF(M615&gt;=5000,"Medium Value","Low Value"))</f>
        <v>Low Value</v>
      </c>
      <c r="W615" s="1" t="str">
        <f aca="false">IF(O615&gt;0,"Profitable",IF(O615=0,"Break-even","Loss"))</f>
        <v>Profitable</v>
      </c>
      <c r="X615" s="1" t="str">
        <f aca="false">IF(Q615="Cancelled","Not Applicable",IF(Q615="Processing","Pending",IF(B615="","Unknown",IF(Orders!J615="","Unknown",IF(Orders!J615&lt;=3,"Fast",IF(Orders!J615&lt;=6,"Standard","Slow"))))))</f>
        <v>Standard</v>
      </c>
      <c r="Y615" s="1" t="n">
        <f aca="false">IF(OR(Q615="Cancelled",Q615="Returned"),0,O615)</f>
        <v>477.6</v>
      </c>
    </row>
    <row r="616" customFormat="false" ht="23.85" hidden="false" customHeight="false" outlineLevel="0" collapsed="false">
      <c r="A616" s="6" t="str">
        <f aca="false">Orders!A616</f>
        <v>O000615</v>
      </c>
      <c r="B616" s="19" t="n">
        <f aca="false">Orders!B616</f>
        <v>45941</v>
      </c>
      <c r="C616" s="6" t="str">
        <f aca="false">Orders!C616</f>
        <v>C0057</v>
      </c>
      <c r="D616" s="6" t="str">
        <f aca="false">Orders!D616</f>
        <v>P1061</v>
      </c>
      <c r="E616" s="6" t="str">
        <f aca="false">INDEX(Products!$B$2:$B$101,MATCH(D616,Products!$A$2:$A$101,0))</f>
        <v>Resistance Bands</v>
      </c>
      <c r="F616" s="1" t="str">
        <f aca="false">INDEX(Products!$C$2:$C$101,MATCH(D616,Products!$A$2:$A$101,0))</f>
        <v>Sports &amp; Outdoors</v>
      </c>
      <c r="G616" s="6" t="n">
        <f aca="false">Orders!E616</f>
        <v>2</v>
      </c>
      <c r="H616" s="16" t="n">
        <f aca="false">INDEX(Products!$D$2:$D$101,MATCH(D616,Products!$A$2:$A$101,0))</f>
        <v>399</v>
      </c>
      <c r="I616" s="16" t="n">
        <f aca="false">INDEX(Products!$E$2:$E$101,MATCH(D616,Products!$A$2:$A$101,0))</f>
        <v>150</v>
      </c>
      <c r="J616" s="20" t="n">
        <f aca="false">Orders!F616</f>
        <v>0.15</v>
      </c>
      <c r="K616" s="6" t="n">
        <f aca="false">G616*H616</f>
        <v>798</v>
      </c>
      <c r="L616" s="6" t="n">
        <f aca="false">K616*J616</f>
        <v>119.7</v>
      </c>
      <c r="M616" s="6" t="n">
        <f aca="false">K616-L616</f>
        <v>678.3</v>
      </c>
      <c r="N616" s="6" t="n">
        <f aca="false">G616*I616</f>
        <v>300</v>
      </c>
      <c r="O616" s="6" t="n">
        <f aca="false">M616-N616</f>
        <v>378.3</v>
      </c>
      <c r="P616" s="21" t="n">
        <f aca="false">IFERROR(O616/M616,0)</f>
        <v>0.557717823971694</v>
      </c>
      <c r="Q616" s="6" t="str">
        <f aca="false">Orders!H616</f>
        <v>Cancelled</v>
      </c>
      <c r="R616" s="1" t="str">
        <f aca="false">INDEX(Customers!$C$2:$C$301,MATCH(C616,Customers!$A$2:$A$301,0))</f>
        <v>Surat</v>
      </c>
      <c r="S616" s="1" t="str">
        <f aca="false">INDEX(Customers!$E$2:$E$301,MATCH(C616,Customers!$A$2:$A$301,0))</f>
        <v>Returning</v>
      </c>
      <c r="T616" s="6" t="str">
        <f aca="false">Orders!I616</f>
        <v>Mobile App</v>
      </c>
      <c r="U616" s="1" t="str">
        <f aca="false">IF(Q616="Delivered","Completed",IF(Q616="Cancelled","Cancelled",IF(Q616="Returned","Returned","In Progress")))</f>
        <v>Cancelled</v>
      </c>
      <c r="V616" s="1" t="str">
        <f aca="false">IF(M616&gt;=10000,"High Value",IF(M616&gt;=5000,"Medium Value","Low Value"))</f>
        <v>Low Value</v>
      </c>
      <c r="W616" s="1" t="str">
        <f aca="false">IF(O616&gt;0,"Profitable",IF(O616=0,"Break-even","Loss"))</f>
        <v>Profitable</v>
      </c>
      <c r="X616" s="1" t="str">
        <f aca="false">IF(Q616="Cancelled","Not Applicable",IF(Q616="Processing","Pending",IF(B616="","Unknown",IF(Orders!J616="","Unknown",IF(Orders!J616&lt;=3,"Fast",IF(Orders!J616&lt;=6,"Standard","Slow"))))))</f>
        <v>Not Applicable</v>
      </c>
      <c r="Y616" s="1" t="n">
        <f aca="false">IF(OR(Q616="Cancelled",Q616="Returned"),0,O616)</f>
        <v>0</v>
      </c>
    </row>
    <row r="617" customFormat="false" ht="15" hidden="false" customHeight="false" outlineLevel="0" collapsed="false">
      <c r="A617" s="6" t="str">
        <f aca="false">Orders!A617</f>
        <v>O000616</v>
      </c>
      <c r="B617" s="19" t="n">
        <f aca="false">Orders!B617</f>
        <v>45957</v>
      </c>
      <c r="C617" s="6" t="str">
        <f aca="false">Orders!C617</f>
        <v>C0240</v>
      </c>
      <c r="D617" s="6" t="str">
        <f aca="false">Orders!D617</f>
        <v>P1100</v>
      </c>
      <c r="E617" s="6" t="str">
        <f aca="false">INDEX(Products!$B$2:$B$101,MATCH(D617,Products!$A$2:$A$101,0))</f>
        <v>Coffee Maker</v>
      </c>
      <c r="F617" s="1" t="str">
        <f aca="false">INDEX(Products!$C$2:$C$101,MATCH(D617,Products!$A$2:$A$101,0))</f>
        <v>Appliances</v>
      </c>
      <c r="G617" s="6" t="n">
        <f aca="false">Orders!E617</f>
        <v>1</v>
      </c>
      <c r="H617" s="16" t="n">
        <f aca="false">INDEX(Products!$D$2:$D$101,MATCH(D617,Products!$A$2:$A$101,0))</f>
        <v>2499</v>
      </c>
      <c r="I617" s="16" t="n">
        <f aca="false">INDEX(Products!$E$2:$E$101,MATCH(D617,Products!$A$2:$A$101,0))</f>
        <v>1600</v>
      </c>
      <c r="J617" s="20" t="n">
        <f aca="false">Orders!F617</f>
        <v>0.1</v>
      </c>
      <c r="K617" s="6" t="n">
        <f aca="false">G617*H617</f>
        <v>2499</v>
      </c>
      <c r="L617" s="6" t="n">
        <f aca="false">K617*J617</f>
        <v>249.9</v>
      </c>
      <c r="M617" s="6" t="n">
        <f aca="false">K617-L617</f>
        <v>2249.1</v>
      </c>
      <c r="N617" s="6" t="n">
        <f aca="false">G617*I617</f>
        <v>1600</v>
      </c>
      <c r="O617" s="6" t="n">
        <f aca="false">M617-N617</f>
        <v>649.1</v>
      </c>
      <c r="P617" s="21" t="n">
        <f aca="false">IFERROR(O617/M617,0)</f>
        <v>0.288604330621137</v>
      </c>
      <c r="Q617" s="6" t="str">
        <f aca="false">Orders!H617</f>
        <v>Delivered</v>
      </c>
      <c r="R617" s="1" t="str">
        <f aca="false">INDEX(Customers!$C$2:$C$301,MATCH(C617,Customers!$A$2:$A$301,0))</f>
        <v>Visakhapatnam</v>
      </c>
      <c r="S617" s="1" t="str">
        <f aca="false">INDEX(Customers!$E$2:$E$301,MATCH(C617,Customers!$A$2:$A$301,0))</f>
        <v>Returning</v>
      </c>
      <c r="T617" s="6" t="str">
        <f aca="false">Orders!I617</f>
        <v>Marketplace</v>
      </c>
      <c r="U617" s="1" t="str">
        <f aca="false">IF(Q617="Delivered","Completed",IF(Q617="Cancelled","Cancelled",IF(Q617="Returned","Returned","In Progress")))</f>
        <v>Completed</v>
      </c>
      <c r="V617" s="1" t="str">
        <f aca="false">IF(M617&gt;=10000,"High Value",IF(M617&gt;=5000,"Medium Value","Low Value"))</f>
        <v>Low Value</v>
      </c>
      <c r="W617" s="1" t="str">
        <f aca="false">IF(O617&gt;0,"Profitable",IF(O617=0,"Break-even","Loss"))</f>
        <v>Profitable</v>
      </c>
      <c r="X617" s="1" t="str">
        <f aca="false">IF(Q617="Cancelled","Not Applicable",IF(Q617="Processing","Pending",IF(B617="","Unknown",IF(Orders!J617="","Unknown",IF(Orders!J617&lt;=3,"Fast",IF(Orders!J617&lt;=6,"Standard","Slow"))))))</f>
        <v>Standard</v>
      </c>
      <c r="Y617" s="1" t="n">
        <f aca="false">IF(OR(Q617="Cancelled",Q617="Returned"),0,O617)</f>
        <v>649.1</v>
      </c>
    </row>
    <row r="618" customFormat="false" ht="15" hidden="false" customHeight="false" outlineLevel="0" collapsed="false">
      <c r="A618" s="6" t="str">
        <f aca="false">Orders!A618</f>
        <v>O000617</v>
      </c>
      <c r="B618" s="19" t="n">
        <f aca="false">Orders!B618</f>
        <v>45998</v>
      </c>
      <c r="C618" s="6" t="str">
        <f aca="false">Orders!C618</f>
        <v>C0286</v>
      </c>
      <c r="D618" s="6" t="str">
        <f aca="false">Orders!D618</f>
        <v>P1066</v>
      </c>
      <c r="E618" s="6" t="str">
        <f aca="false">INDEX(Products!$B$2:$B$101,MATCH(D618,Products!$A$2:$A$101,0))</f>
        <v>Gym Gloves</v>
      </c>
      <c r="F618" s="1" t="str">
        <f aca="false">INDEX(Products!$C$2:$C$101,MATCH(D618,Products!$A$2:$A$101,0))</f>
        <v>Sports &amp; Outdoors</v>
      </c>
      <c r="G618" s="6" t="n">
        <f aca="false">Orders!E618</f>
        <v>3</v>
      </c>
      <c r="H618" s="16" t="n">
        <f aca="false">INDEX(Products!$D$2:$D$101,MATCH(D618,Products!$A$2:$A$101,0))</f>
        <v>499</v>
      </c>
      <c r="I618" s="16" t="n">
        <f aca="false">INDEX(Products!$E$2:$E$101,MATCH(D618,Products!$A$2:$A$101,0))</f>
        <v>200</v>
      </c>
      <c r="J618" s="20" t="n">
        <f aca="false">Orders!F618</f>
        <v>0.2</v>
      </c>
      <c r="K618" s="6" t="n">
        <f aca="false">G618*H618</f>
        <v>1497</v>
      </c>
      <c r="L618" s="6" t="n">
        <f aca="false">K618*J618</f>
        <v>299.4</v>
      </c>
      <c r="M618" s="6" t="n">
        <f aca="false">K618-L618</f>
        <v>1197.6</v>
      </c>
      <c r="N618" s="6" t="n">
        <f aca="false">G618*I618</f>
        <v>600</v>
      </c>
      <c r="O618" s="6" t="n">
        <f aca="false">M618-N618</f>
        <v>597.6</v>
      </c>
      <c r="P618" s="21" t="n">
        <f aca="false">IFERROR(O618/M618,0)</f>
        <v>0.498997995991984</v>
      </c>
      <c r="Q618" s="6" t="str">
        <f aca="false">Orders!H618</f>
        <v>Delivered</v>
      </c>
      <c r="R618" s="1" t="str">
        <f aca="false">INDEX(Customers!$C$2:$C$301,MATCH(C618,Customers!$A$2:$A$301,0))</f>
        <v>Kolkata</v>
      </c>
      <c r="S618" s="1" t="str">
        <f aca="false">INDEX(Customers!$E$2:$E$301,MATCH(C618,Customers!$A$2:$A$301,0))</f>
        <v>New</v>
      </c>
      <c r="T618" s="6" t="str">
        <f aca="false">Orders!I618</f>
        <v>Marketplace</v>
      </c>
      <c r="U618" s="1" t="str">
        <f aca="false">IF(Q618="Delivered","Completed",IF(Q618="Cancelled","Cancelled",IF(Q618="Returned","Returned","In Progress")))</f>
        <v>Completed</v>
      </c>
      <c r="V618" s="1" t="str">
        <f aca="false">IF(M618&gt;=10000,"High Value",IF(M618&gt;=5000,"Medium Value","Low Value"))</f>
        <v>Low Value</v>
      </c>
      <c r="W618" s="1" t="str">
        <f aca="false">IF(O618&gt;0,"Profitable",IF(O618=0,"Break-even","Loss"))</f>
        <v>Profitable</v>
      </c>
      <c r="X618" s="1" t="str">
        <f aca="false">IF(Q618="Cancelled","Not Applicable",IF(Q618="Processing","Pending",IF(B618="","Unknown",IF(Orders!J618="","Unknown",IF(Orders!J618&lt;=3,"Fast",IF(Orders!J618&lt;=6,"Standard","Slow"))))))</f>
        <v>Fast</v>
      </c>
      <c r="Y618" s="1" t="n">
        <f aca="false">IF(OR(Q618="Cancelled",Q618="Returned"),0,O618)</f>
        <v>597.6</v>
      </c>
    </row>
    <row r="619" customFormat="false" ht="15" hidden="false" customHeight="false" outlineLevel="0" collapsed="false">
      <c r="A619" s="6" t="str">
        <f aca="false">Orders!A619</f>
        <v>O000618</v>
      </c>
      <c r="B619" s="19" t="n">
        <f aca="false">Orders!B619</f>
        <v>45858</v>
      </c>
      <c r="C619" s="6" t="str">
        <f aca="false">Orders!C619</f>
        <v>C0124</v>
      </c>
      <c r="D619" s="6" t="str">
        <f aca="false">Orders!D619</f>
        <v>P1042</v>
      </c>
      <c r="E619" s="6" t="str">
        <f aca="false">INDEX(Products!$B$2:$B$101,MATCH(D619,Products!$A$2:$A$101,0))</f>
        <v>Bath Towel Set</v>
      </c>
      <c r="F619" s="1" t="str">
        <f aca="false">INDEX(Products!$C$2:$C$101,MATCH(D619,Products!$A$2:$A$101,0))</f>
        <v>Home &amp; Kitchen</v>
      </c>
      <c r="G619" s="6" t="n">
        <f aca="false">Orders!E619</f>
        <v>1</v>
      </c>
      <c r="H619" s="16" t="n">
        <f aca="false">INDEX(Products!$D$2:$D$101,MATCH(D619,Products!$A$2:$A$101,0))</f>
        <v>799</v>
      </c>
      <c r="I619" s="16" t="n">
        <f aca="false">INDEX(Products!$E$2:$E$101,MATCH(D619,Products!$A$2:$A$101,0))</f>
        <v>360</v>
      </c>
      <c r="J619" s="20" t="n">
        <f aca="false">Orders!F619</f>
        <v>0.15</v>
      </c>
      <c r="K619" s="6" t="n">
        <f aca="false">G619*H619</f>
        <v>799</v>
      </c>
      <c r="L619" s="6" t="n">
        <f aca="false">K619*J619</f>
        <v>119.85</v>
      </c>
      <c r="M619" s="6" t="n">
        <f aca="false">K619-L619</f>
        <v>679.15</v>
      </c>
      <c r="N619" s="6" t="n">
        <f aca="false">G619*I619</f>
        <v>360</v>
      </c>
      <c r="O619" s="6" t="n">
        <f aca="false">M619-N619</f>
        <v>319.15</v>
      </c>
      <c r="P619" s="21" t="n">
        <f aca="false">IFERROR(O619/M619,0)</f>
        <v>0.469925642347051</v>
      </c>
      <c r="Q619" s="6" t="str">
        <f aca="false">Orders!H619</f>
        <v>Delivered</v>
      </c>
      <c r="R619" s="1" t="str">
        <f aca="false">INDEX(Customers!$C$2:$C$301,MATCH(C619,Customers!$A$2:$A$301,0))</f>
        <v>Hyderabad</v>
      </c>
      <c r="S619" s="1" t="str">
        <f aca="false">INDEX(Customers!$E$2:$E$301,MATCH(C619,Customers!$A$2:$A$301,0))</f>
        <v>Returning</v>
      </c>
      <c r="T619" s="6" t="str">
        <f aca="false">Orders!I619</f>
        <v>Website</v>
      </c>
      <c r="U619" s="1" t="str">
        <f aca="false">IF(Q619="Delivered","Completed",IF(Q619="Cancelled","Cancelled",IF(Q619="Returned","Returned","In Progress")))</f>
        <v>Completed</v>
      </c>
      <c r="V619" s="1" t="str">
        <f aca="false">IF(M619&gt;=10000,"High Value",IF(M619&gt;=5000,"Medium Value","Low Value"))</f>
        <v>Low Value</v>
      </c>
      <c r="W619" s="1" t="str">
        <f aca="false">IF(O619&gt;0,"Profitable",IF(O619=0,"Break-even","Loss"))</f>
        <v>Profitable</v>
      </c>
      <c r="X619" s="1" t="str">
        <f aca="false">IF(Q619="Cancelled","Not Applicable",IF(Q619="Processing","Pending",IF(B619="","Unknown",IF(Orders!J619="","Unknown",IF(Orders!J619&lt;=3,"Fast",IF(Orders!J619&lt;=6,"Standard","Slow"))))))</f>
        <v>Standard</v>
      </c>
      <c r="Y619" s="1" t="n">
        <f aca="false">IF(OR(Q619="Cancelled",Q619="Returned"),0,O619)</f>
        <v>319.15</v>
      </c>
    </row>
    <row r="620" customFormat="false" ht="23.85" hidden="false" customHeight="false" outlineLevel="0" collapsed="false">
      <c r="A620" s="6" t="str">
        <f aca="false">Orders!A620</f>
        <v>O000619</v>
      </c>
      <c r="B620" s="19" t="n">
        <f aca="false">Orders!B620</f>
        <v>46006</v>
      </c>
      <c r="C620" s="6" t="str">
        <f aca="false">Orders!C620</f>
        <v>C0187</v>
      </c>
      <c r="D620" s="6" t="str">
        <f aca="false">Orders!D620</f>
        <v>P1047</v>
      </c>
      <c r="E620" s="6" t="str">
        <f aca="false">INDEX(Products!$B$2:$B$101,MATCH(D620,Products!$A$2:$A$101,0))</f>
        <v>Sunscreen Lotion</v>
      </c>
      <c r="F620" s="1" t="str">
        <f aca="false">INDEX(Products!$C$2:$C$101,MATCH(D620,Products!$A$2:$A$101,0))</f>
        <v>Beauty</v>
      </c>
      <c r="G620" s="6" t="n">
        <f aca="false">Orders!E620</f>
        <v>1</v>
      </c>
      <c r="H620" s="16" t="n">
        <f aca="false">INDEX(Products!$D$2:$D$101,MATCH(D620,Products!$A$2:$A$101,0))</f>
        <v>399</v>
      </c>
      <c r="I620" s="16" t="n">
        <f aca="false">INDEX(Products!$E$2:$E$101,MATCH(D620,Products!$A$2:$A$101,0))</f>
        <v>170</v>
      </c>
      <c r="J620" s="20" t="n">
        <f aca="false">Orders!F620</f>
        <v>0.1</v>
      </c>
      <c r="K620" s="6" t="n">
        <f aca="false">G620*H620</f>
        <v>399</v>
      </c>
      <c r="L620" s="6" t="n">
        <f aca="false">K620*J620</f>
        <v>39.9</v>
      </c>
      <c r="M620" s="6" t="n">
        <f aca="false">K620-L620</f>
        <v>359.1</v>
      </c>
      <c r="N620" s="6" t="n">
        <f aca="false">G620*I620</f>
        <v>170</v>
      </c>
      <c r="O620" s="6" t="n">
        <f aca="false">M620-N620</f>
        <v>189.1</v>
      </c>
      <c r="P620" s="21" t="n">
        <f aca="false">IFERROR(O620/M620,0)</f>
        <v>0.526594263436369</v>
      </c>
      <c r="Q620" s="6" t="str">
        <f aca="false">Orders!H620</f>
        <v>Processing</v>
      </c>
      <c r="R620" s="1" t="str">
        <f aca="false">INDEX(Customers!$C$2:$C$301,MATCH(C620,Customers!$A$2:$A$301,0))</f>
        <v>Pune</v>
      </c>
      <c r="S620" s="1" t="str">
        <f aca="false">INDEX(Customers!$E$2:$E$301,MATCH(C620,Customers!$A$2:$A$301,0))</f>
        <v>Returning</v>
      </c>
      <c r="T620" s="6" t="str">
        <f aca="false">Orders!I620</f>
        <v>Mobile App</v>
      </c>
      <c r="U620" s="1" t="str">
        <f aca="false">IF(Q620="Delivered","Completed",IF(Q620="Cancelled","Cancelled",IF(Q620="Returned","Returned","In Progress")))</f>
        <v>In Progress</v>
      </c>
      <c r="V620" s="1" t="str">
        <f aca="false">IF(M620&gt;=10000,"High Value",IF(M620&gt;=5000,"Medium Value","Low Value"))</f>
        <v>Low Value</v>
      </c>
      <c r="W620" s="1" t="str">
        <f aca="false">IF(O620&gt;0,"Profitable",IF(O620=0,"Break-even","Loss"))</f>
        <v>Profitable</v>
      </c>
      <c r="X620" s="1" t="str">
        <f aca="false">IF(Q620="Cancelled","Not Applicable",IF(Q620="Processing","Pending",IF(B620="","Unknown",IF(Orders!J620="","Unknown",IF(Orders!J620&lt;=3,"Fast",IF(Orders!J620&lt;=6,"Standard","Slow"))))))</f>
        <v>Pending</v>
      </c>
      <c r="Y620" s="1" t="n">
        <f aca="false">IF(OR(Q620="Cancelled",Q620="Returned"),0,O620)</f>
        <v>189.1</v>
      </c>
    </row>
    <row r="621" customFormat="false" ht="23.85" hidden="false" customHeight="false" outlineLevel="0" collapsed="false">
      <c r="A621" s="6" t="str">
        <f aca="false">Orders!A621</f>
        <v>O000620</v>
      </c>
      <c r="B621" s="19" t="n">
        <f aca="false">Orders!B621</f>
        <v>45928</v>
      </c>
      <c r="C621" s="6" t="str">
        <f aca="false">Orders!C621</f>
        <v>C0044</v>
      </c>
      <c r="D621" s="6" t="str">
        <f aca="false">Orders!D621</f>
        <v>P1047</v>
      </c>
      <c r="E621" s="6" t="str">
        <f aca="false">INDEX(Products!$B$2:$B$101,MATCH(D621,Products!$A$2:$A$101,0))</f>
        <v>Sunscreen Lotion</v>
      </c>
      <c r="F621" s="1" t="str">
        <f aca="false">INDEX(Products!$C$2:$C$101,MATCH(D621,Products!$A$2:$A$101,0))</f>
        <v>Beauty</v>
      </c>
      <c r="G621" s="6" t="n">
        <f aca="false">Orders!E621</f>
        <v>1</v>
      </c>
      <c r="H621" s="16" t="n">
        <f aca="false">INDEX(Products!$D$2:$D$101,MATCH(D621,Products!$A$2:$A$101,0))</f>
        <v>399</v>
      </c>
      <c r="I621" s="16" t="n">
        <f aca="false">INDEX(Products!$E$2:$E$101,MATCH(D621,Products!$A$2:$A$101,0))</f>
        <v>170</v>
      </c>
      <c r="J621" s="20" t="n">
        <f aca="false">Orders!F621</f>
        <v>0.25</v>
      </c>
      <c r="K621" s="6" t="n">
        <f aca="false">G621*H621</f>
        <v>399</v>
      </c>
      <c r="L621" s="6" t="n">
        <f aca="false">K621*J621</f>
        <v>99.75</v>
      </c>
      <c r="M621" s="6" t="n">
        <f aca="false">K621-L621</f>
        <v>299.25</v>
      </c>
      <c r="N621" s="6" t="n">
        <f aca="false">G621*I621</f>
        <v>170</v>
      </c>
      <c r="O621" s="6" t="n">
        <f aca="false">M621-N621</f>
        <v>129.25</v>
      </c>
      <c r="P621" s="21" t="n">
        <f aca="false">IFERROR(O621/M621,0)</f>
        <v>0.431913116123642</v>
      </c>
      <c r="Q621" s="6" t="str">
        <f aca="false">Orders!H621</f>
        <v>Shipped</v>
      </c>
      <c r="R621" s="1" t="str">
        <f aca="false">INDEX(Customers!$C$2:$C$301,MATCH(C621,Customers!$A$2:$A$301,0))</f>
        <v>Hyderabad</v>
      </c>
      <c r="S621" s="1" t="str">
        <f aca="false">INDEX(Customers!$E$2:$E$301,MATCH(C621,Customers!$A$2:$A$301,0))</f>
        <v>Returning</v>
      </c>
      <c r="T621" s="6" t="str">
        <f aca="false">Orders!I621</f>
        <v>Marketplace</v>
      </c>
      <c r="U621" s="1" t="str">
        <f aca="false">IF(Q621="Delivered","Completed",IF(Q621="Cancelled","Cancelled",IF(Q621="Returned","Returned","In Progress")))</f>
        <v>In Progress</v>
      </c>
      <c r="V621" s="1" t="str">
        <f aca="false">IF(M621&gt;=10000,"High Value",IF(M621&gt;=5000,"Medium Value","Low Value"))</f>
        <v>Low Value</v>
      </c>
      <c r="W621" s="1" t="str">
        <f aca="false">IF(O621&gt;0,"Profitable",IF(O621=0,"Break-even","Loss"))</f>
        <v>Profitable</v>
      </c>
      <c r="X621" s="1" t="str">
        <f aca="false">IF(Q621="Cancelled","Not Applicable",IF(Q621="Processing","Pending",IF(B621="","Unknown",IF(Orders!J621="","Unknown",IF(Orders!J621&lt;=3,"Fast",IF(Orders!J621&lt;=6,"Standard","Slow"))))))</f>
        <v>Fast</v>
      </c>
      <c r="Y621" s="1" t="n">
        <f aca="false">IF(OR(Q621="Cancelled",Q621="Returned"),0,O621)</f>
        <v>129.25</v>
      </c>
    </row>
    <row r="622" customFormat="false" ht="23.85" hidden="false" customHeight="false" outlineLevel="0" collapsed="false">
      <c r="A622" s="6" t="str">
        <f aca="false">Orders!A622</f>
        <v>O000621</v>
      </c>
      <c r="B622" s="19" t="n">
        <f aca="false">Orders!B622</f>
        <v>45898</v>
      </c>
      <c r="C622" s="6" t="str">
        <f aca="false">Orders!C622</f>
        <v>C0116</v>
      </c>
      <c r="D622" s="6" t="str">
        <f aca="false">Orders!D622</f>
        <v>P1072</v>
      </c>
      <c r="E622" s="6" t="str">
        <f aca="false">INDEX(Products!$B$2:$B$101,MATCH(D622,Products!$A$2:$A$101,0))</f>
        <v>Tennis Balls Pack</v>
      </c>
      <c r="F622" s="1" t="str">
        <f aca="false">INDEX(Products!$C$2:$C$101,MATCH(D622,Products!$A$2:$A$101,0))</f>
        <v>Sports &amp; Outdoors</v>
      </c>
      <c r="G622" s="6" t="n">
        <f aca="false">Orders!E622</f>
        <v>3</v>
      </c>
      <c r="H622" s="16" t="n">
        <f aca="false">INDEX(Products!$D$2:$D$101,MATCH(D622,Products!$A$2:$A$101,0))</f>
        <v>399</v>
      </c>
      <c r="I622" s="16" t="n">
        <f aca="false">INDEX(Products!$E$2:$E$101,MATCH(D622,Products!$A$2:$A$101,0))</f>
        <v>160</v>
      </c>
      <c r="J622" s="20" t="n">
        <f aca="false">Orders!F622</f>
        <v>0</v>
      </c>
      <c r="K622" s="6" t="n">
        <f aca="false">G622*H622</f>
        <v>1197</v>
      </c>
      <c r="L622" s="6" t="n">
        <f aca="false">K622*J622</f>
        <v>0</v>
      </c>
      <c r="M622" s="6" t="n">
        <f aca="false">K622-L622</f>
        <v>1197</v>
      </c>
      <c r="N622" s="6" t="n">
        <f aca="false">G622*I622</f>
        <v>480</v>
      </c>
      <c r="O622" s="6" t="n">
        <f aca="false">M622-N622</f>
        <v>717</v>
      </c>
      <c r="P622" s="21" t="n">
        <f aca="false">IFERROR(O622/M622,0)</f>
        <v>0.598997493734336</v>
      </c>
      <c r="Q622" s="6" t="str">
        <f aca="false">Orders!H622</f>
        <v>Delivered</v>
      </c>
      <c r="R622" s="1" t="str">
        <f aca="false">INDEX(Customers!$C$2:$C$301,MATCH(C622,Customers!$A$2:$A$301,0))</f>
        <v>Chandigarh</v>
      </c>
      <c r="S622" s="1" t="str">
        <f aca="false">INDEX(Customers!$E$2:$E$301,MATCH(C622,Customers!$A$2:$A$301,0))</f>
        <v>New</v>
      </c>
      <c r="T622" s="6" t="str">
        <f aca="false">Orders!I622</f>
        <v>Mobile App</v>
      </c>
      <c r="U622" s="1" t="str">
        <f aca="false">IF(Q622="Delivered","Completed",IF(Q622="Cancelled","Cancelled",IF(Q622="Returned","Returned","In Progress")))</f>
        <v>Completed</v>
      </c>
      <c r="V622" s="1" t="str">
        <f aca="false">IF(M622&gt;=10000,"High Value",IF(M622&gt;=5000,"Medium Value","Low Value"))</f>
        <v>Low Value</v>
      </c>
      <c r="W622" s="1" t="str">
        <f aca="false">IF(O622&gt;0,"Profitable",IF(O622=0,"Break-even","Loss"))</f>
        <v>Profitable</v>
      </c>
      <c r="X622" s="1" t="str">
        <f aca="false">IF(Q622="Cancelled","Not Applicable",IF(Q622="Processing","Pending",IF(B622="","Unknown",IF(Orders!J622="","Unknown",IF(Orders!J622&lt;=3,"Fast",IF(Orders!J622&lt;=6,"Standard","Slow"))))))</f>
        <v>Standard</v>
      </c>
      <c r="Y622" s="1" t="n">
        <f aca="false">IF(OR(Q622="Cancelled",Q622="Returned"),0,O622)</f>
        <v>717</v>
      </c>
    </row>
    <row r="623" customFormat="false" ht="15" hidden="false" customHeight="false" outlineLevel="0" collapsed="false">
      <c r="A623" s="6" t="str">
        <f aca="false">Orders!A623</f>
        <v>O000622</v>
      </c>
      <c r="B623" s="19" t="n">
        <f aca="false">Orders!B623</f>
        <v>45833</v>
      </c>
      <c r="C623" s="6" t="str">
        <f aca="false">Orders!C623</f>
        <v>C0109</v>
      </c>
      <c r="D623" s="6" t="str">
        <f aca="false">Orders!D623</f>
        <v>P1077</v>
      </c>
      <c r="E623" s="6" t="str">
        <f aca="false">INDEX(Products!$B$2:$B$101,MATCH(D623,Products!$A$2:$A$101,0))</f>
        <v>Planner</v>
      </c>
      <c r="F623" s="1" t="str">
        <f aca="false">INDEX(Products!$C$2:$C$101,MATCH(D623,Products!$A$2:$A$101,0))</f>
        <v>Books &amp; Stationery</v>
      </c>
      <c r="G623" s="6" t="n">
        <f aca="false">Orders!E623</f>
        <v>1</v>
      </c>
      <c r="H623" s="16" t="n">
        <f aca="false">INDEX(Products!$D$2:$D$101,MATCH(D623,Products!$A$2:$A$101,0))</f>
        <v>349</v>
      </c>
      <c r="I623" s="16" t="n">
        <f aca="false">INDEX(Products!$E$2:$E$101,MATCH(D623,Products!$A$2:$A$101,0))</f>
        <v>130</v>
      </c>
      <c r="J623" s="20" t="n">
        <f aca="false">Orders!F623</f>
        <v>0</v>
      </c>
      <c r="K623" s="6" t="n">
        <f aca="false">G623*H623</f>
        <v>349</v>
      </c>
      <c r="L623" s="6" t="n">
        <f aca="false">K623*J623</f>
        <v>0</v>
      </c>
      <c r="M623" s="6" t="n">
        <f aca="false">K623-L623</f>
        <v>349</v>
      </c>
      <c r="N623" s="6" t="n">
        <f aca="false">G623*I623</f>
        <v>130</v>
      </c>
      <c r="O623" s="6" t="n">
        <f aca="false">M623-N623</f>
        <v>219</v>
      </c>
      <c r="P623" s="21" t="n">
        <f aca="false">IFERROR(O623/M623,0)</f>
        <v>0.627507163323782</v>
      </c>
      <c r="Q623" s="6" t="str">
        <f aca="false">Orders!H623</f>
        <v>Delivered</v>
      </c>
      <c r="R623" s="1" t="str">
        <f aca="false">INDEX(Customers!$C$2:$C$301,MATCH(C623,Customers!$A$2:$A$301,0))</f>
        <v>Ahmedabad</v>
      </c>
      <c r="S623" s="1" t="str">
        <f aca="false">INDEX(Customers!$E$2:$E$301,MATCH(C623,Customers!$A$2:$A$301,0))</f>
        <v>New</v>
      </c>
      <c r="T623" s="6" t="str">
        <f aca="false">Orders!I623</f>
        <v>Website</v>
      </c>
      <c r="U623" s="1" t="str">
        <f aca="false">IF(Q623="Delivered","Completed",IF(Q623="Cancelled","Cancelled",IF(Q623="Returned","Returned","In Progress")))</f>
        <v>Completed</v>
      </c>
      <c r="V623" s="1" t="str">
        <f aca="false">IF(M623&gt;=10000,"High Value",IF(M623&gt;=5000,"Medium Value","Low Value"))</f>
        <v>Low Value</v>
      </c>
      <c r="W623" s="1" t="str">
        <f aca="false">IF(O623&gt;0,"Profitable",IF(O623=0,"Break-even","Loss"))</f>
        <v>Profitable</v>
      </c>
      <c r="X623" s="1" t="str">
        <f aca="false">IF(Q623="Cancelled","Not Applicable",IF(Q623="Processing","Pending",IF(B623="","Unknown",IF(Orders!J623="","Unknown",IF(Orders!J623&lt;=3,"Fast",IF(Orders!J623&lt;=6,"Standard","Slow"))))))</f>
        <v>Fast</v>
      </c>
      <c r="Y623" s="1" t="n">
        <f aca="false">IF(OR(Q623="Cancelled",Q623="Returned"),0,O623)</f>
        <v>219</v>
      </c>
    </row>
    <row r="624" customFormat="false" ht="15" hidden="false" customHeight="false" outlineLevel="0" collapsed="false">
      <c r="A624" s="6" t="str">
        <f aca="false">Orders!A624</f>
        <v>O000623</v>
      </c>
      <c r="B624" s="19" t="n">
        <f aca="false">Orders!B624</f>
        <v>45676</v>
      </c>
      <c r="C624" s="6" t="str">
        <f aca="false">Orders!C624</f>
        <v>C0217</v>
      </c>
      <c r="D624" s="6" t="str">
        <f aca="false">Orders!D624</f>
        <v>P1098</v>
      </c>
      <c r="E624" s="6" t="str">
        <f aca="false">INDEX(Products!$B$2:$B$101,MATCH(D624,Products!$A$2:$A$101,0))</f>
        <v>Steam Iron</v>
      </c>
      <c r="F624" s="1" t="str">
        <f aca="false">INDEX(Products!$C$2:$C$101,MATCH(D624,Products!$A$2:$A$101,0))</f>
        <v>Appliances</v>
      </c>
      <c r="G624" s="6" t="n">
        <f aca="false">Orders!E624</f>
        <v>1</v>
      </c>
      <c r="H624" s="16" t="n">
        <f aca="false">INDEX(Products!$D$2:$D$101,MATCH(D624,Products!$A$2:$A$101,0))</f>
        <v>999</v>
      </c>
      <c r="I624" s="16" t="n">
        <f aca="false">INDEX(Products!$E$2:$E$101,MATCH(D624,Products!$A$2:$A$101,0))</f>
        <v>550</v>
      </c>
      <c r="J624" s="20" t="n">
        <f aca="false">Orders!F624</f>
        <v>0.25</v>
      </c>
      <c r="K624" s="6" t="n">
        <f aca="false">G624*H624</f>
        <v>999</v>
      </c>
      <c r="L624" s="6" t="n">
        <f aca="false">K624*J624</f>
        <v>249.75</v>
      </c>
      <c r="M624" s="6" t="n">
        <f aca="false">K624-L624</f>
        <v>749.25</v>
      </c>
      <c r="N624" s="6" t="n">
        <f aca="false">G624*I624</f>
        <v>550</v>
      </c>
      <c r="O624" s="6" t="n">
        <f aca="false">M624-N624</f>
        <v>199.25</v>
      </c>
      <c r="P624" s="21" t="n">
        <f aca="false">IFERROR(O624/M624,0)</f>
        <v>0.265932599265933</v>
      </c>
      <c r="Q624" s="6" t="str">
        <f aca="false">Orders!H624</f>
        <v>Delivered</v>
      </c>
      <c r="R624" s="1" t="str">
        <f aca="false">INDEX(Customers!$C$2:$C$301,MATCH(C624,Customers!$A$2:$A$301,0))</f>
        <v>Surat</v>
      </c>
      <c r="S624" s="1" t="str">
        <f aca="false">INDEX(Customers!$E$2:$E$301,MATCH(C624,Customers!$A$2:$A$301,0))</f>
        <v>Returning</v>
      </c>
      <c r="T624" s="6" t="str">
        <f aca="false">Orders!I624</f>
        <v>Mobile App</v>
      </c>
      <c r="U624" s="1" t="str">
        <f aca="false">IF(Q624="Delivered","Completed",IF(Q624="Cancelled","Cancelled",IF(Q624="Returned","Returned","In Progress")))</f>
        <v>Completed</v>
      </c>
      <c r="V624" s="1" t="str">
        <f aca="false">IF(M624&gt;=10000,"High Value",IF(M624&gt;=5000,"Medium Value","Low Value"))</f>
        <v>Low Value</v>
      </c>
      <c r="W624" s="1" t="str">
        <f aca="false">IF(O624&gt;0,"Profitable",IF(O624=0,"Break-even","Loss"))</f>
        <v>Profitable</v>
      </c>
      <c r="X624" s="1" t="str">
        <f aca="false">IF(Q624="Cancelled","Not Applicable",IF(Q624="Processing","Pending",IF(B624="","Unknown",IF(Orders!J624="","Unknown",IF(Orders!J624&lt;=3,"Fast",IF(Orders!J624&lt;=6,"Standard","Slow"))))))</f>
        <v>Standard</v>
      </c>
      <c r="Y624" s="1" t="n">
        <f aca="false">IF(OR(Q624="Cancelled",Q624="Returned"),0,O624)</f>
        <v>199.25</v>
      </c>
    </row>
    <row r="625" customFormat="false" ht="23.85" hidden="false" customHeight="false" outlineLevel="0" collapsed="false">
      <c r="A625" s="6" t="str">
        <f aca="false">Orders!A625</f>
        <v>O000624</v>
      </c>
      <c r="B625" s="19" t="n">
        <f aca="false">Orders!B625</f>
        <v>45777</v>
      </c>
      <c r="C625" s="6" t="str">
        <f aca="false">Orders!C625</f>
        <v>C0236</v>
      </c>
      <c r="D625" s="6" t="str">
        <f aca="false">Orders!D625</f>
        <v>P1053</v>
      </c>
      <c r="E625" s="6" t="str">
        <f aca="false">INDEX(Products!$B$2:$B$101,MATCH(D625,Products!$A$2:$A$101,0))</f>
        <v>Makeup Brush Set</v>
      </c>
      <c r="F625" s="1" t="str">
        <f aca="false">INDEX(Products!$C$2:$C$101,MATCH(D625,Products!$A$2:$A$101,0))</f>
        <v>Beauty</v>
      </c>
      <c r="G625" s="6" t="n">
        <f aca="false">Orders!E625</f>
        <v>1</v>
      </c>
      <c r="H625" s="16" t="n">
        <f aca="false">INDEX(Products!$D$2:$D$101,MATCH(D625,Products!$A$2:$A$101,0))</f>
        <v>599</v>
      </c>
      <c r="I625" s="16" t="n">
        <f aca="false">INDEX(Products!$E$2:$E$101,MATCH(D625,Products!$A$2:$A$101,0))</f>
        <v>250</v>
      </c>
      <c r="J625" s="20" t="n">
        <f aca="false">Orders!F625</f>
        <v>0</v>
      </c>
      <c r="K625" s="6" t="n">
        <f aca="false">G625*H625</f>
        <v>599</v>
      </c>
      <c r="L625" s="6" t="n">
        <f aca="false">K625*J625</f>
        <v>0</v>
      </c>
      <c r="M625" s="6" t="n">
        <f aca="false">K625-L625</f>
        <v>599</v>
      </c>
      <c r="N625" s="6" t="n">
        <f aca="false">G625*I625</f>
        <v>250</v>
      </c>
      <c r="O625" s="6" t="n">
        <f aca="false">M625-N625</f>
        <v>349</v>
      </c>
      <c r="P625" s="21" t="n">
        <f aca="false">IFERROR(O625/M625,0)</f>
        <v>0.582637729549249</v>
      </c>
      <c r="Q625" s="6" t="str">
        <f aca="false">Orders!H625</f>
        <v>Delivered</v>
      </c>
      <c r="R625" s="1" t="str">
        <f aca="false">INDEX(Customers!$C$2:$C$301,MATCH(C625,Customers!$A$2:$A$301,0))</f>
        <v>Chandigarh</v>
      </c>
      <c r="S625" s="1" t="str">
        <f aca="false">INDEX(Customers!$E$2:$E$301,MATCH(C625,Customers!$A$2:$A$301,0))</f>
        <v>Returning</v>
      </c>
      <c r="T625" s="6" t="str">
        <f aca="false">Orders!I625</f>
        <v>Mobile App</v>
      </c>
      <c r="U625" s="1" t="str">
        <f aca="false">IF(Q625="Delivered","Completed",IF(Q625="Cancelled","Cancelled",IF(Q625="Returned","Returned","In Progress")))</f>
        <v>Completed</v>
      </c>
      <c r="V625" s="1" t="str">
        <f aca="false">IF(M625&gt;=10000,"High Value",IF(M625&gt;=5000,"Medium Value","Low Value"))</f>
        <v>Low Value</v>
      </c>
      <c r="W625" s="1" t="str">
        <f aca="false">IF(O625&gt;0,"Profitable",IF(O625=0,"Break-even","Loss"))</f>
        <v>Profitable</v>
      </c>
      <c r="X625" s="1" t="str">
        <f aca="false">IF(Q625="Cancelled","Not Applicable",IF(Q625="Processing","Pending",IF(B625="","Unknown",IF(Orders!J625="","Unknown",IF(Orders!J625&lt;=3,"Fast",IF(Orders!J625&lt;=6,"Standard","Slow"))))))</f>
        <v>Fast</v>
      </c>
      <c r="Y625" s="1" t="n">
        <f aca="false">IF(OR(Q625="Cancelled",Q625="Returned"),0,O625)</f>
        <v>349</v>
      </c>
    </row>
    <row r="626" customFormat="false" ht="23.85" hidden="false" customHeight="false" outlineLevel="0" collapsed="false">
      <c r="A626" s="6" t="str">
        <f aca="false">Orders!A626</f>
        <v>O000625</v>
      </c>
      <c r="B626" s="19" t="n">
        <f aca="false">Orders!B626</f>
        <v>45660</v>
      </c>
      <c r="C626" s="6" t="str">
        <f aca="false">Orders!C626</f>
        <v>C0132</v>
      </c>
      <c r="D626" s="6" t="str">
        <f aca="false">Orders!D626</f>
        <v>P1081</v>
      </c>
      <c r="E626" s="6" t="str">
        <f aca="false">INDEX(Products!$B$2:$B$101,MATCH(D626,Products!$A$2:$A$101,0))</f>
        <v>Sticky Notes Pack</v>
      </c>
      <c r="F626" s="1" t="str">
        <f aca="false">INDEX(Products!$C$2:$C$101,MATCH(D626,Products!$A$2:$A$101,0))</f>
        <v>Books &amp; Stationery</v>
      </c>
      <c r="G626" s="6" t="n">
        <f aca="false">Orders!E626</f>
        <v>2</v>
      </c>
      <c r="H626" s="16" t="n">
        <f aca="false">INDEX(Products!$D$2:$D$101,MATCH(D626,Products!$A$2:$A$101,0))</f>
        <v>149</v>
      </c>
      <c r="I626" s="16" t="n">
        <f aca="false">INDEX(Products!$E$2:$E$101,MATCH(D626,Products!$A$2:$A$101,0))</f>
        <v>45</v>
      </c>
      <c r="J626" s="20" t="n">
        <f aca="false">Orders!F626</f>
        <v>0.15</v>
      </c>
      <c r="K626" s="6" t="n">
        <f aca="false">G626*H626</f>
        <v>298</v>
      </c>
      <c r="L626" s="6" t="n">
        <f aca="false">K626*J626</f>
        <v>44.7</v>
      </c>
      <c r="M626" s="6" t="n">
        <f aca="false">K626-L626</f>
        <v>253.3</v>
      </c>
      <c r="N626" s="6" t="n">
        <f aca="false">G626*I626</f>
        <v>90</v>
      </c>
      <c r="O626" s="6" t="n">
        <f aca="false">M626-N626</f>
        <v>163.3</v>
      </c>
      <c r="P626" s="21" t="n">
        <f aca="false">IFERROR(O626/M626,0)</f>
        <v>0.644690090801421</v>
      </c>
      <c r="Q626" s="6" t="str">
        <f aca="false">Orders!H626</f>
        <v>Delivered</v>
      </c>
      <c r="R626" s="1" t="str">
        <f aca="false">INDEX(Customers!$C$2:$C$301,MATCH(C626,Customers!$A$2:$A$301,0))</f>
        <v>Noida</v>
      </c>
      <c r="S626" s="1" t="str">
        <f aca="false">INDEX(Customers!$E$2:$E$301,MATCH(C626,Customers!$A$2:$A$301,0))</f>
        <v>Returning</v>
      </c>
      <c r="T626" s="6" t="str">
        <f aca="false">Orders!I626</f>
        <v>Mobile App</v>
      </c>
      <c r="U626" s="1" t="str">
        <f aca="false">IF(Q626="Delivered","Completed",IF(Q626="Cancelled","Cancelled",IF(Q626="Returned","Returned","In Progress")))</f>
        <v>Completed</v>
      </c>
      <c r="V626" s="1" t="str">
        <f aca="false">IF(M626&gt;=10000,"High Value",IF(M626&gt;=5000,"Medium Value","Low Value"))</f>
        <v>Low Value</v>
      </c>
      <c r="W626" s="1" t="str">
        <f aca="false">IF(O626&gt;0,"Profitable",IF(O626=0,"Break-even","Loss"))</f>
        <v>Profitable</v>
      </c>
      <c r="X626" s="1" t="str">
        <f aca="false">IF(Q626="Cancelled","Not Applicable",IF(Q626="Processing","Pending",IF(B626="","Unknown",IF(Orders!J626="","Unknown",IF(Orders!J626&lt;=3,"Fast",IF(Orders!J626&lt;=6,"Standard","Slow"))))))</f>
        <v>Slow</v>
      </c>
      <c r="Y626" s="1" t="n">
        <f aca="false">IF(OR(Q626="Cancelled",Q626="Returned"),0,O626)</f>
        <v>163.3</v>
      </c>
    </row>
    <row r="627" customFormat="false" ht="15" hidden="false" customHeight="false" outlineLevel="0" collapsed="false">
      <c r="A627" s="6" t="str">
        <f aca="false">Orders!A627</f>
        <v>O000626</v>
      </c>
      <c r="B627" s="19" t="n">
        <f aca="false">Orders!B627</f>
        <v>45695</v>
      </c>
      <c r="C627" s="6" t="str">
        <f aca="false">Orders!C627</f>
        <v>C0123</v>
      </c>
      <c r="D627" s="6" t="str">
        <f aca="false">Orders!D627</f>
        <v>P1060</v>
      </c>
      <c r="E627" s="6" t="str">
        <f aca="false">INDEX(Products!$B$2:$B$101,MATCH(D627,Products!$A$2:$A$101,0))</f>
        <v>Yoga Mat</v>
      </c>
      <c r="F627" s="1" t="str">
        <f aca="false">INDEX(Products!$C$2:$C$101,MATCH(D627,Products!$A$2:$A$101,0))</f>
        <v>Sports &amp; Outdoors</v>
      </c>
      <c r="G627" s="6" t="n">
        <f aca="false">Orders!E627</f>
        <v>2</v>
      </c>
      <c r="H627" s="16" t="n">
        <f aca="false">INDEX(Products!$D$2:$D$101,MATCH(D627,Products!$A$2:$A$101,0))</f>
        <v>799</v>
      </c>
      <c r="I627" s="16" t="n">
        <f aca="false">INDEX(Products!$E$2:$E$101,MATCH(D627,Products!$A$2:$A$101,0))</f>
        <v>350</v>
      </c>
      <c r="J627" s="20" t="n">
        <f aca="false">Orders!F627</f>
        <v>0.1</v>
      </c>
      <c r="K627" s="6" t="n">
        <f aca="false">G627*H627</f>
        <v>1598</v>
      </c>
      <c r="L627" s="6" t="n">
        <f aca="false">K627*J627</f>
        <v>159.8</v>
      </c>
      <c r="M627" s="6" t="n">
        <f aca="false">K627-L627</f>
        <v>1438.2</v>
      </c>
      <c r="N627" s="6" t="n">
        <f aca="false">G627*I627</f>
        <v>700</v>
      </c>
      <c r="O627" s="6" t="n">
        <f aca="false">M627-N627</f>
        <v>738.2</v>
      </c>
      <c r="P627" s="21" t="n">
        <f aca="false">IFERROR(O627/M627,0)</f>
        <v>0.513280489500765</v>
      </c>
      <c r="Q627" s="6" t="str">
        <f aca="false">Orders!H627</f>
        <v>Delivered</v>
      </c>
      <c r="R627" s="1" t="str">
        <f aca="false">INDEX(Customers!$C$2:$C$301,MATCH(C627,Customers!$A$2:$A$301,0))</f>
        <v>Bengaluru</v>
      </c>
      <c r="S627" s="1" t="str">
        <f aca="false">INDEX(Customers!$E$2:$E$301,MATCH(C627,Customers!$A$2:$A$301,0))</f>
        <v>Returning</v>
      </c>
      <c r="T627" s="6" t="str">
        <f aca="false">Orders!I627</f>
        <v>Mobile App</v>
      </c>
      <c r="U627" s="1" t="str">
        <f aca="false">IF(Q627="Delivered","Completed",IF(Q627="Cancelled","Cancelled",IF(Q627="Returned","Returned","In Progress")))</f>
        <v>Completed</v>
      </c>
      <c r="V627" s="1" t="str">
        <f aca="false">IF(M627&gt;=10000,"High Value",IF(M627&gt;=5000,"Medium Value","Low Value"))</f>
        <v>Low Value</v>
      </c>
      <c r="W627" s="1" t="str">
        <f aca="false">IF(O627&gt;0,"Profitable",IF(O627=0,"Break-even","Loss"))</f>
        <v>Profitable</v>
      </c>
      <c r="X627" s="1" t="str">
        <f aca="false">IF(Q627="Cancelled","Not Applicable",IF(Q627="Processing","Pending",IF(B627="","Unknown",IF(Orders!J627="","Unknown",IF(Orders!J627&lt;=3,"Fast",IF(Orders!J627&lt;=6,"Standard","Slow"))))))</f>
        <v>Standard</v>
      </c>
      <c r="Y627" s="1" t="n">
        <f aca="false">IF(OR(Q627="Cancelled",Q627="Returned"),0,O627)</f>
        <v>738.2</v>
      </c>
    </row>
    <row r="628" customFormat="false" ht="15" hidden="false" customHeight="false" outlineLevel="0" collapsed="false">
      <c r="A628" s="6" t="str">
        <f aca="false">Orders!A628</f>
        <v>O000627</v>
      </c>
      <c r="B628" s="19" t="n">
        <f aca="false">Orders!B628</f>
        <v>45797</v>
      </c>
      <c r="C628" s="6" t="str">
        <f aca="false">Orders!C628</f>
        <v>C0118</v>
      </c>
      <c r="D628" s="6" t="str">
        <f aca="false">Orders!D628</f>
        <v>P1078</v>
      </c>
      <c r="E628" s="6" t="str">
        <f aca="false">INDEX(Products!$B$2:$B$101,MATCH(D628,Products!$A$2:$A$101,0))</f>
        <v>Sketchbook</v>
      </c>
      <c r="F628" s="1" t="str">
        <f aca="false">INDEX(Products!$C$2:$C$101,MATCH(D628,Products!$A$2:$A$101,0))</f>
        <v>Books &amp; Stationery</v>
      </c>
      <c r="G628" s="6" t="n">
        <f aca="false">Orders!E628</f>
        <v>1</v>
      </c>
      <c r="H628" s="16" t="n">
        <f aca="false">INDEX(Products!$D$2:$D$101,MATCH(D628,Products!$A$2:$A$101,0))</f>
        <v>249</v>
      </c>
      <c r="I628" s="16" t="n">
        <f aca="false">INDEX(Products!$E$2:$E$101,MATCH(D628,Products!$A$2:$A$101,0))</f>
        <v>90</v>
      </c>
      <c r="J628" s="20" t="n">
        <f aca="false">Orders!F628</f>
        <v>0.1</v>
      </c>
      <c r="K628" s="6" t="n">
        <f aca="false">G628*H628</f>
        <v>249</v>
      </c>
      <c r="L628" s="6" t="n">
        <f aca="false">K628*J628</f>
        <v>24.9</v>
      </c>
      <c r="M628" s="6" t="n">
        <f aca="false">K628-L628</f>
        <v>224.1</v>
      </c>
      <c r="N628" s="6" t="n">
        <f aca="false">G628*I628</f>
        <v>90</v>
      </c>
      <c r="O628" s="6" t="n">
        <f aca="false">M628-N628</f>
        <v>134.1</v>
      </c>
      <c r="P628" s="21" t="n">
        <f aca="false">IFERROR(O628/M628,0)</f>
        <v>0.598393574297189</v>
      </c>
      <c r="Q628" s="6" t="str">
        <f aca="false">Orders!H628</f>
        <v>Delivered</v>
      </c>
      <c r="R628" s="1" t="str">
        <f aca="false">INDEX(Customers!$C$2:$C$301,MATCH(C628,Customers!$A$2:$A$301,0))</f>
        <v>Nagpur</v>
      </c>
      <c r="S628" s="1" t="str">
        <f aca="false">INDEX(Customers!$E$2:$E$301,MATCH(C628,Customers!$A$2:$A$301,0))</f>
        <v>Returning</v>
      </c>
      <c r="T628" s="6" t="str">
        <f aca="false">Orders!I628</f>
        <v>Mobile App</v>
      </c>
      <c r="U628" s="1" t="str">
        <f aca="false">IF(Q628="Delivered","Completed",IF(Q628="Cancelled","Cancelled",IF(Q628="Returned","Returned","In Progress")))</f>
        <v>Completed</v>
      </c>
      <c r="V628" s="1" t="str">
        <f aca="false">IF(M628&gt;=10000,"High Value",IF(M628&gt;=5000,"Medium Value","Low Value"))</f>
        <v>Low Value</v>
      </c>
      <c r="W628" s="1" t="str">
        <f aca="false">IF(O628&gt;0,"Profitable",IF(O628=0,"Break-even","Loss"))</f>
        <v>Profitable</v>
      </c>
      <c r="X628" s="1" t="str">
        <f aca="false">IF(Q628="Cancelled","Not Applicable",IF(Q628="Processing","Pending",IF(B628="","Unknown",IF(Orders!J628="","Unknown",IF(Orders!J628&lt;=3,"Fast",IF(Orders!J628&lt;=6,"Standard","Slow"))))))</f>
        <v>Standard</v>
      </c>
      <c r="Y628" s="1" t="n">
        <f aca="false">IF(OR(Q628="Cancelled",Q628="Returned"),0,O628)</f>
        <v>134.1</v>
      </c>
    </row>
    <row r="629" customFormat="false" ht="15" hidden="false" customHeight="false" outlineLevel="0" collapsed="false">
      <c r="A629" s="6" t="str">
        <f aca="false">Orders!A629</f>
        <v>O000628</v>
      </c>
      <c r="B629" s="19" t="n">
        <f aca="false">Orders!B629</f>
        <v>45898</v>
      </c>
      <c r="C629" s="6" t="str">
        <f aca="false">Orders!C629</f>
        <v>C0028</v>
      </c>
      <c r="D629" s="6" t="str">
        <f aca="false">Orders!D629</f>
        <v>P1092</v>
      </c>
      <c r="E629" s="6" t="str">
        <f aca="false">INDEX(Products!$B$2:$B$101,MATCH(D629,Products!$A$2:$A$101,0))</f>
        <v>Hand Blender</v>
      </c>
      <c r="F629" s="1" t="str">
        <f aca="false">INDEX(Products!$C$2:$C$101,MATCH(D629,Products!$A$2:$A$101,0))</f>
        <v>Appliances</v>
      </c>
      <c r="G629" s="6" t="n">
        <f aca="false">Orders!E629</f>
        <v>1</v>
      </c>
      <c r="H629" s="16" t="n">
        <f aca="false">INDEX(Products!$D$2:$D$101,MATCH(D629,Products!$A$2:$A$101,0))</f>
        <v>999</v>
      </c>
      <c r="I629" s="16" t="n">
        <f aca="false">INDEX(Products!$E$2:$E$101,MATCH(D629,Products!$A$2:$A$101,0))</f>
        <v>550</v>
      </c>
      <c r="J629" s="20" t="n">
        <f aca="false">Orders!F629</f>
        <v>0.25</v>
      </c>
      <c r="K629" s="6" t="n">
        <f aca="false">G629*H629</f>
        <v>999</v>
      </c>
      <c r="L629" s="6" t="n">
        <f aca="false">K629*J629</f>
        <v>249.75</v>
      </c>
      <c r="M629" s="6" t="n">
        <f aca="false">K629-L629</f>
        <v>749.25</v>
      </c>
      <c r="N629" s="6" t="n">
        <f aca="false">G629*I629</f>
        <v>550</v>
      </c>
      <c r="O629" s="6" t="n">
        <f aca="false">M629-N629</f>
        <v>199.25</v>
      </c>
      <c r="P629" s="21" t="n">
        <f aca="false">IFERROR(O629/M629,0)</f>
        <v>0.265932599265933</v>
      </c>
      <c r="Q629" s="6" t="str">
        <f aca="false">Orders!H629</f>
        <v>Delivered</v>
      </c>
      <c r="R629" s="1" t="str">
        <f aca="false">INDEX(Customers!$C$2:$C$301,MATCH(C629,Customers!$A$2:$A$301,0))</f>
        <v>Jaipur</v>
      </c>
      <c r="S629" s="1" t="str">
        <f aca="false">INDEX(Customers!$E$2:$E$301,MATCH(C629,Customers!$A$2:$A$301,0))</f>
        <v>VIP</v>
      </c>
      <c r="T629" s="6" t="str">
        <f aca="false">Orders!I629</f>
        <v>Mobile App</v>
      </c>
      <c r="U629" s="1" t="str">
        <f aca="false">IF(Q629="Delivered","Completed",IF(Q629="Cancelled","Cancelled",IF(Q629="Returned","Returned","In Progress")))</f>
        <v>Completed</v>
      </c>
      <c r="V629" s="1" t="str">
        <f aca="false">IF(M629&gt;=10000,"High Value",IF(M629&gt;=5000,"Medium Value","Low Value"))</f>
        <v>Low Value</v>
      </c>
      <c r="W629" s="1" t="str">
        <f aca="false">IF(O629&gt;0,"Profitable",IF(O629=0,"Break-even","Loss"))</f>
        <v>Profitable</v>
      </c>
      <c r="X629" s="1" t="str">
        <f aca="false">IF(Q629="Cancelled","Not Applicable",IF(Q629="Processing","Pending",IF(B629="","Unknown",IF(Orders!J629="","Unknown",IF(Orders!J629&lt;=3,"Fast",IF(Orders!J629&lt;=6,"Standard","Slow"))))))</f>
        <v>Slow</v>
      </c>
      <c r="Y629" s="1" t="n">
        <f aca="false">IF(OR(Q629="Cancelled",Q629="Returned"),0,O629)</f>
        <v>199.25</v>
      </c>
    </row>
    <row r="630" customFormat="false" ht="15" hidden="false" customHeight="false" outlineLevel="0" collapsed="false">
      <c r="A630" s="6" t="str">
        <f aca="false">Orders!A630</f>
        <v>O000629</v>
      </c>
      <c r="B630" s="19" t="n">
        <f aca="false">Orders!B630</f>
        <v>45670</v>
      </c>
      <c r="C630" s="6" t="str">
        <f aca="false">Orders!C630</f>
        <v>C0047</v>
      </c>
      <c r="D630" s="6" t="str">
        <f aca="false">Orders!D630</f>
        <v>P1098</v>
      </c>
      <c r="E630" s="6" t="str">
        <f aca="false">INDEX(Products!$B$2:$B$101,MATCH(D630,Products!$A$2:$A$101,0))</f>
        <v>Steam Iron</v>
      </c>
      <c r="F630" s="1" t="str">
        <f aca="false">INDEX(Products!$C$2:$C$101,MATCH(D630,Products!$A$2:$A$101,0))</f>
        <v>Appliances</v>
      </c>
      <c r="G630" s="6" t="n">
        <f aca="false">Orders!E630</f>
        <v>1</v>
      </c>
      <c r="H630" s="16" t="n">
        <f aca="false">INDEX(Products!$D$2:$D$101,MATCH(D630,Products!$A$2:$A$101,0))</f>
        <v>999</v>
      </c>
      <c r="I630" s="16" t="n">
        <f aca="false">INDEX(Products!$E$2:$E$101,MATCH(D630,Products!$A$2:$A$101,0))</f>
        <v>550</v>
      </c>
      <c r="J630" s="20" t="n">
        <f aca="false">Orders!F630</f>
        <v>0</v>
      </c>
      <c r="K630" s="6" t="n">
        <f aca="false">G630*H630</f>
        <v>999</v>
      </c>
      <c r="L630" s="6" t="n">
        <f aca="false">K630*J630</f>
        <v>0</v>
      </c>
      <c r="M630" s="6" t="n">
        <f aca="false">K630-L630</f>
        <v>999</v>
      </c>
      <c r="N630" s="6" t="n">
        <f aca="false">G630*I630</f>
        <v>550</v>
      </c>
      <c r="O630" s="6" t="n">
        <f aca="false">M630-N630</f>
        <v>449</v>
      </c>
      <c r="P630" s="21" t="n">
        <f aca="false">IFERROR(O630/M630,0)</f>
        <v>0.449449449449449</v>
      </c>
      <c r="Q630" s="6" t="str">
        <f aca="false">Orders!H630</f>
        <v>Processing</v>
      </c>
      <c r="R630" s="1" t="str">
        <f aca="false">INDEX(Customers!$C$2:$C$301,MATCH(C630,Customers!$A$2:$A$301,0))</f>
        <v>Pune</v>
      </c>
      <c r="S630" s="1" t="str">
        <f aca="false">INDEX(Customers!$E$2:$E$301,MATCH(C630,Customers!$A$2:$A$301,0))</f>
        <v>VIP</v>
      </c>
      <c r="T630" s="6" t="str">
        <f aca="false">Orders!I630</f>
        <v>Website</v>
      </c>
      <c r="U630" s="1" t="str">
        <f aca="false">IF(Q630="Delivered","Completed",IF(Q630="Cancelled","Cancelled",IF(Q630="Returned","Returned","In Progress")))</f>
        <v>In Progress</v>
      </c>
      <c r="V630" s="1" t="str">
        <f aca="false">IF(M630&gt;=10000,"High Value",IF(M630&gt;=5000,"Medium Value","Low Value"))</f>
        <v>Low Value</v>
      </c>
      <c r="W630" s="1" t="str">
        <f aca="false">IF(O630&gt;0,"Profitable",IF(O630=0,"Break-even","Loss"))</f>
        <v>Profitable</v>
      </c>
      <c r="X630" s="1" t="str">
        <f aca="false">IF(Q630="Cancelled","Not Applicable",IF(Q630="Processing","Pending",IF(B630="","Unknown",IF(Orders!J630="","Unknown",IF(Orders!J630&lt;=3,"Fast",IF(Orders!J630&lt;=6,"Standard","Slow"))))))</f>
        <v>Pending</v>
      </c>
      <c r="Y630" s="1" t="n">
        <f aca="false">IF(OR(Q630="Cancelled",Q630="Returned"),0,O630)</f>
        <v>449</v>
      </c>
    </row>
    <row r="631" customFormat="false" ht="15" hidden="false" customHeight="false" outlineLevel="0" collapsed="false">
      <c r="A631" s="6" t="str">
        <f aca="false">Orders!A631</f>
        <v>O000630</v>
      </c>
      <c r="B631" s="19" t="n">
        <f aca="false">Orders!B631</f>
        <v>45840</v>
      </c>
      <c r="C631" s="6" t="str">
        <f aca="false">Orders!C631</f>
        <v>C0104</v>
      </c>
      <c r="D631" s="6" t="str">
        <f aca="false">Orders!D631</f>
        <v>P1076</v>
      </c>
      <c r="E631" s="6" t="str">
        <f aca="false">INDEX(Products!$B$2:$B$101,MATCH(D631,Products!$A$2:$A$101,0))</f>
        <v>Desk Organizer</v>
      </c>
      <c r="F631" s="1" t="str">
        <f aca="false">INDEX(Products!$C$2:$C$101,MATCH(D631,Products!$A$2:$A$101,0))</f>
        <v>Books &amp; Stationery</v>
      </c>
      <c r="G631" s="6" t="n">
        <f aca="false">Orders!E631</f>
        <v>1</v>
      </c>
      <c r="H631" s="16" t="n">
        <f aca="false">INDEX(Products!$D$2:$D$101,MATCH(D631,Products!$A$2:$A$101,0))</f>
        <v>399</v>
      </c>
      <c r="I631" s="16" t="n">
        <f aca="false">INDEX(Products!$E$2:$E$101,MATCH(D631,Products!$A$2:$A$101,0))</f>
        <v>170</v>
      </c>
      <c r="J631" s="20" t="n">
        <f aca="false">Orders!F631</f>
        <v>0</v>
      </c>
      <c r="K631" s="6" t="n">
        <f aca="false">G631*H631</f>
        <v>399</v>
      </c>
      <c r="L631" s="6" t="n">
        <f aca="false">K631*J631</f>
        <v>0</v>
      </c>
      <c r="M631" s="6" t="n">
        <f aca="false">K631-L631</f>
        <v>399</v>
      </c>
      <c r="N631" s="6" t="n">
        <f aca="false">G631*I631</f>
        <v>170</v>
      </c>
      <c r="O631" s="6" t="n">
        <f aca="false">M631-N631</f>
        <v>229</v>
      </c>
      <c r="P631" s="21" t="n">
        <f aca="false">IFERROR(O631/M631,0)</f>
        <v>0.573934837092732</v>
      </c>
      <c r="Q631" s="6" t="str">
        <f aca="false">Orders!H631</f>
        <v>Delivered</v>
      </c>
      <c r="R631" s="1" t="str">
        <f aca="false">INDEX(Customers!$C$2:$C$301,MATCH(C631,Customers!$A$2:$A$301,0))</f>
        <v>Hyderabad</v>
      </c>
      <c r="S631" s="1" t="str">
        <f aca="false">INDEX(Customers!$E$2:$E$301,MATCH(C631,Customers!$A$2:$A$301,0))</f>
        <v>New</v>
      </c>
      <c r="T631" s="6" t="str">
        <f aca="false">Orders!I631</f>
        <v>Mobile App</v>
      </c>
      <c r="U631" s="1" t="str">
        <f aca="false">IF(Q631="Delivered","Completed",IF(Q631="Cancelled","Cancelled",IF(Q631="Returned","Returned","In Progress")))</f>
        <v>Completed</v>
      </c>
      <c r="V631" s="1" t="str">
        <f aca="false">IF(M631&gt;=10000,"High Value",IF(M631&gt;=5000,"Medium Value","Low Value"))</f>
        <v>Low Value</v>
      </c>
      <c r="W631" s="1" t="str">
        <f aca="false">IF(O631&gt;0,"Profitable",IF(O631=0,"Break-even","Loss"))</f>
        <v>Profitable</v>
      </c>
      <c r="X631" s="1" t="str">
        <f aca="false">IF(Q631="Cancelled","Not Applicable",IF(Q631="Processing","Pending",IF(B631="","Unknown",IF(Orders!J631="","Unknown",IF(Orders!J631&lt;=3,"Fast",IF(Orders!J631&lt;=6,"Standard","Slow"))))))</f>
        <v>Standard</v>
      </c>
      <c r="Y631" s="1" t="n">
        <f aca="false">IF(OR(Q631="Cancelled",Q631="Returned"),0,O631)</f>
        <v>229</v>
      </c>
    </row>
    <row r="632" customFormat="false" ht="15" hidden="false" customHeight="false" outlineLevel="0" collapsed="false">
      <c r="A632" s="6" t="str">
        <f aca="false">Orders!A632</f>
        <v>O000631</v>
      </c>
      <c r="B632" s="19" t="n">
        <f aca="false">Orders!B632</f>
        <v>46012</v>
      </c>
      <c r="C632" s="6" t="str">
        <f aca="false">Orders!C632</f>
        <v>C0100</v>
      </c>
      <c r="D632" s="6" t="str">
        <f aca="false">Orders!D632</f>
        <v>P1048</v>
      </c>
      <c r="E632" s="6" t="str">
        <f aca="false">INDEX(Products!$B$2:$B$101,MATCH(D632,Products!$A$2:$A$101,0))</f>
        <v>Shampoo</v>
      </c>
      <c r="F632" s="1" t="str">
        <f aca="false">INDEX(Products!$C$2:$C$101,MATCH(D632,Products!$A$2:$A$101,0))</f>
        <v>Beauty</v>
      </c>
      <c r="G632" s="6" t="n">
        <f aca="false">Orders!E632</f>
        <v>1</v>
      </c>
      <c r="H632" s="16" t="n">
        <f aca="false">INDEX(Products!$D$2:$D$101,MATCH(D632,Products!$A$2:$A$101,0))</f>
        <v>349</v>
      </c>
      <c r="I632" s="16" t="n">
        <f aca="false">INDEX(Products!$E$2:$E$101,MATCH(D632,Products!$A$2:$A$101,0))</f>
        <v>150</v>
      </c>
      <c r="J632" s="20" t="n">
        <f aca="false">Orders!F632</f>
        <v>0.1</v>
      </c>
      <c r="K632" s="6" t="n">
        <f aca="false">G632*H632</f>
        <v>349</v>
      </c>
      <c r="L632" s="6" t="n">
        <f aca="false">K632*J632</f>
        <v>34.9</v>
      </c>
      <c r="M632" s="6" t="n">
        <f aca="false">K632-L632</f>
        <v>314.1</v>
      </c>
      <c r="N632" s="6" t="n">
        <f aca="false">G632*I632</f>
        <v>150</v>
      </c>
      <c r="O632" s="6" t="n">
        <f aca="false">M632-N632</f>
        <v>164.1</v>
      </c>
      <c r="P632" s="21" t="n">
        <f aca="false">IFERROR(O632/M632,0)</f>
        <v>0.522445081184336</v>
      </c>
      <c r="Q632" s="6" t="str">
        <f aca="false">Orders!H632</f>
        <v>Cancelled</v>
      </c>
      <c r="R632" s="1" t="str">
        <f aca="false">INDEX(Customers!$C$2:$C$301,MATCH(C632,Customers!$A$2:$A$301,0))</f>
        <v>Visakhapatnam</v>
      </c>
      <c r="S632" s="1" t="str">
        <f aca="false">INDEX(Customers!$E$2:$E$301,MATCH(C632,Customers!$A$2:$A$301,0))</f>
        <v>New</v>
      </c>
      <c r="T632" s="6" t="str">
        <f aca="false">Orders!I632</f>
        <v>Mobile App</v>
      </c>
      <c r="U632" s="1" t="str">
        <f aca="false">IF(Q632="Delivered","Completed",IF(Q632="Cancelled","Cancelled",IF(Q632="Returned","Returned","In Progress")))</f>
        <v>Cancelled</v>
      </c>
      <c r="V632" s="1" t="str">
        <f aca="false">IF(M632&gt;=10000,"High Value",IF(M632&gt;=5000,"Medium Value","Low Value"))</f>
        <v>Low Value</v>
      </c>
      <c r="W632" s="1" t="str">
        <f aca="false">IF(O632&gt;0,"Profitable",IF(O632=0,"Break-even","Loss"))</f>
        <v>Profitable</v>
      </c>
      <c r="X632" s="1" t="str">
        <f aca="false">IF(Q632="Cancelled","Not Applicable",IF(Q632="Processing","Pending",IF(B632="","Unknown",IF(Orders!J632="","Unknown",IF(Orders!J632&lt;=3,"Fast",IF(Orders!J632&lt;=6,"Standard","Slow"))))))</f>
        <v>Not Applicable</v>
      </c>
      <c r="Y632" s="1" t="n">
        <f aca="false">IF(OR(Q632="Cancelled",Q632="Returned"),0,O632)</f>
        <v>0</v>
      </c>
    </row>
    <row r="633" customFormat="false" ht="15" hidden="false" customHeight="false" outlineLevel="0" collapsed="false">
      <c r="A633" s="6" t="str">
        <f aca="false">Orders!A633</f>
        <v>O000632</v>
      </c>
      <c r="B633" s="19" t="n">
        <f aca="false">Orders!B633</f>
        <v>45930</v>
      </c>
      <c r="C633" s="6" t="str">
        <f aca="false">Orders!C633</f>
        <v>C0174</v>
      </c>
      <c r="D633" s="6" t="str">
        <f aca="false">Orders!D633</f>
        <v>P1010</v>
      </c>
      <c r="E633" s="6" t="str">
        <f aca="false">INDEX(Products!$B$2:$B$101,MATCH(D633,Products!$A$2:$A$101,0))</f>
        <v>Webcam</v>
      </c>
      <c r="F633" s="1" t="str">
        <f aca="false">INDEX(Products!$C$2:$C$101,MATCH(D633,Products!$A$2:$A$101,0))</f>
        <v>Electronics</v>
      </c>
      <c r="G633" s="6" t="n">
        <f aca="false">Orders!E633</f>
        <v>1</v>
      </c>
      <c r="H633" s="16" t="n">
        <f aca="false">INDEX(Products!$D$2:$D$101,MATCH(D633,Products!$A$2:$A$101,0))</f>
        <v>1799</v>
      </c>
      <c r="I633" s="16" t="n">
        <f aca="false">INDEX(Products!$E$2:$E$101,MATCH(D633,Products!$A$2:$A$101,0))</f>
        <v>1050</v>
      </c>
      <c r="J633" s="20" t="n">
        <f aca="false">Orders!F633</f>
        <v>0.25</v>
      </c>
      <c r="K633" s="6" t="n">
        <f aca="false">G633*H633</f>
        <v>1799</v>
      </c>
      <c r="L633" s="6" t="n">
        <f aca="false">K633*J633</f>
        <v>449.75</v>
      </c>
      <c r="M633" s="6" t="n">
        <f aca="false">K633-L633</f>
        <v>1349.25</v>
      </c>
      <c r="N633" s="6" t="n">
        <f aca="false">G633*I633</f>
        <v>1050</v>
      </c>
      <c r="O633" s="6" t="n">
        <f aca="false">M633-N633</f>
        <v>299.25</v>
      </c>
      <c r="P633" s="21" t="n">
        <f aca="false">IFERROR(O633/M633,0)</f>
        <v>0.221789883268482</v>
      </c>
      <c r="Q633" s="6" t="str">
        <f aca="false">Orders!H633</f>
        <v>Delivered</v>
      </c>
      <c r="R633" s="1" t="str">
        <f aca="false">INDEX(Customers!$C$2:$C$301,MATCH(C633,Customers!$A$2:$A$301,0))</f>
        <v>Indore</v>
      </c>
      <c r="S633" s="1" t="str">
        <f aca="false">INDEX(Customers!$E$2:$E$301,MATCH(C633,Customers!$A$2:$A$301,0))</f>
        <v>VIP</v>
      </c>
      <c r="T633" s="6" t="str">
        <f aca="false">Orders!I633</f>
        <v>Website</v>
      </c>
      <c r="U633" s="1" t="str">
        <f aca="false">IF(Q633="Delivered","Completed",IF(Q633="Cancelled","Cancelled",IF(Q633="Returned","Returned","In Progress")))</f>
        <v>Completed</v>
      </c>
      <c r="V633" s="1" t="str">
        <f aca="false">IF(M633&gt;=10000,"High Value",IF(M633&gt;=5000,"Medium Value","Low Value"))</f>
        <v>Low Value</v>
      </c>
      <c r="W633" s="1" t="str">
        <f aca="false">IF(O633&gt;0,"Profitable",IF(O633=0,"Break-even","Loss"))</f>
        <v>Profitable</v>
      </c>
      <c r="X633" s="1" t="str">
        <f aca="false">IF(Q633="Cancelled","Not Applicable",IF(Q633="Processing","Pending",IF(B633="","Unknown",IF(Orders!J633="","Unknown",IF(Orders!J633&lt;=3,"Fast",IF(Orders!J633&lt;=6,"Standard","Slow"))))))</f>
        <v>Slow</v>
      </c>
      <c r="Y633" s="1" t="n">
        <f aca="false">IF(OR(Q633="Cancelled",Q633="Returned"),0,O633)</f>
        <v>299.25</v>
      </c>
    </row>
    <row r="634" customFormat="false" ht="15" hidden="false" customHeight="false" outlineLevel="0" collapsed="false">
      <c r="A634" s="6" t="str">
        <f aca="false">Orders!A634</f>
        <v>O000633</v>
      </c>
      <c r="B634" s="19" t="n">
        <f aca="false">Orders!B634</f>
        <v>45780</v>
      </c>
      <c r="C634" s="6" t="str">
        <f aca="false">Orders!C634</f>
        <v>C0105</v>
      </c>
      <c r="D634" s="6" t="str">
        <f aca="false">Orders!D634</f>
        <v>P1010</v>
      </c>
      <c r="E634" s="6" t="str">
        <f aca="false">INDEX(Products!$B$2:$B$101,MATCH(D634,Products!$A$2:$A$101,0))</f>
        <v>Webcam</v>
      </c>
      <c r="F634" s="1" t="str">
        <f aca="false">INDEX(Products!$C$2:$C$101,MATCH(D634,Products!$A$2:$A$101,0))</f>
        <v>Electronics</v>
      </c>
      <c r="G634" s="6" t="n">
        <f aca="false">Orders!E634</f>
        <v>1</v>
      </c>
      <c r="H634" s="16" t="n">
        <f aca="false">INDEX(Products!$D$2:$D$101,MATCH(D634,Products!$A$2:$A$101,0))</f>
        <v>1799</v>
      </c>
      <c r="I634" s="16" t="n">
        <f aca="false">INDEX(Products!$E$2:$E$101,MATCH(D634,Products!$A$2:$A$101,0))</f>
        <v>1050</v>
      </c>
      <c r="J634" s="20" t="n">
        <f aca="false">Orders!F634</f>
        <v>0.1</v>
      </c>
      <c r="K634" s="6" t="n">
        <f aca="false">G634*H634</f>
        <v>1799</v>
      </c>
      <c r="L634" s="6" t="n">
        <f aca="false">K634*J634</f>
        <v>179.9</v>
      </c>
      <c r="M634" s="6" t="n">
        <f aca="false">K634-L634</f>
        <v>1619.1</v>
      </c>
      <c r="N634" s="6" t="n">
        <f aca="false">G634*I634</f>
        <v>1050</v>
      </c>
      <c r="O634" s="6" t="n">
        <f aca="false">M634-N634</f>
        <v>569.1</v>
      </c>
      <c r="P634" s="21" t="n">
        <f aca="false">IFERROR(O634/M634,0)</f>
        <v>0.351491569390402</v>
      </c>
      <c r="Q634" s="6" t="str">
        <f aca="false">Orders!H634</f>
        <v>Delivered</v>
      </c>
      <c r="R634" s="1" t="str">
        <f aca="false">INDEX(Customers!$C$2:$C$301,MATCH(C634,Customers!$A$2:$A$301,0))</f>
        <v>Chennai</v>
      </c>
      <c r="S634" s="1" t="str">
        <f aca="false">INDEX(Customers!$E$2:$E$301,MATCH(C634,Customers!$A$2:$A$301,0))</f>
        <v>Returning</v>
      </c>
      <c r="T634" s="6" t="str">
        <f aca="false">Orders!I634</f>
        <v>Website</v>
      </c>
      <c r="U634" s="1" t="str">
        <f aca="false">IF(Q634="Delivered","Completed",IF(Q634="Cancelled","Cancelled",IF(Q634="Returned","Returned","In Progress")))</f>
        <v>Completed</v>
      </c>
      <c r="V634" s="1" t="str">
        <f aca="false">IF(M634&gt;=10000,"High Value",IF(M634&gt;=5000,"Medium Value","Low Value"))</f>
        <v>Low Value</v>
      </c>
      <c r="W634" s="1" t="str">
        <f aca="false">IF(O634&gt;0,"Profitable",IF(O634=0,"Break-even","Loss"))</f>
        <v>Profitable</v>
      </c>
      <c r="X634" s="1" t="str">
        <f aca="false">IF(Q634="Cancelled","Not Applicable",IF(Q634="Processing","Pending",IF(B634="","Unknown",IF(Orders!J634="","Unknown",IF(Orders!J634&lt;=3,"Fast",IF(Orders!J634&lt;=6,"Standard","Slow"))))))</f>
        <v>Fast</v>
      </c>
      <c r="Y634" s="1" t="n">
        <f aca="false">IF(OR(Q634="Cancelled",Q634="Returned"),0,O634)</f>
        <v>569.1</v>
      </c>
    </row>
    <row r="635" customFormat="false" ht="15" hidden="false" customHeight="false" outlineLevel="0" collapsed="false">
      <c r="A635" s="6" t="str">
        <f aca="false">Orders!A635</f>
        <v>O000634</v>
      </c>
      <c r="B635" s="19" t="n">
        <f aca="false">Orders!B635</f>
        <v>45728</v>
      </c>
      <c r="C635" s="6" t="str">
        <f aca="false">Orders!C635</f>
        <v>C0022</v>
      </c>
      <c r="D635" s="6" t="str">
        <f aca="false">Orders!D635</f>
        <v>P1056</v>
      </c>
      <c r="E635" s="6" t="str">
        <f aca="false">INDEX(Products!$B$2:$B$101,MATCH(D635,Products!$A$2:$A$101,0))</f>
        <v>Hair Dryer</v>
      </c>
      <c r="F635" s="1" t="str">
        <f aca="false">INDEX(Products!$C$2:$C$101,MATCH(D635,Products!$A$2:$A$101,0))</f>
        <v>Beauty</v>
      </c>
      <c r="G635" s="6" t="n">
        <f aca="false">Orders!E635</f>
        <v>2</v>
      </c>
      <c r="H635" s="16" t="n">
        <f aca="false">INDEX(Products!$D$2:$D$101,MATCH(D635,Products!$A$2:$A$101,0))</f>
        <v>1299</v>
      </c>
      <c r="I635" s="16" t="n">
        <f aca="false">INDEX(Products!$E$2:$E$101,MATCH(D635,Products!$A$2:$A$101,0))</f>
        <v>750</v>
      </c>
      <c r="J635" s="20" t="n">
        <f aca="false">Orders!F635</f>
        <v>0.1</v>
      </c>
      <c r="K635" s="6" t="n">
        <f aca="false">G635*H635</f>
        <v>2598</v>
      </c>
      <c r="L635" s="6" t="n">
        <f aca="false">K635*J635</f>
        <v>259.8</v>
      </c>
      <c r="M635" s="6" t="n">
        <f aca="false">K635-L635</f>
        <v>2338.2</v>
      </c>
      <c r="N635" s="6" t="n">
        <f aca="false">G635*I635</f>
        <v>1500</v>
      </c>
      <c r="O635" s="6" t="n">
        <f aca="false">M635-N635</f>
        <v>838.2</v>
      </c>
      <c r="P635" s="21" t="n">
        <f aca="false">IFERROR(O635/M635,0)</f>
        <v>0.358480882730305</v>
      </c>
      <c r="Q635" s="6" t="str">
        <f aca="false">Orders!H635</f>
        <v>Delivered</v>
      </c>
      <c r="R635" s="1" t="str">
        <f aca="false">INDEX(Customers!$C$2:$C$301,MATCH(C635,Customers!$A$2:$A$301,0))</f>
        <v>Mumbai</v>
      </c>
      <c r="S635" s="1" t="str">
        <f aca="false">INDEX(Customers!$E$2:$E$301,MATCH(C635,Customers!$A$2:$A$301,0))</f>
        <v>Returning</v>
      </c>
      <c r="T635" s="6" t="str">
        <f aca="false">Orders!I635</f>
        <v>Mobile App</v>
      </c>
      <c r="U635" s="1" t="str">
        <f aca="false">IF(Q635="Delivered","Completed",IF(Q635="Cancelled","Cancelled",IF(Q635="Returned","Returned","In Progress")))</f>
        <v>Completed</v>
      </c>
      <c r="V635" s="1" t="str">
        <f aca="false">IF(M635&gt;=10000,"High Value",IF(M635&gt;=5000,"Medium Value","Low Value"))</f>
        <v>Low Value</v>
      </c>
      <c r="W635" s="1" t="str">
        <f aca="false">IF(O635&gt;0,"Profitable",IF(O635=0,"Break-even","Loss"))</f>
        <v>Profitable</v>
      </c>
      <c r="X635" s="1" t="str">
        <f aca="false">IF(Q635="Cancelled","Not Applicable",IF(Q635="Processing","Pending",IF(B635="","Unknown",IF(Orders!J635="","Unknown",IF(Orders!J635&lt;=3,"Fast",IF(Orders!J635&lt;=6,"Standard","Slow"))))))</f>
        <v>Standard</v>
      </c>
      <c r="Y635" s="1" t="n">
        <f aca="false">IF(OR(Q635="Cancelled",Q635="Returned"),0,O635)</f>
        <v>838.2</v>
      </c>
    </row>
    <row r="636" customFormat="false" ht="15" hidden="false" customHeight="false" outlineLevel="0" collapsed="false">
      <c r="A636" s="6" t="str">
        <f aca="false">Orders!A636</f>
        <v>O000635</v>
      </c>
      <c r="B636" s="19" t="n">
        <f aca="false">Orders!B636</f>
        <v>45863</v>
      </c>
      <c r="C636" s="6" t="str">
        <f aca="false">Orders!C636</f>
        <v>C0079</v>
      </c>
      <c r="D636" s="6" t="str">
        <f aca="false">Orders!D636</f>
        <v>P1098</v>
      </c>
      <c r="E636" s="6" t="str">
        <f aca="false">INDEX(Products!$B$2:$B$101,MATCH(D636,Products!$A$2:$A$101,0))</f>
        <v>Steam Iron</v>
      </c>
      <c r="F636" s="1" t="str">
        <f aca="false">INDEX(Products!$C$2:$C$101,MATCH(D636,Products!$A$2:$A$101,0))</f>
        <v>Appliances</v>
      </c>
      <c r="G636" s="6" t="n">
        <f aca="false">Orders!E636</f>
        <v>4</v>
      </c>
      <c r="H636" s="16" t="n">
        <f aca="false">INDEX(Products!$D$2:$D$101,MATCH(D636,Products!$A$2:$A$101,0))</f>
        <v>999</v>
      </c>
      <c r="I636" s="16" t="n">
        <f aca="false">INDEX(Products!$E$2:$E$101,MATCH(D636,Products!$A$2:$A$101,0))</f>
        <v>550</v>
      </c>
      <c r="J636" s="20" t="n">
        <f aca="false">Orders!F636</f>
        <v>0.15</v>
      </c>
      <c r="K636" s="6" t="n">
        <f aca="false">G636*H636</f>
        <v>3996</v>
      </c>
      <c r="L636" s="6" t="n">
        <f aca="false">K636*J636</f>
        <v>599.4</v>
      </c>
      <c r="M636" s="6" t="n">
        <f aca="false">K636-L636</f>
        <v>3396.6</v>
      </c>
      <c r="N636" s="6" t="n">
        <f aca="false">G636*I636</f>
        <v>2200</v>
      </c>
      <c r="O636" s="6" t="n">
        <f aca="false">M636-N636</f>
        <v>1196.6</v>
      </c>
      <c r="P636" s="21" t="n">
        <f aca="false">IFERROR(O636/M636,0)</f>
        <v>0.352293469940529</v>
      </c>
      <c r="Q636" s="6" t="str">
        <f aca="false">Orders!H636</f>
        <v>Delivered</v>
      </c>
      <c r="R636" s="1" t="str">
        <f aca="false">INDEX(Customers!$C$2:$C$301,MATCH(C636,Customers!$A$2:$A$301,0))</f>
        <v>Coimbatore</v>
      </c>
      <c r="S636" s="1" t="str">
        <f aca="false">INDEX(Customers!$E$2:$E$301,MATCH(C636,Customers!$A$2:$A$301,0))</f>
        <v>Returning</v>
      </c>
      <c r="T636" s="6" t="str">
        <f aca="false">Orders!I636</f>
        <v>Website</v>
      </c>
      <c r="U636" s="1" t="str">
        <f aca="false">IF(Q636="Delivered","Completed",IF(Q636="Cancelled","Cancelled",IF(Q636="Returned","Returned","In Progress")))</f>
        <v>Completed</v>
      </c>
      <c r="V636" s="1" t="str">
        <f aca="false">IF(M636&gt;=10000,"High Value",IF(M636&gt;=5000,"Medium Value","Low Value"))</f>
        <v>Low Value</v>
      </c>
      <c r="W636" s="1" t="str">
        <f aca="false">IF(O636&gt;0,"Profitable",IF(O636=0,"Break-even","Loss"))</f>
        <v>Profitable</v>
      </c>
      <c r="X636" s="1" t="str">
        <f aca="false">IF(Q636="Cancelled","Not Applicable",IF(Q636="Processing","Pending",IF(B636="","Unknown",IF(Orders!J636="","Unknown",IF(Orders!J636&lt;=3,"Fast",IF(Orders!J636&lt;=6,"Standard","Slow"))))))</f>
        <v>Slow</v>
      </c>
      <c r="Y636" s="1" t="n">
        <f aca="false">IF(OR(Q636="Cancelled",Q636="Returned"),0,O636)</f>
        <v>1196.6</v>
      </c>
    </row>
    <row r="637" customFormat="false" ht="15" hidden="false" customHeight="false" outlineLevel="0" collapsed="false">
      <c r="A637" s="6" t="str">
        <f aca="false">Orders!A637</f>
        <v>O000636</v>
      </c>
      <c r="B637" s="19" t="n">
        <f aca="false">Orders!B637</f>
        <v>45899</v>
      </c>
      <c r="C637" s="6" t="str">
        <f aca="false">Orders!C637</f>
        <v>C0293</v>
      </c>
      <c r="D637" s="6" t="str">
        <f aca="false">Orders!D637</f>
        <v>P1058</v>
      </c>
      <c r="E637" s="6" t="str">
        <f aca="false">INDEX(Products!$B$2:$B$101,MATCH(D637,Products!$A$2:$A$101,0))</f>
        <v>Nail Care Kit</v>
      </c>
      <c r="F637" s="1" t="str">
        <f aca="false">INDEX(Products!$C$2:$C$101,MATCH(D637,Products!$A$2:$A$101,0))</f>
        <v>Beauty</v>
      </c>
      <c r="G637" s="6" t="n">
        <f aca="false">Orders!E637</f>
        <v>3</v>
      </c>
      <c r="H637" s="16" t="n">
        <f aca="false">INDEX(Products!$D$2:$D$101,MATCH(D637,Products!$A$2:$A$101,0))</f>
        <v>399</v>
      </c>
      <c r="I637" s="16" t="n">
        <f aca="false">INDEX(Products!$E$2:$E$101,MATCH(D637,Products!$A$2:$A$101,0))</f>
        <v>170</v>
      </c>
      <c r="J637" s="20" t="n">
        <f aca="false">Orders!F637</f>
        <v>0.2</v>
      </c>
      <c r="K637" s="6" t="n">
        <f aca="false">G637*H637</f>
        <v>1197</v>
      </c>
      <c r="L637" s="6" t="n">
        <f aca="false">K637*J637</f>
        <v>239.4</v>
      </c>
      <c r="M637" s="6" t="n">
        <f aca="false">K637-L637</f>
        <v>957.6</v>
      </c>
      <c r="N637" s="6" t="n">
        <f aca="false">G637*I637</f>
        <v>510</v>
      </c>
      <c r="O637" s="6" t="n">
        <f aca="false">M637-N637</f>
        <v>447.6</v>
      </c>
      <c r="P637" s="21" t="n">
        <f aca="false">IFERROR(O637/M637,0)</f>
        <v>0.467418546365915</v>
      </c>
      <c r="Q637" s="6" t="str">
        <f aca="false">Orders!H637</f>
        <v>Delivered</v>
      </c>
      <c r="R637" s="1" t="str">
        <f aca="false">INDEX(Customers!$C$2:$C$301,MATCH(C637,Customers!$A$2:$A$301,0))</f>
        <v>Kochi</v>
      </c>
      <c r="S637" s="1" t="str">
        <f aca="false">INDEX(Customers!$E$2:$E$301,MATCH(C637,Customers!$A$2:$A$301,0))</f>
        <v>VIP</v>
      </c>
      <c r="T637" s="6" t="str">
        <f aca="false">Orders!I637</f>
        <v>Website</v>
      </c>
      <c r="U637" s="1" t="str">
        <f aca="false">IF(Q637="Delivered","Completed",IF(Q637="Cancelled","Cancelled",IF(Q637="Returned","Returned","In Progress")))</f>
        <v>Completed</v>
      </c>
      <c r="V637" s="1" t="str">
        <f aca="false">IF(M637&gt;=10000,"High Value",IF(M637&gt;=5000,"Medium Value","Low Value"))</f>
        <v>Low Value</v>
      </c>
      <c r="W637" s="1" t="str">
        <f aca="false">IF(O637&gt;0,"Profitable",IF(O637=0,"Break-even","Loss"))</f>
        <v>Profitable</v>
      </c>
      <c r="X637" s="1" t="str">
        <f aca="false">IF(Q637="Cancelled","Not Applicable",IF(Q637="Processing","Pending",IF(B637="","Unknown",IF(Orders!J637="","Unknown",IF(Orders!J637&lt;=3,"Fast",IF(Orders!J637&lt;=6,"Standard","Slow"))))))</f>
        <v>Standard</v>
      </c>
      <c r="Y637" s="1" t="n">
        <f aca="false">IF(OR(Q637="Cancelled",Q637="Returned"),0,O637)</f>
        <v>447.6</v>
      </c>
    </row>
    <row r="638" customFormat="false" ht="15" hidden="false" customHeight="false" outlineLevel="0" collapsed="false">
      <c r="A638" s="6" t="str">
        <f aca="false">Orders!A638</f>
        <v>O000637</v>
      </c>
      <c r="B638" s="19" t="n">
        <f aca="false">Orders!B638</f>
        <v>45786</v>
      </c>
      <c r="C638" s="6" t="str">
        <f aca="false">Orders!C638</f>
        <v>C0134</v>
      </c>
      <c r="D638" s="6" t="str">
        <f aca="false">Orders!D638</f>
        <v>P1032</v>
      </c>
      <c r="E638" s="6" t="str">
        <f aca="false">INDEX(Products!$B$2:$B$101,MATCH(D638,Products!$A$2:$A$101,0))</f>
        <v>Water Bottle</v>
      </c>
      <c r="F638" s="1" t="str">
        <f aca="false">INDEX(Products!$C$2:$C$101,MATCH(D638,Products!$A$2:$A$101,0))</f>
        <v>Home &amp; Kitchen</v>
      </c>
      <c r="G638" s="6" t="n">
        <f aca="false">Orders!E638</f>
        <v>1</v>
      </c>
      <c r="H638" s="16" t="n">
        <f aca="false">INDEX(Products!$D$2:$D$101,MATCH(D638,Products!$A$2:$A$101,0))</f>
        <v>399</v>
      </c>
      <c r="I638" s="16" t="n">
        <f aca="false">INDEX(Products!$E$2:$E$101,MATCH(D638,Products!$A$2:$A$101,0))</f>
        <v>150</v>
      </c>
      <c r="J638" s="20" t="n">
        <f aca="false">Orders!F638</f>
        <v>0.15</v>
      </c>
      <c r="K638" s="6" t="n">
        <f aca="false">G638*H638</f>
        <v>399</v>
      </c>
      <c r="L638" s="6" t="n">
        <f aca="false">K638*J638</f>
        <v>59.85</v>
      </c>
      <c r="M638" s="6" t="n">
        <f aca="false">K638-L638</f>
        <v>339.15</v>
      </c>
      <c r="N638" s="6" t="n">
        <f aca="false">G638*I638</f>
        <v>150</v>
      </c>
      <c r="O638" s="6" t="n">
        <f aca="false">M638-N638</f>
        <v>189.15</v>
      </c>
      <c r="P638" s="21" t="n">
        <f aca="false">IFERROR(O638/M638,0)</f>
        <v>0.557717823971694</v>
      </c>
      <c r="Q638" s="6" t="str">
        <f aca="false">Orders!H638</f>
        <v>Delivered</v>
      </c>
      <c r="R638" s="1" t="str">
        <f aca="false">INDEX(Customers!$C$2:$C$301,MATCH(C638,Customers!$A$2:$A$301,0))</f>
        <v>Indore</v>
      </c>
      <c r="S638" s="1" t="str">
        <f aca="false">INDEX(Customers!$E$2:$E$301,MATCH(C638,Customers!$A$2:$A$301,0))</f>
        <v>New</v>
      </c>
      <c r="T638" s="6" t="str">
        <f aca="false">Orders!I638</f>
        <v>Marketplace</v>
      </c>
      <c r="U638" s="1" t="str">
        <f aca="false">IF(Q638="Delivered","Completed",IF(Q638="Cancelled","Cancelled",IF(Q638="Returned","Returned","In Progress")))</f>
        <v>Completed</v>
      </c>
      <c r="V638" s="1" t="str">
        <f aca="false">IF(M638&gt;=10000,"High Value",IF(M638&gt;=5000,"Medium Value","Low Value"))</f>
        <v>Low Value</v>
      </c>
      <c r="W638" s="1" t="str">
        <f aca="false">IF(O638&gt;0,"Profitable",IF(O638=0,"Break-even","Loss"))</f>
        <v>Profitable</v>
      </c>
      <c r="X638" s="1" t="str">
        <f aca="false">IF(Q638="Cancelled","Not Applicable",IF(Q638="Processing","Pending",IF(B638="","Unknown",IF(Orders!J638="","Unknown",IF(Orders!J638&lt;=3,"Fast",IF(Orders!J638&lt;=6,"Standard","Slow"))))))</f>
        <v>Standard</v>
      </c>
      <c r="Y638" s="1" t="n">
        <f aca="false">IF(OR(Q638="Cancelled",Q638="Returned"),0,O638)</f>
        <v>189.15</v>
      </c>
    </row>
    <row r="639" customFormat="false" ht="15" hidden="false" customHeight="false" outlineLevel="0" collapsed="false">
      <c r="A639" s="6" t="str">
        <f aca="false">Orders!A639</f>
        <v>O000638</v>
      </c>
      <c r="B639" s="19" t="n">
        <f aca="false">Orders!B639</f>
        <v>45825</v>
      </c>
      <c r="C639" s="6" t="str">
        <f aca="false">Orders!C639</f>
        <v>C0102</v>
      </c>
      <c r="D639" s="6" t="str">
        <f aca="false">Orders!D639</f>
        <v>P1005</v>
      </c>
      <c r="E639" s="6" t="str">
        <f aca="false">INDEX(Products!$B$2:$B$101,MATCH(D639,Products!$A$2:$A$101,0))</f>
        <v>Power Bank</v>
      </c>
      <c r="F639" s="1" t="str">
        <f aca="false">INDEX(Products!$C$2:$C$101,MATCH(D639,Products!$A$2:$A$101,0))</f>
        <v>Electronics</v>
      </c>
      <c r="G639" s="6" t="n">
        <f aca="false">Orders!E639</f>
        <v>2</v>
      </c>
      <c r="H639" s="16" t="n">
        <f aca="false">INDEX(Products!$D$2:$D$101,MATCH(D639,Products!$A$2:$A$101,0))</f>
        <v>1199</v>
      </c>
      <c r="I639" s="16" t="n">
        <f aca="false">INDEX(Products!$E$2:$E$101,MATCH(D639,Products!$A$2:$A$101,0))</f>
        <v>650</v>
      </c>
      <c r="J639" s="20" t="n">
        <f aca="false">Orders!F639</f>
        <v>0</v>
      </c>
      <c r="K639" s="6" t="n">
        <f aca="false">G639*H639</f>
        <v>2398</v>
      </c>
      <c r="L639" s="6" t="n">
        <f aca="false">K639*J639</f>
        <v>0</v>
      </c>
      <c r="M639" s="6" t="n">
        <f aca="false">K639-L639</f>
        <v>2398</v>
      </c>
      <c r="N639" s="6" t="n">
        <f aca="false">G639*I639</f>
        <v>1300</v>
      </c>
      <c r="O639" s="6" t="n">
        <f aca="false">M639-N639</f>
        <v>1098</v>
      </c>
      <c r="P639" s="21" t="n">
        <f aca="false">IFERROR(O639/M639,0)</f>
        <v>0.457881567973311</v>
      </c>
      <c r="Q639" s="6" t="str">
        <f aca="false">Orders!H639</f>
        <v>Delivered</v>
      </c>
      <c r="R639" s="1" t="str">
        <f aca="false">INDEX(Customers!$C$2:$C$301,MATCH(C639,Customers!$A$2:$A$301,0))</f>
        <v>Mumbai</v>
      </c>
      <c r="S639" s="1" t="str">
        <f aca="false">INDEX(Customers!$E$2:$E$301,MATCH(C639,Customers!$A$2:$A$301,0))</f>
        <v>Returning</v>
      </c>
      <c r="T639" s="6" t="str">
        <f aca="false">Orders!I639</f>
        <v>Marketplace</v>
      </c>
      <c r="U639" s="1" t="str">
        <f aca="false">IF(Q639="Delivered","Completed",IF(Q639="Cancelled","Cancelled",IF(Q639="Returned","Returned","In Progress")))</f>
        <v>Completed</v>
      </c>
      <c r="V639" s="1" t="str">
        <f aca="false">IF(M639&gt;=10000,"High Value",IF(M639&gt;=5000,"Medium Value","Low Value"))</f>
        <v>Low Value</v>
      </c>
      <c r="W639" s="1" t="str">
        <f aca="false">IF(O639&gt;0,"Profitable",IF(O639=0,"Break-even","Loss"))</f>
        <v>Profitable</v>
      </c>
      <c r="X639" s="1" t="str">
        <f aca="false">IF(Q639="Cancelled","Not Applicable",IF(Q639="Processing","Pending",IF(B639="","Unknown",IF(Orders!J639="","Unknown",IF(Orders!J639&lt;=3,"Fast",IF(Orders!J639&lt;=6,"Standard","Slow"))))))</f>
        <v>Fast</v>
      </c>
      <c r="Y639" s="1" t="n">
        <f aca="false">IF(OR(Q639="Cancelled",Q639="Returned"),0,O639)</f>
        <v>1098</v>
      </c>
    </row>
    <row r="640" customFormat="false" ht="15" hidden="false" customHeight="false" outlineLevel="0" collapsed="false">
      <c r="A640" s="6" t="str">
        <f aca="false">Orders!A640</f>
        <v>O000639</v>
      </c>
      <c r="B640" s="19" t="n">
        <f aca="false">Orders!B640</f>
        <v>45754</v>
      </c>
      <c r="C640" s="6" t="str">
        <f aca="false">Orders!C640</f>
        <v>C0018</v>
      </c>
      <c r="D640" s="6" t="str">
        <f aca="false">Orders!D640</f>
        <v>P1086</v>
      </c>
      <c r="E640" s="6" t="str">
        <f aca="false">INDEX(Products!$B$2:$B$101,MATCH(D640,Products!$A$2:$A$101,0))</f>
        <v>Geometry Box</v>
      </c>
      <c r="F640" s="1" t="str">
        <f aca="false">INDEX(Products!$C$2:$C$101,MATCH(D640,Products!$A$2:$A$101,0))</f>
        <v>Books &amp; Stationery</v>
      </c>
      <c r="G640" s="6" t="n">
        <f aca="false">Orders!E640</f>
        <v>2</v>
      </c>
      <c r="H640" s="16" t="n">
        <f aca="false">INDEX(Products!$D$2:$D$101,MATCH(D640,Products!$A$2:$A$101,0))</f>
        <v>199</v>
      </c>
      <c r="I640" s="16" t="n">
        <f aca="false">INDEX(Products!$E$2:$E$101,MATCH(D640,Products!$A$2:$A$101,0))</f>
        <v>70</v>
      </c>
      <c r="J640" s="20" t="n">
        <f aca="false">Orders!F640</f>
        <v>0.15</v>
      </c>
      <c r="K640" s="6" t="n">
        <f aca="false">G640*H640</f>
        <v>398</v>
      </c>
      <c r="L640" s="6" t="n">
        <f aca="false">K640*J640</f>
        <v>59.7</v>
      </c>
      <c r="M640" s="6" t="n">
        <f aca="false">K640-L640</f>
        <v>338.3</v>
      </c>
      <c r="N640" s="6" t="n">
        <f aca="false">G640*I640</f>
        <v>140</v>
      </c>
      <c r="O640" s="6" t="n">
        <f aca="false">M640-N640</f>
        <v>198.3</v>
      </c>
      <c r="P640" s="21" t="n">
        <f aca="false">IFERROR(O640/M640,0)</f>
        <v>0.586166124741354</v>
      </c>
      <c r="Q640" s="6" t="str">
        <f aca="false">Orders!H640</f>
        <v>Processing</v>
      </c>
      <c r="R640" s="1" t="str">
        <f aca="false">INDEX(Customers!$C$2:$C$301,MATCH(C640,Customers!$A$2:$A$301,0))</f>
        <v>Nagpur</v>
      </c>
      <c r="S640" s="1" t="str">
        <f aca="false">INDEX(Customers!$E$2:$E$301,MATCH(C640,Customers!$A$2:$A$301,0))</f>
        <v>New</v>
      </c>
      <c r="T640" s="6" t="str">
        <f aca="false">Orders!I640</f>
        <v>Mobile App</v>
      </c>
      <c r="U640" s="1" t="str">
        <f aca="false">IF(Q640="Delivered","Completed",IF(Q640="Cancelled","Cancelled",IF(Q640="Returned","Returned","In Progress")))</f>
        <v>In Progress</v>
      </c>
      <c r="V640" s="1" t="str">
        <f aca="false">IF(M640&gt;=10000,"High Value",IF(M640&gt;=5000,"Medium Value","Low Value"))</f>
        <v>Low Value</v>
      </c>
      <c r="W640" s="1" t="str">
        <f aca="false">IF(O640&gt;0,"Profitable",IF(O640=0,"Break-even","Loss"))</f>
        <v>Profitable</v>
      </c>
      <c r="X640" s="1" t="str">
        <f aca="false">IF(Q640="Cancelled","Not Applicable",IF(Q640="Processing","Pending",IF(B640="","Unknown",IF(Orders!J640="","Unknown",IF(Orders!J640&lt;=3,"Fast",IF(Orders!J640&lt;=6,"Standard","Slow"))))))</f>
        <v>Pending</v>
      </c>
      <c r="Y640" s="1" t="n">
        <f aca="false">IF(OR(Q640="Cancelled",Q640="Returned"),0,O640)</f>
        <v>198.3</v>
      </c>
    </row>
    <row r="641" customFormat="false" ht="15" hidden="false" customHeight="false" outlineLevel="0" collapsed="false">
      <c r="A641" s="6" t="str">
        <f aca="false">Orders!A641</f>
        <v>O000640</v>
      </c>
      <c r="B641" s="19" t="n">
        <f aca="false">Orders!B641</f>
        <v>45947</v>
      </c>
      <c r="C641" s="6" t="str">
        <f aca="false">Orders!C641</f>
        <v>C0086</v>
      </c>
      <c r="D641" s="6" t="str">
        <f aca="false">Orders!D641</f>
        <v>P1004</v>
      </c>
      <c r="E641" s="6" t="str">
        <f aca="false">INDEX(Products!$B$2:$B$101,MATCH(D641,Products!$A$2:$A$101,0))</f>
        <v>USB-C Cable</v>
      </c>
      <c r="F641" s="1" t="str">
        <f aca="false">INDEX(Products!$C$2:$C$101,MATCH(D641,Products!$A$2:$A$101,0))</f>
        <v>Electronics</v>
      </c>
      <c r="G641" s="6" t="n">
        <f aca="false">Orders!E641</f>
        <v>4</v>
      </c>
      <c r="H641" s="16" t="n">
        <f aca="false">INDEX(Products!$D$2:$D$101,MATCH(D641,Products!$A$2:$A$101,0))</f>
        <v>299</v>
      </c>
      <c r="I641" s="16" t="n">
        <f aca="false">INDEX(Products!$E$2:$E$101,MATCH(D641,Products!$A$2:$A$101,0))</f>
        <v>120</v>
      </c>
      <c r="J641" s="20" t="n">
        <f aca="false">Orders!F641</f>
        <v>0.1</v>
      </c>
      <c r="K641" s="6" t="n">
        <f aca="false">G641*H641</f>
        <v>1196</v>
      </c>
      <c r="L641" s="6" t="n">
        <f aca="false">K641*J641</f>
        <v>119.6</v>
      </c>
      <c r="M641" s="6" t="n">
        <f aca="false">K641-L641</f>
        <v>1076.4</v>
      </c>
      <c r="N641" s="6" t="n">
        <f aca="false">G641*I641</f>
        <v>480</v>
      </c>
      <c r="O641" s="6" t="n">
        <f aca="false">M641-N641</f>
        <v>596.4</v>
      </c>
      <c r="P641" s="21" t="n">
        <f aca="false">IFERROR(O641/M641,0)</f>
        <v>0.554069119286511</v>
      </c>
      <c r="Q641" s="6" t="str">
        <f aca="false">Orders!H641</f>
        <v>Shipped</v>
      </c>
      <c r="R641" s="1" t="str">
        <f aca="false">INDEX(Customers!$C$2:$C$301,MATCH(C641,Customers!$A$2:$A$301,0))</f>
        <v>Kolkata</v>
      </c>
      <c r="S641" s="1" t="str">
        <f aca="false">INDEX(Customers!$E$2:$E$301,MATCH(C641,Customers!$A$2:$A$301,0))</f>
        <v>Returning</v>
      </c>
      <c r="T641" s="6" t="str">
        <f aca="false">Orders!I641</f>
        <v>Marketplace</v>
      </c>
      <c r="U641" s="1" t="str">
        <f aca="false">IF(Q641="Delivered","Completed",IF(Q641="Cancelled","Cancelled",IF(Q641="Returned","Returned","In Progress")))</f>
        <v>In Progress</v>
      </c>
      <c r="V641" s="1" t="str">
        <f aca="false">IF(M641&gt;=10000,"High Value",IF(M641&gt;=5000,"Medium Value","Low Value"))</f>
        <v>Low Value</v>
      </c>
      <c r="W641" s="1" t="str">
        <f aca="false">IF(O641&gt;0,"Profitable",IF(O641=0,"Break-even","Loss"))</f>
        <v>Profitable</v>
      </c>
      <c r="X641" s="1" t="str">
        <f aca="false">IF(Q641="Cancelled","Not Applicable",IF(Q641="Processing","Pending",IF(B641="","Unknown",IF(Orders!J641="","Unknown",IF(Orders!J641&lt;=3,"Fast",IF(Orders!J641&lt;=6,"Standard","Slow"))))))</f>
        <v>Fast</v>
      </c>
      <c r="Y641" s="1" t="n">
        <f aca="false">IF(OR(Q641="Cancelled",Q641="Returned"),0,O641)</f>
        <v>596.4</v>
      </c>
    </row>
    <row r="642" customFormat="false" ht="15" hidden="false" customHeight="false" outlineLevel="0" collapsed="false">
      <c r="A642" s="6" t="str">
        <f aca="false">Orders!A642</f>
        <v>O000641</v>
      </c>
      <c r="B642" s="19" t="n">
        <f aca="false">Orders!B642</f>
        <v>45984</v>
      </c>
      <c r="C642" s="6" t="str">
        <f aca="false">Orders!C642</f>
        <v>C0154</v>
      </c>
      <c r="D642" s="6" t="str">
        <f aca="false">Orders!D642</f>
        <v>P1045</v>
      </c>
      <c r="E642" s="6" t="str">
        <f aca="false">INDEX(Products!$B$2:$B$101,MATCH(D642,Products!$A$2:$A$101,0))</f>
        <v>Lunch Box</v>
      </c>
      <c r="F642" s="1" t="str">
        <f aca="false">INDEX(Products!$C$2:$C$101,MATCH(D642,Products!$A$2:$A$101,0))</f>
        <v>Home &amp; Kitchen</v>
      </c>
      <c r="G642" s="6" t="n">
        <f aca="false">Orders!E642</f>
        <v>2</v>
      </c>
      <c r="H642" s="16" t="n">
        <f aca="false">INDEX(Products!$D$2:$D$101,MATCH(D642,Products!$A$2:$A$101,0))</f>
        <v>449</v>
      </c>
      <c r="I642" s="16" t="n">
        <f aca="false">INDEX(Products!$E$2:$E$101,MATCH(D642,Products!$A$2:$A$101,0))</f>
        <v>180</v>
      </c>
      <c r="J642" s="20" t="n">
        <f aca="false">Orders!F642</f>
        <v>0</v>
      </c>
      <c r="K642" s="6" t="n">
        <f aca="false">G642*H642</f>
        <v>898</v>
      </c>
      <c r="L642" s="6" t="n">
        <f aca="false">K642*J642</f>
        <v>0</v>
      </c>
      <c r="M642" s="6" t="n">
        <f aca="false">K642-L642</f>
        <v>898</v>
      </c>
      <c r="N642" s="6" t="n">
        <f aca="false">G642*I642</f>
        <v>360</v>
      </c>
      <c r="O642" s="6" t="n">
        <f aca="false">M642-N642</f>
        <v>538</v>
      </c>
      <c r="P642" s="21" t="n">
        <f aca="false">IFERROR(O642/M642,0)</f>
        <v>0.599109131403118</v>
      </c>
      <c r="Q642" s="6" t="str">
        <f aca="false">Orders!H642</f>
        <v>Delivered</v>
      </c>
      <c r="R642" s="1" t="str">
        <f aca="false">INDEX(Customers!$C$2:$C$301,MATCH(C642,Customers!$A$2:$A$301,0))</f>
        <v>Indore</v>
      </c>
      <c r="S642" s="1" t="str">
        <f aca="false">INDEX(Customers!$E$2:$E$301,MATCH(C642,Customers!$A$2:$A$301,0))</f>
        <v>Returning</v>
      </c>
      <c r="T642" s="6" t="str">
        <f aca="false">Orders!I642</f>
        <v>Marketplace</v>
      </c>
      <c r="U642" s="1" t="str">
        <f aca="false">IF(Q642="Delivered","Completed",IF(Q642="Cancelled","Cancelled",IF(Q642="Returned","Returned","In Progress")))</f>
        <v>Completed</v>
      </c>
      <c r="V642" s="1" t="str">
        <f aca="false">IF(M642&gt;=10000,"High Value",IF(M642&gt;=5000,"Medium Value","Low Value"))</f>
        <v>Low Value</v>
      </c>
      <c r="W642" s="1" t="str">
        <f aca="false">IF(O642&gt;0,"Profitable",IF(O642=0,"Break-even","Loss"))</f>
        <v>Profitable</v>
      </c>
      <c r="X642" s="1" t="str">
        <f aca="false">IF(Q642="Cancelled","Not Applicable",IF(Q642="Processing","Pending",IF(B642="","Unknown",IF(Orders!J642="","Unknown",IF(Orders!J642&lt;=3,"Fast",IF(Orders!J642&lt;=6,"Standard","Slow"))))))</f>
        <v>Fast</v>
      </c>
      <c r="Y642" s="1" t="n">
        <f aca="false">IF(OR(Q642="Cancelled",Q642="Returned"),0,O642)</f>
        <v>538</v>
      </c>
    </row>
    <row r="643" customFormat="false" ht="15" hidden="false" customHeight="false" outlineLevel="0" collapsed="false">
      <c r="A643" s="6" t="str">
        <f aca="false">Orders!A643</f>
        <v>O000642</v>
      </c>
      <c r="B643" s="19" t="n">
        <f aca="false">Orders!B643</f>
        <v>45836</v>
      </c>
      <c r="C643" s="6" t="str">
        <f aca="false">Orders!C643</f>
        <v>C0128</v>
      </c>
      <c r="D643" s="6" t="str">
        <f aca="false">Orders!D643</f>
        <v>P1063</v>
      </c>
      <c r="E643" s="6" t="str">
        <f aca="false">INDEX(Products!$B$2:$B$101,MATCH(D643,Products!$A$2:$A$101,0))</f>
        <v>Cricket Bat</v>
      </c>
      <c r="F643" s="1" t="str">
        <f aca="false">INDEX(Products!$C$2:$C$101,MATCH(D643,Products!$A$2:$A$101,0))</f>
        <v>Sports &amp; Outdoors</v>
      </c>
      <c r="G643" s="6" t="n">
        <f aca="false">Orders!E643</f>
        <v>3</v>
      </c>
      <c r="H643" s="16" t="n">
        <f aca="false">INDEX(Products!$D$2:$D$101,MATCH(D643,Products!$A$2:$A$101,0))</f>
        <v>1499</v>
      </c>
      <c r="I643" s="16" t="n">
        <f aca="false">INDEX(Products!$E$2:$E$101,MATCH(D643,Products!$A$2:$A$101,0))</f>
        <v>800</v>
      </c>
      <c r="J643" s="20" t="n">
        <f aca="false">Orders!F643</f>
        <v>0.05</v>
      </c>
      <c r="K643" s="6" t="n">
        <f aca="false">G643*H643</f>
        <v>4497</v>
      </c>
      <c r="L643" s="6" t="n">
        <f aca="false">K643*J643</f>
        <v>224.85</v>
      </c>
      <c r="M643" s="6" t="n">
        <f aca="false">K643-L643</f>
        <v>4272.15</v>
      </c>
      <c r="N643" s="6" t="n">
        <f aca="false">G643*I643</f>
        <v>2400</v>
      </c>
      <c r="O643" s="6" t="n">
        <f aca="false">M643-N643</f>
        <v>1872.15</v>
      </c>
      <c r="P643" s="21" t="n">
        <f aca="false">IFERROR(O643/M643,0)</f>
        <v>0.438221972543099</v>
      </c>
      <c r="Q643" s="6" t="str">
        <f aca="false">Orders!H643</f>
        <v>Delivered</v>
      </c>
      <c r="R643" s="1" t="str">
        <f aca="false">INDEX(Customers!$C$2:$C$301,MATCH(C643,Customers!$A$2:$A$301,0))</f>
        <v>Jaipur</v>
      </c>
      <c r="S643" s="1" t="str">
        <f aca="false">INDEX(Customers!$E$2:$E$301,MATCH(C643,Customers!$A$2:$A$301,0))</f>
        <v>Returning</v>
      </c>
      <c r="T643" s="6" t="str">
        <f aca="false">Orders!I643</f>
        <v>Mobile App</v>
      </c>
      <c r="U643" s="1" t="str">
        <f aca="false">IF(Q643="Delivered","Completed",IF(Q643="Cancelled","Cancelled",IF(Q643="Returned","Returned","In Progress")))</f>
        <v>Completed</v>
      </c>
      <c r="V643" s="1" t="str">
        <f aca="false">IF(M643&gt;=10000,"High Value",IF(M643&gt;=5000,"Medium Value","Low Value"))</f>
        <v>Low Value</v>
      </c>
      <c r="W643" s="1" t="str">
        <f aca="false">IF(O643&gt;0,"Profitable",IF(O643=0,"Break-even","Loss"))</f>
        <v>Profitable</v>
      </c>
      <c r="X643" s="1" t="str">
        <f aca="false">IF(Q643="Cancelled","Not Applicable",IF(Q643="Processing","Pending",IF(B643="","Unknown",IF(Orders!J643="","Unknown",IF(Orders!J643&lt;=3,"Fast",IF(Orders!J643&lt;=6,"Standard","Slow"))))))</f>
        <v>Fast</v>
      </c>
      <c r="Y643" s="1" t="n">
        <f aca="false">IF(OR(Q643="Cancelled",Q643="Returned"),0,O643)</f>
        <v>1872.15</v>
      </c>
    </row>
    <row r="644" customFormat="false" ht="15" hidden="false" customHeight="false" outlineLevel="0" collapsed="false">
      <c r="A644" s="6" t="str">
        <f aca="false">Orders!A644</f>
        <v>O000643</v>
      </c>
      <c r="B644" s="19" t="n">
        <f aca="false">Orders!B644</f>
        <v>45827</v>
      </c>
      <c r="C644" s="6" t="str">
        <f aca="false">Orders!C644</f>
        <v>C0168</v>
      </c>
      <c r="D644" s="6" t="str">
        <f aca="false">Orders!D644</f>
        <v>P1063</v>
      </c>
      <c r="E644" s="6" t="str">
        <f aca="false">INDEX(Products!$B$2:$B$101,MATCH(D644,Products!$A$2:$A$101,0))</f>
        <v>Cricket Bat</v>
      </c>
      <c r="F644" s="1" t="str">
        <f aca="false">INDEX(Products!$C$2:$C$101,MATCH(D644,Products!$A$2:$A$101,0))</f>
        <v>Sports &amp; Outdoors</v>
      </c>
      <c r="G644" s="6" t="n">
        <f aca="false">Orders!E644</f>
        <v>3</v>
      </c>
      <c r="H644" s="16" t="n">
        <f aca="false">INDEX(Products!$D$2:$D$101,MATCH(D644,Products!$A$2:$A$101,0))</f>
        <v>1499</v>
      </c>
      <c r="I644" s="16" t="n">
        <f aca="false">INDEX(Products!$E$2:$E$101,MATCH(D644,Products!$A$2:$A$101,0))</f>
        <v>800</v>
      </c>
      <c r="J644" s="20" t="n">
        <f aca="false">Orders!F644</f>
        <v>0.1</v>
      </c>
      <c r="K644" s="6" t="n">
        <f aca="false">G644*H644</f>
        <v>4497</v>
      </c>
      <c r="L644" s="6" t="n">
        <f aca="false">K644*J644</f>
        <v>449.7</v>
      </c>
      <c r="M644" s="6" t="n">
        <f aca="false">K644-L644</f>
        <v>4047.3</v>
      </c>
      <c r="N644" s="6" t="n">
        <f aca="false">G644*I644</f>
        <v>2400</v>
      </c>
      <c r="O644" s="6" t="n">
        <f aca="false">M644-N644</f>
        <v>1647.3</v>
      </c>
      <c r="P644" s="21" t="n">
        <f aca="false">IFERROR(O644/M644,0)</f>
        <v>0.407012082128827</v>
      </c>
      <c r="Q644" s="6" t="str">
        <f aca="false">Orders!H644</f>
        <v>Delivered</v>
      </c>
      <c r="R644" s="1" t="str">
        <f aca="false">INDEX(Customers!$C$2:$C$301,MATCH(C644,Customers!$A$2:$A$301,0))</f>
        <v>Jaipur</v>
      </c>
      <c r="S644" s="1" t="str">
        <f aca="false">INDEX(Customers!$E$2:$E$301,MATCH(C644,Customers!$A$2:$A$301,0))</f>
        <v>Returning</v>
      </c>
      <c r="T644" s="6" t="str">
        <f aca="false">Orders!I644</f>
        <v>Website</v>
      </c>
      <c r="U644" s="1" t="str">
        <f aca="false">IF(Q644="Delivered","Completed",IF(Q644="Cancelled","Cancelled",IF(Q644="Returned","Returned","In Progress")))</f>
        <v>Completed</v>
      </c>
      <c r="V644" s="1" t="str">
        <f aca="false">IF(M644&gt;=10000,"High Value",IF(M644&gt;=5000,"Medium Value","Low Value"))</f>
        <v>Low Value</v>
      </c>
      <c r="W644" s="1" t="str">
        <f aca="false">IF(O644&gt;0,"Profitable",IF(O644=0,"Break-even","Loss"))</f>
        <v>Profitable</v>
      </c>
      <c r="X644" s="1" t="str">
        <f aca="false">IF(Q644="Cancelled","Not Applicable",IF(Q644="Processing","Pending",IF(B644="","Unknown",IF(Orders!J644="","Unknown",IF(Orders!J644&lt;=3,"Fast",IF(Orders!J644&lt;=6,"Standard","Slow"))))))</f>
        <v>Fast</v>
      </c>
      <c r="Y644" s="1" t="n">
        <f aca="false">IF(OR(Q644="Cancelled",Q644="Returned"),0,O644)</f>
        <v>1647.3</v>
      </c>
    </row>
    <row r="645" customFormat="false" ht="15" hidden="false" customHeight="false" outlineLevel="0" collapsed="false">
      <c r="A645" s="6" t="str">
        <f aca="false">Orders!A645</f>
        <v>O000644</v>
      </c>
      <c r="B645" s="19" t="n">
        <f aca="false">Orders!B645</f>
        <v>45994</v>
      </c>
      <c r="C645" s="6" t="str">
        <f aca="false">Orders!C645</f>
        <v>C0261</v>
      </c>
      <c r="D645" s="6" t="str">
        <f aca="false">Orders!D645</f>
        <v>P1039</v>
      </c>
      <c r="E645" s="6" t="str">
        <f aca="false">INDEX(Products!$B$2:$B$101,MATCH(D645,Products!$A$2:$A$101,0))</f>
        <v>Wall Clock</v>
      </c>
      <c r="F645" s="1" t="str">
        <f aca="false">INDEX(Products!$C$2:$C$101,MATCH(D645,Products!$A$2:$A$101,0))</f>
        <v>Home &amp; Kitchen</v>
      </c>
      <c r="G645" s="6" t="n">
        <f aca="false">Orders!E645</f>
        <v>2</v>
      </c>
      <c r="H645" s="16" t="n">
        <f aca="false">INDEX(Products!$D$2:$D$101,MATCH(D645,Products!$A$2:$A$101,0))</f>
        <v>699</v>
      </c>
      <c r="I645" s="16" t="n">
        <f aca="false">INDEX(Products!$E$2:$E$101,MATCH(D645,Products!$A$2:$A$101,0))</f>
        <v>300</v>
      </c>
      <c r="J645" s="20" t="n">
        <f aca="false">Orders!F645</f>
        <v>0.2</v>
      </c>
      <c r="K645" s="6" t="n">
        <f aca="false">G645*H645</f>
        <v>1398</v>
      </c>
      <c r="L645" s="6" t="n">
        <f aca="false">K645*J645</f>
        <v>279.6</v>
      </c>
      <c r="M645" s="6" t="n">
        <f aca="false">K645-L645</f>
        <v>1118.4</v>
      </c>
      <c r="N645" s="6" t="n">
        <f aca="false">G645*I645</f>
        <v>600</v>
      </c>
      <c r="O645" s="6" t="n">
        <f aca="false">M645-N645</f>
        <v>518.4</v>
      </c>
      <c r="P645" s="21" t="n">
        <f aca="false">IFERROR(O645/M645,0)</f>
        <v>0.463519313304721</v>
      </c>
      <c r="Q645" s="6" t="str">
        <f aca="false">Orders!H645</f>
        <v>Delivered</v>
      </c>
      <c r="R645" s="1" t="str">
        <f aca="false">INDEX(Customers!$C$2:$C$301,MATCH(C645,Customers!$A$2:$A$301,0))</f>
        <v>Delhi</v>
      </c>
      <c r="S645" s="1" t="str">
        <f aca="false">INDEX(Customers!$E$2:$E$301,MATCH(C645,Customers!$A$2:$A$301,0))</f>
        <v>Returning</v>
      </c>
      <c r="T645" s="6" t="str">
        <f aca="false">Orders!I645</f>
        <v>Marketplace</v>
      </c>
      <c r="U645" s="1" t="str">
        <f aca="false">IF(Q645="Delivered","Completed",IF(Q645="Cancelled","Cancelled",IF(Q645="Returned","Returned","In Progress")))</f>
        <v>Completed</v>
      </c>
      <c r="V645" s="1" t="str">
        <f aca="false">IF(M645&gt;=10000,"High Value",IF(M645&gt;=5000,"Medium Value","Low Value"))</f>
        <v>Low Value</v>
      </c>
      <c r="W645" s="1" t="str">
        <f aca="false">IF(O645&gt;0,"Profitable",IF(O645=0,"Break-even","Loss"))</f>
        <v>Profitable</v>
      </c>
      <c r="X645" s="1" t="str">
        <f aca="false">IF(Q645="Cancelled","Not Applicable",IF(Q645="Processing","Pending",IF(B645="","Unknown",IF(Orders!J645="","Unknown",IF(Orders!J645&lt;=3,"Fast",IF(Orders!J645&lt;=6,"Standard","Slow"))))))</f>
        <v>Standard</v>
      </c>
      <c r="Y645" s="1" t="n">
        <f aca="false">IF(OR(Q645="Cancelled",Q645="Returned"),0,O645)</f>
        <v>518.4</v>
      </c>
    </row>
    <row r="646" customFormat="false" ht="15" hidden="false" customHeight="false" outlineLevel="0" collapsed="false">
      <c r="A646" s="6" t="str">
        <f aca="false">Orders!A646</f>
        <v>O000645</v>
      </c>
      <c r="B646" s="19" t="n">
        <f aca="false">Orders!B646</f>
        <v>45964</v>
      </c>
      <c r="C646" s="6" t="str">
        <f aca="false">Orders!C646</f>
        <v>C0194</v>
      </c>
      <c r="D646" s="6" t="str">
        <f aca="false">Orders!D646</f>
        <v>P1056</v>
      </c>
      <c r="E646" s="6" t="str">
        <f aca="false">INDEX(Products!$B$2:$B$101,MATCH(D646,Products!$A$2:$A$101,0))</f>
        <v>Hair Dryer</v>
      </c>
      <c r="F646" s="1" t="str">
        <f aca="false">INDEX(Products!$C$2:$C$101,MATCH(D646,Products!$A$2:$A$101,0))</f>
        <v>Beauty</v>
      </c>
      <c r="G646" s="6" t="n">
        <f aca="false">Orders!E646</f>
        <v>3</v>
      </c>
      <c r="H646" s="16" t="n">
        <f aca="false">INDEX(Products!$D$2:$D$101,MATCH(D646,Products!$A$2:$A$101,0))</f>
        <v>1299</v>
      </c>
      <c r="I646" s="16" t="n">
        <f aca="false">INDEX(Products!$E$2:$E$101,MATCH(D646,Products!$A$2:$A$101,0))</f>
        <v>750</v>
      </c>
      <c r="J646" s="20" t="n">
        <f aca="false">Orders!F646</f>
        <v>0.05</v>
      </c>
      <c r="K646" s="6" t="n">
        <f aca="false">G646*H646</f>
        <v>3897</v>
      </c>
      <c r="L646" s="6" t="n">
        <f aca="false">K646*J646</f>
        <v>194.85</v>
      </c>
      <c r="M646" s="6" t="n">
        <f aca="false">K646-L646</f>
        <v>3702.15</v>
      </c>
      <c r="N646" s="6" t="n">
        <f aca="false">G646*I646</f>
        <v>2250</v>
      </c>
      <c r="O646" s="6" t="n">
        <f aca="false">M646-N646</f>
        <v>1452.15</v>
      </c>
      <c r="P646" s="21" t="n">
        <f aca="false">IFERROR(O646/M646,0)</f>
        <v>0.392245046797131</v>
      </c>
      <c r="Q646" s="6" t="str">
        <f aca="false">Orders!H646</f>
        <v>Delivered</v>
      </c>
      <c r="R646" s="1" t="str">
        <f aca="false">INDEX(Customers!$C$2:$C$301,MATCH(C646,Customers!$A$2:$A$301,0))</f>
        <v>Indore</v>
      </c>
      <c r="S646" s="1" t="str">
        <f aca="false">INDEX(Customers!$E$2:$E$301,MATCH(C646,Customers!$A$2:$A$301,0))</f>
        <v>Returning</v>
      </c>
      <c r="T646" s="6" t="str">
        <f aca="false">Orders!I646</f>
        <v>Website</v>
      </c>
      <c r="U646" s="1" t="str">
        <f aca="false">IF(Q646="Delivered","Completed",IF(Q646="Cancelled","Cancelled",IF(Q646="Returned","Returned","In Progress")))</f>
        <v>Completed</v>
      </c>
      <c r="V646" s="1" t="str">
        <f aca="false">IF(M646&gt;=10000,"High Value",IF(M646&gt;=5000,"Medium Value","Low Value"))</f>
        <v>Low Value</v>
      </c>
      <c r="W646" s="1" t="str">
        <f aca="false">IF(O646&gt;0,"Profitable",IF(O646=0,"Break-even","Loss"))</f>
        <v>Profitable</v>
      </c>
      <c r="X646" s="1" t="str">
        <f aca="false">IF(Q646="Cancelled","Not Applicable",IF(Q646="Processing","Pending",IF(B646="","Unknown",IF(Orders!J646="","Unknown",IF(Orders!J646&lt;=3,"Fast",IF(Orders!J646&lt;=6,"Standard","Slow"))))))</f>
        <v>Standard</v>
      </c>
      <c r="Y646" s="1" t="n">
        <f aca="false">IF(OR(Q646="Cancelled",Q646="Returned"),0,O646)</f>
        <v>1452.15</v>
      </c>
    </row>
    <row r="647" customFormat="false" ht="15" hidden="false" customHeight="false" outlineLevel="0" collapsed="false">
      <c r="A647" s="6" t="str">
        <f aca="false">Orders!A647</f>
        <v>O000646</v>
      </c>
      <c r="B647" s="19" t="n">
        <f aca="false">Orders!B647</f>
        <v>45722</v>
      </c>
      <c r="C647" s="6" t="str">
        <f aca="false">Orders!C647</f>
        <v>C0142</v>
      </c>
      <c r="D647" s="6" t="str">
        <f aca="false">Orders!D647</f>
        <v>P1043</v>
      </c>
      <c r="E647" s="6" t="str">
        <f aca="false">INDEX(Products!$B$2:$B$101,MATCH(D647,Products!$A$2:$A$101,0))</f>
        <v>Kitchen Rack</v>
      </c>
      <c r="F647" s="1" t="str">
        <f aca="false">INDEX(Products!$C$2:$C$101,MATCH(D647,Products!$A$2:$A$101,0))</f>
        <v>Home &amp; Kitchen</v>
      </c>
      <c r="G647" s="6" t="n">
        <f aca="false">Orders!E647</f>
        <v>3</v>
      </c>
      <c r="H647" s="16" t="n">
        <f aca="false">INDEX(Products!$D$2:$D$101,MATCH(D647,Products!$A$2:$A$101,0))</f>
        <v>1299</v>
      </c>
      <c r="I647" s="16" t="n">
        <f aca="false">INDEX(Products!$E$2:$E$101,MATCH(D647,Products!$A$2:$A$101,0))</f>
        <v>700</v>
      </c>
      <c r="J647" s="20" t="n">
        <f aca="false">Orders!F647</f>
        <v>0.2</v>
      </c>
      <c r="K647" s="6" t="n">
        <f aca="false">G647*H647</f>
        <v>3897</v>
      </c>
      <c r="L647" s="6" t="n">
        <f aca="false">K647*J647</f>
        <v>779.4</v>
      </c>
      <c r="M647" s="6" t="n">
        <f aca="false">K647-L647</f>
        <v>3117.6</v>
      </c>
      <c r="N647" s="6" t="n">
        <f aca="false">G647*I647</f>
        <v>2100</v>
      </c>
      <c r="O647" s="6" t="n">
        <f aca="false">M647-N647</f>
        <v>1017.6</v>
      </c>
      <c r="P647" s="21" t="n">
        <f aca="false">IFERROR(O647/M647,0)</f>
        <v>0.326404926866821</v>
      </c>
      <c r="Q647" s="6" t="str">
        <f aca="false">Orders!H647</f>
        <v>Processing</v>
      </c>
      <c r="R647" s="1" t="str">
        <f aca="false">INDEX(Customers!$C$2:$C$301,MATCH(C647,Customers!$A$2:$A$301,0))</f>
        <v>Mumbai</v>
      </c>
      <c r="S647" s="1" t="str">
        <f aca="false">INDEX(Customers!$E$2:$E$301,MATCH(C647,Customers!$A$2:$A$301,0))</f>
        <v>VIP</v>
      </c>
      <c r="T647" s="6" t="str">
        <f aca="false">Orders!I647</f>
        <v>Marketplace</v>
      </c>
      <c r="U647" s="1" t="str">
        <f aca="false">IF(Q647="Delivered","Completed",IF(Q647="Cancelled","Cancelled",IF(Q647="Returned","Returned","In Progress")))</f>
        <v>In Progress</v>
      </c>
      <c r="V647" s="1" t="str">
        <f aca="false">IF(M647&gt;=10000,"High Value",IF(M647&gt;=5000,"Medium Value","Low Value"))</f>
        <v>Low Value</v>
      </c>
      <c r="W647" s="1" t="str">
        <f aca="false">IF(O647&gt;0,"Profitable",IF(O647=0,"Break-even","Loss"))</f>
        <v>Profitable</v>
      </c>
      <c r="X647" s="1" t="str">
        <f aca="false">IF(Q647="Cancelled","Not Applicable",IF(Q647="Processing","Pending",IF(B647="","Unknown",IF(Orders!J647="","Unknown",IF(Orders!J647&lt;=3,"Fast",IF(Orders!J647&lt;=6,"Standard","Slow"))))))</f>
        <v>Pending</v>
      </c>
      <c r="Y647" s="1" t="n">
        <f aca="false">IF(OR(Q647="Cancelled",Q647="Returned"),0,O647)</f>
        <v>1017.6</v>
      </c>
    </row>
    <row r="648" customFormat="false" ht="15" hidden="false" customHeight="false" outlineLevel="0" collapsed="false">
      <c r="A648" s="6" t="str">
        <f aca="false">Orders!A648</f>
        <v>O000647</v>
      </c>
      <c r="B648" s="19" t="n">
        <f aca="false">Orders!B648</f>
        <v>45668</v>
      </c>
      <c r="C648" s="6" t="str">
        <f aca="false">Orders!C648</f>
        <v>C0113</v>
      </c>
      <c r="D648" s="6" t="str">
        <f aca="false">Orders!D648</f>
        <v>P1058</v>
      </c>
      <c r="E648" s="6" t="str">
        <f aca="false">INDEX(Products!$B$2:$B$101,MATCH(D648,Products!$A$2:$A$101,0))</f>
        <v>Nail Care Kit</v>
      </c>
      <c r="F648" s="1" t="str">
        <f aca="false">INDEX(Products!$C$2:$C$101,MATCH(D648,Products!$A$2:$A$101,0))</f>
        <v>Beauty</v>
      </c>
      <c r="G648" s="6" t="n">
        <f aca="false">Orders!E648</f>
        <v>1</v>
      </c>
      <c r="H648" s="16" t="n">
        <f aca="false">INDEX(Products!$D$2:$D$101,MATCH(D648,Products!$A$2:$A$101,0))</f>
        <v>399</v>
      </c>
      <c r="I648" s="16" t="n">
        <f aca="false">INDEX(Products!$E$2:$E$101,MATCH(D648,Products!$A$2:$A$101,0))</f>
        <v>170</v>
      </c>
      <c r="J648" s="20" t="n">
        <f aca="false">Orders!F648</f>
        <v>0.25</v>
      </c>
      <c r="K648" s="6" t="n">
        <f aca="false">G648*H648</f>
        <v>399</v>
      </c>
      <c r="L648" s="6" t="n">
        <f aca="false">K648*J648</f>
        <v>99.75</v>
      </c>
      <c r="M648" s="6" t="n">
        <f aca="false">K648-L648</f>
        <v>299.25</v>
      </c>
      <c r="N648" s="6" t="n">
        <f aca="false">G648*I648</f>
        <v>170</v>
      </c>
      <c r="O648" s="6" t="n">
        <f aca="false">M648-N648</f>
        <v>129.25</v>
      </c>
      <c r="P648" s="21" t="n">
        <f aca="false">IFERROR(O648/M648,0)</f>
        <v>0.431913116123642</v>
      </c>
      <c r="Q648" s="6" t="str">
        <f aca="false">Orders!H648</f>
        <v>Delivered</v>
      </c>
      <c r="R648" s="1" t="str">
        <f aca="false">INDEX(Customers!$C$2:$C$301,MATCH(C648,Customers!$A$2:$A$301,0))</f>
        <v>Kochi</v>
      </c>
      <c r="S648" s="1" t="str">
        <f aca="false">INDEX(Customers!$E$2:$E$301,MATCH(C648,Customers!$A$2:$A$301,0))</f>
        <v>New</v>
      </c>
      <c r="T648" s="6" t="str">
        <f aca="false">Orders!I648</f>
        <v>Marketplace</v>
      </c>
      <c r="U648" s="1" t="str">
        <f aca="false">IF(Q648="Delivered","Completed",IF(Q648="Cancelled","Cancelled",IF(Q648="Returned","Returned","In Progress")))</f>
        <v>Completed</v>
      </c>
      <c r="V648" s="1" t="str">
        <f aca="false">IF(M648&gt;=10000,"High Value",IF(M648&gt;=5000,"Medium Value","Low Value"))</f>
        <v>Low Value</v>
      </c>
      <c r="W648" s="1" t="str">
        <f aca="false">IF(O648&gt;0,"Profitable",IF(O648=0,"Break-even","Loss"))</f>
        <v>Profitable</v>
      </c>
      <c r="X648" s="1" t="str">
        <f aca="false">IF(Q648="Cancelled","Not Applicable",IF(Q648="Processing","Pending",IF(B648="","Unknown",IF(Orders!J648="","Unknown",IF(Orders!J648&lt;=3,"Fast",IF(Orders!J648&lt;=6,"Standard","Slow"))))))</f>
        <v>Standard</v>
      </c>
      <c r="Y648" s="1" t="n">
        <f aca="false">IF(OR(Q648="Cancelled",Q648="Returned"),0,O648)</f>
        <v>129.25</v>
      </c>
    </row>
    <row r="649" customFormat="false" ht="15" hidden="false" customHeight="false" outlineLevel="0" collapsed="false">
      <c r="A649" s="6" t="str">
        <f aca="false">Orders!A649</f>
        <v>O000648</v>
      </c>
      <c r="B649" s="19" t="n">
        <f aca="false">Orders!B649</f>
        <v>45807</v>
      </c>
      <c r="C649" s="6" t="str">
        <f aca="false">Orders!C649</f>
        <v>C0064</v>
      </c>
      <c r="D649" s="6" t="str">
        <f aca="false">Orders!D649</f>
        <v>P1055</v>
      </c>
      <c r="E649" s="6" t="str">
        <f aca="false">INDEX(Products!$B$2:$B$101,MATCH(D649,Products!$A$2:$A$101,0))</f>
        <v>Perfume</v>
      </c>
      <c r="F649" s="1" t="str">
        <f aca="false">INDEX(Products!$C$2:$C$101,MATCH(D649,Products!$A$2:$A$101,0))</f>
        <v>Beauty</v>
      </c>
      <c r="G649" s="6" t="n">
        <f aca="false">Orders!E649</f>
        <v>1</v>
      </c>
      <c r="H649" s="16" t="n">
        <f aca="false">INDEX(Products!$D$2:$D$101,MATCH(D649,Products!$A$2:$A$101,0))</f>
        <v>999</v>
      </c>
      <c r="I649" s="16" t="n">
        <f aca="false">INDEX(Products!$E$2:$E$101,MATCH(D649,Products!$A$2:$A$101,0))</f>
        <v>500</v>
      </c>
      <c r="J649" s="20" t="n">
        <f aca="false">Orders!F649</f>
        <v>0.15</v>
      </c>
      <c r="K649" s="6" t="n">
        <f aca="false">G649*H649</f>
        <v>999</v>
      </c>
      <c r="L649" s="6" t="n">
        <f aca="false">K649*J649</f>
        <v>149.85</v>
      </c>
      <c r="M649" s="6" t="n">
        <f aca="false">K649-L649</f>
        <v>849.15</v>
      </c>
      <c r="N649" s="6" t="n">
        <f aca="false">G649*I649</f>
        <v>500</v>
      </c>
      <c r="O649" s="6" t="n">
        <f aca="false">M649-N649</f>
        <v>349.15</v>
      </c>
      <c r="P649" s="21" t="n">
        <f aca="false">IFERROR(O649/M649,0)</f>
        <v>0.411175881764117</v>
      </c>
      <c r="Q649" s="6" t="str">
        <f aca="false">Orders!H649</f>
        <v>Shipped</v>
      </c>
      <c r="R649" s="1" t="str">
        <f aca="false">INDEX(Customers!$C$2:$C$301,MATCH(C649,Customers!$A$2:$A$301,0))</f>
        <v>Hyderabad</v>
      </c>
      <c r="S649" s="1" t="str">
        <f aca="false">INDEX(Customers!$E$2:$E$301,MATCH(C649,Customers!$A$2:$A$301,0))</f>
        <v>Returning</v>
      </c>
      <c r="T649" s="6" t="str">
        <f aca="false">Orders!I649</f>
        <v>Mobile App</v>
      </c>
      <c r="U649" s="1" t="str">
        <f aca="false">IF(Q649="Delivered","Completed",IF(Q649="Cancelled","Cancelled",IF(Q649="Returned","Returned","In Progress")))</f>
        <v>In Progress</v>
      </c>
      <c r="V649" s="1" t="str">
        <f aca="false">IF(M649&gt;=10000,"High Value",IF(M649&gt;=5000,"Medium Value","Low Value"))</f>
        <v>Low Value</v>
      </c>
      <c r="W649" s="1" t="str">
        <f aca="false">IF(O649&gt;0,"Profitable",IF(O649=0,"Break-even","Loss"))</f>
        <v>Profitable</v>
      </c>
      <c r="X649" s="1" t="str">
        <f aca="false">IF(Q649="Cancelled","Not Applicable",IF(Q649="Processing","Pending",IF(B649="","Unknown",IF(Orders!J649="","Unknown",IF(Orders!J649&lt;=3,"Fast",IF(Orders!J649&lt;=6,"Standard","Slow"))))))</f>
        <v>Fast</v>
      </c>
      <c r="Y649" s="1" t="n">
        <f aca="false">IF(OR(Q649="Cancelled",Q649="Returned"),0,O649)</f>
        <v>349.15</v>
      </c>
    </row>
    <row r="650" customFormat="false" ht="15" hidden="false" customHeight="false" outlineLevel="0" collapsed="false">
      <c r="A650" s="6" t="str">
        <f aca="false">Orders!A650</f>
        <v>O000649</v>
      </c>
      <c r="B650" s="19" t="n">
        <f aca="false">Orders!B650</f>
        <v>45844</v>
      </c>
      <c r="C650" s="6" t="str">
        <f aca="false">Orders!C650</f>
        <v>C0116</v>
      </c>
      <c r="D650" s="6" t="str">
        <f aca="false">Orders!D650</f>
        <v>P1038</v>
      </c>
      <c r="E650" s="6" t="str">
        <f aca="false">INDEX(Products!$B$2:$B$101,MATCH(D650,Products!$A$2:$A$101,0))</f>
        <v>Laundry Basket</v>
      </c>
      <c r="F650" s="1" t="str">
        <f aca="false">INDEX(Products!$C$2:$C$101,MATCH(D650,Products!$A$2:$A$101,0))</f>
        <v>Home &amp; Kitchen</v>
      </c>
      <c r="G650" s="6" t="n">
        <f aca="false">Orders!E650</f>
        <v>3</v>
      </c>
      <c r="H650" s="16" t="n">
        <f aca="false">INDEX(Products!$D$2:$D$101,MATCH(D650,Products!$A$2:$A$101,0))</f>
        <v>599</v>
      </c>
      <c r="I650" s="16" t="n">
        <f aca="false">INDEX(Products!$E$2:$E$101,MATCH(D650,Products!$A$2:$A$101,0))</f>
        <v>260</v>
      </c>
      <c r="J650" s="20" t="n">
        <f aca="false">Orders!F650</f>
        <v>0.1</v>
      </c>
      <c r="K650" s="6" t="n">
        <f aca="false">G650*H650</f>
        <v>1797</v>
      </c>
      <c r="L650" s="6" t="n">
        <f aca="false">K650*J650</f>
        <v>179.7</v>
      </c>
      <c r="M650" s="6" t="n">
        <f aca="false">K650-L650</f>
        <v>1617.3</v>
      </c>
      <c r="N650" s="6" t="n">
        <f aca="false">G650*I650</f>
        <v>780</v>
      </c>
      <c r="O650" s="6" t="n">
        <f aca="false">M650-N650</f>
        <v>837.3</v>
      </c>
      <c r="P650" s="21" t="n">
        <f aca="false">IFERROR(O650/M650,0)</f>
        <v>0.517714709701354</v>
      </c>
      <c r="Q650" s="6" t="str">
        <f aca="false">Orders!H650</f>
        <v>Delivered</v>
      </c>
      <c r="R650" s="1" t="str">
        <f aca="false">INDEX(Customers!$C$2:$C$301,MATCH(C650,Customers!$A$2:$A$301,0))</f>
        <v>Chandigarh</v>
      </c>
      <c r="S650" s="1" t="str">
        <f aca="false">INDEX(Customers!$E$2:$E$301,MATCH(C650,Customers!$A$2:$A$301,0))</f>
        <v>New</v>
      </c>
      <c r="T650" s="6" t="str">
        <f aca="false">Orders!I650</f>
        <v>Marketplace</v>
      </c>
      <c r="U650" s="1" t="str">
        <f aca="false">IF(Q650="Delivered","Completed",IF(Q650="Cancelled","Cancelled",IF(Q650="Returned","Returned","In Progress")))</f>
        <v>Completed</v>
      </c>
      <c r="V650" s="1" t="str">
        <f aca="false">IF(M650&gt;=10000,"High Value",IF(M650&gt;=5000,"Medium Value","Low Value"))</f>
        <v>Low Value</v>
      </c>
      <c r="W650" s="1" t="str">
        <f aca="false">IF(O650&gt;0,"Profitable",IF(O650=0,"Break-even","Loss"))</f>
        <v>Profitable</v>
      </c>
      <c r="X650" s="1" t="str">
        <f aca="false">IF(Q650="Cancelled","Not Applicable",IF(Q650="Processing","Pending",IF(B650="","Unknown",IF(Orders!J650="","Unknown",IF(Orders!J650&lt;=3,"Fast",IF(Orders!J650&lt;=6,"Standard","Slow"))))))</f>
        <v>Fast</v>
      </c>
      <c r="Y650" s="1" t="n">
        <f aca="false">IF(OR(Q650="Cancelled",Q650="Returned"),0,O650)</f>
        <v>837.3</v>
      </c>
    </row>
    <row r="651" customFormat="false" ht="15" hidden="false" customHeight="false" outlineLevel="0" collapsed="false">
      <c r="A651" s="6" t="str">
        <f aca="false">Orders!A651</f>
        <v>O000650</v>
      </c>
      <c r="B651" s="19" t="n">
        <f aca="false">Orders!B651</f>
        <v>45992</v>
      </c>
      <c r="C651" s="6" t="str">
        <f aca="false">Orders!C651</f>
        <v>C0105</v>
      </c>
      <c r="D651" s="6" t="str">
        <f aca="false">Orders!D651</f>
        <v>P1096</v>
      </c>
      <c r="E651" s="6" t="str">
        <f aca="false">INDEX(Products!$B$2:$B$101,MATCH(D651,Products!$A$2:$A$101,0))</f>
        <v>Air Fryer</v>
      </c>
      <c r="F651" s="1" t="str">
        <f aca="false">INDEX(Products!$C$2:$C$101,MATCH(D651,Products!$A$2:$A$101,0))</f>
        <v>Appliances</v>
      </c>
      <c r="G651" s="6" t="n">
        <f aca="false">Orders!E651</f>
        <v>1</v>
      </c>
      <c r="H651" s="16" t="n">
        <f aca="false">INDEX(Products!$D$2:$D$101,MATCH(D651,Products!$A$2:$A$101,0))</f>
        <v>3999</v>
      </c>
      <c r="I651" s="16" t="n">
        <f aca="false">INDEX(Products!$E$2:$E$101,MATCH(D651,Products!$A$2:$A$101,0))</f>
        <v>2700</v>
      </c>
      <c r="J651" s="20" t="n">
        <f aca="false">Orders!F651</f>
        <v>0.25</v>
      </c>
      <c r="K651" s="6" t="n">
        <f aca="false">G651*H651</f>
        <v>3999</v>
      </c>
      <c r="L651" s="6" t="n">
        <f aca="false">K651*J651</f>
        <v>999.75</v>
      </c>
      <c r="M651" s="6" t="n">
        <f aca="false">K651-L651</f>
        <v>2999.25</v>
      </c>
      <c r="N651" s="6" t="n">
        <f aca="false">G651*I651</f>
        <v>2700</v>
      </c>
      <c r="O651" s="6" t="n">
        <f aca="false">M651-N651</f>
        <v>299.25</v>
      </c>
      <c r="P651" s="21" t="n">
        <f aca="false">IFERROR(O651/M651,0)</f>
        <v>0.099774943735934</v>
      </c>
      <c r="Q651" s="6" t="str">
        <f aca="false">Orders!H651</f>
        <v>Delivered</v>
      </c>
      <c r="R651" s="1" t="str">
        <f aca="false">INDEX(Customers!$C$2:$C$301,MATCH(C651,Customers!$A$2:$A$301,0))</f>
        <v>Chennai</v>
      </c>
      <c r="S651" s="1" t="str">
        <f aca="false">INDEX(Customers!$E$2:$E$301,MATCH(C651,Customers!$A$2:$A$301,0))</f>
        <v>Returning</v>
      </c>
      <c r="T651" s="6" t="str">
        <f aca="false">Orders!I651</f>
        <v>Website</v>
      </c>
      <c r="U651" s="1" t="str">
        <f aca="false">IF(Q651="Delivered","Completed",IF(Q651="Cancelled","Cancelled",IF(Q651="Returned","Returned","In Progress")))</f>
        <v>Completed</v>
      </c>
      <c r="V651" s="1" t="str">
        <f aca="false">IF(M651&gt;=10000,"High Value",IF(M651&gt;=5000,"Medium Value","Low Value"))</f>
        <v>Low Value</v>
      </c>
      <c r="W651" s="1" t="str">
        <f aca="false">IF(O651&gt;0,"Profitable",IF(O651=0,"Break-even","Loss"))</f>
        <v>Profitable</v>
      </c>
      <c r="X651" s="1" t="str">
        <f aca="false">IF(Q651="Cancelled","Not Applicable",IF(Q651="Processing","Pending",IF(B651="","Unknown",IF(Orders!J651="","Unknown",IF(Orders!J651&lt;=3,"Fast",IF(Orders!J651&lt;=6,"Standard","Slow"))))))</f>
        <v>Standard</v>
      </c>
      <c r="Y651" s="1" t="n">
        <f aca="false">IF(OR(Q651="Cancelled",Q651="Returned"),0,O651)</f>
        <v>299.25</v>
      </c>
    </row>
    <row r="652" customFormat="false" ht="23.85" hidden="false" customHeight="false" outlineLevel="0" collapsed="false">
      <c r="A652" s="6" t="str">
        <f aca="false">Orders!A652</f>
        <v>O000651</v>
      </c>
      <c r="B652" s="19" t="n">
        <f aca="false">Orders!B652</f>
        <v>46000</v>
      </c>
      <c r="C652" s="6" t="str">
        <f aca="false">Orders!C652</f>
        <v>C0182</v>
      </c>
      <c r="D652" s="6" t="str">
        <f aca="false">Orders!D652</f>
        <v>P1069</v>
      </c>
      <c r="E652" s="6" t="str">
        <f aca="false">INDEX(Products!$B$2:$B$101,MATCH(D652,Products!$A$2:$A$101,0))</f>
        <v>Sports Duffel Bag</v>
      </c>
      <c r="F652" s="1" t="str">
        <f aca="false">INDEX(Products!$C$2:$C$101,MATCH(D652,Products!$A$2:$A$101,0))</f>
        <v>Sports &amp; Outdoors</v>
      </c>
      <c r="G652" s="6" t="n">
        <f aca="false">Orders!E652</f>
        <v>4</v>
      </c>
      <c r="H652" s="16" t="n">
        <f aca="false">INDEX(Products!$D$2:$D$101,MATCH(D652,Products!$A$2:$A$101,0))</f>
        <v>999</v>
      </c>
      <c r="I652" s="16" t="n">
        <f aca="false">INDEX(Products!$E$2:$E$101,MATCH(D652,Products!$A$2:$A$101,0))</f>
        <v>500</v>
      </c>
      <c r="J652" s="20" t="n">
        <f aca="false">Orders!F652</f>
        <v>0.05</v>
      </c>
      <c r="K652" s="6" t="n">
        <f aca="false">G652*H652</f>
        <v>3996</v>
      </c>
      <c r="L652" s="6" t="n">
        <f aca="false">K652*J652</f>
        <v>199.8</v>
      </c>
      <c r="M652" s="6" t="n">
        <f aca="false">K652-L652</f>
        <v>3796.2</v>
      </c>
      <c r="N652" s="6" t="n">
        <f aca="false">G652*I652</f>
        <v>2000</v>
      </c>
      <c r="O652" s="6" t="n">
        <f aca="false">M652-N652</f>
        <v>1796.2</v>
      </c>
      <c r="P652" s="21" t="n">
        <f aca="false">IFERROR(O652/M652,0)</f>
        <v>0.47315736789421</v>
      </c>
      <c r="Q652" s="6" t="str">
        <f aca="false">Orders!H652</f>
        <v>Delivered</v>
      </c>
      <c r="R652" s="1" t="str">
        <f aca="false">INDEX(Customers!$C$2:$C$301,MATCH(C652,Customers!$A$2:$A$301,0))</f>
        <v>Mumbai</v>
      </c>
      <c r="S652" s="1" t="str">
        <f aca="false">INDEX(Customers!$E$2:$E$301,MATCH(C652,Customers!$A$2:$A$301,0))</f>
        <v>New</v>
      </c>
      <c r="T652" s="6" t="str">
        <f aca="false">Orders!I652</f>
        <v>Mobile App</v>
      </c>
      <c r="U652" s="1" t="str">
        <f aca="false">IF(Q652="Delivered","Completed",IF(Q652="Cancelled","Cancelled",IF(Q652="Returned","Returned","In Progress")))</f>
        <v>Completed</v>
      </c>
      <c r="V652" s="1" t="str">
        <f aca="false">IF(M652&gt;=10000,"High Value",IF(M652&gt;=5000,"Medium Value","Low Value"))</f>
        <v>Low Value</v>
      </c>
      <c r="W652" s="1" t="str">
        <f aca="false">IF(O652&gt;0,"Profitable",IF(O652=0,"Break-even","Loss"))</f>
        <v>Profitable</v>
      </c>
      <c r="X652" s="1" t="str">
        <f aca="false">IF(Q652="Cancelled","Not Applicable",IF(Q652="Processing","Pending",IF(B652="","Unknown",IF(Orders!J652="","Unknown",IF(Orders!J652&lt;=3,"Fast",IF(Orders!J652&lt;=6,"Standard","Slow"))))))</f>
        <v>Fast</v>
      </c>
      <c r="Y652" s="1" t="n">
        <f aca="false">IF(OR(Q652="Cancelled",Q652="Returned"),0,O652)</f>
        <v>1796.2</v>
      </c>
    </row>
    <row r="653" customFormat="false" ht="15" hidden="false" customHeight="false" outlineLevel="0" collapsed="false">
      <c r="A653" s="6" t="str">
        <f aca="false">Orders!A653</f>
        <v>O000652</v>
      </c>
      <c r="B653" s="19" t="n">
        <f aca="false">Orders!B653</f>
        <v>45799</v>
      </c>
      <c r="C653" s="6" t="str">
        <f aca="false">Orders!C653</f>
        <v>C0145</v>
      </c>
      <c r="D653" s="6" t="str">
        <f aca="false">Orders!D653</f>
        <v>P1084</v>
      </c>
      <c r="E653" s="6" t="str">
        <f aca="false">INDEX(Products!$B$2:$B$101,MATCH(D653,Products!$A$2:$A$101,0))</f>
        <v>Whiteboard</v>
      </c>
      <c r="F653" s="1" t="str">
        <f aca="false">INDEX(Products!$C$2:$C$101,MATCH(D653,Products!$A$2:$A$101,0))</f>
        <v>Books &amp; Stationery</v>
      </c>
      <c r="G653" s="6" t="n">
        <f aca="false">Orders!E653</f>
        <v>1</v>
      </c>
      <c r="H653" s="16" t="n">
        <f aca="false">INDEX(Products!$D$2:$D$101,MATCH(D653,Products!$A$2:$A$101,0))</f>
        <v>799</v>
      </c>
      <c r="I653" s="16" t="n">
        <f aca="false">INDEX(Products!$E$2:$E$101,MATCH(D653,Products!$A$2:$A$101,0))</f>
        <v>420</v>
      </c>
      <c r="J653" s="20" t="n">
        <f aca="false">Orders!F653</f>
        <v>0.1</v>
      </c>
      <c r="K653" s="6" t="n">
        <f aca="false">G653*H653</f>
        <v>799</v>
      </c>
      <c r="L653" s="6" t="n">
        <f aca="false">K653*J653</f>
        <v>79.9</v>
      </c>
      <c r="M653" s="6" t="n">
        <f aca="false">K653-L653</f>
        <v>719.1</v>
      </c>
      <c r="N653" s="6" t="n">
        <f aca="false">G653*I653</f>
        <v>420</v>
      </c>
      <c r="O653" s="6" t="n">
        <f aca="false">M653-N653</f>
        <v>299.1</v>
      </c>
      <c r="P653" s="21" t="n">
        <f aca="false">IFERROR(O653/M653,0)</f>
        <v>0.415936587400918</v>
      </c>
      <c r="Q653" s="6" t="str">
        <f aca="false">Orders!H653</f>
        <v>Delivered</v>
      </c>
      <c r="R653" s="1" t="str">
        <f aca="false">INDEX(Customers!$C$2:$C$301,MATCH(C653,Customers!$A$2:$A$301,0))</f>
        <v>Chennai</v>
      </c>
      <c r="S653" s="1" t="str">
        <f aca="false">INDEX(Customers!$E$2:$E$301,MATCH(C653,Customers!$A$2:$A$301,0))</f>
        <v>New</v>
      </c>
      <c r="T653" s="6" t="str">
        <f aca="false">Orders!I653</f>
        <v>Mobile App</v>
      </c>
      <c r="U653" s="1" t="str">
        <f aca="false">IF(Q653="Delivered","Completed",IF(Q653="Cancelled","Cancelled",IF(Q653="Returned","Returned","In Progress")))</f>
        <v>Completed</v>
      </c>
      <c r="V653" s="1" t="str">
        <f aca="false">IF(M653&gt;=10000,"High Value",IF(M653&gt;=5000,"Medium Value","Low Value"))</f>
        <v>Low Value</v>
      </c>
      <c r="W653" s="1" t="str">
        <f aca="false">IF(O653&gt;0,"Profitable",IF(O653=0,"Break-even","Loss"))</f>
        <v>Profitable</v>
      </c>
      <c r="X653" s="1" t="str">
        <f aca="false">IF(Q653="Cancelled","Not Applicable",IF(Q653="Processing","Pending",IF(B653="","Unknown",IF(Orders!J653="","Unknown",IF(Orders!J653&lt;=3,"Fast",IF(Orders!J653&lt;=6,"Standard","Slow"))))))</f>
        <v>Slow</v>
      </c>
      <c r="Y653" s="1" t="n">
        <f aca="false">IF(OR(Q653="Cancelled",Q653="Returned"),0,O653)</f>
        <v>299.1</v>
      </c>
    </row>
    <row r="654" customFormat="false" ht="15" hidden="false" customHeight="false" outlineLevel="0" collapsed="false">
      <c r="A654" s="6" t="str">
        <f aca="false">Orders!A654</f>
        <v>O000653</v>
      </c>
      <c r="B654" s="19" t="n">
        <f aca="false">Orders!B654</f>
        <v>45740</v>
      </c>
      <c r="C654" s="6" t="str">
        <f aca="false">Orders!C654</f>
        <v>C0239</v>
      </c>
      <c r="D654" s="6" t="str">
        <f aca="false">Orders!D654</f>
        <v>P1029</v>
      </c>
      <c r="E654" s="6" t="str">
        <f aca="false">INDEX(Products!$B$2:$B$101,MATCH(D654,Products!$A$2:$A$101,0))</f>
        <v>Scarf</v>
      </c>
      <c r="F654" s="1" t="str">
        <f aca="false">INDEX(Products!$C$2:$C$101,MATCH(D654,Products!$A$2:$A$101,0))</f>
        <v>Fashion</v>
      </c>
      <c r="G654" s="6" t="n">
        <f aca="false">Orders!E654</f>
        <v>3</v>
      </c>
      <c r="H654" s="16" t="n">
        <f aca="false">INDEX(Products!$D$2:$D$101,MATCH(D654,Products!$A$2:$A$101,0))</f>
        <v>299</v>
      </c>
      <c r="I654" s="16" t="n">
        <f aca="false">INDEX(Products!$E$2:$E$101,MATCH(D654,Products!$A$2:$A$101,0))</f>
        <v>100</v>
      </c>
      <c r="J654" s="20" t="n">
        <f aca="false">Orders!F654</f>
        <v>0.15</v>
      </c>
      <c r="K654" s="6" t="n">
        <f aca="false">G654*H654</f>
        <v>897</v>
      </c>
      <c r="L654" s="6" t="n">
        <f aca="false">K654*J654</f>
        <v>134.55</v>
      </c>
      <c r="M654" s="6" t="n">
        <f aca="false">K654-L654</f>
        <v>762.45</v>
      </c>
      <c r="N654" s="6" t="n">
        <f aca="false">G654*I654</f>
        <v>300</v>
      </c>
      <c r="O654" s="6" t="n">
        <f aca="false">M654-N654</f>
        <v>462.45</v>
      </c>
      <c r="P654" s="21" t="n">
        <f aca="false">IFERROR(O654/M654,0)</f>
        <v>0.606531575841039</v>
      </c>
      <c r="Q654" s="6" t="str">
        <f aca="false">Orders!H654</f>
        <v>Delivered</v>
      </c>
      <c r="R654" s="1" t="str">
        <f aca="false">INDEX(Customers!$C$2:$C$301,MATCH(C654,Customers!$A$2:$A$301,0))</f>
        <v>Coimbatore</v>
      </c>
      <c r="S654" s="1" t="str">
        <f aca="false">INDEX(Customers!$E$2:$E$301,MATCH(C654,Customers!$A$2:$A$301,0))</f>
        <v>New</v>
      </c>
      <c r="T654" s="6" t="str">
        <f aca="false">Orders!I654</f>
        <v>Website</v>
      </c>
      <c r="U654" s="1" t="str">
        <f aca="false">IF(Q654="Delivered","Completed",IF(Q654="Cancelled","Cancelled",IF(Q654="Returned","Returned","In Progress")))</f>
        <v>Completed</v>
      </c>
      <c r="V654" s="1" t="str">
        <f aca="false">IF(M654&gt;=10000,"High Value",IF(M654&gt;=5000,"Medium Value","Low Value"))</f>
        <v>Low Value</v>
      </c>
      <c r="W654" s="1" t="str">
        <f aca="false">IF(O654&gt;0,"Profitable",IF(O654=0,"Break-even","Loss"))</f>
        <v>Profitable</v>
      </c>
      <c r="X654" s="1" t="str">
        <f aca="false">IF(Q654="Cancelled","Not Applicable",IF(Q654="Processing","Pending",IF(B654="","Unknown",IF(Orders!J654="","Unknown",IF(Orders!J654&lt;=3,"Fast",IF(Orders!J654&lt;=6,"Standard","Slow"))))))</f>
        <v>Slow</v>
      </c>
      <c r="Y654" s="1" t="n">
        <f aca="false">IF(OR(Q654="Cancelled",Q654="Returned"),0,O654)</f>
        <v>462.45</v>
      </c>
    </row>
    <row r="655" customFormat="false" ht="23.85" hidden="false" customHeight="false" outlineLevel="0" collapsed="false">
      <c r="A655" s="6" t="str">
        <f aca="false">Orders!A655</f>
        <v>O000654</v>
      </c>
      <c r="B655" s="19" t="n">
        <f aca="false">Orders!B655</f>
        <v>45720</v>
      </c>
      <c r="C655" s="6" t="str">
        <f aca="false">Orders!C655</f>
        <v>C0022</v>
      </c>
      <c r="D655" s="6" t="str">
        <f aca="false">Orders!D655</f>
        <v>P1065</v>
      </c>
      <c r="E655" s="6" t="str">
        <f aca="false">INDEX(Products!$B$2:$B$101,MATCH(D655,Products!$A$2:$A$101,0))</f>
        <v>Badminton Racket</v>
      </c>
      <c r="F655" s="1" t="str">
        <f aca="false">INDEX(Products!$C$2:$C$101,MATCH(D655,Products!$A$2:$A$101,0))</f>
        <v>Sports &amp; Outdoors</v>
      </c>
      <c r="G655" s="6" t="n">
        <f aca="false">Orders!E655</f>
        <v>2</v>
      </c>
      <c r="H655" s="16" t="n">
        <f aca="false">INDEX(Products!$D$2:$D$101,MATCH(D655,Products!$A$2:$A$101,0))</f>
        <v>999</v>
      </c>
      <c r="I655" s="16" t="n">
        <f aca="false">INDEX(Products!$E$2:$E$101,MATCH(D655,Products!$A$2:$A$101,0))</f>
        <v>520</v>
      </c>
      <c r="J655" s="20" t="n">
        <f aca="false">Orders!F655</f>
        <v>0</v>
      </c>
      <c r="K655" s="6" t="n">
        <f aca="false">G655*H655</f>
        <v>1998</v>
      </c>
      <c r="L655" s="6" t="n">
        <f aca="false">K655*J655</f>
        <v>0</v>
      </c>
      <c r="M655" s="6" t="n">
        <f aca="false">K655-L655</f>
        <v>1998</v>
      </c>
      <c r="N655" s="6" t="n">
        <f aca="false">G655*I655</f>
        <v>1040</v>
      </c>
      <c r="O655" s="6" t="n">
        <f aca="false">M655-N655</f>
        <v>958</v>
      </c>
      <c r="P655" s="21" t="n">
        <f aca="false">IFERROR(O655/M655,0)</f>
        <v>0.47947947947948</v>
      </c>
      <c r="Q655" s="6" t="str">
        <f aca="false">Orders!H655</f>
        <v>Delivered</v>
      </c>
      <c r="R655" s="1" t="str">
        <f aca="false">INDEX(Customers!$C$2:$C$301,MATCH(C655,Customers!$A$2:$A$301,0))</f>
        <v>Mumbai</v>
      </c>
      <c r="S655" s="1" t="str">
        <f aca="false">INDEX(Customers!$E$2:$E$301,MATCH(C655,Customers!$A$2:$A$301,0))</f>
        <v>Returning</v>
      </c>
      <c r="T655" s="6" t="str">
        <f aca="false">Orders!I655</f>
        <v>Marketplace</v>
      </c>
      <c r="U655" s="1" t="str">
        <f aca="false">IF(Q655="Delivered","Completed",IF(Q655="Cancelled","Cancelled",IF(Q655="Returned","Returned","In Progress")))</f>
        <v>Completed</v>
      </c>
      <c r="V655" s="1" t="str">
        <f aca="false">IF(M655&gt;=10000,"High Value",IF(M655&gt;=5000,"Medium Value","Low Value"))</f>
        <v>Low Value</v>
      </c>
      <c r="W655" s="1" t="str">
        <f aca="false">IF(O655&gt;0,"Profitable",IF(O655=0,"Break-even","Loss"))</f>
        <v>Profitable</v>
      </c>
      <c r="X655" s="1" t="str">
        <f aca="false">IF(Q655="Cancelled","Not Applicable",IF(Q655="Processing","Pending",IF(B655="","Unknown",IF(Orders!J655="","Unknown",IF(Orders!J655&lt;=3,"Fast",IF(Orders!J655&lt;=6,"Standard","Slow"))))))</f>
        <v>Standard</v>
      </c>
      <c r="Y655" s="1" t="n">
        <f aca="false">IF(OR(Q655="Cancelled",Q655="Returned"),0,O655)</f>
        <v>958</v>
      </c>
    </row>
    <row r="656" customFormat="false" ht="23.85" hidden="false" customHeight="false" outlineLevel="0" collapsed="false">
      <c r="A656" s="6" t="str">
        <f aca="false">Orders!A656</f>
        <v>O000655</v>
      </c>
      <c r="B656" s="19" t="n">
        <f aca="false">Orders!B656</f>
        <v>45858</v>
      </c>
      <c r="C656" s="6" t="str">
        <f aca="false">Orders!C656</f>
        <v>C0227</v>
      </c>
      <c r="D656" s="6" t="str">
        <f aca="false">Orders!D656</f>
        <v>P1041</v>
      </c>
      <c r="E656" s="6" t="str">
        <f aca="false">INDEX(Products!$B$2:$B$101,MATCH(D656,Products!$A$2:$A$101,0))</f>
        <v>Food Storage Jars</v>
      </c>
      <c r="F656" s="1" t="str">
        <f aca="false">INDEX(Products!$C$2:$C$101,MATCH(D656,Products!$A$2:$A$101,0))</f>
        <v>Home &amp; Kitchen</v>
      </c>
      <c r="G656" s="6" t="n">
        <f aca="false">Orders!E656</f>
        <v>1</v>
      </c>
      <c r="H656" s="16" t="n">
        <f aca="false">INDEX(Products!$D$2:$D$101,MATCH(D656,Products!$A$2:$A$101,0))</f>
        <v>499</v>
      </c>
      <c r="I656" s="16" t="n">
        <f aca="false">INDEX(Products!$E$2:$E$101,MATCH(D656,Products!$A$2:$A$101,0))</f>
        <v>220</v>
      </c>
      <c r="J656" s="20" t="n">
        <f aca="false">Orders!F656</f>
        <v>0.1</v>
      </c>
      <c r="K656" s="6" t="n">
        <f aca="false">G656*H656</f>
        <v>499</v>
      </c>
      <c r="L656" s="6" t="n">
        <f aca="false">K656*J656</f>
        <v>49.9</v>
      </c>
      <c r="M656" s="6" t="n">
        <f aca="false">K656-L656</f>
        <v>449.1</v>
      </c>
      <c r="N656" s="6" t="n">
        <f aca="false">G656*I656</f>
        <v>220</v>
      </c>
      <c r="O656" s="6" t="n">
        <f aca="false">M656-N656</f>
        <v>229.1</v>
      </c>
      <c r="P656" s="21" t="n">
        <f aca="false">IFERROR(O656/M656,0)</f>
        <v>0.510131373858829</v>
      </c>
      <c r="Q656" s="6" t="str">
        <f aca="false">Orders!H656</f>
        <v>Delivered</v>
      </c>
      <c r="R656" s="1" t="str">
        <f aca="false">INDEX(Customers!$C$2:$C$301,MATCH(C656,Customers!$A$2:$A$301,0))</f>
        <v>Pune</v>
      </c>
      <c r="S656" s="1" t="str">
        <f aca="false">INDEX(Customers!$E$2:$E$301,MATCH(C656,Customers!$A$2:$A$301,0))</f>
        <v>Returning</v>
      </c>
      <c r="T656" s="6" t="str">
        <f aca="false">Orders!I656</f>
        <v>Mobile App</v>
      </c>
      <c r="U656" s="1" t="str">
        <f aca="false">IF(Q656="Delivered","Completed",IF(Q656="Cancelled","Cancelled",IF(Q656="Returned","Returned","In Progress")))</f>
        <v>Completed</v>
      </c>
      <c r="V656" s="1" t="str">
        <f aca="false">IF(M656&gt;=10000,"High Value",IF(M656&gt;=5000,"Medium Value","Low Value"))</f>
        <v>Low Value</v>
      </c>
      <c r="W656" s="1" t="str">
        <f aca="false">IF(O656&gt;0,"Profitable",IF(O656=0,"Break-even","Loss"))</f>
        <v>Profitable</v>
      </c>
      <c r="X656" s="1" t="str">
        <f aca="false">IF(Q656="Cancelled","Not Applicable",IF(Q656="Processing","Pending",IF(B656="","Unknown",IF(Orders!J656="","Unknown",IF(Orders!J656&lt;=3,"Fast",IF(Orders!J656&lt;=6,"Standard","Slow"))))))</f>
        <v>Fast</v>
      </c>
      <c r="Y656" s="1" t="n">
        <f aca="false">IF(OR(Q656="Cancelled",Q656="Returned"),0,O656)</f>
        <v>229.1</v>
      </c>
    </row>
    <row r="657" customFormat="false" ht="15" hidden="false" customHeight="false" outlineLevel="0" collapsed="false">
      <c r="A657" s="6" t="str">
        <f aca="false">Orders!A657</f>
        <v>O000656</v>
      </c>
      <c r="B657" s="19" t="n">
        <f aca="false">Orders!B657</f>
        <v>45762</v>
      </c>
      <c r="C657" s="6" t="str">
        <f aca="false">Orders!C657</f>
        <v>C0258</v>
      </c>
      <c r="D657" s="6" t="str">
        <f aca="false">Orders!D657</f>
        <v>P1064</v>
      </c>
      <c r="E657" s="6" t="str">
        <f aca="false">INDEX(Products!$B$2:$B$101,MATCH(D657,Products!$A$2:$A$101,0))</f>
        <v>Football</v>
      </c>
      <c r="F657" s="1" t="str">
        <f aca="false">INDEX(Products!$C$2:$C$101,MATCH(D657,Products!$A$2:$A$101,0))</f>
        <v>Sports &amp; Outdoors</v>
      </c>
      <c r="G657" s="6" t="n">
        <f aca="false">Orders!E657</f>
        <v>2</v>
      </c>
      <c r="H657" s="16" t="n">
        <f aca="false">INDEX(Products!$D$2:$D$101,MATCH(D657,Products!$A$2:$A$101,0))</f>
        <v>699</v>
      </c>
      <c r="I657" s="16" t="n">
        <f aca="false">INDEX(Products!$E$2:$E$101,MATCH(D657,Products!$A$2:$A$101,0))</f>
        <v>300</v>
      </c>
      <c r="J657" s="20" t="n">
        <f aca="false">Orders!F657</f>
        <v>0.05</v>
      </c>
      <c r="K657" s="6" t="n">
        <f aca="false">G657*H657</f>
        <v>1398</v>
      </c>
      <c r="L657" s="6" t="n">
        <f aca="false">K657*J657</f>
        <v>69.9</v>
      </c>
      <c r="M657" s="6" t="n">
        <f aca="false">K657-L657</f>
        <v>1328.1</v>
      </c>
      <c r="N657" s="6" t="n">
        <f aca="false">G657*I657</f>
        <v>600</v>
      </c>
      <c r="O657" s="6" t="n">
        <f aca="false">M657-N657</f>
        <v>728.1</v>
      </c>
      <c r="P657" s="21" t="n">
        <f aca="false">IFERROR(O657/M657,0)</f>
        <v>0.548226790151344</v>
      </c>
      <c r="Q657" s="6" t="str">
        <f aca="false">Orders!H657</f>
        <v>Delivered</v>
      </c>
      <c r="R657" s="1" t="str">
        <f aca="false">INDEX(Customers!$C$2:$C$301,MATCH(C657,Customers!$A$2:$A$301,0))</f>
        <v>Nagpur</v>
      </c>
      <c r="S657" s="1" t="str">
        <f aca="false">INDEX(Customers!$E$2:$E$301,MATCH(C657,Customers!$A$2:$A$301,0))</f>
        <v>New</v>
      </c>
      <c r="T657" s="6" t="str">
        <f aca="false">Orders!I657</f>
        <v>Marketplace</v>
      </c>
      <c r="U657" s="1" t="str">
        <f aca="false">IF(Q657="Delivered","Completed",IF(Q657="Cancelled","Cancelled",IF(Q657="Returned","Returned","In Progress")))</f>
        <v>Completed</v>
      </c>
      <c r="V657" s="1" t="str">
        <f aca="false">IF(M657&gt;=10000,"High Value",IF(M657&gt;=5000,"Medium Value","Low Value"))</f>
        <v>Low Value</v>
      </c>
      <c r="W657" s="1" t="str">
        <f aca="false">IF(O657&gt;0,"Profitable",IF(O657=0,"Break-even","Loss"))</f>
        <v>Profitable</v>
      </c>
      <c r="X657" s="1" t="str">
        <f aca="false">IF(Q657="Cancelled","Not Applicable",IF(Q657="Processing","Pending",IF(B657="","Unknown",IF(Orders!J657="","Unknown",IF(Orders!J657&lt;=3,"Fast",IF(Orders!J657&lt;=6,"Standard","Slow"))))))</f>
        <v>Fast</v>
      </c>
      <c r="Y657" s="1" t="n">
        <f aca="false">IF(OR(Q657="Cancelled",Q657="Returned"),0,O657)</f>
        <v>728.1</v>
      </c>
    </row>
    <row r="658" customFormat="false" ht="15" hidden="false" customHeight="false" outlineLevel="0" collapsed="false">
      <c r="A658" s="6" t="str">
        <f aca="false">Orders!A658</f>
        <v>O000657</v>
      </c>
      <c r="B658" s="19" t="n">
        <f aca="false">Orders!B658</f>
        <v>45881</v>
      </c>
      <c r="C658" s="6" t="str">
        <f aca="false">Orders!C658</f>
        <v>C0132</v>
      </c>
      <c r="D658" s="6" t="str">
        <f aca="false">Orders!D658</f>
        <v>P1094</v>
      </c>
      <c r="E658" s="6" t="str">
        <f aca="false">INDEX(Products!$B$2:$B$101,MATCH(D658,Products!$A$2:$A$101,0))</f>
        <v>Room Heater</v>
      </c>
      <c r="F658" s="1" t="str">
        <f aca="false">INDEX(Products!$C$2:$C$101,MATCH(D658,Products!$A$2:$A$101,0))</f>
        <v>Appliances</v>
      </c>
      <c r="G658" s="6" t="n">
        <f aca="false">Orders!E658</f>
        <v>3</v>
      </c>
      <c r="H658" s="16" t="n">
        <f aca="false">INDEX(Products!$D$2:$D$101,MATCH(D658,Products!$A$2:$A$101,0))</f>
        <v>1999</v>
      </c>
      <c r="I658" s="16" t="n">
        <f aca="false">INDEX(Products!$E$2:$E$101,MATCH(D658,Products!$A$2:$A$101,0))</f>
        <v>1250</v>
      </c>
      <c r="J658" s="20" t="n">
        <f aca="false">Orders!F658</f>
        <v>0.25</v>
      </c>
      <c r="K658" s="6" t="n">
        <f aca="false">G658*H658</f>
        <v>5997</v>
      </c>
      <c r="L658" s="6" t="n">
        <f aca="false">K658*J658</f>
        <v>1499.25</v>
      </c>
      <c r="M658" s="6" t="n">
        <f aca="false">K658-L658</f>
        <v>4497.75</v>
      </c>
      <c r="N658" s="6" t="n">
        <f aca="false">G658*I658</f>
        <v>3750</v>
      </c>
      <c r="O658" s="6" t="n">
        <f aca="false">M658-N658</f>
        <v>747.75</v>
      </c>
      <c r="P658" s="21" t="n">
        <f aca="false">IFERROR(O658/M658,0)</f>
        <v>0.166249791562448</v>
      </c>
      <c r="Q658" s="6" t="str">
        <f aca="false">Orders!H658</f>
        <v>Delivered</v>
      </c>
      <c r="R658" s="1" t="str">
        <f aca="false">INDEX(Customers!$C$2:$C$301,MATCH(C658,Customers!$A$2:$A$301,0))</f>
        <v>Noida</v>
      </c>
      <c r="S658" s="1" t="str">
        <f aca="false">INDEX(Customers!$E$2:$E$301,MATCH(C658,Customers!$A$2:$A$301,0))</f>
        <v>Returning</v>
      </c>
      <c r="T658" s="6" t="str">
        <f aca="false">Orders!I658</f>
        <v>Website</v>
      </c>
      <c r="U658" s="1" t="str">
        <f aca="false">IF(Q658="Delivered","Completed",IF(Q658="Cancelled","Cancelled",IF(Q658="Returned","Returned","In Progress")))</f>
        <v>Completed</v>
      </c>
      <c r="V658" s="1" t="str">
        <f aca="false">IF(M658&gt;=10000,"High Value",IF(M658&gt;=5000,"Medium Value","Low Value"))</f>
        <v>Low Value</v>
      </c>
      <c r="W658" s="1" t="str">
        <f aca="false">IF(O658&gt;0,"Profitable",IF(O658=0,"Break-even","Loss"))</f>
        <v>Profitable</v>
      </c>
      <c r="X658" s="1" t="str">
        <f aca="false">IF(Q658="Cancelled","Not Applicable",IF(Q658="Processing","Pending",IF(B658="","Unknown",IF(Orders!J658="","Unknown",IF(Orders!J658&lt;=3,"Fast",IF(Orders!J658&lt;=6,"Standard","Slow"))))))</f>
        <v>Slow</v>
      </c>
      <c r="Y658" s="1" t="n">
        <f aca="false">IF(OR(Q658="Cancelled",Q658="Returned"),0,O658)</f>
        <v>747.75</v>
      </c>
    </row>
    <row r="659" customFormat="false" ht="15" hidden="false" customHeight="false" outlineLevel="0" collapsed="false">
      <c r="A659" s="6" t="str">
        <f aca="false">Orders!A659</f>
        <v>O000658</v>
      </c>
      <c r="B659" s="19" t="n">
        <f aca="false">Orders!B659</f>
        <v>45998</v>
      </c>
      <c r="C659" s="6" t="str">
        <f aca="false">Orders!C659</f>
        <v>C0137</v>
      </c>
      <c r="D659" s="6" t="str">
        <f aca="false">Orders!D659</f>
        <v>P1082</v>
      </c>
      <c r="E659" s="6" t="str">
        <f aca="false">INDEX(Products!$B$2:$B$101,MATCH(D659,Products!$A$2:$A$101,0))</f>
        <v>File Folder Set</v>
      </c>
      <c r="F659" s="1" t="str">
        <f aca="false">INDEX(Products!$C$2:$C$101,MATCH(D659,Products!$A$2:$A$101,0))</f>
        <v>Books &amp; Stationery</v>
      </c>
      <c r="G659" s="6" t="n">
        <f aca="false">Orders!E659</f>
        <v>1</v>
      </c>
      <c r="H659" s="16" t="n">
        <f aca="false">INDEX(Products!$D$2:$D$101,MATCH(D659,Products!$A$2:$A$101,0))</f>
        <v>249</v>
      </c>
      <c r="I659" s="16" t="n">
        <f aca="false">INDEX(Products!$E$2:$E$101,MATCH(D659,Products!$A$2:$A$101,0))</f>
        <v>90</v>
      </c>
      <c r="J659" s="20" t="n">
        <f aca="false">Orders!F659</f>
        <v>0.15</v>
      </c>
      <c r="K659" s="6" t="n">
        <f aca="false">G659*H659</f>
        <v>249</v>
      </c>
      <c r="L659" s="6" t="n">
        <f aca="false">K659*J659</f>
        <v>37.35</v>
      </c>
      <c r="M659" s="6" t="n">
        <f aca="false">K659-L659</f>
        <v>211.65</v>
      </c>
      <c r="N659" s="6" t="n">
        <f aca="false">G659*I659</f>
        <v>90</v>
      </c>
      <c r="O659" s="6" t="n">
        <f aca="false">M659-N659</f>
        <v>121.65</v>
      </c>
      <c r="P659" s="21" t="n">
        <f aca="false">IFERROR(O659/M659,0)</f>
        <v>0.574769666902906</v>
      </c>
      <c r="Q659" s="6" t="str">
        <f aca="false">Orders!H659</f>
        <v>Cancelled</v>
      </c>
      <c r="R659" s="1" t="str">
        <f aca="false">INDEX(Customers!$C$2:$C$301,MATCH(C659,Customers!$A$2:$A$301,0))</f>
        <v>Surat</v>
      </c>
      <c r="S659" s="1" t="str">
        <f aca="false">INDEX(Customers!$E$2:$E$301,MATCH(C659,Customers!$A$2:$A$301,0))</f>
        <v>New</v>
      </c>
      <c r="T659" s="6" t="str">
        <f aca="false">Orders!I659</f>
        <v>Mobile App</v>
      </c>
      <c r="U659" s="1" t="str">
        <f aca="false">IF(Q659="Delivered","Completed",IF(Q659="Cancelled","Cancelled",IF(Q659="Returned","Returned","In Progress")))</f>
        <v>Cancelled</v>
      </c>
      <c r="V659" s="1" t="str">
        <f aca="false">IF(M659&gt;=10000,"High Value",IF(M659&gt;=5000,"Medium Value","Low Value"))</f>
        <v>Low Value</v>
      </c>
      <c r="W659" s="1" t="str">
        <f aca="false">IF(O659&gt;0,"Profitable",IF(O659=0,"Break-even","Loss"))</f>
        <v>Profitable</v>
      </c>
      <c r="X659" s="1" t="str">
        <f aca="false">IF(Q659="Cancelled","Not Applicable",IF(Q659="Processing","Pending",IF(B659="","Unknown",IF(Orders!J659="","Unknown",IF(Orders!J659&lt;=3,"Fast",IF(Orders!J659&lt;=6,"Standard","Slow"))))))</f>
        <v>Not Applicable</v>
      </c>
      <c r="Y659" s="1" t="n">
        <f aca="false">IF(OR(Q659="Cancelled",Q659="Returned"),0,O659)</f>
        <v>0</v>
      </c>
    </row>
    <row r="660" customFormat="false" ht="23.85" hidden="false" customHeight="false" outlineLevel="0" collapsed="false">
      <c r="A660" s="6" t="str">
        <f aca="false">Orders!A660</f>
        <v>O000659</v>
      </c>
      <c r="B660" s="19" t="n">
        <f aca="false">Orders!B660</f>
        <v>45947</v>
      </c>
      <c r="C660" s="6" t="str">
        <f aca="false">Orders!C660</f>
        <v>C0019</v>
      </c>
      <c r="D660" s="6" t="str">
        <f aca="false">Orders!D660</f>
        <v>P1093</v>
      </c>
      <c r="E660" s="6" t="str">
        <f aca="false">INDEX(Products!$B$2:$B$101,MATCH(D660,Products!$A$2:$A$101,0))</f>
        <v>Induction Cooktop</v>
      </c>
      <c r="F660" s="1" t="str">
        <f aca="false">INDEX(Products!$C$2:$C$101,MATCH(D660,Products!$A$2:$A$101,0))</f>
        <v>Appliances</v>
      </c>
      <c r="G660" s="6" t="n">
        <f aca="false">Orders!E660</f>
        <v>2</v>
      </c>
      <c r="H660" s="16" t="n">
        <f aca="false">INDEX(Products!$D$2:$D$101,MATCH(D660,Products!$A$2:$A$101,0))</f>
        <v>2299</v>
      </c>
      <c r="I660" s="16" t="n">
        <f aca="false">INDEX(Products!$E$2:$E$101,MATCH(D660,Products!$A$2:$A$101,0))</f>
        <v>1450</v>
      </c>
      <c r="J660" s="20" t="n">
        <f aca="false">Orders!F660</f>
        <v>0</v>
      </c>
      <c r="K660" s="6" t="n">
        <f aca="false">G660*H660</f>
        <v>4598</v>
      </c>
      <c r="L660" s="6" t="n">
        <f aca="false">K660*J660</f>
        <v>0</v>
      </c>
      <c r="M660" s="6" t="n">
        <f aca="false">K660-L660</f>
        <v>4598</v>
      </c>
      <c r="N660" s="6" t="n">
        <f aca="false">G660*I660</f>
        <v>2900</v>
      </c>
      <c r="O660" s="6" t="n">
        <f aca="false">M660-N660</f>
        <v>1698</v>
      </c>
      <c r="P660" s="21" t="n">
        <f aca="false">IFERROR(O660/M660,0)</f>
        <v>0.369290996085254</v>
      </c>
      <c r="Q660" s="6" t="str">
        <f aca="false">Orders!H660</f>
        <v>Delivered</v>
      </c>
      <c r="R660" s="1" t="str">
        <f aca="false">INDEX(Customers!$C$2:$C$301,MATCH(C660,Customers!$A$2:$A$301,0))</f>
        <v>Coimbatore</v>
      </c>
      <c r="S660" s="1" t="str">
        <f aca="false">INDEX(Customers!$E$2:$E$301,MATCH(C660,Customers!$A$2:$A$301,0))</f>
        <v>New</v>
      </c>
      <c r="T660" s="6" t="str">
        <f aca="false">Orders!I660</f>
        <v>Marketplace</v>
      </c>
      <c r="U660" s="1" t="str">
        <f aca="false">IF(Q660="Delivered","Completed",IF(Q660="Cancelled","Cancelled",IF(Q660="Returned","Returned","In Progress")))</f>
        <v>Completed</v>
      </c>
      <c r="V660" s="1" t="str">
        <f aca="false">IF(M660&gt;=10000,"High Value",IF(M660&gt;=5000,"Medium Value","Low Value"))</f>
        <v>Low Value</v>
      </c>
      <c r="W660" s="1" t="str">
        <f aca="false">IF(O660&gt;0,"Profitable",IF(O660=0,"Break-even","Loss"))</f>
        <v>Profitable</v>
      </c>
      <c r="X660" s="1" t="str">
        <f aca="false">IF(Q660="Cancelled","Not Applicable",IF(Q660="Processing","Pending",IF(B660="","Unknown",IF(Orders!J660="","Unknown",IF(Orders!J660&lt;=3,"Fast",IF(Orders!J660&lt;=6,"Standard","Slow"))))))</f>
        <v>Fast</v>
      </c>
      <c r="Y660" s="1" t="n">
        <f aca="false">IF(OR(Q660="Cancelled",Q660="Returned"),0,O660)</f>
        <v>1698</v>
      </c>
    </row>
    <row r="661" customFormat="false" ht="15" hidden="false" customHeight="false" outlineLevel="0" collapsed="false">
      <c r="A661" s="6" t="str">
        <f aca="false">Orders!A661</f>
        <v>O000660</v>
      </c>
      <c r="B661" s="19" t="n">
        <f aca="false">Orders!B661</f>
        <v>45997</v>
      </c>
      <c r="C661" s="6" t="str">
        <f aca="false">Orders!C661</f>
        <v>C0172</v>
      </c>
      <c r="D661" s="6" t="str">
        <f aca="false">Orders!D661</f>
        <v>P1013</v>
      </c>
      <c r="E661" s="6" t="str">
        <f aca="false">INDEX(Products!$B$2:$B$101,MATCH(D661,Products!$A$2:$A$101,0))</f>
        <v>Memory Card</v>
      </c>
      <c r="F661" s="1" t="str">
        <f aca="false">INDEX(Products!$C$2:$C$101,MATCH(D661,Products!$A$2:$A$101,0))</f>
        <v>Electronics</v>
      </c>
      <c r="G661" s="6" t="n">
        <f aca="false">Orders!E661</f>
        <v>1</v>
      </c>
      <c r="H661" s="16" t="n">
        <f aca="false">INDEX(Products!$D$2:$D$101,MATCH(D661,Products!$A$2:$A$101,0))</f>
        <v>699</v>
      </c>
      <c r="I661" s="16" t="n">
        <f aca="false">INDEX(Products!$E$2:$E$101,MATCH(D661,Products!$A$2:$A$101,0))</f>
        <v>400</v>
      </c>
      <c r="J661" s="20" t="n">
        <f aca="false">Orders!F661</f>
        <v>0.1</v>
      </c>
      <c r="K661" s="6" t="n">
        <f aca="false">G661*H661</f>
        <v>699</v>
      </c>
      <c r="L661" s="6" t="n">
        <f aca="false">K661*J661</f>
        <v>69.9</v>
      </c>
      <c r="M661" s="6" t="n">
        <f aca="false">K661-L661</f>
        <v>629.1</v>
      </c>
      <c r="N661" s="6" t="n">
        <f aca="false">G661*I661</f>
        <v>400</v>
      </c>
      <c r="O661" s="6" t="n">
        <f aca="false">M661-N661</f>
        <v>229.1</v>
      </c>
      <c r="P661" s="21" t="n">
        <f aca="false">IFERROR(O661/M661,0)</f>
        <v>0.364171037990781</v>
      </c>
      <c r="Q661" s="6" t="str">
        <f aca="false">Orders!H661</f>
        <v>Delivered</v>
      </c>
      <c r="R661" s="1" t="str">
        <f aca="false">INDEX(Customers!$C$2:$C$301,MATCH(C661,Customers!$A$2:$A$301,0))</f>
        <v>Noida</v>
      </c>
      <c r="S661" s="1" t="str">
        <f aca="false">INDEX(Customers!$E$2:$E$301,MATCH(C661,Customers!$A$2:$A$301,0))</f>
        <v>Returning</v>
      </c>
      <c r="T661" s="6" t="str">
        <f aca="false">Orders!I661</f>
        <v>Website</v>
      </c>
      <c r="U661" s="1" t="str">
        <f aca="false">IF(Q661="Delivered","Completed",IF(Q661="Cancelled","Cancelled",IF(Q661="Returned","Returned","In Progress")))</f>
        <v>Completed</v>
      </c>
      <c r="V661" s="1" t="str">
        <f aca="false">IF(M661&gt;=10000,"High Value",IF(M661&gt;=5000,"Medium Value","Low Value"))</f>
        <v>Low Value</v>
      </c>
      <c r="W661" s="1" t="str">
        <f aca="false">IF(O661&gt;0,"Profitable",IF(O661=0,"Break-even","Loss"))</f>
        <v>Profitable</v>
      </c>
      <c r="X661" s="1" t="str">
        <f aca="false">IF(Q661="Cancelled","Not Applicable",IF(Q661="Processing","Pending",IF(B661="","Unknown",IF(Orders!J661="","Unknown",IF(Orders!J661&lt;=3,"Fast",IF(Orders!J661&lt;=6,"Standard","Slow"))))))</f>
        <v>Standard</v>
      </c>
      <c r="Y661" s="1" t="n">
        <f aca="false">IF(OR(Q661="Cancelled",Q661="Returned"),0,O661)</f>
        <v>229.1</v>
      </c>
    </row>
    <row r="662" customFormat="false" ht="15" hidden="false" customHeight="false" outlineLevel="0" collapsed="false">
      <c r="A662" s="6" t="str">
        <f aca="false">Orders!A662</f>
        <v>O000661</v>
      </c>
      <c r="B662" s="19" t="n">
        <f aca="false">Orders!B662</f>
        <v>45965</v>
      </c>
      <c r="C662" s="6" t="str">
        <f aca="false">Orders!C662</f>
        <v>C0251</v>
      </c>
      <c r="D662" s="6" t="str">
        <f aca="false">Orders!D662</f>
        <v>P1057</v>
      </c>
      <c r="E662" s="6" t="str">
        <f aca="false">INDEX(Products!$B$2:$B$101,MATCH(D662,Products!$A$2:$A$101,0))</f>
        <v>Comb Set</v>
      </c>
      <c r="F662" s="1" t="str">
        <f aca="false">INDEX(Products!$C$2:$C$101,MATCH(D662,Products!$A$2:$A$101,0))</f>
        <v>Beauty</v>
      </c>
      <c r="G662" s="6" t="n">
        <f aca="false">Orders!E662</f>
        <v>2</v>
      </c>
      <c r="H662" s="16" t="n">
        <f aca="false">INDEX(Products!$D$2:$D$101,MATCH(D662,Products!$A$2:$A$101,0))</f>
        <v>199</v>
      </c>
      <c r="I662" s="16" t="n">
        <f aca="false">INDEX(Products!$E$2:$E$101,MATCH(D662,Products!$A$2:$A$101,0))</f>
        <v>65</v>
      </c>
      <c r="J662" s="20" t="n">
        <f aca="false">Orders!F662</f>
        <v>0.2</v>
      </c>
      <c r="K662" s="6" t="n">
        <f aca="false">G662*H662</f>
        <v>398</v>
      </c>
      <c r="L662" s="6" t="n">
        <f aca="false">K662*J662</f>
        <v>79.6</v>
      </c>
      <c r="M662" s="6" t="n">
        <f aca="false">K662-L662</f>
        <v>318.4</v>
      </c>
      <c r="N662" s="6" t="n">
        <f aca="false">G662*I662</f>
        <v>130</v>
      </c>
      <c r="O662" s="6" t="n">
        <f aca="false">M662-N662</f>
        <v>188.4</v>
      </c>
      <c r="P662" s="21" t="n">
        <f aca="false">IFERROR(O662/M662,0)</f>
        <v>0.591708542713568</v>
      </c>
      <c r="Q662" s="6" t="str">
        <f aca="false">Orders!H662</f>
        <v>Shipped</v>
      </c>
      <c r="R662" s="1" t="str">
        <f aca="false">INDEX(Customers!$C$2:$C$301,MATCH(C662,Customers!$A$2:$A$301,0))</f>
        <v>Gurugram</v>
      </c>
      <c r="S662" s="1" t="str">
        <f aca="false">INDEX(Customers!$E$2:$E$301,MATCH(C662,Customers!$A$2:$A$301,0))</f>
        <v>Returning</v>
      </c>
      <c r="T662" s="6" t="str">
        <f aca="false">Orders!I662</f>
        <v>Marketplace</v>
      </c>
      <c r="U662" s="1" t="str">
        <f aca="false">IF(Q662="Delivered","Completed",IF(Q662="Cancelled","Cancelled",IF(Q662="Returned","Returned","In Progress")))</f>
        <v>In Progress</v>
      </c>
      <c r="V662" s="1" t="str">
        <f aca="false">IF(M662&gt;=10000,"High Value",IF(M662&gt;=5000,"Medium Value","Low Value"))</f>
        <v>Low Value</v>
      </c>
      <c r="W662" s="1" t="str">
        <f aca="false">IF(O662&gt;0,"Profitable",IF(O662=0,"Break-even","Loss"))</f>
        <v>Profitable</v>
      </c>
      <c r="X662" s="1" t="str">
        <f aca="false">IF(Q662="Cancelled","Not Applicable",IF(Q662="Processing","Pending",IF(B662="","Unknown",IF(Orders!J662="","Unknown",IF(Orders!J662&lt;=3,"Fast",IF(Orders!J662&lt;=6,"Standard","Slow"))))))</f>
        <v>Fast</v>
      </c>
      <c r="Y662" s="1" t="n">
        <f aca="false">IF(OR(Q662="Cancelled",Q662="Returned"),0,O662)</f>
        <v>188.4</v>
      </c>
    </row>
    <row r="663" customFormat="false" ht="15" hidden="false" customHeight="false" outlineLevel="0" collapsed="false">
      <c r="A663" s="6" t="str">
        <f aca="false">Orders!A663</f>
        <v>O000662</v>
      </c>
      <c r="B663" s="19" t="n">
        <f aca="false">Orders!B663</f>
        <v>45740</v>
      </c>
      <c r="C663" s="6" t="str">
        <f aca="false">Orders!C663</f>
        <v>C0005</v>
      </c>
      <c r="D663" s="6" t="str">
        <f aca="false">Orders!D663</f>
        <v>P1022</v>
      </c>
      <c r="E663" s="6" t="str">
        <f aca="false">INDEX(Products!$B$2:$B$101,MATCH(D663,Products!$A$2:$A$101,0))</f>
        <v>Wallet</v>
      </c>
      <c r="F663" s="1" t="str">
        <f aca="false">INDEX(Products!$C$2:$C$101,MATCH(D663,Products!$A$2:$A$101,0))</f>
        <v>Fashion</v>
      </c>
      <c r="G663" s="6" t="n">
        <f aca="false">Orders!E663</f>
        <v>1</v>
      </c>
      <c r="H663" s="16" t="n">
        <f aca="false">INDEX(Products!$D$2:$D$101,MATCH(D663,Products!$A$2:$A$101,0))</f>
        <v>499</v>
      </c>
      <c r="I663" s="16" t="n">
        <f aca="false">INDEX(Products!$E$2:$E$101,MATCH(D663,Products!$A$2:$A$101,0))</f>
        <v>200</v>
      </c>
      <c r="J663" s="20" t="n">
        <f aca="false">Orders!F663</f>
        <v>0.05</v>
      </c>
      <c r="K663" s="6" t="n">
        <f aca="false">G663*H663</f>
        <v>499</v>
      </c>
      <c r="L663" s="6" t="n">
        <f aca="false">K663*J663</f>
        <v>24.95</v>
      </c>
      <c r="M663" s="6" t="n">
        <f aca="false">K663-L663</f>
        <v>474.05</v>
      </c>
      <c r="N663" s="6" t="n">
        <f aca="false">G663*I663</f>
        <v>200</v>
      </c>
      <c r="O663" s="6" t="n">
        <f aca="false">M663-N663</f>
        <v>274.05</v>
      </c>
      <c r="P663" s="21" t="n">
        <f aca="false">IFERROR(O663/M663,0)</f>
        <v>0.578103575572197</v>
      </c>
      <c r="Q663" s="6" t="str">
        <f aca="false">Orders!H663</f>
        <v>Shipped</v>
      </c>
      <c r="R663" s="1" t="str">
        <f aca="false">INDEX(Customers!$C$2:$C$301,MATCH(C663,Customers!$A$2:$A$301,0))</f>
        <v>Chennai</v>
      </c>
      <c r="S663" s="1" t="str">
        <f aca="false">INDEX(Customers!$E$2:$E$301,MATCH(C663,Customers!$A$2:$A$301,0))</f>
        <v>Returning</v>
      </c>
      <c r="T663" s="6" t="str">
        <f aca="false">Orders!I663</f>
        <v>Marketplace</v>
      </c>
      <c r="U663" s="1" t="str">
        <f aca="false">IF(Q663="Delivered","Completed",IF(Q663="Cancelled","Cancelled",IF(Q663="Returned","Returned","In Progress")))</f>
        <v>In Progress</v>
      </c>
      <c r="V663" s="1" t="str">
        <f aca="false">IF(M663&gt;=10000,"High Value",IF(M663&gt;=5000,"Medium Value","Low Value"))</f>
        <v>Low Value</v>
      </c>
      <c r="W663" s="1" t="str">
        <f aca="false">IF(O663&gt;0,"Profitable",IF(O663=0,"Break-even","Loss"))</f>
        <v>Profitable</v>
      </c>
      <c r="X663" s="1" t="str">
        <f aca="false">IF(Q663="Cancelled","Not Applicable",IF(Q663="Processing","Pending",IF(B663="","Unknown",IF(Orders!J663="","Unknown",IF(Orders!J663&lt;=3,"Fast",IF(Orders!J663&lt;=6,"Standard","Slow"))))))</f>
        <v>Fast</v>
      </c>
      <c r="Y663" s="1" t="n">
        <f aca="false">IF(OR(Q663="Cancelled",Q663="Returned"),0,O663)</f>
        <v>274.05</v>
      </c>
    </row>
    <row r="664" customFormat="false" ht="23.85" hidden="false" customHeight="false" outlineLevel="0" collapsed="false">
      <c r="A664" s="6" t="str">
        <f aca="false">Orders!A664</f>
        <v>O000663</v>
      </c>
      <c r="B664" s="19" t="n">
        <f aca="false">Orders!B664</f>
        <v>45691</v>
      </c>
      <c r="C664" s="6" t="str">
        <f aca="false">Orders!C664</f>
        <v>C0271</v>
      </c>
      <c r="D664" s="6" t="str">
        <f aca="false">Orders!D664</f>
        <v>P1081</v>
      </c>
      <c r="E664" s="6" t="str">
        <f aca="false">INDEX(Products!$B$2:$B$101,MATCH(D664,Products!$A$2:$A$101,0))</f>
        <v>Sticky Notes Pack</v>
      </c>
      <c r="F664" s="1" t="str">
        <f aca="false">INDEX(Products!$C$2:$C$101,MATCH(D664,Products!$A$2:$A$101,0))</f>
        <v>Books &amp; Stationery</v>
      </c>
      <c r="G664" s="6" t="n">
        <f aca="false">Orders!E664</f>
        <v>3</v>
      </c>
      <c r="H664" s="16" t="n">
        <f aca="false">INDEX(Products!$D$2:$D$101,MATCH(D664,Products!$A$2:$A$101,0))</f>
        <v>149</v>
      </c>
      <c r="I664" s="16" t="n">
        <f aca="false">INDEX(Products!$E$2:$E$101,MATCH(D664,Products!$A$2:$A$101,0))</f>
        <v>45</v>
      </c>
      <c r="J664" s="20" t="n">
        <f aca="false">Orders!F664</f>
        <v>0.1</v>
      </c>
      <c r="K664" s="6" t="n">
        <f aca="false">G664*H664</f>
        <v>447</v>
      </c>
      <c r="L664" s="6" t="n">
        <f aca="false">K664*J664</f>
        <v>44.7</v>
      </c>
      <c r="M664" s="6" t="n">
        <f aca="false">K664-L664</f>
        <v>402.3</v>
      </c>
      <c r="N664" s="6" t="n">
        <f aca="false">G664*I664</f>
        <v>135</v>
      </c>
      <c r="O664" s="6" t="n">
        <f aca="false">M664-N664</f>
        <v>267.3</v>
      </c>
      <c r="P664" s="21" t="n">
        <f aca="false">IFERROR(O664/M664,0)</f>
        <v>0.664429530201342</v>
      </c>
      <c r="Q664" s="6" t="str">
        <f aca="false">Orders!H664</f>
        <v>Delivered</v>
      </c>
      <c r="R664" s="1" t="str">
        <f aca="false">INDEX(Customers!$C$2:$C$301,MATCH(C664,Customers!$A$2:$A$301,0))</f>
        <v>Gurugram</v>
      </c>
      <c r="S664" s="1" t="str">
        <f aca="false">INDEX(Customers!$E$2:$E$301,MATCH(C664,Customers!$A$2:$A$301,0))</f>
        <v>New</v>
      </c>
      <c r="T664" s="6" t="str">
        <f aca="false">Orders!I664</f>
        <v>Website</v>
      </c>
      <c r="U664" s="1" t="str">
        <f aca="false">IF(Q664="Delivered","Completed",IF(Q664="Cancelled","Cancelled",IF(Q664="Returned","Returned","In Progress")))</f>
        <v>Completed</v>
      </c>
      <c r="V664" s="1" t="str">
        <f aca="false">IF(M664&gt;=10000,"High Value",IF(M664&gt;=5000,"Medium Value","Low Value"))</f>
        <v>Low Value</v>
      </c>
      <c r="W664" s="1" t="str">
        <f aca="false">IF(O664&gt;0,"Profitable",IF(O664=0,"Break-even","Loss"))</f>
        <v>Profitable</v>
      </c>
      <c r="X664" s="1" t="str">
        <f aca="false">IF(Q664="Cancelled","Not Applicable",IF(Q664="Processing","Pending",IF(B664="","Unknown",IF(Orders!J664="","Unknown",IF(Orders!J664&lt;=3,"Fast",IF(Orders!J664&lt;=6,"Standard","Slow"))))))</f>
        <v>Standard</v>
      </c>
      <c r="Y664" s="1" t="n">
        <f aca="false">IF(OR(Q664="Cancelled",Q664="Returned"),0,O664)</f>
        <v>267.3</v>
      </c>
    </row>
    <row r="665" customFormat="false" ht="23.85" hidden="false" customHeight="false" outlineLevel="0" collapsed="false">
      <c r="A665" s="6" t="str">
        <f aca="false">Orders!A665</f>
        <v>O000664</v>
      </c>
      <c r="B665" s="19" t="n">
        <f aca="false">Orders!B665</f>
        <v>45872</v>
      </c>
      <c r="C665" s="6" t="str">
        <f aca="false">Orders!C665</f>
        <v>C0092</v>
      </c>
      <c r="D665" s="6" t="str">
        <f aca="false">Orders!D665</f>
        <v>P1099</v>
      </c>
      <c r="E665" s="6" t="str">
        <f aca="false">INDEX(Products!$B$2:$B$101,MATCH(D665,Products!$A$2:$A$101,0))</f>
        <v>Sandwich Maker</v>
      </c>
      <c r="F665" s="1" t="str">
        <f aca="false">INDEX(Products!$C$2:$C$101,MATCH(D665,Products!$A$2:$A$101,0))</f>
        <v>Appliances</v>
      </c>
      <c r="G665" s="6" t="n">
        <f aca="false">Orders!E665</f>
        <v>1</v>
      </c>
      <c r="H665" s="16" t="n">
        <f aca="false">INDEX(Products!$D$2:$D$101,MATCH(D665,Products!$A$2:$A$101,0))</f>
        <v>1299</v>
      </c>
      <c r="I665" s="16" t="n">
        <f aca="false">INDEX(Products!$E$2:$E$101,MATCH(D665,Products!$A$2:$A$101,0))</f>
        <v>750</v>
      </c>
      <c r="J665" s="20" t="n">
        <f aca="false">Orders!F665</f>
        <v>0</v>
      </c>
      <c r="K665" s="6" t="n">
        <f aca="false">G665*H665</f>
        <v>1299</v>
      </c>
      <c r="L665" s="6" t="n">
        <f aca="false">K665*J665</f>
        <v>0</v>
      </c>
      <c r="M665" s="6" t="n">
        <f aca="false">K665-L665</f>
        <v>1299</v>
      </c>
      <c r="N665" s="6" t="n">
        <f aca="false">G665*I665</f>
        <v>750</v>
      </c>
      <c r="O665" s="6" t="n">
        <f aca="false">M665-N665</f>
        <v>549</v>
      </c>
      <c r="P665" s="21" t="n">
        <f aca="false">IFERROR(O665/M665,0)</f>
        <v>0.422632794457275</v>
      </c>
      <c r="Q665" s="6" t="str">
        <f aca="false">Orders!H665</f>
        <v>Delivered</v>
      </c>
      <c r="R665" s="1" t="str">
        <f aca="false">INDEX(Customers!$C$2:$C$301,MATCH(C665,Customers!$A$2:$A$301,0))</f>
        <v>Noida</v>
      </c>
      <c r="S665" s="1" t="str">
        <f aca="false">INDEX(Customers!$E$2:$E$301,MATCH(C665,Customers!$A$2:$A$301,0))</f>
        <v>New</v>
      </c>
      <c r="T665" s="6" t="str">
        <f aca="false">Orders!I665</f>
        <v>Marketplace</v>
      </c>
      <c r="U665" s="1" t="str">
        <f aca="false">IF(Q665="Delivered","Completed",IF(Q665="Cancelled","Cancelled",IF(Q665="Returned","Returned","In Progress")))</f>
        <v>Completed</v>
      </c>
      <c r="V665" s="1" t="str">
        <f aca="false">IF(M665&gt;=10000,"High Value",IF(M665&gt;=5000,"Medium Value","Low Value"))</f>
        <v>Low Value</v>
      </c>
      <c r="W665" s="1" t="str">
        <f aca="false">IF(O665&gt;0,"Profitable",IF(O665=0,"Break-even","Loss"))</f>
        <v>Profitable</v>
      </c>
      <c r="X665" s="1" t="str">
        <f aca="false">IF(Q665="Cancelled","Not Applicable",IF(Q665="Processing","Pending",IF(B665="","Unknown",IF(Orders!J665="","Unknown",IF(Orders!J665&lt;=3,"Fast",IF(Orders!J665&lt;=6,"Standard","Slow"))))))</f>
        <v>Slow</v>
      </c>
      <c r="Y665" s="1" t="n">
        <f aca="false">IF(OR(Q665="Cancelled",Q665="Returned"),0,O665)</f>
        <v>549</v>
      </c>
    </row>
    <row r="666" customFormat="false" ht="23.85" hidden="false" customHeight="false" outlineLevel="0" collapsed="false">
      <c r="A666" s="6" t="str">
        <f aca="false">Orders!A666</f>
        <v>O000665</v>
      </c>
      <c r="B666" s="19" t="n">
        <f aca="false">Orders!B666</f>
        <v>45662</v>
      </c>
      <c r="C666" s="6" t="str">
        <f aca="false">Orders!C666</f>
        <v>C0082</v>
      </c>
      <c r="D666" s="6" t="str">
        <f aca="false">Orders!D666</f>
        <v>P1069</v>
      </c>
      <c r="E666" s="6" t="str">
        <f aca="false">INDEX(Products!$B$2:$B$101,MATCH(D666,Products!$A$2:$A$101,0))</f>
        <v>Sports Duffel Bag</v>
      </c>
      <c r="F666" s="1" t="str">
        <f aca="false">INDEX(Products!$C$2:$C$101,MATCH(D666,Products!$A$2:$A$101,0))</f>
        <v>Sports &amp; Outdoors</v>
      </c>
      <c r="G666" s="6" t="n">
        <f aca="false">Orders!E666</f>
        <v>2</v>
      </c>
      <c r="H666" s="16" t="n">
        <f aca="false">INDEX(Products!$D$2:$D$101,MATCH(D666,Products!$A$2:$A$101,0))</f>
        <v>999</v>
      </c>
      <c r="I666" s="16" t="n">
        <f aca="false">INDEX(Products!$E$2:$E$101,MATCH(D666,Products!$A$2:$A$101,0))</f>
        <v>500</v>
      </c>
      <c r="J666" s="20" t="n">
        <f aca="false">Orders!F666</f>
        <v>0.05</v>
      </c>
      <c r="K666" s="6" t="n">
        <f aca="false">G666*H666</f>
        <v>1998</v>
      </c>
      <c r="L666" s="6" t="n">
        <f aca="false">K666*J666</f>
        <v>99.9</v>
      </c>
      <c r="M666" s="6" t="n">
        <f aca="false">K666-L666</f>
        <v>1898.1</v>
      </c>
      <c r="N666" s="6" t="n">
        <f aca="false">G666*I666</f>
        <v>1000</v>
      </c>
      <c r="O666" s="6" t="n">
        <f aca="false">M666-N666</f>
        <v>898.1</v>
      </c>
      <c r="P666" s="21" t="n">
        <f aca="false">IFERROR(O666/M666,0)</f>
        <v>0.47315736789421</v>
      </c>
      <c r="Q666" s="6" t="str">
        <f aca="false">Orders!H666</f>
        <v>Delivered</v>
      </c>
      <c r="R666" s="1" t="str">
        <f aca="false">INDEX(Customers!$C$2:$C$301,MATCH(C666,Customers!$A$2:$A$301,0))</f>
        <v>Mumbai</v>
      </c>
      <c r="S666" s="1" t="str">
        <f aca="false">INDEX(Customers!$E$2:$E$301,MATCH(C666,Customers!$A$2:$A$301,0))</f>
        <v>Returning</v>
      </c>
      <c r="T666" s="6" t="str">
        <f aca="false">Orders!I666</f>
        <v>Mobile App</v>
      </c>
      <c r="U666" s="1" t="str">
        <f aca="false">IF(Q666="Delivered","Completed",IF(Q666="Cancelled","Cancelled",IF(Q666="Returned","Returned","In Progress")))</f>
        <v>Completed</v>
      </c>
      <c r="V666" s="1" t="str">
        <f aca="false">IF(M666&gt;=10000,"High Value",IF(M666&gt;=5000,"Medium Value","Low Value"))</f>
        <v>Low Value</v>
      </c>
      <c r="W666" s="1" t="str">
        <f aca="false">IF(O666&gt;0,"Profitable",IF(O666=0,"Break-even","Loss"))</f>
        <v>Profitable</v>
      </c>
      <c r="X666" s="1" t="str">
        <f aca="false">IF(Q666="Cancelled","Not Applicable",IF(Q666="Processing","Pending",IF(B666="","Unknown",IF(Orders!J666="","Unknown",IF(Orders!J666&lt;=3,"Fast",IF(Orders!J666&lt;=6,"Standard","Slow"))))))</f>
        <v>Fast</v>
      </c>
      <c r="Y666" s="1" t="n">
        <f aca="false">IF(OR(Q666="Cancelled",Q666="Returned"),0,O666)</f>
        <v>898.1</v>
      </c>
    </row>
    <row r="667" customFormat="false" ht="23.85" hidden="false" customHeight="false" outlineLevel="0" collapsed="false">
      <c r="A667" s="6" t="str">
        <f aca="false">Orders!A667</f>
        <v>O000666</v>
      </c>
      <c r="B667" s="19" t="n">
        <f aca="false">Orders!B667</f>
        <v>45872</v>
      </c>
      <c r="C667" s="6" t="str">
        <f aca="false">Orders!C667</f>
        <v>C0210</v>
      </c>
      <c r="D667" s="6" t="str">
        <f aca="false">Orders!D667</f>
        <v>P1069</v>
      </c>
      <c r="E667" s="6" t="str">
        <f aca="false">INDEX(Products!$B$2:$B$101,MATCH(D667,Products!$A$2:$A$101,0))</f>
        <v>Sports Duffel Bag</v>
      </c>
      <c r="F667" s="1" t="str">
        <f aca="false">INDEX(Products!$C$2:$C$101,MATCH(D667,Products!$A$2:$A$101,0))</f>
        <v>Sports &amp; Outdoors</v>
      </c>
      <c r="G667" s="6" t="n">
        <f aca="false">Orders!E667</f>
        <v>1</v>
      </c>
      <c r="H667" s="16" t="n">
        <f aca="false">INDEX(Products!$D$2:$D$101,MATCH(D667,Products!$A$2:$A$101,0))</f>
        <v>999</v>
      </c>
      <c r="I667" s="16" t="n">
        <f aca="false">INDEX(Products!$E$2:$E$101,MATCH(D667,Products!$A$2:$A$101,0))</f>
        <v>500</v>
      </c>
      <c r="J667" s="20" t="n">
        <f aca="false">Orders!F667</f>
        <v>0.1</v>
      </c>
      <c r="K667" s="6" t="n">
        <f aca="false">G667*H667</f>
        <v>999</v>
      </c>
      <c r="L667" s="6" t="n">
        <f aca="false">K667*J667</f>
        <v>99.9</v>
      </c>
      <c r="M667" s="6" t="n">
        <f aca="false">K667-L667</f>
        <v>899.1</v>
      </c>
      <c r="N667" s="6" t="n">
        <f aca="false">G667*I667</f>
        <v>500</v>
      </c>
      <c r="O667" s="6" t="n">
        <f aca="false">M667-N667</f>
        <v>399.1</v>
      </c>
      <c r="P667" s="21" t="n">
        <f aca="false">IFERROR(O667/M667,0)</f>
        <v>0.443888332777222</v>
      </c>
      <c r="Q667" s="6" t="str">
        <f aca="false">Orders!H667</f>
        <v>Delivered</v>
      </c>
      <c r="R667" s="1" t="str">
        <f aca="false">INDEX(Customers!$C$2:$C$301,MATCH(C667,Customers!$A$2:$A$301,0))</f>
        <v>Lucknow</v>
      </c>
      <c r="S667" s="1" t="str">
        <f aca="false">INDEX(Customers!$E$2:$E$301,MATCH(C667,Customers!$A$2:$A$301,0))</f>
        <v>Returning</v>
      </c>
      <c r="T667" s="6" t="str">
        <f aca="false">Orders!I667</f>
        <v>Mobile App</v>
      </c>
      <c r="U667" s="1" t="str">
        <f aca="false">IF(Q667="Delivered","Completed",IF(Q667="Cancelled","Cancelled",IF(Q667="Returned","Returned","In Progress")))</f>
        <v>Completed</v>
      </c>
      <c r="V667" s="1" t="str">
        <f aca="false">IF(M667&gt;=10000,"High Value",IF(M667&gt;=5000,"Medium Value","Low Value"))</f>
        <v>Low Value</v>
      </c>
      <c r="W667" s="1" t="str">
        <f aca="false">IF(O667&gt;0,"Profitable",IF(O667=0,"Break-even","Loss"))</f>
        <v>Profitable</v>
      </c>
      <c r="X667" s="1" t="str">
        <f aca="false">IF(Q667="Cancelled","Not Applicable",IF(Q667="Processing","Pending",IF(B667="","Unknown",IF(Orders!J667="","Unknown",IF(Orders!J667&lt;=3,"Fast",IF(Orders!J667&lt;=6,"Standard","Slow"))))))</f>
        <v>Slow</v>
      </c>
      <c r="Y667" s="1" t="n">
        <f aca="false">IF(OR(Q667="Cancelled",Q667="Returned"),0,O667)</f>
        <v>399.1</v>
      </c>
    </row>
    <row r="668" customFormat="false" ht="15" hidden="false" customHeight="false" outlineLevel="0" collapsed="false">
      <c r="A668" s="6" t="str">
        <f aca="false">Orders!A668</f>
        <v>O000667</v>
      </c>
      <c r="B668" s="19" t="n">
        <f aca="false">Orders!B668</f>
        <v>45728</v>
      </c>
      <c r="C668" s="6" t="str">
        <f aca="false">Orders!C668</f>
        <v>C0237</v>
      </c>
      <c r="D668" s="6" t="str">
        <f aca="false">Orders!D668</f>
        <v>P1028</v>
      </c>
      <c r="E668" s="6" t="str">
        <f aca="false">INDEX(Products!$B$2:$B$101,MATCH(D668,Products!$A$2:$A$101,0))</f>
        <v>Sneakers</v>
      </c>
      <c r="F668" s="1" t="str">
        <f aca="false">INDEX(Products!$C$2:$C$101,MATCH(D668,Products!$A$2:$A$101,0))</f>
        <v>Fashion</v>
      </c>
      <c r="G668" s="6" t="n">
        <f aca="false">Orders!E668</f>
        <v>1</v>
      </c>
      <c r="H668" s="16" t="n">
        <f aca="false">INDEX(Products!$D$2:$D$101,MATCH(D668,Products!$A$2:$A$101,0))</f>
        <v>1799</v>
      </c>
      <c r="I668" s="16" t="n">
        <f aca="false">INDEX(Products!$E$2:$E$101,MATCH(D668,Products!$A$2:$A$101,0))</f>
        <v>950</v>
      </c>
      <c r="J668" s="20" t="n">
        <f aca="false">Orders!F668</f>
        <v>0</v>
      </c>
      <c r="K668" s="6" t="n">
        <f aca="false">G668*H668</f>
        <v>1799</v>
      </c>
      <c r="L668" s="6" t="n">
        <f aca="false">K668*J668</f>
        <v>0</v>
      </c>
      <c r="M668" s="6" t="n">
        <f aca="false">K668-L668</f>
        <v>1799</v>
      </c>
      <c r="N668" s="6" t="n">
        <f aca="false">G668*I668</f>
        <v>950</v>
      </c>
      <c r="O668" s="6" t="n">
        <f aca="false">M668-N668</f>
        <v>849</v>
      </c>
      <c r="P668" s="21" t="n">
        <f aca="false">IFERROR(O668/M668,0)</f>
        <v>0.471928849360756</v>
      </c>
      <c r="Q668" s="6" t="str">
        <f aca="false">Orders!H668</f>
        <v>Delivered</v>
      </c>
      <c r="R668" s="1" t="str">
        <f aca="false">INDEX(Customers!$C$2:$C$301,MATCH(C668,Customers!$A$2:$A$301,0))</f>
        <v>Surat</v>
      </c>
      <c r="S668" s="1" t="str">
        <f aca="false">INDEX(Customers!$E$2:$E$301,MATCH(C668,Customers!$A$2:$A$301,0))</f>
        <v>Returning</v>
      </c>
      <c r="T668" s="6" t="str">
        <f aca="false">Orders!I668</f>
        <v>Mobile App</v>
      </c>
      <c r="U668" s="1" t="str">
        <f aca="false">IF(Q668="Delivered","Completed",IF(Q668="Cancelled","Cancelled",IF(Q668="Returned","Returned","In Progress")))</f>
        <v>Completed</v>
      </c>
      <c r="V668" s="1" t="str">
        <f aca="false">IF(M668&gt;=10000,"High Value",IF(M668&gt;=5000,"Medium Value","Low Value"))</f>
        <v>Low Value</v>
      </c>
      <c r="W668" s="1" t="str">
        <f aca="false">IF(O668&gt;0,"Profitable",IF(O668=0,"Break-even","Loss"))</f>
        <v>Profitable</v>
      </c>
      <c r="X668" s="1" t="str">
        <f aca="false">IF(Q668="Cancelled","Not Applicable",IF(Q668="Processing","Pending",IF(B668="","Unknown",IF(Orders!J668="","Unknown",IF(Orders!J668&lt;=3,"Fast",IF(Orders!J668&lt;=6,"Standard","Slow"))))))</f>
        <v>Fast</v>
      </c>
      <c r="Y668" s="1" t="n">
        <f aca="false">IF(OR(Q668="Cancelled",Q668="Returned"),0,O668)</f>
        <v>849</v>
      </c>
    </row>
    <row r="669" customFormat="false" ht="15" hidden="false" customHeight="false" outlineLevel="0" collapsed="false">
      <c r="A669" s="6" t="str">
        <f aca="false">Orders!A669</f>
        <v>O000668</v>
      </c>
      <c r="B669" s="19" t="n">
        <f aca="false">Orders!B669</f>
        <v>45878</v>
      </c>
      <c r="C669" s="6" t="str">
        <f aca="false">Orders!C669</f>
        <v>C0144</v>
      </c>
      <c r="D669" s="6" t="str">
        <f aca="false">Orders!D669</f>
        <v>P1076</v>
      </c>
      <c r="E669" s="6" t="str">
        <f aca="false">INDEX(Products!$B$2:$B$101,MATCH(D669,Products!$A$2:$A$101,0))</f>
        <v>Desk Organizer</v>
      </c>
      <c r="F669" s="1" t="str">
        <f aca="false">INDEX(Products!$C$2:$C$101,MATCH(D669,Products!$A$2:$A$101,0))</f>
        <v>Books &amp; Stationery</v>
      </c>
      <c r="G669" s="6" t="n">
        <f aca="false">Orders!E669</f>
        <v>1</v>
      </c>
      <c r="H669" s="16" t="n">
        <f aca="false">INDEX(Products!$D$2:$D$101,MATCH(D669,Products!$A$2:$A$101,0))</f>
        <v>399</v>
      </c>
      <c r="I669" s="16" t="n">
        <f aca="false">INDEX(Products!$E$2:$E$101,MATCH(D669,Products!$A$2:$A$101,0))</f>
        <v>170</v>
      </c>
      <c r="J669" s="20" t="n">
        <f aca="false">Orders!F669</f>
        <v>0.05</v>
      </c>
      <c r="K669" s="6" t="n">
        <f aca="false">G669*H669</f>
        <v>399</v>
      </c>
      <c r="L669" s="6" t="n">
        <f aca="false">K669*J669</f>
        <v>19.95</v>
      </c>
      <c r="M669" s="6" t="n">
        <f aca="false">K669-L669</f>
        <v>379.05</v>
      </c>
      <c r="N669" s="6" t="n">
        <f aca="false">G669*I669</f>
        <v>170</v>
      </c>
      <c r="O669" s="6" t="n">
        <f aca="false">M669-N669</f>
        <v>209.05</v>
      </c>
      <c r="P669" s="21" t="n">
        <f aca="false">IFERROR(O669/M669,0)</f>
        <v>0.551510354834455</v>
      </c>
      <c r="Q669" s="6" t="str">
        <f aca="false">Orders!H669</f>
        <v>Delivered</v>
      </c>
      <c r="R669" s="1" t="str">
        <f aca="false">INDEX(Customers!$C$2:$C$301,MATCH(C669,Customers!$A$2:$A$301,0))</f>
        <v>Hyderabad</v>
      </c>
      <c r="S669" s="1" t="str">
        <f aca="false">INDEX(Customers!$E$2:$E$301,MATCH(C669,Customers!$A$2:$A$301,0))</f>
        <v>Returning</v>
      </c>
      <c r="T669" s="6" t="str">
        <f aca="false">Orders!I669</f>
        <v>Marketplace</v>
      </c>
      <c r="U669" s="1" t="str">
        <f aca="false">IF(Q669="Delivered","Completed",IF(Q669="Cancelled","Cancelled",IF(Q669="Returned","Returned","In Progress")))</f>
        <v>Completed</v>
      </c>
      <c r="V669" s="1" t="str">
        <f aca="false">IF(M669&gt;=10000,"High Value",IF(M669&gt;=5000,"Medium Value","Low Value"))</f>
        <v>Low Value</v>
      </c>
      <c r="W669" s="1" t="str">
        <f aca="false">IF(O669&gt;0,"Profitable",IF(O669=0,"Break-even","Loss"))</f>
        <v>Profitable</v>
      </c>
      <c r="X669" s="1" t="str">
        <f aca="false">IF(Q669="Cancelled","Not Applicable",IF(Q669="Processing","Pending",IF(B669="","Unknown",IF(Orders!J669="","Unknown",IF(Orders!J669&lt;=3,"Fast",IF(Orders!J669&lt;=6,"Standard","Slow"))))))</f>
        <v>Standard</v>
      </c>
      <c r="Y669" s="1" t="n">
        <f aca="false">IF(OR(Q669="Cancelled",Q669="Returned"),0,O669)</f>
        <v>209.05</v>
      </c>
    </row>
    <row r="670" customFormat="false" ht="15" hidden="false" customHeight="false" outlineLevel="0" collapsed="false">
      <c r="A670" s="6" t="str">
        <f aca="false">Orders!A670</f>
        <v>O000669</v>
      </c>
      <c r="B670" s="19" t="n">
        <f aca="false">Orders!B670</f>
        <v>45761</v>
      </c>
      <c r="C670" s="6" t="str">
        <f aca="false">Orders!C670</f>
        <v>C0091</v>
      </c>
      <c r="D670" s="6" t="str">
        <f aca="false">Orders!D670</f>
        <v>P1084</v>
      </c>
      <c r="E670" s="6" t="str">
        <f aca="false">INDEX(Products!$B$2:$B$101,MATCH(D670,Products!$A$2:$A$101,0))</f>
        <v>Whiteboard</v>
      </c>
      <c r="F670" s="1" t="str">
        <f aca="false">INDEX(Products!$C$2:$C$101,MATCH(D670,Products!$A$2:$A$101,0))</f>
        <v>Books &amp; Stationery</v>
      </c>
      <c r="G670" s="6" t="n">
        <f aca="false">Orders!E670</f>
        <v>1</v>
      </c>
      <c r="H670" s="16" t="n">
        <f aca="false">INDEX(Products!$D$2:$D$101,MATCH(D670,Products!$A$2:$A$101,0))</f>
        <v>799</v>
      </c>
      <c r="I670" s="16" t="n">
        <f aca="false">INDEX(Products!$E$2:$E$101,MATCH(D670,Products!$A$2:$A$101,0))</f>
        <v>420</v>
      </c>
      <c r="J670" s="20" t="n">
        <f aca="false">Orders!F670</f>
        <v>0</v>
      </c>
      <c r="K670" s="6" t="n">
        <f aca="false">G670*H670</f>
        <v>799</v>
      </c>
      <c r="L670" s="6" t="n">
        <f aca="false">K670*J670</f>
        <v>0</v>
      </c>
      <c r="M670" s="6" t="n">
        <f aca="false">K670-L670</f>
        <v>799</v>
      </c>
      <c r="N670" s="6" t="n">
        <f aca="false">G670*I670</f>
        <v>420</v>
      </c>
      <c r="O670" s="6" t="n">
        <f aca="false">M670-N670</f>
        <v>379</v>
      </c>
      <c r="P670" s="21" t="n">
        <f aca="false">IFERROR(O670/M670,0)</f>
        <v>0.474342928660826</v>
      </c>
      <c r="Q670" s="6" t="str">
        <f aca="false">Orders!H670</f>
        <v>Processing</v>
      </c>
      <c r="R670" s="1" t="str">
        <f aca="false">INDEX(Customers!$C$2:$C$301,MATCH(C670,Customers!$A$2:$A$301,0))</f>
        <v>Gurugram</v>
      </c>
      <c r="S670" s="1" t="str">
        <f aca="false">INDEX(Customers!$E$2:$E$301,MATCH(C670,Customers!$A$2:$A$301,0))</f>
        <v>Returning</v>
      </c>
      <c r="T670" s="6" t="str">
        <f aca="false">Orders!I670</f>
        <v>Mobile App</v>
      </c>
      <c r="U670" s="1" t="str">
        <f aca="false">IF(Q670="Delivered","Completed",IF(Q670="Cancelled","Cancelled",IF(Q670="Returned","Returned","In Progress")))</f>
        <v>In Progress</v>
      </c>
      <c r="V670" s="1" t="str">
        <f aca="false">IF(M670&gt;=10000,"High Value",IF(M670&gt;=5000,"Medium Value","Low Value"))</f>
        <v>Low Value</v>
      </c>
      <c r="W670" s="1" t="str">
        <f aca="false">IF(O670&gt;0,"Profitable",IF(O670=0,"Break-even","Loss"))</f>
        <v>Profitable</v>
      </c>
      <c r="X670" s="1" t="str">
        <f aca="false">IF(Q670="Cancelled","Not Applicable",IF(Q670="Processing","Pending",IF(B670="","Unknown",IF(Orders!J670="","Unknown",IF(Orders!J670&lt;=3,"Fast",IF(Orders!J670&lt;=6,"Standard","Slow"))))))</f>
        <v>Pending</v>
      </c>
      <c r="Y670" s="1" t="n">
        <f aca="false">IF(OR(Q670="Cancelled",Q670="Returned"),0,O670)</f>
        <v>379</v>
      </c>
    </row>
    <row r="671" customFormat="false" ht="15" hidden="false" customHeight="false" outlineLevel="0" collapsed="false">
      <c r="A671" s="6" t="str">
        <f aca="false">Orders!A671</f>
        <v>O000670</v>
      </c>
      <c r="B671" s="19" t="n">
        <f aca="false">Orders!B671</f>
        <v>45714</v>
      </c>
      <c r="C671" s="6" t="str">
        <f aca="false">Orders!C671</f>
        <v>C0048</v>
      </c>
      <c r="D671" s="6" t="str">
        <f aca="false">Orders!D671</f>
        <v>P1098</v>
      </c>
      <c r="E671" s="6" t="str">
        <f aca="false">INDEX(Products!$B$2:$B$101,MATCH(D671,Products!$A$2:$A$101,0))</f>
        <v>Steam Iron</v>
      </c>
      <c r="F671" s="1" t="str">
        <f aca="false">INDEX(Products!$C$2:$C$101,MATCH(D671,Products!$A$2:$A$101,0))</f>
        <v>Appliances</v>
      </c>
      <c r="G671" s="6" t="n">
        <f aca="false">Orders!E671</f>
        <v>2</v>
      </c>
      <c r="H671" s="16" t="n">
        <f aca="false">INDEX(Products!$D$2:$D$101,MATCH(D671,Products!$A$2:$A$101,0))</f>
        <v>999</v>
      </c>
      <c r="I671" s="16" t="n">
        <f aca="false">INDEX(Products!$E$2:$E$101,MATCH(D671,Products!$A$2:$A$101,0))</f>
        <v>550</v>
      </c>
      <c r="J671" s="20" t="n">
        <f aca="false">Orders!F671</f>
        <v>0</v>
      </c>
      <c r="K671" s="6" t="n">
        <f aca="false">G671*H671</f>
        <v>1998</v>
      </c>
      <c r="L671" s="6" t="n">
        <f aca="false">K671*J671</f>
        <v>0</v>
      </c>
      <c r="M671" s="6" t="n">
        <f aca="false">K671-L671</f>
        <v>1998</v>
      </c>
      <c r="N671" s="6" t="n">
        <f aca="false">G671*I671</f>
        <v>1100</v>
      </c>
      <c r="O671" s="6" t="n">
        <f aca="false">M671-N671</f>
        <v>898</v>
      </c>
      <c r="P671" s="21" t="n">
        <f aca="false">IFERROR(O671/M671,0)</f>
        <v>0.449449449449449</v>
      </c>
      <c r="Q671" s="6" t="str">
        <f aca="false">Orders!H671</f>
        <v>Delivered</v>
      </c>
      <c r="R671" s="1" t="str">
        <f aca="false">INDEX(Customers!$C$2:$C$301,MATCH(C671,Customers!$A$2:$A$301,0))</f>
        <v>Jaipur</v>
      </c>
      <c r="S671" s="1" t="str">
        <f aca="false">INDEX(Customers!$E$2:$E$301,MATCH(C671,Customers!$A$2:$A$301,0))</f>
        <v>New</v>
      </c>
      <c r="T671" s="6" t="str">
        <f aca="false">Orders!I671</f>
        <v>Mobile App</v>
      </c>
      <c r="U671" s="1" t="str">
        <f aca="false">IF(Q671="Delivered","Completed",IF(Q671="Cancelled","Cancelled",IF(Q671="Returned","Returned","In Progress")))</f>
        <v>Completed</v>
      </c>
      <c r="V671" s="1" t="str">
        <f aca="false">IF(M671&gt;=10000,"High Value",IF(M671&gt;=5000,"Medium Value","Low Value"))</f>
        <v>Low Value</v>
      </c>
      <c r="W671" s="1" t="str">
        <f aca="false">IF(O671&gt;0,"Profitable",IF(O671=0,"Break-even","Loss"))</f>
        <v>Profitable</v>
      </c>
      <c r="X671" s="1" t="str">
        <f aca="false">IF(Q671="Cancelled","Not Applicable",IF(Q671="Processing","Pending",IF(B671="","Unknown",IF(Orders!J671="","Unknown",IF(Orders!J671&lt;=3,"Fast",IF(Orders!J671&lt;=6,"Standard","Slow"))))))</f>
        <v>Slow</v>
      </c>
      <c r="Y671" s="1" t="n">
        <f aca="false">IF(OR(Q671="Cancelled",Q671="Returned"),0,O671)</f>
        <v>898</v>
      </c>
    </row>
    <row r="672" customFormat="false" ht="15" hidden="false" customHeight="false" outlineLevel="0" collapsed="false">
      <c r="A672" s="6" t="str">
        <f aca="false">Orders!A672</f>
        <v>O000671</v>
      </c>
      <c r="B672" s="19" t="n">
        <f aca="false">Orders!B672</f>
        <v>45694</v>
      </c>
      <c r="C672" s="6" t="str">
        <f aca="false">Orders!C672</f>
        <v>C0269</v>
      </c>
      <c r="D672" s="6" t="str">
        <f aca="false">Orders!D672</f>
        <v>P1073</v>
      </c>
      <c r="E672" s="6" t="str">
        <f aca="false">INDEX(Products!$B$2:$B$101,MATCH(D672,Products!$A$2:$A$101,0))</f>
        <v>Hiking Backpack</v>
      </c>
      <c r="F672" s="1" t="str">
        <f aca="false">INDEX(Products!$C$2:$C$101,MATCH(D672,Products!$A$2:$A$101,0))</f>
        <v>Sports &amp; Outdoors</v>
      </c>
      <c r="G672" s="6" t="n">
        <f aca="false">Orders!E672</f>
        <v>3</v>
      </c>
      <c r="H672" s="16" t="n">
        <f aca="false">INDEX(Products!$D$2:$D$101,MATCH(D672,Products!$A$2:$A$101,0))</f>
        <v>1999</v>
      </c>
      <c r="I672" s="16" t="n">
        <f aca="false">INDEX(Products!$E$2:$E$101,MATCH(D672,Products!$A$2:$A$101,0))</f>
        <v>1100</v>
      </c>
      <c r="J672" s="20" t="n">
        <f aca="false">Orders!F672</f>
        <v>0.05</v>
      </c>
      <c r="K672" s="6" t="n">
        <f aca="false">G672*H672</f>
        <v>5997</v>
      </c>
      <c r="L672" s="6" t="n">
        <f aca="false">K672*J672</f>
        <v>299.85</v>
      </c>
      <c r="M672" s="6" t="n">
        <f aca="false">K672-L672</f>
        <v>5697.15</v>
      </c>
      <c r="N672" s="6" t="n">
        <f aca="false">G672*I672</f>
        <v>3300</v>
      </c>
      <c r="O672" s="6" t="n">
        <f aca="false">M672-N672</f>
        <v>2397.15</v>
      </c>
      <c r="P672" s="21" t="n">
        <f aca="false">IFERROR(O672/M672,0)</f>
        <v>0.42076301308549</v>
      </c>
      <c r="Q672" s="6" t="str">
        <f aca="false">Orders!H672</f>
        <v>Returned</v>
      </c>
      <c r="R672" s="1" t="str">
        <f aca="false">INDEX(Customers!$C$2:$C$301,MATCH(C672,Customers!$A$2:$A$301,0))</f>
        <v>Ahmedabad</v>
      </c>
      <c r="S672" s="1" t="str">
        <f aca="false">INDEX(Customers!$E$2:$E$301,MATCH(C672,Customers!$A$2:$A$301,0))</f>
        <v>New</v>
      </c>
      <c r="T672" s="6" t="str">
        <f aca="false">Orders!I672</f>
        <v>Marketplace</v>
      </c>
      <c r="U672" s="1" t="str">
        <f aca="false">IF(Q672="Delivered","Completed",IF(Q672="Cancelled","Cancelled",IF(Q672="Returned","Returned","In Progress")))</f>
        <v>Returned</v>
      </c>
      <c r="V672" s="1" t="str">
        <f aca="false">IF(M672&gt;=10000,"High Value",IF(M672&gt;=5000,"Medium Value","Low Value"))</f>
        <v>Medium Value</v>
      </c>
      <c r="W672" s="1" t="str">
        <f aca="false">IF(O672&gt;0,"Profitable",IF(O672=0,"Break-even","Loss"))</f>
        <v>Profitable</v>
      </c>
      <c r="X672" s="1" t="str">
        <f aca="false">IF(Q672="Cancelled","Not Applicable",IF(Q672="Processing","Pending",IF(B672="","Unknown",IF(Orders!J672="","Unknown",IF(Orders!J672&lt;=3,"Fast",IF(Orders!J672&lt;=6,"Standard","Slow"))))))</f>
        <v>Slow</v>
      </c>
      <c r="Y672" s="1" t="n">
        <f aca="false">IF(OR(Q672="Cancelled",Q672="Returned"),0,O672)</f>
        <v>0</v>
      </c>
    </row>
    <row r="673" customFormat="false" ht="15" hidden="false" customHeight="false" outlineLevel="0" collapsed="false">
      <c r="A673" s="6" t="str">
        <f aca="false">Orders!A673</f>
        <v>O000672</v>
      </c>
      <c r="B673" s="19" t="n">
        <f aca="false">Orders!B673</f>
        <v>46003</v>
      </c>
      <c r="C673" s="6" t="str">
        <f aca="false">Orders!C673</f>
        <v>C0164</v>
      </c>
      <c r="D673" s="6" t="str">
        <f aca="false">Orders!D673</f>
        <v>P1028</v>
      </c>
      <c r="E673" s="6" t="str">
        <f aca="false">INDEX(Products!$B$2:$B$101,MATCH(D673,Products!$A$2:$A$101,0))</f>
        <v>Sneakers</v>
      </c>
      <c r="F673" s="1" t="str">
        <f aca="false">INDEX(Products!$C$2:$C$101,MATCH(D673,Products!$A$2:$A$101,0))</f>
        <v>Fashion</v>
      </c>
      <c r="G673" s="6" t="n">
        <f aca="false">Orders!E673</f>
        <v>1</v>
      </c>
      <c r="H673" s="16" t="n">
        <f aca="false">INDEX(Products!$D$2:$D$101,MATCH(D673,Products!$A$2:$A$101,0))</f>
        <v>1799</v>
      </c>
      <c r="I673" s="16" t="n">
        <f aca="false">INDEX(Products!$E$2:$E$101,MATCH(D673,Products!$A$2:$A$101,0))</f>
        <v>950</v>
      </c>
      <c r="J673" s="20" t="n">
        <f aca="false">Orders!F673</f>
        <v>0</v>
      </c>
      <c r="K673" s="6" t="n">
        <f aca="false">G673*H673</f>
        <v>1799</v>
      </c>
      <c r="L673" s="6" t="n">
        <f aca="false">K673*J673</f>
        <v>0</v>
      </c>
      <c r="M673" s="6" t="n">
        <f aca="false">K673-L673</f>
        <v>1799</v>
      </c>
      <c r="N673" s="6" t="n">
        <f aca="false">G673*I673</f>
        <v>950</v>
      </c>
      <c r="O673" s="6" t="n">
        <f aca="false">M673-N673</f>
        <v>849</v>
      </c>
      <c r="P673" s="21" t="n">
        <f aca="false">IFERROR(O673/M673,0)</f>
        <v>0.471928849360756</v>
      </c>
      <c r="Q673" s="6" t="str">
        <f aca="false">Orders!H673</f>
        <v>Delivered</v>
      </c>
      <c r="R673" s="1" t="str">
        <f aca="false">INDEX(Customers!$C$2:$C$301,MATCH(C673,Customers!$A$2:$A$301,0))</f>
        <v>Hyderabad</v>
      </c>
      <c r="S673" s="1" t="str">
        <f aca="false">INDEX(Customers!$E$2:$E$301,MATCH(C673,Customers!$A$2:$A$301,0))</f>
        <v>Returning</v>
      </c>
      <c r="T673" s="6" t="str">
        <f aca="false">Orders!I673</f>
        <v>Marketplace</v>
      </c>
      <c r="U673" s="1" t="str">
        <f aca="false">IF(Q673="Delivered","Completed",IF(Q673="Cancelled","Cancelled",IF(Q673="Returned","Returned","In Progress")))</f>
        <v>Completed</v>
      </c>
      <c r="V673" s="1" t="str">
        <f aca="false">IF(M673&gt;=10000,"High Value",IF(M673&gt;=5000,"Medium Value","Low Value"))</f>
        <v>Low Value</v>
      </c>
      <c r="W673" s="1" t="str">
        <f aca="false">IF(O673&gt;0,"Profitable",IF(O673=0,"Break-even","Loss"))</f>
        <v>Profitable</v>
      </c>
      <c r="X673" s="1" t="str">
        <f aca="false">IF(Q673="Cancelled","Not Applicable",IF(Q673="Processing","Pending",IF(B673="","Unknown",IF(Orders!J673="","Unknown",IF(Orders!J673&lt;=3,"Fast",IF(Orders!J673&lt;=6,"Standard","Slow"))))))</f>
        <v>Fast</v>
      </c>
      <c r="Y673" s="1" t="n">
        <f aca="false">IF(OR(Q673="Cancelled",Q673="Returned"),0,O673)</f>
        <v>849</v>
      </c>
    </row>
    <row r="674" customFormat="false" ht="15" hidden="false" customHeight="false" outlineLevel="0" collapsed="false">
      <c r="A674" s="6" t="str">
        <f aca="false">Orders!A674</f>
        <v>O000673</v>
      </c>
      <c r="B674" s="19" t="n">
        <f aca="false">Orders!B674</f>
        <v>46003</v>
      </c>
      <c r="C674" s="6" t="str">
        <f aca="false">Orders!C674</f>
        <v>C0196</v>
      </c>
      <c r="D674" s="6" t="str">
        <f aca="false">Orders!D674</f>
        <v>P1009</v>
      </c>
      <c r="E674" s="6" t="str">
        <f aca="false">INDEX(Products!$B$2:$B$101,MATCH(D674,Products!$A$2:$A$101,0))</f>
        <v>Laptop Sleeve</v>
      </c>
      <c r="F674" s="1" t="str">
        <f aca="false">INDEX(Products!$C$2:$C$101,MATCH(D674,Products!$A$2:$A$101,0))</f>
        <v>Electronics</v>
      </c>
      <c r="G674" s="6" t="n">
        <f aca="false">Orders!E674</f>
        <v>2</v>
      </c>
      <c r="H674" s="16" t="n">
        <f aca="false">INDEX(Products!$D$2:$D$101,MATCH(D674,Products!$A$2:$A$101,0))</f>
        <v>799</v>
      </c>
      <c r="I674" s="16" t="n">
        <f aca="false">INDEX(Products!$E$2:$E$101,MATCH(D674,Products!$A$2:$A$101,0))</f>
        <v>350</v>
      </c>
      <c r="J674" s="20" t="n">
        <f aca="false">Orders!F674</f>
        <v>0.25</v>
      </c>
      <c r="K674" s="6" t="n">
        <f aca="false">G674*H674</f>
        <v>1598</v>
      </c>
      <c r="L674" s="6" t="n">
        <f aca="false">K674*J674</f>
        <v>399.5</v>
      </c>
      <c r="M674" s="6" t="n">
        <f aca="false">K674-L674</f>
        <v>1198.5</v>
      </c>
      <c r="N674" s="6" t="n">
        <f aca="false">G674*I674</f>
        <v>700</v>
      </c>
      <c r="O674" s="6" t="n">
        <f aca="false">M674-N674</f>
        <v>498.5</v>
      </c>
      <c r="P674" s="21" t="n">
        <f aca="false">IFERROR(O674/M674,0)</f>
        <v>0.415936587400918</v>
      </c>
      <c r="Q674" s="6" t="str">
        <f aca="false">Orders!H674</f>
        <v>Delivered</v>
      </c>
      <c r="R674" s="1" t="str">
        <f aca="false">INDEX(Customers!$C$2:$C$301,MATCH(C674,Customers!$A$2:$A$301,0))</f>
        <v>Chandigarh</v>
      </c>
      <c r="S674" s="1" t="str">
        <f aca="false">INDEX(Customers!$E$2:$E$301,MATCH(C674,Customers!$A$2:$A$301,0))</f>
        <v>Returning</v>
      </c>
      <c r="T674" s="6" t="str">
        <f aca="false">Orders!I674</f>
        <v>Website</v>
      </c>
      <c r="U674" s="1" t="str">
        <f aca="false">IF(Q674="Delivered","Completed",IF(Q674="Cancelled","Cancelled",IF(Q674="Returned","Returned","In Progress")))</f>
        <v>Completed</v>
      </c>
      <c r="V674" s="1" t="str">
        <f aca="false">IF(M674&gt;=10000,"High Value",IF(M674&gt;=5000,"Medium Value","Low Value"))</f>
        <v>Low Value</v>
      </c>
      <c r="W674" s="1" t="str">
        <f aca="false">IF(O674&gt;0,"Profitable",IF(O674=0,"Break-even","Loss"))</f>
        <v>Profitable</v>
      </c>
      <c r="X674" s="1" t="str">
        <f aca="false">IF(Q674="Cancelled","Not Applicable",IF(Q674="Processing","Pending",IF(B674="","Unknown",IF(Orders!J674="","Unknown",IF(Orders!J674&lt;=3,"Fast",IF(Orders!J674&lt;=6,"Standard","Slow"))))))</f>
        <v>Standard</v>
      </c>
      <c r="Y674" s="1" t="n">
        <f aca="false">IF(OR(Q674="Cancelled",Q674="Returned"),0,O674)</f>
        <v>498.5</v>
      </c>
    </row>
    <row r="675" customFormat="false" ht="15" hidden="false" customHeight="false" outlineLevel="0" collapsed="false">
      <c r="A675" s="6" t="str">
        <f aca="false">Orders!A675</f>
        <v>O000674</v>
      </c>
      <c r="B675" s="19" t="n">
        <f aca="false">Orders!B675</f>
        <v>45690</v>
      </c>
      <c r="C675" s="6" t="str">
        <f aca="false">Orders!C675</f>
        <v>C0209</v>
      </c>
      <c r="D675" s="6" t="str">
        <f aca="false">Orders!D675</f>
        <v>P1003</v>
      </c>
      <c r="E675" s="6" t="str">
        <f aca="false">INDEX(Products!$B$2:$B$101,MATCH(D675,Products!$A$2:$A$101,0))</f>
        <v>Smart Watch</v>
      </c>
      <c r="F675" s="1" t="str">
        <f aca="false">INDEX(Products!$C$2:$C$101,MATCH(D675,Products!$A$2:$A$101,0))</f>
        <v>Electronics</v>
      </c>
      <c r="G675" s="6" t="n">
        <f aca="false">Orders!E675</f>
        <v>1</v>
      </c>
      <c r="H675" s="16" t="n">
        <f aca="false">INDEX(Products!$D$2:$D$101,MATCH(D675,Products!$A$2:$A$101,0))</f>
        <v>2499</v>
      </c>
      <c r="I675" s="16" t="n">
        <f aca="false">INDEX(Products!$E$2:$E$101,MATCH(D675,Products!$A$2:$A$101,0))</f>
        <v>1450</v>
      </c>
      <c r="J675" s="20" t="n">
        <f aca="false">Orders!F675</f>
        <v>0.25</v>
      </c>
      <c r="K675" s="6" t="n">
        <f aca="false">G675*H675</f>
        <v>2499</v>
      </c>
      <c r="L675" s="6" t="n">
        <f aca="false">K675*J675</f>
        <v>624.75</v>
      </c>
      <c r="M675" s="6" t="n">
        <f aca="false">K675-L675</f>
        <v>1874.25</v>
      </c>
      <c r="N675" s="6" t="n">
        <f aca="false">G675*I675</f>
        <v>1450</v>
      </c>
      <c r="O675" s="6" t="n">
        <f aca="false">M675-N675</f>
        <v>424.25</v>
      </c>
      <c r="P675" s="21" t="n">
        <f aca="false">IFERROR(O675/M675,0)</f>
        <v>0.226357209550487</v>
      </c>
      <c r="Q675" s="6" t="str">
        <f aca="false">Orders!H675</f>
        <v>Delivered</v>
      </c>
      <c r="R675" s="1" t="str">
        <f aca="false">INDEX(Customers!$C$2:$C$301,MATCH(C675,Customers!$A$2:$A$301,0))</f>
        <v>Ahmedabad</v>
      </c>
      <c r="S675" s="1" t="str">
        <f aca="false">INDEX(Customers!$E$2:$E$301,MATCH(C675,Customers!$A$2:$A$301,0))</f>
        <v>Returning</v>
      </c>
      <c r="T675" s="6" t="str">
        <f aca="false">Orders!I675</f>
        <v>Marketplace</v>
      </c>
      <c r="U675" s="1" t="str">
        <f aca="false">IF(Q675="Delivered","Completed",IF(Q675="Cancelled","Cancelled",IF(Q675="Returned","Returned","In Progress")))</f>
        <v>Completed</v>
      </c>
      <c r="V675" s="1" t="str">
        <f aca="false">IF(M675&gt;=10000,"High Value",IF(M675&gt;=5000,"Medium Value","Low Value"))</f>
        <v>Low Value</v>
      </c>
      <c r="W675" s="1" t="str">
        <f aca="false">IF(O675&gt;0,"Profitable",IF(O675=0,"Break-even","Loss"))</f>
        <v>Profitable</v>
      </c>
      <c r="X675" s="1" t="str">
        <f aca="false">IF(Q675="Cancelled","Not Applicable",IF(Q675="Processing","Pending",IF(B675="","Unknown",IF(Orders!J675="","Unknown",IF(Orders!J675&lt;=3,"Fast",IF(Orders!J675&lt;=6,"Standard","Slow"))))))</f>
        <v>Slow</v>
      </c>
      <c r="Y675" s="1" t="n">
        <f aca="false">IF(OR(Q675="Cancelled",Q675="Returned"),0,O675)</f>
        <v>424.25</v>
      </c>
    </row>
    <row r="676" customFormat="false" ht="15" hidden="false" customHeight="false" outlineLevel="0" collapsed="false">
      <c r="A676" s="6" t="str">
        <f aca="false">Orders!A676</f>
        <v>O000675</v>
      </c>
      <c r="B676" s="19" t="n">
        <f aca="false">Orders!B676</f>
        <v>45677</v>
      </c>
      <c r="C676" s="6" t="str">
        <f aca="false">Orders!C676</f>
        <v>C0154</v>
      </c>
      <c r="D676" s="6" t="str">
        <f aca="false">Orders!D676</f>
        <v>P1052</v>
      </c>
      <c r="E676" s="6" t="str">
        <f aca="false">INDEX(Products!$B$2:$B$101,MATCH(D676,Products!$A$2:$A$101,0))</f>
        <v>Lip Balm Set</v>
      </c>
      <c r="F676" s="1" t="str">
        <f aca="false">INDEX(Products!$C$2:$C$101,MATCH(D676,Products!$A$2:$A$101,0))</f>
        <v>Beauty</v>
      </c>
      <c r="G676" s="6" t="n">
        <f aca="false">Orders!E676</f>
        <v>1</v>
      </c>
      <c r="H676" s="16" t="n">
        <f aca="false">INDEX(Products!$D$2:$D$101,MATCH(D676,Products!$A$2:$A$101,0))</f>
        <v>249</v>
      </c>
      <c r="I676" s="16" t="n">
        <f aca="false">INDEX(Products!$E$2:$E$101,MATCH(D676,Products!$A$2:$A$101,0))</f>
        <v>90</v>
      </c>
      <c r="J676" s="20" t="n">
        <f aca="false">Orders!F676</f>
        <v>0</v>
      </c>
      <c r="K676" s="6" t="n">
        <f aca="false">G676*H676</f>
        <v>249</v>
      </c>
      <c r="L676" s="6" t="n">
        <f aca="false">K676*J676</f>
        <v>0</v>
      </c>
      <c r="M676" s="6" t="n">
        <f aca="false">K676-L676</f>
        <v>249</v>
      </c>
      <c r="N676" s="6" t="n">
        <f aca="false">G676*I676</f>
        <v>90</v>
      </c>
      <c r="O676" s="6" t="n">
        <f aca="false">M676-N676</f>
        <v>159</v>
      </c>
      <c r="P676" s="21" t="n">
        <f aca="false">IFERROR(O676/M676,0)</f>
        <v>0.63855421686747</v>
      </c>
      <c r="Q676" s="6" t="str">
        <f aca="false">Orders!H676</f>
        <v>Delivered</v>
      </c>
      <c r="R676" s="1" t="str">
        <f aca="false">INDEX(Customers!$C$2:$C$301,MATCH(C676,Customers!$A$2:$A$301,0))</f>
        <v>Indore</v>
      </c>
      <c r="S676" s="1" t="str">
        <f aca="false">INDEX(Customers!$E$2:$E$301,MATCH(C676,Customers!$A$2:$A$301,0))</f>
        <v>Returning</v>
      </c>
      <c r="T676" s="6" t="str">
        <f aca="false">Orders!I676</f>
        <v>Marketplace</v>
      </c>
      <c r="U676" s="1" t="str">
        <f aca="false">IF(Q676="Delivered","Completed",IF(Q676="Cancelled","Cancelled",IF(Q676="Returned","Returned","In Progress")))</f>
        <v>Completed</v>
      </c>
      <c r="V676" s="1" t="str">
        <f aca="false">IF(M676&gt;=10000,"High Value",IF(M676&gt;=5000,"Medium Value","Low Value"))</f>
        <v>Low Value</v>
      </c>
      <c r="W676" s="1" t="str">
        <f aca="false">IF(O676&gt;0,"Profitable",IF(O676=0,"Break-even","Loss"))</f>
        <v>Profitable</v>
      </c>
      <c r="X676" s="1" t="str">
        <f aca="false">IF(Q676="Cancelled","Not Applicable",IF(Q676="Processing","Pending",IF(B676="","Unknown",IF(Orders!J676="","Unknown",IF(Orders!J676&lt;=3,"Fast",IF(Orders!J676&lt;=6,"Standard","Slow"))))))</f>
        <v>Standard</v>
      </c>
      <c r="Y676" s="1" t="n">
        <f aca="false">IF(OR(Q676="Cancelled",Q676="Returned"),0,O676)</f>
        <v>159</v>
      </c>
    </row>
    <row r="677" customFormat="false" ht="15" hidden="false" customHeight="false" outlineLevel="0" collapsed="false">
      <c r="A677" s="6" t="str">
        <f aca="false">Orders!A677</f>
        <v>O000676</v>
      </c>
      <c r="B677" s="19" t="n">
        <f aca="false">Orders!B677</f>
        <v>45777</v>
      </c>
      <c r="C677" s="6" t="str">
        <f aca="false">Orders!C677</f>
        <v>C0095</v>
      </c>
      <c r="D677" s="6" t="str">
        <f aca="false">Orders!D677</f>
        <v>P1051</v>
      </c>
      <c r="E677" s="6" t="str">
        <f aca="false">INDEX(Products!$B$2:$B$101,MATCH(D677,Products!$A$2:$A$101,0))</f>
        <v>Body Lotion</v>
      </c>
      <c r="F677" s="1" t="str">
        <f aca="false">INDEX(Products!$C$2:$C$101,MATCH(D677,Products!$A$2:$A$101,0))</f>
        <v>Beauty</v>
      </c>
      <c r="G677" s="6" t="n">
        <f aca="false">Orders!E677</f>
        <v>2</v>
      </c>
      <c r="H677" s="16" t="n">
        <f aca="false">INDEX(Products!$D$2:$D$101,MATCH(D677,Products!$A$2:$A$101,0))</f>
        <v>399</v>
      </c>
      <c r="I677" s="16" t="n">
        <f aca="false">INDEX(Products!$E$2:$E$101,MATCH(D677,Products!$A$2:$A$101,0))</f>
        <v>170</v>
      </c>
      <c r="J677" s="20" t="n">
        <f aca="false">Orders!F677</f>
        <v>0.05</v>
      </c>
      <c r="K677" s="6" t="n">
        <f aca="false">G677*H677</f>
        <v>798</v>
      </c>
      <c r="L677" s="6" t="n">
        <f aca="false">K677*J677</f>
        <v>39.9</v>
      </c>
      <c r="M677" s="6" t="n">
        <f aca="false">K677-L677</f>
        <v>758.1</v>
      </c>
      <c r="N677" s="6" t="n">
        <f aca="false">G677*I677</f>
        <v>340</v>
      </c>
      <c r="O677" s="6" t="n">
        <f aca="false">M677-N677</f>
        <v>418.1</v>
      </c>
      <c r="P677" s="21" t="n">
        <f aca="false">IFERROR(O677/M677,0)</f>
        <v>0.551510354834455</v>
      </c>
      <c r="Q677" s="6" t="str">
        <f aca="false">Orders!H677</f>
        <v>Delivered</v>
      </c>
      <c r="R677" s="1" t="str">
        <f aca="false">INDEX(Customers!$C$2:$C$301,MATCH(C677,Customers!$A$2:$A$301,0))</f>
        <v>Bhopal</v>
      </c>
      <c r="S677" s="1" t="str">
        <f aca="false">INDEX(Customers!$E$2:$E$301,MATCH(C677,Customers!$A$2:$A$301,0))</f>
        <v>Returning</v>
      </c>
      <c r="T677" s="6" t="str">
        <f aca="false">Orders!I677</f>
        <v>Marketplace</v>
      </c>
      <c r="U677" s="1" t="str">
        <f aca="false">IF(Q677="Delivered","Completed",IF(Q677="Cancelled","Cancelled",IF(Q677="Returned","Returned","In Progress")))</f>
        <v>Completed</v>
      </c>
      <c r="V677" s="1" t="str">
        <f aca="false">IF(M677&gt;=10000,"High Value",IF(M677&gt;=5000,"Medium Value","Low Value"))</f>
        <v>Low Value</v>
      </c>
      <c r="W677" s="1" t="str">
        <f aca="false">IF(O677&gt;0,"Profitable",IF(O677=0,"Break-even","Loss"))</f>
        <v>Profitable</v>
      </c>
      <c r="X677" s="1" t="str">
        <f aca="false">IF(Q677="Cancelled","Not Applicable",IF(Q677="Processing","Pending",IF(B677="","Unknown",IF(Orders!J677="","Unknown",IF(Orders!J677&lt;=3,"Fast",IF(Orders!J677&lt;=6,"Standard","Slow"))))))</f>
        <v>Fast</v>
      </c>
      <c r="Y677" s="1" t="n">
        <f aca="false">IF(OR(Q677="Cancelled",Q677="Returned"),0,O677)</f>
        <v>418.1</v>
      </c>
    </row>
    <row r="678" customFormat="false" ht="15" hidden="false" customHeight="false" outlineLevel="0" collapsed="false">
      <c r="A678" s="6" t="str">
        <f aca="false">Orders!A678</f>
        <v>O000677</v>
      </c>
      <c r="B678" s="19" t="n">
        <f aca="false">Orders!B678</f>
        <v>45909</v>
      </c>
      <c r="C678" s="6" t="str">
        <f aca="false">Orders!C678</f>
        <v>C0121</v>
      </c>
      <c r="D678" s="6" t="str">
        <f aca="false">Orders!D678</f>
        <v>P1057</v>
      </c>
      <c r="E678" s="6" t="str">
        <f aca="false">INDEX(Products!$B$2:$B$101,MATCH(D678,Products!$A$2:$A$101,0))</f>
        <v>Comb Set</v>
      </c>
      <c r="F678" s="1" t="str">
        <f aca="false">INDEX(Products!$C$2:$C$101,MATCH(D678,Products!$A$2:$A$101,0))</f>
        <v>Beauty</v>
      </c>
      <c r="G678" s="6" t="n">
        <f aca="false">Orders!E678</f>
        <v>1</v>
      </c>
      <c r="H678" s="16" t="n">
        <f aca="false">INDEX(Products!$D$2:$D$101,MATCH(D678,Products!$A$2:$A$101,0))</f>
        <v>199</v>
      </c>
      <c r="I678" s="16" t="n">
        <f aca="false">INDEX(Products!$E$2:$E$101,MATCH(D678,Products!$A$2:$A$101,0))</f>
        <v>65</v>
      </c>
      <c r="J678" s="20" t="n">
        <f aca="false">Orders!F678</f>
        <v>0</v>
      </c>
      <c r="K678" s="6" t="n">
        <f aca="false">G678*H678</f>
        <v>199</v>
      </c>
      <c r="L678" s="6" t="n">
        <f aca="false">K678*J678</f>
        <v>0</v>
      </c>
      <c r="M678" s="6" t="n">
        <f aca="false">K678-L678</f>
        <v>199</v>
      </c>
      <c r="N678" s="6" t="n">
        <f aca="false">G678*I678</f>
        <v>65</v>
      </c>
      <c r="O678" s="6" t="n">
        <f aca="false">M678-N678</f>
        <v>134</v>
      </c>
      <c r="P678" s="21" t="n">
        <f aca="false">IFERROR(O678/M678,0)</f>
        <v>0.673366834170854</v>
      </c>
      <c r="Q678" s="6" t="str">
        <f aca="false">Orders!H678</f>
        <v>Shipped</v>
      </c>
      <c r="R678" s="1" t="str">
        <f aca="false">INDEX(Customers!$C$2:$C$301,MATCH(C678,Customers!$A$2:$A$301,0))</f>
        <v>Delhi</v>
      </c>
      <c r="S678" s="1" t="str">
        <f aca="false">INDEX(Customers!$E$2:$E$301,MATCH(C678,Customers!$A$2:$A$301,0))</f>
        <v>Returning</v>
      </c>
      <c r="T678" s="6" t="str">
        <f aca="false">Orders!I678</f>
        <v>Mobile App</v>
      </c>
      <c r="U678" s="1" t="str">
        <f aca="false">IF(Q678="Delivered","Completed",IF(Q678="Cancelled","Cancelled",IF(Q678="Returned","Returned","In Progress")))</f>
        <v>In Progress</v>
      </c>
      <c r="V678" s="1" t="str">
        <f aca="false">IF(M678&gt;=10000,"High Value",IF(M678&gt;=5000,"Medium Value","Low Value"))</f>
        <v>Low Value</v>
      </c>
      <c r="W678" s="1" t="str">
        <f aca="false">IF(O678&gt;0,"Profitable",IF(O678=0,"Break-even","Loss"))</f>
        <v>Profitable</v>
      </c>
      <c r="X678" s="1" t="str">
        <f aca="false">IF(Q678="Cancelled","Not Applicable",IF(Q678="Processing","Pending",IF(B678="","Unknown",IF(Orders!J678="","Unknown",IF(Orders!J678&lt;=3,"Fast",IF(Orders!J678&lt;=6,"Standard","Slow"))))))</f>
        <v>Standard</v>
      </c>
      <c r="Y678" s="1" t="n">
        <f aca="false">IF(OR(Q678="Cancelled",Q678="Returned"),0,O678)</f>
        <v>134</v>
      </c>
    </row>
    <row r="679" customFormat="false" ht="15" hidden="false" customHeight="false" outlineLevel="0" collapsed="false">
      <c r="A679" s="6" t="str">
        <f aca="false">Orders!A679</f>
        <v>O000678</v>
      </c>
      <c r="B679" s="19" t="n">
        <f aca="false">Orders!B679</f>
        <v>45890</v>
      </c>
      <c r="C679" s="6" t="str">
        <f aca="false">Orders!C679</f>
        <v>C0284</v>
      </c>
      <c r="D679" s="6" t="str">
        <f aca="false">Orders!D679</f>
        <v>P1014</v>
      </c>
      <c r="E679" s="6" t="str">
        <f aca="false">INDEX(Products!$B$2:$B$101,MATCH(D679,Products!$A$2:$A$101,0))</f>
        <v>HDMI Cable</v>
      </c>
      <c r="F679" s="1" t="str">
        <f aca="false">INDEX(Products!$C$2:$C$101,MATCH(D679,Products!$A$2:$A$101,0))</f>
        <v>Electronics</v>
      </c>
      <c r="G679" s="6" t="n">
        <f aca="false">Orders!E679</f>
        <v>1</v>
      </c>
      <c r="H679" s="16" t="n">
        <f aca="false">INDEX(Products!$D$2:$D$101,MATCH(D679,Products!$A$2:$A$101,0))</f>
        <v>449</v>
      </c>
      <c r="I679" s="16" t="n">
        <f aca="false">INDEX(Products!$E$2:$E$101,MATCH(D679,Products!$A$2:$A$101,0))</f>
        <v>180</v>
      </c>
      <c r="J679" s="20" t="n">
        <f aca="false">Orders!F679</f>
        <v>0.25</v>
      </c>
      <c r="K679" s="6" t="n">
        <f aca="false">G679*H679</f>
        <v>449</v>
      </c>
      <c r="L679" s="6" t="n">
        <f aca="false">K679*J679</f>
        <v>112.25</v>
      </c>
      <c r="M679" s="6" t="n">
        <f aca="false">K679-L679</f>
        <v>336.75</v>
      </c>
      <c r="N679" s="6" t="n">
        <f aca="false">G679*I679</f>
        <v>180</v>
      </c>
      <c r="O679" s="6" t="n">
        <f aca="false">M679-N679</f>
        <v>156.75</v>
      </c>
      <c r="P679" s="21" t="n">
        <f aca="false">IFERROR(O679/M679,0)</f>
        <v>0.465478841870824</v>
      </c>
      <c r="Q679" s="6" t="str">
        <f aca="false">Orders!H679</f>
        <v>Delivered</v>
      </c>
      <c r="R679" s="1" t="str">
        <f aca="false">INDEX(Customers!$C$2:$C$301,MATCH(C679,Customers!$A$2:$A$301,0))</f>
        <v>Hyderabad</v>
      </c>
      <c r="S679" s="1" t="str">
        <f aca="false">INDEX(Customers!$E$2:$E$301,MATCH(C679,Customers!$A$2:$A$301,0))</f>
        <v>Returning</v>
      </c>
      <c r="T679" s="6" t="str">
        <f aca="false">Orders!I679</f>
        <v>Mobile App</v>
      </c>
      <c r="U679" s="1" t="str">
        <f aca="false">IF(Q679="Delivered","Completed",IF(Q679="Cancelled","Cancelled",IF(Q679="Returned","Returned","In Progress")))</f>
        <v>Completed</v>
      </c>
      <c r="V679" s="1" t="str">
        <f aca="false">IF(M679&gt;=10000,"High Value",IF(M679&gt;=5000,"Medium Value","Low Value"))</f>
        <v>Low Value</v>
      </c>
      <c r="W679" s="1" t="str">
        <f aca="false">IF(O679&gt;0,"Profitable",IF(O679=0,"Break-even","Loss"))</f>
        <v>Profitable</v>
      </c>
      <c r="X679" s="1" t="str">
        <f aca="false">IF(Q679="Cancelled","Not Applicable",IF(Q679="Processing","Pending",IF(B679="","Unknown",IF(Orders!J679="","Unknown",IF(Orders!J679&lt;=3,"Fast",IF(Orders!J679&lt;=6,"Standard","Slow"))))))</f>
        <v>Standard</v>
      </c>
      <c r="Y679" s="1" t="n">
        <f aca="false">IF(OR(Q679="Cancelled",Q679="Returned"),0,O679)</f>
        <v>156.75</v>
      </c>
    </row>
    <row r="680" customFormat="false" ht="15" hidden="false" customHeight="false" outlineLevel="0" collapsed="false">
      <c r="A680" s="6" t="str">
        <f aca="false">Orders!A680</f>
        <v>O000679</v>
      </c>
      <c r="B680" s="19" t="n">
        <f aca="false">Orders!B680</f>
        <v>45687</v>
      </c>
      <c r="C680" s="6" t="str">
        <f aca="false">Orders!C680</f>
        <v>C0189</v>
      </c>
      <c r="D680" s="6" t="str">
        <f aca="false">Orders!D680</f>
        <v>P1049</v>
      </c>
      <c r="E680" s="6" t="str">
        <f aca="false">INDEX(Products!$B$2:$B$101,MATCH(D680,Products!$A$2:$A$101,0))</f>
        <v>Face Cleanser</v>
      </c>
      <c r="F680" s="1" t="str">
        <f aca="false">INDEX(Products!$C$2:$C$101,MATCH(D680,Products!$A$2:$A$101,0))</f>
        <v>Beauty</v>
      </c>
      <c r="G680" s="6" t="n">
        <f aca="false">Orders!E680</f>
        <v>2</v>
      </c>
      <c r="H680" s="16" t="n">
        <f aca="false">INDEX(Products!$D$2:$D$101,MATCH(D680,Products!$A$2:$A$101,0))</f>
        <v>299</v>
      </c>
      <c r="I680" s="16" t="n">
        <f aca="false">INDEX(Products!$E$2:$E$101,MATCH(D680,Products!$A$2:$A$101,0))</f>
        <v>120</v>
      </c>
      <c r="J680" s="20" t="n">
        <f aca="false">Orders!F680</f>
        <v>0.15</v>
      </c>
      <c r="K680" s="6" t="n">
        <f aca="false">G680*H680</f>
        <v>598</v>
      </c>
      <c r="L680" s="6" t="n">
        <f aca="false">K680*J680</f>
        <v>89.7</v>
      </c>
      <c r="M680" s="6" t="n">
        <f aca="false">K680-L680</f>
        <v>508.3</v>
      </c>
      <c r="N680" s="6" t="n">
        <f aca="false">G680*I680</f>
        <v>240</v>
      </c>
      <c r="O680" s="6" t="n">
        <f aca="false">M680-N680</f>
        <v>268.3</v>
      </c>
      <c r="P680" s="21" t="n">
        <f aca="false">IFERROR(O680/M680,0)</f>
        <v>0.527837891009247</v>
      </c>
      <c r="Q680" s="6" t="str">
        <f aca="false">Orders!H680</f>
        <v>Delivered</v>
      </c>
      <c r="R680" s="1" t="str">
        <f aca="false">INDEX(Customers!$C$2:$C$301,MATCH(C680,Customers!$A$2:$A$301,0))</f>
        <v>Ahmedabad</v>
      </c>
      <c r="S680" s="1" t="str">
        <f aca="false">INDEX(Customers!$E$2:$E$301,MATCH(C680,Customers!$A$2:$A$301,0))</f>
        <v>New</v>
      </c>
      <c r="T680" s="6" t="str">
        <f aca="false">Orders!I680</f>
        <v>Mobile App</v>
      </c>
      <c r="U680" s="1" t="str">
        <f aca="false">IF(Q680="Delivered","Completed",IF(Q680="Cancelled","Cancelled",IF(Q680="Returned","Returned","In Progress")))</f>
        <v>Completed</v>
      </c>
      <c r="V680" s="1" t="str">
        <f aca="false">IF(M680&gt;=10000,"High Value",IF(M680&gt;=5000,"Medium Value","Low Value"))</f>
        <v>Low Value</v>
      </c>
      <c r="W680" s="1" t="str">
        <f aca="false">IF(O680&gt;0,"Profitable",IF(O680=0,"Break-even","Loss"))</f>
        <v>Profitable</v>
      </c>
      <c r="X680" s="1" t="str">
        <f aca="false">IF(Q680="Cancelled","Not Applicable",IF(Q680="Processing","Pending",IF(B680="","Unknown",IF(Orders!J680="","Unknown",IF(Orders!J680&lt;=3,"Fast",IF(Orders!J680&lt;=6,"Standard","Slow"))))))</f>
        <v>Slow</v>
      </c>
      <c r="Y680" s="1" t="n">
        <f aca="false">IF(OR(Q680="Cancelled",Q680="Returned"),0,O680)</f>
        <v>268.3</v>
      </c>
    </row>
    <row r="681" customFormat="false" ht="15" hidden="false" customHeight="false" outlineLevel="0" collapsed="false">
      <c r="A681" s="6" t="str">
        <f aca="false">Orders!A681</f>
        <v>O000680</v>
      </c>
      <c r="B681" s="19" t="n">
        <f aca="false">Orders!B681</f>
        <v>45737</v>
      </c>
      <c r="C681" s="6" t="str">
        <f aca="false">Orders!C681</f>
        <v>C0075</v>
      </c>
      <c r="D681" s="6" t="str">
        <f aca="false">Orders!D681</f>
        <v>P1074</v>
      </c>
      <c r="E681" s="6" t="str">
        <f aca="false">INDEX(Products!$B$2:$B$101,MATCH(D681,Products!$A$2:$A$101,0))</f>
        <v>Notebook Pack</v>
      </c>
      <c r="F681" s="1" t="str">
        <f aca="false">INDEX(Products!$C$2:$C$101,MATCH(D681,Products!$A$2:$A$101,0))</f>
        <v>Books &amp; Stationery</v>
      </c>
      <c r="G681" s="6" t="n">
        <f aca="false">Orders!E681</f>
        <v>4</v>
      </c>
      <c r="H681" s="16" t="n">
        <f aca="false">INDEX(Products!$D$2:$D$101,MATCH(D681,Products!$A$2:$A$101,0))</f>
        <v>299</v>
      </c>
      <c r="I681" s="16" t="n">
        <f aca="false">INDEX(Products!$E$2:$E$101,MATCH(D681,Products!$A$2:$A$101,0))</f>
        <v>110</v>
      </c>
      <c r="J681" s="20" t="n">
        <f aca="false">Orders!F681</f>
        <v>0.1</v>
      </c>
      <c r="K681" s="6" t="n">
        <f aca="false">G681*H681</f>
        <v>1196</v>
      </c>
      <c r="L681" s="6" t="n">
        <f aca="false">K681*J681</f>
        <v>119.6</v>
      </c>
      <c r="M681" s="6" t="n">
        <f aca="false">K681-L681</f>
        <v>1076.4</v>
      </c>
      <c r="N681" s="6" t="n">
        <f aca="false">G681*I681</f>
        <v>440</v>
      </c>
      <c r="O681" s="6" t="n">
        <f aca="false">M681-N681</f>
        <v>636.4</v>
      </c>
      <c r="P681" s="21" t="n">
        <f aca="false">IFERROR(O681/M681,0)</f>
        <v>0.591230026012635</v>
      </c>
      <c r="Q681" s="6" t="str">
        <f aca="false">Orders!H681</f>
        <v>Shipped</v>
      </c>
      <c r="R681" s="1" t="str">
        <f aca="false">INDEX(Customers!$C$2:$C$301,MATCH(C681,Customers!$A$2:$A$301,0))</f>
        <v>Bhopal</v>
      </c>
      <c r="S681" s="1" t="str">
        <f aca="false">INDEX(Customers!$E$2:$E$301,MATCH(C681,Customers!$A$2:$A$301,0))</f>
        <v>New</v>
      </c>
      <c r="T681" s="6" t="str">
        <f aca="false">Orders!I681</f>
        <v>Mobile App</v>
      </c>
      <c r="U681" s="1" t="str">
        <f aca="false">IF(Q681="Delivered","Completed",IF(Q681="Cancelled","Cancelled",IF(Q681="Returned","Returned","In Progress")))</f>
        <v>In Progress</v>
      </c>
      <c r="V681" s="1" t="str">
        <f aca="false">IF(M681&gt;=10000,"High Value",IF(M681&gt;=5000,"Medium Value","Low Value"))</f>
        <v>Low Value</v>
      </c>
      <c r="W681" s="1" t="str">
        <f aca="false">IF(O681&gt;0,"Profitable",IF(O681=0,"Break-even","Loss"))</f>
        <v>Profitable</v>
      </c>
      <c r="X681" s="1" t="str">
        <f aca="false">IF(Q681="Cancelled","Not Applicable",IF(Q681="Processing","Pending",IF(B681="","Unknown",IF(Orders!J681="","Unknown",IF(Orders!J681&lt;=3,"Fast",IF(Orders!J681&lt;=6,"Standard","Slow"))))))</f>
        <v>Slow</v>
      </c>
      <c r="Y681" s="1" t="n">
        <f aca="false">IF(OR(Q681="Cancelled",Q681="Returned"),0,O681)</f>
        <v>636.4</v>
      </c>
    </row>
    <row r="682" customFormat="false" ht="15" hidden="false" customHeight="false" outlineLevel="0" collapsed="false">
      <c r="A682" s="6" t="str">
        <f aca="false">Orders!A682</f>
        <v>O000681</v>
      </c>
      <c r="B682" s="19" t="n">
        <f aca="false">Orders!B682</f>
        <v>45879</v>
      </c>
      <c r="C682" s="6" t="str">
        <f aca="false">Orders!C682</f>
        <v>C0119</v>
      </c>
      <c r="D682" s="6" t="str">
        <f aca="false">Orders!D682</f>
        <v>P1043</v>
      </c>
      <c r="E682" s="6" t="str">
        <f aca="false">INDEX(Products!$B$2:$B$101,MATCH(D682,Products!$A$2:$A$101,0))</f>
        <v>Kitchen Rack</v>
      </c>
      <c r="F682" s="1" t="str">
        <f aca="false">INDEX(Products!$C$2:$C$101,MATCH(D682,Products!$A$2:$A$101,0))</f>
        <v>Home &amp; Kitchen</v>
      </c>
      <c r="G682" s="6" t="n">
        <f aca="false">Orders!E682</f>
        <v>2</v>
      </c>
      <c r="H682" s="16" t="n">
        <f aca="false">INDEX(Products!$D$2:$D$101,MATCH(D682,Products!$A$2:$A$101,0))</f>
        <v>1299</v>
      </c>
      <c r="I682" s="16" t="n">
        <f aca="false">INDEX(Products!$E$2:$E$101,MATCH(D682,Products!$A$2:$A$101,0))</f>
        <v>700</v>
      </c>
      <c r="J682" s="20" t="n">
        <f aca="false">Orders!F682</f>
        <v>0.2</v>
      </c>
      <c r="K682" s="6" t="n">
        <f aca="false">G682*H682</f>
        <v>2598</v>
      </c>
      <c r="L682" s="6" t="n">
        <f aca="false">K682*J682</f>
        <v>519.6</v>
      </c>
      <c r="M682" s="6" t="n">
        <f aca="false">K682-L682</f>
        <v>2078.4</v>
      </c>
      <c r="N682" s="6" t="n">
        <f aca="false">G682*I682</f>
        <v>1400</v>
      </c>
      <c r="O682" s="6" t="n">
        <f aca="false">M682-N682</f>
        <v>678.4</v>
      </c>
      <c r="P682" s="21" t="n">
        <f aca="false">IFERROR(O682/M682,0)</f>
        <v>0.326404926866821</v>
      </c>
      <c r="Q682" s="6" t="str">
        <f aca="false">Orders!H682</f>
        <v>Shipped</v>
      </c>
      <c r="R682" s="1" t="str">
        <f aca="false">INDEX(Customers!$C$2:$C$301,MATCH(C682,Customers!$A$2:$A$301,0))</f>
        <v>Coimbatore</v>
      </c>
      <c r="S682" s="1" t="str">
        <f aca="false">INDEX(Customers!$E$2:$E$301,MATCH(C682,Customers!$A$2:$A$301,0))</f>
        <v>VIP</v>
      </c>
      <c r="T682" s="6" t="str">
        <f aca="false">Orders!I682</f>
        <v>Mobile App</v>
      </c>
      <c r="U682" s="1" t="str">
        <f aca="false">IF(Q682="Delivered","Completed",IF(Q682="Cancelled","Cancelled",IF(Q682="Returned","Returned","In Progress")))</f>
        <v>In Progress</v>
      </c>
      <c r="V682" s="1" t="str">
        <f aca="false">IF(M682&gt;=10000,"High Value",IF(M682&gt;=5000,"Medium Value","Low Value"))</f>
        <v>Low Value</v>
      </c>
      <c r="W682" s="1" t="str">
        <f aca="false">IF(O682&gt;0,"Profitable",IF(O682=0,"Break-even","Loss"))</f>
        <v>Profitable</v>
      </c>
      <c r="X682" s="1" t="str">
        <f aca="false">IF(Q682="Cancelled","Not Applicable",IF(Q682="Processing","Pending",IF(B682="","Unknown",IF(Orders!J682="","Unknown",IF(Orders!J682&lt;=3,"Fast",IF(Orders!J682&lt;=6,"Standard","Slow"))))))</f>
        <v>Standard</v>
      </c>
      <c r="Y682" s="1" t="n">
        <f aca="false">IF(OR(Q682="Cancelled",Q682="Returned"),0,O682)</f>
        <v>678.4</v>
      </c>
    </row>
    <row r="683" customFormat="false" ht="15" hidden="false" customHeight="false" outlineLevel="0" collapsed="false">
      <c r="A683" s="6" t="str">
        <f aca="false">Orders!A683</f>
        <v>O000682</v>
      </c>
      <c r="B683" s="19" t="n">
        <f aca="false">Orders!B683</f>
        <v>45959</v>
      </c>
      <c r="C683" s="6" t="str">
        <f aca="false">Orders!C683</f>
        <v>C0266</v>
      </c>
      <c r="D683" s="6" t="str">
        <f aca="false">Orders!D683</f>
        <v>P1009</v>
      </c>
      <c r="E683" s="6" t="str">
        <f aca="false">INDEX(Products!$B$2:$B$101,MATCH(D683,Products!$A$2:$A$101,0))</f>
        <v>Laptop Sleeve</v>
      </c>
      <c r="F683" s="1" t="str">
        <f aca="false">INDEX(Products!$C$2:$C$101,MATCH(D683,Products!$A$2:$A$101,0))</f>
        <v>Electronics</v>
      </c>
      <c r="G683" s="6" t="n">
        <f aca="false">Orders!E683</f>
        <v>1</v>
      </c>
      <c r="H683" s="16" t="n">
        <f aca="false">INDEX(Products!$D$2:$D$101,MATCH(D683,Products!$A$2:$A$101,0))</f>
        <v>799</v>
      </c>
      <c r="I683" s="16" t="n">
        <f aca="false">INDEX(Products!$E$2:$E$101,MATCH(D683,Products!$A$2:$A$101,0))</f>
        <v>350</v>
      </c>
      <c r="J683" s="20" t="n">
        <f aca="false">Orders!F683</f>
        <v>0</v>
      </c>
      <c r="K683" s="6" t="n">
        <f aca="false">G683*H683</f>
        <v>799</v>
      </c>
      <c r="L683" s="6" t="n">
        <f aca="false">K683*J683</f>
        <v>0</v>
      </c>
      <c r="M683" s="6" t="n">
        <f aca="false">K683-L683</f>
        <v>799</v>
      </c>
      <c r="N683" s="6" t="n">
        <f aca="false">G683*I683</f>
        <v>350</v>
      </c>
      <c r="O683" s="6" t="n">
        <f aca="false">M683-N683</f>
        <v>449</v>
      </c>
      <c r="P683" s="21" t="n">
        <f aca="false">IFERROR(O683/M683,0)</f>
        <v>0.561952440550688</v>
      </c>
      <c r="Q683" s="6" t="str">
        <f aca="false">Orders!H683</f>
        <v>Delivered</v>
      </c>
      <c r="R683" s="1" t="str">
        <f aca="false">INDEX(Customers!$C$2:$C$301,MATCH(C683,Customers!$A$2:$A$301,0))</f>
        <v>Kolkata</v>
      </c>
      <c r="S683" s="1" t="str">
        <f aca="false">INDEX(Customers!$E$2:$E$301,MATCH(C683,Customers!$A$2:$A$301,0))</f>
        <v>Returning</v>
      </c>
      <c r="T683" s="6" t="str">
        <f aca="false">Orders!I683</f>
        <v>Mobile App</v>
      </c>
      <c r="U683" s="1" t="str">
        <f aca="false">IF(Q683="Delivered","Completed",IF(Q683="Cancelled","Cancelled",IF(Q683="Returned","Returned","In Progress")))</f>
        <v>Completed</v>
      </c>
      <c r="V683" s="1" t="str">
        <f aca="false">IF(M683&gt;=10000,"High Value",IF(M683&gt;=5000,"Medium Value","Low Value"))</f>
        <v>Low Value</v>
      </c>
      <c r="W683" s="1" t="str">
        <f aca="false">IF(O683&gt;0,"Profitable",IF(O683=0,"Break-even","Loss"))</f>
        <v>Profitable</v>
      </c>
      <c r="X683" s="1" t="str">
        <f aca="false">IF(Q683="Cancelled","Not Applicable",IF(Q683="Processing","Pending",IF(B683="","Unknown",IF(Orders!J683="","Unknown",IF(Orders!J683&lt;=3,"Fast",IF(Orders!J683&lt;=6,"Standard","Slow"))))))</f>
        <v>Standard</v>
      </c>
      <c r="Y683" s="1" t="n">
        <f aca="false">IF(OR(Q683="Cancelled",Q683="Returned"),0,O683)</f>
        <v>449</v>
      </c>
    </row>
    <row r="684" customFormat="false" ht="15" hidden="false" customHeight="false" outlineLevel="0" collapsed="false">
      <c r="A684" s="6" t="str">
        <f aca="false">Orders!A684</f>
        <v>O000683</v>
      </c>
      <c r="B684" s="19" t="n">
        <f aca="false">Orders!B684</f>
        <v>45923</v>
      </c>
      <c r="C684" s="6" t="str">
        <f aca="false">Orders!C684</f>
        <v>C0105</v>
      </c>
      <c r="D684" s="6" t="str">
        <f aca="false">Orders!D684</f>
        <v>P1087</v>
      </c>
      <c r="E684" s="6" t="str">
        <f aca="false">INDEX(Products!$B$2:$B$101,MATCH(D684,Products!$A$2:$A$101,0))</f>
        <v>Book Stand</v>
      </c>
      <c r="F684" s="1" t="str">
        <f aca="false">INDEX(Products!$C$2:$C$101,MATCH(D684,Products!$A$2:$A$101,0))</f>
        <v>Books &amp; Stationery</v>
      </c>
      <c r="G684" s="6" t="n">
        <f aca="false">Orders!E684</f>
        <v>2</v>
      </c>
      <c r="H684" s="16" t="n">
        <f aca="false">INDEX(Products!$D$2:$D$101,MATCH(D684,Products!$A$2:$A$101,0))</f>
        <v>449</v>
      </c>
      <c r="I684" s="16" t="n">
        <f aca="false">INDEX(Products!$E$2:$E$101,MATCH(D684,Products!$A$2:$A$101,0))</f>
        <v>200</v>
      </c>
      <c r="J684" s="20" t="n">
        <f aca="false">Orders!F684</f>
        <v>0.05</v>
      </c>
      <c r="K684" s="6" t="n">
        <f aca="false">G684*H684</f>
        <v>898</v>
      </c>
      <c r="L684" s="6" t="n">
        <f aca="false">K684*J684</f>
        <v>44.9</v>
      </c>
      <c r="M684" s="6" t="n">
        <f aca="false">K684-L684</f>
        <v>853.1</v>
      </c>
      <c r="N684" s="6" t="n">
        <f aca="false">G684*I684</f>
        <v>400</v>
      </c>
      <c r="O684" s="6" t="n">
        <f aca="false">M684-N684</f>
        <v>453.1</v>
      </c>
      <c r="P684" s="21" t="n">
        <f aca="false">IFERROR(O684/M684,0)</f>
        <v>0.531121791114758</v>
      </c>
      <c r="Q684" s="6" t="str">
        <f aca="false">Orders!H684</f>
        <v>Delivered</v>
      </c>
      <c r="R684" s="1" t="str">
        <f aca="false">INDEX(Customers!$C$2:$C$301,MATCH(C684,Customers!$A$2:$A$301,0))</f>
        <v>Chennai</v>
      </c>
      <c r="S684" s="1" t="str">
        <f aca="false">INDEX(Customers!$E$2:$E$301,MATCH(C684,Customers!$A$2:$A$301,0))</f>
        <v>Returning</v>
      </c>
      <c r="T684" s="6" t="str">
        <f aca="false">Orders!I684</f>
        <v>Marketplace</v>
      </c>
      <c r="U684" s="1" t="str">
        <f aca="false">IF(Q684="Delivered","Completed",IF(Q684="Cancelled","Cancelled",IF(Q684="Returned","Returned","In Progress")))</f>
        <v>Completed</v>
      </c>
      <c r="V684" s="1" t="str">
        <f aca="false">IF(M684&gt;=10000,"High Value",IF(M684&gt;=5000,"Medium Value","Low Value"))</f>
        <v>Low Value</v>
      </c>
      <c r="W684" s="1" t="str">
        <f aca="false">IF(O684&gt;0,"Profitable",IF(O684=0,"Break-even","Loss"))</f>
        <v>Profitable</v>
      </c>
      <c r="X684" s="1" t="str">
        <f aca="false">IF(Q684="Cancelled","Not Applicable",IF(Q684="Processing","Pending",IF(B684="","Unknown",IF(Orders!J684="","Unknown",IF(Orders!J684&lt;=3,"Fast",IF(Orders!J684&lt;=6,"Standard","Slow"))))))</f>
        <v>Standard</v>
      </c>
      <c r="Y684" s="1" t="n">
        <f aca="false">IF(OR(Q684="Cancelled",Q684="Returned"),0,O684)</f>
        <v>453.1</v>
      </c>
    </row>
    <row r="685" customFormat="false" ht="15" hidden="false" customHeight="false" outlineLevel="0" collapsed="false">
      <c r="A685" s="6" t="str">
        <f aca="false">Orders!A685</f>
        <v>O000684</v>
      </c>
      <c r="B685" s="19" t="n">
        <f aca="false">Orders!B685</f>
        <v>45906</v>
      </c>
      <c r="C685" s="6" t="str">
        <f aca="false">Orders!C685</f>
        <v>C0280</v>
      </c>
      <c r="D685" s="6" t="str">
        <f aca="false">Orders!D685</f>
        <v>P1054</v>
      </c>
      <c r="E685" s="6" t="str">
        <f aca="false">INDEX(Products!$B$2:$B$101,MATCH(D685,Products!$A$2:$A$101,0))</f>
        <v>Face Mask Pack</v>
      </c>
      <c r="F685" s="1" t="str">
        <f aca="false">INDEX(Products!$C$2:$C$101,MATCH(D685,Products!$A$2:$A$101,0))</f>
        <v>Beauty</v>
      </c>
      <c r="G685" s="6" t="n">
        <f aca="false">Orders!E685</f>
        <v>1</v>
      </c>
      <c r="H685" s="16" t="n">
        <f aca="false">INDEX(Products!$D$2:$D$101,MATCH(D685,Products!$A$2:$A$101,0))</f>
        <v>299</v>
      </c>
      <c r="I685" s="16" t="n">
        <f aca="false">INDEX(Products!$E$2:$E$101,MATCH(D685,Products!$A$2:$A$101,0))</f>
        <v>110</v>
      </c>
      <c r="J685" s="20" t="n">
        <f aca="false">Orders!F685</f>
        <v>0.1</v>
      </c>
      <c r="K685" s="6" t="n">
        <f aca="false">G685*H685</f>
        <v>299</v>
      </c>
      <c r="L685" s="6" t="n">
        <f aca="false">K685*J685</f>
        <v>29.9</v>
      </c>
      <c r="M685" s="6" t="n">
        <f aca="false">K685-L685</f>
        <v>269.1</v>
      </c>
      <c r="N685" s="6" t="n">
        <f aca="false">G685*I685</f>
        <v>110</v>
      </c>
      <c r="O685" s="6" t="n">
        <f aca="false">M685-N685</f>
        <v>159.1</v>
      </c>
      <c r="P685" s="21" t="n">
        <f aca="false">IFERROR(O685/M685,0)</f>
        <v>0.591230026012635</v>
      </c>
      <c r="Q685" s="6" t="str">
        <f aca="false">Orders!H685</f>
        <v>Returned</v>
      </c>
      <c r="R685" s="1" t="str">
        <f aca="false">INDEX(Customers!$C$2:$C$301,MATCH(C685,Customers!$A$2:$A$301,0))</f>
        <v>Visakhapatnam</v>
      </c>
      <c r="S685" s="1" t="str">
        <f aca="false">INDEX(Customers!$E$2:$E$301,MATCH(C685,Customers!$A$2:$A$301,0))</f>
        <v>New</v>
      </c>
      <c r="T685" s="6" t="str">
        <f aca="false">Orders!I685</f>
        <v>Website</v>
      </c>
      <c r="U685" s="1" t="str">
        <f aca="false">IF(Q685="Delivered","Completed",IF(Q685="Cancelled","Cancelled",IF(Q685="Returned","Returned","In Progress")))</f>
        <v>Returned</v>
      </c>
      <c r="V685" s="1" t="str">
        <f aca="false">IF(M685&gt;=10000,"High Value",IF(M685&gt;=5000,"Medium Value","Low Value"))</f>
        <v>Low Value</v>
      </c>
      <c r="W685" s="1" t="str">
        <f aca="false">IF(O685&gt;0,"Profitable",IF(O685=0,"Break-even","Loss"))</f>
        <v>Profitable</v>
      </c>
      <c r="X685" s="1" t="str">
        <f aca="false">IF(Q685="Cancelled","Not Applicable",IF(Q685="Processing","Pending",IF(B685="","Unknown",IF(Orders!J685="","Unknown",IF(Orders!J685&lt;=3,"Fast",IF(Orders!J685&lt;=6,"Standard","Slow"))))))</f>
        <v>Fast</v>
      </c>
      <c r="Y685" s="1" t="n">
        <f aca="false">IF(OR(Q685="Cancelled",Q685="Returned"),0,O685)</f>
        <v>0</v>
      </c>
    </row>
    <row r="686" customFormat="false" ht="15" hidden="false" customHeight="false" outlineLevel="0" collapsed="false">
      <c r="A686" s="6" t="str">
        <f aca="false">Orders!A686</f>
        <v>O000685</v>
      </c>
      <c r="B686" s="19" t="n">
        <f aca="false">Orders!B686</f>
        <v>45674</v>
      </c>
      <c r="C686" s="6" t="str">
        <f aca="false">Orders!C686</f>
        <v>C0182</v>
      </c>
      <c r="D686" s="6" t="str">
        <f aca="false">Orders!D686</f>
        <v>P1091</v>
      </c>
      <c r="E686" s="6" t="str">
        <f aca="false">INDEX(Products!$B$2:$B$101,MATCH(D686,Products!$A$2:$A$101,0))</f>
        <v>Rice Cooker</v>
      </c>
      <c r="F686" s="1" t="str">
        <f aca="false">INDEX(Products!$C$2:$C$101,MATCH(D686,Products!$A$2:$A$101,0))</f>
        <v>Appliances</v>
      </c>
      <c r="G686" s="6" t="n">
        <f aca="false">Orders!E686</f>
        <v>2</v>
      </c>
      <c r="H686" s="16" t="n">
        <f aca="false">INDEX(Products!$D$2:$D$101,MATCH(D686,Products!$A$2:$A$101,0))</f>
        <v>1999</v>
      </c>
      <c r="I686" s="16" t="n">
        <f aca="false">INDEX(Products!$E$2:$E$101,MATCH(D686,Products!$A$2:$A$101,0))</f>
        <v>1200</v>
      </c>
      <c r="J686" s="20" t="n">
        <f aca="false">Orders!F686</f>
        <v>0.25</v>
      </c>
      <c r="K686" s="6" t="n">
        <f aca="false">G686*H686</f>
        <v>3998</v>
      </c>
      <c r="L686" s="6" t="n">
        <f aca="false">K686*J686</f>
        <v>999.5</v>
      </c>
      <c r="M686" s="6" t="n">
        <f aca="false">K686-L686</f>
        <v>2998.5</v>
      </c>
      <c r="N686" s="6" t="n">
        <f aca="false">G686*I686</f>
        <v>2400</v>
      </c>
      <c r="O686" s="6" t="n">
        <f aca="false">M686-N686</f>
        <v>598.5</v>
      </c>
      <c r="P686" s="21" t="n">
        <f aca="false">IFERROR(O686/M686,0)</f>
        <v>0.19959979989995</v>
      </c>
      <c r="Q686" s="6" t="str">
        <f aca="false">Orders!H686</f>
        <v>Delivered</v>
      </c>
      <c r="R686" s="1" t="str">
        <f aca="false">INDEX(Customers!$C$2:$C$301,MATCH(C686,Customers!$A$2:$A$301,0))</f>
        <v>Mumbai</v>
      </c>
      <c r="S686" s="1" t="str">
        <f aca="false">INDEX(Customers!$E$2:$E$301,MATCH(C686,Customers!$A$2:$A$301,0))</f>
        <v>New</v>
      </c>
      <c r="T686" s="6" t="str">
        <f aca="false">Orders!I686</f>
        <v>Marketplace</v>
      </c>
      <c r="U686" s="1" t="str">
        <f aca="false">IF(Q686="Delivered","Completed",IF(Q686="Cancelled","Cancelled",IF(Q686="Returned","Returned","In Progress")))</f>
        <v>Completed</v>
      </c>
      <c r="V686" s="1" t="str">
        <f aca="false">IF(M686&gt;=10000,"High Value",IF(M686&gt;=5000,"Medium Value","Low Value"))</f>
        <v>Low Value</v>
      </c>
      <c r="W686" s="1" t="str">
        <f aca="false">IF(O686&gt;0,"Profitable",IF(O686=0,"Break-even","Loss"))</f>
        <v>Profitable</v>
      </c>
      <c r="X686" s="1" t="str">
        <f aca="false">IF(Q686="Cancelled","Not Applicable",IF(Q686="Processing","Pending",IF(B686="","Unknown",IF(Orders!J686="","Unknown",IF(Orders!J686&lt;=3,"Fast",IF(Orders!J686&lt;=6,"Standard","Slow"))))))</f>
        <v>Fast</v>
      </c>
      <c r="Y686" s="1" t="n">
        <f aca="false">IF(OR(Q686="Cancelled",Q686="Returned"),0,O686)</f>
        <v>598.5</v>
      </c>
    </row>
    <row r="687" customFormat="false" ht="15" hidden="false" customHeight="false" outlineLevel="0" collapsed="false">
      <c r="A687" s="6" t="str">
        <f aca="false">Orders!A687</f>
        <v>O000686</v>
      </c>
      <c r="B687" s="19" t="n">
        <f aca="false">Orders!B687</f>
        <v>45809</v>
      </c>
      <c r="C687" s="6" t="str">
        <f aca="false">Orders!C687</f>
        <v>C0016</v>
      </c>
      <c r="D687" s="6" t="str">
        <f aca="false">Orders!D687</f>
        <v>P1062</v>
      </c>
      <c r="E687" s="6" t="str">
        <f aca="false">INDEX(Products!$B$2:$B$101,MATCH(D687,Products!$A$2:$A$101,0))</f>
        <v>Skipping Rope</v>
      </c>
      <c r="F687" s="1" t="str">
        <f aca="false">INDEX(Products!$C$2:$C$101,MATCH(D687,Products!$A$2:$A$101,0))</f>
        <v>Sports &amp; Outdoors</v>
      </c>
      <c r="G687" s="6" t="n">
        <f aca="false">Orders!E687</f>
        <v>3</v>
      </c>
      <c r="H687" s="16" t="n">
        <f aca="false">INDEX(Products!$D$2:$D$101,MATCH(D687,Products!$A$2:$A$101,0))</f>
        <v>249</v>
      </c>
      <c r="I687" s="16" t="n">
        <f aca="false">INDEX(Products!$E$2:$E$101,MATCH(D687,Products!$A$2:$A$101,0))</f>
        <v>80</v>
      </c>
      <c r="J687" s="20" t="n">
        <f aca="false">Orders!F687</f>
        <v>0.1</v>
      </c>
      <c r="K687" s="6" t="n">
        <f aca="false">G687*H687</f>
        <v>747</v>
      </c>
      <c r="L687" s="6" t="n">
        <f aca="false">K687*J687</f>
        <v>74.7</v>
      </c>
      <c r="M687" s="6" t="n">
        <f aca="false">K687-L687</f>
        <v>672.3</v>
      </c>
      <c r="N687" s="6" t="n">
        <f aca="false">G687*I687</f>
        <v>240</v>
      </c>
      <c r="O687" s="6" t="n">
        <f aca="false">M687-N687</f>
        <v>432.3</v>
      </c>
      <c r="P687" s="21" t="n">
        <f aca="false">IFERROR(O687/M687,0)</f>
        <v>0.64301651048639</v>
      </c>
      <c r="Q687" s="6" t="str">
        <f aca="false">Orders!H687</f>
        <v>Delivered</v>
      </c>
      <c r="R687" s="1" t="str">
        <f aca="false">INDEX(Customers!$C$2:$C$301,MATCH(C687,Customers!$A$2:$A$301,0))</f>
        <v>Chandigarh</v>
      </c>
      <c r="S687" s="1" t="str">
        <f aca="false">INDEX(Customers!$E$2:$E$301,MATCH(C687,Customers!$A$2:$A$301,0))</f>
        <v>New</v>
      </c>
      <c r="T687" s="6" t="str">
        <f aca="false">Orders!I687</f>
        <v>Mobile App</v>
      </c>
      <c r="U687" s="1" t="str">
        <f aca="false">IF(Q687="Delivered","Completed",IF(Q687="Cancelled","Cancelled",IF(Q687="Returned","Returned","In Progress")))</f>
        <v>Completed</v>
      </c>
      <c r="V687" s="1" t="str">
        <f aca="false">IF(M687&gt;=10000,"High Value",IF(M687&gt;=5000,"Medium Value","Low Value"))</f>
        <v>Low Value</v>
      </c>
      <c r="W687" s="1" t="str">
        <f aca="false">IF(O687&gt;0,"Profitable",IF(O687=0,"Break-even","Loss"))</f>
        <v>Profitable</v>
      </c>
      <c r="X687" s="1" t="str">
        <f aca="false">IF(Q687="Cancelled","Not Applicable",IF(Q687="Processing","Pending",IF(B687="","Unknown",IF(Orders!J687="","Unknown",IF(Orders!J687&lt;=3,"Fast",IF(Orders!J687&lt;=6,"Standard","Slow"))))))</f>
        <v>Standard</v>
      </c>
      <c r="Y687" s="1" t="n">
        <f aca="false">IF(OR(Q687="Cancelled",Q687="Returned"),0,O687)</f>
        <v>432.3</v>
      </c>
    </row>
    <row r="688" customFormat="false" ht="15" hidden="false" customHeight="false" outlineLevel="0" collapsed="false">
      <c r="A688" s="6" t="str">
        <f aca="false">Orders!A688</f>
        <v>O000687</v>
      </c>
      <c r="B688" s="19" t="n">
        <f aca="false">Orders!B688</f>
        <v>45961</v>
      </c>
      <c r="C688" s="6" t="str">
        <f aca="false">Orders!C688</f>
        <v>C0269</v>
      </c>
      <c r="D688" s="6" t="str">
        <f aca="false">Orders!D688</f>
        <v>P1008</v>
      </c>
      <c r="E688" s="6" t="str">
        <f aca="false">INDEX(Products!$B$2:$B$101,MATCH(D688,Products!$A$2:$A$101,0))</f>
        <v>Phone Stand</v>
      </c>
      <c r="F688" s="1" t="str">
        <f aca="false">INDEX(Products!$C$2:$C$101,MATCH(D688,Products!$A$2:$A$101,0))</f>
        <v>Electronics</v>
      </c>
      <c r="G688" s="6" t="n">
        <f aca="false">Orders!E688</f>
        <v>1</v>
      </c>
      <c r="H688" s="16" t="n">
        <f aca="false">INDEX(Products!$D$2:$D$101,MATCH(D688,Products!$A$2:$A$101,0))</f>
        <v>399</v>
      </c>
      <c r="I688" s="16" t="n">
        <f aca="false">INDEX(Products!$E$2:$E$101,MATCH(D688,Products!$A$2:$A$101,0))</f>
        <v>150</v>
      </c>
      <c r="J688" s="20" t="n">
        <f aca="false">Orders!F688</f>
        <v>0.15</v>
      </c>
      <c r="K688" s="6" t="n">
        <f aca="false">G688*H688</f>
        <v>399</v>
      </c>
      <c r="L688" s="6" t="n">
        <f aca="false">K688*J688</f>
        <v>59.85</v>
      </c>
      <c r="M688" s="6" t="n">
        <f aca="false">K688-L688</f>
        <v>339.15</v>
      </c>
      <c r="N688" s="6" t="n">
        <f aca="false">G688*I688</f>
        <v>150</v>
      </c>
      <c r="O688" s="6" t="n">
        <f aca="false">M688-N688</f>
        <v>189.15</v>
      </c>
      <c r="P688" s="21" t="n">
        <f aca="false">IFERROR(O688/M688,0)</f>
        <v>0.557717823971694</v>
      </c>
      <c r="Q688" s="6" t="str">
        <f aca="false">Orders!H688</f>
        <v>Delivered</v>
      </c>
      <c r="R688" s="1" t="str">
        <f aca="false">INDEX(Customers!$C$2:$C$301,MATCH(C688,Customers!$A$2:$A$301,0))</f>
        <v>Ahmedabad</v>
      </c>
      <c r="S688" s="1" t="str">
        <f aca="false">INDEX(Customers!$E$2:$E$301,MATCH(C688,Customers!$A$2:$A$301,0))</f>
        <v>New</v>
      </c>
      <c r="T688" s="6" t="str">
        <f aca="false">Orders!I688</f>
        <v>Mobile App</v>
      </c>
      <c r="U688" s="1" t="str">
        <f aca="false">IF(Q688="Delivered","Completed",IF(Q688="Cancelled","Cancelled",IF(Q688="Returned","Returned","In Progress")))</f>
        <v>Completed</v>
      </c>
      <c r="V688" s="1" t="str">
        <f aca="false">IF(M688&gt;=10000,"High Value",IF(M688&gt;=5000,"Medium Value","Low Value"))</f>
        <v>Low Value</v>
      </c>
      <c r="W688" s="1" t="str">
        <f aca="false">IF(O688&gt;0,"Profitable",IF(O688=0,"Break-even","Loss"))</f>
        <v>Profitable</v>
      </c>
      <c r="X688" s="1" t="str">
        <f aca="false">IF(Q688="Cancelled","Not Applicable",IF(Q688="Processing","Pending",IF(B688="","Unknown",IF(Orders!J688="","Unknown",IF(Orders!J688&lt;=3,"Fast",IF(Orders!J688&lt;=6,"Standard","Slow"))))))</f>
        <v>Fast</v>
      </c>
      <c r="Y688" s="1" t="n">
        <f aca="false">IF(OR(Q688="Cancelled",Q688="Returned"),0,O688)</f>
        <v>189.15</v>
      </c>
    </row>
    <row r="689" customFormat="false" ht="15" hidden="false" customHeight="false" outlineLevel="0" collapsed="false">
      <c r="A689" s="6" t="str">
        <f aca="false">Orders!A689</f>
        <v>O000688</v>
      </c>
      <c r="B689" s="19" t="n">
        <f aca="false">Orders!B689</f>
        <v>45812</v>
      </c>
      <c r="C689" s="6" t="str">
        <f aca="false">Orders!C689</f>
        <v>C0271</v>
      </c>
      <c r="D689" s="6" t="str">
        <f aca="false">Orders!D689</f>
        <v>P1045</v>
      </c>
      <c r="E689" s="6" t="str">
        <f aca="false">INDEX(Products!$B$2:$B$101,MATCH(D689,Products!$A$2:$A$101,0))</f>
        <v>Lunch Box</v>
      </c>
      <c r="F689" s="1" t="str">
        <f aca="false">INDEX(Products!$C$2:$C$101,MATCH(D689,Products!$A$2:$A$101,0))</f>
        <v>Home &amp; Kitchen</v>
      </c>
      <c r="G689" s="6" t="n">
        <f aca="false">Orders!E689</f>
        <v>1</v>
      </c>
      <c r="H689" s="16" t="n">
        <f aca="false">INDEX(Products!$D$2:$D$101,MATCH(D689,Products!$A$2:$A$101,0))</f>
        <v>449</v>
      </c>
      <c r="I689" s="16" t="n">
        <f aca="false">INDEX(Products!$E$2:$E$101,MATCH(D689,Products!$A$2:$A$101,0))</f>
        <v>180</v>
      </c>
      <c r="J689" s="20" t="n">
        <f aca="false">Orders!F689</f>
        <v>0.25</v>
      </c>
      <c r="K689" s="6" t="n">
        <f aca="false">G689*H689</f>
        <v>449</v>
      </c>
      <c r="L689" s="6" t="n">
        <f aca="false">K689*J689</f>
        <v>112.25</v>
      </c>
      <c r="M689" s="6" t="n">
        <f aca="false">K689-L689</f>
        <v>336.75</v>
      </c>
      <c r="N689" s="6" t="n">
        <f aca="false">G689*I689</f>
        <v>180</v>
      </c>
      <c r="O689" s="6" t="n">
        <f aca="false">M689-N689</f>
        <v>156.75</v>
      </c>
      <c r="P689" s="21" t="n">
        <f aca="false">IFERROR(O689/M689,0)</f>
        <v>0.465478841870824</v>
      </c>
      <c r="Q689" s="6" t="str">
        <f aca="false">Orders!H689</f>
        <v>Returned</v>
      </c>
      <c r="R689" s="1" t="str">
        <f aca="false">INDEX(Customers!$C$2:$C$301,MATCH(C689,Customers!$A$2:$A$301,0))</f>
        <v>Gurugram</v>
      </c>
      <c r="S689" s="1" t="str">
        <f aca="false">INDEX(Customers!$E$2:$E$301,MATCH(C689,Customers!$A$2:$A$301,0))</f>
        <v>New</v>
      </c>
      <c r="T689" s="6" t="str">
        <f aca="false">Orders!I689</f>
        <v>Marketplace</v>
      </c>
      <c r="U689" s="1" t="str">
        <f aca="false">IF(Q689="Delivered","Completed",IF(Q689="Cancelled","Cancelled",IF(Q689="Returned","Returned","In Progress")))</f>
        <v>Returned</v>
      </c>
      <c r="V689" s="1" t="str">
        <f aca="false">IF(M689&gt;=10000,"High Value",IF(M689&gt;=5000,"Medium Value","Low Value"))</f>
        <v>Low Value</v>
      </c>
      <c r="W689" s="1" t="str">
        <f aca="false">IF(O689&gt;0,"Profitable",IF(O689=0,"Break-even","Loss"))</f>
        <v>Profitable</v>
      </c>
      <c r="X689" s="1" t="str">
        <f aca="false">IF(Q689="Cancelled","Not Applicable",IF(Q689="Processing","Pending",IF(B689="","Unknown",IF(Orders!J689="","Unknown",IF(Orders!J689&lt;=3,"Fast",IF(Orders!J689&lt;=6,"Standard","Slow"))))))</f>
        <v>Standard</v>
      </c>
      <c r="Y689" s="1" t="n">
        <f aca="false">IF(OR(Q689="Cancelled",Q689="Returned"),0,O689)</f>
        <v>0</v>
      </c>
    </row>
    <row r="690" customFormat="false" ht="15" hidden="false" customHeight="false" outlineLevel="0" collapsed="false">
      <c r="A690" s="6" t="str">
        <f aca="false">Orders!A690</f>
        <v>O000689</v>
      </c>
      <c r="B690" s="19" t="n">
        <f aca="false">Orders!B690</f>
        <v>45967</v>
      </c>
      <c r="C690" s="6" t="str">
        <f aca="false">Orders!C690</f>
        <v>C0211</v>
      </c>
      <c r="D690" s="6" t="str">
        <f aca="false">Orders!D690</f>
        <v>P1038</v>
      </c>
      <c r="E690" s="6" t="str">
        <f aca="false">INDEX(Products!$B$2:$B$101,MATCH(D690,Products!$A$2:$A$101,0))</f>
        <v>Laundry Basket</v>
      </c>
      <c r="F690" s="1" t="str">
        <f aca="false">INDEX(Products!$C$2:$C$101,MATCH(D690,Products!$A$2:$A$101,0))</f>
        <v>Home &amp; Kitchen</v>
      </c>
      <c r="G690" s="6" t="n">
        <f aca="false">Orders!E690</f>
        <v>1</v>
      </c>
      <c r="H690" s="16" t="n">
        <f aca="false">INDEX(Products!$D$2:$D$101,MATCH(D690,Products!$A$2:$A$101,0))</f>
        <v>599</v>
      </c>
      <c r="I690" s="16" t="n">
        <f aca="false">INDEX(Products!$E$2:$E$101,MATCH(D690,Products!$A$2:$A$101,0))</f>
        <v>260</v>
      </c>
      <c r="J690" s="20" t="n">
        <f aca="false">Orders!F690</f>
        <v>0.2</v>
      </c>
      <c r="K690" s="6" t="n">
        <f aca="false">G690*H690</f>
        <v>599</v>
      </c>
      <c r="L690" s="6" t="n">
        <f aca="false">K690*J690</f>
        <v>119.8</v>
      </c>
      <c r="M690" s="6" t="n">
        <f aca="false">K690-L690</f>
        <v>479.2</v>
      </c>
      <c r="N690" s="6" t="n">
        <f aca="false">G690*I690</f>
        <v>260</v>
      </c>
      <c r="O690" s="6" t="n">
        <f aca="false">M690-N690</f>
        <v>219.2</v>
      </c>
      <c r="P690" s="21" t="n">
        <f aca="false">IFERROR(O690/M690,0)</f>
        <v>0.457429048414023</v>
      </c>
      <c r="Q690" s="6" t="str">
        <f aca="false">Orders!H690</f>
        <v>Delivered</v>
      </c>
      <c r="R690" s="1" t="str">
        <f aca="false">INDEX(Customers!$C$2:$C$301,MATCH(C690,Customers!$A$2:$A$301,0))</f>
        <v>Gurugram</v>
      </c>
      <c r="S690" s="1" t="str">
        <f aca="false">INDEX(Customers!$E$2:$E$301,MATCH(C690,Customers!$A$2:$A$301,0))</f>
        <v>Returning</v>
      </c>
      <c r="T690" s="6" t="str">
        <f aca="false">Orders!I690</f>
        <v>Mobile App</v>
      </c>
      <c r="U690" s="1" t="str">
        <f aca="false">IF(Q690="Delivered","Completed",IF(Q690="Cancelled","Cancelled",IF(Q690="Returned","Returned","In Progress")))</f>
        <v>Completed</v>
      </c>
      <c r="V690" s="1" t="str">
        <f aca="false">IF(M690&gt;=10000,"High Value",IF(M690&gt;=5000,"Medium Value","Low Value"))</f>
        <v>Low Value</v>
      </c>
      <c r="W690" s="1" t="str">
        <f aca="false">IF(O690&gt;0,"Profitable",IF(O690=0,"Break-even","Loss"))</f>
        <v>Profitable</v>
      </c>
      <c r="X690" s="1" t="str">
        <f aca="false">IF(Q690="Cancelled","Not Applicable",IF(Q690="Processing","Pending",IF(B690="","Unknown",IF(Orders!J690="","Unknown",IF(Orders!J690&lt;=3,"Fast",IF(Orders!J690&lt;=6,"Standard","Slow"))))))</f>
        <v>Slow</v>
      </c>
      <c r="Y690" s="1" t="n">
        <f aca="false">IF(OR(Q690="Cancelled",Q690="Returned"),0,O690)</f>
        <v>219.2</v>
      </c>
    </row>
    <row r="691" customFormat="false" ht="15" hidden="false" customHeight="false" outlineLevel="0" collapsed="false">
      <c r="A691" s="6" t="str">
        <f aca="false">Orders!A691</f>
        <v>O000690</v>
      </c>
      <c r="B691" s="19" t="n">
        <f aca="false">Orders!B691</f>
        <v>45661</v>
      </c>
      <c r="C691" s="6" t="str">
        <f aca="false">Orders!C691</f>
        <v>C0205</v>
      </c>
      <c r="D691" s="6" t="str">
        <f aca="false">Orders!D691</f>
        <v>P1051</v>
      </c>
      <c r="E691" s="6" t="str">
        <f aca="false">INDEX(Products!$B$2:$B$101,MATCH(D691,Products!$A$2:$A$101,0))</f>
        <v>Body Lotion</v>
      </c>
      <c r="F691" s="1" t="str">
        <f aca="false">INDEX(Products!$C$2:$C$101,MATCH(D691,Products!$A$2:$A$101,0))</f>
        <v>Beauty</v>
      </c>
      <c r="G691" s="6" t="n">
        <f aca="false">Orders!E691</f>
        <v>2</v>
      </c>
      <c r="H691" s="16" t="n">
        <f aca="false">INDEX(Products!$D$2:$D$101,MATCH(D691,Products!$A$2:$A$101,0))</f>
        <v>399</v>
      </c>
      <c r="I691" s="16" t="n">
        <f aca="false">INDEX(Products!$E$2:$E$101,MATCH(D691,Products!$A$2:$A$101,0))</f>
        <v>170</v>
      </c>
      <c r="J691" s="20" t="n">
        <f aca="false">Orders!F691</f>
        <v>0.1</v>
      </c>
      <c r="K691" s="6" t="n">
        <f aca="false">G691*H691</f>
        <v>798</v>
      </c>
      <c r="L691" s="6" t="n">
        <f aca="false">K691*J691</f>
        <v>79.8</v>
      </c>
      <c r="M691" s="6" t="n">
        <f aca="false">K691-L691</f>
        <v>718.2</v>
      </c>
      <c r="N691" s="6" t="n">
        <f aca="false">G691*I691</f>
        <v>340</v>
      </c>
      <c r="O691" s="6" t="n">
        <f aca="false">M691-N691</f>
        <v>378.2</v>
      </c>
      <c r="P691" s="21" t="n">
        <f aca="false">IFERROR(O691/M691,0)</f>
        <v>0.526594263436369</v>
      </c>
      <c r="Q691" s="6" t="str">
        <f aca="false">Orders!H691</f>
        <v>Delivered</v>
      </c>
      <c r="R691" s="1" t="str">
        <f aca="false">INDEX(Customers!$C$2:$C$301,MATCH(C691,Customers!$A$2:$A$301,0))</f>
        <v>Chennai</v>
      </c>
      <c r="S691" s="1" t="str">
        <f aca="false">INDEX(Customers!$E$2:$E$301,MATCH(C691,Customers!$A$2:$A$301,0))</f>
        <v>Returning</v>
      </c>
      <c r="T691" s="6" t="str">
        <f aca="false">Orders!I691</f>
        <v>Website</v>
      </c>
      <c r="U691" s="1" t="str">
        <f aca="false">IF(Q691="Delivered","Completed",IF(Q691="Cancelled","Cancelled",IF(Q691="Returned","Returned","In Progress")))</f>
        <v>Completed</v>
      </c>
      <c r="V691" s="1" t="str">
        <f aca="false">IF(M691&gt;=10000,"High Value",IF(M691&gt;=5000,"Medium Value","Low Value"))</f>
        <v>Low Value</v>
      </c>
      <c r="W691" s="1" t="str">
        <f aca="false">IF(O691&gt;0,"Profitable",IF(O691=0,"Break-even","Loss"))</f>
        <v>Profitable</v>
      </c>
      <c r="X691" s="1" t="str">
        <f aca="false">IF(Q691="Cancelled","Not Applicable",IF(Q691="Processing","Pending",IF(B691="","Unknown",IF(Orders!J691="","Unknown",IF(Orders!J691&lt;=3,"Fast",IF(Orders!J691&lt;=6,"Standard","Slow"))))))</f>
        <v>Standard</v>
      </c>
      <c r="Y691" s="1" t="n">
        <f aca="false">IF(OR(Q691="Cancelled",Q691="Returned"),0,O691)</f>
        <v>378.2</v>
      </c>
    </row>
    <row r="692" customFormat="false" ht="15" hidden="false" customHeight="false" outlineLevel="0" collapsed="false">
      <c r="A692" s="6" t="str">
        <f aca="false">Orders!A692</f>
        <v>O000691</v>
      </c>
      <c r="B692" s="19" t="n">
        <f aca="false">Orders!B692</f>
        <v>45932</v>
      </c>
      <c r="C692" s="6" t="str">
        <f aca="false">Orders!C692</f>
        <v>C0118</v>
      </c>
      <c r="D692" s="6" t="str">
        <f aca="false">Orders!D692</f>
        <v>P1083</v>
      </c>
      <c r="E692" s="6" t="str">
        <f aca="false">INDEX(Products!$B$2:$B$101,MATCH(D692,Products!$A$2:$A$101,0))</f>
        <v>Reading Light</v>
      </c>
      <c r="F692" s="1" t="str">
        <f aca="false">INDEX(Products!$C$2:$C$101,MATCH(D692,Products!$A$2:$A$101,0))</f>
        <v>Books &amp; Stationery</v>
      </c>
      <c r="G692" s="6" t="n">
        <f aca="false">Orders!E692</f>
        <v>2</v>
      </c>
      <c r="H692" s="16" t="n">
        <f aca="false">INDEX(Products!$D$2:$D$101,MATCH(D692,Products!$A$2:$A$101,0))</f>
        <v>399</v>
      </c>
      <c r="I692" s="16" t="n">
        <f aca="false">INDEX(Products!$E$2:$E$101,MATCH(D692,Products!$A$2:$A$101,0))</f>
        <v>180</v>
      </c>
      <c r="J692" s="20" t="n">
        <f aca="false">Orders!F692</f>
        <v>0.15</v>
      </c>
      <c r="K692" s="6" t="n">
        <f aca="false">G692*H692</f>
        <v>798</v>
      </c>
      <c r="L692" s="6" t="n">
        <f aca="false">K692*J692</f>
        <v>119.7</v>
      </c>
      <c r="M692" s="6" t="n">
        <f aca="false">K692-L692</f>
        <v>678.3</v>
      </c>
      <c r="N692" s="6" t="n">
        <f aca="false">G692*I692</f>
        <v>360</v>
      </c>
      <c r="O692" s="6" t="n">
        <f aca="false">M692-N692</f>
        <v>318.3</v>
      </c>
      <c r="P692" s="21" t="n">
        <f aca="false">IFERROR(O692/M692,0)</f>
        <v>0.469261388766033</v>
      </c>
      <c r="Q692" s="6" t="str">
        <f aca="false">Orders!H692</f>
        <v>Delivered</v>
      </c>
      <c r="R692" s="1" t="str">
        <f aca="false">INDEX(Customers!$C$2:$C$301,MATCH(C692,Customers!$A$2:$A$301,0))</f>
        <v>Nagpur</v>
      </c>
      <c r="S692" s="1" t="str">
        <f aca="false">INDEX(Customers!$E$2:$E$301,MATCH(C692,Customers!$A$2:$A$301,0))</f>
        <v>Returning</v>
      </c>
      <c r="T692" s="6" t="str">
        <f aca="false">Orders!I692</f>
        <v>Mobile App</v>
      </c>
      <c r="U692" s="1" t="str">
        <f aca="false">IF(Q692="Delivered","Completed",IF(Q692="Cancelled","Cancelled",IF(Q692="Returned","Returned","In Progress")))</f>
        <v>Completed</v>
      </c>
      <c r="V692" s="1" t="str">
        <f aca="false">IF(M692&gt;=10000,"High Value",IF(M692&gt;=5000,"Medium Value","Low Value"))</f>
        <v>Low Value</v>
      </c>
      <c r="W692" s="1" t="str">
        <f aca="false">IF(O692&gt;0,"Profitable",IF(O692=0,"Break-even","Loss"))</f>
        <v>Profitable</v>
      </c>
      <c r="X692" s="1" t="str">
        <f aca="false">IF(Q692="Cancelled","Not Applicable",IF(Q692="Processing","Pending",IF(B692="","Unknown",IF(Orders!J692="","Unknown",IF(Orders!J692&lt;=3,"Fast",IF(Orders!J692&lt;=6,"Standard","Slow"))))))</f>
        <v>Slow</v>
      </c>
      <c r="Y692" s="1" t="n">
        <f aca="false">IF(OR(Q692="Cancelled",Q692="Returned"),0,O692)</f>
        <v>318.3</v>
      </c>
    </row>
    <row r="693" customFormat="false" ht="23.85" hidden="false" customHeight="false" outlineLevel="0" collapsed="false">
      <c r="A693" s="6" t="str">
        <f aca="false">Orders!A693</f>
        <v>O000692</v>
      </c>
      <c r="B693" s="19" t="n">
        <f aca="false">Orders!B693</f>
        <v>45700</v>
      </c>
      <c r="C693" s="6" t="str">
        <f aca="false">Orders!C693</f>
        <v>C0159</v>
      </c>
      <c r="D693" s="6" t="str">
        <f aca="false">Orders!D693</f>
        <v>P1041</v>
      </c>
      <c r="E693" s="6" t="str">
        <f aca="false">INDEX(Products!$B$2:$B$101,MATCH(D693,Products!$A$2:$A$101,0))</f>
        <v>Food Storage Jars</v>
      </c>
      <c r="F693" s="1" t="str">
        <f aca="false">INDEX(Products!$C$2:$C$101,MATCH(D693,Products!$A$2:$A$101,0))</f>
        <v>Home &amp; Kitchen</v>
      </c>
      <c r="G693" s="6" t="n">
        <f aca="false">Orders!E693</f>
        <v>1</v>
      </c>
      <c r="H693" s="16" t="n">
        <f aca="false">INDEX(Products!$D$2:$D$101,MATCH(D693,Products!$A$2:$A$101,0))</f>
        <v>499</v>
      </c>
      <c r="I693" s="16" t="n">
        <f aca="false">INDEX(Products!$E$2:$E$101,MATCH(D693,Products!$A$2:$A$101,0))</f>
        <v>220</v>
      </c>
      <c r="J693" s="20" t="n">
        <f aca="false">Orders!F693</f>
        <v>0.15</v>
      </c>
      <c r="K693" s="6" t="n">
        <f aca="false">G693*H693</f>
        <v>499</v>
      </c>
      <c r="L693" s="6" t="n">
        <f aca="false">K693*J693</f>
        <v>74.85</v>
      </c>
      <c r="M693" s="6" t="n">
        <f aca="false">K693-L693</f>
        <v>424.15</v>
      </c>
      <c r="N693" s="6" t="n">
        <f aca="false">G693*I693</f>
        <v>220</v>
      </c>
      <c r="O693" s="6" t="n">
        <f aca="false">M693-N693</f>
        <v>204.15</v>
      </c>
      <c r="P693" s="21" t="n">
        <f aca="false">IFERROR(O693/M693,0)</f>
        <v>0.481315572321113</v>
      </c>
      <c r="Q693" s="6" t="str">
        <f aca="false">Orders!H693</f>
        <v>Delivered</v>
      </c>
      <c r="R693" s="1" t="str">
        <f aca="false">INDEX(Customers!$C$2:$C$301,MATCH(C693,Customers!$A$2:$A$301,0))</f>
        <v>Coimbatore</v>
      </c>
      <c r="S693" s="1" t="str">
        <f aca="false">INDEX(Customers!$E$2:$E$301,MATCH(C693,Customers!$A$2:$A$301,0))</f>
        <v>New</v>
      </c>
      <c r="T693" s="6" t="str">
        <f aca="false">Orders!I693</f>
        <v>Marketplace</v>
      </c>
      <c r="U693" s="1" t="str">
        <f aca="false">IF(Q693="Delivered","Completed",IF(Q693="Cancelled","Cancelled",IF(Q693="Returned","Returned","In Progress")))</f>
        <v>Completed</v>
      </c>
      <c r="V693" s="1" t="str">
        <f aca="false">IF(M693&gt;=10000,"High Value",IF(M693&gt;=5000,"Medium Value","Low Value"))</f>
        <v>Low Value</v>
      </c>
      <c r="W693" s="1" t="str">
        <f aca="false">IF(O693&gt;0,"Profitable",IF(O693=0,"Break-even","Loss"))</f>
        <v>Profitable</v>
      </c>
      <c r="X693" s="1" t="str">
        <f aca="false">IF(Q693="Cancelled","Not Applicable",IF(Q693="Processing","Pending",IF(B693="","Unknown",IF(Orders!J693="","Unknown",IF(Orders!J693&lt;=3,"Fast",IF(Orders!J693&lt;=6,"Standard","Slow"))))))</f>
        <v>Standard</v>
      </c>
      <c r="Y693" s="1" t="n">
        <f aca="false">IF(OR(Q693="Cancelled",Q693="Returned"),0,O693)</f>
        <v>204.15</v>
      </c>
    </row>
    <row r="694" customFormat="false" ht="15" hidden="false" customHeight="false" outlineLevel="0" collapsed="false">
      <c r="A694" s="6" t="str">
        <f aca="false">Orders!A694</f>
        <v>O000693</v>
      </c>
      <c r="B694" s="19" t="n">
        <f aca="false">Orders!B694</f>
        <v>45905</v>
      </c>
      <c r="C694" s="6" t="str">
        <f aca="false">Orders!C694</f>
        <v>C0136</v>
      </c>
      <c r="D694" s="6" t="str">
        <f aca="false">Orders!D694</f>
        <v>P1058</v>
      </c>
      <c r="E694" s="6" t="str">
        <f aca="false">INDEX(Products!$B$2:$B$101,MATCH(D694,Products!$A$2:$A$101,0))</f>
        <v>Nail Care Kit</v>
      </c>
      <c r="F694" s="1" t="str">
        <f aca="false">INDEX(Products!$C$2:$C$101,MATCH(D694,Products!$A$2:$A$101,0))</f>
        <v>Beauty</v>
      </c>
      <c r="G694" s="6" t="n">
        <f aca="false">Orders!E694</f>
        <v>1</v>
      </c>
      <c r="H694" s="16" t="n">
        <f aca="false">INDEX(Products!$D$2:$D$101,MATCH(D694,Products!$A$2:$A$101,0))</f>
        <v>399</v>
      </c>
      <c r="I694" s="16" t="n">
        <f aca="false">INDEX(Products!$E$2:$E$101,MATCH(D694,Products!$A$2:$A$101,0))</f>
        <v>170</v>
      </c>
      <c r="J694" s="20" t="n">
        <f aca="false">Orders!F694</f>
        <v>0.05</v>
      </c>
      <c r="K694" s="6" t="n">
        <f aca="false">G694*H694</f>
        <v>399</v>
      </c>
      <c r="L694" s="6" t="n">
        <f aca="false">K694*J694</f>
        <v>19.95</v>
      </c>
      <c r="M694" s="6" t="n">
        <f aca="false">K694-L694</f>
        <v>379.05</v>
      </c>
      <c r="N694" s="6" t="n">
        <f aca="false">G694*I694</f>
        <v>170</v>
      </c>
      <c r="O694" s="6" t="n">
        <f aca="false">M694-N694</f>
        <v>209.05</v>
      </c>
      <c r="P694" s="21" t="n">
        <f aca="false">IFERROR(O694/M694,0)</f>
        <v>0.551510354834455</v>
      </c>
      <c r="Q694" s="6" t="str">
        <f aca="false">Orders!H694</f>
        <v>Delivered</v>
      </c>
      <c r="R694" s="1" t="str">
        <f aca="false">INDEX(Customers!$C$2:$C$301,MATCH(C694,Customers!$A$2:$A$301,0))</f>
        <v>Chandigarh</v>
      </c>
      <c r="S694" s="1" t="str">
        <f aca="false">INDEX(Customers!$E$2:$E$301,MATCH(C694,Customers!$A$2:$A$301,0))</f>
        <v>New</v>
      </c>
      <c r="T694" s="6" t="str">
        <f aca="false">Orders!I694</f>
        <v>Marketplace</v>
      </c>
      <c r="U694" s="1" t="str">
        <f aca="false">IF(Q694="Delivered","Completed",IF(Q694="Cancelled","Cancelled",IF(Q694="Returned","Returned","In Progress")))</f>
        <v>Completed</v>
      </c>
      <c r="V694" s="1" t="str">
        <f aca="false">IF(M694&gt;=10000,"High Value",IF(M694&gt;=5000,"Medium Value","Low Value"))</f>
        <v>Low Value</v>
      </c>
      <c r="W694" s="1" t="str">
        <f aca="false">IF(O694&gt;0,"Profitable",IF(O694=0,"Break-even","Loss"))</f>
        <v>Profitable</v>
      </c>
      <c r="X694" s="1" t="str">
        <f aca="false">IF(Q694="Cancelled","Not Applicable",IF(Q694="Processing","Pending",IF(B694="","Unknown",IF(Orders!J694="","Unknown",IF(Orders!J694&lt;=3,"Fast",IF(Orders!J694&lt;=6,"Standard","Slow"))))))</f>
        <v>Fast</v>
      </c>
      <c r="Y694" s="1" t="n">
        <f aca="false">IF(OR(Q694="Cancelled",Q694="Returned"),0,O694)</f>
        <v>209.05</v>
      </c>
    </row>
    <row r="695" customFormat="false" ht="23.85" hidden="false" customHeight="false" outlineLevel="0" collapsed="false">
      <c r="A695" s="6" t="str">
        <f aca="false">Orders!A695</f>
        <v>O000694</v>
      </c>
      <c r="B695" s="19" t="n">
        <f aca="false">Orders!B695</f>
        <v>45880</v>
      </c>
      <c r="C695" s="6" t="str">
        <f aca="false">Orders!C695</f>
        <v>C0280</v>
      </c>
      <c r="D695" s="6" t="str">
        <f aca="false">Orders!D695</f>
        <v>P1053</v>
      </c>
      <c r="E695" s="6" t="str">
        <f aca="false">INDEX(Products!$B$2:$B$101,MATCH(D695,Products!$A$2:$A$101,0))</f>
        <v>Makeup Brush Set</v>
      </c>
      <c r="F695" s="1" t="str">
        <f aca="false">INDEX(Products!$C$2:$C$101,MATCH(D695,Products!$A$2:$A$101,0))</f>
        <v>Beauty</v>
      </c>
      <c r="G695" s="6" t="n">
        <f aca="false">Orders!E695</f>
        <v>1</v>
      </c>
      <c r="H695" s="16" t="n">
        <f aca="false">INDEX(Products!$D$2:$D$101,MATCH(D695,Products!$A$2:$A$101,0))</f>
        <v>599</v>
      </c>
      <c r="I695" s="16" t="n">
        <f aca="false">INDEX(Products!$E$2:$E$101,MATCH(D695,Products!$A$2:$A$101,0))</f>
        <v>250</v>
      </c>
      <c r="J695" s="20" t="n">
        <f aca="false">Orders!F695</f>
        <v>0.1</v>
      </c>
      <c r="K695" s="6" t="n">
        <f aca="false">G695*H695</f>
        <v>599</v>
      </c>
      <c r="L695" s="6" t="n">
        <f aca="false">K695*J695</f>
        <v>59.9</v>
      </c>
      <c r="M695" s="6" t="n">
        <f aca="false">K695-L695</f>
        <v>539.1</v>
      </c>
      <c r="N695" s="6" t="n">
        <f aca="false">G695*I695</f>
        <v>250</v>
      </c>
      <c r="O695" s="6" t="n">
        <f aca="false">M695-N695</f>
        <v>289.1</v>
      </c>
      <c r="P695" s="21" t="n">
        <f aca="false">IFERROR(O695/M695,0)</f>
        <v>0.53626414394361</v>
      </c>
      <c r="Q695" s="6" t="str">
        <f aca="false">Orders!H695</f>
        <v>Delivered</v>
      </c>
      <c r="R695" s="1" t="str">
        <f aca="false">INDEX(Customers!$C$2:$C$301,MATCH(C695,Customers!$A$2:$A$301,0))</f>
        <v>Visakhapatnam</v>
      </c>
      <c r="S695" s="1" t="str">
        <f aca="false">INDEX(Customers!$E$2:$E$301,MATCH(C695,Customers!$A$2:$A$301,0))</f>
        <v>New</v>
      </c>
      <c r="T695" s="6" t="str">
        <f aca="false">Orders!I695</f>
        <v>Website</v>
      </c>
      <c r="U695" s="1" t="str">
        <f aca="false">IF(Q695="Delivered","Completed",IF(Q695="Cancelled","Cancelled",IF(Q695="Returned","Returned","In Progress")))</f>
        <v>Completed</v>
      </c>
      <c r="V695" s="1" t="str">
        <f aca="false">IF(M695&gt;=10000,"High Value",IF(M695&gt;=5000,"Medium Value","Low Value"))</f>
        <v>Low Value</v>
      </c>
      <c r="W695" s="1" t="str">
        <f aca="false">IF(O695&gt;0,"Profitable",IF(O695=0,"Break-even","Loss"))</f>
        <v>Profitable</v>
      </c>
      <c r="X695" s="1" t="str">
        <f aca="false">IF(Q695="Cancelled","Not Applicable",IF(Q695="Processing","Pending",IF(B695="","Unknown",IF(Orders!J695="","Unknown",IF(Orders!J695&lt;=3,"Fast",IF(Orders!J695&lt;=6,"Standard","Slow"))))))</f>
        <v>Slow</v>
      </c>
      <c r="Y695" s="1" t="n">
        <f aca="false">IF(OR(Q695="Cancelled",Q695="Returned"),0,O695)</f>
        <v>289.1</v>
      </c>
    </row>
    <row r="696" customFormat="false" ht="15" hidden="false" customHeight="false" outlineLevel="0" collapsed="false">
      <c r="A696" s="6" t="str">
        <f aca="false">Orders!A696</f>
        <v>O000695</v>
      </c>
      <c r="B696" s="19" t="n">
        <f aca="false">Orders!B696</f>
        <v>45660</v>
      </c>
      <c r="C696" s="6" t="str">
        <f aca="false">Orders!C696</f>
        <v>C0214</v>
      </c>
      <c r="D696" s="6" t="str">
        <f aca="false">Orders!D696</f>
        <v>P1039</v>
      </c>
      <c r="E696" s="6" t="str">
        <f aca="false">INDEX(Products!$B$2:$B$101,MATCH(D696,Products!$A$2:$A$101,0))</f>
        <v>Wall Clock</v>
      </c>
      <c r="F696" s="1" t="str">
        <f aca="false">INDEX(Products!$C$2:$C$101,MATCH(D696,Products!$A$2:$A$101,0))</f>
        <v>Home &amp; Kitchen</v>
      </c>
      <c r="G696" s="6" t="n">
        <f aca="false">Orders!E696</f>
        <v>1</v>
      </c>
      <c r="H696" s="16" t="n">
        <f aca="false">INDEX(Products!$D$2:$D$101,MATCH(D696,Products!$A$2:$A$101,0))</f>
        <v>699</v>
      </c>
      <c r="I696" s="16" t="n">
        <f aca="false">INDEX(Products!$E$2:$E$101,MATCH(D696,Products!$A$2:$A$101,0))</f>
        <v>300</v>
      </c>
      <c r="J696" s="20" t="n">
        <f aca="false">Orders!F696</f>
        <v>0.2</v>
      </c>
      <c r="K696" s="6" t="n">
        <f aca="false">G696*H696</f>
        <v>699</v>
      </c>
      <c r="L696" s="6" t="n">
        <f aca="false">K696*J696</f>
        <v>139.8</v>
      </c>
      <c r="M696" s="6" t="n">
        <f aca="false">K696-L696</f>
        <v>559.2</v>
      </c>
      <c r="N696" s="6" t="n">
        <f aca="false">G696*I696</f>
        <v>300</v>
      </c>
      <c r="O696" s="6" t="n">
        <f aca="false">M696-N696</f>
        <v>259.2</v>
      </c>
      <c r="P696" s="21" t="n">
        <f aca="false">IFERROR(O696/M696,0)</f>
        <v>0.463519313304721</v>
      </c>
      <c r="Q696" s="6" t="str">
        <f aca="false">Orders!H696</f>
        <v>Delivered</v>
      </c>
      <c r="R696" s="1" t="str">
        <f aca="false">INDEX(Customers!$C$2:$C$301,MATCH(C696,Customers!$A$2:$A$301,0))</f>
        <v>Indore</v>
      </c>
      <c r="S696" s="1" t="str">
        <f aca="false">INDEX(Customers!$E$2:$E$301,MATCH(C696,Customers!$A$2:$A$301,0))</f>
        <v>Returning</v>
      </c>
      <c r="T696" s="6" t="str">
        <f aca="false">Orders!I696</f>
        <v>Website</v>
      </c>
      <c r="U696" s="1" t="str">
        <f aca="false">IF(Q696="Delivered","Completed",IF(Q696="Cancelled","Cancelled",IF(Q696="Returned","Returned","In Progress")))</f>
        <v>Completed</v>
      </c>
      <c r="V696" s="1" t="str">
        <f aca="false">IF(M696&gt;=10000,"High Value",IF(M696&gt;=5000,"Medium Value","Low Value"))</f>
        <v>Low Value</v>
      </c>
      <c r="W696" s="1" t="str">
        <f aca="false">IF(O696&gt;0,"Profitable",IF(O696=0,"Break-even","Loss"))</f>
        <v>Profitable</v>
      </c>
      <c r="X696" s="1" t="str">
        <f aca="false">IF(Q696="Cancelled","Not Applicable",IF(Q696="Processing","Pending",IF(B696="","Unknown",IF(Orders!J696="","Unknown",IF(Orders!J696&lt;=3,"Fast",IF(Orders!J696&lt;=6,"Standard","Slow"))))))</f>
        <v>Standard</v>
      </c>
      <c r="Y696" s="1" t="n">
        <f aca="false">IF(OR(Q696="Cancelled",Q696="Returned"),0,O696)</f>
        <v>259.2</v>
      </c>
    </row>
    <row r="697" customFormat="false" ht="15" hidden="false" customHeight="false" outlineLevel="0" collapsed="false">
      <c r="A697" s="6" t="str">
        <f aca="false">Orders!A697</f>
        <v>O000696</v>
      </c>
      <c r="B697" s="19" t="n">
        <f aca="false">Orders!B697</f>
        <v>45728</v>
      </c>
      <c r="C697" s="6" t="str">
        <f aca="false">Orders!C697</f>
        <v>C0153</v>
      </c>
      <c r="D697" s="6" t="str">
        <f aca="false">Orders!D697</f>
        <v>P1037</v>
      </c>
      <c r="E697" s="6" t="str">
        <f aca="false">INDEX(Products!$B$2:$B$101,MATCH(D697,Products!$A$2:$A$101,0))</f>
        <v>Pillow Pair</v>
      </c>
      <c r="F697" s="1" t="str">
        <f aca="false">INDEX(Products!$C$2:$C$101,MATCH(D697,Products!$A$2:$A$101,0))</f>
        <v>Home &amp; Kitchen</v>
      </c>
      <c r="G697" s="6" t="n">
        <f aca="false">Orders!E697</f>
        <v>1</v>
      </c>
      <c r="H697" s="16" t="n">
        <f aca="false">INDEX(Products!$D$2:$D$101,MATCH(D697,Products!$A$2:$A$101,0))</f>
        <v>799</v>
      </c>
      <c r="I697" s="16" t="n">
        <f aca="false">INDEX(Products!$E$2:$E$101,MATCH(D697,Products!$A$2:$A$101,0))</f>
        <v>350</v>
      </c>
      <c r="J697" s="20" t="n">
        <f aca="false">Orders!F697</f>
        <v>0.2</v>
      </c>
      <c r="K697" s="6" t="n">
        <f aca="false">G697*H697</f>
        <v>799</v>
      </c>
      <c r="L697" s="6" t="n">
        <f aca="false">K697*J697</f>
        <v>159.8</v>
      </c>
      <c r="M697" s="6" t="n">
        <f aca="false">K697-L697</f>
        <v>639.2</v>
      </c>
      <c r="N697" s="6" t="n">
        <f aca="false">G697*I697</f>
        <v>350</v>
      </c>
      <c r="O697" s="6" t="n">
        <f aca="false">M697-N697</f>
        <v>289.2</v>
      </c>
      <c r="P697" s="21" t="n">
        <f aca="false">IFERROR(O697/M697,0)</f>
        <v>0.452440550688361</v>
      </c>
      <c r="Q697" s="6" t="str">
        <f aca="false">Orders!H697</f>
        <v>Processing</v>
      </c>
      <c r="R697" s="1" t="str">
        <f aca="false">INDEX(Customers!$C$2:$C$301,MATCH(C697,Customers!$A$2:$A$301,0))</f>
        <v>Kochi</v>
      </c>
      <c r="S697" s="1" t="str">
        <f aca="false">INDEX(Customers!$E$2:$E$301,MATCH(C697,Customers!$A$2:$A$301,0))</f>
        <v>Returning</v>
      </c>
      <c r="T697" s="6" t="str">
        <f aca="false">Orders!I697</f>
        <v>Mobile App</v>
      </c>
      <c r="U697" s="1" t="str">
        <f aca="false">IF(Q697="Delivered","Completed",IF(Q697="Cancelled","Cancelled",IF(Q697="Returned","Returned","In Progress")))</f>
        <v>In Progress</v>
      </c>
      <c r="V697" s="1" t="str">
        <f aca="false">IF(M697&gt;=10000,"High Value",IF(M697&gt;=5000,"Medium Value","Low Value"))</f>
        <v>Low Value</v>
      </c>
      <c r="W697" s="1" t="str">
        <f aca="false">IF(O697&gt;0,"Profitable",IF(O697=0,"Break-even","Loss"))</f>
        <v>Profitable</v>
      </c>
      <c r="X697" s="1" t="str">
        <f aca="false">IF(Q697="Cancelled","Not Applicable",IF(Q697="Processing","Pending",IF(B697="","Unknown",IF(Orders!J697="","Unknown",IF(Orders!J697&lt;=3,"Fast",IF(Orders!J697&lt;=6,"Standard","Slow"))))))</f>
        <v>Pending</v>
      </c>
      <c r="Y697" s="1" t="n">
        <f aca="false">IF(OR(Q697="Cancelled",Q697="Returned"),0,O697)</f>
        <v>289.2</v>
      </c>
    </row>
    <row r="698" customFormat="false" ht="15" hidden="false" customHeight="false" outlineLevel="0" collapsed="false">
      <c r="A698" s="6" t="str">
        <f aca="false">Orders!A698</f>
        <v>O000697</v>
      </c>
      <c r="B698" s="19" t="n">
        <f aca="false">Orders!B698</f>
        <v>45850</v>
      </c>
      <c r="C698" s="6" t="str">
        <f aca="false">Orders!C698</f>
        <v>C0154</v>
      </c>
      <c r="D698" s="6" t="str">
        <f aca="false">Orders!D698</f>
        <v>P1004</v>
      </c>
      <c r="E698" s="6" t="str">
        <f aca="false">INDEX(Products!$B$2:$B$101,MATCH(D698,Products!$A$2:$A$101,0))</f>
        <v>USB-C Cable</v>
      </c>
      <c r="F698" s="1" t="str">
        <f aca="false">INDEX(Products!$C$2:$C$101,MATCH(D698,Products!$A$2:$A$101,0))</f>
        <v>Electronics</v>
      </c>
      <c r="G698" s="6" t="n">
        <f aca="false">Orders!E698</f>
        <v>1</v>
      </c>
      <c r="H698" s="16" t="n">
        <f aca="false">INDEX(Products!$D$2:$D$101,MATCH(D698,Products!$A$2:$A$101,0))</f>
        <v>299</v>
      </c>
      <c r="I698" s="16" t="n">
        <f aca="false">INDEX(Products!$E$2:$E$101,MATCH(D698,Products!$A$2:$A$101,0))</f>
        <v>120</v>
      </c>
      <c r="J698" s="20" t="n">
        <f aca="false">Orders!F698</f>
        <v>0.2</v>
      </c>
      <c r="K698" s="6" t="n">
        <f aca="false">G698*H698</f>
        <v>299</v>
      </c>
      <c r="L698" s="6" t="n">
        <f aca="false">K698*J698</f>
        <v>59.8</v>
      </c>
      <c r="M698" s="6" t="n">
        <f aca="false">K698-L698</f>
        <v>239.2</v>
      </c>
      <c r="N698" s="6" t="n">
        <f aca="false">G698*I698</f>
        <v>120</v>
      </c>
      <c r="O698" s="6" t="n">
        <f aca="false">M698-N698</f>
        <v>119.2</v>
      </c>
      <c r="P698" s="21" t="n">
        <f aca="false">IFERROR(O698/M698,0)</f>
        <v>0.498327759197324</v>
      </c>
      <c r="Q698" s="6" t="str">
        <f aca="false">Orders!H698</f>
        <v>Delivered</v>
      </c>
      <c r="R698" s="1" t="str">
        <f aca="false">INDEX(Customers!$C$2:$C$301,MATCH(C698,Customers!$A$2:$A$301,0))</f>
        <v>Indore</v>
      </c>
      <c r="S698" s="1" t="str">
        <f aca="false">INDEX(Customers!$E$2:$E$301,MATCH(C698,Customers!$A$2:$A$301,0))</f>
        <v>Returning</v>
      </c>
      <c r="T698" s="6" t="str">
        <f aca="false">Orders!I698</f>
        <v>Marketplace</v>
      </c>
      <c r="U698" s="1" t="str">
        <f aca="false">IF(Q698="Delivered","Completed",IF(Q698="Cancelled","Cancelled",IF(Q698="Returned","Returned","In Progress")))</f>
        <v>Completed</v>
      </c>
      <c r="V698" s="1" t="str">
        <f aca="false">IF(M698&gt;=10000,"High Value",IF(M698&gt;=5000,"Medium Value","Low Value"))</f>
        <v>Low Value</v>
      </c>
      <c r="W698" s="1" t="str">
        <f aca="false">IF(O698&gt;0,"Profitable",IF(O698=0,"Break-even","Loss"))</f>
        <v>Profitable</v>
      </c>
      <c r="X698" s="1" t="str">
        <f aca="false">IF(Q698="Cancelled","Not Applicable",IF(Q698="Processing","Pending",IF(B698="","Unknown",IF(Orders!J698="","Unknown",IF(Orders!J698&lt;=3,"Fast",IF(Orders!J698&lt;=6,"Standard","Slow"))))))</f>
        <v>Standard</v>
      </c>
      <c r="Y698" s="1" t="n">
        <f aca="false">IF(OR(Q698="Cancelled",Q698="Returned"),0,O698)</f>
        <v>119.2</v>
      </c>
    </row>
    <row r="699" customFormat="false" ht="15" hidden="false" customHeight="false" outlineLevel="0" collapsed="false">
      <c r="A699" s="6" t="str">
        <f aca="false">Orders!A699</f>
        <v>O000698</v>
      </c>
      <c r="B699" s="19" t="n">
        <f aca="false">Orders!B699</f>
        <v>45926</v>
      </c>
      <c r="C699" s="6" t="str">
        <f aca="false">Orders!C699</f>
        <v>C0280</v>
      </c>
      <c r="D699" s="6" t="str">
        <f aca="false">Orders!D699</f>
        <v>P1088</v>
      </c>
      <c r="E699" s="6" t="str">
        <f aca="false">INDEX(Products!$B$2:$B$101,MATCH(D699,Products!$A$2:$A$101,0))</f>
        <v>Electric Kettle</v>
      </c>
      <c r="F699" s="1" t="str">
        <f aca="false">INDEX(Products!$C$2:$C$101,MATCH(D699,Products!$A$2:$A$101,0))</f>
        <v>Appliances</v>
      </c>
      <c r="G699" s="6" t="n">
        <f aca="false">Orders!E699</f>
        <v>1</v>
      </c>
      <c r="H699" s="16" t="n">
        <f aca="false">INDEX(Products!$D$2:$D$101,MATCH(D699,Products!$A$2:$A$101,0))</f>
        <v>1299</v>
      </c>
      <c r="I699" s="16" t="n">
        <f aca="false">INDEX(Products!$E$2:$E$101,MATCH(D699,Products!$A$2:$A$101,0))</f>
        <v>750</v>
      </c>
      <c r="J699" s="20" t="n">
        <f aca="false">Orders!F699</f>
        <v>0.15</v>
      </c>
      <c r="K699" s="6" t="n">
        <f aca="false">G699*H699</f>
        <v>1299</v>
      </c>
      <c r="L699" s="6" t="n">
        <f aca="false">K699*J699</f>
        <v>194.85</v>
      </c>
      <c r="M699" s="6" t="n">
        <f aca="false">K699-L699</f>
        <v>1104.15</v>
      </c>
      <c r="N699" s="6" t="n">
        <f aca="false">G699*I699</f>
        <v>750</v>
      </c>
      <c r="O699" s="6" t="n">
        <f aca="false">M699-N699</f>
        <v>354.15</v>
      </c>
      <c r="P699" s="21" t="n">
        <f aca="false">IFERROR(O699/M699,0)</f>
        <v>0.320744464067382</v>
      </c>
      <c r="Q699" s="6" t="str">
        <f aca="false">Orders!H699</f>
        <v>Cancelled</v>
      </c>
      <c r="R699" s="1" t="str">
        <f aca="false">INDEX(Customers!$C$2:$C$301,MATCH(C699,Customers!$A$2:$A$301,0))</f>
        <v>Visakhapatnam</v>
      </c>
      <c r="S699" s="1" t="str">
        <f aca="false">INDEX(Customers!$E$2:$E$301,MATCH(C699,Customers!$A$2:$A$301,0))</f>
        <v>New</v>
      </c>
      <c r="T699" s="6" t="str">
        <f aca="false">Orders!I699</f>
        <v>Website</v>
      </c>
      <c r="U699" s="1" t="str">
        <f aca="false">IF(Q699="Delivered","Completed",IF(Q699="Cancelled","Cancelled",IF(Q699="Returned","Returned","In Progress")))</f>
        <v>Cancelled</v>
      </c>
      <c r="V699" s="1" t="str">
        <f aca="false">IF(M699&gt;=10000,"High Value",IF(M699&gt;=5000,"Medium Value","Low Value"))</f>
        <v>Low Value</v>
      </c>
      <c r="W699" s="1" t="str">
        <f aca="false">IF(O699&gt;0,"Profitable",IF(O699=0,"Break-even","Loss"))</f>
        <v>Profitable</v>
      </c>
      <c r="X699" s="1" t="str">
        <f aca="false">IF(Q699="Cancelled","Not Applicable",IF(Q699="Processing","Pending",IF(B699="","Unknown",IF(Orders!J699="","Unknown",IF(Orders!J699&lt;=3,"Fast",IF(Orders!J699&lt;=6,"Standard","Slow"))))))</f>
        <v>Not Applicable</v>
      </c>
      <c r="Y699" s="1" t="n">
        <f aca="false">IF(OR(Q699="Cancelled",Q699="Returned"),0,O699)</f>
        <v>0</v>
      </c>
    </row>
    <row r="700" customFormat="false" ht="15" hidden="false" customHeight="false" outlineLevel="0" collapsed="false">
      <c r="A700" s="6" t="str">
        <f aca="false">Orders!A700</f>
        <v>O000699</v>
      </c>
      <c r="B700" s="19" t="n">
        <f aca="false">Orders!B700</f>
        <v>45764</v>
      </c>
      <c r="C700" s="6" t="str">
        <f aca="false">Orders!C700</f>
        <v>C0279</v>
      </c>
      <c r="D700" s="6" t="str">
        <f aca="false">Orders!D700</f>
        <v>P1066</v>
      </c>
      <c r="E700" s="6" t="str">
        <f aca="false">INDEX(Products!$B$2:$B$101,MATCH(D700,Products!$A$2:$A$101,0))</f>
        <v>Gym Gloves</v>
      </c>
      <c r="F700" s="1" t="str">
        <f aca="false">INDEX(Products!$C$2:$C$101,MATCH(D700,Products!$A$2:$A$101,0))</f>
        <v>Sports &amp; Outdoors</v>
      </c>
      <c r="G700" s="6" t="n">
        <f aca="false">Orders!E700</f>
        <v>3</v>
      </c>
      <c r="H700" s="16" t="n">
        <f aca="false">INDEX(Products!$D$2:$D$101,MATCH(D700,Products!$A$2:$A$101,0))</f>
        <v>499</v>
      </c>
      <c r="I700" s="16" t="n">
        <f aca="false">INDEX(Products!$E$2:$E$101,MATCH(D700,Products!$A$2:$A$101,0))</f>
        <v>200</v>
      </c>
      <c r="J700" s="20" t="n">
        <f aca="false">Orders!F700</f>
        <v>0.1</v>
      </c>
      <c r="K700" s="6" t="n">
        <f aca="false">G700*H700</f>
        <v>1497</v>
      </c>
      <c r="L700" s="6" t="n">
        <f aca="false">K700*J700</f>
        <v>149.7</v>
      </c>
      <c r="M700" s="6" t="n">
        <f aca="false">K700-L700</f>
        <v>1347.3</v>
      </c>
      <c r="N700" s="6" t="n">
        <f aca="false">G700*I700</f>
        <v>600</v>
      </c>
      <c r="O700" s="6" t="n">
        <f aca="false">M700-N700</f>
        <v>747.3</v>
      </c>
      <c r="P700" s="21" t="n">
        <f aca="false">IFERROR(O700/M700,0)</f>
        <v>0.554664885326208</v>
      </c>
      <c r="Q700" s="6" t="str">
        <f aca="false">Orders!H700</f>
        <v>Delivered</v>
      </c>
      <c r="R700" s="1" t="str">
        <f aca="false">INDEX(Customers!$C$2:$C$301,MATCH(C700,Customers!$A$2:$A$301,0))</f>
        <v>Coimbatore</v>
      </c>
      <c r="S700" s="1" t="str">
        <f aca="false">INDEX(Customers!$E$2:$E$301,MATCH(C700,Customers!$A$2:$A$301,0))</f>
        <v>Returning</v>
      </c>
      <c r="T700" s="6" t="str">
        <f aca="false">Orders!I700</f>
        <v>Marketplace</v>
      </c>
      <c r="U700" s="1" t="str">
        <f aca="false">IF(Q700="Delivered","Completed",IF(Q700="Cancelled","Cancelled",IF(Q700="Returned","Returned","In Progress")))</f>
        <v>Completed</v>
      </c>
      <c r="V700" s="1" t="str">
        <f aca="false">IF(M700&gt;=10000,"High Value",IF(M700&gt;=5000,"Medium Value","Low Value"))</f>
        <v>Low Value</v>
      </c>
      <c r="W700" s="1" t="str">
        <f aca="false">IF(O700&gt;0,"Profitable",IF(O700=0,"Break-even","Loss"))</f>
        <v>Profitable</v>
      </c>
      <c r="X700" s="1" t="str">
        <f aca="false">IF(Q700="Cancelled","Not Applicable",IF(Q700="Processing","Pending",IF(B700="","Unknown",IF(Orders!J700="","Unknown",IF(Orders!J700&lt;=3,"Fast",IF(Orders!J700&lt;=6,"Standard","Slow"))))))</f>
        <v>Fast</v>
      </c>
      <c r="Y700" s="1" t="n">
        <f aca="false">IF(OR(Q700="Cancelled",Q700="Returned"),0,O700)</f>
        <v>747.3</v>
      </c>
    </row>
    <row r="701" customFormat="false" ht="23.85" hidden="false" customHeight="false" outlineLevel="0" collapsed="false">
      <c r="A701" s="6" t="str">
        <f aca="false">Orders!A701</f>
        <v>O000700</v>
      </c>
      <c r="B701" s="19" t="n">
        <f aca="false">Orders!B701</f>
        <v>45973</v>
      </c>
      <c r="C701" s="6" t="str">
        <f aca="false">Orders!C701</f>
        <v>C0170</v>
      </c>
      <c r="D701" s="6" t="str">
        <f aca="false">Orders!D701</f>
        <v>P1041</v>
      </c>
      <c r="E701" s="6" t="str">
        <f aca="false">INDEX(Products!$B$2:$B$101,MATCH(D701,Products!$A$2:$A$101,0))</f>
        <v>Food Storage Jars</v>
      </c>
      <c r="F701" s="1" t="str">
        <f aca="false">INDEX(Products!$C$2:$C$101,MATCH(D701,Products!$A$2:$A$101,0))</f>
        <v>Home &amp; Kitchen</v>
      </c>
      <c r="G701" s="6" t="n">
        <f aca="false">Orders!E701</f>
        <v>4</v>
      </c>
      <c r="H701" s="16" t="n">
        <f aca="false">INDEX(Products!$D$2:$D$101,MATCH(D701,Products!$A$2:$A$101,0))</f>
        <v>499</v>
      </c>
      <c r="I701" s="16" t="n">
        <f aca="false">INDEX(Products!$E$2:$E$101,MATCH(D701,Products!$A$2:$A$101,0))</f>
        <v>220</v>
      </c>
      <c r="J701" s="20" t="n">
        <f aca="false">Orders!F701</f>
        <v>0.1</v>
      </c>
      <c r="K701" s="6" t="n">
        <f aca="false">G701*H701</f>
        <v>1996</v>
      </c>
      <c r="L701" s="6" t="n">
        <f aca="false">K701*J701</f>
        <v>199.6</v>
      </c>
      <c r="M701" s="6" t="n">
        <f aca="false">K701-L701</f>
        <v>1796.4</v>
      </c>
      <c r="N701" s="6" t="n">
        <f aca="false">G701*I701</f>
        <v>880</v>
      </c>
      <c r="O701" s="6" t="n">
        <f aca="false">M701-N701</f>
        <v>916.4</v>
      </c>
      <c r="P701" s="21" t="n">
        <f aca="false">IFERROR(O701/M701,0)</f>
        <v>0.510131373858829</v>
      </c>
      <c r="Q701" s="6" t="str">
        <f aca="false">Orders!H701</f>
        <v>Delivered</v>
      </c>
      <c r="R701" s="1" t="str">
        <f aca="false">INDEX(Customers!$C$2:$C$301,MATCH(C701,Customers!$A$2:$A$301,0))</f>
        <v>Lucknow</v>
      </c>
      <c r="S701" s="1" t="str">
        <f aca="false">INDEX(Customers!$E$2:$E$301,MATCH(C701,Customers!$A$2:$A$301,0))</f>
        <v>Returning</v>
      </c>
      <c r="T701" s="6" t="str">
        <f aca="false">Orders!I701</f>
        <v>Mobile App</v>
      </c>
      <c r="U701" s="1" t="str">
        <f aca="false">IF(Q701="Delivered","Completed",IF(Q701="Cancelled","Cancelled",IF(Q701="Returned","Returned","In Progress")))</f>
        <v>Completed</v>
      </c>
      <c r="V701" s="1" t="str">
        <f aca="false">IF(M701&gt;=10000,"High Value",IF(M701&gt;=5000,"Medium Value","Low Value"))</f>
        <v>Low Value</v>
      </c>
      <c r="W701" s="1" t="str">
        <f aca="false">IF(O701&gt;0,"Profitable",IF(O701=0,"Break-even","Loss"))</f>
        <v>Profitable</v>
      </c>
      <c r="X701" s="1" t="str">
        <f aca="false">IF(Q701="Cancelled","Not Applicable",IF(Q701="Processing","Pending",IF(B701="","Unknown",IF(Orders!J701="","Unknown",IF(Orders!J701&lt;=3,"Fast",IF(Orders!J701&lt;=6,"Standard","Slow"))))))</f>
        <v>Standard</v>
      </c>
      <c r="Y701" s="1" t="n">
        <f aca="false">IF(OR(Q701="Cancelled",Q701="Returned"),0,O701)</f>
        <v>916.4</v>
      </c>
    </row>
    <row r="702" customFormat="false" ht="15" hidden="false" customHeight="false" outlineLevel="0" collapsed="false">
      <c r="A702" s="6" t="str">
        <f aca="false">Orders!A702</f>
        <v>O000701</v>
      </c>
      <c r="B702" s="19" t="n">
        <f aca="false">Orders!B702</f>
        <v>45797</v>
      </c>
      <c r="C702" s="6" t="str">
        <f aca="false">Orders!C702</f>
        <v>C0248</v>
      </c>
      <c r="D702" s="6" t="str">
        <f aca="false">Orders!D702</f>
        <v>P1040</v>
      </c>
      <c r="E702" s="6" t="str">
        <f aca="false">INDEX(Products!$B$2:$B$101,MATCH(D702,Products!$A$2:$A$101,0))</f>
        <v>Curtain Set</v>
      </c>
      <c r="F702" s="1" t="str">
        <f aca="false">INDEX(Products!$C$2:$C$101,MATCH(D702,Products!$A$2:$A$101,0))</f>
        <v>Home &amp; Kitchen</v>
      </c>
      <c r="G702" s="6" t="n">
        <f aca="false">Orders!E702</f>
        <v>1</v>
      </c>
      <c r="H702" s="16" t="n">
        <f aca="false">INDEX(Products!$D$2:$D$101,MATCH(D702,Products!$A$2:$A$101,0))</f>
        <v>1099</v>
      </c>
      <c r="I702" s="16" t="n">
        <f aca="false">INDEX(Products!$E$2:$E$101,MATCH(D702,Products!$A$2:$A$101,0))</f>
        <v>550</v>
      </c>
      <c r="J702" s="20" t="n">
        <f aca="false">Orders!F702</f>
        <v>0.15</v>
      </c>
      <c r="K702" s="6" t="n">
        <f aca="false">G702*H702</f>
        <v>1099</v>
      </c>
      <c r="L702" s="6" t="n">
        <f aca="false">K702*J702</f>
        <v>164.85</v>
      </c>
      <c r="M702" s="6" t="n">
        <f aca="false">K702-L702</f>
        <v>934.15</v>
      </c>
      <c r="N702" s="6" t="n">
        <f aca="false">G702*I702</f>
        <v>550</v>
      </c>
      <c r="O702" s="6" t="n">
        <f aca="false">M702-N702</f>
        <v>384.15</v>
      </c>
      <c r="P702" s="21" t="n">
        <f aca="false">IFERROR(O702/M702,0)</f>
        <v>0.411229459936841</v>
      </c>
      <c r="Q702" s="6" t="str">
        <f aca="false">Orders!H702</f>
        <v>Delivered</v>
      </c>
      <c r="R702" s="1" t="str">
        <f aca="false">INDEX(Customers!$C$2:$C$301,MATCH(C702,Customers!$A$2:$A$301,0))</f>
        <v>Jaipur</v>
      </c>
      <c r="S702" s="1" t="str">
        <f aca="false">INDEX(Customers!$E$2:$E$301,MATCH(C702,Customers!$A$2:$A$301,0))</f>
        <v>Returning</v>
      </c>
      <c r="T702" s="6" t="str">
        <f aca="false">Orders!I702</f>
        <v>Mobile App</v>
      </c>
      <c r="U702" s="1" t="str">
        <f aca="false">IF(Q702="Delivered","Completed",IF(Q702="Cancelled","Cancelled",IF(Q702="Returned","Returned","In Progress")))</f>
        <v>Completed</v>
      </c>
      <c r="V702" s="1" t="str">
        <f aca="false">IF(M702&gt;=10000,"High Value",IF(M702&gt;=5000,"Medium Value","Low Value"))</f>
        <v>Low Value</v>
      </c>
      <c r="W702" s="1" t="str">
        <f aca="false">IF(O702&gt;0,"Profitable",IF(O702=0,"Break-even","Loss"))</f>
        <v>Profitable</v>
      </c>
      <c r="X702" s="1" t="str">
        <f aca="false">IF(Q702="Cancelled","Not Applicable",IF(Q702="Processing","Pending",IF(B702="","Unknown",IF(Orders!J702="","Unknown",IF(Orders!J702&lt;=3,"Fast",IF(Orders!J702&lt;=6,"Standard","Slow"))))))</f>
        <v>Standard</v>
      </c>
      <c r="Y702" s="1" t="n">
        <f aca="false">IF(OR(Q702="Cancelled",Q702="Returned"),0,O702)</f>
        <v>384.15</v>
      </c>
    </row>
    <row r="703" customFormat="false" ht="23.85" hidden="false" customHeight="false" outlineLevel="0" collapsed="false">
      <c r="A703" s="6" t="str">
        <f aca="false">Orders!A703</f>
        <v>O000702</v>
      </c>
      <c r="B703" s="19" t="n">
        <f aca="false">Orders!B703</f>
        <v>45855</v>
      </c>
      <c r="C703" s="6" t="str">
        <f aca="false">Orders!C703</f>
        <v>C0248</v>
      </c>
      <c r="D703" s="6" t="str">
        <f aca="false">Orders!D703</f>
        <v>P1070</v>
      </c>
      <c r="E703" s="6" t="str">
        <f aca="false">INDEX(Products!$B$2:$B$101,MATCH(D703,Products!$A$2:$A$101,0))</f>
        <v>Knee Support Pair</v>
      </c>
      <c r="F703" s="1" t="str">
        <f aca="false">INDEX(Products!$C$2:$C$101,MATCH(D703,Products!$A$2:$A$101,0))</f>
        <v>Sports &amp; Outdoors</v>
      </c>
      <c r="G703" s="6" t="n">
        <f aca="false">Orders!E703</f>
        <v>2</v>
      </c>
      <c r="H703" s="16" t="n">
        <f aca="false">INDEX(Products!$D$2:$D$101,MATCH(D703,Products!$A$2:$A$101,0))</f>
        <v>449</v>
      </c>
      <c r="I703" s="16" t="n">
        <f aca="false">INDEX(Products!$E$2:$E$101,MATCH(D703,Products!$A$2:$A$101,0))</f>
        <v>180</v>
      </c>
      <c r="J703" s="20" t="n">
        <f aca="false">Orders!F703</f>
        <v>0.05</v>
      </c>
      <c r="K703" s="6" t="n">
        <f aca="false">G703*H703</f>
        <v>898</v>
      </c>
      <c r="L703" s="6" t="n">
        <f aca="false">K703*J703</f>
        <v>44.9</v>
      </c>
      <c r="M703" s="6" t="n">
        <f aca="false">K703-L703</f>
        <v>853.1</v>
      </c>
      <c r="N703" s="6" t="n">
        <f aca="false">G703*I703</f>
        <v>360</v>
      </c>
      <c r="O703" s="6" t="n">
        <f aca="false">M703-N703</f>
        <v>493.1</v>
      </c>
      <c r="P703" s="21" t="n">
        <f aca="false">IFERROR(O703/M703,0)</f>
        <v>0.578009612003282</v>
      </c>
      <c r="Q703" s="6" t="str">
        <f aca="false">Orders!H703</f>
        <v>Delivered</v>
      </c>
      <c r="R703" s="1" t="str">
        <f aca="false">INDEX(Customers!$C$2:$C$301,MATCH(C703,Customers!$A$2:$A$301,0))</f>
        <v>Jaipur</v>
      </c>
      <c r="S703" s="1" t="str">
        <f aca="false">INDEX(Customers!$E$2:$E$301,MATCH(C703,Customers!$A$2:$A$301,0))</f>
        <v>Returning</v>
      </c>
      <c r="T703" s="6" t="str">
        <f aca="false">Orders!I703</f>
        <v>Marketplace</v>
      </c>
      <c r="U703" s="1" t="str">
        <f aca="false">IF(Q703="Delivered","Completed",IF(Q703="Cancelled","Cancelled",IF(Q703="Returned","Returned","In Progress")))</f>
        <v>Completed</v>
      </c>
      <c r="V703" s="1" t="str">
        <f aca="false">IF(M703&gt;=10000,"High Value",IF(M703&gt;=5000,"Medium Value","Low Value"))</f>
        <v>Low Value</v>
      </c>
      <c r="W703" s="1" t="str">
        <f aca="false">IF(O703&gt;0,"Profitable",IF(O703=0,"Break-even","Loss"))</f>
        <v>Profitable</v>
      </c>
      <c r="X703" s="1" t="str">
        <f aca="false">IF(Q703="Cancelled","Not Applicable",IF(Q703="Processing","Pending",IF(B703="","Unknown",IF(Orders!J703="","Unknown",IF(Orders!J703&lt;=3,"Fast",IF(Orders!J703&lt;=6,"Standard","Slow"))))))</f>
        <v>Standard</v>
      </c>
      <c r="Y703" s="1" t="n">
        <f aca="false">IF(OR(Q703="Cancelled",Q703="Returned"),0,O703)</f>
        <v>493.1</v>
      </c>
    </row>
    <row r="704" customFormat="false" ht="15" hidden="false" customHeight="false" outlineLevel="0" collapsed="false">
      <c r="A704" s="6" t="str">
        <f aca="false">Orders!A704</f>
        <v>O000703</v>
      </c>
      <c r="B704" s="19" t="n">
        <f aca="false">Orders!B704</f>
        <v>45782</v>
      </c>
      <c r="C704" s="6" t="str">
        <f aca="false">Orders!C704</f>
        <v>C0037</v>
      </c>
      <c r="D704" s="6" t="str">
        <f aca="false">Orders!D704</f>
        <v>P1074</v>
      </c>
      <c r="E704" s="6" t="str">
        <f aca="false">INDEX(Products!$B$2:$B$101,MATCH(D704,Products!$A$2:$A$101,0))</f>
        <v>Notebook Pack</v>
      </c>
      <c r="F704" s="1" t="str">
        <f aca="false">INDEX(Products!$C$2:$C$101,MATCH(D704,Products!$A$2:$A$101,0))</f>
        <v>Books &amp; Stationery</v>
      </c>
      <c r="G704" s="6" t="n">
        <f aca="false">Orders!E704</f>
        <v>1</v>
      </c>
      <c r="H704" s="16" t="n">
        <f aca="false">INDEX(Products!$D$2:$D$101,MATCH(D704,Products!$A$2:$A$101,0))</f>
        <v>299</v>
      </c>
      <c r="I704" s="16" t="n">
        <f aca="false">INDEX(Products!$E$2:$E$101,MATCH(D704,Products!$A$2:$A$101,0))</f>
        <v>110</v>
      </c>
      <c r="J704" s="20" t="n">
        <f aca="false">Orders!F704</f>
        <v>0.15</v>
      </c>
      <c r="K704" s="6" t="n">
        <f aca="false">G704*H704</f>
        <v>299</v>
      </c>
      <c r="L704" s="6" t="n">
        <f aca="false">K704*J704</f>
        <v>44.85</v>
      </c>
      <c r="M704" s="6" t="n">
        <f aca="false">K704-L704</f>
        <v>254.15</v>
      </c>
      <c r="N704" s="6" t="n">
        <f aca="false">G704*I704</f>
        <v>110</v>
      </c>
      <c r="O704" s="6" t="n">
        <f aca="false">M704-N704</f>
        <v>144.15</v>
      </c>
      <c r="P704" s="21" t="n">
        <f aca="false">IFERROR(O704/M704,0)</f>
        <v>0.567184733425143</v>
      </c>
      <c r="Q704" s="6" t="str">
        <f aca="false">Orders!H704</f>
        <v>Delivered</v>
      </c>
      <c r="R704" s="1" t="str">
        <f aca="false">INDEX(Customers!$C$2:$C$301,MATCH(C704,Customers!$A$2:$A$301,0))</f>
        <v>Surat</v>
      </c>
      <c r="S704" s="1" t="str">
        <f aca="false">INDEX(Customers!$E$2:$E$301,MATCH(C704,Customers!$A$2:$A$301,0))</f>
        <v>Returning</v>
      </c>
      <c r="T704" s="6" t="str">
        <f aca="false">Orders!I704</f>
        <v>Marketplace</v>
      </c>
      <c r="U704" s="1" t="str">
        <f aca="false">IF(Q704="Delivered","Completed",IF(Q704="Cancelled","Cancelled",IF(Q704="Returned","Returned","In Progress")))</f>
        <v>Completed</v>
      </c>
      <c r="V704" s="1" t="str">
        <f aca="false">IF(M704&gt;=10000,"High Value",IF(M704&gt;=5000,"Medium Value","Low Value"))</f>
        <v>Low Value</v>
      </c>
      <c r="W704" s="1" t="str">
        <f aca="false">IF(O704&gt;0,"Profitable",IF(O704=0,"Break-even","Loss"))</f>
        <v>Profitable</v>
      </c>
      <c r="X704" s="1" t="str">
        <f aca="false">IF(Q704="Cancelled","Not Applicable",IF(Q704="Processing","Pending",IF(B704="","Unknown",IF(Orders!J704="","Unknown",IF(Orders!J704&lt;=3,"Fast",IF(Orders!J704&lt;=6,"Standard","Slow"))))))</f>
        <v>Standard</v>
      </c>
      <c r="Y704" s="1" t="n">
        <f aca="false">IF(OR(Q704="Cancelled",Q704="Returned"),0,O704)</f>
        <v>144.15</v>
      </c>
    </row>
    <row r="705" customFormat="false" ht="15" hidden="false" customHeight="false" outlineLevel="0" collapsed="false">
      <c r="A705" s="6" t="str">
        <f aca="false">Orders!A705</f>
        <v>O000704</v>
      </c>
      <c r="B705" s="19" t="n">
        <f aca="false">Orders!B705</f>
        <v>45783</v>
      </c>
      <c r="C705" s="6" t="str">
        <f aca="false">Orders!C705</f>
        <v>C0023</v>
      </c>
      <c r="D705" s="6" t="str">
        <f aca="false">Orders!D705</f>
        <v>P1016</v>
      </c>
      <c r="E705" s="6" t="str">
        <f aca="false">INDEX(Products!$B$2:$B$101,MATCH(D705,Products!$A$2:$A$101,0))</f>
        <v>Casual T-Shirt</v>
      </c>
      <c r="F705" s="1" t="str">
        <f aca="false">INDEX(Products!$C$2:$C$101,MATCH(D705,Products!$A$2:$A$101,0))</f>
        <v>Fashion</v>
      </c>
      <c r="G705" s="6" t="n">
        <f aca="false">Orders!E705</f>
        <v>1</v>
      </c>
      <c r="H705" s="16" t="n">
        <f aca="false">INDEX(Products!$D$2:$D$101,MATCH(D705,Products!$A$2:$A$101,0))</f>
        <v>499</v>
      </c>
      <c r="I705" s="16" t="n">
        <f aca="false">INDEX(Products!$E$2:$E$101,MATCH(D705,Products!$A$2:$A$101,0))</f>
        <v>220</v>
      </c>
      <c r="J705" s="20" t="n">
        <f aca="false">Orders!F705</f>
        <v>0.2</v>
      </c>
      <c r="K705" s="6" t="n">
        <f aca="false">G705*H705</f>
        <v>499</v>
      </c>
      <c r="L705" s="6" t="n">
        <f aca="false">K705*J705</f>
        <v>99.8</v>
      </c>
      <c r="M705" s="6" t="n">
        <f aca="false">K705-L705</f>
        <v>399.2</v>
      </c>
      <c r="N705" s="6" t="n">
        <f aca="false">G705*I705</f>
        <v>220</v>
      </c>
      <c r="O705" s="6" t="n">
        <f aca="false">M705-N705</f>
        <v>179.2</v>
      </c>
      <c r="P705" s="21" t="n">
        <f aca="false">IFERROR(O705/M705,0)</f>
        <v>0.448897795591182</v>
      </c>
      <c r="Q705" s="6" t="str">
        <f aca="false">Orders!H705</f>
        <v>Returned</v>
      </c>
      <c r="R705" s="1" t="str">
        <f aca="false">INDEX(Customers!$C$2:$C$301,MATCH(C705,Customers!$A$2:$A$301,0))</f>
        <v>Bengaluru</v>
      </c>
      <c r="S705" s="1" t="str">
        <f aca="false">INDEX(Customers!$E$2:$E$301,MATCH(C705,Customers!$A$2:$A$301,0))</f>
        <v>Returning</v>
      </c>
      <c r="T705" s="6" t="str">
        <f aca="false">Orders!I705</f>
        <v>Marketplace</v>
      </c>
      <c r="U705" s="1" t="str">
        <f aca="false">IF(Q705="Delivered","Completed",IF(Q705="Cancelled","Cancelled",IF(Q705="Returned","Returned","In Progress")))</f>
        <v>Returned</v>
      </c>
      <c r="V705" s="1" t="str">
        <f aca="false">IF(M705&gt;=10000,"High Value",IF(M705&gt;=5000,"Medium Value","Low Value"))</f>
        <v>Low Value</v>
      </c>
      <c r="W705" s="1" t="str">
        <f aca="false">IF(O705&gt;0,"Profitable",IF(O705=0,"Break-even","Loss"))</f>
        <v>Profitable</v>
      </c>
      <c r="X705" s="1" t="str">
        <f aca="false">IF(Q705="Cancelled","Not Applicable",IF(Q705="Processing","Pending",IF(B705="","Unknown",IF(Orders!J705="","Unknown",IF(Orders!J705&lt;=3,"Fast",IF(Orders!J705&lt;=6,"Standard","Slow"))))))</f>
        <v>Slow</v>
      </c>
      <c r="Y705" s="1" t="n">
        <f aca="false">IF(OR(Q705="Cancelled",Q705="Returned"),0,O705)</f>
        <v>0</v>
      </c>
    </row>
    <row r="706" customFormat="false" ht="15" hidden="false" customHeight="false" outlineLevel="0" collapsed="false">
      <c r="A706" s="6" t="str">
        <f aca="false">Orders!A706</f>
        <v>O000705</v>
      </c>
      <c r="B706" s="19" t="n">
        <f aca="false">Orders!B706</f>
        <v>45738</v>
      </c>
      <c r="C706" s="6" t="str">
        <f aca="false">Orders!C706</f>
        <v>C0123</v>
      </c>
      <c r="D706" s="6" t="str">
        <f aca="false">Orders!D706</f>
        <v>P1088</v>
      </c>
      <c r="E706" s="6" t="str">
        <f aca="false">INDEX(Products!$B$2:$B$101,MATCH(D706,Products!$A$2:$A$101,0))</f>
        <v>Electric Kettle</v>
      </c>
      <c r="F706" s="1" t="str">
        <f aca="false">INDEX(Products!$C$2:$C$101,MATCH(D706,Products!$A$2:$A$101,0))</f>
        <v>Appliances</v>
      </c>
      <c r="G706" s="6" t="n">
        <f aca="false">Orders!E706</f>
        <v>1</v>
      </c>
      <c r="H706" s="16" t="n">
        <f aca="false">INDEX(Products!$D$2:$D$101,MATCH(D706,Products!$A$2:$A$101,0))</f>
        <v>1299</v>
      </c>
      <c r="I706" s="16" t="n">
        <f aca="false">INDEX(Products!$E$2:$E$101,MATCH(D706,Products!$A$2:$A$101,0))</f>
        <v>750</v>
      </c>
      <c r="J706" s="20" t="n">
        <f aca="false">Orders!F706</f>
        <v>0.15</v>
      </c>
      <c r="K706" s="6" t="n">
        <f aca="false">G706*H706</f>
        <v>1299</v>
      </c>
      <c r="L706" s="6" t="n">
        <f aca="false">K706*J706</f>
        <v>194.85</v>
      </c>
      <c r="M706" s="6" t="n">
        <f aca="false">K706-L706</f>
        <v>1104.15</v>
      </c>
      <c r="N706" s="6" t="n">
        <f aca="false">G706*I706</f>
        <v>750</v>
      </c>
      <c r="O706" s="6" t="n">
        <f aca="false">M706-N706</f>
        <v>354.15</v>
      </c>
      <c r="P706" s="21" t="n">
        <f aca="false">IFERROR(O706/M706,0)</f>
        <v>0.320744464067382</v>
      </c>
      <c r="Q706" s="6" t="str">
        <f aca="false">Orders!H706</f>
        <v>Delivered</v>
      </c>
      <c r="R706" s="1" t="str">
        <f aca="false">INDEX(Customers!$C$2:$C$301,MATCH(C706,Customers!$A$2:$A$301,0))</f>
        <v>Bengaluru</v>
      </c>
      <c r="S706" s="1" t="str">
        <f aca="false">INDEX(Customers!$E$2:$E$301,MATCH(C706,Customers!$A$2:$A$301,0))</f>
        <v>Returning</v>
      </c>
      <c r="T706" s="6" t="str">
        <f aca="false">Orders!I706</f>
        <v>Website</v>
      </c>
      <c r="U706" s="1" t="str">
        <f aca="false">IF(Q706="Delivered","Completed",IF(Q706="Cancelled","Cancelled",IF(Q706="Returned","Returned","In Progress")))</f>
        <v>Completed</v>
      </c>
      <c r="V706" s="1" t="str">
        <f aca="false">IF(M706&gt;=10000,"High Value",IF(M706&gt;=5000,"Medium Value","Low Value"))</f>
        <v>Low Value</v>
      </c>
      <c r="W706" s="1" t="str">
        <f aca="false">IF(O706&gt;0,"Profitable",IF(O706=0,"Break-even","Loss"))</f>
        <v>Profitable</v>
      </c>
      <c r="X706" s="1" t="str">
        <f aca="false">IF(Q706="Cancelled","Not Applicable",IF(Q706="Processing","Pending",IF(B706="","Unknown",IF(Orders!J706="","Unknown",IF(Orders!J706&lt;=3,"Fast",IF(Orders!J706&lt;=6,"Standard","Slow"))))))</f>
        <v>Standard</v>
      </c>
      <c r="Y706" s="1" t="n">
        <f aca="false">IF(OR(Q706="Cancelled",Q706="Returned"),0,O706)</f>
        <v>354.15</v>
      </c>
    </row>
    <row r="707" customFormat="false" ht="15" hidden="false" customHeight="false" outlineLevel="0" collapsed="false">
      <c r="A707" s="6" t="str">
        <f aca="false">Orders!A707</f>
        <v>O000706</v>
      </c>
      <c r="B707" s="19" t="n">
        <f aca="false">Orders!B707</f>
        <v>45814</v>
      </c>
      <c r="C707" s="6" t="str">
        <f aca="false">Orders!C707</f>
        <v>C0244</v>
      </c>
      <c r="D707" s="6" t="str">
        <f aca="false">Orders!D707</f>
        <v>P1013</v>
      </c>
      <c r="E707" s="6" t="str">
        <f aca="false">INDEX(Products!$B$2:$B$101,MATCH(D707,Products!$A$2:$A$101,0))</f>
        <v>Memory Card</v>
      </c>
      <c r="F707" s="1" t="str">
        <f aca="false">INDEX(Products!$C$2:$C$101,MATCH(D707,Products!$A$2:$A$101,0))</f>
        <v>Electronics</v>
      </c>
      <c r="G707" s="6" t="n">
        <f aca="false">Orders!E707</f>
        <v>3</v>
      </c>
      <c r="H707" s="16" t="n">
        <f aca="false">INDEX(Products!$D$2:$D$101,MATCH(D707,Products!$A$2:$A$101,0))</f>
        <v>699</v>
      </c>
      <c r="I707" s="16" t="n">
        <f aca="false">INDEX(Products!$E$2:$E$101,MATCH(D707,Products!$A$2:$A$101,0))</f>
        <v>400</v>
      </c>
      <c r="J707" s="20" t="n">
        <f aca="false">Orders!F707</f>
        <v>0.05</v>
      </c>
      <c r="K707" s="6" t="n">
        <f aca="false">G707*H707</f>
        <v>2097</v>
      </c>
      <c r="L707" s="6" t="n">
        <f aca="false">K707*J707</f>
        <v>104.85</v>
      </c>
      <c r="M707" s="6" t="n">
        <f aca="false">K707-L707</f>
        <v>1992.15</v>
      </c>
      <c r="N707" s="6" t="n">
        <f aca="false">G707*I707</f>
        <v>1200</v>
      </c>
      <c r="O707" s="6" t="n">
        <f aca="false">M707-N707</f>
        <v>792.15</v>
      </c>
      <c r="P707" s="21" t="n">
        <f aca="false">IFERROR(O707/M707,0)</f>
        <v>0.397635720201792</v>
      </c>
      <c r="Q707" s="6" t="str">
        <f aca="false">Orders!H707</f>
        <v>Delivered</v>
      </c>
      <c r="R707" s="1" t="str">
        <f aca="false">INDEX(Customers!$C$2:$C$301,MATCH(C707,Customers!$A$2:$A$301,0))</f>
        <v>Hyderabad</v>
      </c>
      <c r="S707" s="1" t="str">
        <f aca="false">INDEX(Customers!$E$2:$E$301,MATCH(C707,Customers!$A$2:$A$301,0))</f>
        <v>New</v>
      </c>
      <c r="T707" s="6" t="str">
        <f aca="false">Orders!I707</f>
        <v>Mobile App</v>
      </c>
      <c r="U707" s="1" t="str">
        <f aca="false">IF(Q707="Delivered","Completed",IF(Q707="Cancelled","Cancelled",IF(Q707="Returned","Returned","In Progress")))</f>
        <v>Completed</v>
      </c>
      <c r="V707" s="1" t="str">
        <f aca="false">IF(M707&gt;=10000,"High Value",IF(M707&gt;=5000,"Medium Value","Low Value"))</f>
        <v>Low Value</v>
      </c>
      <c r="W707" s="1" t="str">
        <f aca="false">IF(O707&gt;0,"Profitable",IF(O707=0,"Break-even","Loss"))</f>
        <v>Profitable</v>
      </c>
      <c r="X707" s="1" t="str">
        <f aca="false">IF(Q707="Cancelled","Not Applicable",IF(Q707="Processing","Pending",IF(B707="","Unknown",IF(Orders!J707="","Unknown",IF(Orders!J707&lt;=3,"Fast",IF(Orders!J707&lt;=6,"Standard","Slow"))))))</f>
        <v>Standard</v>
      </c>
      <c r="Y707" s="1" t="n">
        <f aca="false">IF(OR(Q707="Cancelled",Q707="Returned"),0,O707)</f>
        <v>792.15</v>
      </c>
    </row>
    <row r="708" customFormat="false" ht="15" hidden="false" customHeight="false" outlineLevel="0" collapsed="false">
      <c r="A708" s="6" t="str">
        <f aca="false">Orders!A708</f>
        <v>O000707</v>
      </c>
      <c r="B708" s="19" t="n">
        <f aca="false">Orders!B708</f>
        <v>45987</v>
      </c>
      <c r="C708" s="6" t="str">
        <f aca="false">Orders!C708</f>
        <v>C0094</v>
      </c>
      <c r="D708" s="6" t="str">
        <f aca="false">Orders!D708</f>
        <v>P1004</v>
      </c>
      <c r="E708" s="6" t="str">
        <f aca="false">INDEX(Products!$B$2:$B$101,MATCH(D708,Products!$A$2:$A$101,0))</f>
        <v>USB-C Cable</v>
      </c>
      <c r="F708" s="1" t="str">
        <f aca="false">INDEX(Products!$C$2:$C$101,MATCH(D708,Products!$A$2:$A$101,0))</f>
        <v>Electronics</v>
      </c>
      <c r="G708" s="6" t="n">
        <f aca="false">Orders!E708</f>
        <v>2</v>
      </c>
      <c r="H708" s="16" t="n">
        <f aca="false">INDEX(Products!$D$2:$D$101,MATCH(D708,Products!$A$2:$A$101,0))</f>
        <v>299</v>
      </c>
      <c r="I708" s="16" t="n">
        <f aca="false">INDEX(Products!$E$2:$E$101,MATCH(D708,Products!$A$2:$A$101,0))</f>
        <v>120</v>
      </c>
      <c r="J708" s="20" t="n">
        <f aca="false">Orders!F708</f>
        <v>0.15</v>
      </c>
      <c r="K708" s="6" t="n">
        <f aca="false">G708*H708</f>
        <v>598</v>
      </c>
      <c r="L708" s="6" t="n">
        <f aca="false">K708*J708</f>
        <v>89.7</v>
      </c>
      <c r="M708" s="6" t="n">
        <f aca="false">K708-L708</f>
        <v>508.3</v>
      </c>
      <c r="N708" s="6" t="n">
        <f aca="false">G708*I708</f>
        <v>240</v>
      </c>
      <c r="O708" s="6" t="n">
        <f aca="false">M708-N708</f>
        <v>268.3</v>
      </c>
      <c r="P708" s="21" t="n">
        <f aca="false">IFERROR(O708/M708,0)</f>
        <v>0.527837891009247</v>
      </c>
      <c r="Q708" s="6" t="str">
        <f aca="false">Orders!H708</f>
        <v>Delivered</v>
      </c>
      <c r="R708" s="1" t="str">
        <f aca="false">INDEX(Customers!$C$2:$C$301,MATCH(C708,Customers!$A$2:$A$301,0))</f>
        <v>Indore</v>
      </c>
      <c r="S708" s="1" t="str">
        <f aca="false">INDEX(Customers!$E$2:$E$301,MATCH(C708,Customers!$A$2:$A$301,0))</f>
        <v>VIP</v>
      </c>
      <c r="T708" s="6" t="str">
        <f aca="false">Orders!I708</f>
        <v>Mobile App</v>
      </c>
      <c r="U708" s="1" t="str">
        <f aca="false">IF(Q708="Delivered","Completed",IF(Q708="Cancelled","Cancelled",IF(Q708="Returned","Returned","In Progress")))</f>
        <v>Completed</v>
      </c>
      <c r="V708" s="1" t="str">
        <f aca="false">IF(M708&gt;=10000,"High Value",IF(M708&gt;=5000,"Medium Value","Low Value"))</f>
        <v>Low Value</v>
      </c>
      <c r="W708" s="1" t="str">
        <f aca="false">IF(O708&gt;0,"Profitable",IF(O708=0,"Break-even","Loss"))</f>
        <v>Profitable</v>
      </c>
      <c r="X708" s="1" t="str">
        <f aca="false">IF(Q708="Cancelled","Not Applicable",IF(Q708="Processing","Pending",IF(B708="","Unknown",IF(Orders!J708="","Unknown",IF(Orders!J708&lt;=3,"Fast",IF(Orders!J708&lt;=6,"Standard","Slow"))))))</f>
        <v>Fast</v>
      </c>
      <c r="Y708" s="1" t="n">
        <f aca="false">IF(OR(Q708="Cancelled",Q708="Returned"),0,O708)</f>
        <v>268.3</v>
      </c>
    </row>
    <row r="709" customFormat="false" ht="15" hidden="false" customHeight="false" outlineLevel="0" collapsed="false">
      <c r="A709" s="6" t="str">
        <f aca="false">Orders!A709</f>
        <v>O000708</v>
      </c>
      <c r="B709" s="19" t="n">
        <f aca="false">Orders!B709</f>
        <v>45876</v>
      </c>
      <c r="C709" s="6" t="str">
        <f aca="false">Orders!C709</f>
        <v>C0020</v>
      </c>
      <c r="D709" s="6" t="str">
        <f aca="false">Orders!D709</f>
        <v>P1090</v>
      </c>
      <c r="E709" s="6" t="str">
        <f aca="false">INDEX(Products!$B$2:$B$101,MATCH(D709,Products!$A$2:$A$101,0))</f>
        <v>Toaster</v>
      </c>
      <c r="F709" s="1" t="str">
        <f aca="false">INDEX(Products!$C$2:$C$101,MATCH(D709,Products!$A$2:$A$101,0))</f>
        <v>Appliances</v>
      </c>
      <c r="G709" s="6" t="n">
        <f aca="false">Orders!E709</f>
        <v>1</v>
      </c>
      <c r="H709" s="16" t="n">
        <f aca="false">INDEX(Products!$D$2:$D$101,MATCH(D709,Products!$A$2:$A$101,0))</f>
        <v>1499</v>
      </c>
      <c r="I709" s="16" t="n">
        <f aca="false">INDEX(Products!$E$2:$E$101,MATCH(D709,Products!$A$2:$A$101,0))</f>
        <v>900</v>
      </c>
      <c r="J709" s="20" t="n">
        <f aca="false">Orders!F709</f>
        <v>0.2</v>
      </c>
      <c r="K709" s="6" t="n">
        <f aca="false">G709*H709</f>
        <v>1499</v>
      </c>
      <c r="L709" s="6" t="n">
        <f aca="false">K709*J709</f>
        <v>299.8</v>
      </c>
      <c r="M709" s="6" t="n">
        <f aca="false">K709-L709</f>
        <v>1199.2</v>
      </c>
      <c r="N709" s="6" t="n">
        <f aca="false">G709*I709</f>
        <v>900</v>
      </c>
      <c r="O709" s="6" t="n">
        <f aca="false">M709-N709</f>
        <v>299.2</v>
      </c>
      <c r="P709" s="21" t="n">
        <f aca="false">IFERROR(O709/M709,0)</f>
        <v>0.249499666444296</v>
      </c>
      <c r="Q709" s="6" t="str">
        <f aca="false">Orders!H709</f>
        <v>Delivered</v>
      </c>
      <c r="R709" s="1" t="str">
        <f aca="false">INDEX(Customers!$C$2:$C$301,MATCH(C709,Customers!$A$2:$A$301,0))</f>
        <v>Visakhapatnam</v>
      </c>
      <c r="S709" s="1" t="str">
        <f aca="false">INDEX(Customers!$E$2:$E$301,MATCH(C709,Customers!$A$2:$A$301,0))</f>
        <v>Returning</v>
      </c>
      <c r="T709" s="6" t="str">
        <f aca="false">Orders!I709</f>
        <v>Marketplace</v>
      </c>
      <c r="U709" s="1" t="str">
        <f aca="false">IF(Q709="Delivered","Completed",IF(Q709="Cancelled","Cancelled",IF(Q709="Returned","Returned","In Progress")))</f>
        <v>Completed</v>
      </c>
      <c r="V709" s="1" t="str">
        <f aca="false">IF(M709&gt;=10000,"High Value",IF(M709&gt;=5000,"Medium Value","Low Value"))</f>
        <v>Low Value</v>
      </c>
      <c r="W709" s="1" t="str">
        <f aca="false">IF(O709&gt;0,"Profitable",IF(O709=0,"Break-even","Loss"))</f>
        <v>Profitable</v>
      </c>
      <c r="X709" s="1" t="str">
        <f aca="false">IF(Q709="Cancelled","Not Applicable",IF(Q709="Processing","Pending",IF(B709="","Unknown",IF(Orders!J709="","Unknown",IF(Orders!J709&lt;=3,"Fast",IF(Orders!J709&lt;=6,"Standard","Slow"))))))</f>
        <v>Standard</v>
      </c>
      <c r="Y709" s="1" t="n">
        <f aca="false">IF(OR(Q709="Cancelled",Q709="Returned"),0,O709)</f>
        <v>299.2</v>
      </c>
    </row>
    <row r="710" customFormat="false" ht="15" hidden="false" customHeight="false" outlineLevel="0" collapsed="false">
      <c r="A710" s="6" t="str">
        <f aca="false">Orders!A710</f>
        <v>O000709</v>
      </c>
      <c r="B710" s="19" t="n">
        <f aca="false">Orders!B710</f>
        <v>45760</v>
      </c>
      <c r="C710" s="6" t="str">
        <f aca="false">Orders!C710</f>
        <v>C0291</v>
      </c>
      <c r="D710" s="6" t="str">
        <f aca="false">Orders!D710</f>
        <v>P1015</v>
      </c>
      <c r="E710" s="6" t="str">
        <f aca="false">INDEX(Products!$B$2:$B$101,MATCH(D710,Products!$A$2:$A$101,0))</f>
        <v>Portable SSD</v>
      </c>
      <c r="F710" s="1" t="str">
        <f aca="false">INDEX(Products!$C$2:$C$101,MATCH(D710,Products!$A$2:$A$101,0))</f>
        <v>Electronics</v>
      </c>
      <c r="G710" s="6" t="n">
        <f aca="false">Orders!E710</f>
        <v>3</v>
      </c>
      <c r="H710" s="16" t="n">
        <f aca="false">INDEX(Products!$D$2:$D$101,MATCH(D710,Products!$A$2:$A$101,0))</f>
        <v>3999</v>
      </c>
      <c r="I710" s="16" t="n">
        <f aca="false">INDEX(Products!$E$2:$E$101,MATCH(D710,Products!$A$2:$A$101,0))</f>
        <v>2800</v>
      </c>
      <c r="J710" s="20" t="n">
        <f aca="false">Orders!F710</f>
        <v>0.15</v>
      </c>
      <c r="K710" s="6" t="n">
        <f aca="false">G710*H710</f>
        <v>11997</v>
      </c>
      <c r="L710" s="6" t="n">
        <f aca="false">K710*J710</f>
        <v>1799.55</v>
      </c>
      <c r="M710" s="6" t="n">
        <f aca="false">K710-L710</f>
        <v>10197.45</v>
      </c>
      <c r="N710" s="6" t="n">
        <f aca="false">G710*I710</f>
        <v>8400</v>
      </c>
      <c r="O710" s="6" t="n">
        <f aca="false">M710-N710</f>
        <v>1797.45</v>
      </c>
      <c r="P710" s="21" t="n">
        <f aca="false">IFERROR(O710/M710,0)</f>
        <v>0.176264654398894</v>
      </c>
      <c r="Q710" s="6" t="str">
        <f aca="false">Orders!H710</f>
        <v>Delivered</v>
      </c>
      <c r="R710" s="1" t="str">
        <f aca="false">INDEX(Customers!$C$2:$C$301,MATCH(C710,Customers!$A$2:$A$301,0))</f>
        <v>Gurugram</v>
      </c>
      <c r="S710" s="1" t="str">
        <f aca="false">INDEX(Customers!$E$2:$E$301,MATCH(C710,Customers!$A$2:$A$301,0))</f>
        <v>Returning</v>
      </c>
      <c r="T710" s="6" t="str">
        <f aca="false">Orders!I710</f>
        <v>Website</v>
      </c>
      <c r="U710" s="1" t="str">
        <f aca="false">IF(Q710="Delivered","Completed",IF(Q710="Cancelled","Cancelled",IF(Q710="Returned","Returned","In Progress")))</f>
        <v>Completed</v>
      </c>
      <c r="V710" s="1" t="str">
        <f aca="false">IF(M710&gt;=10000,"High Value",IF(M710&gt;=5000,"Medium Value","Low Value"))</f>
        <v>High Value</v>
      </c>
      <c r="W710" s="1" t="str">
        <f aca="false">IF(O710&gt;0,"Profitable",IF(O710=0,"Break-even","Loss"))</f>
        <v>Profitable</v>
      </c>
      <c r="X710" s="1" t="str">
        <f aca="false">IF(Q710="Cancelled","Not Applicable",IF(Q710="Processing","Pending",IF(B710="","Unknown",IF(Orders!J710="","Unknown",IF(Orders!J710&lt;=3,"Fast",IF(Orders!J710&lt;=6,"Standard","Slow"))))))</f>
        <v>Fast</v>
      </c>
      <c r="Y710" s="1" t="n">
        <f aca="false">IF(OR(Q710="Cancelled",Q710="Returned"),0,O710)</f>
        <v>1797.45</v>
      </c>
    </row>
    <row r="711" customFormat="false" ht="15" hidden="false" customHeight="false" outlineLevel="0" collapsed="false">
      <c r="A711" s="6" t="str">
        <f aca="false">Orders!A711</f>
        <v>O000710</v>
      </c>
      <c r="B711" s="19" t="n">
        <f aca="false">Orders!B711</f>
        <v>45780</v>
      </c>
      <c r="C711" s="6" t="str">
        <f aca="false">Orders!C711</f>
        <v>C0219</v>
      </c>
      <c r="D711" s="6" t="str">
        <f aca="false">Orders!D711</f>
        <v>P1048</v>
      </c>
      <c r="E711" s="6" t="str">
        <f aca="false">INDEX(Products!$B$2:$B$101,MATCH(D711,Products!$A$2:$A$101,0))</f>
        <v>Shampoo</v>
      </c>
      <c r="F711" s="1" t="str">
        <f aca="false">INDEX(Products!$C$2:$C$101,MATCH(D711,Products!$A$2:$A$101,0))</f>
        <v>Beauty</v>
      </c>
      <c r="G711" s="6" t="n">
        <f aca="false">Orders!E711</f>
        <v>3</v>
      </c>
      <c r="H711" s="16" t="n">
        <f aca="false">INDEX(Products!$D$2:$D$101,MATCH(D711,Products!$A$2:$A$101,0))</f>
        <v>349</v>
      </c>
      <c r="I711" s="16" t="n">
        <f aca="false">INDEX(Products!$E$2:$E$101,MATCH(D711,Products!$A$2:$A$101,0))</f>
        <v>150</v>
      </c>
      <c r="J711" s="20" t="n">
        <f aca="false">Orders!F711</f>
        <v>0.05</v>
      </c>
      <c r="K711" s="6" t="n">
        <f aca="false">G711*H711</f>
        <v>1047</v>
      </c>
      <c r="L711" s="6" t="n">
        <f aca="false">K711*J711</f>
        <v>52.35</v>
      </c>
      <c r="M711" s="6" t="n">
        <f aca="false">K711-L711</f>
        <v>994.65</v>
      </c>
      <c r="N711" s="6" t="n">
        <f aca="false">G711*I711</f>
        <v>450</v>
      </c>
      <c r="O711" s="6" t="n">
        <f aca="false">M711-N711</f>
        <v>544.65</v>
      </c>
      <c r="P711" s="21" t="n">
        <f aca="false">IFERROR(O711/M711,0)</f>
        <v>0.547579550595687</v>
      </c>
      <c r="Q711" s="6" t="str">
        <f aca="false">Orders!H711</f>
        <v>Delivered</v>
      </c>
      <c r="R711" s="1" t="str">
        <f aca="false">INDEX(Customers!$C$2:$C$301,MATCH(C711,Customers!$A$2:$A$301,0))</f>
        <v>Coimbatore</v>
      </c>
      <c r="S711" s="1" t="str">
        <f aca="false">INDEX(Customers!$E$2:$E$301,MATCH(C711,Customers!$A$2:$A$301,0))</f>
        <v>New</v>
      </c>
      <c r="T711" s="6" t="str">
        <f aca="false">Orders!I711</f>
        <v>Mobile App</v>
      </c>
      <c r="U711" s="1" t="str">
        <f aca="false">IF(Q711="Delivered","Completed",IF(Q711="Cancelled","Cancelled",IF(Q711="Returned","Returned","In Progress")))</f>
        <v>Completed</v>
      </c>
      <c r="V711" s="1" t="str">
        <f aca="false">IF(M711&gt;=10000,"High Value",IF(M711&gt;=5000,"Medium Value","Low Value"))</f>
        <v>Low Value</v>
      </c>
      <c r="W711" s="1" t="str">
        <f aca="false">IF(O711&gt;0,"Profitable",IF(O711=0,"Break-even","Loss"))</f>
        <v>Profitable</v>
      </c>
      <c r="X711" s="1" t="str">
        <f aca="false">IF(Q711="Cancelled","Not Applicable",IF(Q711="Processing","Pending",IF(B711="","Unknown",IF(Orders!J711="","Unknown",IF(Orders!J711&lt;=3,"Fast",IF(Orders!J711&lt;=6,"Standard","Slow"))))))</f>
        <v>Standard</v>
      </c>
      <c r="Y711" s="1" t="n">
        <f aca="false">IF(OR(Q711="Cancelled",Q711="Returned"),0,O711)</f>
        <v>544.65</v>
      </c>
    </row>
    <row r="712" customFormat="false" ht="23.85" hidden="false" customHeight="false" outlineLevel="0" collapsed="false">
      <c r="A712" s="6" t="str">
        <f aca="false">Orders!A712</f>
        <v>O000711</v>
      </c>
      <c r="B712" s="19" t="n">
        <f aca="false">Orders!B712</f>
        <v>45931</v>
      </c>
      <c r="C712" s="6" t="str">
        <f aca="false">Orders!C712</f>
        <v>C0001</v>
      </c>
      <c r="D712" s="6" t="str">
        <f aca="false">Orders!D712</f>
        <v>P1081</v>
      </c>
      <c r="E712" s="6" t="str">
        <f aca="false">INDEX(Products!$B$2:$B$101,MATCH(D712,Products!$A$2:$A$101,0))</f>
        <v>Sticky Notes Pack</v>
      </c>
      <c r="F712" s="1" t="str">
        <f aca="false">INDEX(Products!$C$2:$C$101,MATCH(D712,Products!$A$2:$A$101,0))</f>
        <v>Books &amp; Stationery</v>
      </c>
      <c r="G712" s="6" t="n">
        <f aca="false">Orders!E712</f>
        <v>1</v>
      </c>
      <c r="H712" s="16" t="n">
        <f aca="false">INDEX(Products!$D$2:$D$101,MATCH(D712,Products!$A$2:$A$101,0))</f>
        <v>149</v>
      </c>
      <c r="I712" s="16" t="n">
        <f aca="false">INDEX(Products!$E$2:$E$101,MATCH(D712,Products!$A$2:$A$101,0))</f>
        <v>45</v>
      </c>
      <c r="J712" s="20" t="n">
        <f aca="false">Orders!F712</f>
        <v>0</v>
      </c>
      <c r="K712" s="6" t="n">
        <f aca="false">G712*H712</f>
        <v>149</v>
      </c>
      <c r="L712" s="6" t="n">
        <f aca="false">K712*J712</f>
        <v>0</v>
      </c>
      <c r="M712" s="6" t="n">
        <f aca="false">K712-L712</f>
        <v>149</v>
      </c>
      <c r="N712" s="6" t="n">
        <f aca="false">G712*I712</f>
        <v>45</v>
      </c>
      <c r="O712" s="6" t="n">
        <f aca="false">M712-N712</f>
        <v>104</v>
      </c>
      <c r="P712" s="21" t="n">
        <f aca="false">IFERROR(O712/M712,0)</f>
        <v>0.697986577181208</v>
      </c>
      <c r="Q712" s="6" t="str">
        <f aca="false">Orders!H712</f>
        <v>Delivered</v>
      </c>
      <c r="R712" s="1" t="str">
        <f aca="false">INDEX(Customers!$C$2:$C$301,MATCH(C712,Customers!$A$2:$A$301,0))</f>
        <v>Delhi</v>
      </c>
      <c r="S712" s="1" t="str">
        <f aca="false">INDEX(Customers!$E$2:$E$301,MATCH(C712,Customers!$A$2:$A$301,0))</f>
        <v>Returning</v>
      </c>
      <c r="T712" s="6" t="str">
        <f aca="false">Orders!I712</f>
        <v>Mobile App</v>
      </c>
      <c r="U712" s="1" t="str">
        <f aca="false">IF(Q712="Delivered","Completed",IF(Q712="Cancelled","Cancelled",IF(Q712="Returned","Returned","In Progress")))</f>
        <v>Completed</v>
      </c>
      <c r="V712" s="1" t="str">
        <f aca="false">IF(M712&gt;=10000,"High Value",IF(M712&gt;=5000,"Medium Value","Low Value"))</f>
        <v>Low Value</v>
      </c>
      <c r="W712" s="1" t="str">
        <f aca="false">IF(O712&gt;0,"Profitable",IF(O712=0,"Break-even","Loss"))</f>
        <v>Profitable</v>
      </c>
      <c r="X712" s="1" t="str">
        <f aca="false">IF(Q712="Cancelled","Not Applicable",IF(Q712="Processing","Pending",IF(B712="","Unknown",IF(Orders!J712="","Unknown",IF(Orders!J712&lt;=3,"Fast",IF(Orders!J712&lt;=6,"Standard","Slow"))))))</f>
        <v>Fast</v>
      </c>
      <c r="Y712" s="1" t="n">
        <f aca="false">IF(OR(Q712="Cancelled",Q712="Returned"),0,O712)</f>
        <v>104</v>
      </c>
    </row>
    <row r="713" customFormat="false" ht="15" hidden="false" customHeight="false" outlineLevel="0" collapsed="false">
      <c r="A713" s="6" t="str">
        <f aca="false">Orders!A713</f>
        <v>O000712</v>
      </c>
      <c r="B713" s="19" t="n">
        <f aca="false">Orders!B713</f>
        <v>45790</v>
      </c>
      <c r="C713" s="6" t="str">
        <f aca="false">Orders!C713</f>
        <v>C0129</v>
      </c>
      <c r="D713" s="6" t="str">
        <f aca="false">Orders!D713</f>
        <v>P1075</v>
      </c>
      <c r="E713" s="6" t="str">
        <f aca="false">INDEX(Products!$B$2:$B$101,MATCH(D713,Products!$A$2:$A$101,0))</f>
        <v>Ball Pen Set</v>
      </c>
      <c r="F713" s="1" t="str">
        <f aca="false">INDEX(Products!$C$2:$C$101,MATCH(D713,Products!$A$2:$A$101,0))</f>
        <v>Books &amp; Stationery</v>
      </c>
      <c r="G713" s="6" t="n">
        <f aca="false">Orders!E713</f>
        <v>1</v>
      </c>
      <c r="H713" s="16" t="n">
        <f aca="false">INDEX(Products!$D$2:$D$101,MATCH(D713,Products!$A$2:$A$101,0))</f>
        <v>199</v>
      </c>
      <c r="I713" s="16" t="n">
        <f aca="false">INDEX(Products!$E$2:$E$101,MATCH(D713,Products!$A$2:$A$101,0))</f>
        <v>65</v>
      </c>
      <c r="J713" s="20" t="n">
        <f aca="false">Orders!F713</f>
        <v>0.05</v>
      </c>
      <c r="K713" s="6" t="n">
        <f aca="false">G713*H713</f>
        <v>199</v>
      </c>
      <c r="L713" s="6" t="n">
        <f aca="false">K713*J713</f>
        <v>9.95</v>
      </c>
      <c r="M713" s="6" t="n">
        <f aca="false">K713-L713</f>
        <v>189.05</v>
      </c>
      <c r="N713" s="6" t="n">
        <f aca="false">G713*I713</f>
        <v>65</v>
      </c>
      <c r="O713" s="6" t="n">
        <f aca="false">M713-N713</f>
        <v>124.05</v>
      </c>
      <c r="P713" s="21" t="n">
        <f aca="false">IFERROR(O713/M713,0)</f>
        <v>0.656175614916689</v>
      </c>
      <c r="Q713" s="6" t="str">
        <f aca="false">Orders!H713</f>
        <v>Delivered</v>
      </c>
      <c r="R713" s="1" t="str">
        <f aca="false">INDEX(Customers!$C$2:$C$301,MATCH(C713,Customers!$A$2:$A$301,0))</f>
        <v>Ahmedabad</v>
      </c>
      <c r="S713" s="1" t="str">
        <f aca="false">INDEX(Customers!$E$2:$E$301,MATCH(C713,Customers!$A$2:$A$301,0))</f>
        <v>New</v>
      </c>
      <c r="T713" s="6" t="str">
        <f aca="false">Orders!I713</f>
        <v>Mobile App</v>
      </c>
      <c r="U713" s="1" t="str">
        <f aca="false">IF(Q713="Delivered","Completed",IF(Q713="Cancelled","Cancelled",IF(Q713="Returned","Returned","In Progress")))</f>
        <v>Completed</v>
      </c>
      <c r="V713" s="1" t="str">
        <f aca="false">IF(M713&gt;=10000,"High Value",IF(M713&gt;=5000,"Medium Value","Low Value"))</f>
        <v>Low Value</v>
      </c>
      <c r="W713" s="1" t="str">
        <f aca="false">IF(O713&gt;0,"Profitable",IF(O713=0,"Break-even","Loss"))</f>
        <v>Profitable</v>
      </c>
      <c r="X713" s="1" t="str">
        <f aca="false">IF(Q713="Cancelled","Not Applicable",IF(Q713="Processing","Pending",IF(B713="","Unknown",IF(Orders!J713="","Unknown",IF(Orders!J713&lt;=3,"Fast",IF(Orders!J713&lt;=6,"Standard","Slow"))))))</f>
        <v>Fast</v>
      </c>
      <c r="Y713" s="1" t="n">
        <f aca="false">IF(OR(Q713="Cancelled",Q713="Returned"),0,O713)</f>
        <v>124.05</v>
      </c>
    </row>
    <row r="714" customFormat="false" ht="15" hidden="false" customHeight="false" outlineLevel="0" collapsed="false">
      <c r="A714" s="6" t="str">
        <f aca="false">Orders!A714</f>
        <v>O000713</v>
      </c>
      <c r="B714" s="19" t="n">
        <f aca="false">Orders!B714</f>
        <v>45674</v>
      </c>
      <c r="C714" s="6" t="str">
        <f aca="false">Orders!C714</f>
        <v>C0045</v>
      </c>
      <c r="D714" s="6" t="str">
        <f aca="false">Orders!D714</f>
        <v>P1007</v>
      </c>
      <c r="E714" s="6" t="str">
        <f aca="false">INDEX(Products!$B$2:$B$101,MATCH(D714,Products!$A$2:$A$101,0))</f>
        <v>Keyboard</v>
      </c>
      <c r="F714" s="1" t="str">
        <f aca="false">INDEX(Products!$C$2:$C$101,MATCH(D714,Products!$A$2:$A$101,0))</f>
        <v>Electronics</v>
      </c>
      <c r="G714" s="6" t="n">
        <f aca="false">Orders!E714</f>
        <v>1</v>
      </c>
      <c r="H714" s="16" t="n">
        <f aca="false">INDEX(Products!$D$2:$D$101,MATCH(D714,Products!$A$2:$A$101,0))</f>
        <v>999</v>
      </c>
      <c r="I714" s="16" t="n">
        <f aca="false">INDEX(Products!$E$2:$E$101,MATCH(D714,Products!$A$2:$A$101,0))</f>
        <v>480</v>
      </c>
      <c r="J714" s="20" t="n">
        <f aca="false">Orders!F714</f>
        <v>0.1</v>
      </c>
      <c r="K714" s="6" t="n">
        <f aca="false">G714*H714</f>
        <v>999</v>
      </c>
      <c r="L714" s="6" t="n">
        <f aca="false">K714*J714</f>
        <v>99.9</v>
      </c>
      <c r="M714" s="6" t="n">
        <f aca="false">K714-L714</f>
        <v>899.1</v>
      </c>
      <c r="N714" s="6" t="n">
        <f aca="false">G714*I714</f>
        <v>480</v>
      </c>
      <c r="O714" s="6" t="n">
        <f aca="false">M714-N714</f>
        <v>419.1</v>
      </c>
      <c r="P714" s="21" t="n">
        <f aca="false">IFERROR(O714/M714,0)</f>
        <v>0.466132799466133</v>
      </c>
      <c r="Q714" s="6" t="str">
        <f aca="false">Orders!H714</f>
        <v>Shipped</v>
      </c>
      <c r="R714" s="1" t="str">
        <f aca="false">INDEX(Customers!$C$2:$C$301,MATCH(C714,Customers!$A$2:$A$301,0))</f>
        <v>Chennai</v>
      </c>
      <c r="S714" s="1" t="str">
        <f aca="false">INDEX(Customers!$E$2:$E$301,MATCH(C714,Customers!$A$2:$A$301,0))</f>
        <v>Returning</v>
      </c>
      <c r="T714" s="6" t="str">
        <f aca="false">Orders!I714</f>
        <v>Mobile App</v>
      </c>
      <c r="U714" s="1" t="str">
        <f aca="false">IF(Q714="Delivered","Completed",IF(Q714="Cancelled","Cancelled",IF(Q714="Returned","Returned","In Progress")))</f>
        <v>In Progress</v>
      </c>
      <c r="V714" s="1" t="str">
        <f aca="false">IF(M714&gt;=10000,"High Value",IF(M714&gt;=5000,"Medium Value","Low Value"))</f>
        <v>Low Value</v>
      </c>
      <c r="W714" s="1" t="str">
        <f aca="false">IF(O714&gt;0,"Profitable",IF(O714=0,"Break-even","Loss"))</f>
        <v>Profitable</v>
      </c>
      <c r="X714" s="1" t="str">
        <f aca="false">IF(Q714="Cancelled","Not Applicable",IF(Q714="Processing","Pending",IF(B714="","Unknown",IF(Orders!J714="","Unknown",IF(Orders!J714&lt;=3,"Fast",IF(Orders!J714&lt;=6,"Standard","Slow"))))))</f>
        <v>Fast</v>
      </c>
      <c r="Y714" s="1" t="n">
        <f aca="false">IF(OR(Q714="Cancelled",Q714="Returned"),0,O714)</f>
        <v>419.1</v>
      </c>
    </row>
    <row r="715" customFormat="false" ht="15" hidden="false" customHeight="false" outlineLevel="0" collapsed="false">
      <c r="A715" s="6" t="str">
        <f aca="false">Orders!A715</f>
        <v>O000714</v>
      </c>
      <c r="B715" s="19" t="n">
        <f aca="false">Orders!B715</f>
        <v>45932</v>
      </c>
      <c r="C715" s="6" t="str">
        <f aca="false">Orders!C715</f>
        <v>C0204</v>
      </c>
      <c r="D715" s="6" t="str">
        <f aca="false">Orders!D715</f>
        <v>P1100</v>
      </c>
      <c r="E715" s="6" t="str">
        <f aca="false">INDEX(Products!$B$2:$B$101,MATCH(D715,Products!$A$2:$A$101,0))</f>
        <v>Coffee Maker</v>
      </c>
      <c r="F715" s="1" t="str">
        <f aca="false">INDEX(Products!$C$2:$C$101,MATCH(D715,Products!$A$2:$A$101,0))</f>
        <v>Appliances</v>
      </c>
      <c r="G715" s="6" t="n">
        <f aca="false">Orders!E715</f>
        <v>4</v>
      </c>
      <c r="H715" s="16" t="n">
        <f aca="false">INDEX(Products!$D$2:$D$101,MATCH(D715,Products!$A$2:$A$101,0))</f>
        <v>2499</v>
      </c>
      <c r="I715" s="16" t="n">
        <f aca="false">INDEX(Products!$E$2:$E$101,MATCH(D715,Products!$A$2:$A$101,0))</f>
        <v>1600</v>
      </c>
      <c r="J715" s="20" t="n">
        <f aca="false">Orders!F715</f>
        <v>0.05</v>
      </c>
      <c r="K715" s="6" t="n">
        <f aca="false">G715*H715</f>
        <v>9996</v>
      </c>
      <c r="L715" s="6" t="n">
        <f aca="false">K715*J715</f>
        <v>499.8</v>
      </c>
      <c r="M715" s="6" t="n">
        <f aca="false">K715-L715</f>
        <v>9496.2</v>
      </c>
      <c r="N715" s="6" t="n">
        <f aca="false">G715*I715</f>
        <v>6400</v>
      </c>
      <c r="O715" s="6" t="n">
        <f aca="false">M715-N715</f>
        <v>3096.2</v>
      </c>
      <c r="P715" s="21" t="n">
        <f aca="false">IFERROR(O715/M715,0)</f>
        <v>0.326046207956867</v>
      </c>
      <c r="Q715" s="6" t="str">
        <f aca="false">Orders!H715</f>
        <v>Cancelled</v>
      </c>
      <c r="R715" s="1" t="str">
        <f aca="false">INDEX(Customers!$C$2:$C$301,MATCH(C715,Customers!$A$2:$A$301,0))</f>
        <v>Hyderabad</v>
      </c>
      <c r="S715" s="1" t="str">
        <f aca="false">INDEX(Customers!$E$2:$E$301,MATCH(C715,Customers!$A$2:$A$301,0))</f>
        <v>Returning</v>
      </c>
      <c r="T715" s="6" t="str">
        <f aca="false">Orders!I715</f>
        <v>Marketplace</v>
      </c>
      <c r="U715" s="1" t="str">
        <f aca="false">IF(Q715="Delivered","Completed",IF(Q715="Cancelled","Cancelled",IF(Q715="Returned","Returned","In Progress")))</f>
        <v>Cancelled</v>
      </c>
      <c r="V715" s="1" t="str">
        <f aca="false">IF(M715&gt;=10000,"High Value",IF(M715&gt;=5000,"Medium Value","Low Value"))</f>
        <v>Medium Value</v>
      </c>
      <c r="W715" s="1" t="str">
        <f aca="false">IF(O715&gt;0,"Profitable",IF(O715=0,"Break-even","Loss"))</f>
        <v>Profitable</v>
      </c>
      <c r="X715" s="1" t="str">
        <f aca="false">IF(Q715="Cancelled","Not Applicable",IF(Q715="Processing","Pending",IF(B715="","Unknown",IF(Orders!J715="","Unknown",IF(Orders!J715&lt;=3,"Fast",IF(Orders!J715&lt;=6,"Standard","Slow"))))))</f>
        <v>Not Applicable</v>
      </c>
      <c r="Y715" s="1" t="n">
        <f aca="false">IF(OR(Q715="Cancelled",Q715="Returned"),0,O715)</f>
        <v>0</v>
      </c>
    </row>
    <row r="716" customFormat="false" ht="15" hidden="false" customHeight="false" outlineLevel="0" collapsed="false">
      <c r="A716" s="6" t="str">
        <f aca="false">Orders!A716</f>
        <v>O000715</v>
      </c>
      <c r="B716" s="19" t="n">
        <f aca="false">Orders!B716</f>
        <v>45677</v>
      </c>
      <c r="C716" s="6" t="str">
        <f aca="false">Orders!C716</f>
        <v>C0099</v>
      </c>
      <c r="D716" s="6" t="str">
        <f aca="false">Orders!D716</f>
        <v>P1030</v>
      </c>
      <c r="E716" s="6" t="str">
        <f aca="false">INDEX(Products!$B$2:$B$101,MATCH(D716,Products!$A$2:$A$101,0))</f>
        <v>Formal Shoes</v>
      </c>
      <c r="F716" s="1" t="str">
        <f aca="false">INDEX(Products!$C$2:$C$101,MATCH(D716,Products!$A$2:$A$101,0))</f>
        <v>Fashion</v>
      </c>
      <c r="G716" s="6" t="n">
        <f aca="false">Orders!E716</f>
        <v>1</v>
      </c>
      <c r="H716" s="16" t="n">
        <f aca="false">INDEX(Products!$D$2:$D$101,MATCH(D716,Products!$A$2:$A$101,0))</f>
        <v>2299</v>
      </c>
      <c r="I716" s="16" t="n">
        <f aca="false">INDEX(Products!$E$2:$E$101,MATCH(D716,Products!$A$2:$A$101,0))</f>
        <v>1300</v>
      </c>
      <c r="J716" s="20" t="n">
        <f aca="false">Orders!F716</f>
        <v>0</v>
      </c>
      <c r="K716" s="6" t="n">
        <f aca="false">G716*H716</f>
        <v>2299</v>
      </c>
      <c r="L716" s="6" t="n">
        <f aca="false">K716*J716</f>
        <v>0</v>
      </c>
      <c r="M716" s="6" t="n">
        <f aca="false">K716-L716</f>
        <v>2299</v>
      </c>
      <c r="N716" s="6" t="n">
        <f aca="false">G716*I716</f>
        <v>1300</v>
      </c>
      <c r="O716" s="6" t="n">
        <f aca="false">M716-N716</f>
        <v>999</v>
      </c>
      <c r="P716" s="21" t="n">
        <f aca="false">IFERROR(O716/M716,0)</f>
        <v>0.434536755110918</v>
      </c>
      <c r="Q716" s="6" t="str">
        <f aca="false">Orders!H716</f>
        <v>Delivered</v>
      </c>
      <c r="R716" s="1" t="str">
        <f aca="false">INDEX(Customers!$C$2:$C$301,MATCH(C716,Customers!$A$2:$A$301,0))</f>
        <v>Coimbatore</v>
      </c>
      <c r="S716" s="1" t="str">
        <f aca="false">INDEX(Customers!$E$2:$E$301,MATCH(C716,Customers!$A$2:$A$301,0))</f>
        <v>VIP</v>
      </c>
      <c r="T716" s="6" t="str">
        <f aca="false">Orders!I716</f>
        <v>Mobile App</v>
      </c>
      <c r="U716" s="1" t="str">
        <f aca="false">IF(Q716="Delivered","Completed",IF(Q716="Cancelled","Cancelled",IF(Q716="Returned","Returned","In Progress")))</f>
        <v>Completed</v>
      </c>
      <c r="V716" s="1" t="str">
        <f aca="false">IF(M716&gt;=10000,"High Value",IF(M716&gt;=5000,"Medium Value","Low Value"))</f>
        <v>Low Value</v>
      </c>
      <c r="W716" s="1" t="str">
        <f aca="false">IF(O716&gt;0,"Profitable",IF(O716=0,"Break-even","Loss"))</f>
        <v>Profitable</v>
      </c>
      <c r="X716" s="1" t="str">
        <f aca="false">IF(Q716="Cancelled","Not Applicable",IF(Q716="Processing","Pending",IF(B716="","Unknown",IF(Orders!J716="","Unknown",IF(Orders!J716&lt;=3,"Fast",IF(Orders!J716&lt;=6,"Standard","Slow"))))))</f>
        <v>Standard</v>
      </c>
      <c r="Y716" s="1" t="n">
        <f aca="false">IF(OR(Q716="Cancelled",Q716="Returned"),0,O716)</f>
        <v>999</v>
      </c>
    </row>
    <row r="717" customFormat="false" ht="15" hidden="false" customHeight="false" outlineLevel="0" collapsed="false">
      <c r="A717" s="6" t="str">
        <f aca="false">Orders!A717</f>
        <v>O000716</v>
      </c>
      <c r="B717" s="19" t="n">
        <f aca="false">Orders!B717</f>
        <v>45954</v>
      </c>
      <c r="C717" s="6" t="str">
        <f aca="false">Orders!C717</f>
        <v>C0281</v>
      </c>
      <c r="D717" s="6" t="str">
        <f aca="false">Orders!D717</f>
        <v>P1029</v>
      </c>
      <c r="E717" s="6" t="str">
        <f aca="false">INDEX(Products!$B$2:$B$101,MATCH(D717,Products!$A$2:$A$101,0))</f>
        <v>Scarf</v>
      </c>
      <c r="F717" s="1" t="str">
        <f aca="false">INDEX(Products!$C$2:$C$101,MATCH(D717,Products!$A$2:$A$101,0))</f>
        <v>Fashion</v>
      </c>
      <c r="G717" s="6" t="n">
        <f aca="false">Orders!E717</f>
        <v>3</v>
      </c>
      <c r="H717" s="16" t="n">
        <f aca="false">INDEX(Products!$D$2:$D$101,MATCH(D717,Products!$A$2:$A$101,0))</f>
        <v>299</v>
      </c>
      <c r="I717" s="16" t="n">
        <f aca="false">INDEX(Products!$E$2:$E$101,MATCH(D717,Products!$A$2:$A$101,0))</f>
        <v>100</v>
      </c>
      <c r="J717" s="20" t="n">
        <f aca="false">Orders!F717</f>
        <v>0.05</v>
      </c>
      <c r="K717" s="6" t="n">
        <f aca="false">G717*H717</f>
        <v>897</v>
      </c>
      <c r="L717" s="6" t="n">
        <f aca="false">K717*J717</f>
        <v>44.85</v>
      </c>
      <c r="M717" s="6" t="n">
        <f aca="false">K717-L717</f>
        <v>852.15</v>
      </c>
      <c r="N717" s="6" t="n">
        <f aca="false">G717*I717</f>
        <v>300</v>
      </c>
      <c r="O717" s="6" t="n">
        <f aca="false">M717-N717</f>
        <v>552.15</v>
      </c>
      <c r="P717" s="21" t="n">
        <f aca="false">IFERROR(O717/M717,0)</f>
        <v>0.647949304699877</v>
      </c>
      <c r="Q717" s="6" t="str">
        <f aca="false">Orders!H717</f>
        <v>Delivered</v>
      </c>
      <c r="R717" s="1" t="str">
        <f aca="false">INDEX(Customers!$C$2:$C$301,MATCH(C717,Customers!$A$2:$A$301,0))</f>
        <v>Delhi</v>
      </c>
      <c r="S717" s="1" t="str">
        <f aca="false">INDEX(Customers!$E$2:$E$301,MATCH(C717,Customers!$A$2:$A$301,0))</f>
        <v>VIP</v>
      </c>
      <c r="T717" s="6" t="str">
        <f aca="false">Orders!I717</f>
        <v>Mobile App</v>
      </c>
      <c r="U717" s="1" t="str">
        <f aca="false">IF(Q717="Delivered","Completed",IF(Q717="Cancelled","Cancelled",IF(Q717="Returned","Returned","In Progress")))</f>
        <v>Completed</v>
      </c>
      <c r="V717" s="1" t="str">
        <f aca="false">IF(M717&gt;=10000,"High Value",IF(M717&gt;=5000,"Medium Value","Low Value"))</f>
        <v>Low Value</v>
      </c>
      <c r="W717" s="1" t="str">
        <f aca="false">IF(O717&gt;0,"Profitable",IF(O717=0,"Break-even","Loss"))</f>
        <v>Profitable</v>
      </c>
      <c r="X717" s="1" t="str">
        <f aca="false">IF(Q717="Cancelled","Not Applicable",IF(Q717="Processing","Pending",IF(B717="","Unknown",IF(Orders!J717="","Unknown",IF(Orders!J717&lt;=3,"Fast",IF(Orders!J717&lt;=6,"Standard","Slow"))))))</f>
        <v>Fast</v>
      </c>
      <c r="Y717" s="1" t="n">
        <f aca="false">IF(OR(Q717="Cancelled",Q717="Returned"),0,O717)</f>
        <v>552.15</v>
      </c>
    </row>
    <row r="718" customFormat="false" ht="23.85" hidden="false" customHeight="false" outlineLevel="0" collapsed="false">
      <c r="A718" s="6" t="str">
        <f aca="false">Orders!A718</f>
        <v>O000717</v>
      </c>
      <c r="B718" s="19" t="n">
        <f aca="false">Orders!B718</f>
        <v>45802</v>
      </c>
      <c r="C718" s="6" t="str">
        <f aca="false">Orders!C718</f>
        <v>C0142</v>
      </c>
      <c r="D718" s="6" t="str">
        <f aca="false">Orders!D718</f>
        <v>P1072</v>
      </c>
      <c r="E718" s="6" t="str">
        <f aca="false">INDEX(Products!$B$2:$B$101,MATCH(D718,Products!$A$2:$A$101,0))</f>
        <v>Tennis Balls Pack</v>
      </c>
      <c r="F718" s="1" t="str">
        <f aca="false">INDEX(Products!$C$2:$C$101,MATCH(D718,Products!$A$2:$A$101,0))</f>
        <v>Sports &amp; Outdoors</v>
      </c>
      <c r="G718" s="6" t="n">
        <f aca="false">Orders!E718</f>
        <v>2</v>
      </c>
      <c r="H718" s="16" t="n">
        <f aca="false">INDEX(Products!$D$2:$D$101,MATCH(D718,Products!$A$2:$A$101,0))</f>
        <v>399</v>
      </c>
      <c r="I718" s="16" t="n">
        <f aca="false">INDEX(Products!$E$2:$E$101,MATCH(D718,Products!$A$2:$A$101,0))</f>
        <v>160</v>
      </c>
      <c r="J718" s="20" t="n">
        <f aca="false">Orders!F718</f>
        <v>0.05</v>
      </c>
      <c r="K718" s="6" t="n">
        <f aca="false">G718*H718</f>
        <v>798</v>
      </c>
      <c r="L718" s="6" t="n">
        <f aca="false">K718*J718</f>
        <v>39.9</v>
      </c>
      <c r="M718" s="6" t="n">
        <f aca="false">K718-L718</f>
        <v>758.1</v>
      </c>
      <c r="N718" s="6" t="n">
        <f aca="false">G718*I718</f>
        <v>320</v>
      </c>
      <c r="O718" s="6" t="n">
        <f aca="false">M718-N718</f>
        <v>438.1</v>
      </c>
      <c r="P718" s="21" t="n">
        <f aca="false">IFERROR(O718/M718,0)</f>
        <v>0.577892098667722</v>
      </c>
      <c r="Q718" s="6" t="str">
        <f aca="false">Orders!H718</f>
        <v>Delivered</v>
      </c>
      <c r="R718" s="1" t="str">
        <f aca="false">INDEX(Customers!$C$2:$C$301,MATCH(C718,Customers!$A$2:$A$301,0))</f>
        <v>Mumbai</v>
      </c>
      <c r="S718" s="1" t="str">
        <f aca="false">INDEX(Customers!$E$2:$E$301,MATCH(C718,Customers!$A$2:$A$301,0))</f>
        <v>VIP</v>
      </c>
      <c r="T718" s="6" t="str">
        <f aca="false">Orders!I718</f>
        <v>Mobile App</v>
      </c>
      <c r="U718" s="1" t="str">
        <f aca="false">IF(Q718="Delivered","Completed",IF(Q718="Cancelled","Cancelled",IF(Q718="Returned","Returned","In Progress")))</f>
        <v>Completed</v>
      </c>
      <c r="V718" s="1" t="str">
        <f aca="false">IF(M718&gt;=10000,"High Value",IF(M718&gt;=5000,"Medium Value","Low Value"))</f>
        <v>Low Value</v>
      </c>
      <c r="W718" s="1" t="str">
        <f aca="false">IF(O718&gt;0,"Profitable",IF(O718=0,"Break-even","Loss"))</f>
        <v>Profitable</v>
      </c>
      <c r="X718" s="1" t="str">
        <f aca="false">IF(Q718="Cancelled","Not Applicable",IF(Q718="Processing","Pending",IF(B718="","Unknown",IF(Orders!J718="","Unknown",IF(Orders!J718&lt;=3,"Fast",IF(Orders!J718&lt;=6,"Standard","Slow"))))))</f>
        <v>Fast</v>
      </c>
      <c r="Y718" s="1" t="n">
        <f aca="false">IF(OR(Q718="Cancelled",Q718="Returned"),0,O718)</f>
        <v>438.1</v>
      </c>
    </row>
    <row r="719" customFormat="false" ht="23.85" hidden="false" customHeight="false" outlineLevel="0" collapsed="false">
      <c r="A719" s="6" t="str">
        <f aca="false">Orders!A719</f>
        <v>O000718</v>
      </c>
      <c r="B719" s="19" t="n">
        <f aca="false">Orders!B719</f>
        <v>45895</v>
      </c>
      <c r="C719" s="6" t="str">
        <f aca="false">Orders!C719</f>
        <v>C0267</v>
      </c>
      <c r="D719" s="6" t="str">
        <f aca="false">Orders!D719</f>
        <v>P1069</v>
      </c>
      <c r="E719" s="6" t="str">
        <f aca="false">INDEX(Products!$B$2:$B$101,MATCH(D719,Products!$A$2:$A$101,0))</f>
        <v>Sports Duffel Bag</v>
      </c>
      <c r="F719" s="1" t="str">
        <f aca="false">INDEX(Products!$C$2:$C$101,MATCH(D719,Products!$A$2:$A$101,0))</f>
        <v>Sports &amp; Outdoors</v>
      </c>
      <c r="G719" s="6" t="n">
        <f aca="false">Orders!E719</f>
        <v>2</v>
      </c>
      <c r="H719" s="16" t="n">
        <f aca="false">INDEX(Products!$D$2:$D$101,MATCH(D719,Products!$A$2:$A$101,0))</f>
        <v>999</v>
      </c>
      <c r="I719" s="16" t="n">
        <f aca="false">INDEX(Products!$E$2:$E$101,MATCH(D719,Products!$A$2:$A$101,0))</f>
        <v>500</v>
      </c>
      <c r="J719" s="20" t="n">
        <f aca="false">Orders!F719</f>
        <v>0.25</v>
      </c>
      <c r="K719" s="6" t="n">
        <f aca="false">G719*H719</f>
        <v>1998</v>
      </c>
      <c r="L719" s="6" t="n">
        <f aca="false">K719*J719</f>
        <v>499.5</v>
      </c>
      <c r="M719" s="6" t="n">
        <f aca="false">K719-L719</f>
        <v>1498.5</v>
      </c>
      <c r="N719" s="6" t="n">
        <f aca="false">G719*I719</f>
        <v>1000</v>
      </c>
      <c r="O719" s="6" t="n">
        <f aca="false">M719-N719</f>
        <v>498.5</v>
      </c>
      <c r="P719" s="21" t="n">
        <f aca="false">IFERROR(O719/M719,0)</f>
        <v>0.332665999332666</v>
      </c>
      <c r="Q719" s="6" t="str">
        <f aca="false">Orders!H719</f>
        <v>Delivered</v>
      </c>
      <c r="R719" s="1" t="str">
        <f aca="false">INDEX(Customers!$C$2:$C$301,MATCH(C719,Customers!$A$2:$A$301,0))</f>
        <v>Pune</v>
      </c>
      <c r="S719" s="1" t="str">
        <f aca="false">INDEX(Customers!$E$2:$E$301,MATCH(C719,Customers!$A$2:$A$301,0))</f>
        <v>Returning</v>
      </c>
      <c r="T719" s="6" t="str">
        <f aca="false">Orders!I719</f>
        <v>Website</v>
      </c>
      <c r="U719" s="1" t="str">
        <f aca="false">IF(Q719="Delivered","Completed",IF(Q719="Cancelled","Cancelled",IF(Q719="Returned","Returned","In Progress")))</f>
        <v>Completed</v>
      </c>
      <c r="V719" s="1" t="str">
        <f aca="false">IF(M719&gt;=10000,"High Value",IF(M719&gt;=5000,"Medium Value","Low Value"))</f>
        <v>Low Value</v>
      </c>
      <c r="W719" s="1" t="str">
        <f aca="false">IF(O719&gt;0,"Profitable",IF(O719=0,"Break-even","Loss"))</f>
        <v>Profitable</v>
      </c>
      <c r="X719" s="1" t="str">
        <f aca="false">IF(Q719="Cancelled","Not Applicable",IF(Q719="Processing","Pending",IF(B719="","Unknown",IF(Orders!J719="","Unknown",IF(Orders!J719&lt;=3,"Fast",IF(Orders!J719&lt;=6,"Standard","Slow"))))))</f>
        <v>Fast</v>
      </c>
      <c r="Y719" s="1" t="n">
        <f aca="false">IF(OR(Q719="Cancelled",Q719="Returned"),0,O719)</f>
        <v>498.5</v>
      </c>
    </row>
    <row r="720" customFormat="false" ht="15" hidden="false" customHeight="false" outlineLevel="0" collapsed="false">
      <c r="A720" s="6" t="str">
        <f aca="false">Orders!A720</f>
        <v>O000719</v>
      </c>
      <c r="B720" s="19" t="n">
        <f aca="false">Orders!B720</f>
        <v>46017</v>
      </c>
      <c r="C720" s="6" t="str">
        <f aca="false">Orders!C720</f>
        <v>C0239</v>
      </c>
      <c r="D720" s="6" t="str">
        <f aca="false">Orders!D720</f>
        <v>P1080</v>
      </c>
      <c r="E720" s="6" t="str">
        <f aca="false">INDEX(Products!$B$2:$B$101,MATCH(D720,Products!$A$2:$A$101,0))</f>
        <v>Calculator</v>
      </c>
      <c r="F720" s="1" t="str">
        <f aca="false">INDEX(Products!$C$2:$C$101,MATCH(D720,Products!$A$2:$A$101,0))</f>
        <v>Books &amp; Stationery</v>
      </c>
      <c r="G720" s="6" t="n">
        <f aca="false">Orders!E720</f>
        <v>2</v>
      </c>
      <c r="H720" s="16" t="n">
        <f aca="false">INDEX(Products!$D$2:$D$101,MATCH(D720,Products!$A$2:$A$101,0))</f>
        <v>599</v>
      </c>
      <c r="I720" s="16" t="n">
        <f aca="false">INDEX(Products!$E$2:$E$101,MATCH(D720,Products!$A$2:$A$101,0))</f>
        <v>300</v>
      </c>
      <c r="J720" s="20" t="n">
        <f aca="false">Orders!F720</f>
        <v>0</v>
      </c>
      <c r="K720" s="6" t="n">
        <f aca="false">G720*H720</f>
        <v>1198</v>
      </c>
      <c r="L720" s="6" t="n">
        <f aca="false">K720*J720</f>
        <v>0</v>
      </c>
      <c r="M720" s="6" t="n">
        <f aca="false">K720-L720</f>
        <v>1198</v>
      </c>
      <c r="N720" s="6" t="n">
        <f aca="false">G720*I720</f>
        <v>600</v>
      </c>
      <c r="O720" s="6" t="n">
        <f aca="false">M720-N720</f>
        <v>598</v>
      </c>
      <c r="P720" s="21" t="n">
        <f aca="false">IFERROR(O720/M720,0)</f>
        <v>0.499165275459099</v>
      </c>
      <c r="Q720" s="6" t="str">
        <f aca="false">Orders!H720</f>
        <v>Delivered</v>
      </c>
      <c r="R720" s="1" t="str">
        <f aca="false">INDEX(Customers!$C$2:$C$301,MATCH(C720,Customers!$A$2:$A$301,0))</f>
        <v>Coimbatore</v>
      </c>
      <c r="S720" s="1" t="str">
        <f aca="false">INDEX(Customers!$E$2:$E$301,MATCH(C720,Customers!$A$2:$A$301,0))</f>
        <v>New</v>
      </c>
      <c r="T720" s="6" t="str">
        <f aca="false">Orders!I720</f>
        <v>Marketplace</v>
      </c>
      <c r="U720" s="1" t="str">
        <f aca="false">IF(Q720="Delivered","Completed",IF(Q720="Cancelled","Cancelled",IF(Q720="Returned","Returned","In Progress")))</f>
        <v>Completed</v>
      </c>
      <c r="V720" s="1" t="str">
        <f aca="false">IF(M720&gt;=10000,"High Value",IF(M720&gt;=5000,"Medium Value","Low Value"))</f>
        <v>Low Value</v>
      </c>
      <c r="W720" s="1" t="str">
        <f aca="false">IF(O720&gt;0,"Profitable",IF(O720=0,"Break-even","Loss"))</f>
        <v>Profitable</v>
      </c>
      <c r="X720" s="1" t="str">
        <f aca="false">IF(Q720="Cancelled","Not Applicable",IF(Q720="Processing","Pending",IF(B720="","Unknown",IF(Orders!J720="","Unknown",IF(Orders!J720&lt;=3,"Fast",IF(Orders!J720&lt;=6,"Standard","Slow"))))))</f>
        <v>Fast</v>
      </c>
      <c r="Y720" s="1" t="n">
        <f aca="false">IF(OR(Q720="Cancelled",Q720="Returned"),0,O720)</f>
        <v>598</v>
      </c>
    </row>
    <row r="721" customFormat="false" ht="15" hidden="false" customHeight="false" outlineLevel="0" collapsed="false">
      <c r="A721" s="6" t="str">
        <f aca="false">Orders!A721</f>
        <v>O000720</v>
      </c>
      <c r="B721" s="19" t="n">
        <f aca="false">Orders!B721</f>
        <v>45728</v>
      </c>
      <c r="C721" s="6" t="str">
        <f aca="false">Orders!C721</f>
        <v>C0173</v>
      </c>
      <c r="D721" s="6" t="str">
        <f aca="false">Orders!D721</f>
        <v>P1004</v>
      </c>
      <c r="E721" s="6" t="str">
        <f aca="false">INDEX(Products!$B$2:$B$101,MATCH(D721,Products!$A$2:$A$101,0))</f>
        <v>USB-C Cable</v>
      </c>
      <c r="F721" s="1" t="str">
        <f aca="false">INDEX(Products!$C$2:$C$101,MATCH(D721,Products!$A$2:$A$101,0))</f>
        <v>Electronics</v>
      </c>
      <c r="G721" s="6" t="n">
        <f aca="false">Orders!E721</f>
        <v>1</v>
      </c>
      <c r="H721" s="16" t="n">
        <f aca="false">INDEX(Products!$D$2:$D$101,MATCH(D721,Products!$A$2:$A$101,0))</f>
        <v>299</v>
      </c>
      <c r="I721" s="16" t="n">
        <f aca="false">INDEX(Products!$E$2:$E$101,MATCH(D721,Products!$A$2:$A$101,0))</f>
        <v>120</v>
      </c>
      <c r="J721" s="20" t="n">
        <f aca="false">Orders!F721</f>
        <v>0</v>
      </c>
      <c r="K721" s="6" t="n">
        <f aca="false">G721*H721</f>
        <v>299</v>
      </c>
      <c r="L721" s="6" t="n">
        <f aca="false">K721*J721</f>
        <v>0</v>
      </c>
      <c r="M721" s="6" t="n">
        <f aca="false">K721-L721</f>
        <v>299</v>
      </c>
      <c r="N721" s="6" t="n">
        <f aca="false">G721*I721</f>
        <v>120</v>
      </c>
      <c r="O721" s="6" t="n">
        <f aca="false">M721-N721</f>
        <v>179</v>
      </c>
      <c r="P721" s="21" t="n">
        <f aca="false">IFERROR(O721/M721,0)</f>
        <v>0.59866220735786</v>
      </c>
      <c r="Q721" s="6" t="str">
        <f aca="false">Orders!H721</f>
        <v>Delivered</v>
      </c>
      <c r="R721" s="1" t="str">
        <f aca="false">INDEX(Customers!$C$2:$C$301,MATCH(C721,Customers!$A$2:$A$301,0))</f>
        <v>Kochi</v>
      </c>
      <c r="S721" s="1" t="str">
        <f aca="false">INDEX(Customers!$E$2:$E$301,MATCH(C721,Customers!$A$2:$A$301,0))</f>
        <v>New</v>
      </c>
      <c r="T721" s="6" t="str">
        <f aca="false">Orders!I721</f>
        <v>Marketplace</v>
      </c>
      <c r="U721" s="1" t="str">
        <f aca="false">IF(Q721="Delivered","Completed",IF(Q721="Cancelled","Cancelled",IF(Q721="Returned","Returned","In Progress")))</f>
        <v>Completed</v>
      </c>
      <c r="V721" s="1" t="str">
        <f aca="false">IF(M721&gt;=10000,"High Value",IF(M721&gt;=5000,"Medium Value","Low Value"))</f>
        <v>Low Value</v>
      </c>
      <c r="W721" s="1" t="str">
        <f aca="false">IF(O721&gt;0,"Profitable",IF(O721=0,"Break-even","Loss"))</f>
        <v>Profitable</v>
      </c>
      <c r="X721" s="1" t="str">
        <f aca="false">IF(Q721="Cancelled","Not Applicable",IF(Q721="Processing","Pending",IF(B721="","Unknown",IF(Orders!J721="","Unknown",IF(Orders!J721&lt;=3,"Fast",IF(Orders!J721&lt;=6,"Standard","Slow"))))))</f>
        <v>Fast</v>
      </c>
      <c r="Y721" s="1" t="n">
        <f aca="false">IF(OR(Q721="Cancelled",Q721="Returned"),0,O721)</f>
        <v>179</v>
      </c>
    </row>
    <row r="722" customFormat="false" ht="15" hidden="false" customHeight="false" outlineLevel="0" collapsed="false">
      <c r="A722" s="6" t="str">
        <f aca="false">Orders!A722</f>
        <v>O000721</v>
      </c>
      <c r="B722" s="19" t="n">
        <f aca="false">Orders!B722</f>
        <v>45718</v>
      </c>
      <c r="C722" s="6" t="str">
        <f aca="false">Orders!C722</f>
        <v>C0099</v>
      </c>
      <c r="D722" s="6" t="str">
        <f aca="false">Orders!D722</f>
        <v>P1032</v>
      </c>
      <c r="E722" s="6" t="str">
        <f aca="false">INDEX(Products!$B$2:$B$101,MATCH(D722,Products!$A$2:$A$101,0))</f>
        <v>Water Bottle</v>
      </c>
      <c r="F722" s="1" t="str">
        <f aca="false">INDEX(Products!$C$2:$C$101,MATCH(D722,Products!$A$2:$A$101,0))</f>
        <v>Home &amp; Kitchen</v>
      </c>
      <c r="G722" s="6" t="n">
        <f aca="false">Orders!E722</f>
        <v>2</v>
      </c>
      <c r="H722" s="16" t="n">
        <f aca="false">INDEX(Products!$D$2:$D$101,MATCH(D722,Products!$A$2:$A$101,0))</f>
        <v>399</v>
      </c>
      <c r="I722" s="16" t="n">
        <f aca="false">INDEX(Products!$E$2:$E$101,MATCH(D722,Products!$A$2:$A$101,0))</f>
        <v>150</v>
      </c>
      <c r="J722" s="20" t="n">
        <f aca="false">Orders!F722</f>
        <v>0</v>
      </c>
      <c r="K722" s="6" t="n">
        <f aca="false">G722*H722</f>
        <v>798</v>
      </c>
      <c r="L722" s="6" t="n">
        <f aca="false">K722*J722</f>
        <v>0</v>
      </c>
      <c r="M722" s="6" t="n">
        <f aca="false">K722-L722</f>
        <v>798</v>
      </c>
      <c r="N722" s="6" t="n">
        <f aca="false">G722*I722</f>
        <v>300</v>
      </c>
      <c r="O722" s="6" t="n">
        <f aca="false">M722-N722</f>
        <v>498</v>
      </c>
      <c r="P722" s="21" t="n">
        <f aca="false">IFERROR(O722/M722,0)</f>
        <v>0.62406015037594</v>
      </c>
      <c r="Q722" s="6" t="str">
        <f aca="false">Orders!H722</f>
        <v>Delivered</v>
      </c>
      <c r="R722" s="1" t="str">
        <f aca="false">INDEX(Customers!$C$2:$C$301,MATCH(C722,Customers!$A$2:$A$301,0))</f>
        <v>Coimbatore</v>
      </c>
      <c r="S722" s="1" t="str">
        <f aca="false">INDEX(Customers!$E$2:$E$301,MATCH(C722,Customers!$A$2:$A$301,0))</f>
        <v>VIP</v>
      </c>
      <c r="T722" s="6" t="str">
        <f aca="false">Orders!I722</f>
        <v>Website</v>
      </c>
      <c r="U722" s="1" t="str">
        <f aca="false">IF(Q722="Delivered","Completed",IF(Q722="Cancelled","Cancelled",IF(Q722="Returned","Returned","In Progress")))</f>
        <v>Completed</v>
      </c>
      <c r="V722" s="1" t="str">
        <f aca="false">IF(M722&gt;=10000,"High Value",IF(M722&gt;=5000,"Medium Value","Low Value"))</f>
        <v>Low Value</v>
      </c>
      <c r="W722" s="1" t="str">
        <f aca="false">IF(O722&gt;0,"Profitable",IF(O722=0,"Break-even","Loss"))</f>
        <v>Profitable</v>
      </c>
      <c r="X722" s="1" t="str">
        <f aca="false">IF(Q722="Cancelled","Not Applicable",IF(Q722="Processing","Pending",IF(B722="","Unknown",IF(Orders!J722="","Unknown",IF(Orders!J722&lt;=3,"Fast",IF(Orders!J722&lt;=6,"Standard","Slow"))))))</f>
        <v>Standard</v>
      </c>
      <c r="Y722" s="1" t="n">
        <f aca="false">IF(OR(Q722="Cancelled",Q722="Returned"),0,O722)</f>
        <v>498</v>
      </c>
    </row>
    <row r="723" customFormat="false" ht="15" hidden="false" customHeight="false" outlineLevel="0" collapsed="false">
      <c r="A723" s="6" t="str">
        <f aca="false">Orders!A723</f>
        <v>O000722</v>
      </c>
      <c r="B723" s="19" t="n">
        <f aca="false">Orders!B723</f>
        <v>46011</v>
      </c>
      <c r="C723" s="6" t="str">
        <f aca="false">Orders!C723</f>
        <v>C0106</v>
      </c>
      <c r="D723" s="6" t="str">
        <f aca="false">Orders!D723</f>
        <v>P1009</v>
      </c>
      <c r="E723" s="6" t="str">
        <f aca="false">INDEX(Products!$B$2:$B$101,MATCH(D723,Products!$A$2:$A$101,0))</f>
        <v>Laptop Sleeve</v>
      </c>
      <c r="F723" s="1" t="str">
        <f aca="false">INDEX(Products!$C$2:$C$101,MATCH(D723,Products!$A$2:$A$101,0))</f>
        <v>Electronics</v>
      </c>
      <c r="G723" s="6" t="n">
        <f aca="false">Orders!E723</f>
        <v>4</v>
      </c>
      <c r="H723" s="16" t="n">
        <f aca="false">INDEX(Products!$D$2:$D$101,MATCH(D723,Products!$A$2:$A$101,0))</f>
        <v>799</v>
      </c>
      <c r="I723" s="16" t="n">
        <f aca="false">INDEX(Products!$E$2:$E$101,MATCH(D723,Products!$A$2:$A$101,0))</f>
        <v>350</v>
      </c>
      <c r="J723" s="20" t="n">
        <f aca="false">Orders!F723</f>
        <v>0.05</v>
      </c>
      <c r="K723" s="6" t="n">
        <f aca="false">G723*H723</f>
        <v>3196</v>
      </c>
      <c r="L723" s="6" t="n">
        <f aca="false">K723*J723</f>
        <v>159.8</v>
      </c>
      <c r="M723" s="6" t="n">
        <f aca="false">K723-L723</f>
        <v>3036.2</v>
      </c>
      <c r="N723" s="6" t="n">
        <f aca="false">G723*I723</f>
        <v>1400</v>
      </c>
      <c r="O723" s="6" t="n">
        <f aca="false">M723-N723</f>
        <v>1636.2</v>
      </c>
      <c r="P723" s="21" t="n">
        <f aca="false">IFERROR(O723/M723,0)</f>
        <v>0.53889730584283</v>
      </c>
      <c r="Q723" s="6" t="str">
        <f aca="false">Orders!H723</f>
        <v>Delivered</v>
      </c>
      <c r="R723" s="1" t="str">
        <f aca="false">INDEX(Customers!$C$2:$C$301,MATCH(C723,Customers!$A$2:$A$301,0))</f>
        <v>Kolkata</v>
      </c>
      <c r="S723" s="1" t="str">
        <f aca="false">INDEX(Customers!$E$2:$E$301,MATCH(C723,Customers!$A$2:$A$301,0))</f>
        <v>New</v>
      </c>
      <c r="T723" s="6" t="str">
        <f aca="false">Orders!I723</f>
        <v>Mobile App</v>
      </c>
      <c r="U723" s="1" t="str">
        <f aca="false">IF(Q723="Delivered","Completed",IF(Q723="Cancelled","Cancelled",IF(Q723="Returned","Returned","In Progress")))</f>
        <v>Completed</v>
      </c>
      <c r="V723" s="1" t="str">
        <f aca="false">IF(M723&gt;=10000,"High Value",IF(M723&gt;=5000,"Medium Value","Low Value"))</f>
        <v>Low Value</v>
      </c>
      <c r="W723" s="1" t="str">
        <f aca="false">IF(O723&gt;0,"Profitable",IF(O723=0,"Break-even","Loss"))</f>
        <v>Profitable</v>
      </c>
      <c r="X723" s="1" t="str">
        <f aca="false">IF(Q723="Cancelled","Not Applicable",IF(Q723="Processing","Pending",IF(B723="","Unknown",IF(Orders!J723="","Unknown",IF(Orders!J723&lt;=3,"Fast",IF(Orders!J723&lt;=6,"Standard","Slow"))))))</f>
        <v>Standard</v>
      </c>
      <c r="Y723" s="1" t="n">
        <f aca="false">IF(OR(Q723="Cancelled",Q723="Returned"),0,O723)</f>
        <v>1636.2</v>
      </c>
    </row>
    <row r="724" customFormat="false" ht="15" hidden="false" customHeight="false" outlineLevel="0" collapsed="false">
      <c r="A724" s="6" t="str">
        <f aca="false">Orders!A724</f>
        <v>O000723</v>
      </c>
      <c r="B724" s="19" t="n">
        <f aca="false">Orders!B724</f>
        <v>45748</v>
      </c>
      <c r="C724" s="6" t="str">
        <f aca="false">Orders!C724</f>
        <v>C0023</v>
      </c>
      <c r="D724" s="6" t="str">
        <f aca="false">Orders!D724</f>
        <v>P1085</v>
      </c>
      <c r="E724" s="6" t="str">
        <f aca="false">INDEX(Products!$B$2:$B$101,MATCH(D724,Products!$A$2:$A$101,0))</f>
        <v>Marker Set</v>
      </c>
      <c r="F724" s="1" t="str">
        <f aca="false">INDEX(Products!$C$2:$C$101,MATCH(D724,Products!$A$2:$A$101,0))</f>
        <v>Books &amp; Stationery</v>
      </c>
      <c r="G724" s="6" t="n">
        <f aca="false">Orders!E724</f>
        <v>1</v>
      </c>
      <c r="H724" s="16" t="n">
        <f aca="false">INDEX(Products!$D$2:$D$101,MATCH(D724,Products!$A$2:$A$101,0))</f>
        <v>299</v>
      </c>
      <c r="I724" s="16" t="n">
        <f aca="false">INDEX(Products!$E$2:$E$101,MATCH(D724,Products!$A$2:$A$101,0))</f>
        <v>110</v>
      </c>
      <c r="J724" s="20" t="n">
        <f aca="false">Orders!F724</f>
        <v>0.25</v>
      </c>
      <c r="K724" s="6" t="n">
        <f aca="false">G724*H724</f>
        <v>299</v>
      </c>
      <c r="L724" s="6" t="n">
        <f aca="false">K724*J724</f>
        <v>74.75</v>
      </c>
      <c r="M724" s="6" t="n">
        <f aca="false">K724-L724</f>
        <v>224.25</v>
      </c>
      <c r="N724" s="6" t="n">
        <f aca="false">G724*I724</f>
        <v>110</v>
      </c>
      <c r="O724" s="6" t="n">
        <f aca="false">M724-N724</f>
        <v>114.25</v>
      </c>
      <c r="P724" s="21" t="n">
        <f aca="false">IFERROR(O724/M724,0)</f>
        <v>0.509476031215162</v>
      </c>
      <c r="Q724" s="6" t="str">
        <f aca="false">Orders!H724</f>
        <v>Shipped</v>
      </c>
      <c r="R724" s="1" t="str">
        <f aca="false">INDEX(Customers!$C$2:$C$301,MATCH(C724,Customers!$A$2:$A$301,0))</f>
        <v>Bengaluru</v>
      </c>
      <c r="S724" s="1" t="str">
        <f aca="false">INDEX(Customers!$E$2:$E$301,MATCH(C724,Customers!$A$2:$A$301,0))</f>
        <v>Returning</v>
      </c>
      <c r="T724" s="6" t="str">
        <f aca="false">Orders!I724</f>
        <v>Marketplace</v>
      </c>
      <c r="U724" s="1" t="str">
        <f aca="false">IF(Q724="Delivered","Completed",IF(Q724="Cancelled","Cancelled",IF(Q724="Returned","Returned","In Progress")))</f>
        <v>In Progress</v>
      </c>
      <c r="V724" s="1" t="str">
        <f aca="false">IF(M724&gt;=10000,"High Value",IF(M724&gt;=5000,"Medium Value","Low Value"))</f>
        <v>Low Value</v>
      </c>
      <c r="W724" s="1" t="str">
        <f aca="false">IF(O724&gt;0,"Profitable",IF(O724=0,"Break-even","Loss"))</f>
        <v>Profitable</v>
      </c>
      <c r="X724" s="1" t="str">
        <f aca="false">IF(Q724="Cancelled","Not Applicable",IF(Q724="Processing","Pending",IF(B724="","Unknown",IF(Orders!J724="","Unknown",IF(Orders!J724&lt;=3,"Fast",IF(Orders!J724&lt;=6,"Standard","Slow"))))))</f>
        <v>Standard</v>
      </c>
      <c r="Y724" s="1" t="n">
        <f aca="false">IF(OR(Q724="Cancelled",Q724="Returned"),0,O724)</f>
        <v>114.25</v>
      </c>
    </row>
    <row r="725" customFormat="false" ht="15" hidden="false" customHeight="false" outlineLevel="0" collapsed="false">
      <c r="A725" s="6" t="str">
        <f aca="false">Orders!A725</f>
        <v>O000724</v>
      </c>
      <c r="B725" s="19" t="n">
        <f aca="false">Orders!B725</f>
        <v>45762</v>
      </c>
      <c r="C725" s="6" t="str">
        <f aca="false">Orders!C725</f>
        <v>C0100</v>
      </c>
      <c r="D725" s="6" t="str">
        <f aca="false">Orders!D725</f>
        <v>P1082</v>
      </c>
      <c r="E725" s="6" t="str">
        <f aca="false">INDEX(Products!$B$2:$B$101,MATCH(D725,Products!$A$2:$A$101,0))</f>
        <v>File Folder Set</v>
      </c>
      <c r="F725" s="1" t="str">
        <f aca="false">INDEX(Products!$C$2:$C$101,MATCH(D725,Products!$A$2:$A$101,0))</f>
        <v>Books &amp; Stationery</v>
      </c>
      <c r="G725" s="6" t="n">
        <f aca="false">Orders!E725</f>
        <v>2</v>
      </c>
      <c r="H725" s="16" t="n">
        <f aca="false">INDEX(Products!$D$2:$D$101,MATCH(D725,Products!$A$2:$A$101,0))</f>
        <v>249</v>
      </c>
      <c r="I725" s="16" t="n">
        <f aca="false">INDEX(Products!$E$2:$E$101,MATCH(D725,Products!$A$2:$A$101,0))</f>
        <v>90</v>
      </c>
      <c r="J725" s="20" t="n">
        <f aca="false">Orders!F725</f>
        <v>0.25</v>
      </c>
      <c r="K725" s="6" t="n">
        <f aca="false">G725*H725</f>
        <v>498</v>
      </c>
      <c r="L725" s="6" t="n">
        <f aca="false">K725*J725</f>
        <v>124.5</v>
      </c>
      <c r="M725" s="6" t="n">
        <f aca="false">K725-L725</f>
        <v>373.5</v>
      </c>
      <c r="N725" s="6" t="n">
        <f aca="false">G725*I725</f>
        <v>180</v>
      </c>
      <c r="O725" s="6" t="n">
        <f aca="false">M725-N725</f>
        <v>193.5</v>
      </c>
      <c r="P725" s="21" t="n">
        <f aca="false">IFERROR(O725/M725,0)</f>
        <v>0.518072289156627</v>
      </c>
      <c r="Q725" s="6" t="str">
        <f aca="false">Orders!H725</f>
        <v>Delivered</v>
      </c>
      <c r="R725" s="1" t="str">
        <f aca="false">INDEX(Customers!$C$2:$C$301,MATCH(C725,Customers!$A$2:$A$301,0))</f>
        <v>Visakhapatnam</v>
      </c>
      <c r="S725" s="1" t="str">
        <f aca="false">INDEX(Customers!$E$2:$E$301,MATCH(C725,Customers!$A$2:$A$301,0))</f>
        <v>New</v>
      </c>
      <c r="T725" s="6" t="str">
        <f aca="false">Orders!I725</f>
        <v>Mobile App</v>
      </c>
      <c r="U725" s="1" t="str">
        <f aca="false">IF(Q725="Delivered","Completed",IF(Q725="Cancelled","Cancelled",IF(Q725="Returned","Returned","In Progress")))</f>
        <v>Completed</v>
      </c>
      <c r="V725" s="1" t="str">
        <f aca="false">IF(M725&gt;=10000,"High Value",IF(M725&gt;=5000,"Medium Value","Low Value"))</f>
        <v>Low Value</v>
      </c>
      <c r="W725" s="1" t="str">
        <f aca="false">IF(O725&gt;0,"Profitable",IF(O725=0,"Break-even","Loss"))</f>
        <v>Profitable</v>
      </c>
      <c r="X725" s="1" t="str">
        <f aca="false">IF(Q725="Cancelled","Not Applicable",IF(Q725="Processing","Pending",IF(B725="","Unknown",IF(Orders!J725="","Unknown",IF(Orders!J725&lt;=3,"Fast",IF(Orders!J725&lt;=6,"Standard","Slow"))))))</f>
        <v>Standard</v>
      </c>
      <c r="Y725" s="1" t="n">
        <f aca="false">IF(OR(Q725="Cancelled",Q725="Returned"),0,O725)</f>
        <v>193.5</v>
      </c>
    </row>
    <row r="726" customFormat="false" ht="23.85" hidden="false" customHeight="false" outlineLevel="0" collapsed="false">
      <c r="A726" s="6" t="str">
        <f aca="false">Orders!A726</f>
        <v>O000725</v>
      </c>
      <c r="B726" s="19" t="n">
        <f aca="false">Orders!B726</f>
        <v>45878</v>
      </c>
      <c r="C726" s="6" t="str">
        <f aca="false">Orders!C726</f>
        <v>C0145</v>
      </c>
      <c r="D726" s="6" t="str">
        <f aca="false">Orders!D726</f>
        <v>P1061</v>
      </c>
      <c r="E726" s="6" t="str">
        <f aca="false">INDEX(Products!$B$2:$B$101,MATCH(D726,Products!$A$2:$A$101,0))</f>
        <v>Resistance Bands</v>
      </c>
      <c r="F726" s="1" t="str">
        <f aca="false">INDEX(Products!$C$2:$C$101,MATCH(D726,Products!$A$2:$A$101,0))</f>
        <v>Sports &amp; Outdoors</v>
      </c>
      <c r="G726" s="6" t="n">
        <f aca="false">Orders!E726</f>
        <v>1</v>
      </c>
      <c r="H726" s="16" t="n">
        <f aca="false">INDEX(Products!$D$2:$D$101,MATCH(D726,Products!$A$2:$A$101,0))</f>
        <v>399</v>
      </c>
      <c r="I726" s="16" t="n">
        <f aca="false">INDEX(Products!$E$2:$E$101,MATCH(D726,Products!$A$2:$A$101,0))</f>
        <v>150</v>
      </c>
      <c r="J726" s="20" t="n">
        <f aca="false">Orders!F726</f>
        <v>0</v>
      </c>
      <c r="K726" s="6" t="n">
        <f aca="false">G726*H726</f>
        <v>399</v>
      </c>
      <c r="L726" s="6" t="n">
        <f aca="false">K726*J726</f>
        <v>0</v>
      </c>
      <c r="M726" s="6" t="n">
        <f aca="false">K726-L726</f>
        <v>399</v>
      </c>
      <c r="N726" s="6" t="n">
        <f aca="false">G726*I726</f>
        <v>150</v>
      </c>
      <c r="O726" s="6" t="n">
        <f aca="false">M726-N726</f>
        <v>249</v>
      </c>
      <c r="P726" s="21" t="n">
        <f aca="false">IFERROR(O726/M726,0)</f>
        <v>0.62406015037594</v>
      </c>
      <c r="Q726" s="6" t="str">
        <f aca="false">Orders!H726</f>
        <v>Cancelled</v>
      </c>
      <c r="R726" s="1" t="str">
        <f aca="false">INDEX(Customers!$C$2:$C$301,MATCH(C726,Customers!$A$2:$A$301,0))</f>
        <v>Chennai</v>
      </c>
      <c r="S726" s="1" t="str">
        <f aca="false">INDEX(Customers!$E$2:$E$301,MATCH(C726,Customers!$A$2:$A$301,0))</f>
        <v>New</v>
      </c>
      <c r="T726" s="6" t="str">
        <f aca="false">Orders!I726</f>
        <v>Mobile App</v>
      </c>
      <c r="U726" s="1" t="str">
        <f aca="false">IF(Q726="Delivered","Completed",IF(Q726="Cancelled","Cancelled",IF(Q726="Returned","Returned","In Progress")))</f>
        <v>Cancelled</v>
      </c>
      <c r="V726" s="1" t="str">
        <f aca="false">IF(M726&gt;=10000,"High Value",IF(M726&gt;=5000,"Medium Value","Low Value"))</f>
        <v>Low Value</v>
      </c>
      <c r="W726" s="1" t="str">
        <f aca="false">IF(O726&gt;0,"Profitable",IF(O726=0,"Break-even","Loss"))</f>
        <v>Profitable</v>
      </c>
      <c r="X726" s="1" t="str">
        <f aca="false">IF(Q726="Cancelled","Not Applicable",IF(Q726="Processing","Pending",IF(B726="","Unknown",IF(Orders!J726="","Unknown",IF(Orders!J726&lt;=3,"Fast",IF(Orders!J726&lt;=6,"Standard","Slow"))))))</f>
        <v>Not Applicable</v>
      </c>
      <c r="Y726" s="1" t="n">
        <f aca="false">IF(OR(Q726="Cancelled",Q726="Returned"),0,O726)</f>
        <v>0</v>
      </c>
    </row>
    <row r="727" customFormat="false" ht="15" hidden="false" customHeight="false" outlineLevel="0" collapsed="false">
      <c r="A727" s="6" t="str">
        <f aca="false">Orders!A727</f>
        <v>O000726</v>
      </c>
      <c r="B727" s="19" t="n">
        <f aca="false">Orders!B727</f>
        <v>45720</v>
      </c>
      <c r="C727" s="6" t="str">
        <f aca="false">Orders!C727</f>
        <v>C0256</v>
      </c>
      <c r="D727" s="6" t="str">
        <f aca="false">Orders!D727</f>
        <v>P1020</v>
      </c>
      <c r="E727" s="6" t="str">
        <f aca="false">INDEX(Products!$B$2:$B$101,MATCH(D727,Products!$A$2:$A$101,0))</f>
        <v>Backpack</v>
      </c>
      <c r="F727" s="1" t="str">
        <f aca="false">INDEX(Products!$C$2:$C$101,MATCH(D727,Products!$A$2:$A$101,0))</f>
        <v>Fashion</v>
      </c>
      <c r="G727" s="6" t="n">
        <f aca="false">Orders!E727</f>
        <v>1</v>
      </c>
      <c r="H727" s="16" t="n">
        <f aca="false">INDEX(Products!$D$2:$D$101,MATCH(D727,Products!$A$2:$A$101,0))</f>
        <v>1199</v>
      </c>
      <c r="I727" s="16" t="n">
        <f aca="false">INDEX(Products!$E$2:$E$101,MATCH(D727,Products!$A$2:$A$101,0))</f>
        <v>600</v>
      </c>
      <c r="J727" s="20" t="n">
        <f aca="false">Orders!F727</f>
        <v>0.1</v>
      </c>
      <c r="K727" s="6" t="n">
        <f aca="false">G727*H727</f>
        <v>1199</v>
      </c>
      <c r="L727" s="6" t="n">
        <f aca="false">K727*J727</f>
        <v>119.9</v>
      </c>
      <c r="M727" s="6" t="n">
        <f aca="false">K727-L727</f>
        <v>1079.1</v>
      </c>
      <c r="N727" s="6" t="n">
        <f aca="false">G727*I727</f>
        <v>600</v>
      </c>
      <c r="O727" s="6" t="n">
        <f aca="false">M727-N727</f>
        <v>479.1</v>
      </c>
      <c r="P727" s="21" t="n">
        <f aca="false">IFERROR(O727/M727,0)</f>
        <v>0.443981095357242</v>
      </c>
      <c r="Q727" s="6" t="str">
        <f aca="false">Orders!H727</f>
        <v>Delivered</v>
      </c>
      <c r="R727" s="1" t="str">
        <f aca="false">INDEX(Customers!$C$2:$C$301,MATCH(C727,Customers!$A$2:$A$301,0))</f>
        <v>Chandigarh</v>
      </c>
      <c r="S727" s="1" t="str">
        <f aca="false">INDEX(Customers!$E$2:$E$301,MATCH(C727,Customers!$A$2:$A$301,0))</f>
        <v>VIP</v>
      </c>
      <c r="T727" s="6" t="str">
        <f aca="false">Orders!I727</f>
        <v>Marketplace</v>
      </c>
      <c r="U727" s="1" t="str">
        <f aca="false">IF(Q727="Delivered","Completed",IF(Q727="Cancelled","Cancelled",IF(Q727="Returned","Returned","In Progress")))</f>
        <v>Completed</v>
      </c>
      <c r="V727" s="1" t="str">
        <f aca="false">IF(M727&gt;=10000,"High Value",IF(M727&gt;=5000,"Medium Value","Low Value"))</f>
        <v>Low Value</v>
      </c>
      <c r="W727" s="1" t="str">
        <f aca="false">IF(O727&gt;0,"Profitable",IF(O727=0,"Break-even","Loss"))</f>
        <v>Profitable</v>
      </c>
      <c r="X727" s="1" t="str">
        <f aca="false">IF(Q727="Cancelled","Not Applicable",IF(Q727="Processing","Pending",IF(B727="","Unknown",IF(Orders!J727="","Unknown",IF(Orders!J727&lt;=3,"Fast",IF(Orders!J727&lt;=6,"Standard","Slow"))))))</f>
        <v>Slow</v>
      </c>
      <c r="Y727" s="1" t="n">
        <f aca="false">IF(OR(Q727="Cancelled",Q727="Returned"),0,O727)</f>
        <v>479.1</v>
      </c>
    </row>
    <row r="728" customFormat="false" ht="15" hidden="false" customHeight="false" outlineLevel="0" collapsed="false">
      <c r="A728" s="6" t="str">
        <f aca="false">Orders!A728</f>
        <v>O000727</v>
      </c>
      <c r="B728" s="19" t="n">
        <f aca="false">Orders!B728</f>
        <v>45845</v>
      </c>
      <c r="C728" s="6" t="str">
        <f aca="false">Orders!C728</f>
        <v>C0212</v>
      </c>
      <c r="D728" s="6" t="str">
        <f aca="false">Orders!D728</f>
        <v>P1076</v>
      </c>
      <c r="E728" s="6" t="str">
        <f aca="false">INDEX(Products!$B$2:$B$101,MATCH(D728,Products!$A$2:$A$101,0))</f>
        <v>Desk Organizer</v>
      </c>
      <c r="F728" s="1" t="str">
        <f aca="false">INDEX(Products!$C$2:$C$101,MATCH(D728,Products!$A$2:$A$101,0))</f>
        <v>Books &amp; Stationery</v>
      </c>
      <c r="G728" s="6" t="n">
        <f aca="false">Orders!E728</f>
        <v>2</v>
      </c>
      <c r="H728" s="16" t="n">
        <f aca="false">INDEX(Products!$D$2:$D$101,MATCH(D728,Products!$A$2:$A$101,0))</f>
        <v>399</v>
      </c>
      <c r="I728" s="16" t="n">
        <f aca="false">INDEX(Products!$E$2:$E$101,MATCH(D728,Products!$A$2:$A$101,0))</f>
        <v>170</v>
      </c>
      <c r="J728" s="20" t="n">
        <f aca="false">Orders!F728</f>
        <v>0.1</v>
      </c>
      <c r="K728" s="6" t="n">
        <f aca="false">G728*H728</f>
        <v>798</v>
      </c>
      <c r="L728" s="6" t="n">
        <f aca="false">K728*J728</f>
        <v>79.8</v>
      </c>
      <c r="M728" s="6" t="n">
        <f aca="false">K728-L728</f>
        <v>718.2</v>
      </c>
      <c r="N728" s="6" t="n">
        <f aca="false">G728*I728</f>
        <v>340</v>
      </c>
      <c r="O728" s="6" t="n">
        <f aca="false">M728-N728</f>
        <v>378.2</v>
      </c>
      <c r="P728" s="21" t="n">
        <f aca="false">IFERROR(O728/M728,0)</f>
        <v>0.526594263436369</v>
      </c>
      <c r="Q728" s="6" t="str">
        <f aca="false">Orders!H728</f>
        <v>Delivered</v>
      </c>
      <c r="R728" s="1" t="str">
        <f aca="false">INDEX(Customers!$C$2:$C$301,MATCH(C728,Customers!$A$2:$A$301,0))</f>
        <v>Noida</v>
      </c>
      <c r="S728" s="1" t="str">
        <f aca="false">INDEX(Customers!$E$2:$E$301,MATCH(C728,Customers!$A$2:$A$301,0))</f>
        <v>Returning</v>
      </c>
      <c r="T728" s="6" t="str">
        <f aca="false">Orders!I728</f>
        <v>Website</v>
      </c>
      <c r="U728" s="1" t="str">
        <f aca="false">IF(Q728="Delivered","Completed",IF(Q728="Cancelled","Cancelled",IF(Q728="Returned","Returned","In Progress")))</f>
        <v>Completed</v>
      </c>
      <c r="V728" s="1" t="str">
        <f aca="false">IF(M728&gt;=10000,"High Value",IF(M728&gt;=5000,"Medium Value","Low Value"))</f>
        <v>Low Value</v>
      </c>
      <c r="W728" s="1" t="str">
        <f aca="false">IF(O728&gt;0,"Profitable",IF(O728=0,"Break-even","Loss"))</f>
        <v>Profitable</v>
      </c>
      <c r="X728" s="1" t="str">
        <f aca="false">IF(Q728="Cancelled","Not Applicable",IF(Q728="Processing","Pending",IF(B728="","Unknown",IF(Orders!J728="","Unknown",IF(Orders!J728&lt;=3,"Fast",IF(Orders!J728&lt;=6,"Standard","Slow"))))))</f>
        <v>Fast</v>
      </c>
      <c r="Y728" s="1" t="n">
        <f aca="false">IF(OR(Q728="Cancelled",Q728="Returned"),0,O728)</f>
        <v>378.2</v>
      </c>
    </row>
    <row r="729" customFormat="false" ht="15" hidden="false" customHeight="false" outlineLevel="0" collapsed="false">
      <c r="A729" s="6" t="str">
        <f aca="false">Orders!A729</f>
        <v>O000728</v>
      </c>
      <c r="B729" s="19" t="n">
        <f aca="false">Orders!B729</f>
        <v>45800</v>
      </c>
      <c r="C729" s="6" t="str">
        <f aca="false">Orders!C729</f>
        <v>C0179</v>
      </c>
      <c r="D729" s="6" t="str">
        <f aca="false">Orders!D729</f>
        <v>P1083</v>
      </c>
      <c r="E729" s="6" t="str">
        <f aca="false">INDEX(Products!$B$2:$B$101,MATCH(D729,Products!$A$2:$A$101,0))</f>
        <v>Reading Light</v>
      </c>
      <c r="F729" s="1" t="str">
        <f aca="false">INDEX(Products!$C$2:$C$101,MATCH(D729,Products!$A$2:$A$101,0))</f>
        <v>Books &amp; Stationery</v>
      </c>
      <c r="G729" s="6" t="n">
        <f aca="false">Orders!E729</f>
        <v>1</v>
      </c>
      <c r="H729" s="16" t="n">
        <f aca="false">INDEX(Products!$D$2:$D$101,MATCH(D729,Products!$A$2:$A$101,0))</f>
        <v>399</v>
      </c>
      <c r="I729" s="16" t="n">
        <f aca="false">INDEX(Products!$E$2:$E$101,MATCH(D729,Products!$A$2:$A$101,0))</f>
        <v>180</v>
      </c>
      <c r="J729" s="20" t="n">
        <f aca="false">Orders!F729</f>
        <v>0.15</v>
      </c>
      <c r="K729" s="6" t="n">
        <f aca="false">G729*H729</f>
        <v>399</v>
      </c>
      <c r="L729" s="6" t="n">
        <f aca="false">K729*J729</f>
        <v>59.85</v>
      </c>
      <c r="M729" s="6" t="n">
        <f aca="false">K729-L729</f>
        <v>339.15</v>
      </c>
      <c r="N729" s="6" t="n">
        <f aca="false">G729*I729</f>
        <v>180</v>
      </c>
      <c r="O729" s="6" t="n">
        <f aca="false">M729-N729</f>
        <v>159.15</v>
      </c>
      <c r="P729" s="21" t="n">
        <f aca="false">IFERROR(O729/M729,0)</f>
        <v>0.469261388766033</v>
      </c>
      <c r="Q729" s="6" t="str">
        <f aca="false">Orders!H729</f>
        <v>Delivered</v>
      </c>
      <c r="R729" s="1" t="str">
        <f aca="false">INDEX(Customers!$C$2:$C$301,MATCH(C729,Customers!$A$2:$A$301,0))</f>
        <v>Coimbatore</v>
      </c>
      <c r="S729" s="1" t="str">
        <f aca="false">INDEX(Customers!$E$2:$E$301,MATCH(C729,Customers!$A$2:$A$301,0))</f>
        <v>New</v>
      </c>
      <c r="T729" s="6" t="str">
        <f aca="false">Orders!I729</f>
        <v>Website</v>
      </c>
      <c r="U729" s="1" t="str">
        <f aca="false">IF(Q729="Delivered","Completed",IF(Q729="Cancelled","Cancelled",IF(Q729="Returned","Returned","In Progress")))</f>
        <v>Completed</v>
      </c>
      <c r="V729" s="1" t="str">
        <f aca="false">IF(M729&gt;=10000,"High Value",IF(M729&gt;=5000,"Medium Value","Low Value"))</f>
        <v>Low Value</v>
      </c>
      <c r="W729" s="1" t="str">
        <f aca="false">IF(O729&gt;0,"Profitable",IF(O729=0,"Break-even","Loss"))</f>
        <v>Profitable</v>
      </c>
      <c r="X729" s="1" t="str">
        <f aca="false">IF(Q729="Cancelled","Not Applicable",IF(Q729="Processing","Pending",IF(B729="","Unknown",IF(Orders!J729="","Unknown",IF(Orders!J729&lt;=3,"Fast",IF(Orders!J729&lt;=6,"Standard","Slow"))))))</f>
        <v>Fast</v>
      </c>
      <c r="Y729" s="1" t="n">
        <f aca="false">IF(OR(Q729="Cancelled",Q729="Returned"),0,O729)</f>
        <v>159.15</v>
      </c>
    </row>
    <row r="730" customFormat="false" ht="15" hidden="false" customHeight="false" outlineLevel="0" collapsed="false">
      <c r="A730" s="6" t="str">
        <f aca="false">Orders!A730</f>
        <v>O000729</v>
      </c>
      <c r="B730" s="19" t="n">
        <f aca="false">Orders!B730</f>
        <v>45993</v>
      </c>
      <c r="C730" s="6" t="str">
        <f aca="false">Orders!C730</f>
        <v>C0280</v>
      </c>
      <c r="D730" s="6" t="str">
        <f aca="false">Orders!D730</f>
        <v>P1074</v>
      </c>
      <c r="E730" s="6" t="str">
        <f aca="false">INDEX(Products!$B$2:$B$101,MATCH(D730,Products!$A$2:$A$101,0))</f>
        <v>Notebook Pack</v>
      </c>
      <c r="F730" s="1" t="str">
        <f aca="false">INDEX(Products!$C$2:$C$101,MATCH(D730,Products!$A$2:$A$101,0))</f>
        <v>Books &amp; Stationery</v>
      </c>
      <c r="G730" s="6" t="n">
        <f aca="false">Orders!E730</f>
        <v>3</v>
      </c>
      <c r="H730" s="16" t="n">
        <f aca="false">INDEX(Products!$D$2:$D$101,MATCH(D730,Products!$A$2:$A$101,0))</f>
        <v>299</v>
      </c>
      <c r="I730" s="16" t="n">
        <f aca="false">INDEX(Products!$E$2:$E$101,MATCH(D730,Products!$A$2:$A$101,0))</f>
        <v>110</v>
      </c>
      <c r="J730" s="20" t="n">
        <f aca="false">Orders!F730</f>
        <v>0.1</v>
      </c>
      <c r="K730" s="6" t="n">
        <f aca="false">G730*H730</f>
        <v>897</v>
      </c>
      <c r="L730" s="6" t="n">
        <f aca="false">K730*J730</f>
        <v>89.7</v>
      </c>
      <c r="M730" s="6" t="n">
        <f aca="false">K730-L730</f>
        <v>807.3</v>
      </c>
      <c r="N730" s="6" t="n">
        <f aca="false">G730*I730</f>
        <v>330</v>
      </c>
      <c r="O730" s="6" t="n">
        <f aca="false">M730-N730</f>
        <v>477.3</v>
      </c>
      <c r="P730" s="21" t="n">
        <f aca="false">IFERROR(O730/M730,0)</f>
        <v>0.591230026012635</v>
      </c>
      <c r="Q730" s="6" t="str">
        <f aca="false">Orders!H730</f>
        <v>Delivered</v>
      </c>
      <c r="R730" s="1" t="str">
        <f aca="false">INDEX(Customers!$C$2:$C$301,MATCH(C730,Customers!$A$2:$A$301,0))</f>
        <v>Visakhapatnam</v>
      </c>
      <c r="S730" s="1" t="str">
        <f aca="false">INDEX(Customers!$E$2:$E$301,MATCH(C730,Customers!$A$2:$A$301,0))</f>
        <v>New</v>
      </c>
      <c r="T730" s="6" t="str">
        <f aca="false">Orders!I730</f>
        <v>Marketplace</v>
      </c>
      <c r="U730" s="1" t="str">
        <f aca="false">IF(Q730="Delivered","Completed",IF(Q730="Cancelled","Cancelled",IF(Q730="Returned","Returned","In Progress")))</f>
        <v>Completed</v>
      </c>
      <c r="V730" s="1" t="str">
        <f aca="false">IF(M730&gt;=10000,"High Value",IF(M730&gt;=5000,"Medium Value","Low Value"))</f>
        <v>Low Value</v>
      </c>
      <c r="W730" s="1" t="str">
        <f aca="false">IF(O730&gt;0,"Profitable",IF(O730=0,"Break-even","Loss"))</f>
        <v>Profitable</v>
      </c>
      <c r="X730" s="1" t="str">
        <f aca="false">IF(Q730="Cancelled","Not Applicable",IF(Q730="Processing","Pending",IF(B730="","Unknown",IF(Orders!J730="","Unknown",IF(Orders!J730&lt;=3,"Fast",IF(Orders!J730&lt;=6,"Standard","Slow"))))))</f>
        <v>Slow</v>
      </c>
      <c r="Y730" s="1" t="n">
        <f aca="false">IF(OR(Q730="Cancelled",Q730="Returned"),0,O730)</f>
        <v>477.3</v>
      </c>
    </row>
    <row r="731" customFormat="false" ht="15" hidden="false" customHeight="false" outlineLevel="0" collapsed="false">
      <c r="A731" s="6" t="str">
        <f aca="false">Orders!A731</f>
        <v>O000730</v>
      </c>
      <c r="B731" s="19" t="n">
        <f aca="false">Orders!B731</f>
        <v>45746</v>
      </c>
      <c r="C731" s="6" t="str">
        <f aca="false">Orders!C731</f>
        <v>C0253</v>
      </c>
      <c r="D731" s="6" t="str">
        <f aca="false">Orders!D731</f>
        <v>P1052</v>
      </c>
      <c r="E731" s="6" t="str">
        <f aca="false">INDEX(Products!$B$2:$B$101,MATCH(D731,Products!$A$2:$A$101,0))</f>
        <v>Lip Balm Set</v>
      </c>
      <c r="F731" s="1" t="str">
        <f aca="false">INDEX(Products!$C$2:$C$101,MATCH(D731,Products!$A$2:$A$101,0))</f>
        <v>Beauty</v>
      </c>
      <c r="G731" s="6" t="n">
        <f aca="false">Orders!E731</f>
        <v>1</v>
      </c>
      <c r="H731" s="16" t="n">
        <f aca="false">INDEX(Products!$D$2:$D$101,MATCH(D731,Products!$A$2:$A$101,0))</f>
        <v>249</v>
      </c>
      <c r="I731" s="16" t="n">
        <f aca="false">INDEX(Products!$E$2:$E$101,MATCH(D731,Products!$A$2:$A$101,0))</f>
        <v>90</v>
      </c>
      <c r="J731" s="20" t="n">
        <f aca="false">Orders!F731</f>
        <v>0.25</v>
      </c>
      <c r="K731" s="6" t="n">
        <f aca="false">G731*H731</f>
        <v>249</v>
      </c>
      <c r="L731" s="6" t="n">
        <f aca="false">K731*J731</f>
        <v>62.25</v>
      </c>
      <c r="M731" s="6" t="n">
        <f aca="false">K731-L731</f>
        <v>186.75</v>
      </c>
      <c r="N731" s="6" t="n">
        <f aca="false">G731*I731</f>
        <v>90</v>
      </c>
      <c r="O731" s="6" t="n">
        <f aca="false">M731-N731</f>
        <v>96.75</v>
      </c>
      <c r="P731" s="21" t="n">
        <f aca="false">IFERROR(O731/M731,0)</f>
        <v>0.518072289156627</v>
      </c>
      <c r="Q731" s="6" t="str">
        <f aca="false">Orders!H731</f>
        <v>Processing</v>
      </c>
      <c r="R731" s="1" t="str">
        <f aca="false">INDEX(Customers!$C$2:$C$301,MATCH(C731,Customers!$A$2:$A$301,0))</f>
        <v>Kochi</v>
      </c>
      <c r="S731" s="1" t="str">
        <f aca="false">INDEX(Customers!$E$2:$E$301,MATCH(C731,Customers!$A$2:$A$301,0))</f>
        <v>New</v>
      </c>
      <c r="T731" s="6" t="str">
        <f aca="false">Orders!I731</f>
        <v>Website</v>
      </c>
      <c r="U731" s="1" t="str">
        <f aca="false">IF(Q731="Delivered","Completed",IF(Q731="Cancelled","Cancelled",IF(Q731="Returned","Returned","In Progress")))</f>
        <v>In Progress</v>
      </c>
      <c r="V731" s="1" t="str">
        <f aca="false">IF(M731&gt;=10000,"High Value",IF(M731&gt;=5000,"Medium Value","Low Value"))</f>
        <v>Low Value</v>
      </c>
      <c r="W731" s="1" t="str">
        <f aca="false">IF(O731&gt;0,"Profitable",IF(O731=0,"Break-even","Loss"))</f>
        <v>Profitable</v>
      </c>
      <c r="X731" s="1" t="str">
        <f aca="false">IF(Q731="Cancelled","Not Applicable",IF(Q731="Processing","Pending",IF(B731="","Unknown",IF(Orders!J731="","Unknown",IF(Orders!J731&lt;=3,"Fast",IF(Orders!J731&lt;=6,"Standard","Slow"))))))</f>
        <v>Pending</v>
      </c>
      <c r="Y731" s="1" t="n">
        <f aca="false">IF(OR(Q731="Cancelled",Q731="Returned"),0,O731)</f>
        <v>96.75</v>
      </c>
    </row>
    <row r="732" customFormat="false" ht="15" hidden="false" customHeight="false" outlineLevel="0" collapsed="false">
      <c r="A732" s="6" t="str">
        <f aca="false">Orders!A732</f>
        <v>O000731</v>
      </c>
      <c r="B732" s="19" t="n">
        <f aca="false">Orders!B732</f>
        <v>45888</v>
      </c>
      <c r="C732" s="6" t="str">
        <f aca="false">Orders!C732</f>
        <v>C0206</v>
      </c>
      <c r="D732" s="6" t="str">
        <f aca="false">Orders!D732</f>
        <v>P1071</v>
      </c>
      <c r="E732" s="6" t="str">
        <f aca="false">INDEX(Products!$B$2:$B$101,MATCH(D732,Products!$A$2:$A$101,0))</f>
        <v>Exercise Ball</v>
      </c>
      <c r="F732" s="1" t="str">
        <f aca="false">INDEX(Products!$C$2:$C$101,MATCH(D732,Products!$A$2:$A$101,0))</f>
        <v>Sports &amp; Outdoors</v>
      </c>
      <c r="G732" s="6" t="n">
        <f aca="false">Orders!E732</f>
        <v>1</v>
      </c>
      <c r="H732" s="16" t="n">
        <f aca="false">INDEX(Products!$D$2:$D$101,MATCH(D732,Products!$A$2:$A$101,0))</f>
        <v>699</v>
      </c>
      <c r="I732" s="16" t="n">
        <f aca="false">INDEX(Products!$E$2:$E$101,MATCH(D732,Products!$A$2:$A$101,0))</f>
        <v>320</v>
      </c>
      <c r="J732" s="20" t="n">
        <f aca="false">Orders!F732</f>
        <v>0</v>
      </c>
      <c r="K732" s="6" t="n">
        <f aca="false">G732*H732</f>
        <v>699</v>
      </c>
      <c r="L732" s="6" t="n">
        <f aca="false">K732*J732</f>
        <v>0</v>
      </c>
      <c r="M732" s="6" t="n">
        <f aca="false">K732-L732</f>
        <v>699</v>
      </c>
      <c r="N732" s="6" t="n">
        <f aca="false">G732*I732</f>
        <v>320</v>
      </c>
      <c r="O732" s="6" t="n">
        <f aca="false">M732-N732</f>
        <v>379</v>
      </c>
      <c r="P732" s="21" t="n">
        <f aca="false">IFERROR(O732/M732,0)</f>
        <v>0.542203147353362</v>
      </c>
      <c r="Q732" s="6" t="str">
        <f aca="false">Orders!H732</f>
        <v>Delivered</v>
      </c>
      <c r="R732" s="1" t="str">
        <f aca="false">INDEX(Customers!$C$2:$C$301,MATCH(C732,Customers!$A$2:$A$301,0))</f>
        <v>Kolkata</v>
      </c>
      <c r="S732" s="1" t="str">
        <f aca="false">INDEX(Customers!$E$2:$E$301,MATCH(C732,Customers!$A$2:$A$301,0))</f>
        <v>Returning</v>
      </c>
      <c r="T732" s="6" t="str">
        <f aca="false">Orders!I732</f>
        <v>Mobile App</v>
      </c>
      <c r="U732" s="1" t="str">
        <f aca="false">IF(Q732="Delivered","Completed",IF(Q732="Cancelled","Cancelled",IF(Q732="Returned","Returned","In Progress")))</f>
        <v>Completed</v>
      </c>
      <c r="V732" s="1" t="str">
        <f aca="false">IF(M732&gt;=10000,"High Value",IF(M732&gt;=5000,"Medium Value","Low Value"))</f>
        <v>Low Value</v>
      </c>
      <c r="W732" s="1" t="str">
        <f aca="false">IF(O732&gt;0,"Profitable",IF(O732=0,"Break-even","Loss"))</f>
        <v>Profitable</v>
      </c>
      <c r="X732" s="1" t="str">
        <f aca="false">IF(Q732="Cancelled","Not Applicable",IF(Q732="Processing","Pending",IF(B732="","Unknown",IF(Orders!J732="","Unknown",IF(Orders!J732&lt;=3,"Fast",IF(Orders!J732&lt;=6,"Standard","Slow"))))))</f>
        <v>Standard</v>
      </c>
      <c r="Y732" s="1" t="n">
        <f aca="false">IF(OR(Q732="Cancelled",Q732="Returned"),0,O732)</f>
        <v>379</v>
      </c>
    </row>
    <row r="733" customFormat="false" ht="15" hidden="false" customHeight="false" outlineLevel="0" collapsed="false">
      <c r="A733" s="6" t="str">
        <f aca="false">Orders!A733</f>
        <v>O000732</v>
      </c>
      <c r="B733" s="19" t="n">
        <f aca="false">Orders!B733</f>
        <v>45713</v>
      </c>
      <c r="C733" s="6" t="str">
        <f aca="false">Orders!C733</f>
        <v>C0217</v>
      </c>
      <c r="D733" s="6" t="str">
        <f aca="false">Orders!D733</f>
        <v>P1098</v>
      </c>
      <c r="E733" s="6" t="str">
        <f aca="false">INDEX(Products!$B$2:$B$101,MATCH(D733,Products!$A$2:$A$101,0))</f>
        <v>Steam Iron</v>
      </c>
      <c r="F733" s="1" t="str">
        <f aca="false">INDEX(Products!$C$2:$C$101,MATCH(D733,Products!$A$2:$A$101,0))</f>
        <v>Appliances</v>
      </c>
      <c r="G733" s="6" t="n">
        <f aca="false">Orders!E733</f>
        <v>1</v>
      </c>
      <c r="H733" s="16" t="n">
        <f aca="false">INDEX(Products!$D$2:$D$101,MATCH(D733,Products!$A$2:$A$101,0))</f>
        <v>999</v>
      </c>
      <c r="I733" s="16" t="n">
        <f aca="false">INDEX(Products!$E$2:$E$101,MATCH(D733,Products!$A$2:$A$101,0))</f>
        <v>550</v>
      </c>
      <c r="J733" s="20" t="n">
        <f aca="false">Orders!F733</f>
        <v>0</v>
      </c>
      <c r="K733" s="6" t="n">
        <f aca="false">G733*H733</f>
        <v>999</v>
      </c>
      <c r="L733" s="6" t="n">
        <f aca="false">K733*J733</f>
        <v>0</v>
      </c>
      <c r="M733" s="6" t="n">
        <f aca="false">K733-L733</f>
        <v>999</v>
      </c>
      <c r="N733" s="6" t="n">
        <f aca="false">G733*I733</f>
        <v>550</v>
      </c>
      <c r="O733" s="6" t="n">
        <f aca="false">M733-N733</f>
        <v>449</v>
      </c>
      <c r="P733" s="21" t="n">
        <f aca="false">IFERROR(O733/M733,0)</f>
        <v>0.449449449449449</v>
      </c>
      <c r="Q733" s="6" t="str">
        <f aca="false">Orders!H733</f>
        <v>Delivered</v>
      </c>
      <c r="R733" s="1" t="str">
        <f aca="false">INDEX(Customers!$C$2:$C$301,MATCH(C733,Customers!$A$2:$A$301,0))</f>
        <v>Surat</v>
      </c>
      <c r="S733" s="1" t="str">
        <f aca="false">INDEX(Customers!$E$2:$E$301,MATCH(C733,Customers!$A$2:$A$301,0))</f>
        <v>Returning</v>
      </c>
      <c r="T733" s="6" t="str">
        <f aca="false">Orders!I733</f>
        <v>Marketplace</v>
      </c>
      <c r="U733" s="1" t="str">
        <f aca="false">IF(Q733="Delivered","Completed",IF(Q733="Cancelled","Cancelled",IF(Q733="Returned","Returned","In Progress")))</f>
        <v>Completed</v>
      </c>
      <c r="V733" s="1" t="str">
        <f aca="false">IF(M733&gt;=10000,"High Value",IF(M733&gt;=5000,"Medium Value","Low Value"))</f>
        <v>Low Value</v>
      </c>
      <c r="W733" s="1" t="str">
        <f aca="false">IF(O733&gt;0,"Profitable",IF(O733=0,"Break-even","Loss"))</f>
        <v>Profitable</v>
      </c>
      <c r="X733" s="1" t="str">
        <f aca="false">IF(Q733="Cancelled","Not Applicable",IF(Q733="Processing","Pending",IF(B733="","Unknown",IF(Orders!J733="","Unknown",IF(Orders!J733&lt;=3,"Fast",IF(Orders!J733&lt;=6,"Standard","Slow"))))))</f>
        <v>Standard</v>
      </c>
      <c r="Y733" s="1" t="n">
        <f aca="false">IF(OR(Q733="Cancelled",Q733="Returned"),0,O733)</f>
        <v>449</v>
      </c>
    </row>
    <row r="734" customFormat="false" ht="15" hidden="false" customHeight="false" outlineLevel="0" collapsed="false">
      <c r="A734" s="6" t="str">
        <f aca="false">Orders!A734</f>
        <v>O000733</v>
      </c>
      <c r="B734" s="19" t="n">
        <f aca="false">Orders!B734</f>
        <v>45926</v>
      </c>
      <c r="C734" s="6" t="str">
        <f aca="false">Orders!C734</f>
        <v>C0111</v>
      </c>
      <c r="D734" s="6" t="str">
        <f aca="false">Orders!D734</f>
        <v>P1051</v>
      </c>
      <c r="E734" s="6" t="str">
        <f aca="false">INDEX(Products!$B$2:$B$101,MATCH(D734,Products!$A$2:$A$101,0))</f>
        <v>Body Lotion</v>
      </c>
      <c r="F734" s="1" t="str">
        <f aca="false">INDEX(Products!$C$2:$C$101,MATCH(D734,Products!$A$2:$A$101,0))</f>
        <v>Beauty</v>
      </c>
      <c r="G734" s="6" t="n">
        <f aca="false">Orders!E734</f>
        <v>1</v>
      </c>
      <c r="H734" s="16" t="n">
        <f aca="false">INDEX(Products!$D$2:$D$101,MATCH(D734,Products!$A$2:$A$101,0))</f>
        <v>399</v>
      </c>
      <c r="I734" s="16" t="n">
        <f aca="false">INDEX(Products!$E$2:$E$101,MATCH(D734,Products!$A$2:$A$101,0))</f>
        <v>170</v>
      </c>
      <c r="J734" s="20" t="n">
        <f aca="false">Orders!F734</f>
        <v>0</v>
      </c>
      <c r="K734" s="6" t="n">
        <f aca="false">G734*H734</f>
        <v>399</v>
      </c>
      <c r="L734" s="6" t="n">
        <f aca="false">K734*J734</f>
        <v>0</v>
      </c>
      <c r="M734" s="6" t="n">
        <f aca="false">K734-L734</f>
        <v>399</v>
      </c>
      <c r="N734" s="6" t="n">
        <f aca="false">G734*I734</f>
        <v>170</v>
      </c>
      <c r="O734" s="6" t="n">
        <f aca="false">M734-N734</f>
        <v>229</v>
      </c>
      <c r="P734" s="21" t="n">
        <f aca="false">IFERROR(O734/M734,0)</f>
        <v>0.573934837092732</v>
      </c>
      <c r="Q734" s="6" t="str">
        <f aca="false">Orders!H734</f>
        <v>Delivered</v>
      </c>
      <c r="R734" s="1" t="str">
        <f aca="false">INDEX(Customers!$C$2:$C$301,MATCH(C734,Customers!$A$2:$A$301,0))</f>
        <v>Gurugram</v>
      </c>
      <c r="S734" s="1" t="str">
        <f aca="false">INDEX(Customers!$E$2:$E$301,MATCH(C734,Customers!$A$2:$A$301,0))</f>
        <v>Returning</v>
      </c>
      <c r="T734" s="6" t="str">
        <f aca="false">Orders!I734</f>
        <v>Marketplace</v>
      </c>
      <c r="U734" s="1" t="str">
        <f aca="false">IF(Q734="Delivered","Completed",IF(Q734="Cancelled","Cancelled",IF(Q734="Returned","Returned","In Progress")))</f>
        <v>Completed</v>
      </c>
      <c r="V734" s="1" t="str">
        <f aca="false">IF(M734&gt;=10000,"High Value",IF(M734&gt;=5000,"Medium Value","Low Value"))</f>
        <v>Low Value</v>
      </c>
      <c r="W734" s="1" t="str">
        <f aca="false">IF(O734&gt;0,"Profitable",IF(O734=0,"Break-even","Loss"))</f>
        <v>Profitable</v>
      </c>
      <c r="X734" s="1" t="str">
        <f aca="false">IF(Q734="Cancelled","Not Applicable",IF(Q734="Processing","Pending",IF(B734="","Unknown",IF(Orders!J734="","Unknown",IF(Orders!J734&lt;=3,"Fast",IF(Orders!J734&lt;=6,"Standard","Slow"))))))</f>
        <v>Standard</v>
      </c>
      <c r="Y734" s="1" t="n">
        <f aca="false">IF(OR(Q734="Cancelled",Q734="Returned"),0,O734)</f>
        <v>229</v>
      </c>
    </row>
    <row r="735" customFormat="false" ht="15" hidden="false" customHeight="false" outlineLevel="0" collapsed="false">
      <c r="A735" s="6" t="str">
        <f aca="false">Orders!A735</f>
        <v>O000734</v>
      </c>
      <c r="B735" s="19" t="n">
        <f aca="false">Orders!B735</f>
        <v>45969</v>
      </c>
      <c r="C735" s="6" t="str">
        <f aca="false">Orders!C735</f>
        <v>C0062</v>
      </c>
      <c r="D735" s="6" t="str">
        <f aca="false">Orders!D735</f>
        <v>P1064</v>
      </c>
      <c r="E735" s="6" t="str">
        <f aca="false">INDEX(Products!$B$2:$B$101,MATCH(D735,Products!$A$2:$A$101,0))</f>
        <v>Football</v>
      </c>
      <c r="F735" s="1" t="str">
        <f aca="false">INDEX(Products!$C$2:$C$101,MATCH(D735,Products!$A$2:$A$101,0))</f>
        <v>Sports &amp; Outdoors</v>
      </c>
      <c r="G735" s="6" t="n">
        <f aca="false">Orders!E735</f>
        <v>1</v>
      </c>
      <c r="H735" s="16" t="n">
        <f aca="false">INDEX(Products!$D$2:$D$101,MATCH(D735,Products!$A$2:$A$101,0))</f>
        <v>699</v>
      </c>
      <c r="I735" s="16" t="n">
        <f aca="false">INDEX(Products!$E$2:$E$101,MATCH(D735,Products!$A$2:$A$101,0))</f>
        <v>300</v>
      </c>
      <c r="J735" s="20" t="n">
        <f aca="false">Orders!F735</f>
        <v>0.2</v>
      </c>
      <c r="K735" s="6" t="n">
        <f aca="false">G735*H735</f>
        <v>699</v>
      </c>
      <c r="L735" s="6" t="n">
        <f aca="false">K735*J735</f>
        <v>139.8</v>
      </c>
      <c r="M735" s="6" t="n">
        <f aca="false">K735-L735</f>
        <v>559.2</v>
      </c>
      <c r="N735" s="6" t="n">
        <f aca="false">G735*I735</f>
        <v>300</v>
      </c>
      <c r="O735" s="6" t="n">
        <f aca="false">M735-N735</f>
        <v>259.2</v>
      </c>
      <c r="P735" s="21" t="n">
        <f aca="false">IFERROR(O735/M735,0)</f>
        <v>0.463519313304721</v>
      </c>
      <c r="Q735" s="6" t="str">
        <f aca="false">Orders!H735</f>
        <v>Returned</v>
      </c>
      <c r="R735" s="1" t="str">
        <f aca="false">INDEX(Customers!$C$2:$C$301,MATCH(C735,Customers!$A$2:$A$301,0))</f>
        <v>Mumbai</v>
      </c>
      <c r="S735" s="1" t="str">
        <f aca="false">INDEX(Customers!$E$2:$E$301,MATCH(C735,Customers!$A$2:$A$301,0))</f>
        <v>VIP</v>
      </c>
      <c r="T735" s="6" t="str">
        <f aca="false">Orders!I735</f>
        <v>Marketplace</v>
      </c>
      <c r="U735" s="1" t="str">
        <f aca="false">IF(Q735="Delivered","Completed",IF(Q735="Cancelled","Cancelled",IF(Q735="Returned","Returned","In Progress")))</f>
        <v>Returned</v>
      </c>
      <c r="V735" s="1" t="str">
        <f aca="false">IF(M735&gt;=10000,"High Value",IF(M735&gt;=5000,"Medium Value","Low Value"))</f>
        <v>Low Value</v>
      </c>
      <c r="W735" s="1" t="str">
        <f aca="false">IF(O735&gt;0,"Profitable",IF(O735=0,"Break-even","Loss"))</f>
        <v>Profitable</v>
      </c>
      <c r="X735" s="1" t="str">
        <f aca="false">IF(Q735="Cancelled","Not Applicable",IF(Q735="Processing","Pending",IF(B735="","Unknown",IF(Orders!J735="","Unknown",IF(Orders!J735&lt;=3,"Fast",IF(Orders!J735&lt;=6,"Standard","Slow"))))))</f>
        <v>Standard</v>
      </c>
      <c r="Y735" s="1" t="n">
        <f aca="false">IF(OR(Q735="Cancelled",Q735="Returned"),0,O735)</f>
        <v>0</v>
      </c>
    </row>
    <row r="736" customFormat="false" ht="15" hidden="false" customHeight="false" outlineLevel="0" collapsed="false">
      <c r="A736" s="6" t="str">
        <f aca="false">Orders!A736</f>
        <v>O000735</v>
      </c>
      <c r="B736" s="19" t="n">
        <f aca="false">Orders!B736</f>
        <v>45746</v>
      </c>
      <c r="C736" s="6" t="str">
        <f aca="false">Orders!C736</f>
        <v>C0023</v>
      </c>
      <c r="D736" s="6" t="str">
        <f aca="false">Orders!D736</f>
        <v>P1094</v>
      </c>
      <c r="E736" s="6" t="str">
        <f aca="false">INDEX(Products!$B$2:$B$101,MATCH(D736,Products!$A$2:$A$101,0))</f>
        <v>Room Heater</v>
      </c>
      <c r="F736" s="1" t="str">
        <f aca="false">INDEX(Products!$C$2:$C$101,MATCH(D736,Products!$A$2:$A$101,0))</f>
        <v>Appliances</v>
      </c>
      <c r="G736" s="6" t="n">
        <f aca="false">Orders!E736</f>
        <v>2</v>
      </c>
      <c r="H736" s="16" t="n">
        <f aca="false">INDEX(Products!$D$2:$D$101,MATCH(D736,Products!$A$2:$A$101,0))</f>
        <v>1999</v>
      </c>
      <c r="I736" s="16" t="n">
        <f aca="false">INDEX(Products!$E$2:$E$101,MATCH(D736,Products!$A$2:$A$101,0))</f>
        <v>1250</v>
      </c>
      <c r="J736" s="20" t="n">
        <f aca="false">Orders!F736</f>
        <v>0.1</v>
      </c>
      <c r="K736" s="6" t="n">
        <f aca="false">G736*H736</f>
        <v>3998</v>
      </c>
      <c r="L736" s="6" t="n">
        <f aca="false">K736*J736</f>
        <v>399.8</v>
      </c>
      <c r="M736" s="6" t="n">
        <f aca="false">K736-L736</f>
        <v>3598.2</v>
      </c>
      <c r="N736" s="6" t="n">
        <f aca="false">G736*I736</f>
        <v>2500</v>
      </c>
      <c r="O736" s="6" t="n">
        <f aca="false">M736-N736</f>
        <v>1098.2</v>
      </c>
      <c r="P736" s="21" t="n">
        <f aca="false">IFERROR(O736/M736,0)</f>
        <v>0.305208159635373</v>
      </c>
      <c r="Q736" s="6" t="str">
        <f aca="false">Orders!H736</f>
        <v>Delivered</v>
      </c>
      <c r="R736" s="1" t="str">
        <f aca="false">INDEX(Customers!$C$2:$C$301,MATCH(C736,Customers!$A$2:$A$301,0))</f>
        <v>Bengaluru</v>
      </c>
      <c r="S736" s="1" t="str">
        <f aca="false">INDEX(Customers!$E$2:$E$301,MATCH(C736,Customers!$A$2:$A$301,0))</f>
        <v>Returning</v>
      </c>
      <c r="T736" s="6" t="str">
        <f aca="false">Orders!I736</f>
        <v>Mobile App</v>
      </c>
      <c r="U736" s="1" t="str">
        <f aca="false">IF(Q736="Delivered","Completed",IF(Q736="Cancelled","Cancelled",IF(Q736="Returned","Returned","In Progress")))</f>
        <v>Completed</v>
      </c>
      <c r="V736" s="1" t="str">
        <f aca="false">IF(M736&gt;=10000,"High Value",IF(M736&gt;=5000,"Medium Value","Low Value"))</f>
        <v>Low Value</v>
      </c>
      <c r="W736" s="1" t="str">
        <f aca="false">IF(O736&gt;0,"Profitable",IF(O736=0,"Break-even","Loss"))</f>
        <v>Profitable</v>
      </c>
      <c r="X736" s="1" t="str">
        <f aca="false">IF(Q736="Cancelled","Not Applicable",IF(Q736="Processing","Pending",IF(B736="","Unknown",IF(Orders!J736="","Unknown",IF(Orders!J736&lt;=3,"Fast",IF(Orders!J736&lt;=6,"Standard","Slow"))))))</f>
        <v>Slow</v>
      </c>
      <c r="Y736" s="1" t="n">
        <f aca="false">IF(OR(Q736="Cancelled",Q736="Returned"),0,O736)</f>
        <v>1098.2</v>
      </c>
    </row>
    <row r="737" customFormat="false" ht="23.85" hidden="false" customHeight="false" outlineLevel="0" collapsed="false">
      <c r="A737" s="6" t="str">
        <f aca="false">Orders!A737</f>
        <v>O000736</v>
      </c>
      <c r="B737" s="19" t="n">
        <f aca="false">Orders!B737</f>
        <v>45777</v>
      </c>
      <c r="C737" s="6" t="str">
        <f aca="false">Orders!C737</f>
        <v>C0111</v>
      </c>
      <c r="D737" s="6" t="str">
        <f aca="false">Orders!D737</f>
        <v>P1081</v>
      </c>
      <c r="E737" s="6" t="str">
        <f aca="false">INDEX(Products!$B$2:$B$101,MATCH(D737,Products!$A$2:$A$101,0))</f>
        <v>Sticky Notes Pack</v>
      </c>
      <c r="F737" s="1" t="str">
        <f aca="false">INDEX(Products!$C$2:$C$101,MATCH(D737,Products!$A$2:$A$101,0))</f>
        <v>Books &amp; Stationery</v>
      </c>
      <c r="G737" s="6" t="n">
        <f aca="false">Orders!E737</f>
        <v>1</v>
      </c>
      <c r="H737" s="16" t="n">
        <f aca="false">INDEX(Products!$D$2:$D$101,MATCH(D737,Products!$A$2:$A$101,0))</f>
        <v>149</v>
      </c>
      <c r="I737" s="16" t="n">
        <f aca="false">INDEX(Products!$E$2:$E$101,MATCH(D737,Products!$A$2:$A$101,0))</f>
        <v>45</v>
      </c>
      <c r="J737" s="20" t="n">
        <f aca="false">Orders!F737</f>
        <v>0</v>
      </c>
      <c r="K737" s="6" t="n">
        <f aca="false">G737*H737</f>
        <v>149</v>
      </c>
      <c r="L737" s="6" t="n">
        <f aca="false">K737*J737</f>
        <v>0</v>
      </c>
      <c r="M737" s="6" t="n">
        <f aca="false">K737-L737</f>
        <v>149</v>
      </c>
      <c r="N737" s="6" t="n">
        <f aca="false">G737*I737</f>
        <v>45</v>
      </c>
      <c r="O737" s="6" t="n">
        <f aca="false">M737-N737</f>
        <v>104</v>
      </c>
      <c r="P737" s="21" t="n">
        <f aca="false">IFERROR(O737/M737,0)</f>
        <v>0.697986577181208</v>
      </c>
      <c r="Q737" s="6" t="str">
        <f aca="false">Orders!H737</f>
        <v>Cancelled</v>
      </c>
      <c r="R737" s="1" t="str">
        <f aca="false">INDEX(Customers!$C$2:$C$301,MATCH(C737,Customers!$A$2:$A$301,0))</f>
        <v>Gurugram</v>
      </c>
      <c r="S737" s="1" t="str">
        <f aca="false">INDEX(Customers!$E$2:$E$301,MATCH(C737,Customers!$A$2:$A$301,0))</f>
        <v>Returning</v>
      </c>
      <c r="T737" s="6" t="str">
        <f aca="false">Orders!I737</f>
        <v>Website</v>
      </c>
      <c r="U737" s="1" t="str">
        <f aca="false">IF(Q737="Delivered","Completed",IF(Q737="Cancelled","Cancelled",IF(Q737="Returned","Returned","In Progress")))</f>
        <v>Cancelled</v>
      </c>
      <c r="V737" s="1" t="str">
        <f aca="false">IF(M737&gt;=10000,"High Value",IF(M737&gt;=5000,"Medium Value","Low Value"))</f>
        <v>Low Value</v>
      </c>
      <c r="W737" s="1" t="str">
        <f aca="false">IF(O737&gt;0,"Profitable",IF(O737=0,"Break-even","Loss"))</f>
        <v>Profitable</v>
      </c>
      <c r="X737" s="1" t="str">
        <f aca="false">IF(Q737="Cancelled","Not Applicable",IF(Q737="Processing","Pending",IF(B737="","Unknown",IF(Orders!J737="","Unknown",IF(Orders!J737&lt;=3,"Fast",IF(Orders!J737&lt;=6,"Standard","Slow"))))))</f>
        <v>Not Applicable</v>
      </c>
      <c r="Y737" s="1" t="n">
        <f aca="false">IF(OR(Q737="Cancelled",Q737="Returned"),0,O737)</f>
        <v>0</v>
      </c>
    </row>
    <row r="738" customFormat="false" ht="15" hidden="false" customHeight="false" outlineLevel="0" collapsed="false">
      <c r="A738" s="6" t="str">
        <f aca="false">Orders!A738</f>
        <v>O000737</v>
      </c>
      <c r="B738" s="19" t="n">
        <f aca="false">Orders!B738</f>
        <v>45955</v>
      </c>
      <c r="C738" s="6" t="str">
        <f aca="false">Orders!C738</f>
        <v>C0179</v>
      </c>
      <c r="D738" s="6" t="str">
        <f aca="false">Orders!D738</f>
        <v>P1063</v>
      </c>
      <c r="E738" s="6" t="str">
        <f aca="false">INDEX(Products!$B$2:$B$101,MATCH(D738,Products!$A$2:$A$101,0))</f>
        <v>Cricket Bat</v>
      </c>
      <c r="F738" s="1" t="str">
        <f aca="false">INDEX(Products!$C$2:$C$101,MATCH(D738,Products!$A$2:$A$101,0))</f>
        <v>Sports &amp; Outdoors</v>
      </c>
      <c r="G738" s="6" t="n">
        <f aca="false">Orders!E738</f>
        <v>3</v>
      </c>
      <c r="H738" s="16" t="n">
        <f aca="false">INDEX(Products!$D$2:$D$101,MATCH(D738,Products!$A$2:$A$101,0))</f>
        <v>1499</v>
      </c>
      <c r="I738" s="16" t="n">
        <f aca="false">INDEX(Products!$E$2:$E$101,MATCH(D738,Products!$A$2:$A$101,0))</f>
        <v>800</v>
      </c>
      <c r="J738" s="20" t="n">
        <f aca="false">Orders!F738</f>
        <v>0</v>
      </c>
      <c r="K738" s="6" t="n">
        <f aca="false">G738*H738</f>
        <v>4497</v>
      </c>
      <c r="L738" s="6" t="n">
        <f aca="false">K738*J738</f>
        <v>0</v>
      </c>
      <c r="M738" s="6" t="n">
        <f aca="false">K738-L738</f>
        <v>4497</v>
      </c>
      <c r="N738" s="6" t="n">
        <f aca="false">G738*I738</f>
        <v>2400</v>
      </c>
      <c r="O738" s="6" t="n">
        <f aca="false">M738-N738</f>
        <v>2097</v>
      </c>
      <c r="P738" s="21" t="n">
        <f aca="false">IFERROR(O738/M738,0)</f>
        <v>0.466310873915944</v>
      </c>
      <c r="Q738" s="6" t="str">
        <f aca="false">Orders!H738</f>
        <v>Delivered</v>
      </c>
      <c r="R738" s="1" t="str">
        <f aca="false">INDEX(Customers!$C$2:$C$301,MATCH(C738,Customers!$A$2:$A$301,0))</f>
        <v>Coimbatore</v>
      </c>
      <c r="S738" s="1" t="str">
        <f aca="false">INDEX(Customers!$E$2:$E$301,MATCH(C738,Customers!$A$2:$A$301,0))</f>
        <v>New</v>
      </c>
      <c r="T738" s="6" t="str">
        <f aca="false">Orders!I738</f>
        <v>Mobile App</v>
      </c>
      <c r="U738" s="1" t="str">
        <f aca="false">IF(Q738="Delivered","Completed",IF(Q738="Cancelled","Cancelled",IF(Q738="Returned","Returned","In Progress")))</f>
        <v>Completed</v>
      </c>
      <c r="V738" s="1" t="str">
        <f aca="false">IF(M738&gt;=10000,"High Value",IF(M738&gt;=5000,"Medium Value","Low Value"))</f>
        <v>Low Value</v>
      </c>
      <c r="W738" s="1" t="str">
        <f aca="false">IF(O738&gt;0,"Profitable",IF(O738=0,"Break-even","Loss"))</f>
        <v>Profitable</v>
      </c>
      <c r="X738" s="1" t="str">
        <f aca="false">IF(Q738="Cancelled","Not Applicable",IF(Q738="Processing","Pending",IF(B738="","Unknown",IF(Orders!J738="","Unknown",IF(Orders!J738&lt;=3,"Fast",IF(Orders!J738&lt;=6,"Standard","Slow"))))))</f>
        <v>Standard</v>
      </c>
      <c r="Y738" s="1" t="n">
        <f aca="false">IF(OR(Q738="Cancelled",Q738="Returned"),0,O738)</f>
        <v>2097</v>
      </c>
    </row>
    <row r="739" customFormat="false" ht="15" hidden="false" customHeight="false" outlineLevel="0" collapsed="false">
      <c r="A739" s="6" t="str">
        <f aca="false">Orders!A739</f>
        <v>O000738</v>
      </c>
      <c r="B739" s="19" t="n">
        <f aca="false">Orders!B739</f>
        <v>45679</v>
      </c>
      <c r="C739" s="6" t="str">
        <f aca="false">Orders!C739</f>
        <v>C0277</v>
      </c>
      <c r="D739" s="6" t="str">
        <f aca="false">Orders!D739</f>
        <v>P1018</v>
      </c>
      <c r="E739" s="6" t="str">
        <f aca="false">INDEX(Products!$B$2:$B$101,MATCH(D739,Products!$A$2:$A$101,0))</f>
        <v>Cotton Shirt</v>
      </c>
      <c r="F739" s="1" t="str">
        <f aca="false">INDEX(Products!$C$2:$C$101,MATCH(D739,Products!$A$2:$A$101,0))</f>
        <v>Fashion</v>
      </c>
      <c r="G739" s="6" t="n">
        <f aca="false">Orders!E739</f>
        <v>2</v>
      </c>
      <c r="H739" s="16" t="n">
        <f aca="false">INDEX(Products!$D$2:$D$101,MATCH(D739,Products!$A$2:$A$101,0))</f>
        <v>899</v>
      </c>
      <c r="I739" s="16" t="n">
        <f aca="false">INDEX(Products!$E$2:$E$101,MATCH(D739,Products!$A$2:$A$101,0))</f>
        <v>420</v>
      </c>
      <c r="J739" s="20" t="n">
        <f aca="false">Orders!F739</f>
        <v>0</v>
      </c>
      <c r="K739" s="6" t="n">
        <f aca="false">G739*H739</f>
        <v>1798</v>
      </c>
      <c r="L739" s="6" t="n">
        <f aca="false">K739*J739</f>
        <v>0</v>
      </c>
      <c r="M739" s="6" t="n">
        <f aca="false">K739-L739</f>
        <v>1798</v>
      </c>
      <c r="N739" s="6" t="n">
        <f aca="false">G739*I739</f>
        <v>840</v>
      </c>
      <c r="O739" s="6" t="n">
        <f aca="false">M739-N739</f>
        <v>958</v>
      </c>
      <c r="P739" s="21" t="n">
        <f aca="false">IFERROR(O739/M739,0)</f>
        <v>0.532814238042269</v>
      </c>
      <c r="Q739" s="6" t="str">
        <f aca="false">Orders!H739</f>
        <v>Shipped</v>
      </c>
      <c r="R739" s="1" t="str">
        <f aca="false">INDEX(Customers!$C$2:$C$301,MATCH(C739,Customers!$A$2:$A$301,0))</f>
        <v>Surat</v>
      </c>
      <c r="S739" s="1" t="str">
        <f aca="false">INDEX(Customers!$E$2:$E$301,MATCH(C739,Customers!$A$2:$A$301,0))</f>
        <v>VIP</v>
      </c>
      <c r="T739" s="6" t="str">
        <f aca="false">Orders!I739</f>
        <v>Marketplace</v>
      </c>
      <c r="U739" s="1" t="str">
        <f aca="false">IF(Q739="Delivered","Completed",IF(Q739="Cancelled","Cancelled",IF(Q739="Returned","Returned","In Progress")))</f>
        <v>In Progress</v>
      </c>
      <c r="V739" s="1" t="str">
        <f aca="false">IF(M739&gt;=10000,"High Value",IF(M739&gt;=5000,"Medium Value","Low Value"))</f>
        <v>Low Value</v>
      </c>
      <c r="W739" s="1" t="str">
        <f aca="false">IF(O739&gt;0,"Profitable",IF(O739=0,"Break-even","Loss"))</f>
        <v>Profitable</v>
      </c>
      <c r="X739" s="1" t="str">
        <f aca="false">IF(Q739="Cancelled","Not Applicable",IF(Q739="Processing","Pending",IF(B739="","Unknown",IF(Orders!J739="","Unknown",IF(Orders!J739&lt;=3,"Fast",IF(Orders!J739&lt;=6,"Standard","Slow"))))))</f>
        <v>Fast</v>
      </c>
      <c r="Y739" s="1" t="n">
        <f aca="false">IF(OR(Q739="Cancelled",Q739="Returned"),0,O739)</f>
        <v>958</v>
      </c>
    </row>
    <row r="740" customFormat="false" ht="15" hidden="false" customHeight="false" outlineLevel="0" collapsed="false">
      <c r="A740" s="6" t="str">
        <f aca="false">Orders!A740</f>
        <v>O000739</v>
      </c>
      <c r="B740" s="19" t="n">
        <f aca="false">Orders!B740</f>
        <v>45933</v>
      </c>
      <c r="C740" s="6" t="str">
        <f aca="false">Orders!C740</f>
        <v>C0088</v>
      </c>
      <c r="D740" s="6" t="str">
        <f aca="false">Orders!D740</f>
        <v>P1080</v>
      </c>
      <c r="E740" s="6" t="str">
        <f aca="false">INDEX(Products!$B$2:$B$101,MATCH(D740,Products!$A$2:$A$101,0))</f>
        <v>Calculator</v>
      </c>
      <c r="F740" s="1" t="str">
        <f aca="false">INDEX(Products!$C$2:$C$101,MATCH(D740,Products!$A$2:$A$101,0))</f>
        <v>Books &amp; Stationery</v>
      </c>
      <c r="G740" s="6" t="n">
        <f aca="false">Orders!E740</f>
        <v>1</v>
      </c>
      <c r="H740" s="16" t="n">
        <f aca="false">INDEX(Products!$D$2:$D$101,MATCH(D740,Products!$A$2:$A$101,0))</f>
        <v>599</v>
      </c>
      <c r="I740" s="16" t="n">
        <f aca="false">INDEX(Products!$E$2:$E$101,MATCH(D740,Products!$A$2:$A$101,0))</f>
        <v>300</v>
      </c>
      <c r="J740" s="20" t="n">
        <f aca="false">Orders!F740</f>
        <v>0.25</v>
      </c>
      <c r="K740" s="6" t="n">
        <f aca="false">G740*H740</f>
        <v>599</v>
      </c>
      <c r="L740" s="6" t="n">
        <f aca="false">K740*J740</f>
        <v>149.75</v>
      </c>
      <c r="M740" s="6" t="n">
        <f aca="false">K740-L740</f>
        <v>449.25</v>
      </c>
      <c r="N740" s="6" t="n">
        <f aca="false">G740*I740</f>
        <v>300</v>
      </c>
      <c r="O740" s="6" t="n">
        <f aca="false">M740-N740</f>
        <v>149.25</v>
      </c>
      <c r="P740" s="21" t="n">
        <f aca="false">IFERROR(O740/M740,0)</f>
        <v>0.332220367278798</v>
      </c>
      <c r="Q740" s="6" t="str">
        <f aca="false">Orders!H740</f>
        <v>Shipped</v>
      </c>
      <c r="R740" s="1" t="str">
        <f aca="false">INDEX(Customers!$C$2:$C$301,MATCH(C740,Customers!$A$2:$A$301,0))</f>
        <v>Jaipur</v>
      </c>
      <c r="S740" s="1" t="str">
        <f aca="false">INDEX(Customers!$E$2:$E$301,MATCH(C740,Customers!$A$2:$A$301,0))</f>
        <v>Returning</v>
      </c>
      <c r="T740" s="6" t="str">
        <f aca="false">Orders!I740</f>
        <v>Mobile App</v>
      </c>
      <c r="U740" s="1" t="str">
        <f aca="false">IF(Q740="Delivered","Completed",IF(Q740="Cancelled","Cancelled",IF(Q740="Returned","Returned","In Progress")))</f>
        <v>In Progress</v>
      </c>
      <c r="V740" s="1" t="str">
        <f aca="false">IF(M740&gt;=10000,"High Value",IF(M740&gt;=5000,"Medium Value","Low Value"))</f>
        <v>Low Value</v>
      </c>
      <c r="W740" s="1" t="str">
        <f aca="false">IF(O740&gt;0,"Profitable",IF(O740=0,"Break-even","Loss"))</f>
        <v>Profitable</v>
      </c>
      <c r="X740" s="1" t="str">
        <f aca="false">IF(Q740="Cancelled","Not Applicable",IF(Q740="Processing","Pending",IF(B740="","Unknown",IF(Orders!J740="","Unknown",IF(Orders!J740&lt;=3,"Fast",IF(Orders!J740&lt;=6,"Standard","Slow"))))))</f>
        <v>Fast</v>
      </c>
      <c r="Y740" s="1" t="n">
        <f aca="false">IF(OR(Q740="Cancelled",Q740="Returned"),0,O740)</f>
        <v>149.25</v>
      </c>
    </row>
    <row r="741" customFormat="false" ht="15" hidden="false" customHeight="false" outlineLevel="0" collapsed="false">
      <c r="A741" s="6" t="str">
        <f aca="false">Orders!A741</f>
        <v>O000740</v>
      </c>
      <c r="B741" s="19" t="n">
        <f aca="false">Orders!B741</f>
        <v>45893</v>
      </c>
      <c r="C741" s="6" t="str">
        <f aca="false">Orders!C741</f>
        <v>C0210</v>
      </c>
      <c r="D741" s="6" t="str">
        <f aca="false">Orders!D741</f>
        <v>P1005</v>
      </c>
      <c r="E741" s="6" t="str">
        <f aca="false">INDEX(Products!$B$2:$B$101,MATCH(D741,Products!$A$2:$A$101,0))</f>
        <v>Power Bank</v>
      </c>
      <c r="F741" s="1" t="str">
        <f aca="false">INDEX(Products!$C$2:$C$101,MATCH(D741,Products!$A$2:$A$101,0))</f>
        <v>Electronics</v>
      </c>
      <c r="G741" s="6" t="n">
        <f aca="false">Orders!E741</f>
        <v>2</v>
      </c>
      <c r="H741" s="16" t="n">
        <f aca="false">INDEX(Products!$D$2:$D$101,MATCH(D741,Products!$A$2:$A$101,0))</f>
        <v>1199</v>
      </c>
      <c r="I741" s="16" t="n">
        <f aca="false">INDEX(Products!$E$2:$E$101,MATCH(D741,Products!$A$2:$A$101,0))</f>
        <v>650</v>
      </c>
      <c r="J741" s="20" t="n">
        <f aca="false">Orders!F741</f>
        <v>0.05</v>
      </c>
      <c r="K741" s="6" t="n">
        <f aca="false">G741*H741</f>
        <v>2398</v>
      </c>
      <c r="L741" s="6" t="n">
        <f aca="false">K741*J741</f>
        <v>119.9</v>
      </c>
      <c r="M741" s="6" t="n">
        <f aca="false">K741-L741</f>
        <v>2278.1</v>
      </c>
      <c r="N741" s="6" t="n">
        <f aca="false">G741*I741</f>
        <v>1300</v>
      </c>
      <c r="O741" s="6" t="n">
        <f aca="false">M741-N741</f>
        <v>978.1</v>
      </c>
      <c r="P741" s="21" t="n">
        <f aca="false">IFERROR(O741/M741,0)</f>
        <v>0.429349018919275</v>
      </c>
      <c r="Q741" s="6" t="str">
        <f aca="false">Orders!H741</f>
        <v>Delivered</v>
      </c>
      <c r="R741" s="1" t="str">
        <f aca="false">INDEX(Customers!$C$2:$C$301,MATCH(C741,Customers!$A$2:$A$301,0))</f>
        <v>Lucknow</v>
      </c>
      <c r="S741" s="1" t="str">
        <f aca="false">INDEX(Customers!$E$2:$E$301,MATCH(C741,Customers!$A$2:$A$301,0))</f>
        <v>Returning</v>
      </c>
      <c r="T741" s="6" t="str">
        <f aca="false">Orders!I741</f>
        <v>Marketplace</v>
      </c>
      <c r="U741" s="1" t="str">
        <f aca="false">IF(Q741="Delivered","Completed",IF(Q741="Cancelled","Cancelled",IF(Q741="Returned","Returned","In Progress")))</f>
        <v>Completed</v>
      </c>
      <c r="V741" s="1" t="str">
        <f aca="false">IF(M741&gt;=10000,"High Value",IF(M741&gt;=5000,"Medium Value","Low Value"))</f>
        <v>Low Value</v>
      </c>
      <c r="W741" s="1" t="str">
        <f aca="false">IF(O741&gt;0,"Profitable",IF(O741=0,"Break-even","Loss"))</f>
        <v>Profitable</v>
      </c>
      <c r="X741" s="1" t="str">
        <f aca="false">IF(Q741="Cancelled","Not Applicable",IF(Q741="Processing","Pending",IF(B741="","Unknown",IF(Orders!J741="","Unknown",IF(Orders!J741&lt;=3,"Fast",IF(Orders!J741&lt;=6,"Standard","Slow"))))))</f>
        <v>Fast</v>
      </c>
      <c r="Y741" s="1" t="n">
        <f aca="false">IF(OR(Q741="Cancelled",Q741="Returned"),0,O741)</f>
        <v>978.1</v>
      </c>
    </row>
    <row r="742" customFormat="false" ht="15" hidden="false" customHeight="false" outlineLevel="0" collapsed="false">
      <c r="A742" s="6" t="str">
        <f aca="false">Orders!A742</f>
        <v>O000741</v>
      </c>
      <c r="B742" s="19" t="n">
        <f aca="false">Orders!B742</f>
        <v>45798</v>
      </c>
      <c r="C742" s="6" t="str">
        <f aca="false">Orders!C742</f>
        <v>C0279</v>
      </c>
      <c r="D742" s="6" t="str">
        <f aca="false">Orders!D742</f>
        <v>P1089</v>
      </c>
      <c r="E742" s="6" t="str">
        <f aca="false">INDEX(Products!$B$2:$B$101,MATCH(D742,Products!$A$2:$A$101,0))</f>
        <v>Mixer Grinder</v>
      </c>
      <c r="F742" s="1" t="str">
        <f aca="false">INDEX(Products!$C$2:$C$101,MATCH(D742,Products!$A$2:$A$101,0))</f>
        <v>Appliances</v>
      </c>
      <c r="G742" s="6" t="n">
        <f aca="false">Orders!E742</f>
        <v>1</v>
      </c>
      <c r="H742" s="16" t="n">
        <f aca="false">INDEX(Products!$D$2:$D$101,MATCH(D742,Products!$A$2:$A$101,0))</f>
        <v>2499</v>
      </c>
      <c r="I742" s="16" t="n">
        <f aca="false">INDEX(Products!$E$2:$E$101,MATCH(D742,Products!$A$2:$A$101,0))</f>
        <v>1550</v>
      </c>
      <c r="J742" s="20" t="n">
        <f aca="false">Orders!F742</f>
        <v>0.2</v>
      </c>
      <c r="K742" s="6" t="n">
        <f aca="false">G742*H742</f>
        <v>2499</v>
      </c>
      <c r="L742" s="6" t="n">
        <f aca="false">K742*J742</f>
        <v>499.8</v>
      </c>
      <c r="M742" s="6" t="n">
        <f aca="false">K742-L742</f>
        <v>1999.2</v>
      </c>
      <c r="N742" s="6" t="n">
        <f aca="false">G742*I742</f>
        <v>1550</v>
      </c>
      <c r="O742" s="6" t="n">
        <f aca="false">M742-N742</f>
        <v>449.2</v>
      </c>
      <c r="P742" s="21" t="n">
        <f aca="false">IFERROR(O742/M742,0)</f>
        <v>0.22468987595038</v>
      </c>
      <c r="Q742" s="6" t="str">
        <f aca="false">Orders!H742</f>
        <v>Cancelled</v>
      </c>
      <c r="R742" s="1" t="str">
        <f aca="false">INDEX(Customers!$C$2:$C$301,MATCH(C742,Customers!$A$2:$A$301,0))</f>
        <v>Coimbatore</v>
      </c>
      <c r="S742" s="1" t="str">
        <f aca="false">INDEX(Customers!$E$2:$E$301,MATCH(C742,Customers!$A$2:$A$301,0))</f>
        <v>Returning</v>
      </c>
      <c r="T742" s="6" t="str">
        <f aca="false">Orders!I742</f>
        <v>Mobile App</v>
      </c>
      <c r="U742" s="1" t="str">
        <f aca="false">IF(Q742="Delivered","Completed",IF(Q742="Cancelled","Cancelled",IF(Q742="Returned","Returned","In Progress")))</f>
        <v>Cancelled</v>
      </c>
      <c r="V742" s="1" t="str">
        <f aca="false">IF(M742&gt;=10000,"High Value",IF(M742&gt;=5000,"Medium Value","Low Value"))</f>
        <v>Low Value</v>
      </c>
      <c r="W742" s="1" t="str">
        <f aca="false">IF(O742&gt;0,"Profitable",IF(O742=0,"Break-even","Loss"))</f>
        <v>Profitable</v>
      </c>
      <c r="X742" s="1" t="str">
        <f aca="false">IF(Q742="Cancelled","Not Applicable",IF(Q742="Processing","Pending",IF(B742="","Unknown",IF(Orders!J742="","Unknown",IF(Orders!J742&lt;=3,"Fast",IF(Orders!J742&lt;=6,"Standard","Slow"))))))</f>
        <v>Not Applicable</v>
      </c>
      <c r="Y742" s="1" t="n">
        <f aca="false">IF(OR(Q742="Cancelled",Q742="Returned"),0,O742)</f>
        <v>0</v>
      </c>
    </row>
    <row r="743" customFormat="false" ht="15" hidden="false" customHeight="false" outlineLevel="0" collapsed="false">
      <c r="A743" s="6" t="str">
        <f aca="false">Orders!A743</f>
        <v>O000742</v>
      </c>
      <c r="B743" s="19" t="n">
        <f aca="false">Orders!B743</f>
        <v>45904</v>
      </c>
      <c r="C743" s="6" t="str">
        <f aca="false">Orders!C743</f>
        <v>C0185</v>
      </c>
      <c r="D743" s="6" t="str">
        <f aca="false">Orders!D743</f>
        <v>P1037</v>
      </c>
      <c r="E743" s="6" t="str">
        <f aca="false">INDEX(Products!$B$2:$B$101,MATCH(D743,Products!$A$2:$A$101,0))</f>
        <v>Pillow Pair</v>
      </c>
      <c r="F743" s="1" t="str">
        <f aca="false">INDEX(Products!$C$2:$C$101,MATCH(D743,Products!$A$2:$A$101,0))</f>
        <v>Home &amp; Kitchen</v>
      </c>
      <c r="G743" s="6" t="n">
        <f aca="false">Orders!E743</f>
        <v>3</v>
      </c>
      <c r="H743" s="16" t="n">
        <f aca="false">INDEX(Products!$D$2:$D$101,MATCH(D743,Products!$A$2:$A$101,0))</f>
        <v>799</v>
      </c>
      <c r="I743" s="16" t="n">
        <f aca="false">INDEX(Products!$E$2:$E$101,MATCH(D743,Products!$A$2:$A$101,0))</f>
        <v>350</v>
      </c>
      <c r="J743" s="20" t="n">
        <f aca="false">Orders!F743</f>
        <v>0.2</v>
      </c>
      <c r="K743" s="6" t="n">
        <f aca="false">G743*H743</f>
        <v>2397</v>
      </c>
      <c r="L743" s="6" t="n">
        <f aca="false">K743*J743</f>
        <v>479.4</v>
      </c>
      <c r="M743" s="6" t="n">
        <f aca="false">K743-L743</f>
        <v>1917.6</v>
      </c>
      <c r="N743" s="6" t="n">
        <f aca="false">G743*I743</f>
        <v>1050</v>
      </c>
      <c r="O743" s="6" t="n">
        <f aca="false">M743-N743</f>
        <v>867.6</v>
      </c>
      <c r="P743" s="21" t="n">
        <f aca="false">IFERROR(O743/M743,0)</f>
        <v>0.45244055068836</v>
      </c>
      <c r="Q743" s="6" t="str">
        <f aca="false">Orders!H743</f>
        <v>Delivered</v>
      </c>
      <c r="R743" s="1" t="str">
        <f aca="false">INDEX(Customers!$C$2:$C$301,MATCH(C743,Customers!$A$2:$A$301,0))</f>
        <v>Chennai</v>
      </c>
      <c r="S743" s="1" t="str">
        <f aca="false">INDEX(Customers!$E$2:$E$301,MATCH(C743,Customers!$A$2:$A$301,0))</f>
        <v>New</v>
      </c>
      <c r="T743" s="6" t="str">
        <f aca="false">Orders!I743</f>
        <v>Mobile App</v>
      </c>
      <c r="U743" s="1" t="str">
        <f aca="false">IF(Q743="Delivered","Completed",IF(Q743="Cancelled","Cancelled",IF(Q743="Returned","Returned","In Progress")))</f>
        <v>Completed</v>
      </c>
      <c r="V743" s="1" t="str">
        <f aca="false">IF(M743&gt;=10000,"High Value",IF(M743&gt;=5000,"Medium Value","Low Value"))</f>
        <v>Low Value</v>
      </c>
      <c r="W743" s="1" t="str">
        <f aca="false">IF(O743&gt;0,"Profitable",IF(O743=0,"Break-even","Loss"))</f>
        <v>Profitable</v>
      </c>
      <c r="X743" s="1" t="str">
        <f aca="false">IF(Q743="Cancelled","Not Applicable",IF(Q743="Processing","Pending",IF(B743="","Unknown",IF(Orders!J743="","Unknown",IF(Orders!J743&lt;=3,"Fast",IF(Orders!J743&lt;=6,"Standard","Slow"))))))</f>
        <v>Fast</v>
      </c>
      <c r="Y743" s="1" t="n">
        <f aca="false">IF(OR(Q743="Cancelled",Q743="Returned"),0,O743)</f>
        <v>867.6</v>
      </c>
    </row>
    <row r="744" customFormat="false" ht="15" hidden="false" customHeight="false" outlineLevel="0" collapsed="false">
      <c r="A744" s="6" t="str">
        <f aca="false">Orders!A744</f>
        <v>O000743</v>
      </c>
      <c r="B744" s="19" t="n">
        <f aca="false">Orders!B744</f>
        <v>45853</v>
      </c>
      <c r="C744" s="6" t="str">
        <f aca="false">Orders!C744</f>
        <v>C0151</v>
      </c>
      <c r="D744" s="6" t="str">
        <f aca="false">Orders!D744</f>
        <v>P1003</v>
      </c>
      <c r="E744" s="6" t="str">
        <f aca="false">INDEX(Products!$B$2:$B$101,MATCH(D744,Products!$A$2:$A$101,0))</f>
        <v>Smart Watch</v>
      </c>
      <c r="F744" s="1" t="str">
        <f aca="false">INDEX(Products!$C$2:$C$101,MATCH(D744,Products!$A$2:$A$101,0))</f>
        <v>Electronics</v>
      </c>
      <c r="G744" s="6" t="n">
        <f aca="false">Orders!E744</f>
        <v>3</v>
      </c>
      <c r="H744" s="16" t="n">
        <f aca="false">INDEX(Products!$D$2:$D$101,MATCH(D744,Products!$A$2:$A$101,0))</f>
        <v>2499</v>
      </c>
      <c r="I744" s="16" t="n">
        <f aca="false">INDEX(Products!$E$2:$E$101,MATCH(D744,Products!$A$2:$A$101,0))</f>
        <v>1450</v>
      </c>
      <c r="J744" s="20" t="n">
        <f aca="false">Orders!F744</f>
        <v>0.25</v>
      </c>
      <c r="K744" s="6" t="n">
        <f aca="false">G744*H744</f>
        <v>7497</v>
      </c>
      <c r="L744" s="6" t="n">
        <f aca="false">K744*J744</f>
        <v>1874.25</v>
      </c>
      <c r="M744" s="6" t="n">
        <f aca="false">K744-L744</f>
        <v>5622.75</v>
      </c>
      <c r="N744" s="6" t="n">
        <f aca="false">G744*I744</f>
        <v>4350</v>
      </c>
      <c r="O744" s="6" t="n">
        <f aca="false">M744-N744</f>
        <v>1272.75</v>
      </c>
      <c r="P744" s="21" t="n">
        <f aca="false">IFERROR(O744/M744,0)</f>
        <v>0.226357209550487</v>
      </c>
      <c r="Q744" s="6" t="str">
        <f aca="false">Orders!H744</f>
        <v>Shipped</v>
      </c>
      <c r="R744" s="1" t="str">
        <f aca="false">INDEX(Customers!$C$2:$C$301,MATCH(C744,Customers!$A$2:$A$301,0))</f>
        <v>Gurugram</v>
      </c>
      <c r="S744" s="1" t="str">
        <f aca="false">INDEX(Customers!$E$2:$E$301,MATCH(C744,Customers!$A$2:$A$301,0))</f>
        <v>New</v>
      </c>
      <c r="T744" s="6" t="str">
        <f aca="false">Orders!I744</f>
        <v>Marketplace</v>
      </c>
      <c r="U744" s="1" t="str">
        <f aca="false">IF(Q744="Delivered","Completed",IF(Q744="Cancelled","Cancelled",IF(Q744="Returned","Returned","In Progress")))</f>
        <v>In Progress</v>
      </c>
      <c r="V744" s="1" t="str">
        <f aca="false">IF(M744&gt;=10000,"High Value",IF(M744&gt;=5000,"Medium Value","Low Value"))</f>
        <v>Medium Value</v>
      </c>
      <c r="W744" s="1" t="str">
        <f aca="false">IF(O744&gt;0,"Profitable",IF(O744=0,"Break-even","Loss"))</f>
        <v>Profitable</v>
      </c>
      <c r="X744" s="1" t="str">
        <f aca="false">IF(Q744="Cancelled","Not Applicable",IF(Q744="Processing","Pending",IF(B744="","Unknown",IF(Orders!J744="","Unknown",IF(Orders!J744&lt;=3,"Fast",IF(Orders!J744&lt;=6,"Standard","Slow"))))))</f>
        <v>Standard</v>
      </c>
      <c r="Y744" s="1" t="n">
        <f aca="false">IF(OR(Q744="Cancelled",Q744="Returned"),0,O744)</f>
        <v>1272.75</v>
      </c>
    </row>
    <row r="745" customFormat="false" ht="15" hidden="false" customHeight="false" outlineLevel="0" collapsed="false">
      <c r="A745" s="6" t="str">
        <f aca="false">Orders!A745</f>
        <v>O000744</v>
      </c>
      <c r="B745" s="19" t="n">
        <f aca="false">Orders!B745</f>
        <v>45725</v>
      </c>
      <c r="C745" s="6" t="str">
        <f aca="false">Orders!C745</f>
        <v>C0005</v>
      </c>
      <c r="D745" s="6" t="str">
        <f aca="false">Orders!D745</f>
        <v>P1096</v>
      </c>
      <c r="E745" s="6" t="str">
        <f aca="false">INDEX(Products!$B$2:$B$101,MATCH(D745,Products!$A$2:$A$101,0))</f>
        <v>Air Fryer</v>
      </c>
      <c r="F745" s="1" t="str">
        <f aca="false">INDEX(Products!$C$2:$C$101,MATCH(D745,Products!$A$2:$A$101,0))</f>
        <v>Appliances</v>
      </c>
      <c r="G745" s="6" t="n">
        <f aca="false">Orders!E745</f>
        <v>2</v>
      </c>
      <c r="H745" s="16" t="n">
        <f aca="false">INDEX(Products!$D$2:$D$101,MATCH(D745,Products!$A$2:$A$101,0))</f>
        <v>3999</v>
      </c>
      <c r="I745" s="16" t="n">
        <f aca="false">INDEX(Products!$E$2:$E$101,MATCH(D745,Products!$A$2:$A$101,0))</f>
        <v>2700</v>
      </c>
      <c r="J745" s="20" t="n">
        <f aca="false">Orders!F745</f>
        <v>0.05</v>
      </c>
      <c r="K745" s="6" t="n">
        <f aca="false">G745*H745</f>
        <v>7998</v>
      </c>
      <c r="L745" s="6" t="n">
        <f aca="false">K745*J745</f>
        <v>399.9</v>
      </c>
      <c r="M745" s="6" t="n">
        <f aca="false">K745-L745</f>
        <v>7598.1</v>
      </c>
      <c r="N745" s="6" t="n">
        <f aca="false">G745*I745</f>
        <v>5400</v>
      </c>
      <c r="O745" s="6" t="n">
        <f aca="false">M745-N745</f>
        <v>2198.1</v>
      </c>
      <c r="P745" s="21" t="n">
        <f aca="false">IFERROR(O745/M745,0)</f>
        <v>0.28929600821258</v>
      </c>
      <c r="Q745" s="6" t="str">
        <f aca="false">Orders!H745</f>
        <v>Shipped</v>
      </c>
      <c r="R745" s="1" t="str">
        <f aca="false">INDEX(Customers!$C$2:$C$301,MATCH(C745,Customers!$A$2:$A$301,0))</f>
        <v>Chennai</v>
      </c>
      <c r="S745" s="1" t="str">
        <f aca="false">INDEX(Customers!$E$2:$E$301,MATCH(C745,Customers!$A$2:$A$301,0))</f>
        <v>Returning</v>
      </c>
      <c r="T745" s="6" t="str">
        <f aca="false">Orders!I745</f>
        <v>Marketplace</v>
      </c>
      <c r="U745" s="1" t="str">
        <f aca="false">IF(Q745="Delivered","Completed",IF(Q745="Cancelled","Cancelled",IF(Q745="Returned","Returned","In Progress")))</f>
        <v>In Progress</v>
      </c>
      <c r="V745" s="1" t="str">
        <f aca="false">IF(M745&gt;=10000,"High Value",IF(M745&gt;=5000,"Medium Value","Low Value"))</f>
        <v>Medium Value</v>
      </c>
      <c r="W745" s="1" t="str">
        <f aca="false">IF(O745&gt;0,"Profitable",IF(O745=0,"Break-even","Loss"))</f>
        <v>Profitable</v>
      </c>
      <c r="X745" s="1" t="str">
        <f aca="false">IF(Q745="Cancelled","Not Applicable",IF(Q745="Processing","Pending",IF(B745="","Unknown",IF(Orders!J745="","Unknown",IF(Orders!J745&lt;=3,"Fast",IF(Orders!J745&lt;=6,"Standard","Slow"))))))</f>
        <v>Fast</v>
      </c>
      <c r="Y745" s="1" t="n">
        <f aca="false">IF(OR(Q745="Cancelled",Q745="Returned"),0,O745)</f>
        <v>2198.1</v>
      </c>
    </row>
    <row r="746" customFormat="false" ht="15" hidden="false" customHeight="false" outlineLevel="0" collapsed="false">
      <c r="A746" s="6" t="str">
        <f aca="false">Orders!A746</f>
        <v>O000745</v>
      </c>
      <c r="B746" s="19" t="n">
        <f aca="false">Orders!B746</f>
        <v>45912</v>
      </c>
      <c r="C746" s="6" t="str">
        <f aca="false">Orders!C746</f>
        <v>C0272</v>
      </c>
      <c r="D746" s="6" t="str">
        <f aca="false">Orders!D746</f>
        <v>P1025</v>
      </c>
      <c r="E746" s="6" t="str">
        <f aca="false">INDEX(Products!$B$2:$B$101,MATCH(D746,Products!$A$2:$A$101,0))</f>
        <v>Hoodie</v>
      </c>
      <c r="F746" s="1" t="str">
        <f aca="false">INDEX(Products!$C$2:$C$101,MATCH(D746,Products!$A$2:$A$101,0))</f>
        <v>Fashion</v>
      </c>
      <c r="G746" s="6" t="n">
        <f aca="false">Orders!E746</f>
        <v>3</v>
      </c>
      <c r="H746" s="16" t="n">
        <f aca="false">INDEX(Products!$D$2:$D$101,MATCH(D746,Products!$A$2:$A$101,0))</f>
        <v>1399</v>
      </c>
      <c r="I746" s="16" t="n">
        <f aca="false">INDEX(Products!$E$2:$E$101,MATCH(D746,Products!$A$2:$A$101,0))</f>
        <v>720</v>
      </c>
      <c r="J746" s="20" t="n">
        <f aca="false">Orders!F746</f>
        <v>0.05</v>
      </c>
      <c r="K746" s="6" t="n">
        <f aca="false">G746*H746</f>
        <v>4197</v>
      </c>
      <c r="L746" s="6" t="n">
        <f aca="false">K746*J746</f>
        <v>209.85</v>
      </c>
      <c r="M746" s="6" t="n">
        <f aca="false">K746-L746</f>
        <v>3987.15</v>
      </c>
      <c r="N746" s="6" t="n">
        <f aca="false">G746*I746</f>
        <v>2160</v>
      </c>
      <c r="O746" s="6" t="n">
        <f aca="false">M746-N746</f>
        <v>1827.15</v>
      </c>
      <c r="P746" s="21" t="n">
        <f aca="false">IFERROR(O746/M746,0)</f>
        <v>0.458259659155036</v>
      </c>
      <c r="Q746" s="6" t="str">
        <f aca="false">Orders!H746</f>
        <v>Delivered</v>
      </c>
      <c r="R746" s="1" t="str">
        <f aca="false">INDEX(Customers!$C$2:$C$301,MATCH(C746,Customers!$A$2:$A$301,0))</f>
        <v>Noida</v>
      </c>
      <c r="S746" s="1" t="str">
        <f aca="false">INDEX(Customers!$E$2:$E$301,MATCH(C746,Customers!$A$2:$A$301,0))</f>
        <v>New</v>
      </c>
      <c r="T746" s="6" t="str">
        <f aca="false">Orders!I746</f>
        <v>Mobile App</v>
      </c>
      <c r="U746" s="1" t="str">
        <f aca="false">IF(Q746="Delivered","Completed",IF(Q746="Cancelled","Cancelled",IF(Q746="Returned","Returned","In Progress")))</f>
        <v>Completed</v>
      </c>
      <c r="V746" s="1" t="str">
        <f aca="false">IF(M746&gt;=10000,"High Value",IF(M746&gt;=5000,"Medium Value","Low Value"))</f>
        <v>Low Value</v>
      </c>
      <c r="W746" s="1" t="str">
        <f aca="false">IF(O746&gt;0,"Profitable",IF(O746=0,"Break-even","Loss"))</f>
        <v>Profitable</v>
      </c>
      <c r="X746" s="1" t="str">
        <f aca="false">IF(Q746="Cancelled","Not Applicable",IF(Q746="Processing","Pending",IF(B746="","Unknown",IF(Orders!J746="","Unknown",IF(Orders!J746&lt;=3,"Fast",IF(Orders!J746&lt;=6,"Standard","Slow"))))))</f>
        <v>Standard</v>
      </c>
      <c r="Y746" s="1" t="n">
        <f aca="false">IF(OR(Q746="Cancelled",Q746="Returned"),0,O746)</f>
        <v>1827.15</v>
      </c>
    </row>
    <row r="747" customFormat="false" ht="15" hidden="false" customHeight="false" outlineLevel="0" collapsed="false">
      <c r="A747" s="6" t="str">
        <f aca="false">Orders!A747</f>
        <v>O000746</v>
      </c>
      <c r="B747" s="19" t="n">
        <f aca="false">Orders!B747</f>
        <v>45946</v>
      </c>
      <c r="C747" s="6" t="str">
        <f aca="false">Orders!C747</f>
        <v>C0130</v>
      </c>
      <c r="D747" s="6" t="str">
        <f aca="false">Orders!D747</f>
        <v>P1052</v>
      </c>
      <c r="E747" s="6" t="str">
        <f aca="false">INDEX(Products!$B$2:$B$101,MATCH(D747,Products!$A$2:$A$101,0))</f>
        <v>Lip Balm Set</v>
      </c>
      <c r="F747" s="1" t="str">
        <f aca="false">INDEX(Products!$C$2:$C$101,MATCH(D747,Products!$A$2:$A$101,0))</f>
        <v>Beauty</v>
      </c>
      <c r="G747" s="6" t="n">
        <f aca="false">Orders!E747</f>
        <v>1</v>
      </c>
      <c r="H747" s="16" t="n">
        <f aca="false">INDEX(Products!$D$2:$D$101,MATCH(D747,Products!$A$2:$A$101,0))</f>
        <v>249</v>
      </c>
      <c r="I747" s="16" t="n">
        <f aca="false">INDEX(Products!$E$2:$E$101,MATCH(D747,Products!$A$2:$A$101,0))</f>
        <v>90</v>
      </c>
      <c r="J747" s="20" t="n">
        <f aca="false">Orders!F747</f>
        <v>0.15</v>
      </c>
      <c r="K747" s="6" t="n">
        <f aca="false">G747*H747</f>
        <v>249</v>
      </c>
      <c r="L747" s="6" t="n">
        <f aca="false">K747*J747</f>
        <v>37.35</v>
      </c>
      <c r="M747" s="6" t="n">
        <f aca="false">K747-L747</f>
        <v>211.65</v>
      </c>
      <c r="N747" s="6" t="n">
        <f aca="false">G747*I747</f>
        <v>90</v>
      </c>
      <c r="O747" s="6" t="n">
        <f aca="false">M747-N747</f>
        <v>121.65</v>
      </c>
      <c r="P747" s="21" t="n">
        <f aca="false">IFERROR(O747/M747,0)</f>
        <v>0.574769666902906</v>
      </c>
      <c r="Q747" s="6" t="str">
        <f aca="false">Orders!H747</f>
        <v>Delivered</v>
      </c>
      <c r="R747" s="1" t="str">
        <f aca="false">INDEX(Customers!$C$2:$C$301,MATCH(C747,Customers!$A$2:$A$301,0))</f>
        <v>Lucknow</v>
      </c>
      <c r="S747" s="1" t="str">
        <f aca="false">INDEX(Customers!$E$2:$E$301,MATCH(C747,Customers!$A$2:$A$301,0))</f>
        <v>Returning</v>
      </c>
      <c r="T747" s="6" t="str">
        <f aca="false">Orders!I747</f>
        <v>Website</v>
      </c>
      <c r="U747" s="1" t="str">
        <f aca="false">IF(Q747="Delivered","Completed",IF(Q747="Cancelled","Cancelled",IF(Q747="Returned","Returned","In Progress")))</f>
        <v>Completed</v>
      </c>
      <c r="V747" s="1" t="str">
        <f aca="false">IF(M747&gt;=10000,"High Value",IF(M747&gt;=5000,"Medium Value","Low Value"))</f>
        <v>Low Value</v>
      </c>
      <c r="W747" s="1" t="str">
        <f aca="false">IF(O747&gt;0,"Profitable",IF(O747=0,"Break-even","Loss"))</f>
        <v>Profitable</v>
      </c>
      <c r="X747" s="1" t="str">
        <f aca="false">IF(Q747="Cancelled","Not Applicable",IF(Q747="Processing","Pending",IF(B747="","Unknown",IF(Orders!J747="","Unknown",IF(Orders!J747&lt;=3,"Fast",IF(Orders!J747&lt;=6,"Standard","Slow"))))))</f>
        <v>Slow</v>
      </c>
      <c r="Y747" s="1" t="n">
        <f aca="false">IF(OR(Q747="Cancelled",Q747="Returned"),0,O747)</f>
        <v>121.65</v>
      </c>
    </row>
    <row r="748" customFormat="false" ht="15" hidden="false" customHeight="false" outlineLevel="0" collapsed="false">
      <c r="A748" s="6" t="str">
        <f aca="false">Orders!A748</f>
        <v>O000747</v>
      </c>
      <c r="B748" s="19" t="n">
        <f aca="false">Orders!B748</f>
        <v>45953</v>
      </c>
      <c r="C748" s="6" t="str">
        <f aca="false">Orders!C748</f>
        <v>C0219</v>
      </c>
      <c r="D748" s="6" t="str">
        <f aca="false">Orders!D748</f>
        <v>P1073</v>
      </c>
      <c r="E748" s="6" t="str">
        <f aca="false">INDEX(Products!$B$2:$B$101,MATCH(D748,Products!$A$2:$A$101,0))</f>
        <v>Hiking Backpack</v>
      </c>
      <c r="F748" s="1" t="str">
        <f aca="false">INDEX(Products!$C$2:$C$101,MATCH(D748,Products!$A$2:$A$101,0))</f>
        <v>Sports &amp; Outdoors</v>
      </c>
      <c r="G748" s="6" t="n">
        <f aca="false">Orders!E748</f>
        <v>4</v>
      </c>
      <c r="H748" s="16" t="n">
        <f aca="false">INDEX(Products!$D$2:$D$101,MATCH(D748,Products!$A$2:$A$101,0))</f>
        <v>1999</v>
      </c>
      <c r="I748" s="16" t="n">
        <f aca="false">INDEX(Products!$E$2:$E$101,MATCH(D748,Products!$A$2:$A$101,0))</f>
        <v>1100</v>
      </c>
      <c r="J748" s="20" t="n">
        <f aca="false">Orders!F748</f>
        <v>0.1</v>
      </c>
      <c r="K748" s="6" t="n">
        <f aca="false">G748*H748</f>
        <v>7996</v>
      </c>
      <c r="L748" s="6" t="n">
        <f aca="false">K748*J748</f>
        <v>799.6</v>
      </c>
      <c r="M748" s="6" t="n">
        <f aca="false">K748-L748</f>
        <v>7196.4</v>
      </c>
      <c r="N748" s="6" t="n">
        <f aca="false">G748*I748</f>
        <v>4400</v>
      </c>
      <c r="O748" s="6" t="n">
        <f aca="false">M748-N748</f>
        <v>2796.4</v>
      </c>
      <c r="P748" s="21" t="n">
        <f aca="false">IFERROR(O748/M748,0)</f>
        <v>0.388583180479128</v>
      </c>
      <c r="Q748" s="6" t="str">
        <f aca="false">Orders!H748</f>
        <v>Delivered</v>
      </c>
      <c r="R748" s="1" t="str">
        <f aca="false">INDEX(Customers!$C$2:$C$301,MATCH(C748,Customers!$A$2:$A$301,0))</f>
        <v>Coimbatore</v>
      </c>
      <c r="S748" s="1" t="str">
        <f aca="false">INDEX(Customers!$E$2:$E$301,MATCH(C748,Customers!$A$2:$A$301,0))</f>
        <v>New</v>
      </c>
      <c r="T748" s="6" t="str">
        <f aca="false">Orders!I748</f>
        <v>Marketplace</v>
      </c>
      <c r="U748" s="1" t="str">
        <f aca="false">IF(Q748="Delivered","Completed",IF(Q748="Cancelled","Cancelled",IF(Q748="Returned","Returned","In Progress")))</f>
        <v>Completed</v>
      </c>
      <c r="V748" s="1" t="str">
        <f aca="false">IF(M748&gt;=10000,"High Value",IF(M748&gt;=5000,"Medium Value","Low Value"))</f>
        <v>Medium Value</v>
      </c>
      <c r="W748" s="1" t="str">
        <f aca="false">IF(O748&gt;0,"Profitable",IF(O748=0,"Break-even","Loss"))</f>
        <v>Profitable</v>
      </c>
      <c r="X748" s="1" t="str">
        <f aca="false">IF(Q748="Cancelled","Not Applicable",IF(Q748="Processing","Pending",IF(B748="","Unknown",IF(Orders!J748="","Unknown",IF(Orders!J748&lt;=3,"Fast",IF(Orders!J748&lt;=6,"Standard","Slow"))))))</f>
        <v>Standard</v>
      </c>
      <c r="Y748" s="1" t="n">
        <f aca="false">IF(OR(Q748="Cancelled",Q748="Returned"),0,O748)</f>
        <v>2796.4</v>
      </c>
    </row>
    <row r="749" customFormat="false" ht="15" hidden="false" customHeight="false" outlineLevel="0" collapsed="false">
      <c r="A749" s="6" t="str">
        <f aca="false">Orders!A749</f>
        <v>O000748</v>
      </c>
      <c r="B749" s="19" t="n">
        <f aca="false">Orders!B749</f>
        <v>45923</v>
      </c>
      <c r="C749" s="6" t="str">
        <f aca="false">Orders!C749</f>
        <v>C0126</v>
      </c>
      <c r="D749" s="6" t="str">
        <f aca="false">Orders!D749</f>
        <v>P1078</v>
      </c>
      <c r="E749" s="6" t="str">
        <f aca="false">INDEX(Products!$B$2:$B$101,MATCH(D749,Products!$A$2:$A$101,0))</f>
        <v>Sketchbook</v>
      </c>
      <c r="F749" s="1" t="str">
        <f aca="false">INDEX(Products!$C$2:$C$101,MATCH(D749,Products!$A$2:$A$101,0))</f>
        <v>Books &amp; Stationery</v>
      </c>
      <c r="G749" s="6" t="n">
        <f aca="false">Orders!E749</f>
        <v>2</v>
      </c>
      <c r="H749" s="16" t="n">
        <f aca="false">INDEX(Products!$D$2:$D$101,MATCH(D749,Products!$A$2:$A$101,0))</f>
        <v>249</v>
      </c>
      <c r="I749" s="16" t="n">
        <f aca="false">INDEX(Products!$E$2:$E$101,MATCH(D749,Products!$A$2:$A$101,0))</f>
        <v>90</v>
      </c>
      <c r="J749" s="20" t="n">
        <f aca="false">Orders!F749</f>
        <v>0</v>
      </c>
      <c r="K749" s="6" t="n">
        <f aca="false">G749*H749</f>
        <v>498</v>
      </c>
      <c r="L749" s="6" t="n">
        <f aca="false">K749*J749</f>
        <v>0</v>
      </c>
      <c r="M749" s="6" t="n">
        <f aca="false">K749-L749</f>
        <v>498</v>
      </c>
      <c r="N749" s="6" t="n">
        <f aca="false">G749*I749</f>
        <v>180</v>
      </c>
      <c r="O749" s="6" t="n">
        <f aca="false">M749-N749</f>
        <v>318</v>
      </c>
      <c r="P749" s="21" t="n">
        <f aca="false">IFERROR(O749/M749,0)</f>
        <v>0.63855421686747</v>
      </c>
      <c r="Q749" s="6" t="str">
        <f aca="false">Orders!H749</f>
        <v>Delivered</v>
      </c>
      <c r="R749" s="1" t="str">
        <f aca="false">INDEX(Customers!$C$2:$C$301,MATCH(C749,Customers!$A$2:$A$301,0))</f>
        <v>Kolkata</v>
      </c>
      <c r="S749" s="1" t="str">
        <f aca="false">INDEX(Customers!$E$2:$E$301,MATCH(C749,Customers!$A$2:$A$301,0))</f>
        <v>New</v>
      </c>
      <c r="T749" s="6" t="str">
        <f aca="false">Orders!I749</f>
        <v>Mobile App</v>
      </c>
      <c r="U749" s="1" t="str">
        <f aca="false">IF(Q749="Delivered","Completed",IF(Q749="Cancelled","Cancelled",IF(Q749="Returned","Returned","In Progress")))</f>
        <v>Completed</v>
      </c>
      <c r="V749" s="1" t="str">
        <f aca="false">IF(M749&gt;=10000,"High Value",IF(M749&gt;=5000,"Medium Value","Low Value"))</f>
        <v>Low Value</v>
      </c>
      <c r="W749" s="1" t="str">
        <f aca="false">IF(O749&gt;0,"Profitable",IF(O749=0,"Break-even","Loss"))</f>
        <v>Profitable</v>
      </c>
      <c r="X749" s="1" t="str">
        <f aca="false">IF(Q749="Cancelled","Not Applicable",IF(Q749="Processing","Pending",IF(B749="","Unknown",IF(Orders!J749="","Unknown",IF(Orders!J749&lt;=3,"Fast",IF(Orders!J749&lt;=6,"Standard","Slow"))))))</f>
        <v>Standard</v>
      </c>
      <c r="Y749" s="1" t="n">
        <f aca="false">IF(OR(Q749="Cancelled",Q749="Returned"),0,O749)</f>
        <v>318</v>
      </c>
    </row>
    <row r="750" customFormat="false" ht="23.85" hidden="false" customHeight="false" outlineLevel="0" collapsed="false">
      <c r="A750" s="6" t="str">
        <f aca="false">Orders!A750</f>
        <v>O000749</v>
      </c>
      <c r="B750" s="19" t="n">
        <f aca="false">Orders!B750</f>
        <v>45984</v>
      </c>
      <c r="C750" s="6" t="str">
        <f aca="false">Orders!C750</f>
        <v>C0009</v>
      </c>
      <c r="D750" s="6" t="str">
        <f aca="false">Orders!D750</f>
        <v>P1012</v>
      </c>
      <c r="E750" s="6" t="str">
        <f aca="false">INDEX(Products!$B$2:$B$101,MATCH(D750,Products!$A$2:$A$101,0))</f>
        <v>Charging Adapter</v>
      </c>
      <c r="F750" s="1" t="str">
        <f aca="false">INDEX(Products!$C$2:$C$101,MATCH(D750,Products!$A$2:$A$101,0))</f>
        <v>Electronics</v>
      </c>
      <c r="G750" s="6" t="n">
        <f aca="false">Orders!E750</f>
        <v>1</v>
      </c>
      <c r="H750" s="16" t="n">
        <f aca="false">INDEX(Products!$D$2:$D$101,MATCH(D750,Products!$A$2:$A$101,0))</f>
        <v>599</v>
      </c>
      <c r="I750" s="16" t="n">
        <f aca="false">INDEX(Products!$E$2:$E$101,MATCH(D750,Products!$A$2:$A$101,0))</f>
        <v>260</v>
      </c>
      <c r="J750" s="20" t="n">
        <f aca="false">Orders!F750</f>
        <v>0.05</v>
      </c>
      <c r="K750" s="6" t="n">
        <f aca="false">G750*H750</f>
        <v>599</v>
      </c>
      <c r="L750" s="6" t="n">
        <f aca="false">K750*J750</f>
        <v>29.95</v>
      </c>
      <c r="M750" s="6" t="n">
        <f aca="false">K750-L750</f>
        <v>569.05</v>
      </c>
      <c r="N750" s="6" t="n">
        <f aca="false">G750*I750</f>
        <v>260</v>
      </c>
      <c r="O750" s="6" t="n">
        <f aca="false">M750-N750</f>
        <v>309.05</v>
      </c>
      <c r="P750" s="21" t="n">
        <f aca="false">IFERROR(O750/M750,0)</f>
        <v>0.543098146032862</v>
      </c>
      <c r="Q750" s="6" t="str">
        <f aca="false">Orders!H750</f>
        <v>Delivered</v>
      </c>
      <c r="R750" s="1" t="str">
        <f aca="false">INDEX(Customers!$C$2:$C$301,MATCH(C750,Customers!$A$2:$A$301,0))</f>
        <v>Ahmedabad</v>
      </c>
      <c r="S750" s="1" t="str">
        <f aca="false">INDEX(Customers!$E$2:$E$301,MATCH(C750,Customers!$A$2:$A$301,0))</f>
        <v>New</v>
      </c>
      <c r="T750" s="6" t="str">
        <f aca="false">Orders!I750</f>
        <v>Marketplace</v>
      </c>
      <c r="U750" s="1" t="str">
        <f aca="false">IF(Q750="Delivered","Completed",IF(Q750="Cancelled","Cancelled",IF(Q750="Returned","Returned","In Progress")))</f>
        <v>Completed</v>
      </c>
      <c r="V750" s="1" t="str">
        <f aca="false">IF(M750&gt;=10000,"High Value",IF(M750&gt;=5000,"Medium Value","Low Value"))</f>
        <v>Low Value</v>
      </c>
      <c r="W750" s="1" t="str">
        <f aca="false">IF(O750&gt;0,"Profitable",IF(O750=0,"Break-even","Loss"))</f>
        <v>Profitable</v>
      </c>
      <c r="X750" s="1" t="str">
        <f aca="false">IF(Q750="Cancelled","Not Applicable",IF(Q750="Processing","Pending",IF(B750="","Unknown",IF(Orders!J750="","Unknown",IF(Orders!J750&lt;=3,"Fast",IF(Orders!J750&lt;=6,"Standard","Slow"))))))</f>
        <v>Standard</v>
      </c>
      <c r="Y750" s="1" t="n">
        <f aca="false">IF(OR(Q750="Cancelled",Q750="Returned"),0,O750)</f>
        <v>309.05</v>
      </c>
    </row>
    <row r="751" customFormat="false" ht="23.85" hidden="false" customHeight="false" outlineLevel="0" collapsed="false">
      <c r="A751" s="6" t="str">
        <f aca="false">Orders!A751</f>
        <v>O000750</v>
      </c>
      <c r="B751" s="19" t="n">
        <f aca="false">Orders!B751</f>
        <v>45873</v>
      </c>
      <c r="C751" s="6" t="str">
        <f aca="false">Orders!C751</f>
        <v>C0029</v>
      </c>
      <c r="D751" s="6" t="str">
        <f aca="false">Orders!D751</f>
        <v>P1012</v>
      </c>
      <c r="E751" s="6" t="str">
        <f aca="false">INDEX(Products!$B$2:$B$101,MATCH(D751,Products!$A$2:$A$101,0))</f>
        <v>Charging Adapter</v>
      </c>
      <c r="F751" s="1" t="str">
        <f aca="false">INDEX(Products!$C$2:$C$101,MATCH(D751,Products!$A$2:$A$101,0))</f>
        <v>Electronics</v>
      </c>
      <c r="G751" s="6" t="n">
        <f aca="false">Orders!E751</f>
        <v>2</v>
      </c>
      <c r="H751" s="16" t="n">
        <f aca="false">INDEX(Products!$D$2:$D$101,MATCH(D751,Products!$A$2:$A$101,0))</f>
        <v>599</v>
      </c>
      <c r="I751" s="16" t="n">
        <f aca="false">INDEX(Products!$E$2:$E$101,MATCH(D751,Products!$A$2:$A$101,0))</f>
        <v>260</v>
      </c>
      <c r="J751" s="20" t="n">
        <f aca="false">Orders!F751</f>
        <v>0</v>
      </c>
      <c r="K751" s="6" t="n">
        <f aca="false">G751*H751</f>
        <v>1198</v>
      </c>
      <c r="L751" s="6" t="n">
        <f aca="false">K751*J751</f>
        <v>0</v>
      </c>
      <c r="M751" s="6" t="n">
        <f aca="false">K751-L751</f>
        <v>1198</v>
      </c>
      <c r="N751" s="6" t="n">
        <f aca="false">G751*I751</f>
        <v>520</v>
      </c>
      <c r="O751" s="6" t="n">
        <f aca="false">M751-N751</f>
        <v>678</v>
      </c>
      <c r="P751" s="21" t="n">
        <f aca="false">IFERROR(O751/M751,0)</f>
        <v>0.565943238731219</v>
      </c>
      <c r="Q751" s="6" t="str">
        <f aca="false">Orders!H751</f>
        <v>Processing</v>
      </c>
      <c r="R751" s="1" t="str">
        <f aca="false">INDEX(Customers!$C$2:$C$301,MATCH(C751,Customers!$A$2:$A$301,0))</f>
        <v>Ahmedabad</v>
      </c>
      <c r="S751" s="1" t="str">
        <f aca="false">INDEX(Customers!$E$2:$E$301,MATCH(C751,Customers!$A$2:$A$301,0))</f>
        <v>Returning</v>
      </c>
      <c r="T751" s="6" t="str">
        <f aca="false">Orders!I751</f>
        <v>Marketplace</v>
      </c>
      <c r="U751" s="1" t="str">
        <f aca="false">IF(Q751="Delivered","Completed",IF(Q751="Cancelled","Cancelled",IF(Q751="Returned","Returned","In Progress")))</f>
        <v>In Progress</v>
      </c>
      <c r="V751" s="1" t="str">
        <f aca="false">IF(M751&gt;=10000,"High Value",IF(M751&gt;=5000,"Medium Value","Low Value"))</f>
        <v>Low Value</v>
      </c>
      <c r="W751" s="1" t="str">
        <f aca="false">IF(O751&gt;0,"Profitable",IF(O751=0,"Break-even","Loss"))</f>
        <v>Profitable</v>
      </c>
      <c r="X751" s="1" t="str">
        <f aca="false">IF(Q751="Cancelled","Not Applicable",IF(Q751="Processing","Pending",IF(B751="","Unknown",IF(Orders!J751="","Unknown",IF(Orders!J751&lt;=3,"Fast",IF(Orders!J751&lt;=6,"Standard","Slow"))))))</f>
        <v>Pending</v>
      </c>
      <c r="Y751" s="1" t="n">
        <f aca="false">IF(OR(Q751="Cancelled",Q751="Returned"),0,O751)</f>
        <v>678</v>
      </c>
    </row>
    <row r="752" customFormat="false" ht="23.85" hidden="false" customHeight="false" outlineLevel="0" collapsed="false">
      <c r="A752" s="6" t="str">
        <f aca="false">Orders!A752</f>
        <v>O000751</v>
      </c>
      <c r="B752" s="19" t="n">
        <f aca="false">Orders!B752</f>
        <v>45801</v>
      </c>
      <c r="C752" s="6" t="str">
        <f aca="false">Orders!C752</f>
        <v>C0231</v>
      </c>
      <c r="D752" s="6" t="str">
        <f aca="false">Orders!D752</f>
        <v>P1012</v>
      </c>
      <c r="E752" s="6" t="str">
        <f aca="false">INDEX(Products!$B$2:$B$101,MATCH(D752,Products!$A$2:$A$101,0))</f>
        <v>Charging Adapter</v>
      </c>
      <c r="F752" s="1" t="str">
        <f aca="false">INDEX(Products!$C$2:$C$101,MATCH(D752,Products!$A$2:$A$101,0))</f>
        <v>Electronics</v>
      </c>
      <c r="G752" s="6" t="n">
        <f aca="false">Orders!E752</f>
        <v>1</v>
      </c>
      <c r="H752" s="16" t="n">
        <f aca="false">INDEX(Products!$D$2:$D$101,MATCH(D752,Products!$A$2:$A$101,0))</f>
        <v>599</v>
      </c>
      <c r="I752" s="16" t="n">
        <f aca="false">INDEX(Products!$E$2:$E$101,MATCH(D752,Products!$A$2:$A$101,0))</f>
        <v>260</v>
      </c>
      <c r="J752" s="20" t="n">
        <f aca="false">Orders!F752</f>
        <v>0</v>
      </c>
      <c r="K752" s="6" t="n">
        <f aca="false">G752*H752</f>
        <v>599</v>
      </c>
      <c r="L752" s="6" t="n">
        <f aca="false">K752*J752</f>
        <v>0</v>
      </c>
      <c r="M752" s="6" t="n">
        <f aca="false">K752-L752</f>
        <v>599</v>
      </c>
      <c r="N752" s="6" t="n">
        <f aca="false">G752*I752</f>
        <v>260</v>
      </c>
      <c r="O752" s="6" t="n">
        <f aca="false">M752-N752</f>
        <v>339</v>
      </c>
      <c r="P752" s="21" t="n">
        <f aca="false">IFERROR(O752/M752,0)</f>
        <v>0.565943238731219</v>
      </c>
      <c r="Q752" s="6" t="str">
        <f aca="false">Orders!H752</f>
        <v>Delivered</v>
      </c>
      <c r="R752" s="1" t="str">
        <f aca="false">INDEX(Customers!$C$2:$C$301,MATCH(C752,Customers!$A$2:$A$301,0))</f>
        <v>Gurugram</v>
      </c>
      <c r="S752" s="1" t="str">
        <f aca="false">INDEX(Customers!$E$2:$E$301,MATCH(C752,Customers!$A$2:$A$301,0))</f>
        <v>New</v>
      </c>
      <c r="T752" s="6" t="str">
        <f aca="false">Orders!I752</f>
        <v>Marketplace</v>
      </c>
      <c r="U752" s="1" t="str">
        <f aca="false">IF(Q752="Delivered","Completed",IF(Q752="Cancelled","Cancelled",IF(Q752="Returned","Returned","In Progress")))</f>
        <v>Completed</v>
      </c>
      <c r="V752" s="1" t="str">
        <f aca="false">IF(M752&gt;=10000,"High Value",IF(M752&gt;=5000,"Medium Value","Low Value"))</f>
        <v>Low Value</v>
      </c>
      <c r="W752" s="1" t="str">
        <f aca="false">IF(O752&gt;0,"Profitable",IF(O752=0,"Break-even","Loss"))</f>
        <v>Profitable</v>
      </c>
      <c r="X752" s="1" t="str">
        <f aca="false">IF(Q752="Cancelled","Not Applicable",IF(Q752="Processing","Pending",IF(B752="","Unknown",IF(Orders!J752="","Unknown",IF(Orders!J752&lt;=3,"Fast",IF(Orders!J752&lt;=6,"Standard","Slow"))))))</f>
        <v>Standard</v>
      </c>
      <c r="Y752" s="1" t="n">
        <f aca="false">IF(OR(Q752="Cancelled",Q752="Returned"),0,O752)</f>
        <v>339</v>
      </c>
    </row>
    <row r="753" customFormat="false" ht="15" hidden="false" customHeight="false" outlineLevel="0" collapsed="false">
      <c r="A753" s="6" t="str">
        <f aca="false">Orders!A753</f>
        <v>O000752</v>
      </c>
      <c r="B753" s="19" t="n">
        <f aca="false">Orders!B753</f>
        <v>45786</v>
      </c>
      <c r="C753" s="6" t="str">
        <f aca="false">Orders!C753</f>
        <v>C0189</v>
      </c>
      <c r="D753" s="6" t="str">
        <f aca="false">Orders!D753</f>
        <v>P1035</v>
      </c>
      <c r="E753" s="6" t="str">
        <f aca="false">INDEX(Products!$B$2:$B$101,MATCH(D753,Products!$A$2:$A$101,0))</f>
        <v>Nonstick Pan</v>
      </c>
      <c r="F753" s="1" t="str">
        <f aca="false">INDEX(Products!$C$2:$C$101,MATCH(D753,Products!$A$2:$A$101,0))</f>
        <v>Home &amp; Kitchen</v>
      </c>
      <c r="G753" s="6" t="n">
        <f aca="false">Orders!E753</f>
        <v>1</v>
      </c>
      <c r="H753" s="16" t="n">
        <f aca="false">INDEX(Products!$D$2:$D$101,MATCH(D753,Products!$A$2:$A$101,0))</f>
        <v>999</v>
      </c>
      <c r="I753" s="16" t="n">
        <f aca="false">INDEX(Products!$E$2:$E$101,MATCH(D753,Products!$A$2:$A$101,0))</f>
        <v>520</v>
      </c>
      <c r="J753" s="20" t="n">
        <f aca="false">Orders!F753</f>
        <v>0.1</v>
      </c>
      <c r="K753" s="6" t="n">
        <f aca="false">G753*H753</f>
        <v>999</v>
      </c>
      <c r="L753" s="6" t="n">
        <f aca="false">K753*J753</f>
        <v>99.9</v>
      </c>
      <c r="M753" s="6" t="n">
        <f aca="false">K753-L753</f>
        <v>899.1</v>
      </c>
      <c r="N753" s="6" t="n">
        <f aca="false">G753*I753</f>
        <v>520</v>
      </c>
      <c r="O753" s="6" t="n">
        <f aca="false">M753-N753</f>
        <v>379.1</v>
      </c>
      <c r="P753" s="21" t="n">
        <f aca="false">IFERROR(O753/M753,0)</f>
        <v>0.421643866088311</v>
      </c>
      <c r="Q753" s="6" t="str">
        <f aca="false">Orders!H753</f>
        <v>Delivered</v>
      </c>
      <c r="R753" s="1" t="str">
        <f aca="false">INDEX(Customers!$C$2:$C$301,MATCH(C753,Customers!$A$2:$A$301,0))</f>
        <v>Ahmedabad</v>
      </c>
      <c r="S753" s="1" t="str">
        <f aca="false">INDEX(Customers!$E$2:$E$301,MATCH(C753,Customers!$A$2:$A$301,0))</f>
        <v>New</v>
      </c>
      <c r="T753" s="6" t="str">
        <f aca="false">Orders!I753</f>
        <v>Marketplace</v>
      </c>
      <c r="U753" s="1" t="str">
        <f aca="false">IF(Q753="Delivered","Completed",IF(Q753="Cancelled","Cancelled",IF(Q753="Returned","Returned","In Progress")))</f>
        <v>Completed</v>
      </c>
      <c r="V753" s="1" t="str">
        <f aca="false">IF(M753&gt;=10000,"High Value",IF(M753&gt;=5000,"Medium Value","Low Value"))</f>
        <v>Low Value</v>
      </c>
      <c r="W753" s="1" t="str">
        <f aca="false">IF(O753&gt;0,"Profitable",IF(O753=0,"Break-even","Loss"))</f>
        <v>Profitable</v>
      </c>
      <c r="X753" s="1" t="str">
        <f aca="false">IF(Q753="Cancelled","Not Applicable",IF(Q753="Processing","Pending",IF(B753="","Unknown",IF(Orders!J753="","Unknown",IF(Orders!J753&lt;=3,"Fast",IF(Orders!J753&lt;=6,"Standard","Slow"))))))</f>
        <v>Fast</v>
      </c>
      <c r="Y753" s="1" t="n">
        <f aca="false">IF(OR(Q753="Cancelled",Q753="Returned"),0,O753)</f>
        <v>379.1</v>
      </c>
    </row>
    <row r="754" customFormat="false" ht="15" hidden="false" customHeight="false" outlineLevel="0" collapsed="false">
      <c r="A754" s="6" t="str">
        <f aca="false">Orders!A754</f>
        <v>O000753</v>
      </c>
      <c r="B754" s="19" t="n">
        <f aca="false">Orders!B754</f>
        <v>45880</v>
      </c>
      <c r="C754" s="6" t="str">
        <f aca="false">Orders!C754</f>
        <v>C0225</v>
      </c>
      <c r="D754" s="6" t="str">
        <f aca="false">Orders!D754</f>
        <v>P1100</v>
      </c>
      <c r="E754" s="6" t="str">
        <f aca="false">INDEX(Products!$B$2:$B$101,MATCH(D754,Products!$A$2:$A$101,0))</f>
        <v>Coffee Maker</v>
      </c>
      <c r="F754" s="1" t="str">
        <f aca="false">INDEX(Products!$C$2:$C$101,MATCH(D754,Products!$A$2:$A$101,0))</f>
        <v>Appliances</v>
      </c>
      <c r="G754" s="6" t="n">
        <f aca="false">Orders!E754</f>
        <v>1</v>
      </c>
      <c r="H754" s="16" t="n">
        <f aca="false">INDEX(Products!$D$2:$D$101,MATCH(D754,Products!$A$2:$A$101,0))</f>
        <v>2499</v>
      </c>
      <c r="I754" s="16" t="n">
        <f aca="false">INDEX(Products!$E$2:$E$101,MATCH(D754,Products!$A$2:$A$101,0))</f>
        <v>1600</v>
      </c>
      <c r="J754" s="20" t="n">
        <f aca="false">Orders!F754</f>
        <v>0.15</v>
      </c>
      <c r="K754" s="6" t="n">
        <f aca="false">G754*H754</f>
        <v>2499</v>
      </c>
      <c r="L754" s="6" t="n">
        <f aca="false">K754*J754</f>
        <v>374.85</v>
      </c>
      <c r="M754" s="6" t="n">
        <f aca="false">K754-L754</f>
        <v>2124.15</v>
      </c>
      <c r="N754" s="6" t="n">
        <f aca="false">G754*I754</f>
        <v>1600</v>
      </c>
      <c r="O754" s="6" t="n">
        <f aca="false">M754-N754</f>
        <v>524.15</v>
      </c>
      <c r="P754" s="21" t="n">
        <f aca="false">IFERROR(O754/M754,0)</f>
        <v>0.246757526540028</v>
      </c>
      <c r="Q754" s="6" t="str">
        <f aca="false">Orders!H754</f>
        <v>Delivered</v>
      </c>
      <c r="R754" s="1" t="str">
        <f aca="false">INDEX(Customers!$C$2:$C$301,MATCH(C754,Customers!$A$2:$A$301,0))</f>
        <v>Chennai</v>
      </c>
      <c r="S754" s="1" t="str">
        <f aca="false">INDEX(Customers!$E$2:$E$301,MATCH(C754,Customers!$A$2:$A$301,0))</f>
        <v>Returning</v>
      </c>
      <c r="T754" s="6" t="str">
        <f aca="false">Orders!I754</f>
        <v>Mobile App</v>
      </c>
      <c r="U754" s="1" t="str">
        <f aca="false">IF(Q754="Delivered","Completed",IF(Q754="Cancelled","Cancelled",IF(Q754="Returned","Returned","In Progress")))</f>
        <v>Completed</v>
      </c>
      <c r="V754" s="1" t="str">
        <f aca="false">IF(M754&gt;=10000,"High Value",IF(M754&gt;=5000,"Medium Value","Low Value"))</f>
        <v>Low Value</v>
      </c>
      <c r="W754" s="1" t="str">
        <f aca="false">IF(O754&gt;0,"Profitable",IF(O754=0,"Break-even","Loss"))</f>
        <v>Profitable</v>
      </c>
      <c r="X754" s="1" t="str">
        <f aca="false">IF(Q754="Cancelled","Not Applicable",IF(Q754="Processing","Pending",IF(B754="","Unknown",IF(Orders!J754="","Unknown",IF(Orders!J754&lt;=3,"Fast",IF(Orders!J754&lt;=6,"Standard","Slow"))))))</f>
        <v>Fast</v>
      </c>
      <c r="Y754" s="1" t="n">
        <f aca="false">IF(OR(Q754="Cancelled",Q754="Returned"),0,O754)</f>
        <v>524.15</v>
      </c>
    </row>
    <row r="755" customFormat="false" ht="15" hidden="false" customHeight="false" outlineLevel="0" collapsed="false">
      <c r="A755" s="6" t="str">
        <f aca="false">Orders!A755</f>
        <v>O000754</v>
      </c>
      <c r="B755" s="19" t="n">
        <f aca="false">Orders!B755</f>
        <v>45931</v>
      </c>
      <c r="C755" s="6" t="str">
        <f aca="false">Orders!C755</f>
        <v>C0133</v>
      </c>
      <c r="D755" s="6" t="str">
        <f aca="false">Orders!D755</f>
        <v>P1090</v>
      </c>
      <c r="E755" s="6" t="str">
        <f aca="false">INDEX(Products!$B$2:$B$101,MATCH(D755,Products!$A$2:$A$101,0))</f>
        <v>Toaster</v>
      </c>
      <c r="F755" s="1" t="str">
        <f aca="false">INDEX(Products!$C$2:$C$101,MATCH(D755,Products!$A$2:$A$101,0))</f>
        <v>Appliances</v>
      </c>
      <c r="G755" s="6" t="n">
        <f aca="false">Orders!E755</f>
        <v>2</v>
      </c>
      <c r="H755" s="16" t="n">
        <f aca="false">INDEX(Products!$D$2:$D$101,MATCH(D755,Products!$A$2:$A$101,0))</f>
        <v>1499</v>
      </c>
      <c r="I755" s="16" t="n">
        <f aca="false">INDEX(Products!$E$2:$E$101,MATCH(D755,Products!$A$2:$A$101,0))</f>
        <v>900</v>
      </c>
      <c r="J755" s="20" t="n">
        <f aca="false">Orders!F755</f>
        <v>0</v>
      </c>
      <c r="K755" s="6" t="n">
        <f aca="false">G755*H755</f>
        <v>2998</v>
      </c>
      <c r="L755" s="6" t="n">
        <f aca="false">K755*J755</f>
        <v>0</v>
      </c>
      <c r="M755" s="6" t="n">
        <f aca="false">K755-L755</f>
        <v>2998</v>
      </c>
      <c r="N755" s="6" t="n">
        <f aca="false">G755*I755</f>
        <v>1800</v>
      </c>
      <c r="O755" s="6" t="n">
        <f aca="false">M755-N755</f>
        <v>1198</v>
      </c>
      <c r="P755" s="21" t="n">
        <f aca="false">IFERROR(O755/M755,0)</f>
        <v>0.399599733155437</v>
      </c>
      <c r="Q755" s="6" t="str">
        <f aca="false">Orders!H755</f>
        <v>Delivered</v>
      </c>
      <c r="R755" s="1" t="str">
        <f aca="false">INDEX(Customers!$C$2:$C$301,MATCH(C755,Customers!$A$2:$A$301,0))</f>
        <v>Kochi</v>
      </c>
      <c r="S755" s="1" t="str">
        <f aca="false">INDEX(Customers!$E$2:$E$301,MATCH(C755,Customers!$A$2:$A$301,0))</f>
        <v>Returning</v>
      </c>
      <c r="T755" s="6" t="str">
        <f aca="false">Orders!I755</f>
        <v>Marketplace</v>
      </c>
      <c r="U755" s="1" t="str">
        <f aca="false">IF(Q755="Delivered","Completed",IF(Q755="Cancelled","Cancelled",IF(Q755="Returned","Returned","In Progress")))</f>
        <v>Completed</v>
      </c>
      <c r="V755" s="1" t="str">
        <f aca="false">IF(M755&gt;=10000,"High Value",IF(M755&gt;=5000,"Medium Value","Low Value"))</f>
        <v>Low Value</v>
      </c>
      <c r="W755" s="1" t="str">
        <f aca="false">IF(O755&gt;0,"Profitable",IF(O755=0,"Break-even","Loss"))</f>
        <v>Profitable</v>
      </c>
      <c r="X755" s="1" t="str">
        <f aca="false">IF(Q755="Cancelled","Not Applicable",IF(Q755="Processing","Pending",IF(B755="","Unknown",IF(Orders!J755="","Unknown",IF(Orders!J755&lt;=3,"Fast",IF(Orders!J755&lt;=6,"Standard","Slow"))))))</f>
        <v>Fast</v>
      </c>
      <c r="Y755" s="1" t="n">
        <f aca="false">IF(OR(Q755="Cancelled",Q755="Returned"),0,O755)</f>
        <v>1198</v>
      </c>
    </row>
    <row r="756" customFormat="false" ht="15" hidden="false" customHeight="false" outlineLevel="0" collapsed="false">
      <c r="A756" s="6" t="str">
        <f aca="false">Orders!A756</f>
        <v>O000755</v>
      </c>
      <c r="B756" s="19" t="n">
        <f aca="false">Orders!B756</f>
        <v>45720</v>
      </c>
      <c r="C756" s="6" t="str">
        <f aca="false">Orders!C756</f>
        <v>C0284</v>
      </c>
      <c r="D756" s="6" t="str">
        <f aca="false">Orders!D756</f>
        <v>P1023</v>
      </c>
      <c r="E756" s="6" t="str">
        <f aca="false">INDEX(Products!$B$2:$B$101,MATCH(D756,Products!$A$2:$A$101,0))</f>
        <v>Sports Cap</v>
      </c>
      <c r="F756" s="1" t="str">
        <f aca="false">INDEX(Products!$C$2:$C$101,MATCH(D756,Products!$A$2:$A$101,0))</f>
        <v>Fashion</v>
      </c>
      <c r="G756" s="6" t="n">
        <f aca="false">Orders!E756</f>
        <v>2</v>
      </c>
      <c r="H756" s="16" t="n">
        <f aca="false">INDEX(Products!$D$2:$D$101,MATCH(D756,Products!$A$2:$A$101,0))</f>
        <v>349</v>
      </c>
      <c r="I756" s="16" t="n">
        <f aca="false">INDEX(Products!$E$2:$E$101,MATCH(D756,Products!$A$2:$A$101,0))</f>
        <v>120</v>
      </c>
      <c r="J756" s="20" t="n">
        <f aca="false">Orders!F756</f>
        <v>0.2</v>
      </c>
      <c r="K756" s="6" t="n">
        <f aca="false">G756*H756</f>
        <v>698</v>
      </c>
      <c r="L756" s="6" t="n">
        <f aca="false">K756*J756</f>
        <v>139.6</v>
      </c>
      <c r="M756" s="6" t="n">
        <f aca="false">K756-L756</f>
        <v>558.4</v>
      </c>
      <c r="N756" s="6" t="n">
        <f aca="false">G756*I756</f>
        <v>240</v>
      </c>
      <c r="O756" s="6" t="n">
        <f aca="false">M756-N756</f>
        <v>318.4</v>
      </c>
      <c r="P756" s="21" t="n">
        <f aca="false">IFERROR(O756/M756,0)</f>
        <v>0.570200573065903</v>
      </c>
      <c r="Q756" s="6" t="str">
        <f aca="false">Orders!H756</f>
        <v>Delivered</v>
      </c>
      <c r="R756" s="1" t="str">
        <f aca="false">INDEX(Customers!$C$2:$C$301,MATCH(C756,Customers!$A$2:$A$301,0))</f>
        <v>Hyderabad</v>
      </c>
      <c r="S756" s="1" t="str">
        <f aca="false">INDEX(Customers!$E$2:$E$301,MATCH(C756,Customers!$A$2:$A$301,0))</f>
        <v>Returning</v>
      </c>
      <c r="T756" s="6" t="str">
        <f aca="false">Orders!I756</f>
        <v>Mobile App</v>
      </c>
      <c r="U756" s="1" t="str">
        <f aca="false">IF(Q756="Delivered","Completed",IF(Q756="Cancelled","Cancelled",IF(Q756="Returned","Returned","In Progress")))</f>
        <v>Completed</v>
      </c>
      <c r="V756" s="1" t="str">
        <f aca="false">IF(M756&gt;=10000,"High Value",IF(M756&gt;=5000,"Medium Value","Low Value"))</f>
        <v>Low Value</v>
      </c>
      <c r="W756" s="1" t="str">
        <f aca="false">IF(O756&gt;0,"Profitable",IF(O756=0,"Break-even","Loss"))</f>
        <v>Profitable</v>
      </c>
      <c r="X756" s="1" t="str">
        <f aca="false">IF(Q756="Cancelled","Not Applicable",IF(Q756="Processing","Pending",IF(B756="","Unknown",IF(Orders!J756="","Unknown",IF(Orders!J756&lt;=3,"Fast",IF(Orders!J756&lt;=6,"Standard","Slow"))))))</f>
        <v>Fast</v>
      </c>
      <c r="Y756" s="1" t="n">
        <f aca="false">IF(OR(Q756="Cancelled",Q756="Returned"),0,O756)</f>
        <v>318.4</v>
      </c>
    </row>
    <row r="757" customFormat="false" ht="15" hidden="false" customHeight="false" outlineLevel="0" collapsed="false">
      <c r="A757" s="6" t="str">
        <f aca="false">Orders!A757</f>
        <v>O000756</v>
      </c>
      <c r="B757" s="19" t="n">
        <f aca="false">Orders!B757</f>
        <v>45995</v>
      </c>
      <c r="C757" s="6" t="str">
        <f aca="false">Orders!C757</f>
        <v>C0038</v>
      </c>
      <c r="D757" s="6" t="str">
        <f aca="false">Orders!D757</f>
        <v>P1048</v>
      </c>
      <c r="E757" s="6" t="str">
        <f aca="false">INDEX(Products!$B$2:$B$101,MATCH(D757,Products!$A$2:$A$101,0))</f>
        <v>Shampoo</v>
      </c>
      <c r="F757" s="1" t="str">
        <f aca="false">INDEX(Products!$C$2:$C$101,MATCH(D757,Products!$A$2:$A$101,0))</f>
        <v>Beauty</v>
      </c>
      <c r="G757" s="6" t="n">
        <f aca="false">Orders!E757</f>
        <v>1</v>
      </c>
      <c r="H757" s="16" t="n">
        <f aca="false">INDEX(Products!$D$2:$D$101,MATCH(D757,Products!$A$2:$A$101,0))</f>
        <v>349</v>
      </c>
      <c r="I757" s="16" t="n">
        <f aca="false">INDEX(Products!$E$2:$E$101,MATCH(D757,Products!$A$2:$A$101,0))</f>
        <v>150</v>
      </c>
      <c r="J757" s="20" t="n">
        <f aca="false">Orders!F757</f>
        <v>0</v>
      </c>
      <c r="K757" s="6" t="n">
        <f aca="false">G757*H757</f>
        <v>349</v>
      </c>
      <c r="L757" s="6" t="n">
        <f aca="false">K757*J757</f>
        <v>0</v>
      </c>
      <c r="M757" s="6" t="n">
        <f aca="false">K757-L757</f>
        <v>349</v>
      </c>
      <c r="N757" s="6" t="n">
        <f aca="false">G757*I757</f>
        <v>150</v>
      </c>
      <c r="O757" s="6" t="n">
        <f aca="false">M757-N757</f>
        <v>199</v>
      </c>
      <c r="P757" s="21" t="n">
        <f aca="false">IFERROR(O757/M757,0)</f>
        <v>0.570200573065903</v>
      </c>
      <c r="Q757" s="6" t="str">
        <f aca="false">Orders!H757</f>
        <v>Delivered</v>
      </c>
      <c r="R757" s="1" t="str">
        <f aca="false">INDEX(Customers!$C$2:$C$301,MATCH(C757,Customers!$A$2:$A$301,0))</f>
        <v>Nagpur</v>
      </c>
      <c r="S757" s="1" t="str">
        <f aca="false">INDEX(Customers!$E$2:$E$301,MATCH(C757,Customers!$A$2:$A$301,0))</f>
        <v>Returning</v>
      </c>
      <c r="T757" s="6" t="str">
        <f aca="false">Orders!I757</f>
        <v>Marketplace</v>
      </c>
      <c r="U757" s="1" t="str">
        <f aca="false">IF(Q757="Delivered","Completed",IF(Q757="Cancelled","Cancelled",IF(Q757="Returned","Returned","In Progress")))</f>
        <v>Completed</v>
      </c>
      <c r="V757" s="1" t="str">
        <f aca="false">IF(M757&gt;=10000,"High Value",IF(M757&gt;=5000,"Medium Value","Low Value"))</f>
        <v>Low Value</v>
      </c>
      <c r="W757" s="1" t="str">
        <f aca="false">IF(O757&gt;0,"Profitable",IF(O757=0,"Break-even","Loss"))</f>
        <v>Profitable</v>
      </c>
      <c r="X757" s="1" t="str">
        <f aca="false">IF(Q757="Cancelled","Not Applicable",IF(Q757="Processing","Pending",IF(B757="","Unknown",IF(Orders!J757="","Unknown",IF(Orders!J757&lt;=3,"Fast",IF(Orders!J757&lt;=6,"Standard","Slow"))))))</f>
        <v>Slow</v>
      </c>
      <c r="Y757" s="1" t="n">
        <f aca="false">IF(OR(Q757="Cancelled",Q757="Returned"),0,O757)</f>
        <v>199</v>
      </c>
    </row>
    <row r="758" customFormat="false" ht="15" hidden="false" customHeight="false" outlineLevel="0" collapsed="false">
      <c r="A758" s="6" t="str">
        <f aca="false">Orders!A758</f>
        <v>O000757</v>
      </c>
      <c r="B758" s="19" t="n">
        <f aca="false">Orders!B758</f>
        <v>45906</v>
      </c>
      <c r="C758" s="6" t="str">
        <f aca="false">Orders!C758</f>
        <v>C0049</v>
      </c>
      <c r="D758" s="6" t="str">
        <f aca="false">Orders!D758</f>
        <v>P1095</v>
      </c>
      <c r="E758" s="6" t="str">
        <f aca="false">INDEX(Products!$B$2:$B$101,MATCH(D758,Products!$A$2:$A$101,0))</f>
        <v>Table Fan</v>
      </c>
      <c r="F758" s="1" t="str">
        <f aca="false">INDEX(Products!$C$2:$C$101,MATCH(D758,Products!$A$2:$A$101,0))</f>
        <v>Appliances</v>
      </c>
      <c r="G758" s="6" t="n">
        <f aca="false">Orders!E758</f>
        <v>1</v>
      </c>
      <c r="H758" s="16" t="n">
        <f aca="false">INDEX(Products!$D$2:$D$101,MATCH(D758,Products!$A$2:$A$101,0))</f>
        <v>1599</v>
      </c>
      <c r="I758" s="16" t="n">
        <f aca="false">INDEX(Products!$E$2:$E$101,MATCH(D758,Products!$A$2:$A$101,0))</f>
        <v>950</v>
      </c>
      <c r="J758" s="20" t="n">
        <f aca="false">Orders!F758</f>
        <v>0</v>
      </c>
      <c r="K758" s="6" t="n">
        <f aca="false">G758*H758</f>
        <v>1599</v>
      </c>
      <c r="L758" s="6" t="n">
        <f aca="false">K758*J758</f>
        <v>0</v>
      </c>
      <c r="M758" s="6" t="n">
        <f aca="false">K758-L758</f>
        <v>1599</v>
      </c>
      <c r="N758" s="6" t="n">
        <f aca="false">G758*I758</f>
        <v>950</v>
      </c>
      <c r="O758" s="6" t="n">
        <f aca="false">M758-N758</f>
        <v>649</v>
      </c>
      <c r="P758" s="21" t="n">
        <f aca="false">IFERROR(O758/M758,0)</f>
        <v>0.405878674171357</v>
      </c>
      <c r="Q758" s="6" t="str">
        <f aca="false">Orders!H758</f>
        <v>Processing</v>
      </c>
      <c r="R758" s="1" t="str">
        <f aca="false">INDEX(Customers!$C$2:$C$301,MATCH(C758,Customers!$A$2:$A$301,0))</f>
        <v>Ahmedabad</v>
      </c>
      <c r="S758" s="1" t="str">
        <f aca="false">INDEX(Customers!$E$2:$E$301,MATCH(C758,Customers!$A$2:$A$301,0))</f>
        <v>Returning</v>
      </c>
      <c r="T758" s="6" t="str">
        <f aca="false">Orders!I758</f>
        <v>Marketplace</v>
      </c>
      <c r="U758" s="1" t="str">
        <f aca="false">IF(Q758="Delivered","Completed",IF(Q758="Cancelled","Cancelled",IF(Q758="Returned","Returned","In Progress")))</f>
        <v>In Progress</v>
      </c>
      <c r="V758" s="1" t="str">
        <f aca="false">IF(M758&gt;=10000,"High Value",IF(M758&gt;=5000,"Medium Value","Low Value"))</f>
        <v>Low Value</v>
      </c>
      <c r="W758" s="1" t="str">
        <f aca="false">IF(O758&gt;0,"Profitable",IF(O758=0,"Break-even","Loss"))</f>
        <v>Profitable</v>
      </c>
      <c r="X758" s="1" t="str">
        <f aca="false">IF(Q758="Cancelled","Not Applicable",IF(Q758="Processing","Pending",IF(B758="","Unknown",IF(Orders!J758="","Unknown",IF(Orders!J758&lt;=3,"Fast",IF(Orders!J758&lt;=6,"Standard","Slow"))))))</f>
        <v>Pending</v>
      </c>
      <c r="Y758" s="1" t="n">
        <f aca="false">IF(OR(Q758="Cancelled",Q758="Returned"),0,O758)</f>
        <v>649</v>
      </c>
    </row>
    <row r="759" customFormat="false" ht="15" hidden="false" customHeight="false" outlineLevel="0" collapsed="false">
      <c r="A759" s="6" t="str">
        <f aca="false">Orders!A759</f>
        <v>O000758</v>
      </c>
      <c r="B759" s="19" t="n">
        <f aca="false">Orders!B759</f>
        <v>45759</v>
      </c>
      <c r="C759" s="6" t="str">
        <f aca="false">Orders!C759</f>
        <v>C0253</v>
      </c>
      <c r="D759" s="6" t="str">
        <f aca="false">Orders!D759</f>
        <v>P1066</v>
      </c>
      <c r="E759" s="6" t="str">
        <f aca="false">INDEX(Products!$B$2:$B$101,MATCH(D759,Products!$A$2:$A$101,0))</f>
        <v>Gym Gloves</v>
      </c>
      <c r="F759" s="1" t="str">
        <f aca="false">INDEX(Products!$C$2:$C$101,MATCH(D759,Products!$A$2:$A$101,0))</f>
        <v>Sports &amp; Outdoors</v>
      </c>
      <c r="G759" s="6" t="n">
        <f aca="false">Orders!E759</f>
        <v>1</v>
      </c>
      <c r="H759" s="16" t="n">
        <f aca="false">INDEX(Products!$D$2:$D$101,MATCH(D759,Products!$A$2:$A$101,0))</f>
        <v>499</v>
      </c>
      <c r="I759" s="16" t="n">
        <f aca="false">INDEX(Products!$E$2:$E$101,MATCH(D759,Products!$A$2:$A$101,0))</f>
        <v>200</v>
      </c>
      <c r="J759" s="20" t="n">
        <f aca="false">Orders!F759</f>
        <v>0.05</v>
      </c>
      <c r="K759" s="6" t="n">
        <f aca="false">G759*H759</f>
        <v>499</v>
      </c>
      <c r="L759" s="6" t="n">
        <f aca="false">K759*J759</f>
        <v>24.95</v>
      </c>
      <c r="M759" s="6" t="n">
        <f aca="false">K759-L759</f>
        <v>474.05</v>
      </c>
      <c r="N759" s="6" t="n">
        <f aca="false">G759*I759</f>
        <v>200</v>
      </c>
      <c r="O759" s="6" t="n">
        <f aca="false">M759-N759</f>
        <v>274.05</v>
      </c>
      <c r="P759" s="21" t="n">
        <f aca="false">IFERROR(O759/M759,0)</f>
        <v>0.578103575572197</v>
      </c>
      <c r="Q759" s="6" t="str">
        <f aca="false">Orders!H759</f>
        <v>Delivered</v>
      </c>
      <c r="R759" s="1" t="str">
        <f aca="false">INDEX(Customers!$C$2:$C$301,MATCH(C759,Customers!$A$2:$A$301,0))</f>
        <v>Kochi</v>
      </c>
      <c r="S759" s="1" t="str">
        <f aca="false">INDEX(Customers!$E$2:$E$301,MATCH(C759,Customers!$A$2:$A$301,0))</f>
        <v>New</v>
      </c>
      <c r="T759" s="6" t="str">
        <f aca="false">Orders!I759</f>
        <v>Marketplace</v>
      </c>
      <c r="U759" s="1" t="str">
        <f aca="false">IF(Q759="Delivered","Completed",IF(Q759="Cancelled","Cancelled",IF(Q759="Returned","Returned","In Progress")))</f>
        <v>Completed</v>
      </c>
      <c r="V759" s="1" t="str">
        <f aca="false">IF(M759&gt;=10000,"High Value",IF(M759&gt;=5000,"Medium Value","Low Value"))</f>
        <v>Low Value</v>
      </c>
      <c r="W759" s="1" t="str">
        <f aca="false">IF(O759&gt;0,"Profitable",IF(O759=0,"Break-even","Loss"))</f>
        <v>Profitable</v>
      </c>
      <c r="X759" s="1" t="str">
        <f aca="false">IF(Q759="Cancelled","Not Applicable",IF(Q759="Processing","Pending",IF(B759="","Unknown",IF(Orders!J759="","Unknown",IF(Orders!J759&lt;=3,"Fast",IF(Orders!J759&lt;=6,"Standard","Slow"))))))</f>
        <v>Slow</v>
      </c>
      <c r="Y759" s="1" t="n">
        <f aca="false">IF(OR(Q759="Cancelled",Q759="Returned"),0,O759)</f>
        <v>274.05</v>
      </c>
    </row>
    <row r="760" customFormat="false" ht="15" hidden="false" customHeight="false" outlineLevel="0" collapsed="false">
      <c r="A760" s="6" t="str">
        <f aca="false">Orders!A760</f>
        <v>O000759</v>
      </c>
      <c r="B760" s="19" t="n">
        <f aca="false">Orders!B760</f>
        <v>45786</v>
      </c>
      <c r="C760" s="6" t="str">
        <f aca="false">Orders!C760</f>
        <v>C0146</v>
      </c>
      <c r="D760" s="6" t="str">
        <f aca="false">Orders!D760</f>
        <v>P1009</v>
      </c>
      <c r="E760" s="6" t="str">
        <f aca="false">INDEX(Products!$B$2:$B$101,MATCH(D760,Products!$A$2:$A$101,0))</f>
        <v>Laptop Sleeve</v>
      </c>
      <c r="F760" s="1" t="str">
        <f aca="false">INDEX(Products!$C$2:$C$101,MATCH(D760,Products!$A$2:$A$101,0))</f>
        <v>Electronics</v>
      </c>
      <c r="G760" s="6" t="n">
        <f aca="false">Orders!E760</f>
        <v>2</v>
      </c>
      <c r="H760" s="16" t="n">
        <f aca="false">INDEX(Products!$D$2:$D$101,MATCH(D760,Products!$A$2:$A$101,0))</f>
        <v>799</v>
      </c>
      <c r="I760" s="16" t="n">
        <f aca="false">INDEX(Products!$E$2:$E$101,MATCH(D760,Products!$A$2:$A$101,0))</f>
        <v>350</v>
      </c>
      <c r="J760" s="20" t="n">
        <f aca="false">Orders!F760</f>
        <v>0.15</v>
      </c>
      <c r="K760" s="6" t="n">
        <f aca="false">G760*H760</f>
        <v>1598</v>
      </c>
      <c r="L760" s="6" t="n">
        <f aca="false">K760*J760</f>
        <v>239.7</v>
      </c>
      <c r="M760" s="6" t="n">
        <f aca="false">K760-L760</f>
        <v>1358.3</v>
      </c>
      <c r="N760" s="6" t="n">
        <f aca="false">G760*I760</f>
        <v>700</v>
      </c>
      <c r="O760" s="6" t="n">
        <f aca="false">M760-N760</f>
        <v>658.3</v>
      </c>
      <c r="P760" s="21" t="n">
        <f aca="false">IFERROR(O760/M760,0)</f>
        <v>0.484649930059633</v>
      </c>
      <c r="Q760" s="6" t="str">
        <f aca="false">Orders!H760</f>
        <v>Delivered</v>
      </c>
      <c r="R760" s="1" t="str">
        <f aca="false">INDEX(Customers!$C$2:$C$301,MATCH(C760,Customers!$A$2:$A$301,0))</f>
        <v>Kolkata</v>
      </c>
      <c r="S760" s="1" t="str">
        <f aca="false">INDEX(Customers!$E$2:$E$301,MATCH(C760,Customers!$A$2:$A$301,0))</f>
        <v>New</v>
      </c>
      <c r="T760" s="6" t="str">
        <f aca="false">Orders!I760</f>
        <v>Marketplace</v>
      </c>
      <c r="U760" s="1" t="str">
        <f aca="false">IF(Q760="Delivered","Completed",IF(Q760="Cancelled","Cancelled",IF(Q760="Returned","Returned","In Progress")))</f>
        <v>Completed</v>
      </c>
      <c r="V760" s="1" t="str">
        <f aca="false">IF(M760&gt;=10000,"High Value",IF(M760&gt;=5000,"Medium Value","Low Value"))</f>
        <v>Low Value</v>
      </c>
      <c r="W760" s="1" t="str">
        <f aca="false">IF(O760&gt;0,"Profitable",IF(O760=0,"Break-even","Loss"))</f>
        <v>Profitable</v>
      </c>
      <c r="X760" s="1" t="str">
        <f aca="false">IF(Q760="Cancelled","Not Applicable",IF(Q760="Processing","Pending",IF(B760="","Unknown",IF(Orders!J760="","Unknown",IF(Orders!J760&lt;=3,"Fast",IF(Orders!J760&lt;=6,"Standard","Slow"))))))</f>
        <v>Standard</v>
      </c>
      <c r="Y760" s="1" t="n">
        <f aca="false">IF(OR(Q760="Cancelled",Q760="Returned"),0,O760)</f>
        <v>658.3</v>
      </c>
    </row>
    <row r="761" customFormat="false" ht="23.85" hidden="false" customHeight="false" outlineLevel="0" collapsed="false">
      <c r="A761" s="6" t="str">
        <f aca="false">Orders!A761</f>
        <v>O000760</v>
      </c>
      <c r="B761" s="19" t="n">
        <f aca="false">Orders!B761</f>
        <v>45978</v>
      </c>
      <c r="C761" s="6" t="str">
        <f aca="false">Orders!C761</f>
        <v>C0288</v>
      </c>
      <c r="D761" s="6" t="str">
        <f aca="false">Orders!D761</f>
        <v>P1041</v>
      </c>
      <c r="E761" s="6" t="str">
        <f aca="false">INDEX(Products!$B$2:$B$101,MATCH(D761,Products!$A$2:$A$101,0))</f>
        <v>Food Storage Jars</v>
      </c>
      <c r="F761" s="1" t="str">
        <f aca="false">INDEX(Products!$C$2:$C$101,MATCH(D761,Products!$A$2:$A$101,0))</f>
        <v>Home &amp; Kitchen</v>
      </c>
      <c r="G761" s="6" t="n">
        <f aca="false">Orders!E761</f>
        <v>4</v>
      </c>
      <c r="H761" s="16" t="n">
        <f aca="false">INDEX(Products!$D$2:$D$101,MATCH(D761,Products!$A$2:$A$101,0))</f>
        <v>499</v>
      </c>
      <c r="I761" s="16" t="n">
        <f aca="false">INDEX(Products!$E$2:$E$101,MATCH(D761,Products!$A$2:$A$101,0))</f>
        <v>220</v>
      </c>
      <c r="J761" s="20" t="n">
        <f aca="false">Orders!F761</f>
        <v>0.05</v>
      </c>
      <c r="K761" s="6" t="n">
        <f aca="false">G761*H761</f>
        <v>1996</v>
      </c>
      <c r="L761" s="6" t="n">
        <f aca="false">K761*J761</f>
        <v>99.8</v>
      </c>
      <c r="M761" s="6" t="n">
        <f aca="false">K761-L761</f>
        <v>1896.2</v>
      </c>
      <c r="N761" s="6" t="n">
        <f aca="false">G761*I761</f>
        <v>880</v>
      </c>
      <c r="O761" s="6" t="n">
        <f aca="false">M761-N761</f>
        <v>1016.2</v>
      </c>
      <c r="P761" s="21" t="n">
        <f aca="false">IFERROR(O761/M761,0)</f>
        <v>0.535913933129417</v>
      </c>
      <c r="Q761" s="6" t="str">
        <f aca="false">Orders!H761</f>
        <v>Delivered</v>
      </c>
      <c r="R761" s="1" t="str">
        <f aca="false">INDEX(Customers!$C$2:$C$301,MATCH(C761,Customers!$A$2:$A$301,0))</f>
        <v>Jaipur</v>
      </c>
      <c r="S761" s="1" t="str">
        <f aca="false">INDEX(Customers!$E$2:$E$301,MATCH(C761,Customers!$A$2:$A$301,0))</f>
        <v>New</v>
      </c>
      <c r="T761" s="6" t="str">
        <f aca="false">Orders!I761</f>
        <v>Marketplace</v>
      </c>
      <c r="U761" s="1" t="str">
        <f aca="false">IF(Q761="Delivered","Completed",IF(Q761="Cancelled","Cancelled",IF(Q761="Returned","Returned","In Progress")))</f>
        <v>Completed</v>
      </c>
      <c r="V761" s="1" t="str">
        <f aca="false">IF(M761&gt;=10000,"High Value",IF(M761&gt;=5000,"Medium Value","Low Value"))</f>
        <v>Low Value</v>
      </c>
      <c r="W761" s="1" t="str">
        <f aca="false">IF(O761&gt;0,"Profitable",IF(O761=0,"Break-even","Loss"))</f>
        <v>Profitable</v>
      </c>
      <c r="X761" s="1" t="str">
        <f aca="false">IF(Q761="Cancelled","Not Applicable",IF(Q761="Processing","Pending",IF(B761="","Unknown",IF(Orders!J761="","Unknown",IF(Orders!J761&lt;=3,"Fast",IF(Orders!J761&lt;=6,"Standard","Slow"))))))</f>
        <v>Fast</v>
      </c>
      <c r="Y761" s="1" t="n">
        <f aca="false">IF(OR(Q761="Cancelled",Q761="Returned"),0,O761)</f>
        <v>1016.2</v>
      </c>
    </row>
    <row r="762" customFormat="false" ht="23.85" hidden="false" customHeight="false" outlineLevel="0" collapsed="false">
      <c r="A762" s="6" t="str">
        <f aca="false">Orders!A762</f>
        <v>O000761</v>
      </c>
      <c r="B762" s="19" t="n">
        <f aca="false">Orders!B762</f>
        <v>45983</v>
      </c>
      <c r="C762" s="6" t="str">
        <f aca="false">Orders!C762</f>
        <v>C0166</v>
      </c>
      <c r="D762" s="6" t="str">
        <f aca="false">Orders!D762</f>
        <v>P1012</v>
      </c>
      <c r="E762" s="6" t="str">
        <f aca="false">INDEX(Products!$B$2:$B$101,MATCH(D762,Products!$A$2:$A$101,0))</f>
        <v>Charging Adapter</v>
      </c>
      <c r="F762" s="1" t="str">
        <f aca="false">INDEX(Products!$C$2:$C$101,MATCH(D762,Products!$A$2:$A$101,0))</f>
        <v>Electronics</v>
      </c>
      <c r="G762" s="6" t="n">
        <f aca="false">Orders!E762</f>
        <v>2</v>
      </c>
      <c r="H762" s="16" t="n">
        <f aca="false">INDEX(Products!$D$2:$D$101,MATCH(D762,Products!$A$2:$A$101,0))</f>
        <v>599</v>
      </c>
      <c r="I762" s="16" t="n">
        <f aca="false">INDEX(Products!$E$2:$E$101,MATCH(D762,Products!$A$2:$A$101,0))</f>
        <v>260</v>
      </c>
      <c r="J762" s="20" t="n">
        <f aca="false">Orders!F762</f>
        <v>0.15</v>
      </c>
      <c r="K762" s="6" t="n">
        <f aca="false">G762*H762</f>
        <v>1198</v>
      </c>
      <c r="L762" s="6" t="n">
        <f aca="false">K762*J762</f>
        <v>179.7</v>
      </c>
      <c r="M762" s="6" t="n">
        <f aca="false">K762-L762</f>
        <v>1018.3</v>
      </c>
      <c r="N762" s="6" t="n">
        <f aca="false">G762*I762</f>
        <v>520</v>
      </c>
      <c r="O762" s="6" t="n">
        <f aca="false">M762-N762</f>
        <v>498.3</v>
      </c>
      <c r="P762" s="21" t="n">
        <f aca="false">IFERROR(O762/M762,0)</f>
        <v>0.48934498674261</v>
      </c>
      <c r="Q762" s="6" t="str">
        <f aca="false">Orders!H762</f>
        <v>Shipped</v>
      </c>
      <c r="R762" s="1" t="str">
        <f aca="false">INDEX(Customers!$C$2:$C$301,MATCH(C762,Customers!$A$2:$A$301,0))</f>
        <v>Kolkata</v>
      </c>
      <c r="S762" s="1" t="str">
        <f aca="false">INDEX(Customers!$E$2:$E$301,MATCH(C762,Customers!$A$2:$A$301,0))</f>
        <v>New</v>
      </c>
      <c r="T762" s="6" t="str">
        <f aca="false">Orders!I762</f>
        <v>Website</v>
      </c>
      <c r="U762" s="1" t="str">
        <f aca="false">IF(Q762="Delivered","Completed",IF(Q762="Cancelled","Cancelled",IF(Q762="Returned","Returned","In Progress")))</f>
        <v>In Progress</v>
      </c>
      <c r="V762" s="1" t="str">
        <f aca="false">IF(M762&gt;=10000,"High Value",IF(M762&gt;=5000,"Medium Value","Low Value"))</f>
        <v>Low Value</v>
      </c>
      <c r="W762" s="1" t="str">
        <f aca="false">IF(O762&gt;0,"Profitable",IF(O762=0,"Break-even","Loss"))</f>
        <v>Profitable</v>
      </c>
      <c r="X762" s="1" t="str">
        <f aca="false">IF(Q762="Cancelled","Not Applicable",IF(Q762="Processing","Pending",IF(B762="","Unknown",IF(Orders!J762="","Unknown",IF(Orders!J762&lt;=3,"Fast",IF(Orders!J762&lt;=6,"Standard","Slow"))))))</f>
        <v>Slow</v>
      </c>
      <c r="Y762" s="1" t="n">
        <f aca="false">IF(OR(Q762="Cancelled",Q762="Returned"),0,O762)</f>
        <v>498.3</v>
      </c>
    </row>
    <row r="763" customFormat="false" ht="15" hidden="false" customHeight="false" outlineLevel="0" collapsed="false">
      <c r="A763" s="6" t="str">
        <f aca="false">Orders!A763</f>
        <v>O000762</v>
      </c>
      <c r="B763" s="19" t="n">
        <f aca="false">Orders!B763</f>
        <v>45943</v>
      </c>
      <c r="C763" s="6" t="str">
        <f aca="false">Orders!C763</f>
        <v>C0098</v>
      </c>
      <c r="D763" s="6" t="str">
        <f aca="false">Orders!D763</f>
        <v>P1037</v>
      </c>
      <c r="E763" s="6" t="str">
        <f aca="false">INDEX(Products!$B$2:$B$101,MATCH(D763,Products!$A$2:$A$101,0))</f>
        <v>Pillow Pair</v>
      </c>
      <c r="F763" s="1" t="str">
        <f aca="false">INDEX(Products!$C$2:$C$101,MATCH(D763,Products!$A$2:$A$101,0))</f>
        <v>Home &amp; Kitchen</v>
      </c>
      <c r="G763" s="6" t="n">
        <f aca="false">Orders!E763</f>
        <v>1</v>
      </c>
      <c r="H763" s="16" t="n">
        <f aca="false">INDEX(Products!$D$2:$D$101,MATCH(D763,Products!$A$2:$A$101,0))</f>
        <v>799</v>
      </c>
      <c r="I763" s="16" t="n">
        <f aca="false">INDEX(Products!$E$2:$E$101,MATCH(D763,Products!$A$2:$A$101,0))</f>
        <v>350</v>
      </c>
      <c r="J763" s="20" t="n">
        <f aca="false">Orders!F763</f>
        <v>0.1</v>
      </c>
      <c r="K763" s="6" t="n">
        <f aca="false">G763*H763</f>
        <v>799</v>
      </c>
      <c r="L763" s="6" t="n">
        <f aca="false">K763*J763</f>
        <v>79.9</v>
      </c>
      <c r="M763" s="6" t="n">
        <f aca="false">K763-L763</f>
        <v>719.1</v>
      </c>
      <c r="N763" s="6" t="n">
        <f aca="false">G763*I763</f>
        <v>350</v>
      </c>
      <c r="O763" s="6" t="n">
        <f aca="false">M763-N763</f>
        <v>369.1</v>
      </c>
      <c r="P763" s="21" t="n">
        <f aca="false">IFERROR(O763/M763,0)</f>
        <v>0.513280489500765</v>
      </c>
      <c r="Q763" s="6" t="str">
        <f aca="false">Orders!H763</f>
        <v>Delivered</v>
      </c>
      <c r="R763" s="1" t="str">
        <f aca="false">INDEX(Customers!$C$2:$C$301,MATCH(C763,Customers!$A$2:$A$301,0))</f>
        <v>Nagpur</v>
      </c>
      <c r="S763" s="1" t="str">
        <f aca="false">INDEX(Customers!$E$2:$E$301,MATCH(C763,Customers!$A$2:$A$301,0))</f>
        <v>Returning</v>
      </c>
      <c r="T763" s="6" t="str">
        <f aca="false">Orders!I763</f>
        <v>Marketplace</v>
      </c>
      <c r="U763" s="1" t="str">
        <f aca="false">IF(Q763="Delivered","Completed",IF(Q763="Cancelled","Cancelled",IF(Q763="Returned","Returned","In Progress")))</f>
        <v>Completed</v>
      </c>
      <c r="V763" s="1" t="str">
        <f aca="false">IF(M763&gt;=10000,"High Value",IF(M763&gt;=5000,"Medium Value","Low Value"))</f>
        <v>Low Value</v>
      </c>
      <c r="W763" s="1" t="str">
        <f aca="false">IF(O763&gt;0,"Profitable",IF(O763=0,"Break-even","Loss"))</f>
        <v>Profitable</v>
      </c>
      <c r="X763" s="1" t="str">
        <f aca="false">IF(Q763="Cancelled","Not Applicable",IF(Q763="Processing","Pending",IF(B763="","Unknown",IF(Orders!J763="","Unknown",IF(Orders!J763&lt;=3,"Fast",IF(Orders!J763&lt;=6,"Standard","Slow"))))))</f>
        <v>Standard</v>
      </c>
      <c r="Y763" s="1" t="n">
        <f aca="false">IF(OR(Q763="Cancelled",Q763="Returned"),0,O763)</f>
        <v>369.1</v>
      </c>
    </row>
    <row r="764" customFormat="false" ht="15" hidden="false" customHeight="false" outlineLevel="0" collapsed="false">
      <c r="A764" s="6" t="str">
        <f aca="false">Orders!A764</f>
        <v>O000763</v>
      </c>
      <c r="B764" s="19" t="n">
        <f aca="false">Orders!B764</f>
        <v>45912</v>
      </c>
      <c r="C764" s="6" t="str">
        <f aca="false">Orders!C764</f>
        <v>C0117</v>
      </c>
      <c r="D764" s="6" t="str">
        <f aca="false">Orders!D764</f>
        <v>P1006</v>
      </c>
      <c r="E764" s="6" t="str">
        <f aca="false">INDEX(Products!$B$2:$B$101,MATCH(D764,Products!$A$2:$A$101,0))</f>
        <v>Wireless Mouse</v>
      </c>
      <c r="F764" s="1" t="str">
        <f aca="false">INDEX(Products!$C$2:$C$101,MATCH(D764,Products!$A$2:$A$101,0))</f>
        <v>Electronics</v>
      </c>
      <c r="G764" s="6" t="n">
        <f aca="false">Orders!E764</f>
        <v>2</v>
      </c>
      <c r="H764" s="16" t="n">
        <f aca="false">INDEX(Products!$D$2:$D$101,MATCH(D764,Products!$A$2:$A$101,0))</f>
        <v>699</v>
      </c>
      <c r="I764" s="16" t="n">
        <f aca="false">INDEX(Products!$E$2:$E$101,MATCH(D764,Products!$A$2:$A$101,0))</f>
        <v>300</v>
      </c>
      <c r="J764" s="20" t="n">
        <f aca="false">Orders!F764</f>
        <v>0.1</v>
      </c>
      <c r="K764" s="6" t="n">
        <f aca="false">G764*H764</f>
        <v>1398</v>
      </c>
      <c r="L764" s="6" t="n">
        <f aca="false">K764*J764</f>
        <v>139.8</v>
      </c>
      <c r="M764" s="6" t="n">
        <f aca="false">K764-L764</f>
        <v>1258.2</v>
      </c>
      <c r="N764" s="6" t="n">
        <f aca="false">G764*I764</f>
        <v>600</v>
      </c>
      <c r="O764" s="6" t="n">
        <f aca="false">M764-N764</f>
        <v>658.2</v>
      </c>
      <c r="P764" s="21" t="n">
        <f aca="false">IFERROR(O764/M764,0)</f>
        <v>0.523128278493085</v>
      </c>
      <c r="Q764" s="6" t="str">
        <f aca="false">Orders!H764</f>
        <v>Delivered</v>
      </c>
      <c r="R764" s="1" t="str">
        <f aca="false">INDEX(Customers!$C$2:$C$301,MATCH(C764,Customers!$A$2:$A$301,0))</f>
        <v>Surat</v>
      </c>
      <c r="S764" s="1" t="str">
        <f aca="false">INDEX(Customers!$E$2:$E$301,MATCH(C764,Customers!$A$2:$A$301,0))</f>
        <v>Returning</v>
      </c>
      <c r="T764" s="6" t="str">
        <f aca="false">Orders!I764</f>
        <v>Mobile App</v>
      </c>
      <c r="U764" s="1" t="str">
        <f aca="false">IF(Q764="Delivered","Completed",IF(Q764="Cancelled","Cancelled",IF(Q764="Returned","Returned","In Progress")))</f>
        <v>Completed</v>
      </c>
      <c r="V764" s="1" t="str">
        <f aca="false">IF(M764&gt;=10000,"High Value",IF(M764&gt;=5000,"Medium Value","Low Value"))</f>
        <v>Low Value</v>
      </c>
      <c r="W764" s="1" t="str">
        <f aca="false">IF(O764&gt;0,"Profitable",IF(O764=0,"Break-even","Loss"))</f>
        <v>Profitable</v>
      </c>
      <c r="X764" s="1" t="str">
        <f aca="false">IF(Q764="Cancelled","Not Applicable",IF(Q764="Processing","Pending",IF(B764="","Unknown",IF(Orders!J764="","Unknown",IF(Orders!J764&lt;=3,"Fast",IF(Orders!J764&lt;=6,"Standard","Slow"))))))</f>
        <v>Slow</v>
      </c>
      <c r="Y764" s="1" t="n">
        <f aca="false">IF(OR(Q764="Cancelled",Q764="Returned"),0,O764)</f>
        <v>658.2</v>
      </c>
    </row>
    <row r="765" customFormat="false" ht="15" hidden="false" customHeight="false" outlineLevel="0" collapsed="false">
      <c r="A765" s="6" t="str">
        <f aca="false">Orders!A765</f>
        <v>O000764</v>
      </c>
      <c r="B765" s="19" t="n">
        <f aca="false">Orders!B765</f>
        <v>45794</v>
      </c>
      <c r="C765" s="6" t="str">
        <f aca="false">Orders!C765</f>
        <v>C0243</v>
      </c>
      <c r="D765" s="6" t="str">
        <f aca="false">Orders!D765</f>
        <v>P1085</v>
      </c>
      <c r="E765" s="6" t="str">
        <f aca="false">INDEX(Products!$B$2:$B$101,MATCH(D765,Products!$A$2:$A$101,0))</f>
        <v>Marker Set</v>
      </c>
      <c r="F765" s="1" t="str">
        <f aca="false">INDEX(Products!$C$2:$C$101,MATCH(D765,Products!$A$2:$A$101,0))</f>
        <v>Books &amp; Stationery</v>
      </c>
      <c r="G765" s="6" t="n">
        <f aca="false">Orders!E765</f>
        <v>2</v>
      </c>
      <c r="H765" s="16" t="n">
        <f aca="false">INDEX(Products!$D$2:$D$101,MATCH(D765,Products!$A$2:$A$101,0))</f>
        <v>299</v>
      </c>
      <c r="I765" s="16" t="n">
        <f aca="false">INDEX(Products!$E$2:$E$101,MATCH(D765,Products!$A$2:$A$101,0))</f>
        <v>110</v>
      </c>
      <c r="J765" s="20" t="n">
        <f aca="false">Orders!F765</f>
        <v>0.15</v>
      </c>
      <c r="K765" s="6" t="n">
        <f aca="false">G765*H765</f>
        <v>598</v>
      </c>
      <c r="L765" s="6" t="n">
        <f aca="false">K765*J765</f>
        <v>89.7</v>
      </c>
      <c r="M765" s="6" t="n">
        <f aca="false">K765-L765</f>
        <v>508.3</v>
      </c>
      <c r="N765" s="6" t="n">
        <f aca="false">G765*I765</f>
        <v>220</v>
      </c>
      <c r="O765" s="6" t="n">
        <f aca="false">M765-N765</f>
        <v>288.3</v>
      </c>
      <c r="P765" s="21" t="n">
        <f aca="false">IFERROR(O765/M765,0)</f>
        <v>0.567184733425143</v>
      </c>
      <c r="Q765" s="6" t="str">
        <f aca="false">Orders!H765</f>
        <v>Delivered</v>
      </c>
      <c r="R765" s="1" t="str">
        <f aca="false">INDEX(Customers!$C$2:$C$301,MATCH(C765,Customers!$A$2:$A$301,0))</f>
        <v>Bengaluru</v>
      </c>
      <c r="S765" s="1" t="str">
        <f aca="false">INDEX(Customers!$E$2:$E$301,MATCH(C765,Customers!$A$2:$A$301,0))</f>
        <v>New</v>
      </c>
      <c r="T765" s="6" t="str">
        <f aca="false">Orders!I765</f>
        <v>Mobile App</v>
      </c>
      <c r="U765" s="1" t="str">
        <f aca="false">IF(Q765="Delivered","Completed",IF(Q765="Cancelled","Cancelled",IF(Q765="Returned","Returned","In Progress")))</f>
        <v>Completed</v>
      </c>
      <c r="V765" s="1" t="str">
        <f aca="false">IF(M765&gt;=10000,"High Value",IF(M765&gt;=5000,"Medium Value","Low Value"))</f>
        <v>Low Value</v>
      </c>
      <c r="W765" s="1" t="str">
        <f aca="false">IF(O765&gt;0,"Profitable",IF(O765=0,"Break-even","Loss"))</f>
        <v>Profitable</v>
      </c>
      <c r="X765" s="1" t="str">
        <f aca="false">IF(Q765="Cancelled","Not Applicable",IF(Q765="Processing","Pending",IF(B765="","Unknown",IF(Orders!J765="","Unknown",IF(Orders!J765&lt;=3,"Fast",IF(Orders!J765&lt;=6,"Standard","Slow"))))))</f>
        <v>Fast</v>
      </c>
      <c r="Y765" s="1" t="n">
        <f aca="false">IF(OR(Q765="Cancelled",Q765="Returned"),0,O765)</f>
        <v>288.3</v>
      </c>
    </row>
    <row r="766" customFormat="false" ht="15" hidden="false" customHeight="false" outlineLevel="0" collapsed="false">
      <c r="A766" s="6" t="str">
        <f aca="false">Orders!A766</f>
        <v>O000765</v>
      </c>
      <c r="B766" s="19" t="n">
        <f aca="false">Orders!B766</f>
        <v>45695</v>
      </c>
      <c r="C766" s="6" t="str">
        <f aca="false">Orders!C766</f>
        <v>C0107</v>
      </c>
      <c r="D766" s="6" t="str">
        <f aca="false">Orders!D766</f>
        <v>P1036</v>
      </c>
      <c r="E766" s="6" t="str">
        <f aca="false">INDEX(Products!$B$2:$B$101,MATCH(D766,Products!$A$2:$A$101,0))</f>
        <v>Dinner Set</v>
      </c>
      <c r="F766" s="1" t="str">
        <f aca="false">INDEX(Products!$C$2:$C$101,MATCH(D766,Products!$A$2:$A$101,0))</f>
        <v>Home &amp; Kitchen</v>
      </c>
      <c r="G766" s="6" t="n">
        <f aca="false">Orders!E766</f>
        <v>3</v>
      </c>
      <c r="H766" s="16" t="n">
        <f aca="false">INDEX(Products!$D$2:$D$101,MATCH(D766,Products!$A$2:$A$101,0))</f>
        <v>1499</v>
      </c>
      <c r="I766" s="16" t="n">
        <f aca="false">INDEX(Products!$E$2:$E$101,MATCH(D766,Products!$A$2:$A$101,0))</f>
        <v>800</v>
      </c>
      <c r="J766" s="20" t="n">
        <f aca="false">Orders!F766</f>
        <v>0.15</v>
      </c>
      <c r="K766" s="6" t="n">
        <f aca="false">G766*H766</f>
        <v>4497</v>
      </c>
      <c r="L766" s="6" t="n">
        <f aca="false">K766*J766</f>
        <v>674.55</v>
      </c>
      <c r="M766" s="6" t="n">
        <f aca="false">K766-L766</f>
        <v>3822.45</v>
      </c>
      <c r="N766" s="6" t="n">
        <f aca="false">G766*I766</f>
        <v>2400</v>
      </c>
      <c r="O766" s="6" t="n">
        <f aca="false">M766-N766</f>
        <v>1422.45</v>
      </c>
      <c r="P766" s="21" t="n">
        <f aca="false">IFERROR(O766/M766,0)</f>
        <v>0.372130439901111</v>
      </c>
      <c r="Q766" s="6" t="str">
        <f aca="false">Orders!H766</f>
        <v>Delivered</v>
      </c>
      <c r="R766" s="1" t="str">
        <f aca="false">INDEX(Customers!$C$2:$C$301,MATCH(C766,Customers!$A$2:$A$301,0))</f>
        <v>Pune</v>
      </c>
      <c r="S766" s="1" t="str">
        <f aca="false">INDEX(Customers!$E$2:$E$301,MATCH(C766,Customers!$A$2:$A$301,0))</f>
        <v>Returning</v>
      </c>
      <c r="T766" s="6" t="str">
        <f aca="false">Orders!I766</f>
        <v>Mobile App</v>
      </c>
      <c r="U766" s="1" t="str">
        <f aca="false">IF(Q766="Delivered","Completed",IF(Q766="Cancelled","Cancelled",IF(Q766="Returned","Returned","In Progress")))</f>
        <v>Completed</v>
      </c>
      <c r="V766" s="1" t="str">
        <f aca="false">IF(M766&gt;=10000,"High Value",IF(M766&gt;=5000,"Medium Value","Low Value"))</f>
        <v>Low Value</v>
      </c>
      <c r="W766" s="1" t="str">
        <f aca="false">IF(O766&gt;0,"Profitable",IF(O766=0,"Break-even","Loss"))</f>
        <v>Profitable</v>
      </c>
      <c r="X766" s="1" t="str">
        <f aca="false">IF(Q766="Cancelled","Not Applicable",IF(Q766="Processing","Pending",IF(B766="","Unknown",IF(Orders!J766="","Unknown",IF(Orders!J766&lt;=3,"Fast",IF(Orders!J766&lt;=6,"Standard","Slow"))))))</f>
        <v>Standard</v>
      </c>
      <c r="Y766" s="1" t="n">
        <f aca="false">IF(OR(Q766="Cancelled",Q766="Returned"),0,O766)</f>
        <v>1422.45</v>
      </c>
    </row>
    <row r="767" customFormat="false" ht="15" hidden="false" customHeight="false" outlineLevel="0" collapsed="false">
      <c r="A767" s="6" t="str">
        <f aca="false">Orders!A767</f>
        <v>O000766</v>
      </c>
      <c r="B767" s="19" t="n">
        <f aca="false">Orders!B767</f>
        <v>45748</v>
      </c>
      <c r="C767" s="6" t="str">
        <f aca="false">Orders!C767</f>
        <v>C0026</v>
      </c>
      <c r="D767" s="6" t="str">
        <f aca="false">Orders!D767</f>
        <v>P1020</v>
      </c>
      <c r="E767" s="6" t="str">
        <f aca="false">INDEX(Products!$B$2:$B$101,MATCH(D767,Products!$A$2:$A$101,0))</f>
        <v>Backpack</v>
      </c>
      <c r="F767" s="1" t="str">
        <f aca="false">INDEX(Products!$C$2:$C$101,MATCH(D767,Products!$A$2:$A$101,0))</f>
        <v>Fashion</v>
      </c>
      <c r="G767" s="6" t="n">
        <f aca="false">Orders!E767</f>
        <v>1</v>
      </c>
      <c r="H767" s="16" t="n">
        <f aca="false">INDEX(Products!$D$2:$D$101,MATCH(D767,Products!$A$2:$A$101,0))</f>
        <v>1199</v>
      </c>
      <c r="I767" s="16" t="n">
        <f aca="false">INDEX(Products!$E$2:$E$101,MATCH(D767,Products!$A$2:$A$101,0))</f>
        <v>600</v>
      </c>
      <c r="J767" s="20" t="n">
        <f aca="false">Orders!F767</f>
        <v>0.15</v>
      </c>
      <c r="K767" s="6" t="n">
        <f aca="false">G767*H767</f>
        <v>1199</v>
      </c>
      <c r="L767" s="6" t="n">
        <f aca="false">K767*J767</f>
        <v>179.85</v>
      </c>
      <c r="M767" s="6" t="n">
        <f aca="false">K767-L767</f>
        <v>1019.15</v>
      </c>
      <c r="N767" s="6" t="n">
        <f aca="false">G767*I767</f>
        <v>600</v>
      </c>
      <c r="O767" s="6" t="n">
        <f aca="false">M767-N767</f>
        <v>419.15</v>
      </c>
      <c r="P767" s="21" t="n">
        <f aca="false">IFERROR(O767/M767,0)</f>
        <v>0.411274100966492</v>
      </c>
      <c r="Q767" s="6" t="str">
        <f aca="false">Orders!H767</f>
        <v>Delivered</v>
      </c>
      <c r="R767" s="1" t="str">
        <f aca="false">INDEX(Customers!$C$2:$C$301,MATCH(C767,Customers!$A$2:$A$301,0))</f>
        <v>Kolkata</v>
      </c>
      <c r="S767" s="1" t="str">
        <f aca="false">INDEX(Customers!$E$2:$E$301,MATCH(C767,Customers!$A$2:$A$301,0))</f>
        <v>Returning</v>
      </c>
      <c r="T767" s="6" t="str">
        <f aca="false">Orders!I767</f>
        <v>Website</v>
      </c>
      <c r="U767" s="1" t="str">
        <f aca="false">IF(Q767="Delivered","Completed",IF(Q767="Cancelled","Cancelled",IF(Q767="Returned","Returned","In Progress")))</f>
        <v>Completed</v>
      </c>
      <c r="V767" s="1" t="str">
        <f aca="false">IF(M767&gt;=10000,"High Value",IF(M767&gt;=5000,"Medium Value","Low Value"))</f>
        <v>Low Value</v>
      </c>
      <c r="W767" s="1" t="str">
        <f aca="false">IF(O767&gt;0,"Profitable",IF(O767=0,"Break-even","Loss"))</f>
        <v>Profitable</v>
      </c>
      <c r="X767" s="1" t="str">
        <f aca="false">IF(Q767="Cancelled","Not Applicable",IF(Q767="Processing","Pending",IF(B767="","Unknown",IF(Orders!J767="","Unknown",IF(Orders!J767&lt;=3,"Fast",IF(Orders!J767&lt;=6,"Standard","Slow"))))))</f>
        <v>Slow</v>
      </c>
      <c r="Y767" s="1" t="n">
        <f aca="false">IF(OR(Q767="Cancelled",Q767="Returned"),0,O767)</f>
        <v>419.15</v>
      </c>
    </row>
    <row r="768" customFormat="false" ht="15" hidden="false" customHeight="false" outlineLevel="0" collapsed="false">
      <c r="A768" s="6" t="str">
        <f aca="false">Orders!A768</f>
        <v>O000767</v>
      </c>
      <c r="B768" s="19" t="n">
        <f aca="false">Orders!B768</f>
        <v>45879</v>
      </c>
      <c r="C768" s="6" t="str">
        <f aca="false">Orders!C768</f>
        <v>C0247</v>
      </c>
      <c r="D768" s="6" t="str">
        <f aca="false">Orders!D768</f>
        <v>P1033</v>
      </c>
      <c r="E768" s="6" t="str">
        <f aca="false">INDEX(Products!$B$2:$B$101,MATCH(D768,Products!$A$2:$A$101,0))</f>
        <v>Bedsheet Set</v>
      </c>
      <c r="F768" s="1" t="str">
        <f aca="false">INDEX(Products!$C$2:$C$101,MATCH(D768,Products!$A$2:$A$101,0))</f>
        <v>Home &amp; Kitchen</v>
      </c>
      <c r="G768" s="6" t="n">
        <f aca="false">Orders!E768</f>
        <v>1</v>
      </c>
      <c r="H768" s="16" t="n">
        <f aca="false">INDEX(Products!$D$2:$D$101,MATCH(D768,Products!$A$2:$A$101,0))</f>
        <v>1199</v>
      </c>
      <c r="I768" s="16" t="n">
        <f aca="false">INDEX(Products!$E$2:$E$101,MATCH(D768,Products!$A$2:$A$101,0))</f>
        <v>600</v>
      </c>
      <c r="J768" s="20" t="n">
        <f aca="false">Orders!F768</f>
        <v>0</v>
      </c>
      <c r="K768" s="6" t="n">
        <f aca="false">G768*H768</f>
        <v>1199</v>
      </c>
      <c r="L768" s="6" t="n">
        <f aca="false">K768*J768</f>
        <v>0</v>
      </c>
      <c r="M768" s="6" t="n">
        <f aca="false">K768-L768</f>
        <v>1199</v>
      </c>
      <c r="N768" s="6" t="n">
        <f aca="false">G768*I768</f>
        <v>600</v>
      </c>
      <c r="O768" s="6" t="n">
        <f aca="false">M768-N768</f>
        <v>599</v>
      </c>
      <c r="P768" s="21" t="n">
        <f aca="false">IFERROR(O768/M768,0)</f>
        <v>0.499582985821518</v>
      </c>
      <c r="Q768" s="6" t="str">
        <f aca="false">Orders!H768</f>
        <v>Delivered</v>
      </c>
      <c r="R768" s="1" t="str">
        <f aca="false">INDEX(Customers!$C$2:$C$301,MATCH(C768,Customers!$A$2:$A$301,0))</f>
        <v>Pune</v>
      </c>
      <c r="S768" s="1" t="str">
        <f aca="false">INDEX(Customers!$E$2:$E$301,MATCH(C768,Customers!$A$2:$A$301,0))</f>
        <v>Returning</v>
      </c>
      <c r="T768" s="6" t="str">
        <f aca="false">Orders!I768</f>
        <v>Website</v>
      </c>
      <c r="U768" s="1" t="str">
        <f aca="false">IF(Q768="Delivered","Completed",IF(Q768="Cancelled","Cancelled",IF(Q768="Returned","Returned","In Progress")))</f>
        <v>Completed</v>
      </c>
      <c r="V768" s="1" t="str">
        <f aca="false">IF(M768&gt;=10000,"High Value",IF(M768&gt;=5000,"Medium Value","Low Value"))</f>
        <v>Low Value</v>
      </c>
      <c r="W768" s="1" t="str">
        <f aca="false">IF(O768&gt;0,"Profitable",IF(O768=0,"Break-even","Loss"))</f>
        <v>Profitable</v>
      </c>
      <c r="X768" s="1" t="str">
        <f aca="false">IF(Q768="Cancelled","Not Applicable",IF(Q768="Processing","Pending",IF(B768="","Unknown",IF(Orders!J768="","Unknown",IF(Orders!J768&lt;=3,"Fast",IF(Orders!J768&lt;=6,"Standard","Slow"))))))</f>
        <v>Standard</v>
      </c>
      <c r="Y768" s="1" t="n">
        <f aca="false">IF(OR(Q768="Cancelled",Q768="Returned"),0,O768)</f>
        <v>599</v>
      </c>
    </row>
    <row r="769" customFormat="false" ht="15" hidden="false" customHeight="false" outlineLevel="0" collapsed="false">
      <c r="A769" s="6" t="str">
        <f aca="false">Orders!A769</f>
        <v>O000768</v>
      </c>
      <c r="B769" s="19" t="n">
        <f aca="false">Orders!B769</f>
        <v>46015</v>
      </c>
      <c r="C769" s="6" t="str">
        <f aca="false">Orders!C769</f>
        <v>C0111</v>
      </c>
      <c r="D769" s="6" t="str">
        <f aca="false">Orders!D769</f>
        <v>P1060</v>
      </c>
      <c r="E769" s="6" t="str">
        <f aca="false">INDEX(Products!$B$2:$B$101,MATCH(D769,Products!$A$2:$A$101,0))</f>
        <v>Yoga Mat</v>
      </c>
      <c r="F769" s="1" t="str">
        <f aca="false">INDEX(Products!$C$2:$C$101,MATCH(D769,Products!$A$2:$A$101,0))</f>
        <v>Sports &amp; Outdoors</v>
      </c>
      <c r="G769" s="6" t="n">
        <f aca="false">Orders!E769</f>
        <v>1</v>
      </c>
      <c r="H769" s="16" t="n">
        <f aca="false">INDEX(Products!$D$2:$D$101,MATCH(D769,Products!$A$2:$A$101,0))</f>
        <v>799</v>
      </c>
      <c r="I769" s="16" t="n">
        <f aca="false">INDEX(Products!$E$2:$E$101,MATCH(D769,Products!$A$2:$A$101,0))</f>
        <v>350</v>
      </c>
      <c r="J769" s="20" t="n">
        <f aca="false">Orders!F769</f>
        <v>0.1</v>
      </c>
      <c r="K769" s="6" t="n">
        <f aca="false">G769*H769</f>
        <v>799</v>
      </c>
      <c r="L769" s="6" t="n">
        <f aca="false">K769*J769</f>
        <v>79.9</v>
      </c>
      <c r="M769" s="6" t="n">
        <f aca="false">K769-L769</f>
        <v>719.1</v>
      </c>
      <c r="N769" s="6" t="n">
        <f aca="false">G769*I769</f>
        <v>350</v>
      </c>
      <c r="O769" s="6" t="n">
        <f aca="false">M769-N769</f>
        <v>369.1</v>
      </c>
      <c r="P769" s="21" t="n">
        <f aca="false">IFERROR(O769/M769,0)</f>
        <v>0.513280489500765</v>
      </c>
      <c r="Q769" s="6" t="str">
        <f aca="false">Orders!H769</f>
        <v>Shipped</v>
      </c>
      <c r="R769" s="1" t="str">
        <f aca="false">INDEX(Customers!$C$2:$C$301,MATCH(C769,Customers!$A$2:$A$301,0))</f>
        <v>Gurugram</v>
      </c>
      <c r="S769" s="1" t="str">
        <f aca="false">INDEX(Customers!$E$2:$E$301,MATCH(C769,Customers!$A$2:$A$301,0))</f>
        <v>Returning</v>
      </c>
      <c r="T769" s="6" t="str">
        <f aca="false">Orders!I769</f>
        <v>Website</v>
      </c>
      <c r="U769" s="1" t="str">
        <f aca="false">IF(Q769="Delivered","Completed",IF(Q769="Cancelled","Cancelled",IF(Q769="Returned","Returned","In Progress")))</f>
        <v>In Progress</v>
      </c>
      <c r="V769" s="1" t="str">
        <f aca="false">IF(M769&gt;=10000,"High Value",IF(M769&gt;=5000,"Medium Value","Low Value"))</f>
        <v>Low Value</v>
      </c>
      <c r="W769" s="1" t="str">
        <f aca="false">IF(O769&gt;0,"Profitable",IF(O769=0,"Break-even","Loss"))</f>
        <v>Profitable</v>
      </c>
      <c r="X769" s="1" t="str">
        <f aca="false">IF(Q769="Cancelled","Not Applicable",IF(Q769="Processing","Pending",IF(B769="","Unknown",IF(Orders!J769="","Unknown",IF(Orders!J769&lt;=3,"Fast",IF(Orders!J769&lt;=6,"Standard","Slow"))))))</f>
        <v>Fast</v>
      </c>
      <c r="Y769" s="1" t="n">
        <f aca="false">IF(OR(Q769="Cancelled",Q769="Returned"),0,O769)</f>
        <v>369.1</v>
      </c>
    </row>
    <row r="770" customFormat="false" ht="15" hidden="false" customHeight="false" outlineLevel="0" collapsed="false">
      <c r="A770" s="6" t="str">
        <f aca="false">Orders!A770</f>
        <v>O000769</v>
      </c>
      <c r="B770" s="19" t="n">
        <f aca="false">Orders!B770</f>
        <v>45893</v>
      </c>
      <c r="C770" s="6" t="str">
        <f aca="false">Orders!C770</f>
        <v>C0150</v>
      </c>
      <c r="D770" s="6" t="str">
        <f aca="false">Orders!D770</f>
        <v>P1097</v>
      </c>
      <c r="E770" s="6" t="str">
        <f aca="false">INDEX(Products!$B$2:$B$101,MATCH(D770,Products!$A$2:$A$101,0))</f>
        <v>Vacuum Cleaner</v>
      </c>
      <c r="F770" s="1" t="str">
        <f aca="false">INDEX(Products!$C$2:$C$101,MATCH(D770,Products!$A$2:$A$101,0))</f>
        <v>Appliances</v>
      </c>
      <c r="G770" s="6" t="n">
        <f aca="false">Orders!E770</f>
        <v>2</v>
      </c>
      <c r="H770" s="16" t="n">
        <f aca="false">INDEX(Products!$D$2:$D$101,MATCH(D770,Products!$A$2:$A$101,0))</f>
        <v>3499</v>
      </c>
      <c r="I770" s="16" t="n">
        <f aca="false">INDEX(Products!$E$2:$E$101,MATCH(D770,Products!$A$2:$A$101,0))</f>
        <v>2400</v>
      </c>
      <c r="J770" s="20" t="n">
        <f aca="false">Orders!F770</f>
        <v>0.1</v>
      </c>
      <c r="K770" s="6" t="n">
        <f aca="false">G770*H770</f>
        <v>6998</v>
      </c>
      <c r="L770" s="6" t="n">
        <f aca="false">K770*J770</f>
        <v>699.8</v>
      </c>
      <c r="M770" s="6" t="n">
        <f aca="false">K770-L770</f>
        <v>6298.2</v>
      </c>
      <c r="N770" s="6" t="n">
        <f aca="false">G770*I770</f>
        <v>4800</v>
      </c>
      <c r="O770" s="6" t="n">
        <f aca="false">M770-N770</f>
        <v>1498.2</v>
      </c>
      <c r="P770" s="21" t="n">
        <f aca="false">IFERROR(O770/M770,0)</f>
        <v>0.237877488806326</v>
      </c>
      <c r="Q770" s="6" t="str">
        <f aca="false">Orders!H770</f>
        <v>Delivered</v>
      </c>
      <c r="R770" s="1" t="str">
        <f aca="false">INDEX(Customers!$C$2:$C$301,MATCH(C770,Customers!$A$2:$A$301,0))</f>
        <v>Lucknow</v>
      </c>
      <c r="S770" s="1" t="str">
        <f aca="false">INDEX(Customers!$E$2:$E$301,MATCH(C770,Customers!$A$2:$A$301,0))</f>
        <v>Returning</v>
      </c>
      <c r="T770" s="6" t="str">
        <f aca="false">Orders!I770</f>
        <v>Marketplace</v>
      </c>
      <c r="U770" s="1" t="str">
        <f aca="false">IF(Q770="Delivered","Completed",IF(Q770="Cancelled","Cancelled",IF(Q770="Returned","Returned","In Progress")))</f>
        <v>Completed</v>
      </c>
      <c r="V770" s="1" t="str">
        <f aca="false">IF(M770&gt;=10000,"High Value",IF(M770&gt;=5000,"Medium Value","Low Value"))</f>
        <v>Medium Value</v>
      </c>
      <c r="W770" s="1" t="str">
        <f aca="false">IF(O770&gt;0,"Profitable",IF(O770=0,"Break-even","Loss"))</f>
        <v>Profitable</v>
      </c>
      <c r="X770" s="1" t="str">
        <f aca="false">IF(Q770="Cancelled","Not Applicable",IF(Q770="Processing","Pending",IF(B770="","Unknown",IF(Orders!J770="","Unknown",IF(Orders!J770&lt;=3,"Fast",IF(Orders!J770&lt;=6,"Standard","Slow"))))))</f>
        <v>Fast</v>
      </c>
      <c r="Y770" s="1" t="n">
        <f aca="false">IF(OR(Q770="Cancelled",Q770="Returned"),0,O770)</f>
        <v>1498.2</v>
      </c>
    </row>
    <row r="771" customFormat="false" ht="15" hidden="false" customHeight="false" outlineLevel="0" collapsed="false">
      <c r="A771" s="6" t="str">
        <f aca="false">Orders!A771</f>
        <v>O000770</v>
      </c>
      <c r="B771" s="19" t="n">
        <f aca="false">Orders!B771</f>
        <v>45719</v>
      </c>
      <c r="C771" s="6" t="str">
        <f aca="false">Orders!C771</f>
        <v>C0037</v>
      </c>
      <c r="D771" s="6" t="str">
        <f aca="false">Orders!D771</f>
        <v>P1086</v>
      </c>
      <c r="E771" s="6" t="str">
        <f aca="false">INDEX(Products!$B$2:$B$101,MATCH(D771,Products!$A$2:$A$101,0))</f>
        <v>Geometry Box</v>
      </c>
      <c r="F771" s="1" t="str">
        <f aca="false">INDEX(Products!$C$2:$C$101,MATCH(D771,Products!$A$2:$A$101,0))</f>
        <v>Books &amp; Stationery</v>
      </c>
      <c r="G771" s="6" t="n">
        <f aca="false">Orders!E771</f>
        <v>2</v>
      </c>
      <c r="H771" s="16" t="n">
        <f aca="false">INDEX(Products!$D$2:$D$101,MATCH(D771,Products!$A$2:$A$101,0))</f>
        <v>199</v>
      </c>
      <c r="I771" s="16" t="n">
        <f aca="false">INDEX(Products!$E$2:$E$101,MATCH(D771,Products!$A$2:$A$101,0))</f>
        <v>70</v>
      </c>
      <c r="J771" s="20" t="n">
        <f aca="false">Orders!F771</f>
        <v>0.25</v>
      </c>
      <c r="K771" s="6" t="n">
        <f aca="false">G771*H771</f>
        <v>398</v>
      </c>
      <c r="L771" s="6" t="n">
        <f aca="false">K771*J771</f>
        <v>99.5</v>
      </c>
      <c r="M771" s="6" t="n">
        <f aca="false">K771-L771</f>
        <v>298.5</v>
      </c>
      <c r="N771" s="6" t="n">
        <f aca="false">G771*I771</f>
        <v>140</v>
      </c>
      <c r="O771" s="6" t="n">
        <f aca="false">M771-N771</f>
        <v>158.5</v>
      </c>
      <c r="P771" s="21" t="n">
        <f aca="false">IFERROR(O771/M771,0)</f>
        <v>0.530988274706868</v>
      </c>
      <c r="Q771" s="6" t="str">
        <f aca="false">Orders!H771</f>
        <v>Delivered</v>
      </c>
      <c r="R771" s="1" t="str">
        <f aca="false">INDEX(Customers!$C$2:$C$301,MATCH(C771,Customers!$A$2:$A$301,0))</f>
        <v>Surat</v>
      </c>
      <c r="S771" s="1" t="str">
        <f aca="false">INDEX(Customers!$E$2:$E$301,MATCH(C771,Customers!$A$2:$A$301,0))</f>
        <v>Returning</v>
      </c>
      <c r="T771" s="6" t="str">
        <f aca="false">Orders!I771</f>
        <v>Marketplace</v>
      </c>
      <c r="U771" s="1" t="str">
        <f aca="false">IF(Q771="Delivered","Completed",IF(Q771="Cancelled","Cancelled",IF(Q771="Returned","Returned","In Progress")))</f>
        <v>Completed</v>
      </c>
      <c r="V771" s="1" t="str">
        <f aca="false">IF(M771&gt;=10000,"High Value",IF(M771&gt;=5000,"Medium Value","Low Value"))</f>
        <v>Low Value</v>
      </c>
      <c r="W771" s="1" t="str">
        <f aca="false">IF(O771&gt;0,"Profitable",IF(O771=0,"Break-even","Loss"))</f>
        <v>Profitable</v>
      </c>
      <c r="X771" s="1" t="str">
        <f aca="false">IF(Q771="Cancelled","Not Applicable",IF(Q771="Processing","Pending",IF(B771="","Unknown",IF(Orders!J771="","Unknown",IF(Orders!J771&lt;=3,"Fast",IF(Orders!J771&lt;=6,"Standard","Slow"))))))</f>
        <v>Fast</v>
      </c>
      <c r="Y771" s="1" t="n">
        <f aca="false">IF(OR(Q771="Cancelled",Q771="Returned"),0,O771)</f>
        <v>158.5</v>
      </c>
    </row>
    <row r="772" customFormat="false" ht="15" hidden="false" customHeight="false" outlineLevel="0" collapsed="false">
      <c r="A772" s="6" t="str">
        <f aca="false">Orders!A772</f>
        <v>O000771</v>
      </c>
      <c r="B772" s="19" t="n">
        <f aca="false">Orders!B772</f>
        <v>45728</v>
      </c>
      <c r="C772" s="6" t="str">
        <f aca="false">Orders!C772</f>
        <v>C0220</v>
      </c>
      <c r="D772" s="6" t="str">
        <f aca="false">Orders!D772</f>
        <v>P1018</v>
      </c>
      <c r="E772" s="6" t="str">
        <f aca="false">INDEX(Products!$B$2:$B$101,MATCH(D772,Products!$A$2:$A$101,0))</f>
        <v>Cotton Shirt</v>
      </c>
      <c r="F772" s="1" t="str">
        <f aca="false">INDEX(Products!$C$2:$C$101,MATCH(D772,Products!$A$2:$A$101,0))</f>
        <v>Fashion</v>
      </c>
      <c r="G772" s="6" t="n">
        <f aca="false">Orders!E772</f>
        <v>2</v>
      </c>
      <c r="H772" s="16" t="n">
        <f aca="false">INDEX(Products!$D$2:$D$101,MATCH(D772,Products!$A$2:$A$101,0))</f>
        <v>899</v>
      </c>
      <c r="I772" s="16" t="n">
        <f aca="false">INDEX(Products!$E$2:$E$101,MATCH(D772,Products!$A$2:$A$101,0))</f>
        <v>420</v>
      </c>
      <c r="J772" s="20" t="n">
        <f aca="false">Orders!F772</f>
        <v>0.15</v>
      </c>
      <c r="K772" s="6" t="n">
        <f aca="false">G772*H772</f>
        <v>1798</v>
      </c>
      <c r="L772" s="6" t="n">
        <f aca="false">K772*J772</f>
        <v>269.7</v>
      </c>
      <c r="M772" s="6" t="n">
        <f aca="false">K772-L772</f>
        <v>1528.3</v>
      </c>
      <c r="N772" s="6" t="n">
        <f aca="false">G772*I772</f>
        <v>840</v>
      </c>
      <c r="O772" s="6" t="n">
        <f aca="false">M772-N772</f>
        <v>688.3</v>
      </c>
      <c r="P772" s="21" t="n">
        <f aca="false">IFERROR(O772/M772,0)</f>
        <v>0.450369691814434</v>
      </c>
      <c r="Q772" s="6" t="str">
        <f aca="false">Orders!H772</f>
        <v>Delivered</v>
      </c>
      <c r="R772" s="1" t="str">
        <f aca="false">INDEX(Customers!$C$2:$C$301,MATCH(C772,Customers!$A$2:$A$301,0))</f>
        <v>Visakhapatnam</v>
      </c>
      <c r="S772" s="1" t="str">
        <f aca="false">INDEX(Customers!$E$2:$E$301,MATCH(C772,Customers!$A$2:$A$301,0))</f>
        <v>New</v>
      </c>
      <c r="T772" s="6" t="str">
        <f aca="false">Orders!I772</f>
        <v>Mobile App</v>
      </c>
      <c r="U772" s="1" t="str">
        <f aca="false">IF(Q772="Delivered","Completed",IF(Q772="Cancelled","Cancelled",IF(Q772="Returned","Returned","In Progress")))</f>
        <v>Completed</v>
      </c>
      <c r="V772" s="1" t="str">
        <f aca="false">IF(M772&gt;=10000,"High Value",IF(M772&gt;=5000,"Medium Value","Low Value"))</f>
        <v>Low Value</v>
      </c>
      <c r="W772" s="1" t="str">
        <f aca="false">IF(O772&gt;0,"Profitable",IF(O772=0,"Break-even","Loss"))</f>
        <v>Profitable</v>
      </c>
      <c r="X772" s="1" t="str">
        <f aca="false">IF(Q772="Cancelled","Not Applicable",IF(Q772="Processing","Pending",IF(B772="","Unknown",IF(Orders!J772="","Unknown",IF(Orders!J772&lt;=3,"Fast",IF(Orders!J772&lt;=6,"Standard","Slow"))))))</f>
        <v>Standard</v>
      </c>
      <c r="Y772" s="1" t="n">
        <f aca="false">IF(OR(Q772="Cancelled",Q772="Returned"),0,O772)</f>
        <v>688.3</v>
      </c>
    </row>
    <row r="773" customFormat="false" ht="15" hidden="false" customHeight="false" outlineLevel="0" collapsed="false">
      <c r="A773" s="6" t="str">
        <f aca="false">Orders!A773</f>
        <v>O000772</v>
      </c>
      <c r="B773" s="19" t="n">
        <f aca="false">Orders!B773</f>
        <v>45783</v>
      </c>
      <c r="C773" s="6" t="str">
        <f aca="false">Orders!C773</f>
        <v>C0043</v>
      </c>
      <c r="D773" s="6" t="str">
        <f aca="false">Orders!D773</f>
        <v>P1013</v>
      </c>
      <c r="E773" s="6" t="str">
        <f aca="false">INDEX(Products!$B$2:$B$101,MATCH(D773,Products!$A$2:$A$101,0))</f>
        <v>Memory Card</v>
      </c>
      <c r="F773" s="1" t="str">
        <f aca="false">INDEX(Products!$C$2:$C$101,MATCH(D773,Products!$A$2:$A$101,0))</f>
        <v>Electronics</v>
      </c>
      <c r="G773" s="6" t="n">
        <f aca="false">Orders!E773</f>
        <v>1</v>
      </c>
      <c r="H773" s="16" t="n">
        <f aca="false">INDEX(Products!$D$2:$D$101,MATCH(D773,Products!$A$2:$A$101,0))</f>
        <v>699</v>
      </c>
      <c r="I773" s="16" t="n">
        <f aca="false">INDEX(Products!$E$2:$E$101,MATCH(D773,Products!$A$2:$A$101,0))</f>
        <v>400</v>
      </c>
      <c r="J773" s="20" t="n">
        <f aca="false">Orders!F773</f>
        <v>0.2</v>
      </c>
      <c r="K773" s="6" t="n">
        <f aca="false">G773*H773</f>
        <v>699</v>
      </c>
      <c r="L773" s="6" t="n">
        <f aca="false">K773*J773</f>
        <v>139.8</v>
      </c>
      <c r="M773" s="6" t="n">
        <f aca="false">K773-L773</f>
        <v>559.2</v>
      </c>
      <c r="N773" s="6" t="n">
        <f aca="false">G773*I773</f>
        <v>400</v>
      </c>
      <c r="O773" s="6" t="n">
        <f aca="false">M773-N773</f>
        <v>159.2</v>
      </c>
      <c r="P773" s="21" t="n">
        <f aca="false">IFERROR(O773/M773,0)</f>
        <v>0.284692417739628</v>
      </c>
      <c r="Q773" s="6" t="str">
        <f aca="false">Orders!H773</f>
        <v>Delivered</v>
      </c>
      <c r="R773" s="1" t="str">
        <f aca="false">INDEX(Customers!$C$2:$C$301,MATCH(C773,Customers!$A$2:$A$301,0))</f>
        <v>Bengaluru</v>
      </c>
      <c r="S773" s="1" t="str">
        <f aca="false">INDEX(Customers!$E$2:$E$301,MATCH(C773,Customers!$A$2:$A$301,0))</f>
        <v>New</v>
      </c>
      <c r="T773" s="6" t="str">
        <f aca="false">Orders!I773</f>
        <v>Website</v>
      </c>
      <c r="U773" s="1" t="str">
        <f aca="false">IF(Q773="Delivered","Completed",IF(Q773="Cancelled","Cancelled",IF(Q773="Returned","Returned","In Progress")))</f>
        <v>Completed</v>
      </c>
      <c r="V773" s="1" t="str">
        <f aca="false">IF(M773&gt;=10000,"High Value",IF(M773&gt;=5000,"Medium Value","Low Value"))</f>
        <v>Low Value</v>
      </c>
      <c r="W773" s="1" t="str">
        <f aca="false">IF(O773&gt;0,"Profitable",IF(O773=0,"Break-even","Loss"))</f>
        <v>Profitable</v>
      </c>
      <c r="X773" s="1" t="str">
        <f aca="false">IF(Q773="Cancelled","Not Applicable",IF(Q773="Processing","Pending",IF(B773="","Unknown",IF(Orders!J773="","Unknown",IF(Orders!J773&lt;=3,"Fast",IF(Orders!J773&lt;=6,"Standard","Slow"))))))</f>
        <v>Standard</v>
      </c>
      <c r="Y773" s="1" t="n">
        <f aca="false">IF(OR(Q773="Cancelled",Q773="Returned"),0,O773)</f>
        <v>159.2</v>
      </c>
    </row>
    <row r="774" customFormat="false" ht="15" hidden="false" customHeight="false" outlineLevel="0" collapsed="false">
      <c r="A774" s="6" t="str">
        <f aca="false">Orders!A774</f>
        <v>O000773</v>
      </c>
      <c r="B774" s="19" t="n">
        <f aca="false">Orders!B774</f>
        <v>45835</v>
      </c>
      <c r="C774" s="6" t="str">
        <f aca="false">Orders!C774</f>
        <v>C0272</v>
      </c>
      <c r="D774" s="6" t="str">
        <f aca="false">Orders!D774</f>
        <v>P1028</v>
      </c>
      <c r="E774" s="6" t="str">
        <f aca="false">INDEX(Products!$B$2:$B$101,MATCH(D774,Products!$A$2:$A$101,0))</f>
        <v>Sneakers</v>
      </c>
      <c r="F774" s="1" t="str">
        <f aca="false">INDEX(Products!$C$2:$C$101,MATCH(D774,Products!$A$2:$A$101,0))</f>
        <v>Fashion</v>
      </c>
      <c r="G774" s="6" t="n">
        <f aca="false">Orders!E774</f>
        <v>1</v>
      </c>
      <c r="H774" s="16" t="n">
        <f aca="false">INDEX(Products!$D$2:$D$101,MATCH(D774,Products!$A$2:$A$101,0))</f>
        <v>1799</v>
      </c>
      <c r="I774" s="16" t="n">
        <f aca="false">INDEX(Products!$E$2:$E$101,MATCH(D774,Products!$A$2:$A$101,0))</f>
        <v>950</v>
      </c>
      <c r="J774" s="20" t="n">
        <f aca="false">Orders!F774</f>
        <v>0</v>
      </c>
      <c r="K774" s="6" t="n">
        <f aca="false">G774*H774</f>
        <v>1799</v>
      </c>
      <c r="L774" s="6" t="n">
        <f aca="false">K774*J774</f>
        <v>0</v>
      </c>
      <c r="M774" s="6" t="n">
        <f aca="false">K774-L774</f>
        <v>1799</v>
      </c>
      <c r="N774" s="6" t="n">
        <f aca="false">G774*I774</f>
        <v>950</v>
      </c>
      <c r="O774" s="6" t="n">
        <f aca="false">M774-N774</f>
        <v>849</v>
      </c>
      <c r="P774" s="21" t="n">
        <f aca="false">IFERROR(O774/M774,0)</f>
        <v>0.471928849360756</v>
      </c>
      <c r="Q774" s="6" t="str">
        <f aca="false">Orders!H774</f>
        <v>Processing</v>
      </c>
      <c r="R774" s="1" t="str">
        <f aca="false">INDEX(Customers!$C$2:$C$301,MATCH(C774,Customers!$A$2:$A$301,0))</f>
        <v>Noida</v>
      </c>
      <c r="S774" s="1" t="str">
        <f aca="false">INDEX(Customers!$E$2:$E$301,MATCH(C774,Customers!$A$2:$A$301,0))</f>
        <v>New</v>
      </c>
      <c r="T774" s="6" t="str">
        <f aca="false">Orders!I774</f>
        <v>Mobile App</v>
      </c>
      <c r="U774" s="1" t="str">
        <f aca="false">IF(Q774="Delivered","Completed",IF(Q774="Cancelled","Cancelled",IF(Q774="Returned","Returned","In Progress")))</f>
        <v>In Progress</v>
      </c>
      <c r="V774" s="1" t="str">
        <f aca="false">IF(M774&gt;=10000,"High Value",IF(M774&gt;=5000,"Medium Value","Low Value"))</f>
        <v>Low Value</v>
      </c>
      <c r="W774" s="1" t="str">
        <f aca="false">IF(O774&gt;0,"Profitable",IF(O774=0,"Break-even","Loss"))</f>
        <v>Profitable</v>
      </c>
      <c r="X774" s="1" t="str">
        <f aca="false">IF(Q774="Cancelled","Not Applicable",IF(Q774="Processing","Pending",IF(B774="","Unknown",IF(Orders!J774="","Unknown",IF(Orders!J774&lt;=3,"Fast",IF(Orders!J774&lt;=6,"Standard","Slow"))))))</f>
        <v>Pending</v>
      </c>
      <c r="Y774" s="1" t="n">
        <f aca="false">IF(OR(Q774="Cancelled",Q774="Returned"),0,O774)</f>
        <v>849</v>
      </c>
    </row>
    <row r="775" customFormat="false" ht="15" hidden="false" customHeight="false" outlineLevel="0" collapsed="false">
      <c r="A775" s="6" t="str">
        <f aca="false">Orders!A775</f>
        <v>O000774</v>
      </c>
      <c r="B775" s="19" t="n">
        <f aca="false">Orders!B775</f>
        <v>45731</v>
      </c>
      <c r="C775" s="6" t="str">
        <f aca="false">Orders!C775</f>
        <v>C0285</v>
      </c>
      <c r="D775" s="6" t="str">
        <f aca="false">Orders!D775</f>
        <v>P1023</v>
      </c>
      <c r="E775" s="6" t="str">
        <f aca="false">INDEX(Products!$B$2:$B$101,MATCH(D775,Products!$A$2:$A$101,0))</f>
        <v>Sports Cap</v>
      </c>
      <c r="F775" s="1" t="str">
        <f aca="false">INDEX(Products!$C$2:$C$101,MATCH(D775,Products!$A$2:$A$101,0))</f>
        <v>Fashion</v>
      </c>
      <c r="G775" s="6" t="n">
        <f aca="false">Orders!E775</f>
        <v>2</v>
      </c>
      <c r="H775" s="16" t="n">
        <f aca="false">INDEX(Products!$D$2:$D$101,MATCH(D775,Products!$A$2:$A$101,0))</f>
        <v>349</v>
      </c>
      <c r="I775" s="16" t="n">
        <f aca="false">INDEX(Products!$E$2:$E$101,MATCH(D775,Products!$A$2:$A$101,0))</f>
        <v>120</v>
      </c>
      <c r="J775" s="20" t="n">
        <f aca="false">Orders!F775</f>
        <v>0.1</v>
      </c>
      <c r="K775" s="6" t="n">
        <f aca="false">G775*H775</f>
        <v>698</v>
      </c>
      <c r="L775" s="6" t="n">
        <f aca="false">K775*J775</f>
        <v>69.8</v>
      </c>
      <c r="M775" s="6" t="n">
        <f aca="false">K775-L775</f>
        <v>628.2</v>
      </c>
      <c r="N775" s="6" t="n">
        <f aca="false">G775*I775</f>
        <v>240</v>
      </c>
      <c r="O775" s="6" t="n">
        <f aca="false">M775-N775</f>
        <v>388.2</v>
      </c>
      <c r="P775" s="21" t="n">
        <f aca="false">IFERROR(O775/M775,0)</f>
        <v>0.617956064947469</v>
      </c>
      <c r="Q775" s="6" t="str">
        <f aca="false">Orders!H775</f>
        <v>Returned</v>
      </c>
      <c r="R775" s="1" t="str">
        <f aca="false">INDEX(Customers!$C$2:$C$301,MATCH(C775,Customers!$A$2:$A$301,0))</f>
        <v>Chennai</v>
      </c>
      <c r="S775" s="1" t="str">
        <f aca="false">INDEX(Customers!$E$2:$E$301,MATCH(C775,Customers!$A$2:$A$301,0))</f>
        <v>New</v>
      </c>
      <c r="T775" s="6" t="str">
        <f aca="false">Orders!I775</f>
        <v>Mobile App</v>
      </c>
      <c r="U775" s="1" t="str">
        <f aca="false">IF(Q775="Delivered","Completed",IF(Q775="Cancelled","Cancelled",IF(Q775="Returned","Returned","In Progress")))</f>
        <v>Returned</v>
      </c>
      <c r="V775" s="1" t="str">
        <f aca="false">IF(M775&gt;=10000,"High Value",IF(M775&gt;=5000,"Medium Value","Low Value"))</f>
        <v>Low Value</v>
      </c>
      <c r="W775" s="1" t="str">
        <f aca="false">IF(O775&gt;0,"Profitable",IF(O775=0,"Break-even","Loss"))</f>
        <v>Profitable</v>
      </c>
      <c r="X775" s="1" t="str">
        <f aca="false">IF(Q775="Cancelled","Not Applicable",IF(Q775="Processing","Pending",IF(B775="","Unknown",IF(Orders!J775="","Unknown",IF(Orders!J775&lt;=3,"Fast",IF(Orders!J775&lt;=6,"Standard","Slow"))))))</f>
        <v>Standard</v>
      </c>
      <c r="Y775" s="1" t="n">
        <f aca="false">IF(OR(Q775="Cancelled",Q775="Returned"),0,O775)</f>
        <v>0</v>
      </c>
    </row>
    <row r="776" customFormat="false" ht="15" hidden="false" customHeight="false" outlineLevel="0" collapsed="false">
      <c r="A776" s="6" t="str">
        <f aca="false">Orders!A776</f>
        <v>O000775</v>
      </c>
      <c r="B776" s="19" t="n">
        <f aca="false">Orders!B776</f>
        <v>45867</v>
      </c>
      <c r="C776" s="6" t="str">
        <f aca="false">Orders!C776</f>
        <v>C0218</v>
      </c>
      <c r="D776" s="6" t="str">
        <f aca="false">Orders!D776</f>
        <v>P1003</v>
      </c>
      <c r="E776" s="6" t="str">
        <f aca="false">INDEX(Products!$B$2:$B$101,MATCH(D776,Products!$A$2:$A$101,0))</f>
        <v>Smart Watch</v>
      </c>
      <c r="F776" s="1" t="str">
        <f aca="false">INDEX(Products!$C$2:$C$101,MATCH(D776,Products!$A$2:$A$101,0))</f>
        <v>Electronics</v>
      </c>
      <c r="G776" s="6" t="n">
        <f aca="false">Orders!E776</f>
        <v>3</v>
      </c>
      <c r="H776" s="16" t="n">
        <f aca="false">INDEX(Products!$D$2:$D$101,MATCH(D776,Products!$A$2:$A$101,0))</f>
        <v>2499</v>
      </c>
      <c r="I776" s="16" t="n">
        <f aca="false">INDEX(Products!$E$2:$E$101,MATCH(D776,Products!$A$2:$A$101,0))</f>
        <v>1450</v>
      </c>
      <c r="J776" s="20" t="n">
        <f aca="false">Orders!F776</f>
        <v>0</v>
      </c>
      <c r="K776" s="6" t="n">
        <f aca="false">G776*H776</f>
        <v>7497</v>
      </c>
      <c r="L776" s="6" t="n">
        <f aca="false">K776*J776</f>
        <v>0</v>
      </c>
      <c r="M776" s="6" t="n">
        <f aca="false">K776-L776</f>
        <v>7497</v>
      </c>
      <c r="N776" s="6" t="n">
        <f aca="false">G776*I776</f>
        <v>4350</v>
      </c>
      <c r="O776" s="6" t="n">
        <f aca="false">M776-N776</f>
        <v>3147</v>
      </c>
      <c r="P776" s="21" t="n">
        <f aca="false">IFERROR(O776/M776,0)</f>
        <v>0.419767907162865</v>
      </c>
      <c r="Q776" s="6" t="str">
        <f aca="false">Orders!H776</f>
        <v>Delivered</v>
      </c>
      <c r="R776" s="1" t="str">
        <f aca="false">INDEX(Customers!$C$2:$C$301,MATCH(C776,Customers!$A$2:$A$301,0))</f>
        <v>Nagpur</v>
      </c>
      <c r="S776" s="1" t="str">
        <f aca="false">INDEX(Customers!$E$2:$E$301,MATCH(C776,Customers!$A$2:$A$301,0))</f>
        <v>VIP</v>
      </c>
      <c r="T776" s="6" t="str">
        <f aca="false">Orders!I776</f>
        <v>Website</v>
      </c>
      <c r="U776" s="1" t="str">
        <f aca="false">IF(Q776="Delivered","Completed",IF(Q776="Cancelled","Cancelled",IF(Q776="Returned","Returned","In Progress")))</f>
        <v>Completed</v>
      </c>
      <c r="V776" s="1" t="str">
        <f aca="false">IF(M776&gt;=10000,"High Value",IF(M776&gt;=5000,"Medium Value","Low Value"))</f>
        <v>Medium Value</v>
      </c>
      <c r="W776" s="1" t="str">
        <f aca="false">IF(O776&gt;0,"Profitable",IF(O776=0,"Break-even","Loss"))</f>
        <v>Profitable</v>
      </c>
      <c r="X776" s="1" t="str">
        <f aca="false">IF(Q776="Cancelled","Not Applicable",IF(Q776="Processing","Pending",IF(B776="","Unknown",IF(Orders!J776="","Unknown",IF(Orders!J776&lt;=3,"Fast",IF(Orders!J776&lt;=6,"Standard","Slow"))))))</f>
        <v>Standard</v>
      </c>
      <c r="Y776" s="1" t="n">
        <f aca="false">IF(OR(Q776="Cancelled",Q776="Returned"),0,O776)</f>
        <v>3147</v>
      </c>
    </row>
    <row r="777" customFormat="false" ht="15" hidden="false" customHeight="false" outlineLevel="0" collapsed="false">
      <c r="A777" s="6" t="str">
        <f aca="false">Orders!A777</f>
        <v>O000776</v>
      </c>
      <c r="B777" s="19" t="n">
        <f aca="false">Orders!B777</f>
        <v>45714</v>
      </c>
      <c r="C777" s="6" t="str">
        <f aca="false">Orders!C777</f>
        <v>C0267</v>
      </c>
      <c r="D777" s="6" t="str">
        <f aca="false">Orders!D777</f>
        <v>P1078</v>
      </c>
      <c r="E777" s="6" t="str">
        <f aca="false">INDEX(Products!$B$2:$B$101,MATCH(D777,Products!$A$2:$A$101,0))</f>
        <v>Sketchbook</v>
      </c>
      <c r="F777" s="1" t="str">
        <f aca="false">INDEX(Products!$C$2:$C$101,MATCH(D777,Products!$A$2:$A$101,0))</f>
        <v>Books &amp; Stationery</v>
      </c>
      <c r="G777" s="6" t="n">
        <f aca="false">Orders!E777</f>
        <v>2</v>
      </c>
      <c r="H777" s="16" t="n">
        <f aca="false">INDEX(Products!$D$2:$D$101,MATCH(D777,Products!$A$2:$A$101,0))</f>
        <v>249</v>
      </c>
      <c r="I777" s="16" t="n">
        <f aca="false">INDEX(Products!$E$2:$E$101,MATCH(D777,Products!$A$2:$A$101,0))</f>
        <v>90</v>
      </c>
      <c r="J777" s="20" t="n">
        <f aca="false">Orders!F777</f>
        <v>0.2</v>
      </c>
      <c r="K777" s="6" t="n">
        <f aca="false">G777*H777</f>
        <v>498</v>
      </c>
      <c r="L777" s="6" t="n">
        <f aca="false">K777*J777</f>
        <v>99.6</v>
      </c>
      <c r="M777" s="6" t="n">
        <f aca="false">K777-L777</f>
        <v>398.4</v>
      </c>
      <c r="N777" s="6" t="n">
        <f aca="false">G777*I777</f>
        <v>180</v>
      </c>
      <c r="O777" s="6" t="n">
        <f aca="false">M777-N777</f>
        <v>218.4</v>
      </c>
      <c r="P777" s="21" t="n">
        <f aca="false">IFERROR(O777/M777,0)</f>
        <v>0.548192771084337</v>
      </c>
      <c r="Q777" s="6" t="str">
        <f aca="false">Orders!H777</f>
        <v>Shipped</v>
      </c>
      <c r="R777" s="1" t="str">
        <f aca="false">INDEX(Customers!$C$2:$C$301,MATCH(C777,Customers!$A$2:$A$301,0))</f>
        <v>Pune</v>
      </c>
      <c r="S777" s="1" t="str">
        <f aca="false">INDEX(Customers!$E$2:$E$301,MATCH(C777,Customers!$A$2:$A$301,0))</f>
        <v>Returning</v>
      </c>
      <c r="T777" s="6" t="str">
        <f aca="false">Orders!I777</f>
        <v>Marketplace</v>
      </c>
      <c r="U777" s="1" t="str">
        <f aca="false">IF(Q777="Delivered","Completed",IF(Q777="Cancelled","Cancelled",IF(Q777="Returned","Returned","In Progress")))</f>
        <v>In Progress</v>
      </c>
      <c r="V777" s="1" t="str">
        <f aca="false">IF(M777&gt;=10000,"High Value",IF(M777&gt;=5000,"Medium Value","Low Value"))</f>
        <v>Low Value</v>
      </c>
      <c r="W777" s="1" t="str">
        <f aca="false">IF(O777&gt;0,"Profitable",IF(O777=0,"Break-even","Loss"))</f>
        <v>Profitable</v>
      </c>
      <c r="X777" s="1" t="str">
        <f aca="false">IF(Q777="Cancelled","Not Applicable",IF(Q777="Processing","Pending",IF(B777="","Unknown",IF(Orders!J777="","Unknown",IF(Orders!J777&lt;=3,"Fast",IF(Orders!J777&lt;=6,"Standard","Slow"))))))</f>
        <v>Standard</v>
      </c>
      <c r="Y777" s="1" t="n">
        <f aca="false">IF(OR(Q777="Cancelled",Q777="Returned"),0,O777)</f>
        <v>218.4</v>
      </c>
    </row>
    <row r="778" customFormat="false" ht="15" hidden="false" customHeight="false" outlineLevel="0" collapsed="false">
      <c r="A778" s="6" t="str">
        <f aca="false">Orders!A778</f>
        <v>O000777</v>
      </c>
      <c r="B778" s="19" t="n">
        <f aca="false">Orders!B778</f>
        <v>45921</v>
      </c>
      <c r="C778" s="6" t="str">
        <f aca="false">Orders!C778</f>
        <v>C0010</v>
      </c>
      <c r="D778" s="6" t="str">
        <f aca="false">Orders!D778</f>
        <v>P1026</v>
      </c>
      <c r="E778" s="6" t="str">
        <f aca="false">INDEX(Products!$B$2:$B$101,MATCH(D778,Products!$A$2:$A$101,0))</f>
        <v>Sunglasses</v>
      </c>
      <c r="F778" s="1" t="str">
        <f aca="false">INDEX(Products!$C$2:$C$101,MATCH(D778,Products!$A$2:$A$101,0))</f>
        <v>Fashion</v>
      </c>
      <c r="G778" s="6" t="n">
        <f aca="false">Orders!E778</f>
        <v>1</v>
      </c>
      <c r="H778" s="16" t="n">
        <f aca="false">INDEX(Products!$D$2:$D$101,MATCH(D778,Products!$A$2:$A$101,0))</f>
        <v>799</v>
      </c>
      <c r="I778" s="16" t="n">
        <f aca="false">INDEX(Products!$E$2:$E$101,MATCH(D778,Products!$A$2:$A$101,0))</f>
        <v>300</v>
      </c>
      <c r="J778" s="20" t="n">
        <f aca="false">Orders!F778</f>
        <v>0</v>
      </c>
      <c r="K778" s="6" t="n">
        <f aca="false">G778*H778</f>
        <v>799</v>
      </c>
      <c r="L778" s="6" t="n">
        <f aca="false">K778*J778</f>
        <v>0</v>
      </c>
      <c r="M778" s="6" t="n">
        <f aca="false">K778-L778</f>
        <v>799</v>
      </c>
      <c r="N778" s="6" t="n">
        <f aca="false">G778*I778</f>
        <v>300</v>
      </c>
      <c r="O778" s="6" t="n">
        <f aca="false">M778-N778</f>
        <v>499</v>
      </c>
      <c r="P778" s="21" t="n">
        <f aca="false">IFERROR(O778/M778,0)</f>
        <v>0.624530663329161</v>
      </c>
      <c r="Q778" s="6" t="str">
        <f aca="false">Orders!H778</f>
        <v>Delivered</v>
      </c>
      <c r="R778" s="1" t="str">
        <f aca="false">INDEX(Customers!$C$2:$C$301,MATCH(C778,Customers!$A$2:$A$301,0))</f>
        <v>Lucknow</v>
      </c>
      <c r="S778" s="1" t="str">
        <f aca="false">INDEX(Customers!$E$2:$E$301,MATCH(C778,Customers!$A$2:$A$301,0))</f>
        <v>Returning</v>
      </c>
      <c r="T778" s="6" t="str">
        <f aca="false">Orders!I778</f>
        <v>Website</v>
      </c>
      <c r="U778" s="1" t="str">
        <f aca="false">IF(Q778="Delivered","Completed",IF(Q778="Cancelled","Cancelled",IF(Q778="Returned","Returned","In Progress")))</f>
        <v>Completed</v>
      </c>
      <c r="V778" s="1" t="str">
        <f aca="false">IF(M778&gt;=10000,"High Value",IF(M778&gt;=5000,"Medium Value","Low Value"))</f>
        <v>Low Value</v>
      </c>
      <c r="W778" s="1" t="str">
        <f aca="false">IF(O778&gt;0,"Profitable",IF(O778=0,"Break-even","Loss"))</f>
        <v>Profitable</v>
      </c>
      <c r="X778" s="1" t="str">
        <f aca="false">IF(Q778="Cancelled","Not Applicable",IF(Q778="Processing","Pending",IF(B778="","Unknown",IF(Orders!J778="","Unknown",IF(Orders!J778&lt;=3,"Fast",IF(Orders!J778&lt;=6,"Standard","Slow"))))))</f>
        <v>Standard</v>
      </c>
      <c r="Y778" s="1" t="n">
        <f aca="false">IF(OR(Q778="Cancelled",Q778="Returned"),0,O778)</f>
        <v>499</v>
      </c>
    </row>
    <row r="779" customFormat="false" ht="15" hidden="false" customHeight="false" outlineLevel="0" collapsed="false">
      <c r="A779" s="6" t="str">
        <f aca="false">Orders!A779</f>
        <v>O000778</v>
      </c>
      <c r="B779" s="19" t="n">
        <f aca="false">Orders!B779</f>
        <v>45781</v>
      </c>
      <c r="C779" s="6" t="str">
        <f aca="false">Orders!C779</f>
        <v>C0182</v>
      </c>
      <c r="D779" s="6" t="str">
        <f aca="false">Orders!D779</f>
        <v>P1086</v>
      </c>
      <c r="E779" s="6" t="str">
        <f aca="false">INDEX(Products!$B$2:$B$101,MATCH(D779,Products!$A$2:$A$101,0))</f>
        <v>Geometry Box</v>
      </c>
      <c r="F779" s="1" t="str">
        <f aca="false">INDEX(Products!$C$2:$C$101,MATCH(D779,Products!$A$2:$A$101,0))</f>
        <v>Books &amp; Stationery</v>
      </c>
      <c r="G779" s="6" t="n">
        <f aca="false">Orders!E779</f>
        <v>1</v>
      </c>
      <c r="H779" s="16" t="n">
        <f aca="false">INDEX(Products!$D$2:$D$101,MATCH(D779,Products!$A$2:$A$101,0))</f>
        <v>199</v>
      </c>
      <c r="I779" s="16" t="n">
        <f aca="false">INDEX(Products!$E$2:$E$101,MATCH(D779,Products!$A$2:$A$101,0))</f>
        <v>70</v>
      </c>
      <c r="J779" s="20" t="n">
        <f aca="false">Orders!F779</f>
        <v>0.05</v>
      </c>
      <c r="K779" s="6" t="n">
        <f aca="false">G779*H779</f>
        <v>199</v>
      </c>
      <c r="L779" s="6" t="n">
        <f aca="false">K779*J779</f>
        <v>9.95</v>
      </c>
      <c r="M779" s="6" t="n">
        <f aca="false">K779-L779</f>
        <v>189.05</v>
      </c>
      <c r="N779" s="6" t="n">
        <f aca="false">G779*I779</f>
        <v>70</v>
      </c>
      <c r="O779" s="6" t="n">
        <f aca="false">M779-N779</f>
        <v>119.05</v>
      </c>
      <c r="P779" s="21" t="n">
        <f aca="false">IFERROR(O779/M779,0)</f>
        <v>0.629727585294896</v>
      </c>
      <c r="Q779" s="6" t="str">
        <f aca="false">Orders!H779</f>
        <v>Delivered</v>
      </c>
      <c r="R779" s="1" t="str">
        <f aca="false">INDEX(Customers!$C$2:$C$301,MATCH(C779,Customers!$A$2:$A$301,0))</f>
        <v>Mumbai</v>
      </c>
      <c r="S779" s="1" t="str">
        <f aca="false">INDEX(Customers!$E$2:$E$301,MATCH(C779,Customers!$A$2:$A$301,0))</f>
        <v>New</v>
      </c>
      <c r="T779" s="6" t="str">
        <f aca="false">Orders!I779</f>
        <v>Marketplace</v>
      </c>
      <c r="U779" s="1" t="str">
        <f aca="false">IF(Q779="Delivered","Completed",IF(Q779="Cancelled","Cancelled",IF(Q779="Returned","Returned","In Progress")))</f>
        <v>Completed</v>
      </c>
      <c r="V779" s="1" t="str">
        <f aca="false">IF(M779&gt;=10000,"High Value",IF(M779&gt;=5000,"Medium Value","Low Value"))</f>
        <v>Low Value</v>
      </c>
      <c r="W779" s="1" t="str">
        <f aca="false">IF(O779&gt;0,"Profitable",IF(O779=0,"Break-even","Loss"))</f>
        <v>Profitable</v>
      </c>
      <c r="X779" s="1" t="str">
        <f aca="false">IF(Q779="Cancelled","Not Applicable",IF(Q779="Processing","Pending",IF(B779="","Unknown",IF(Orders!J779="","Unknown",IF(Orders!J779&lt;=3,"Fast",IF(Orders!J779&lt;=6,"Standard","Slow"))))))</f>
        <v>Standard</v>
      </c>
      <c r="Y779" s="1" t="n">
        <f aca="false">IF(OR(Q779="Cancelled",Q779="Returned"),0,O779)</f>
        <v>119.05</v>
      </c>
    </row>
    <row r="780" customFormat="false" ht="15" hidden="false" customHeight="false" outlineLevel="0" collapsed="false">
      <c r="A780" s="6" t="str">
        <f aca="false">Orders!A780</f>
        <v>O000779</v>
      </c>
      <c r="B780" s="19" t="n">
        <f aca="false">Orders!B780</f>
        <v>45865</v>
      </c>
      <c r="C780" s="6" t="str">
        <f aca="false">Orders!C780</f>
        <v>C0030</v>
      </c>
      <c r="D780" s="6" t="str">
        <f aca="false">Orders!D780</f>
        <v>P1009</v>
      </c>
      <c r="E780" s="6" t="str">
        <f aca="false">INDEX(Products!$B$2:$B$101,MATCH(D780,Products!$A$2:$A$101,0))</f>
        <v>Laptop Sleeve</v>
      </c>
      <c r="F780" s="1" t="str">
        <f aca="false">INDEX(Products!$C$2:$C$101,MATCH(D780,Products!$A$2:$A$101,0))</f>
        <v>Electronics</v>
      </c>
      <c r="G780" s="6" t="n">
        <f aca="false">Orders!E780</f>
        <v>2</v>
      </c>
      <c r="H780" s="16" t="n">
        <f aca="false">INDEX(Products!$D$2:$D$101,MATCH(D780,Products!$A$2:$A$101,0))</f>
        <v>799</v>
      </c>
      <c r="I780" s="16" t="n">
        <f aca="false">INDEX(Products!$E$2:$E$101,MATCH(D780,Products!$A$2:$A$101,0))</f>
        <v>350</v>
      </c>
      <c r="J780" s="20" t="n">
        <f aca="false">Orders!F780</f>
        <v>0.1</v>
      </c>
      <c r="K780" s="6" t="n">
        <f aca="false">G780*H780</f>
        <v>1598</v>
      </c>
      <c r="L780" s="6" t="n">
        <f aca="false">K780*J780</f>
        <v>159.8</v>
      </c>
      <c r="M780" s="6" t="n">
        <f aca="false">K780-L780</f>
        <v>1438.2</v>
      </c>
      <c r="N780" s="6" t="n">
        <f aca="false">G780*I780</f>
        <v>700</v>
      </c>
      <c r="O780" s="6" t="n">
        <f aca="false">M780-N780</f>
        <v>738.2</v>
      </c>
      <c r="P780" s="21" t="n">
        <f aca="false">IFERROR(O780/M780,0)</f>
        <v>0.513280489500765</v>
      </c>
      <c r="Q780" s="6" t="str">
        <f aca="false">Orders!H780</f>
        <v>Delivered</v>
      </c>
      <c r="R780" s="1" t="str">
        <f aca="false">INDEX(Customers!$C$2:$C$301,MATCH(C780,Customers!$A$2:$A$301,0))</f>
        <v>Lucknow</v>
      </c>
      <c r="S780" s="1" t="str">
        <f aca="false">INDEX(Customers!$E$2:$E$301,MATCH(C780,Customers!$A$2:$A$301,0))</f>
        <v>Returning</v>
      </c>
      <c r="T780" s="6" t="str">
        <f aca="false">Orders!I780</f>
        <v>Marketplace</v>
      </c>
      <c r="U780" s="1" t="str">
        <f aca="false">IF(Q780="Delivered","Completed",IF(Q780="Cancelled","Cancelled",IF(Q780="Returned","Returned","In Progress")))</f>
        <v>Completed</v>
      </c>
      <c r="V780" s="1" t="str">
        <f aca="false">IF(M780&gt;=10000,"High Value",IF(M780&gt;=5000,"Medium Value","Low Value"))</f>
        <v>Low Value</v>
      </c>
      <c r="W780" s="1" t="str">
        <f aca="false">IF(O780&gt;0,"Profitable",IF(O780=0,"Break-even","Loss"))</f>
        <v>Profitable</v>
      </c>
      <c r="X780" s="1" t="str">
        <f aca="false">IF(Q780="Cancelled","Not Applicable",IF(Q780="Processing","Pending",IF(B780="","Unknown",IF(Orders!J780="","Unknown",IF(Orders!J780&lt;=3,"Fast",IF(Orders!J780&lt;=6,"Standard","Slow"))))))</f>
        <v>Standard</v>
      </c>
      <c r="Y780" s="1" t="n">
        <f aca="false">IF(OR(Q780="Cancelled",Q780="Returned"),0,O780)</f>
        <v>738.2</v>
      </c>
    </row>
    <row r="781" customFormat="false" ht="23.85" hidden="false" customHeight="false" outlineLevel="0" collapsed="false">
      <c r="A781" s="6" t="str">
        <f aca="false">Orders!A781</f>
        <v>O000780</v>
      </c>
      <c r="B781" s="19" t="n">
        <f aca="false">Orders!B781</f>
        <v>45979</v>
      </c>
      <c r="C781" s="6" t="str">
        <f aca="false">Orders!C781</f>
        <v>C0248</v>
      </c>
      <c r="D781" s="6" t="str">
        <f aca="false">Orders!D781</f>
        <v>P1069</v>
      </c>
      <c r="E781" s="6" t="str">
        <f aca="false">INDEX(Products!$B$2:$B$101,MATCH(D781,Products!$A$2:$A$101,0))</f>
        <v>Sports Duffel Bag</v>
      </c>
      <c r="F781" s="1" t="str">
        <f aca="false">INDEX(Products!$C$2:$C$101,MATCH(D781,Products!$A$2:$A$101,0))</f>
        <v>Sports &amp; Outdoors</v>
      </c>
      <c r="G781" s="6" t="n">
        <f aca="false">Orders!E781</f>
        <v>3</v>
      </c>
      <c r="H781" s="16" t="n">
        <f aca="false">INDEX(Products!$D$2:$D$101,MATCH(D781,Products!$A$2:$A$101,0))</f>
        <v>999</v>
      </c>
      <c r="I781" s="16" t="n">
        <f aca="false">INDEX(Products!$E$2:$E$101,MATCH(D781,Products!$A$2:$A$101,0))</f>
        <v>500</v>
      </c>
      <c r="J781" s="20" t="n">
        <f aca="false">Orders!F781</f>
        <v>0.1</v>
      </c>
      <c r="K781" s="6" t="n">
        <f aca="false">G781*H781</f>
        <v>2997</v>
      </c>
      <c r="L781" s="6" t="n">
        <f aca="false">K781*J781</f>
        <v>299.7</v>
      </c>
      <c r="M781" s="6" t="n">
        <f aca="false">K781-L781</f>
        <v>2697.3</v>
      </c>
      <c r="N781" s="6" t="n">
        <f aca="false">G781*I781</f>
        <v>1500</v>
      </c>
      <c r="O781" s="6" t="n">
        <f aca="false">M781-N781</f>
        <v>1197.3</v>
      </c>
      <c r="P781" s="21" t="n">
        <f aca="false">IFERROR(O781/M781,0)</f>
        <v>0.443888332777222</v>
      </c>
      <c r="Q781" s="6" t="str">
        <f aca="false">Orders!H781</f>
        <v>Delivered</v>
      </c>
      <c r="R781" s="1" t="str">
        <f aca="false">INDEX(Customers!$C$2:$C$301,MATCH(C781,Customers!$A$2:$A$301,0))</f>
        <v>Jaipur</v>
      </c>
      <c r="S781" s="1" t="str">
        <f aca="false">INDEX(Customers!$E$2:$E$301,MATCH(C781,Customers!$A$2:$A$301,0))</f>
        <v>Returning</v>
      </c>
      <c r="T781" s="6" t="str">
        <f aca="false">Orders!I781</f>
        <v>Website</v>
      </c>
      <c r="U781" s="1" t="str">
        <f aca="false">IF(Q781="Delivered","Completed",IF(Q781="Cancelled","Cancelled",IF(Q781="Returned","Returned","In Progress")))</f>
        <v>Completed</v>
      </c>
      <c r="V781" s="1" t="str">
        <f aca="false">IF(M781&gt;=10000,"High Value",IF(M781&gt;=5000,"Medium Value","Low Value"))</f>
        <v>Low Value</v>
      </c>
      <c r="W781" s="1" t="str">
        <f aca="false">IF(O781&gt;0,"Profitable",IF(O781=0,"Break-even","Loss"))</f>
        <v>Profitable</v>
      </c>
      <c r="X781" s="1" t="str">
        <f aca="false">IF(Q781="Cancelled","Not Applicable",IF(Q781="Processing","Pending",IF(B781="","Unknown",IF(Orders!J781="","Unknown",IF(Orders!J781&lt;=3,"Fast",IF(Orders!J781&lt;=6,"Standard","Slow"))))))</f>
        <v>Fast</v>
      </c>
      <c r="Y781" s="1" t="n">
        <f aca="false">IF(OR(Q781="Cancelled",Q781="Returned"),0,O781)</f>
        <v>1197.3</v>
      </c>
    </row>
    <row r="782" customFormat="false" ht="15" hidden="false" customHeight="false" outlineLevel="0" collapsed="false">
      <c r="A782" s="6" t="str">
        <f aca="false">Orders!A782</f>
        <v>O000781</v>
      </c>
      <c r="B782" s="19" t="n">
        <f aca="false">Orders!B782</f>
        <v>45825</v>
      </c>
      <c r="C782" s="6" t="str">
        <f aca="false">Orders!C782</f>
        <v>C0274</v>
      </c>
      <c r="D782" s="6" t="str">
        <f aca="false">Orders!D782</f>
        <v>P1100</v>
      </c>
      <c r="E782" s="6" t="str">
        <f aca="false">INDEX(Products!$B$2:$B$101,MATCH(D782,Products!$A$2:$A$101,0))</f>
        <v>Coffee Maker</v>
      </c>
      <c r="F782" s="1" t="str">
        <f aca="false">INDEX(Products!$C$2:$C$101,MATCH(D782,Products!$A$2:$A$101,0))</f>
        <v>Appliances</v>
      </c>
      <c r="G782" s="6" t="n">
        <f aca="false">Orders!E782</f>
        <v>2</v>
      </c>
      <c r="H782" s="16" t="n">
        <f aca="false">INDEX(Products!$D$2:$D$101,MATCH(D782,Products!$A$2:$A$101,0))</f>
        <v>2499</v>
      </c>
      <c r="I782" s="16" t="n">
        <f aca="false">INDEX(Products!$E$2:$E$101,MATCH(D782,Products!$A$2:$A$101,0))</f>
        <v>1600</v>
      </c>
      <c r="J782" s="20" t="n">
        <f aca="false">Orders!F782</f>
        <v>0.15</v>
      </c>
      <c r="K782" s="6" t="n">
        <f aca="false">G782*H782</f>
        <v>4998</v>
      </c>
      <c r="L782" s="6" t="n">
        <f aca="false">K782*J782</f>
        <v>749.7</v>
      </c>
      <c r="M782" s="6" t="n">
        <f aca="false">K782-L782</f>
        <v>4248.3</v>
      </c>
      <c r="N782" s="6" t="n">
        <f aca="false">G782*I782</f>
        <v>3200</v>
      </c>
      <c r="O782" s="6" t="n">
        <f aca="false">M782-N782</f>
        <v>1048.3</v>
      </c>
      <c r="P782" s="21" t="n">
        <f aca="false">IFERROR(O782/M782,0)</f>
        <v>0.246757526540028</v>
      </c>
      <c r="Q782" s="6" t="str">
        <f aca="false">Orders!H782</f>
        <v>Processing</v>
      </c>
      <c r="R782" s="1" t="str">
        <f aca="false">INDEX(Customers!$C$2:$C$301,MATCH(C782,Customers!$A$2:$A$301,0))</f>
        <v>Indore</v>
      </c>
      <c r="S782" s="1" t="str">
        <f aca="false">INDEX(Customers!$E$2:$E$301,MATCH(C782,Customers!$A$2:$A$301,0))</f>
        <v>New</v>
      </c>
      <c r="T782" s="6" t="str">
        <f aca="false">Orders!I782</f>
        <v>Marketplace</v>
      </c>
      <c r="U782" s="1" t="str">
        <f aca="false">IF(Q782="Delivered","Completed",IF(Q782="Cancelled","Cancelled",IF(Q782="Returned","Returned","In Progress")))</f>
        <v>In Progress</v>
      </c>
      <c r="V782" s="1" t="str">
        <f aca="false">IF(M782&gt;=10000,"High Value",IF(M782&gt;=5000,"Medium Value","Low Value"))</f>
        <v>Low Value</v>
      </c>
      <c r="W782" s="1" t="str">
        <f aca="false">IF(O782&gt;0,"Profitable",IF(O782=0,"Break-even","Loss"))</f>
        <v>Profitable</v>
      </c>
      <c r="X782" s="1" t="str">
        <f aca="false">IF(Q782="Cancelled","Not Applicable",IF(Q782="Processing","Pending",IF(B782="","Unknown",IF(Orders!J782="","Unknown",IF(Orders!J782&lt;=3,"Fast",IF(Orders!J782&lt;=6,"Standard","Slow"))))))</f>
        <v>Pending</v>
      </c>
      <c r="Y782" s="1" t="n">
        <f aca="false">IF(OR(Q782="Cancelled",Q782="Returned"),0,O782)</f>
        <v>1048.3</v>
      </c>
    </row>
    <row r="783" customFormat="false" ht="15" hidden="false" customHeight="false" outlineLevel="0" collapsed="false">
      <c r="A783" s="6" t="str">
        <f aca="false">Orders!A783</f>
        <v>O000782</v>
      </c>
      <c r="B783" s="19" t="n">
        <f aca="false">Orders!B783</f>
        <v>45922</v>
      </c>
      <c r="C783" s="6" t="str">
        <f aca="false">Orders!C783</f>
        <v>C0056</v>
      </c>
      <c r="D783" s="6" t="str">
        <f aca="false">Orders!D783</f>
        <v>P1043</v>
      </c>
      <c r="E783" s="6" t="str">
        <f aca="false">INDEX(Products!$B$2:$B$101,MATCH(D783,Products!$A$2:$A$101,0))</f>
        <v>Kitchen Rack</v>
      </c>
      <c r="F783" s="1" t="str">
        <f aca="false">INDEX(Products!$C$2:$C$101,MATCH(D783,Products!$A$2:$A$101,0))</f>
        <v>Home &amp; Kitchen</v>
      </c>
      <c r="G783" s="6" t="n">
        <f aca="false">Orders!E783</f>
        <v>1</v>
      </c>
      <c r="H783" s="16" t="n">
        <f aca="false">INDEX(Products!$D$2:$D$101,MATCH(D783,Products!$A$2:$A$101,0))</f>
        <v>1299</v>
      </c>
      <c r="I783" s="16" t="n">
        <f aca="false">INDEX(Products!$E$2:$E$101,MATCH(D783,Products!$A$2:$A$101,0))</f>
        <v>700</v>
      </c>
      <c r="J783" s="20" t="n">
        <f aca="false">Orders!F783</f>
        <v>0.1</v>
      </c>
      <c r="K783" s="6" t="n">
        <f aca="false">G783*H783</f>
        <v>1299</v>
      </c>
      <c r="L783" s="6" t="n">
        <f aca="false">K783*J783</f>
        <v>129.9</v>
      </c>
      <c r="M783" s="6" t="n">
        <f aca="false">K783-L783</f>
        <v>1169.1</v>
      </c>
      <c r="N783" s="6" t="n">
        <f aca="false">G783*I783</f>
        <v>700</v>
      </c>
      <c r="O783" s="6" t="n">
        <f aca="false">M783-N783</f>
        <v>469.1</v>
      </c>
      <c r="P783" s="21" t="n">
        <f aca="false">IFERROR(O783/M783,0)</f>
        <v>0.401248823881618</v>
      </c>
      <c r="Q783" s="6" t="str">
        <f aca="false">Orders!H783</f>
        <v>Delivered</v>
      </c>
      <c r="R783" s="1" t="str">
        <f aca="false">INDEX(Customers!$C$2:$C$301,MATCH(C783,Customers!$A$2:$A$301,0))</f>
        <v>Chandigarh</v>
      </c>
      <c r="S783" s="1" t="str">
        <f aca="false">INDEX(Customers!$E$2:$E$301,MATCH(C783,Customers!$A$2:$A$301,0))</f>
        <v>Returning</v>
      </c>
      <c r="T783" s="6" t="str">
        <f aca="false">Orders!I783</f>
        <v>Website</v>
      </c>
      <c r="U783" s="1" t="str">
        <f aca="false">IF(Q783="Delivered","Completed",IF(Q783="Cancelled","Cancelled",IF(Q783="Returned","Returned","In Progress")))</f>
        <v>Completed</v>
      </c>
      <c r="V783" s="1" t="str">
        <f aca="false">IF(M783&gt;=10000,"High Value",IF(M783&gt;=5000,"Medium Value","Low Value"))</f>
        <v>Low Value</v>
      </c>
      <c r="W783" s="1" t="str">
        <f aca="false">IF(O783&gt;0,"Profitable",IF(O783=0,"Break-even","Loss"))</f>
        <v>Profitable</v>
      </c>
      <c r="X783" s="1" t="str">
        <f aca="false">IF(Q783="Cancelled","Not Applicable",IF(Q783="Processing","Pending",IF(B783="","Unknown",IF(Orders!J783="","Unknown",IF(Orders!J783&lt;=3,"Fast",IF(Orders!J783&lt;=6,"Standard","Slow"))))))</f>
        <v>Standard</v>
      </c>
      <c r="Y783" s="1" t="n">
        <f aca="false">IF(OR(Q783="Cancelled",Q783="Returned"),0,O783)</f>
        <v>469.1</v>
      </c>
    </row>
    <row r="784" customFormat="false" ht="15" hidden="false" customHeight="false" outlineLevel="0" collapsed="false">
      <c r="A784" s="6" t="str">
        <f aca="false">Orders!A784</f>
        <v>O000783</v>
      </c>
      <c r="B784" s="19" t="n">
        <f aca="false">Orders!B784</f>
        <v>46004</v>
      </c>
      <c r="C784" s="6" t="str">
        <f aca="false">Orders!C784</f>
        <v>C0060</v>
      </c>
      <c r="D784" s="6" t="str">
        <f aca="false">Orders!D784</f>
        <v>P1098</v>
      </c>
      <c r="E784" s="6" t="str">
        <f aca="false">INDEX(Products!$B$2:$B$101,MATCH(D784,Products!$A$2:$A$101,0))</f>
        <v>Steam Iron</v>
      </c>
      <c r="F784" s="1" t="str">
        <f aca="false">INDEX(Products!$C$2:$C$101,MATCH(D784,Products!$A$2:$A$101,0))</f>
        <v>Appliances</v>
      </c>
      <c r="G784" s="6" t="n">
        <f aca="false">Orders!E784</f>
        <v>2</v>
      </c>
      <c r="H784" s="16" t="n">
        <f aca="false">INDEX(Products!$D$2:$D$101,MATCH(D784,Products!$A$2:$A$101,0))</f>
        <v>999</v>
      </c>
      <c r="I784" s="16" t="n">
        <f aca="false">INDEX(Products!$E$2:$E$101,MATCH(D784,Products!$A$2:$A$101,0))</f>
        <v>550</v>
      </c>
      <c r="J784" s="20" t="n">
        <f aca="false">Orders!F784</f>
        <v>0</v>
      </c>
      <c r="K784" s="6" t="n">
        <f aca="false">G784*H784</f>
        <v>1998</v>
      </c>
      <c r="L784" s="6" t="n">
        <f aca="false">K784*J784</f>
        <v>0</v>
      </c>
      <c r="M784" s="6" t="n">
        <f aca="false">K784-L784</f>
        <v>1998</v>
      </c>
      <c r="N784" s="6" t="n">
        <f aca="false">G784*I784</f>
        <v>1100</v>
      </c>
      <c r="O784" s="6" t="n">
        <f aca="false">M784-N784</f>
        <v>898</v>
      </c>
      <c r="P784" s="21" t="n">
        <f aca="false">IFERROR(O784/M784,0)</f>
        <v>0.449449449449449</v>
      </c>
      <c r="Q784" s="6" t="str">
        <f aca="false">Orders!H784</f>
        <v>Delivered</v>
      </c>
      <c r="R784" s="1" t="str">
        <f aca="false">INDEX(Customers!$C$2:$C$301,MATCH(C784,Customers!$A$2:$A$301,0))</f>
        <v>Visakhapatnam</v>
      </c>
      <c r="S784" s="1" t="str">
        <f aca="false">INDEX(Customers!$E$2:$E$301,MATCH(C784,Customers!$A$2:$A$301,0))</f>
        <v>New</v>
      </c>
      <c r="T784" s="6" t="str">
        <f aca="false">Orders!I784</f>
        <v>Mobile App</v>
      </c>
      <c r="U784" s="1" t="str">
        <f aca="false">IF(Q784="Delivered","Completed",IF(Q784="Cancelled","Cancelled",IF(Q784="Returned","Returned","In Progress")))</f>
        <v>Completed</v>
      </c>
      <c r="V784" s="1" t="str">
        <f aca="false">IF(M784&gt;=10000,"High Value",IF(M784&gt;=5000,"Medium Value","Low Value"))</f>
        <v>Low Value</v>
      </c>
      <c r="W784" s="1" t="str">
        <f aca="false">IF(O784&gt;0,"Profitable",IF(O784=0,"Break-even","Loss"))</f>
        <v>Profitable</v>
      </c>
      <c r="X784" s="1" t="str">
        <f aca="false">IF(Q784="Cancelled","Not Applicable",IF(Q784="Processing","Pending",IF(B784="","Unknown",IF(Orders!J784="","Unknown",IF(Orders!J784&lt;=3,"Fast",IF(Orders!J784&lt;=6,"Standard","Slow"))))))</f>
        <v>Standard</v>
      </c>
      <c r="Y784" s="1" t="n">
        <f aca="false">IF(OR(Q784="Cancelled",Q784="Returned"),0,O784)</f>
        <v>898</v>
      </c>
    </row>
    <row r="785" customFormat="false" ht="23.85" hidden="false" customHeight="false" outlineLevel="0" collapsed="false">
      <c r="A785" s="6" t="str">
        <f aca="false">Orders!A785</f>
        <v>O000784</v>
      </c>
      <c r="B785" s="19" t="n">
        <f aca="false">Orders!B785</f>
        <v>45806</v>
      </c>
      <c r="C785" s="6" t="str">
        <f aca="false">Orders!C785</f>
        <v>C0075</v>
      </c>
      <c r="D785" s="6" t="str">
        <f aca="false">Orders!D785</f>
        <v>P1099</v>
      </c>
      <c r="E785" s="6" t="str">
        <f aca="false">INDEX(Products!$B$2:$B$101,MATCH(D785,Products!$A$2:$A$101,0))</f>
        <v>Sandwich Maker</v>
      </c>
      <c r="F785" s="1" t="str">
        <f aca="false">INDEX(Products!$C$2:$C$101,MATCH(D785,Products!$A$2:$A$101,0))</f>
        <v>Appliances</v>
      </c>
      <c r="G785" s="6" t="n">
        <f aca="false">Orders!E785</f>
        <v>1</v>
      </c>
      <c r="H785" s="16" t="n">
        <f aca="false">INDEX(Products!$D$2:$D$101,MATCH(D785,Products!$A$2:$A$101,0))</f>
        <v>1299</v>
      </c>
      <c r="I785" s="16" t="n">
        <f aca="false">INDEX(Products!$E$2:$E$101,MATCH(D785,Products!$A$2:$A$101,0))</f>
        <v>750</v>
      </c>
      <c r="J785" s="20" t="n">
        <f aca="false">Orders!F785</f>
        <v>0.05</v>
      </c>
      <c r="K785" s="6" t="n">
        <f aca="false">G785*H785</f>
        <v>1299</v>
      </c>
      <c r="L785" s="6" t="n">
        <f aca="false">K785*J785</f>
        <v>64.95</v>
      </c>
      <c r="M785" s="6" t="n">
        <f aca="false">K785-L785</f>
        <v>1234.05</v>
      </c>
      <c r="N785" s="6" t="n">
        <f aca="false">G785*I785</f>
        <v>750</v>
      </c>
      <c r="O785" s="6" t="n">
        <f aca="false">M785-N785</f>
        <v>484.05</v>
      </c>
      <c r="P785" s="21" t="n">
        <f aca="false">IFERROR(O785/M785,0)</f>
        <v>0.392245046797131</v>
      </c>
      <c r="Q785" s="6" t="str">
        <f aca="false">Orders!H785</f>
        <v>Cancelled</v>
      </c>
      <c r="R785" s="1" t="str">
        <f aca="false">INDEX(Customers!$C$2:$C$301,MATCH(C785,Customers!$A$2:$A$301,0))</f>
        <v>Bhopal</v>
      </c>
      <c r="S785" s="1" t="str">
        <f aca="false">INDEX(Customers!$E$2:$E$301,MATCH(C785,Customers!$A$2:$A$301,0))</f>
        <v>New</v>
      </c>
      <c r="T785" s="6" t="str">
        <f aca="false">Orders!I785</f>
        <v>Marketplace</v>
      </c>
      <c r="U785" s="1" t="str">
        <f aca="false">IF(Q785="Delivered","Completed",IF(Q785="Cancelled","Cancelled",IF(Q785="Returned","Returned","In Progress")))</f>
        <v>Cancelled</v>
      </c>
      <c r="V785" s="1" t="str">
        <f aca="false">IF(M785&gt;=10000,"High Value",IF(M785&gt;=5000,"Medium Value","Low Value"))</f>
        <v>Low Value</v>
      </c>
      <c r="W785" s="1" t="str">
        <f aca="false">IF(O785&gt;0,"Profitable",IF(O785=0,"Break-even","Loss"))</f>
        <v>Profitable</v>
      </c>
      <c r="X785" s="1" t="str">
        <f aca="false">IF(Q785="Cancelled","Not Applicable",IF(Q785="Processing","Pending",IF(B785="","Unknown",IF(Orders!J785="","Unknown",IF(Orders!J785&lt;=3,"Fast",IF(Orders!J785&lt;=6,"Standard","Slow"))))))</f>
        <v>Not Applicable</v>
      </c>
      <c r="Y785" s="1" t="n">
        <f aca="false">IF(OR(Q785="Cancelled",Q785="Returned"),0,O785)</f>
        <v>0</v>
      </c>
    </row>
    <row r="786" customFormat="false" ht="15" hidden="false" customHeight="false" outlineLevel="0" collapsed="false">
      <c r="A786" s="6" t="str">
        <f aca="false">Orders!A786</f>
        <v>O000785</v>
      </c>
      <c r="B786" s="19" t="n">
        <f aca="false">Orders!B786</f>
        <v>45821</v>
      </c>
      <c r="C786" s="6" t="str">
        <f aca="false">Orders!C786</f>
        <v>C0039</v>
      </c>
      <c r="D786" s="6" t="str">
        <f aca="false">Orders!D786</f>
        <v>P1057</v>
      </c>
      <c r="E786" s="6" t="str">
        <f aca="false">INDEX(Products!$B$2:$B$101,MATCH(D786,Products!$A$2:$A$101,0))</f>
        <v>Comb Set</v>
      </c>
      <c r="F786" s="1" t="str">
        <f aca="false">INDEX(Products!$C$2:$C$101,MATCH(D786,Products!$A$2:$A$101,0))</f>
        <v>Beauty</v>
      </c>
      <c r="G786" s="6" t="n">
        <f aca="false">Orders!E786</f>
        <v>1</v>
      </c>
      <c r="H786" s="16" t="n">
        <f aca="false">INDEX(Products!$D$2:$D$101,MATCH(D786,Products!$A$2:$A$101,0))</f>
        <v>199</v>
      </c>
      <c r="I786" s="16" t="n">
        <f aca="false">INDEX(Products!$E$2:$E$101,MATCH(D786,Products!$A$2:$A$101,0))</f>
        <v>65</v>
      </c>
      <c r="J786" s="20" t="n">
        <f aca="false">Orders!F786</f>
        <v>0.05</v>
      </c>
      <c r="K786" s="6" t="n">
        <f aca="false">G786*H786</f>
        <v>199</v>
      </c>
      <c r="L786" s="6" t="n">
        <f aca="false">K786*J786</f>
        <v>9.95</v>
      </c>
      <c r="M786" s="6" t="n">
        <f aca="false">K786-L786</f>
        <v>189.05</v>
      </c>
      <c r="N786" s="6" t="n">
        <f aca="false">G786*I786</f>
        <v>65</v>
      </c>
      <c r="O786" s="6" t="n">
        <f aca="false">M786-N786</f>
        <v>124.05</v>
      </c>
      <c r="P786" s="21" t="n">
        <f aca="false">IFERROR(O786/M786,0)</f>
        <v>0.656175614916689</v>
      </c>
      <c r="Q786" s="6" t="str">
        <f aca="false">Orders!H786</f>
        <v>Delivered</v>
      </c>
      <c r="R786" s="1" t="str">
        <f aca="false">INDEX(Customers!$C$2:$C$301,MATCH(C786,Customers!$A$2:$A$301,0))</f>
        <v>Coimbatore</v>
      </c>
      <c r="S786" s="1" t="str">
        <f aca="false">INDEX(Customers!$E$2:$E$301,MATCH(C786,Customers!$A$2:$A$301,0))</f>
        <v>Returning</v>
      </c>
      <c r="T786" s="6" t="str">
        <f aca="false">Orders!I786</f>
        <v>Marketplace</v>
      </c>
      <c r="U786" s="1" t="str">
        <f aca="false">IF(Q786="Delivered","Completed",IF(Q786="Cancelled","Cancelled",IF(Q786="Returned","Returned","In Progress")))</f>
        <v>Completed</v>
      </c>
      <c r="V786" s="1" t="str">
        <f aca="false">IF(M786&gt;=10000,"High Value",IF(M786&gt;=5000,"Medium Value","Low Value"))</f>
        <v>Low Value</v>
      </c>
      <c r="W786" s="1" t="str">
        <f aca="false">IF(O786&gt;0,"Profitable",IF(O786=0,"Break-even","Loss"))</f>
        <v>Profitable</v>
      </c>
      <c r="X786" s="1" t="str">
        <f aca="false">IF(Q786="Cancelled","Not Applicable",IF(Q786="Processing","Pending",IF(B786="","Unknown",IF(Orders!J786="","Unknown",IF(Orders!J786&lt;=3,"Fast",IF(Orders!J786&lt;=6,"Standard","Slow"))))))</f>
        <v>Standard</v>
      </c>
      <c r="Y786" s="1" t="n">
        <f aca="false">IF(OR(Q786="Cancelled",Q786="Returned"),0,O786)</f>
        <v>124.05</v>
      </c>
    </row>
    <row r="787" customFormat="false" ht="15" hidden="false" customHeight="false" outlineLevel="0" collapsed="false">
      <c r="A787" s="6" t="str">
        <f aca="false">Orders!A787</f>
        <v>O000786</v>
      </c>
      <c r="B787" s="19" t="n">
        <f aca="false">Orders!B787</f>
        <v>46012</v>
      </c>
      <c r="C787" s="6" t="str">
        <f aca="false">Orders!C787</f>
        <v>C0107</v>
      </c>
      <c r="D787" s="6" t="str">
        <f aca="false">Orders!D787</f>
        <v>P1057</v>
      </c>
      <c r="E787" s="6" t="str">
        <f aca="false">INDEX(Products!$B$2:$B$101,MATCH(D787,Products!$A$2:$A$101,0))</f>
        <v>Comb Set</v>
      </c>
      <c r="F787" s="1" t="str">
        <f aca="false">INDEX(Products!$C$2:$C$101,MATCH(D787,Products!$A$2:$A$101,0))</f>
        <v>Beauty</v>
      </c>
      <c r="G787" s="6" t="n">
        <f aca="false">Orders!E787</f>
        <v>5</v>
      </c>
      <c r="H787" s="16" t="n">
        <f aca="false">INDEX(Products!$D$2:$D$101,MATCH(D787,Products!$A$2:$A$101,0))</f>
        <v>199</v>
      </c>
      <c r="I787" s="16" t="n">
        <f aca="false">INDEX(Products!$E$2:$E$101,MATCH(D787,Products!$A$2:$A$101,0))</f>
        <v>65</v>
      </c>
      <c r="J787" s="20" t="n">
        <f aca="false">Orders!F787</f>
        <v>0.2</v>
      </c>
      <c r="K787" s="6" t="n">
        <f aca="false">G787*H787</f>
        <v>995</v>
      </c>
      <c r="L787" s="6" t="n">
        <f aca="false">K787*J787</f>
        <v>199</v>
      </c>
      <c r="M787" s="6" t="n">
        <f aca="false">K787-L787</f>
        <v>796</v>
      </c>
      <c r="N787" s="6" t="n">
        <f aca="false">G787*I787</f>
        <v>325</v>
      </c>
      <c r="O787" s="6" t="n">
        <f aca="false">M787-N787</f>
        <v>471</v>
      </c>
      <c r="P787" s="21" t="n">
        <f aca="false">IFERROR(O787/M787,0)</f>
        <v>0.591708542713568</v>
      </c>
      <c r="Q787" s="6" t="str">
        <f aca="false">Orders!H787</f>
        <v>Processing</v>
      </c>
      <c r="R787" s="1" t="str">
        <f aca="false">INDEX(Customers!$C$2:$C$301,MATCH(C787,Customers!$A$2:$A$301,0))</f>
        <v>Pune</v>
      </c>
      <c r="S787" s="1" t="str">
        <f aca="false">INDEX(Customers!$E$2:$E$301,MATCH(C787,Customers!$A$2:$A$301,0))</f>
        <v>Returning</v>
      </c>
      <c r="T787" s="6" t="str">
        <f aca="false">Orders!I787</f>
        <v>Marketplace</v>
      </c>
      <c r="U787" s="1" t="str">
        <f aca="false">IF(Q787="Delivered","Completed",IF(Q787="Cancelled","Cancelled",IF(Q787="Returned","Returned","In Progress")))</f>
        <v>In Progress</v>
      </c>
      <c r="V787" s="1" t="str">
        <f aca="false">IF(M787&gt;=10000,"High Value",IF(M787&gt;=5000,"Medium Value","Low Value"))</f>
        <v>Low Value</v>
      </c>
      <c r="W787" s="1" t="str">
        <f aca="false">IF(O787&gt;0,"Profitable",IF(O787=0,"Break-even","Loss"))</f>
        <v>Profitable</v>
      </c>
      <c r="X787" s="1" t="str">
        <f aca="false">IF(Q787="Cancelled","Not Applicable",IF(Q787="Processing","Pending",IF(B787="","Unknown",IF(Orders!J787="","Unknown",IF(Orders!J787&lt;=3,"Fast",IF(Orders!J787&lt;=6,"Standard","Slow"))))))</f>
        <v>Pending</v>
      </c>
      <c r="Y787" s="1" t="n">
        <f aca="false">IF(OR(Q787="Cancelled",Q787="Returned"),0,O787)</f>
        <v>471</v>
      </c>
    </row>
    <row r="788" customFormat="false" ht="15" hidden="false" customHeight="false" outlineLevel="0" collapsed="false">
      <c r="A788" s="6" t="str">
        <f aca="false">Orders!A788</f>
        <v>O000787</v>
      </c>
      <c r="B788" s="19" t="n">
        <f aca="false">Orders!B788</f>
        <v>45773</v>
      </c>
      <c r="C788" s="6" t="str">
        <f aca="false">Orders!C788</f>
        <v>C0027</v>
      </c>
      <c r="D788" s="6" t="str">
        <f aca="false">Orders!D788</f>
        <v>P1026</v>
      </c>
      <c r="E788" s="6" t="str">
        <f aca="false">INDEX(Products!$B$2:$B$101,MATCH(D788,Products!$A$2:$A$101,0))</f>
        <v>Sunglasses</v>
      </c>
      <c r="F788" s="1" t="str">
        <f aca="false">INDEX(Products!$C$2:$C$101,MATCH(D788,Products!$A$2:$A$101,0))</f>
        <v>Fashion</v>
      </c>
      <c r="G788" s="6" t="n">
        <f aca="false">Orders!E788</f>
        <v>1</v>
      </c>
      <c r="H788" s="16" t="n">
        <f aca="false">INDEX(Products!$D$2:$D$101,MATCH(D788,Products!$A$2:$A$101,0))</f>
        <v>799</v>
      </c>
      <c r="I788" s="16" t="n">
        <f aca="false">INDEX(Products!$E$2:$E$101,MATCH(D788,Products!$A$2:$A$101,0))</f>
        <v>300</v>
      </c>
      <c r="J788" s="20" t="n">
        <f aca="false">Orders!F788</f>
        <v>0.1</v>
      </c>
      <c r="K788" s="6" t="n">
        <f aca="false">G788*H788</f>
        <v>799</v>
      </c>
      <c r="L788" s="6" t="n">
        <f aca="false">K788*J788</f>
        <v>79.9</v>
      </c>
      <c r="M788" s="6" t="n">
        <f aca="false">K788-L788</f>
        <v>719.1</v>
      </c>
      <c r="N788" s="6" t="n">
        <f aca="false">G788*I788</f>
        <v>300</v>
      </c>
      <c r="O788" s="6" t="n">
        <f aca="false">M788-N788</f>
        <v>419.1</v>
      </c>
      <c r="P788" s="21" t="n">
        <f aca="false">IFERROR(O788/M788,0)</f>
        <v>0.582811848143513</v>
      </c>
      <c r="Q788" s="6" t="str">
        <f aca="false">Orders!H788</f>
        <v>Delivered</v>
      </c>
      <c r="R788" s="1" t="str">
        <f aca="false">INDEX(Customers!$C$2:$C$301,MATCH(C788,Customers!$A$2:$A$301,0))</f>
        <v>Pune</v>
      </c>
      <c r="S788" s="1" t="str">
        <f aca="false">INDEX(Customers!$E$2:$E$301,MATCH(C788,Customers!$A$2:$A$301,0))</f>
        <v>Returning</v>
      </c>
      <c r="T788" s="6" t="str">
        <f aca="false">Orders!I788</f>
        <v>Mobile App</v>
      </c>
      <c r="U788" s="1" t="str">
        <f aca="false">IF(Q788="Delivered","Completed",IF(Q788="Cancelled","Cancelled",IF(Q788="Returned","Returned","In Progress")))</f>
        <v>Completed</v>
      </c>
      <c r="V788" s="1" t="str">
        <f aca="false">IF(M788&gt;=10000,"High Value",IF(M788&gt;=5000,"Medium Value","Low Value"))</f>
        <v>Low Value</v>
      </c>
      <c r="W788" s="1" t="str">
        <f aca="false">IF(O788&gt;0,"Profitable",IF(O788=0,"Break-even","Loss"))</f>
        <v>Profitable</v>
      </c>
      <c r="X788" s="1" t="str">
        <f aca="false">IF(Q788="Cancelled","Not Applicable",IF(Q788="Processing","Pending",IF(B788="","Unknown",IF(Orders!J788="","Unknown",IF(Orders!J788&lt;=3,"Fast",IF(Orders!J788&lt;=6,"Standard","Slow"))))))</f>
        <v>Fast</v>
      </c>
      <c r="Y788" s="1" t="n">
        <f aca="false">IF(OR(Q788="Cancelled",Q788="Returned"),0,O788)</f>
        <v>419.1</v>
      </c>
    </row>
    <row r="789" customFormat="false" ht="15" hidden="false" customHeight="false" outlineLevel="0" collapsed="false">
      <c r="A789" s="6" t="str">
        <f aca="false">Orders!A789</f>
        <v>O000788</v>
      </c>
      <c r="B789" s="19" t="n">
        <f aca="false">Orders!B789</f>
        <v>45817</v>
      </c>
      <c r="C789" s="6" t="str">
        <f aca="false">Orders!C789</f>
        <v>C0272</v>
      </c>
      <c r="D789" s="6" t="str">
        <f aca="false">Orders!D789</f>
        <v>P1032</v>
      </c>
      <c r="E789" s="6" t="str">
        <f aca="false">INDEX(Products!$B$2:$B$101,MATCH(D789,Products!$A$2:$A$101,0))</f>
        <v>Water Bottle</v>
      </c>
      <c r="F789" s="1" t="str">
        <f aca="false">INDEX(Products!$C$2:$C$101,MATCH(D789,Products!$A$2:$A$101,0))</f>
        <v>Home &amp; Kitchen</v>
      </c>
      <c r="G789" s="6" t="n">
        <f aca="false">Orders!E789</f>
        <v>3</v>
      </c>
      <c r="H789" s="16" t="n">
        <f aca="false">INDEX(Products!$D$2:$D$101,MATCH(D789,Products!$A$2:$A$101,0))</f>
        <v>399</v>
      </c>
      <c r="I789" s="16" t="n">
        <f aca="false">INDEX(Products!$E$2:$E$101,MATCH(D789,Products!$A$2:$A$101,0))</f>
        <v>150</v>
      </c>
      <c r="J789" s="20" t="n">
        <f aca="false">Orders!F789</f>
        <v>0.2</v>
      </c>
      <c r="K789" s="6" t="n">
        <f aca="false">G789*H789</f>
        <v>1197</v>
      </c>
      <c r="L789" s="6" t="n">
        <f aca="false">K789*J789</f>
        <v>239.4</v>
      </c>
      <c r="M789" s="6" t="n">
        <f aca="false">K789-L789</f>
        <v>957.6</v>
      </c>
      <c r="N789" s="6" t="n">
        <f aca="false">G789*I789</f>
        <v>450</v>
      </c>
      <c r="O789" s="6" t="n">
        <f aca="false">M789-N789</f>
        <v>507.6</v>
      </c>
      <c r="P789" s="21" t="n">
        <f aca="false">IFERROR(O789/M789,0)</f>
        <v>0.530075187969925</v>
      </c>
      <c r="Q789" s="6" t="str">
        <f aca="false">Orders!H789</f>
        <v>Delivered</v>
      </c>
      <c r="R789" s="1" t="str">
        <f aca="false">INDEX(Customers!$C$2:$C$301,MATCH(C789,Customers!$A$2:$A$301,0))</f>
        <v>Noida</v>
      </c>
      <c r="S789" s="1" t="str">
        <f aca="false">INDEX(Customers!$E$2:$E$301,MATCH(C789,Customers!$A$2:$A$301,0))</f>
        <v>New</v>
      </c>
      <c r="T789" s="6" t="str">
        <f aca="false">Orders!I789</f>
        <v>Website</v>
      </c>
      <c r="U789" s="1" t="str">
        <f aca="false">IF(Q789="Delivered","Completed",IF(Q789="Cancelled","Cancelled",IF(Q789="Returned","Returned","In Progress")))</f>
        <v>Completed</v>
      </c>
      <c r="V789" s="1" t="str">
        <f aca="false">IF(M789&gt;=10000,"High Value",IF(M789&gt;=5000,"Medium Value","Low Value"))</f>
        <v>Low Value</v>
      </c>
      <c r="W789" s="1" t="str">
        <f aca="false">IF(O789&gt;0,"Profitable",IF(O789=0,"Break-even","Loss"))</f>
        <v>Profitable</v>
      </c>
      <c r="X789" s="1" t="str">
        <f aca="false">IF(Q789="Cancelled","Not Applicable",IF(Q789="Processing","Pending",IF(B789="","Unknown",IF(Orders!J789="","Unknown",IF(Orders!J789&lt;=3,"Fast",IF(Orders!J789&lt;=6,"Standard","Slow"))))))</f>
        <v>Fast</v>
      </c>
      <c r="Y789" s="1" t="n">
        <f aca="false">IF(OR(Q789="Cancelled",Q789="Returned"),0,O789)</f>
        <v>507.6</v>
      </c>
    </row>
    <row r="790" customFormat="false" ht="15" hidden="false" customHeight="false" outlineLevel="0" collapsed="false">
      <c r="A790" s="6" t="str">
        <f aca="false">Orders!A790</f>
        <v>O000789</v>
      </c>
      <c r="B790" s="19" t="n">
        <f aca="false">Orders!B790</f>
        <v>45693</v>
      </c>
      <c r="C790" s="6" t="str">
        <f aca="false">Orders!C790</f>
        <v>C0098</v>
      </c>
      <c r="D790" s="6" t="str">
        <f aca="false">Orders!D790</f>
        <v>P1004</v>
      </c>
      <c r="E790" s="6" t="str">
        <f aca="false">INDEX(Products!$B$2:$B$101,MATCH(D790,Products!$A$2:$A$101,0))</f>
        <v>USB-C Cable</v>
      </c>
      <c r="F790" s="1" t="str">
        <f aca="false">INDEX(Products!$C$2:$C$101,MATCH(D790,Products!$A$2:$A$101,0))</f>
        <v>Electronics</v>
      </c>
      <c r="G790" s="6" t="n">
        <f aca="false">Orders!E790</f>
        <v>2</v>
      </c>
      <c r="H790" s="16" t="n">
        <f aca="false">INDEX(Products!$D$2:$D$101,MATCH(D790,Products!$A$2:$A$101,0))</f>
        <v>299</v>
      </c>
      <c r="I790" s="16" t="n">
        <f aca="false">INDEX(Products!$E$2:$E$101,MATCH(D790,Products!$A$2:$A$101,0))</f>
        <v>120</v>
      </c>
      <c r="J790" s="20" t="n">
        <f aca="false">Orders!F790</f>
        <v>0.25</v>
      </c>
      <c r="K790" s="6" t="n">
        <f aca="false">G790*H790</f>
        <v>598</v>
      </c>
      <c r="L790" s="6" t="n">
        <f aca="false">K790*J790</f>
        <v>149.5</v>
      </c>
      <c r="M790" s="6" t="n">
        <f aca="false">K790-L790</f>
        <v>448.5</v>
      </c>
      <c r="N790" s="6" t="n">
        <f aca="false">G790*I790</f>
        <v>240</v>
      </c>
      <c r="O790" s="6" t="n">
        <f aca="false">M790-N790</f>
        <v>208.5</v>
      </c>
      <c r="P790" s="21" t="n">
        <f aca="false">IFERROR(O790/M790,0)</f>
        <v>0.464882943143813</v>
      </c>
      <c r="Q790" s="6" t="str">
        <f aca="false">Orders!H790</f>
        <v>Shipped</v>
      </c>
      <c r="R790" s="1" t="str">
        <f aca="false">INDEX(Customers!$C$2:$C$301,MATCH(C790,Customers!$A$2:$A$301,0))</f>
        <v>Nagpur</v>
      </c>
      <c r="S790" s="1" t="str">
        <f aca="false">INDEX(Customers!$E$2:$E$301,MATCH(C790,Customers!$A$2:$A$301,0))</f>
        <v>Returning</v>
      </c>
      <c r="T790" s="6" t="str">
        <f aca="false">Orders!I790</f>
        <v>Marketplace</v>
      </c>
      <c r="U790" s="1" t="str">
        <f aca="false">IF(Q790="Delivered","Completed",IF(Q790="Cancelled","Cancelled",IF(Q790="Returned","Returned","In Progress")))</f>
        <v>In Progress</v>
      </c>
      <c r="V790" s="1" t="str">
        <f aca="false">IF(M790&gt;=10000,"High Value",IF(M790&gt;=5000,"Medium Value","Low Value"))</f>
        <v>Low Value</v>
      </c>
      <c r="W790" s="1" t="str">
        <f aca="false">IF(O790&gt;0,"Profitable",IF(O790=0,"Break-even","Loss"))</f>
        <v>Profitable</v>
      </c>
      <c r="X790" s="1" t="str">
        <f aca="false">IF(Q790="Cancelled","Not Applicable",IF(Q790="Processing","Pending",IF(B790="","Unknown",IF(Orders!J790="","Unknown",IF(Orders!J790&lt;=3,"Fast",IF(Orders!J790&lt;=6,"Standard","Slow"))))))</f>
        <v>Fast</v>
      </c>
      <c r="Y790" s="1" t="n">
        <f aca="false">IF(OR(Q790="Cancelled",Q790="Returned"),0,O790)</f>
        <v>208.5</v>
      </c>
    </row>
    <row r="791" customFormat="false" ht="15" hidden="false" customHeight="false" outlineLevel="0" collapsed="false">
      <c r="A791" s="6" t="str">
        <f aca="false">Orders!A791</f>
        <v>O000790</v>
      </c>
      <c r="B791" s="19" t="n">
        <f aca="false">Orders!B791</f>
        <v>45745</v>
      </c>
      <c r="C791" s="6" t="str">
        <f aca="false">Orders!C791</f>
        <v>C0206</v>
      </c>
      <c r="D791" s="6" t="str">
        <f aca="false">Orders!D791</f>
        <v>P1027</v>
      </c>
      <c r="E791" s="6" t="str">
        <f aca="false">INDEX(Products!$B$2:$B$101,MATCH(D791,Products!$A$2:$A$101,0))</f>
        <v>Belt</v>
      </c>
      <c r="F791" s="1" t="str">
        <f aca="false">INDEX(Products!$C$2:$C$101,MATCH(D791,Products!$A$2:$A$101,0))</f>
        <v>Fashion</v>
      </c>
      <c r="G791" s="6" t="n">
        <f aca="false">Orders!E791</f>
        <v>3</v>
      </c>
      <c r="H791" s="16" t="n">
        <f aca="false">INDEX(Products!$D$2:$D$101,MATCH(D791,Products!$A$2:$A$101,0))</f>
        <v>399</v>
      </c>
      <c r="I791" s="16" t="n">
        <f aca="false">INDEX(Products!$E$2:$E$101,MATCH(D791,Products!$A$2:$A$101,0))</f>
        <v>160</v>
      </c>
      <c r="J791" s="20" t="n">
        <f aca="false">Orders!F791</f>
        <v>0.2</v>
      </c>
      <c r="K791" s="6" t="n">
        <f aca="false">G791*H791</f>
        <v>1197</v>
      </c>
      <c r="L791" s="6" t="n">
        <f aca="false">K791*J791</f>
        <v>239.4</v>
      </c>
      <c r="M791" s="6" t="n">
        <f aca="false">K791-L791</f>
        <v>957.6</v>
      </c>
      <c r="N791" s="6" t="n">
        <f aca="false">G791*I791</f>
        <v>480</v>
      </c>
      <c r="O791" s="6" t="n">
        <f aca="false">M791-N791</f>
        <v>477.6</v>
      </c>
      <c r="P791" s="21" t="n">
        <f aca="false">IFERROR(O791/M791,0)</f>
        <v>0.49874686716792</v>
      </c>
      <c r="Q791" s="6" t="str">
        <f aca="false">Orders!H791</f>
        <v>Delivered</v>
      </c>
      <c r="R791" s="1" t="str">
        <f aca="false">INDEX(Customers!$C$2:$C$301,MATCH(C791,Customers!$A$2:$A$301,0))</f>
        <v>Kolkata</v>
      </c>
      <c r="S791" s="1" t="str">
        <f aca="false">INDEX(Customers!$E$2:$E$301,MATCH(C791,Customers!$A$2:$A$301,0))</f>
        <v>Returning</v>
      </c>
      <c r="T791" s="6" t="str">
        <f aca="false">Orders!I791</f>
        <v>Mobile App</v>
      </c>
      <c r="U791" s="1" t="str">
        <f aca="false">IF(Q791="Delivered","Completed",IF(Q791="Cancelled","Cancelled",IF(Q791="Returned","Returned","In Progress")))</f>
        <v>Completed</v>
      </c>
      <c r="V791" s="1" t="str">
        <f aca="false">IF(M791&gt;=10000,"High Value",IF(M791&gt;=5000,"Medium Value","Low Value"))</f>
        <v>Low Value</v>
      </c>
      <c r="W791" s="1" t="str">
        <f aca="false">IF(O791&gt;0,"Profitable",IF(O791=0,"Break-even","Loss"))</f>
        <v>Profitable</v>
      </c>
      <c r="X791" s="1" t="str">
        <f aca="false">IF(Q791="Cancelled","Not Applicable",IF(Q791="Processing","Pending",IF(B791="","Unknown",IF(Orders!J791="","Unknown",IF(Orders!J791&lt;=3,"Fast",IF(Orders!J791&lt;=6,"Standard","Slow"))))))</f>
        <v>Standard</v>
      </c>
      <c r="Y791" s="1" t="n">
        <f aca="false">IF(OR(Q791="Cancelled",Q791="Returned"),0,O791)</f>
        <v>477.6</v>
      </c>
    </row>
    <row r="792" customFormat="false" ht="15" hidden="false" customHeight="false" outlineLevel="0" collapsed="false">
      <c r="A792" s="6" t="str">
        <f aca="false">Orders!A792</f>
        <v>O000791</v>
      </c>
      <c r="B792" s="19" t="n">
        <f aca="false">Orders!B792</f>
        <v>45984</v>
      </c>
      <c r="C792" s="6" t="str">
        <f aca="false">Orders!C792</f>
        <v>C0189</v>
      </c>
      <c r="D792" s="6" t="str">
        <f aca="false">Orders!D792</f>
        <v>P1013</v>
      </c>
      <c r="E792" s="6" t="str">
        <f aca="false">INDEX(Products!$B$2:$B$101,MATCH(D792,Products!$A$2:$A$101,0))</f>
        <v>Memory Card</v>
      </c>
      <c r="F792" s="1" t="str">
        <f aca="false">INDEX(Products!$C$2:$C$101,MATCH(D792,Products!$A$2:$A$101,0))</f>
        <v>Electronics</v>
      </c>
      <c r="G792" s="6" t="n">
        <f aca="false">Orders!E792</f>
        <v>2</v>
      </c>
      <c r="H792" s="16" t="n">
        <f aca="false">INDEX(Products!$D$2:$D$101,MATCH(D792,Products!$A$2:$A$101,0))</f>
        <v>699</v>
      </c>
      <c r="I792" s="16" t="n">
        <f aca="false">INDEX(Products!$E$2:$E$101,MATCH(D792,Products!$A$2:$A$101,0))</f>
        <v>400</v>
      </c>
      <c r="J792" s="20" t="n">
        <f aca="false">Orders!F792</f>
        <v>0.05</v>
      </c>
      <c r="K792" s="6" t="n">
        <f aca="false">G792*H792</f>
        <v>1398</v>
      </c>
      <c r="L792" s="6" t="n">
        <f aca="false">K792*J792</f>
        <v>69.9</v>
      </c>
      <c r="M792" s="6" t="n">
        <f aca="false">K792-L792</f>
        <v>1328.1</v>
      </c>
      <c r="N792" s="6" t="n">
        <f aca="false">G792*I792</f>
        <v>800</v>
      </c>
      <c r="O792" s="6" t="n">
        <f aca="false">M792-N792</f>
        <v>528.1</v>
      </c>
      <c r="P792" s="21" t="n">
        <f aca="false">IFERROR(O792/M792,0)</f>
        <v>0.397635720201792</v>
      </c>
      <c r="Q792" s="6" t="str">
        <f aca="false">Orders!H792</f>
        <v>Delivered</v>
      </c>
      <c r="R792" s="1" t="str">
        <f aca="false">INDEX(Customers!$C$2:$C$301,MATCH(C792,Customers!$A$2:$A$301,0))</f>
        <v>Ahmedabad</v>
      </c>
      <c r="S792" s="1" t="str">
        <f aca="false">INDEX(Customers!$E$2:$E$301,MATCH(C792,Customers!$A$2:$A$301,0))</f>
        <v>New</v>
      </c>
      <c r="T792" s="6" t="str">
        <f aca="false">Orders!I792</f>
        <v>Mobile App</v>
      </c>
      <c r="U792" s="1" t="str">
        <f aca="false">IF(Q792="Delivered","Completed",IF(Q792="Cancelled","Cancelled",IF(Q792="Returned","Returned","In Progress")))</f>
        <v>Completed</v>
      </c>
      <c r="V792" s="1" t="str">
        <f aca="false">IF(M792&gt;=10000,"High Value",IF(M792&gt;=5000,"Medium Value","Low Value"))</f>
        <v>Low Value</v>
      </c>
      <c r="W792" s="1" t="str">
        <f aca="false">IF(O792&gt;0,"Profitable",IF(O792=0,"Break-even","Loss"))</f>
        <v>Profitable</v>
      </c>
      <c r="X792" s="1" t="str">
        <f aca="false">IF(Q792="Cancelled","Not Applicable",IF(Q792="Processing","Pending",IF(B792="","Unknown",IF(Orders!J792="","Unknown",IF(Orders!J792&lt;=3,"Fast",IF(Orders!J792&lt;=6,"Standard","Slow"))))))</f>
        <v>Fast</v>
      </c>
      <c r="Y792" s="1" t="n">
        <f aca="false">IF(OR(Q792="Cancelled",Q792="Returned"),0,O792)</f>
        <v>528.1</v>
      </c>
    </row>
    <row r="793" customFormat="false" ht="15" hidden="false" customHeight="false" outlineLevel="0" collapsed="false">
      <c r="A793" s="6" t="str">
        <f aca="false">Orders!A793</f>
        <v>O000792</v>
      </c>
      <c r="B793" s="19" t="n">
        <f aca="false">Orders!B793</f>
        <v>45739</v>
      </c>
      <c r="C793" s="6" t="str">
        <f aca="false">Orders!C793</f>
        <v>C0119</v>
      </c>
      <c r="D793" s="6" t="str">
        <f aca="false">Orders!D793</f>
        <v>P1045</v>
      </c>
      <c r="E793" s="6" t="str">
        <f aca="false">INDEX(Products!$B$2:$B$101,MATCH(D793,Products!$A$2:$A$101,0))</f>
        <v>Lunch Box</v>
      </c>
      <c r="F793" s="1" t="str">
        <f aca="false">INDEX(Products!$C$2:$C$101,MATCH(D793,Products!$A$2:$A$101,0))</f>
        <v>Home &amp; Kitchen</v>
      </c>
      <c r="G793" s="6" t="n">
        <f aca="false">Orders!E793</f>
        <v>1</v>
      </c>
      <c r="H793" s="16" t="n">
        <f aca="false">INDEX(Products!$D$2:$D$101,MATCH(D793,Products!$A$2:$A$101,0))</f>
        <v>449</v>
      </c>
      <c r="I793" s="16" t="n">
        <f aca="false">INDEX(Products!$E$2:$E$101,MATCH(D793,Products!$A$2:$A$101,0))</f>
        <v>180</v>
      </c>
      <c r="J793" s="20" t="n">
        <f aca="false">Orders!F793</f>
        <v>0</v>
      </c>
      <c r="K793" s="6" t="n">
        <f aca="false">G793*H793</f>
        <v>449</v>
      </c>
      <c r="L793" s="6" t="n">
        <f aca="false">K793*J793</f>
        <v>0</v>
      </c>
      <c r="M793" s="6" t="n">
        <f aca="false">K793-L793</f>
        <v>449</v>
      </c>
      <c r="N793" s="6" t="n">
        <f aca="false">G793*I793</f>
        <v>180</v>
      </c>
      <c r="O793" s="6" t="n">
        <f aca="false">M793-N793</f>
        <v>269</v>
      </c>
      <c r="P793" s="21" t="n">
        <f aca="false">IFERROR(O793/M793,0)</f>
        <v>0.599109131403118</v>
      </c>
      <c r="Q793" s="6" t="str">
        <f aca="false">Orders!H793</f>
        <v>Delivered</v>
      </c>
      <c r="R793" s="1" t="str">
        <f aca="false">INDEX(Customers!$C$2:$C$301,MATCH(C793,Customers!$A$2:$A$301,0))</f>
        <v>Coimbatore</v>
      </c>
      <c r="S793" s="1" t="str">
        <f aca="false">INDEX(Customers!$E$2:$E$301,MATCH(C793,Customers!$A$2:$A$301,0))</f>
        <v>VIP</v>
      </c>
      <c r="T793" s="6" t="str">
        <f aca="false">Orders!I793</f>
        <v>Website</v>
      </c>
      <c r="U793" s="1" t="str">
        <f aca="false">IF(Q793="Delivered","Completed",IF(Q793="Cancelled","Cancelled",IF(Q793="Returned","Returned","In Progress")))</f>
        <v>Completed</v>
      </c>
      <c r="V793" s="1" t="str">
        <f aca="false">IF(M793&gt;=10000,"High Value",IF(M793&gt;=5000,"Medium Value","Low Value"))</f>
        <v>Low Value</v>
      </c>
      <c r="W793" s="1" t="str">
        <f aca="false">IF(O793&gt;0,"Profitable",IF(O793=0,"Break-even","Loss"))</f>
        <v>Profitable</v>
      </c>
      <c r="X793" s="1" t="str">
        <f aca="false">IF(Q793="Cancelled","Not Applicable",IF(Q793="Processing","Pending",IF(B793="","Unknown",IF(Orders!J793="","Unknown",IF(Orders!J793&lt;=3,"Fast",IF(Orders!J793&lt;=6,"Standard","Slow"))))))</f>
        <v>Standard</v>
      </c>
      <c r="Y793" s="1" t="n">
        <f aca="false">IF(OR(Q793="Cancelled",Q793="Returned"),0,O793)</f>
        <v>269</v>
      </c>
    </row>
    <row r="794" customFormat="false" ht="23.85" hidden="false" customHeight="false" outlineLevel="0" collapsed="false">
      <c r="A794" s="6" t="str">
        <f aca="false">Orders!A794</f>
        <v>O000793</v>
      </c>
      <c r="B794" s="19" t="n">
        <f aca="false">Orders!B794</f>
        <v>46019</v>
      </c>
      <c r="C794" s="6" t="str">
        <f aca="false">Orders!C794</f>
        <v>C0285</v>
      </c>
      <c r="D794" s="6" t="str">
        <f aca="false">Orders!D794</f>
        <v>P1081</v>
      </c>
      <c r="E794" s="6" t="str">
        <f aca="false">INDEX(Products!$B$2:$B$101,MATCH(D794,Products!$A$2:$A$101,0))</f>
        <v>Sticky Notes Pack</v>
      </c>
      <c r="F794" s="1" t="str">
        <f aca="false">INDEX(Products!$C$2:$C$101,MATCH(D794,Products!$A$2:$A$101,0))</f>
        <v>Books &amp; Stationery</v>
      </c>
      <c r="G794" s="6" t="n">
        <f aca="false">Orders!E794</f>
        <v>2</v>
      </c>
      <c r="H794" s="16" t="n">
        <f aca="false">INDEX(Products!$D$2:$D$101,MATCH(D794,Products!$A$2:$A$101,0))</f>
        <v>149</v>
      </c>
      <c r="I794" s="16" t="n">
        <f aca="false">INDEX(Products!$E$2:$E$101,MATCH(D794,Products!$A$2:$A$101,0))</f>
        <v>45</v>
      </c>
      <c r="J794" s="20" t="n">
        <f aca="false">Orders!F794</f>
        <v>0.1</v>
      </c>
      <c r="K794" s="6" t="n">
        <f aca="false">G794*H794</f>
        <v>298</v>
      </c>
      <c r="L794" s="6" t="n">
        <f aca="false">K794*J794</f>
        <v>29.8</v>
      </c>
      <c r="M794" s="6" t="n">
        <f aca="false">K794-L794</f>
        <v>268.2</v>
      </c>
      <c r="N794" s="6" t="n">
        <f aca="false">G794*I794</f>
        <v>90</v>
      </c>
      <c r="O794" s="6" t="n">
        <f aca="false">M794-N794</f>
        <v>178.2</v>
      </c>
      <c r="P794" s="21" t="n">
        <f aca="false">IFERROR(O794/M794,0)</f>
        <v>0.664429530201342</v>
      </c>
      <c r="Q794" s="6" t="str">
        <f aca="false">Orders!H794</f>
        <v>Delivered</v>
      </c>
      <c r="R794" s="1" t="str">
        <f aca="false">INDEX(Customers!$C$2:$C$301,MATCH(C794,Customers!$A$2:$A$301,0))</f>
        <v>Chennai</v>
      </c>
      <c r="S794" s="1" t="str">
        <f aca="false">INDEX(Customers!$E$2:$E$301,MATCH(C794,Customers!$A$2:$A$301,0))</f>
        <v>New</v>
      </c>
      <c r="T794" s="6" t="str">
        <f aca="false">Orders!I794</f>
        <v>Mobile App</v>
      </c>
      <c r="U794" s="1" t="str">
        <f aca="false">IF(Q794="Delivered","Completed",IF(Q794="Cancelled","Cancelled",IF(Q794="Returned","Returned","In Progress")))</f>
        <v>Completed</v>
      </c>
      <c r="V794" s="1" t="str">
        <f aca="false">IF(M794&gt;=10000,"High Value",IF(M794&gt;=5000,"Medium Value","Low Value"))</f>
        <v>Low Value</v>
      </c>
      <c r="W794" s="1" t="str">
        <f aca="false">IF(O794&gt;0,"Profitable",IF(O794=0,"Break-even","Loss"))</f>
        <v>Profitable</v>
      </c>
      <c r="X794" s="1" t="str">
        <f aca="false">IF(Q794="Cancelled","Not Applicable",IF(Q794="Processing","Pending",IF(B794="","Unknown",IF(Orders!J794="","Unknown",IF(Orders!J794&lt;=3,"Fast",IF(Orders!J794&lt;=6,"Standard","Slow"))))))</f>
        <v>Fast</v>
      </c>
      <c r="Y794" s="1" t="n">
        <f aca="false">IF(OR(Q794="Cancelled",Q794="Returned"),0,O794)</f>
        <v>178.2</v>
      </c>
    </row>
    <row r="795" customFormat="false" ht="23.85" hidden="false" customHeight="false" outlineLevel="0" collapsed="false">
      <c r="A795" s="6" t="str">
        <f aca="false">Orders!A795</f>
        <v>O000794</v>
      </c>
      <c r="B795" s="19" t="n">
        <f aca="false">Orders!B795</f>
        <v>45972</v>
      </c>
      <c r="C795" s="6" t="str">
        <f aca="false">Orders!C795</f>
        <v>C0194</v>
      </c>
      <c r="D795" s="6" t="str">
        <f aca="false">Orders!D795</f>
        <v>P1041</v>
      </c>
      <c r="E795" s="6" t="str">
        <f aca="false">INDEX(Products!$B$2:$B$101,MATCH(D795,Products!$A$2:$A$101,0))</f>
        <v>Food Storage Jars</v>
      </c>
      <c r="F795" s="1" t="str">
        <f aca="false">INDEX(Products!$C$2:$C$101,MATCH(D795,Products!$A$2:$A$101,0))</f>
        <v>Home &amp; Kitchen</v>
      </c>
      <c r="G795" s="6" t="n">
        <f aca="false">Orders!E795</f>
        <v>1</v>
      </c>
      <c r="H795" s="16" t="n">
        <f aca="false">INDEX(Products!$D$2:$D$101,MATCH(D795,Products!$A$2:$A$101,0))</f>
        <v>499</v>
      </c>
      <c r="I795" s="16" t="n">
        <f aca="false">INDEX(Products!$E$2:$E$101,MATCH(D795,Products!$A$2:$A$101,0))</f>
        <v>220</v>
      </c>
      <c r="J795" s="20" t="n">
        <f aca="false">Orders!F795</f>
        <v>0</v>
      </c>
      <c r="K795" s="6" t="n">
        <f aca="false">G795*H795</f>
        <v>499</v>
      </c>
      <c r="L795" s="6" t="n">
        <f aca="false">K795*J795</f>
        <v>0</v>
      </c>
      <c r="M795" s="6" t="n">
        <f aca="false">K795-L795</f>
        <v>499</v>
      </c>
      <c r="N795" s="6" t="n">
        <f aca="false">G795*I795</f>
        <v>220</v>
      </c>
      <c r="O795" s="6" t="n">
        <f aca="false">M795-N795</f>
        <v>279</v>
      </c>
      <c r="P795" s="21" t="n">
        <f aca="false">IFERROR(O795/M795,0)</f>
        <v>0.559118236472946</v>
      </c>
      <c r="Q795" s="6" t="str">
        <f aca="false">Orders!H795</f>
        <v>Delivered</v>
      </c>
      <c r="R795" s="1" t="str">
        <f aca="false">INDEX(Customers!$C$2:$C$301,MATCH(C795,Customers!$A$2:$A$301,0))</f>
        <v>Indore</v>
      </c>
      <c r="S795" s="1" t="str">
        <f aca="false">INDEX(Customers!$E$2:$E$301,MATCH(C795,Customers!$A$2:$A$301,0))</f>
        <v>Returning</v>
      </c>
      <c r="T795" s="6" t="str">
        <f aca="false">Orders!I795</f>
        <v>Mobile App</v>
      </c>
      <c r="U795" s="1" t="str">
        <f aca="false">IF(Q795="Delivered","Completed",IF(Q795="Cancelled","Cancelled",IF(Q795="Returned","Returned","In Progress")))</f>
        <v>Completed</v>
      </c>
      <c r="V795" s="1" t="str">
        <f aca="false">IF(M795&gt;=10000,"High Value",IF(M795&gt;=5000,"Medium Value","Low Value"))</f>
        <v>Low Value</v>
      </c>
      <c r="W795" s="1" t="str">
        <f aca="false">IF(O795&gt;0,"Profitable",IF(O795=0,"Break-even","Loss"))</f>
        <v>Profitable</v>
      </c>
      <c r="X795" s="1" t="str">
        <f aca="false">IF(Q795="Cancelled","Not Applicable",IF(Q795="Processing","Pending",IF(B795="","Unknown",IF(Orders!J795="","Unknown",IF(Orders!J795&lt;=3,"Fast",IF(Orders!J795&lt;=6,"Standard","Slow"))))))</f>
        <v>Fast</v>
      </c>
      <c r="Y795" s="1" t="n">
        <f aca="false">IF(OR(Q795="Cancelled",Q795="Returned"),0,O795)</f>
        <v>279</v>
      </c>
    </row>
    <row r="796" customFormat="false" ht="15" hidden="false" customHeight="false" outlineLevel="0" collapsed="false">
      <c r="A796" s="6" t="str">
        <f aca="false">Orders!A796</f>
        <v>O000795</v>
      </c>
      <c r="B796" s="19" t="n">
        <f aca="false">Orders!B796</f>
        <v>45928</v>
      </c>
      <c r="C796" s="6" t="str">
        <f aca="false">Orders!C796</f>
        <v>C0287</v>
      </c>
      <c r="D796" s="6" t="str">
        <f aca="false">Orders!D796</f>
        <v>P1037</v>
      </c>
      <c r="E796" s="6" t="str">
        <f aca="false">INDEX(Products!$B$2:$B$101,MATCH(D796,Products!$A$2:$A$101,0))</f>
        <v>Pillow Pair</v>
      </c>
      <c r="F796" s="1" t="str">
        <f aca="false">INDEX(Products!$C$2:$C$101,MATCH(D796,Products!$A$2:$A$101,0))</f>
        <v>Home &amp; Kitchen</v>
      </c>
      <c r="G796" s="6" t="n">
        <f aca="false">Orders!E796</f>
        <v>1</v>
      </c>
      <c r="H796" s="16" t="n">
        <f aca="false">INDEX(Products!$D$2:$D$101,MATCH(D796,Products!$A$2:$A$101,0))</f>
        <v>799</v>
      </c>
      <c r="I796" s="16" t="n">
        <f aca="false">INDEX(Products!$E$2:$E$101,MATCH(D796,Products!$A$2:$A$101,0))</f>
        <v>350</v>
      </c>
      <c r="J796" s="20" t="n">
        <f aca="false">Orders!F796</f>
        <v>0.25</v>
      </c>
      <c r="K796" s="6" t="n">
        <f aca="false">G796*H796</f>
        <v>799</v>
      </c>
      <c r="L796" s="6" t="n">
        <f aca="false">K796*J796</f>
        <v>199.75</v>
      </c>
      <c r="M796" s="6" t="n">
        <f aca="false">K796-L796</f>
        <v>599.25</v>
      </c>
      <c r="N796" s="6" t="n">
        <f aca="false">G796*I796</f>
        <v>350</v>
      </c>
      <c r="O796" s="6" t="n">
        <f aca="false">M796-N796</f>
        <v>249.25</v>
      </c>
      <c r="P796" s="21" t="n">
        <f aca="false">IFERROR(O796/M796,0)</f>
        <v>0.415936587400918</v>
      </c>
      <c r="Q796" s="6" t="str">
        <f aca="false">Orders!H796</f>
        <v>Delivered</v>
      </c>
      <c r="R796" s="1" t="str">
        <f aca="false">INDEX(Customers!$C$2:$C$301,MATCH(C796,Customers!$A$2:$A$301,0))</f>
        <v>Pune</v>
      </c>
      <c r="S796" s="1" t="str">
        <f aca="false">INDEX(Customers!$E$2:$E$301,MATCH(C796,Customers!$A$2:$A$301,0))</f>
        <v>New</v>
      </c>
      <c r="T796" s="6" t="str">
        <f aca="false">Orders!I796</f>
        <v>Mobile App</v>
      </c>
      <c r="U796" s="1" t="str">
        <f aca="false">IF(Q796="Delivered","Completed",IF(Q796="Cancelled","Cancelled",IF(Q796="Returned","Returned","In Progress")))</f>
        <v>Completed</v>
      </c>
      <c r="V796" s="1" t="str">
        <f aca="false">IF(M796&gt;=10000,"High Value",IF(M796&gt;=5000,"Medium Value","Low Value"))</f>
        <v>Low Value</v>
      </c>
      <c r="W796" s="1" t="str">
        <f aca="false">IF(O796&gt;0,"Profitable",IF(O796=0,"Break-even","Loss"))</f>
        <v>Profitable</v>
      </c>
      <c r="X796" s="1" t="str">
        <f aca="false">IF(Q796="Cancelled","Not Applicable",IF(Q796="Processing","Pending",IF(B796="","Unknown",IF(Orders!J796="","Unknown",IF(Orders!J796&lt;=3,"Fast",IF(Orders!J796&lt;=6,"Standard","Slow"))))))</f>
        <v>Standard</v>
      </c>
      <c r="Y796" s="1" t="n">
        <f aca="false">IF(OR(Q796="Cancelled",Q796="Returned"),0,O796)</f>
        <v>249.25</v>
      </c>
    </row>
    <row r="797" customFormat="false" ht="15" hidden="false" customHeight="false" outlineLevel="0" collapsed="false">
      <c r="A797" s="6" t="str">
        <f aca="false">Orders!A797</f>
        <v>O000796</v>
      </c>
      <c r="B797" s="19" t="n">
        <f aca="false">Orders!B797</f>
        <v>45688</v>
      </c>
      <c r="C797" s="6" t="str">
        <f aca="false">Orders!C797</f>
        <v>C0063</v>
      </c>
      <c r="D797" s="6" t="str">
        <f aca="false">Orders!D797</f>
        <v>P1096</v>
      </c>
      <c r="E797" s="6" t="str">
        <f aca="false">INDEX(Products!$B$2:$B$101,MATCH(D797,Products!$A$2:$A$101,0))</f>
        <v>Air Fryer</v>
      </c>
      <c r="F797" s="1" t="str">
        <f aca="false">INDEX(Products!$C$2:$C$101,MATCH(D797,Products!$A$2:$A$101,0))</f>
        <v>Appliances</v>
      </c>
      <c r="G797" s="6" t="n">
        <f aca="false">Orders!E797</f>
        <v>1</v>
      </c>
      <c r="H797" s="16" t="n">
        <f aca="false">INDEX(Products!$D$2:$D$101,MATCH(D797,Products!$A$2:$A$101,0))</f>
        <v>3999</v>
      </c>
      <c r="I797" s="16" t="n">
        <f aca="false">INDEX(Products!$E$2:$E$101,MATCH(D797,Products!$A$2:$A$101,0))</f>
        <v>2700</v>
      </c>
      <c r="J797" s="20" t="n">
        <f aca="false">Orders!F797</f>
        <v>0.05</v>
      </c>
      <c r="K797" s="6" t="n">
        <f aca="false">G797*H797</f>
        <v>3999</v>
      </c>
      <c r="L797" s="6" t="n">
        <f aca="false">K797*J797</f>
        <v>199.95</v>
      </c>
      <c r="M797" s="6" t="n">
        <f aca="false">K797-L797</f>
        <v>3799.05</v>
      </c>
      <c r="N797" s="6" t="n">
        <f aca="false">G797*I797</f>
        <v>2700</v>
      </c>
      <c r="O797" s="6" t="n">
        <f aca="false">M797-N797</f>
        <v>1099.05</v>
      </c>
      <c r="P797" s="21" t="n">
        <f aca="false">IFERROR(O797/M797,0)</f>
        <v>0.28929600821258</v>
      </c>
      <c r="Q797" s="6" t="str">
        <f aca="false">Orders!H797</f>
        <v>Delivered</v>
      </c>
      <c r="R797" s="1" t="str">
        <f aca="false">INDEX(Customers!$C$2:$C$301,MATCH(C797,Customers!$A$2:$A$301,0))</f>
        <v>Bengaluru</v>
      </c>
      <c r="S797" s="1" t="str">
        <f aca="false">INDEX(Customers!$E$2:$E$301,MATCH(C797,Customers!$A$2:$A$301,0))</f>
        <v>New</v>
      </c>
      <c r="T797" s="6" t="str">
        <f aca="false">Orders!I797</f>
        <v>Marketplace</v>
      </c>
      <c r="U797" s="1" t="str">
        <f aca="false">IF(Q797="Delivered","Completed",IF(Q797="Cancelled","Cancelled",IF(Q797="Returned","Returned","In Progress")))</f>
        <v>Completed</v>
      </c>
      <c r="V797" s="1" t="str">
        <f aca="false">IF(M797&gt;=10000,"High Value",IF(M797&gt;=5000,"Medium Value","Low Value"))</f>
        <v>Low Value</v>
      </c>
      <c r="W797" s="1" t="str">
        <f aca="false">IF(O797&gt;0,"Profitable",IF(O797=0,"Break-even","Loss"))</f>
        <v>Profitable</v>
      </c>
      <c r="X797" s="1" t="str">
        <f aca="false">IF(Q797="Cancelled","Not Applicable",IF(Q797="Processing","Pending",IF(B797="","Unknown",IF(Orders!J797="","Unknown",IF(Orders!J797&lt;=3,"Fast",IF(Orders!J797&lt;=6,"Standard","Slow"))))))</f>
        <v>Fast</v>
      </c>
      <c r="Y797" s="1" t="n">
        <f aca="false">IF(OR(Q797="Cancelled",Q797="Returned"),0,O797)</f>
        <v>1099.05</v>
      </c>
    </row>
    <row r="798" customFormat="false" ht="15" hidden="false" customHeight="false" outlineLevel="0" collapsed="false">
      <c r="A798" s="6" t="str">
        <f aca="false">Orders!A798</f>
        <v>O000797</v>
      </c>
      <c r="B798" s="19" t="n">
        <f aca="false">Orders!B798</f>
        <v>45672</v>
      </c>
      <c r="C798" s="6" t="str">
        <f aca="false">Orders!C798</f>
        <v>C0132</v>
      </c>
      <c r="D798" s="6" t="str">
        <f aca="false">Orders!D798</f>
        <v>P1098</v>
      </c>
      <c r="E798" s="6" t="str">
        <f aca="false">INDEX(Products!$B$2:$B$101,MATCH(D798,Products!$A$2:$A$101,0))</f>
        <v>Steam Iron</v>
      </c>
      <c r="F798" s="1" t="str">
        <f aca="false">INDEX(Products!$C$2:$C$101,MATCH(D798,Products!$A$2:$A$101,0))</f>
        <v>Appliances</v>
      </c>
      <c r="G798" s="6" t="n">
        <f aca="false">Orders!E798</f>
        <v>2</v>
      </c>
      <c r="H798" s="16" t="n">
        <f aca="false">INDEX(Products!$D$2:$D$101,MATCH(D798,Products!$A$2:$A$101,0))</f>
        <v>999</v>
      </c>
      <c r="I798" s="16" t="n">
        <f aca="false">INDEX(Products!$E$2:$E$101,MATCH(D798,Products!$A$2:$A$101,0))</f>
        <v>550</v>
      </c>
      <c r="J798" s="20" t="n">
        <f aca="false">Orders!F798</f>
        <v>0.05</v>
      </c>
      <c r="K798" s="6" t="n">
        <f aca="false">G798*H798</f>
        <v>1998</v>
      </c>
      <c r="L798" s="6" t="n">
        <f aca="false">K798*J798</f>
        <v>99.9</v>
      </c>
      <c r="M798" s="6" t="n">
        <f aca="false">K798-L798</f>
        <v>1898.1</v>
      </c>
      <c r="N798" s="6" t="n">
        <f aca="false">G798*I798</f>
        <v>1100</v>
      </c>
      <c r="O798" s="6" t="n">
        <f aca="false">M798-N798</f>
        <v>798.1</v>
      </c>
      <c r="P798" s="21" t="n">
        <f aca="false">IFERROR(O798/M798,0)</f>
        <v>0.420473104683631</v>
      </c>
      <c r="Q798" s="6" t="str">
        <f aca="false">Orders!H798</f>
        <v>Delivered</v>
      </c>
      <c r="R798" s="1" t="str">
        <f aca="false">INDEX(Customers!$C$2:$C$301,MATCH(C798,Customers!$A$2:$A$301,0))</f>
        <v>Noida</v>
      </c>
      <c r="S798" s="1" t="str">
        <f aca="false">INDEX(Customers!$E$2:$E$301,MATCH(C798,Customers!$A$2:$A$301,0))</f>
        <v>Returning</v>
      </c>
      <c r="T798" s="6" t="str">
        <f aca="false">Orders!I798</f>
        <v>Mobile App</v>
      </c>
      <c r="U798" s="1" t="str">
        <f aca="false">IF(Q798="Delivered","Completed",IF(Q798="Cancelled","Cancelled",IF(Q798="Returned","Returned","In Progress")))</f>
        <v>Completed</v>
      </c>
      <c r="V798" s="1" t="str">
        <f aca="false">IF(M798&gt;=10000,"High Value",IF(M798&gt;=5000,"Medium Value","Low Value"))</f>
        <v>Low Value</v>
      </c>
      <c r="W798" s="1" t="str">
        <f aca="false">IF(O798&gt;0,"Profitable",IF(O798=0,"Break-even","Loss"))</f>
        <v>Profitable</v>
      </c>
      <c r="X798" s="1" t="str">
        <f aca="false">IF(Q798="Cancelled","Not Applicable",IF(Q798="Processing","Pending",IF(B798="","Unknown",IF(Orders!J798="","Unknown",IF(Orders!J798&lt;=3,"Fast",IF(Orders!J798&lt;=6,"Standard","Slow"))))))</f>
        <v>Slow</v>
      </c>
      <c r="Y798" s="1" t="n">
        <f aca="false">IF(OR(Q798="Cancelled",Q798="Returned"),0,O798)</f>
        <v>798.1</v>
      </c>
    </row>
    <row r="799" customFormat="false" ht="15" hidden="false" customHeight="false" outlineLevel="0" collapsed="false">
      <c r="A799" s="6" t="str">
        <f aca="false">Orders!A799</f>
        <v>O000798</v>
      </c>
      <c r="B799" s="19" t="n">
        <f aca="false">Orders!B799</f>
        <v>46022</v>
      </c>
      <c r="C799" s="6" t="str">
        <f aca="false">Orders!C799</f>
        <v>C0188</v>
      </c>
      <c r="D799" s="6" t="str">
        <f aca="false">Orders!D799</f>
        <v>P1078</v>
      </c>
      <c r="E799" s="6" t="str">
        <f aca="false">INDEX(Products!$B$2:$B$101,MATCH(D799,Products!$A$2:$A$101,0))</f>
        <v>Sketchbook</v>
      </c>
      <c r="F799" s="1" t="str">
        <f aca="false">INDEX(Products!$C$2:$C$101,MATCH(D799,Products!$A$2:$A$101,0))</f>
        <v>Books &amp; Stationery</v>
      </c>
      <c r="G799" s="6" t="n">
        <f aca="false">Orders!E799</f>
        <v>2</v>
      </c>
      <c r="H799" s="16" t="n">
        <f aca="false">INDEX(Products!$D$2:$D$101,MATCH(D799,Products!$A$2:$A$101,0))</f>
        <v>249</v>
      </c>
      <c r="I799" s="16" t="n">
        <f aca="false">INDEX(Products!$E$2:$E$101,MATCH(D799,Products!$A$2:$A$101,0))</f>
        <v>90</v>
      </c>
      <c r="J799" s="20" t="n">
        <f aca="false">Orders!F799</f>
        <v>0.25</v>
      </c>
      <c r="K799" s="6" t="n">
        <f aca="false">G799*H799</f>
        <v>498</v>
      </c>
      <c r="L799" s="6" t="n">
        <f aca="false">K799*J799</f>
        <v>124.5</v>
      </c>
      <c r="M799" s="6" t="n">
        <f aca="false">K799-L799</f>
        <v>373.5</v>
      </c>
      <c r="N799" s="6" t="n">
        <f aca="false">G799*I799</f>
        <v>180</v>
      </c>
      <c r="O799" s="6" t="n">
        <f aca="false">M799-N799</f>
        <v>193.5</v>
      </c>
      <c r="P799" s="21" t="n">
        <f aca="false">IFERROR(O799/M799,0)</f>
        <v>0.518072289156627</v>
      </c>
      <c r="Q799" s="6" t="str">
        <f aca="false">Orders!H799</f>
        <v>Shipped</v>
      </c>
      <c r="R799" s="1" t="str">
        <f aca="false">INDEX(Customers!$C$2:$C$301,MATCH(C799,Customers!$A$2:$A$301,0))</f>
        <v>Jaipur</v>
      </c>
      <c r="S799" s="1" t="str">
        <f aca="false">INDEX(Customers!$E$2:$E$301,MATCH(C799,Customers!$A$2:$A$301,0))</f>
        <v>Returning</v>
      </c>
      <c r="T799" s="6" t="str">
        <f aca="false">Orders!I799</f>
        <v>Website</v>
      </c>
      <c r="U799" s="1" t="str">
        <f aca="false">IF(Q799="Delivered","Completed",IF(Q799="Cancelled","Cancelled",IF(Q799="Returned","Returned","In Progress")))</f>
        <v>In Progress</v>
      </c>
      <c r="V799" s="1" t="str">
        <f aca="false">IF(M799&gt;=10000,"High Value",IF(M799&gt;=5000,"Medium Value","Low Value"))</f>
        <v>Low Value</v>
      </c>
      <c r="W799" s="1" t="str">
        <f aca="false">IF(O799&gt;0,"Profitable",IF(O799=0,"Break-even","Loss"))</f>
        <v>Profitable</v>
      </c>
      <c r="X799" s="1" t="str">
        <f aca="false">IF(Q799="Cancelled","Not Applicable",IF(Q799="Processing","Pending",IF(B799="","Unknown",IF(Orders!J799="","Unknown",IF(Orders!J799&lt;=3,"Fast",IF(Orders!J799&lt;=6,"Standard","Slow"))))))</f>
        <v>Standard</v>
      </c>
      <c r="Y799" s="1" t="n">
        <f aca="false">IF(OR(Q799="Cancelled",Q799="Returned"),0,O799)</f>
        <v>193.5</v>
      </c>
    </row>
    <row r="800" customFormat="false" ht="15" hidden="false" customHeight="false" outlineLevel="0" collapsed="false">
      <c r="A800" s="6" t="str">
        <f aca="false">Orders!A800</f>
        <v>O000799</v>
      </c>
      <c r="B800" s="19" t="n">
        <f aca="false">Orders!B800</f>
        <v>45843</v>
      </c>
      <c r="C800" s="6" t="str">
        <f aca="false">Orders!C800</f>
        <v>C0157</v>
      </c>
      <c r="D800" s="6" t="str">
        <f aca="false">Orders!D800</f>
        <v>P1026</v>
      </c>
      <c r="E800" s="6" t="str">
        <f aca="false">INDEX(Products!$B$2:$B$101,MATCH(D800,Products!$A$2:$A$101,0))</f>
        <v>Sunglasses</v>
      </c>
      <c r="F800" s="1" t="str">
        <f aca="false">INDEX(Products!$C$2:$C$101,MATCH(D800,Products!$A$2:$A$101,0))</f>
        <v>Fashion</v>
      </c>
      <c r="G800" s="6" t="n">
        <f aca="false">Orders!E800</f>
        <v>1</v>
      </c>
      <c r="H800" s="16" t="n">
        <f aca="false">INDEX(Products!$D$2:$D$101,MATCH(D800,Products!$A$2:$A$101,0))</f>
        <v>799</v>
      </c>
      <c r="I800" s="16" t="n">
        <f aca="false">INDEX(Products!$E$2:$E$101,MATCH(D800,Products!$A$2:$A$101,0))</f>
        <v>300</v>
      </c>
      <c r="J800" s="20" t="n">
        <f aca="false">Orders!F800</f>
        <v>0.1</v>
      </c>
      <c r="K800" s="6" t="n">
        <f aca="false">G800*H800</f>
        <v>799</v>
      </c>
      <c r="L800" s="6" t="n">
        <f aca="false">K800*J800</f>
        <v>79.9</v>
      </c>
      <c r="M800" s="6" t="n">
        <f aca="false">K800-L800</f>
        <v>719.1</v>
      </c>
      <c r="N800" s="6" t="n">
        <f aca="false">G800*I800</f>
        <v>300</v>
      </c>
      <c r="O800" s="6" t="n">
        <f aca="false">M800-N800</f>
        <v>419.1</v>
      </c>
      <c r="P800" s="21" t="n">
        <f aca="false">IFERROR(O800/M800,0)</f>
        <v>0.582811848143513</v>
      </c>
      <c r="Q800" s="6" t="str">
        <f aca="false">Orders!H800</f>
        <v>Cancelled</v>
      </c>
      <c r="R800" s="1" t="str">
        <f aca="false">INDEX(Customers!$C$2:$C$301,MATCH(C800,Customers!$A$2:$A$301,0))</f>
        <v>Surat</v>
      </c>
      <c r="S800" s="1" t="str">
        <f aca="false">INDEX(Customers!$E$2:$E$301,MATCH(C800,Customers!$A$2:$A$301,0))</f>
        <v>VIP</v>
      </c>
      <c r="T800" s="6" t="str">
        <f aca="false">Orders!I800</f>
        <v>Marketplace</v>
      </c>
      <c r="U800" s="1" t="str">
        <f aca="false">IF(Q800="Delivered","Completed",IF(Q800="Cancelled","Cancelled",IF(Q800="Returned","Returned","In Progress")))</f>
        <v>Cancelled</v>
      </c>
      <c r="V800" s="1" t="str">
        <f aca="false">IF(M800&gt;=10000,"High Value",IF(M800&gt;=5000,"Medium Value","Low Value"))</f>
        <v>Low Value</v>
      </c>
      <c r="W800" s="1" t="str">
        <f aca="false">IF(O800&gt;0,"Profitable",IF(O800=0,"Break-even","Loss"))</f>
        <v>Profitable</v>
      </c>
      <c r="X800" s="1" t="str">
        <f aca="false">IF(Q800="Cancelled","Not Applicable",IF(Q800="Processing","Pending",IF(B800="","Unknown",IF(Orders!J800="","Unknown",IF(Orders!J800&lt;=3,"Fast",IF(Orders!J800&lt;=6,"Standard","Slow"))))))</f>
        <v>Not Applicable</v>
      </c>
      <c r="Y800" s="1" t="n">
        <f aca="false">IF(OR(Q800="Cancelled",Q800="Returned"),0,O800)</f>
        <v>0</v>
      </c>
    </row>
    <row r="801" customFormat="false" ht="15" hidden="false" customHeight="false" outlineLevel="0" collapsed="false">
      <c r="A801" s="6" t="str">
        <f aca="false">Orders!A801</f>
        <v>O000800</v>
      </c>
      <c r="B801" s="19" t="n">
        <f aca="false">Orders!B801</f>
        <v>45777</v>
      </c>
      <c r="C801" s="6" t="str">
        <f aca="false">Orders!C801</f>
        <v>C0099</v>
      </c>
      <c r="D801" s="6" t="str">
        <f aca="false">Orders!D801</f>
        <v>P1025</v>
      </c>
      <c r="E801" s="6" t="str">
        <f aca="false">INDEX(Products!$B$2:$B$101,MATCH(D801,Products!$A$2:$A$101,0))</f>
        <v>Hoodie</v>
      </c>
      <c r="F801" s="1" t="str">
        <f aca="false">INDEX(Products!$C$2:$C$101,MATCH(D801,Products!$A$2:$A$101,0))</f>
        <v>Fashion</v>
      </c>
      <c r="G801" s="6" t="n">
        <f aca="false">Orders!E801</f>
        <v>1</v>
      </c>
      <c r="H801" s="16" t="n">
        <f aca="false">INDEX(Products!$D$2:$D$101,MATCH(D801,Products!$A$2:$A$101,0))</f>
        <v>1399</v>
      </c>
      <c r="I801" s="16" t="n">
        <f aca="false">INDEX(Products!$E$2:$E$101,MATCH(D801,Products!$A$2:$A$101,0))</f>
        <v>720</v>
      </c>
      <c r="J801" s="20" t="n">
        <f aca="false">Orders!F801</f>
        <v>0.05</v>
      </c>
      <c r="K801" s="6" t="n">
        <f aca="false">G801*H801</f>
        <v>1399</v>
      </c>
      <c r="L801" s="6" t="n">
        <f aca="false">K801*J801</f>
        <v>69.95</v>
      </c>
      <c r="M801" s="6" t="n">
        <f aca="false">K801-L801</f>
        <v>1329.05</v>
      </c>
      <c r="N801" s="6" t="n">
        <f aca="false">G801*I801</f>
        <v>720</v>
      </c>
      <c r="O801" s="6" t="n">
        <f aca="false">M801-N801</f>
        <v>609.05</v>
      </c>
      <c r="P801" s="21" t="n">
        <f aca="false">IFERROR(O801/M801,0)</f>
        <v>0.458259659155036</v>
      </c>
      <c r="Q801" s="6" t="str">
        <f aca="false">Orders!H801</f>
        <v>Delivered</v>
      </c>
      <c r="R801" s="1" t="str">
        <f aca="false">INDEX(Customers!$C$2:$C$301,MATCH(C801,Customers!$A$2:$A$301,0))</f>
        <v>Coimbatore</v>
      </c>
      <c r="S801" s="1" t="str">
        <f aca="false">INDEX(Customers!$E$2:$E$301,MATCH(C801,Customers!$A$2:$A$301,0))</f>
        <v>VIP</v>
      </c>
      <c r="T801" s="6" t="str">
        <f aca="false">Orders!I801</f>
        <v>Mobile App</v>
      </c>
      <c r="U801" s="1" t="str">
        <f aca="false">IF(Q801="Delivered","Completed",IF(Q801="Cancelled","Cancelled",IF(Q801="Returned","Returned","In Progress")))</f>
        <v>Completed</v>
      </c>
      <c r="V801" s="1" t="str">
        <f aca="false">IF(M801&gt;=10000,"High Value",IF(M801&gt;=5000,"Medium Value","Low Value"))</f>
        <v>Low Value</v>
      </c>
      <c r="W801" s="1" t="str">
        <f aca="false">IF(O801&gt;0,"Profitable",IF(O801=0,"Break-even","Loss"))</f>
        <v>Profitable</v>
      </c>
      <c r="X801" s="1" t="str">
        <f aca="false">IF(Q801="Cancelled","Not Applicable",IF(Q801="Processing","Pending",IF(B801="","Unknown",IF(Orders!J801="","Unknown",IF(Orders!J801&lt;=3,"Fast",IF(Orders!J801&lt;=6,"Standard","Slow"))))))</f>
        <v>Slow</v>
      </c>
      <c r="Y801" s="1" t="n">
        <f aca="false">IF(OR(Q801="Cancelled",Q801="Returned"),0,O801)</f>
        <v>609.05</v>
      </c>
    </row>
    <row r="802" customFormat="false" ht="15" hidden="false" customHeight="false" outlineLevel="0" collapsed="false">
      <c r="A802" s="6" t="str">
        <f aca="false">Orders!A802</f>
        <v>O000801</v>
      </c>
      <c r="B802" s="19" t="n">
        <f aca="false">Orders!B802</f>
        <v>45891</v>
      </c>
      <c r="C802" s="6" t="str">
        <f aca="false">Orders!C802</f>
        <v>C0095</v>
      </c>
      <c r="D802" s="6" t="str">
        <f aca="false">Orders!D802</f>
        <v>P1009</v>
      </c>
      <c r="E802" s="6" t="str">
        <f aca="false">INDEX(Products!$B$2:$B$101,MATCH(D802,Products!$A$2:$A$101,0))</f>
        <v>Laptop Sleeve</v>
      </c>
      <c r="F802" s="1" t="str">
        <f aca="false">INDEX(Products!$C$2:$C$101,MATCH(D802,Products!$A$2:$A$101,0))</f>
        <v>Electronics</v>
      </c>
      <c r="G802" s="6" t="n">
        <f aca="false">Orders!E802</f>
        <v>1</v>
      </c>
      <c r="H802" s="16" t="n">
        <f aca="false">INDEX(Products!$D$2:$D$101,MATCH(D802,Products!$A$2:$A$101,0))</f>
        <v>799</v>
      </c>
      <c r="I802" s="16" t="n">
        <f aca="false">INDEX(Products!$E$2:$E$101,MATCH(D802,Products!$A$2:$A$101,0))</f>
        <v>350</v>
      </c>
      <c r="J802" s="20" t="n">
        <f aca="false">Orders!F802</f>
        <v>0</v>
      </c>
      <c r="K802" s="6" t="n">
        <f aca="false">G802*H802</f>
        <v>799</v>
      </c>
      <c r="L802" s="6" t="n">
        <f aca="false">K802*J802</f>
        <v>0</v>
      </c>
      <c r="M802" s="6" t="n">
        <f aca="false">K802-L802</f>
        <v>799</v>
      </c>
      <c r="N802" s="6" t="n">
        <f aca="false">G802*I802</f>
        <v>350</v>
      </c>
      <c r="O802" s="6" t="n">
        <f aca="false">M802-N802</f>
        <v>449</v>
      </c>
      <c r="P802" s="21" t="n">
        <f aca="false">IFERROR(O802/M802,0)</f>
        <v>0.561952440550688</v>
      </c>
      <c r="Q802" s="6" t="str">
        <f aca="false">Orders!H802</f>
        <v>Delivered</v>
      </c>
      <c r="R802" s="1" t="str">
        <f aca="false">INDEX(Customers!$C$2:$C$301,MATCH(C802,Customers!$A$2:$A$301,0))</f>
        <v>Bhopal</v>
      </c>
      <c r="S802" s="1" t="str">
        <f aca="false">INDEX(Customers!$E$2:$E$301,MATCH(C802,Customers!$A$2:$A$301,0))</f>
        <v>Returning</v>
      </c>
      <c r="T802" s="6" t="str">
        <f aca="false">Orders!I802</f>
        <v>Website</v>
      </c>
      <c r="U802" s="1" t="str">
        <f aca="false">IF(Q802="Delivered","Completed",IF(Q802="Cancelled","Cancelled",IF(Q802="Returned","Returned","In Progress")))</f>
        <v>Completed</v>
      </c>
      <c r="V802" s="1" t="str">
        <f aca="false">IF(M802&gt;=10000,"High Value",IF(M802&gt;=5000,"Medium Value","Low Value"))</f>
        <v>Low Value</v>
      </c>
      <c r="W802" s="1" t="str">
        <f aca="false">IF(O802&gt;0,"Profitable",IF(O802=0,"Break-even","Loss"))</f>
        <v>Profitable</v>
      </c>
      <c r="X802" s="1" t="str">
        <f aca="false">IF(Q802="Cancelled","Not Applicable",IF(Q802="Processing","Pending",IF(B802="","Unknown",IF(Orders!J802="","Unknown",IF(Orders!J802&lt;=3,"Fast",IF(Orders!J802&lt;=6,"Standard","Slow"))))))</f>
        <v>Slow</v>
      </c>
      <c r="Y802" s="1" t="n">
        <f aca="false">IF(OR(Q802="Cancelled",Q802="Returned"),0,O802)</f>
        <v>449</v>
      </c>
    </row>
    <row r="803" customFormat="false" ht="15" hidden="false" customHeight="false" outlineLevel="0" collapsed="false">
      <c r="A803" s="6" t="str">
        <f aca="false">Orders!A803</f>
        <v>O000802</v>
      </c>
      <c r="B803" s="19" t="n">
        <f aca="false">Orders!B803</f>
        <v>46015</v>
      </c>
      <c r="C803" s="6" t="str">
        <f aca="false">Orders!C803</f>
        <v>C0003</v>
      </c>
      <c r="D803" s="6" t="str">
        <f aca="false">Orders!D803</f>
        <v>P1063</v>
      </c>
      <c r="E803" s="6" t="str">
        <f aca="false">INDEX(Products!$B$2:$B$101,MATCH(D803,Products!$A$2:$A$101,0))</f>
        <v>Cricket Bat</v>
      </c>
      <c r="F803" s="1" t="str">
        <f aca="false">INDEX(Products!$C$2:$C$101,MATCH(D803,Products!$A$2:$A$101,0))</f>
        <v>Sports &amp; Outdoors</v>
      </c>
      <c r="G803" s="6" t="n">
        <f aca="false">Orders!E803</f>
        <v>1</v>
      </c>
      <c r="H803" s="16" t="n">
        <f aca="false">INDEX(Products!$D$2:$D$101,MATCH(D803,Products!$A$2:$A$101,0))</f>
        <v>1499</v>
      </c>
      <c r="I803" s="16" t="n">
        <f aca="false">INDEX(Products!$E$2:$E$101,MATCH(D803,Products!$A$2:$A$101,0))</f>
        <v>800</v>
      </c>
      <c r="J803" s="20" t="n">
        <f aca="false">Orders!F803</f>
        <v>0.15</v>
      </c>
      <c r="K803" s="6" t="n">
        <f aca="false">G803*H803</f>
        <v>1499</v>
      </c>
      <c r="L803" s="6" t="n">
        <f aca="false">K803*J803</f>
        <v>224.85</v>
      </c>
      <c r="M803" s="6" t="n">
        <f aca="false">K803-L803</f>
        <v>1274.15</v>
      </c>
      <c r="N803" s="6" t="n">
        <f aca="false">G803*I803</f>
        <v>800</v>
      </c>
      <c r="O803" s="6" t="n">
        <f aca="false">M803-N803</f>
        <v>474.15</v>
      </c>
      <c r="P803" s="21" t="n">
        <f aca="false">IFERROR(O803/M803,0)</f>
        <v>0.372130439901111</v>
      </c>
      <c r="Q803" s="6" t="str">
        <f aca="false">Orders!H803</f>
        <v>Delivered</v>
      </c>
      <c r="R803" s="1" t="str">
        <f aca="false">INDEX(Customers!$C$2:$C$301,MATCH(C803,Customers!$A$2:$A$301,0))</f>
        <v>Bengaluru</v>
      </c>
      <c r="S803" s="1" t="str">
        <f aca="false">INDEX(Customers!$E$2:$E$301,MATCH(C803,Customers!$A$2:$A$301,0))</f>
        <v>Returning</v>
      </c>
      <c r="T803" s="6" t="str">
        <f aca="false">Orders!I803</f>
        <v>Marketplace</v>
      </c>
      <c r="U803" s="1" t="str">
        <f aca="false">IF(Q803="Delivered","Completed",IF(Q803="Cancelled","Cancelled",IF(Q803="Returned","Returned","In Progress")))</f>
        <v>Completed</v>
      </c>
      <c r="V803" s="1" t="str">
        <f aca="false">IF(M803&gt;=10000,"High Value",IF(M803&gt;=5000,"Medium Value","Low Value"))</f>
        <v>Low Value</v>
      </c>
      <c r="W803" s="1" t="str">
        <f aca="false">IF(O803&gt;0,"Profitable",IF(O803=0,"Break-even","Loss"))</f>
        <v>Profitable</v>
      </c>
      <c r="X803" s="1" t="str">
        <f aca="false">IF(Q803="Cancelled","Not Applicable",IF(Q803="Processing","Pending",IF(B803="","Unknown",IF(Orders!J803="","Unknown",IF(Orders!J803&lt;=3,"Fast",IF(Orders!J803&lt;=6,"Standard","Slow"))))))</f>
        <v>Fast</v>
      </c>
      <c r="Y803" s="1" t="n">
        <f aca="false">IF(OR(Q803="Cancelled",Q803="Returned"),0,O803)</f>
        <v>474.15</v>
      </c>
    </row>
    <row r="804" customFormat="false" ht="15" hidden="false" customHeight="false" outlineLevel="0" collapsed="false">
      <c r="A804" s="6" t="str">
        <f aca="false">Orders!A804</f>
        <v>O000803</v>
      </c>
      <c r="B804" s="19" t="n">
        <f aca="false">Orders!B804</f>
        <v>45718</v>
      </c>
      <c r="C804" s="6" t="str">
        <f aca="false">Orders!C804</f>
        <v>C0260</v>
      </c>
      <c r="D804" s="6" t="str">
        <f aca="false">Orders!D804</f>
        <v>P1037</v>
      </c>
      <c r="E804" s="6" t="str">
        <f aca="false">INDEX(Products!$B$2:$B$101,MATCH(D804,Products!$A$2:$A$101,0))</f>
        <v>Pillow Pair</v>
      </c>
      <c r="F804" s="1" t="str">
        <f aca="false">INDEX(Products!$C$2:$C$101,MATCH(D804,Products!$A$2:$A$101,0))</f>
        <v>Home &amp; Kitchen</v>
      </c>
      <c r="G804" s="6" t="n">
        <f aca="false">Orders!E804</f>
        <v>1</v>
      </c>
      <c r="H804" s="16" t="n">
        <f aca="false">INDEX(Products!$D$2:$D$101,MATCH(D804,Products!$A$2:$A$101,0))</f>
        <v>799</v>
      </c>
      <c r="I804" s="16" t="n">
        <f aca="false">INDEX(Products!$E$2:$E$101,MATCH(D804,Products!$A$2:$A$101,0))</f>
        <v>350</v>
      </c>
      <c r="J804" s="20" t="n">
        <f aca="false">Orders!F804</f>
        <v>0.2</v>
      </c>
      <c r="K804" s="6" t="n">
        <f aca="false">G804*H804</f>
        <v>799</v>
      </c>
      <c r="L804" s="6" t="n">
        <f aca="false">K804*J804</f>
        <v>159.8</v>
      </c>
      <c r="M804" s="6" t="n">
        <f aca="false">K804-L804</f>
        <v>639.2</v>
      </c>
      <c r="N804" s="6" t="n">
        <f aca="false">G804*I804</f>
        <v>350</v>
      </c>
      <c r="O804" s="6" t="n">
        <f aca="false">M804-N804</f>
        <v>289.2</v>
      </c>
      <c r="P804" s="21" t="n">
        <f aca="false">IFERROR(O804/M804,0)</f>
        <v>0.452440550688361</v>
      </c>
      <c r="Q804" s="6" t="str">
        <f aca="false">Orders!H804</f>
        <v>Cancelled</v>
      </c>
      <c r="R804" s="1" t="str">
        <f aca="false">INDEX(Customers!$C$2:$C$301,MATCH(C804,Customers!$A$2:$A$301,0))</f>
        <v>Visakhapatnam</v>
      </c>
      <c r="S804" s="1" t="str">
        <f aca="false">INDEX(Customers!$E$2:$E$301,MATCH(C804,Customers!$A$2:$A$301,0))</f>
        <v>Returning</v>
      </c>
      <c r="T804" s="6" t="str">
        <f aca="false">Orders!I804</f>
        <v>Mobile App</v>
      </c>
      <c r="U804" s="1" t="str">
        <f aca="false">IF(Q804="Delivered","Completed",IF(Q804="Cancelled","Cancelled",IF(Q804="Returned","Returned","In Progress")))</f>
        <v>Cancelled</v>
      </c>
      <c r="V804" s="1" t="str">
        <f aca="false">IF(M804&gt;=10000,"High Value",IF(M804&gt;=5000,"Medium Value","Low Value"))</f>
        <v>Low Value</v>
      </c>
      <c r="W804" s="1" t="str">
        <f aca="false">IF(O804&gt;0,"Profitable",IF(O804=0,"Break-even","Loss"))</f>
        <v>Profitable</v>
      </c>
      <c r="X804" s="1" t="str">
        <f aca="false">IF(Q804="Cancelled","Not Applicable",IF(Q804="Processing","Pending",IF(B804="","Unknown",IF(Orders!J804="","Unknown",IF(Orders!J804&lt;=3,"Fast",IF(Orders!J804&lt;=6,"Standard","Slow"))))))</f>
        <v>Not Applicable</v>
      </c>
      <c r="Y804" s="1" t="n">
        <f aca="false">IF(OR(Q804="Cancelled",Q804="Returned"),0,O804)</f>
        <v>0</v>
      </c>
    </row>
    <row r="805" customFormat="false" ht="23.85" hidden="false" customHeight="false" outlineLevel="0" collapsed="false">
      <c r="A805" s="6" t="str">
        <f aca="false">Orders!A805</f>
        <v>O000804</v>
      </c>
      <c r="B805" s="19" t="n">
        <f aca="false">Orders!B805</f>
        <v>45978</v>
      </c>
      <c r="C805" s="6" t="str">
        <f aca="false">Orders!C805</f>
        <v>C0186</v>
      </c>
      <c r="D805" s="6" t="str">
        <f aca="false">Orders!D805</f>
        <v>P1081</v>
      </c>
      <c r="E805" s="6" t="str">
        <f aca="false">INDEX(Products!$B$2:$B$101,MATCH(D805,Products!$A$2:$A$101,0))</f>
        <v>Sticky Notes Pack</v>
      </c>
      <c r="F805" s="1" t="str">
        <f aca="false">INDEX(Products!$C$2:$C$101,MATCH(D805,Products!$A$2:$A$101,0))</f>
        <v>Books &amp; Stationery</v>
      </c>
      <c r="G805" s="6" t="n">
        <f aca="false">Orders!E805</f>
        <v>1</v>
      </c>
      <c r="H805" s="16" t="n">
        <f aca="false">INDEX(Products!$D$2:$D$101,MATCH(D805,Products!$A$2:$A$101,0))</f>
        <v>149</v>
      </c>
      <c r="I805" s="16" t="n">
        <f aca="false">INDEX(Products!$E$2:$E$101,MATCH(D805,Products!$A$2:$A$101,0))</f>
        <v>45</v>
      </c>
      <c r="J805" s="20" t="n">
        <f aca="false">Orders!F805</f>
        <v>0.15</v>
      </c>
      <c r="K805" s="6" t="n">
        <f aca="false">G805*H805</f>
        <v>149</v>
      </c>
      <c r="L805" s="6" t="n">
        <f aca="false">K805*J805</f>
        <v>22.35</v>
      </c>
      <c r="M805" s="6" t="n">
        <f aca="false">K805-L805</f>
        <v>126.65</v>
      </c>
      <c r="N805" s="6" t="n">
        <f aca="false">G805*I805</f>
        <v>45</v>
      </c>
      <c r="O805" s="6" t="n">
        <f aca="false">M805-N805</f>
        <v>81.65</v>
      </c>
      <c r="P805" s="21" t="n">
        <f aca="false">IFERROR(O805/M805,0)</f>
        <v>0.644690090801421</v>
      </c>
      <c r="Q805" s="6" t="str">
        <f aca="false">Orders!H805</f>
        <v>Delivered</v>
      </c>
      <c r="R805" s="1" t="str">
        <f aca="false">INDEX(Customers!$C$2:$C$301,MATCH(C805,Customers!$A$2:$A$301,0))</f>
        <v>Kolkata</v>
      </c>
      <c r="S805" s="1" t="str">
        <f aca="false">INDEX(Customers!$E$2:$E$301,MATCH(C805,Customers!$A$2:$A$301,0))</f>
        <v>New</v>
      </c>
      <c r="T805" s="6" t="str">
        <f aca="false">Orders!I805</f>
        <v>Mobile App</v>
      </c>
      <c r="U805" s="1" t="str">
        <f aca="false">IF(Q805="Delivered","Completed",IF(Q805="Cancelled","Cancelled",IF(Q805="Returned","Returned","In Progress")))</f>
        <v>Completed</v>
      </c>
      <c r="V805" s="1" t="str">
        <f aca="false">IF(M805&gt;=10000,"High Value",IF(M805&gt;=5000,"Medium Value","Low Value"))</f>
        <v>Low Value</v>
      </c>
      <c r="W805" s="1" t="str">
        <f aca="false">IF(O805&gt;0,"Profitable",IF(O805=0,"Break-even","Loss"))</f>
        <v>Profitable</v>
      </c>
      <c r="X805" s="1" t="str">
        <f aca="false">IF(Q805="Cancelled","Not Applicable",IF(Q805="Processing","Pending",IF(B805="","Unknown",IF(Orders!J805="","Unknown",IF(Orders!J805&lt;=3,"Fast",IF(Orders!J805&lt;=6,"Standard","Slow"))))))</f>
        <v>Slow</v>
      </c>
      <c r="Y805" s="1" t="n">
        <f aca="false">IF(OR(Q805="Cancelled",Q805="Returned"),0,O805)</f>
        <v>81.65</v>
      </c>
    </row>
    <row r="806" customFormat="false" ht="23.85" hidden="false" customHeight="false" outlineLevel="0" collapsed="false">
      <c r="A806" s="6" t="str">
        <f aca="false">Orders!A806</f>
        <v>O000805</v>
      </c>
      <c r="B806" s="19" t="n">
        <f aca="false">Orders!B806</f>
        <v>45993</v>
      </c>
      <c r="C806" s="6" t="str">
        <f aca="false">Orders!C806</f>
        <v>C0166</v>
      </c>
      <c r="D806" s="6" t="str">
        <f aca="false">Orders!D806</f>
        <v>P1031</v>
      </c>
      <c r="E806" s="6" t="str">
        <f aca="false">INDEX(Products!$B$2:$B$101,MATCH(D806,Products!$A$2:$A$101,0))</f>
        <v>Storage Container Set</v>
      </c>
      <c r="F806" s="1" t="str">
        <f aca="false">INDEX(Products!$C$2:$C$101,MATCH(D806,Products!$A$2:$A$101,0))</f>
        <v>Home &amp; Kitchen</v>
      </c>
      <c r="G806" s="6" t="n">
        <f aca="false">Orders!E806</f>
        <v>2</v>
      </c>
      <c r="H806" s="16" t="n">
        <f aca="false">INDEX(Products!$D$2:$D$101,MATCH(D806,Products!$A$2:$A$101,0))</f>
        <v>699</v>
      </c>
      <c r="I806" s="16" t="n">
        <f aca="false">INDEX(Products!$E$2:$E$101,MATCH(D806,Products!$A$2:$A$101,0))</f>
        <v>300</v>
      </c>
      <c r="J806" s="20" t="n">
        <f aca="false">Orders!F806</f>
        <v>0</v>
      </c>
      <c r="K806" s="6" t="n">
        <f aca="false">G806*H806</f>
        <v>1398</v>
      </c>
      <c r="L806" s="6" t="n">
        <f aca="false">K806*J806</f>
        <v>0</v>
      </c>
      <c r="M806" s="6" t="n">
        <f aca="false">K806-L806</f>
        <v>1398</v>
      </c>
      <c r="N806" s="6" t="n">
        <f aca="false">G806*I806</f>
        <v>600</v>
      </c>
      <c r="O806" s="6" t="n">
        <f aca="false">M806-N806</f>
        <v>798</v>
      </c>
      <c r="P806" s="21" t="n">
        <f aca="false">IFERROR(O806/M806,0)</f>
        <v>0.570815450643777</v>
      </c>
      <c r="Q806" s="6" t="str">
        <f aca="false">Orders!H806</f>
        <v>Shipped</v>
      </c>
      <c r="R806" s="1" t="str">
        <f aca="false">INDEX(Customers!$C$2:$C$301,MATCH(C806,Customers!$A$2:$A$301,0))</f>
        <v>Kolkata</v>
      </c>
      <c r="S806" s="1" t="str">
        <f aca="false">INDEX(Customers!$E$2:$E$301,MATCH(C806,Customers!$A$2:$A$301,0))</f>
        <v>New</v>
      </c>
      <c r="T806" s="6" t="str">
        <f aca="false">Orders!I806</f>
        <v>Mobile App</v>
      </c>
      <c r="U806" s="1" t="str">
        <f aca="false">IF(Q806="Delivered","Completed",IF(Q806="Cancelled","Cancelled",IF(Q806="Returned","Returned","In Progress")))</f>
        <v>In Progress</v>
      </c>
      <c r="V806" s="1" t="str">
        <f aca="false">IF(M806&gt;=10000,"High Value",IF(M806&gt;=5000,"Medium Value","Low Value"))</f>
        <v>Low Value</v>
      </c>
      <c r="W806" s="1" t="str">
        <f aca="false">IF(O806&gt;0,"Profitable",IF(O806=0,"Break-even","Loss"))</f>
        <v>Profitable</v>
      </c>
      <c r="X806" s="1" t="str">
        <f aca="false">IF(Q806="Cancelled","Not Applicable",IF(Q806="Processing","Pending",IF(B806="","Unknown",IF(Orders!J806="","Unknown",IF(Orders!J806&lt;=3,"Fast",IF(Orders!J806&lt;=6,"Standard","Slow"))))))</f>
        <v>Slow</v>
      </c>
      <c r="Y806" s="1" t="n">
        <f aca="false">IF(OR(Q806="Cancelled",Q806="Returned"),0,O806)</f>
        <v>798</v>
      </c>
    </row>
    <row r="807" customFormat="false" ht="15" hidden="false" customHeight="false" outlineLevel="0" collapsed="false">
      <c r="A807" s="6" t="str">
        <f aca="false">Orders!A807</f>
        <v>O000806</v>
      </c>
      <c r="B807" s="19" t="n">
        <f aca="false">Orders!B807</f>
        <v>45889</v>
      </c>
      <c r="C807" s="6" t="str">
        <f aca="false">Orders!C807</f>
        <v>C0232</v>
      </c>
      <c r="D807" s="6" t="str">
        <f aca="false">Orders!D807</f>
        <v>P1032</v>
      </c>
      <c r="E807" s="6" t="str">
        <f aca="false">INDEX(Products!$B$2:$B$101,MATCH(D807,Products!$A$2:$A$101,0))</f>
        <v>Water Bottle</v>
      </c>
      <c r="F807" s="1" t="str">
        <f aca="false">INDEX(Products!$C$2:$C$101,MATCH(D807,Products!$A$2:$A$101,0))</f>
        <v>Home &amp; Kitchen</v>
      </c>
      <c r="G807" s="6" t="n">
        <f aca="false">Orders!E807</f>
        <v>1</v>
      </c>
      <c r="H807" s="16" t="n">
        <f aca="false">INDEX(Products!$D$2:$D$101,MATCH(D807,Products!$A$2:$A$101,0))</f>
        <v>399</v>
      </c>
      <c r="I807" s="16" t="n">
        <f aca="false">INDEX(Products!$E$2:$E$101,MATCH(D807,Products!$A$2:$A$101,0))</f>
        <v>150</v>
      </c>
      <c r="J807" s="20" t="n">
        <f aca="false">Orders!F807</f>
        <v>0.25</v>
      </c>
      <c r="K807" s="6" t="n">
        <f aca="false">G807*H807</f>
        <v>399</v>
      </c>
      <c r="L807" s="6" t="n">
        <f aca="false">K807*J807</f>
        <v>99.75</v>
      </c>
      <c r="M807" s="6" t="n">
        <f aca="false">K807-L807</f>
        <v>299.25</v>
      </c>
      <c r="N807" s="6" t="n">
        <f aca="false">G807*I807</f>
        <v>150</v>
      </c>
      <c r="O807" s="6" t="n">
        <f aca="false">M807-N807</f>
        <v>149.25</v>
      </c>
      <c r="P807" s="21" t="n">
        <f aca="false">IFERROR(O807/M807,0)</f>
        <v>0.49874686716792</v>
      </c>
      <c r="Q807" s="6" t="str">
        <f aca="false">Orders!H807</f>
        <v>Processing</v>
      </c>
      <c r="R807" s="1" t="str">
        <f aca="false">INDEX(Customers!$C$2:$C$301,MATCH(C807,Customers!$A$2:$A$301,0))</f>
        <v>Noida</v>
      </c>
      <c r="S807" s="1" t="str">
        <f aca="false">INDEX(Customers!$E$2:$E$301,MATCH(C807,Customers!$A$2:$A$301,0))</f>
        <v>Returning</v>
      </c>
      <c r="T807" s="6" t="str">
        <f aca="false">Orders!I807</f>
        <v>Mobile App</v>
      </c>
      <c r="U807" s="1" t="str">
        <f aca="false">IF(Q807="Delivered","Completed",IF(Q807="Cancelled","Cancelled",IF(Q807="Returned","Returned","In Progress")))</f>
        <v>In Progress</v>
      </c>
      <c r="V807" s="1" t="str">
        <f aca="false">IF(M807&gt;=10000,"High Value",IF(M807&gt;=5000,"Medium Value","Low Value"))</f>
        <v>Low Value</v>
      </c>
      <c r="W807" s="1" t="str">
        <f aca="false">IF(O807&gt;0,"Profitable",IF(O807=0,"Break-even","Loss"))</f>
        <v>Profitable</v>
      </c>
      <c r="X807" s="1" t="str">
        <f aca="false">IF(Q807="Cancelled","Not Applicable",IF(Q807="Processing","Pending",IF(B807="","Unknown",IF(Orders!J807="","Unknown",IF(Orders!J807&lt;=3,"Fast",IF(Orders!J807&lt;=6,"Standard","Slow"))))))</f>
        <v>Pending</v>
      </c>
      <c r="Y807" s="1" t="n">
        <f aca="false">IF(OR(Q807="Cancelled",Q807="Returned"),0,O807)</f>
        <v>149.25</v>
      </c>
    </row>
    <row r="808" customFormat="false" ht="15" hidden="false" customHeight="false" outlineLevel="0" collapsed="false">
      <c r="A808" s="6" t="str">
        <f aca="false">Orders!A808</f>
        <v>O000807</v>
      </c>
      <c r="B808" s="19" t="n">
        <f aca="false">Orders!B808</f>
        <v>45970</v>
      </c>
      <c r="C808" s="6" t="str">
        <f aca="false">Orders!C808</f>
        <v>C0288</v>
      </c>
      <c r="D808" s="6" t="str">
        <f aca="false">Orders!D808</f>
        <v>P1015</v>
      </c>
      <c r="E808" s="6" t="str">
        <f aca="false">INDEX(Products!$B$2:$B$101,MATCH(D808,Products!$A$2:$A$101,0))</f>
        <v>Portable SSD</v>
      </c>
      <c r="F808" s="1" t="str">
        <f aca="false">INDEX(Products!$C$2:$C$101,MATCH(D808,Products!$A$2:$A$101,0))</f>
        <v>Electronics</v>
      </c>
      <c r="G808" s="6" t="n">
        <f aca="false">Orders!E808</f>
        <v>1</v>
      </c>
      <c r="H808" s="16" t="n">
        <f aca="false">INDEX(Products!$D$2:$D$101,MATCH(D808,Products!$A$2:$A$101,0))</f>
        <v>3999</v>
      </c>
      <c r="I808" s="16" t="n">
        <f aca="false">INDEX(Products!$E$2:$E$101,MATCH(D808,Products!$A$2:$A$101,0))</f>
        <v>2800</v>
      </c>
      <c r="J808" s="20" t="n">
        <f aca="false">Orders!F808</f>
        <v>0.1</v>
      </c>
      <c r="K808" s="6" t="n">
        <f aca="false">G808*H808</f>
        <v>3999</v>
      </c>
      <c r="L808" s="6" t="n">
        <f aca="false">K808*J808</f>
        <v>399.9</v>
      </c>
      <c r="M808" s="6" t="n">
        <f aca="false">K808-L808</f>
        <v>3599.1</v>
      </c>
      <c r="N808" s="6" t="n">
        <f aca="false">G808*I808</f>
        <v>2800</v>
      </c>
      <c r="O808" s="6" t="n">
        <f aca="false">M808-N808</f>
        <v>799.1</v>
      </c>
      <c r="P808" s="21" t="n">
        <f aca="false">IFERROR(O808/M808,0)</f>
        <v>0.222027729154511</v>
      </c>
      <c r="Q808" s="6" t="str">
        <f aca="false">Orders!H808</f>
        <v>Delivered</v>
      </c>
      <c r="R808" s="1" t="str">
        <f aca="false">INDEX(Customers!$C$2:$C$301,MATCH(C808,Customers!$A$2:$A$301,0))</f>
        <v>Jaipur</v>
      </c>
      <c r="S808" s="1" t="str">
        <f aca="false">INDEX(Customers!$E$2:$E$301,MATCH(C808,Customers!$A$2:$A$301,0))</f>
        <v>New</v>
      </c>
      <c r="T808" s="6" t="str">
        <f aca="false">Orders!I808</f>
        <v>Marketplace</v>
      </c>
      <c r="U808" s="1" t="str">
        <f aca="false">IF(Q808="Delivered","Completed",IF(Q808="Cancelled","Cancelled",IF(Q808="Returned","Returned","In Progress")))</f>
        <v>Completed</v>
      </c>
      <c r="V808" s="1" t="str">
        <f aca="false">IF(M808&gt;=10000,"High Value",IF(M808&gt;=5000,"Medium Value","Low Value"))</f>
        <v>Low Value</v>
      </c>
      <c r="W808" s="1" t="str">
        <f aca="false">IF(O808&gt;0,"Profitable",IF(O808=0,"Break-even","Loss"))</f>
        <v>Profitable</v>
      </c>
      <c r="X808" s="1" t="str">
        <f aca="false">IF(Q808="Cancelled","Not Applicable",IF(Q808="Processing","Pending",IF(B808="","Unknown",IF(Orders!J808="","Unknown",IF(Orders!J808&lt;=3,"Fast",IF(Orders!J808&lt;=6,"Standard","Slow"))))))</f>
        <v>Standard</v>
      </c>
      <c r="Y808" s="1" t="n">
        <f aca="false">IF(OR(Q808="Cancelled",Q808="Returned"),0,O808)</f>
        <v>799.1</v>
      </c>
    </row>
    <row r="809" customFormat="false" ht="23.85" hidden="false" customHeight="false" outlineLevel="0" collapsed="false">
      <c r="A809" s="6" t="str">
        <f aca="false">Orders!A809</f>
        <v>O000808</v>
      </c>
      <c r="B809" s="19" t="n">
        <f aca="false">Orders!B809</f>
        <v>45994</v>
      </c>
      <c r="C809" s="6" t="str">
        <f aca="false">Orders!C809</f>
        <v>C0136</v>
      </c>
      <c r="D809" s="6" t="str">
        <f aca="false">Orders!D809</f>
        <v>P1070</v>
      </c>
      <c r="E809" s="6" t="str">
        <f aca="false">INDEX(Products!$B$2:$B$101,MATCH(D809,Products!$A$2:$A$101,0))</f>
        <v>Knee Support Pair</v>
      </c>
      <c r="F809" s="1" t="str">
        <f aca="false">INDEX(Products!$C$2:$C$101,MATCH(D809,Products!$A$2:$A$101,0))</f>
        <v>Sports &amp; Outdoors</v>
      </c>
      <c r="G809" s="6" t="n">
        <f aca="false">Orders!E809</f>
        <v>2</v>
      </c>
      <c r="H809" s="16" t="n">
        <f aca="false">INDEX(Products!$D$2:$D$101,MATCH(D809,Products!$A$2:$A$101,0))</f>
        <v>449</v>
      </c>
      <c r="I809" s="16" t="n">
        <f aca="false">INDEX(Products!$E$2:$E$101,MATCH(D809,Products!$A$2:$A$101,0))</f>
        <v>180</v>
      </c>
      <c r="J809" s="20" t="n">
        <f aca="false">Orders!F809</f>
        <v>0.15</v>
      </c>
      <c r="K809" s="6" t="n">
        <f aca="false">G809*H809</f>
        <v>898</v>
      </c>
      <c r="L809" s="6" t="n">
        <f aca="false">K809*J809</f>
        <v>134.7</v>
      </c>
      <c r="M809" s="6" t="n">
        <f aca="false">K809-L809</f>
        <v>763.3</v>
      </c>
      <c r="N809" s="6" t="n">
        <f aca="false">G809*I809</f>
        <v>360</v>
      </c>
      <c r="O809" s="6" t="n">
        <f aca="false">M809-N809</f>
        <v>403.3</v>
      </c>
      <c r="P809" s="21" t="n">
        <f aca="false">IFERROR(O809/M809,0)</f>
        <v>0.528363684003668</v>
      </c>
      <c r="Q809" s="6" t="str">
        <f aca="false">Orders!H809</f>
        <v>Delivered</v>
      </c>
      <c r="R809" s="1" t="str">
        <f aca="false">INDEX(Customers!$C$2:$C$301,MATCH(C809,Customers!$A$2:$A$301,0))</f>
        <v>Chandigarh</v>
      </c>
      <c r="S809" s="1" t="str">
        <f aca="false">INDEX(Customers!$E$2:$E$301,MATCH(C809,Customers!$A$2:$A$301,0))</f>
        <v>New</v>
      </c>
      <c r="T809" s="6" t="str">
        <f aca="false">Orders!I809</f>
        <v>Marketplace</v>
      </c>
      <c r="U809" s="1" t="str">
        <f aca="false">IF(Q809="Delivered","Completed",IF(Q809="Cancelled","Cancelled",IF(Q809="Returned","Returned","In Progress")))</f>
        <v>Completed</v>
      </c>
      <c r="V809" s="1" t="str">
        <f aca="false">IF(M809&gt;=10000,"High Value",IF(M809&gt;=5000,"Medium Value","Low Value"))</f>
        <v>Low Value</v>
      </c>
      <c r="W809" s="1" t="str">
        <f aca="false">IF(O809&gt;0,"Profitable",IF(O809=0,"Break-even","Loss"))</f>
        <v>Profitable</v>
      </c>
      <c r="X809" s="1" t="str">
        <f aca="false">IF(Q809="Cancelled","Not Applicable",IF(Q809="Processing","Pending",IF(B809="","Unknown",IF(Orders!J809="","Unknown",IF(Orders!J809&lt;=3,"Fast",IF(Orders!J809&lt;=6,"Standard","Slow"))))))</f>
        <v>Standard</v>
      </c>
      <c r="Y809" s="1" t="n">
        <f aca="false">IF(OR(Q809="Cancelled",Q809="Returned"),0,O809)</f>
        <v>403.3</v>
      </c>
    </row>
    <row r="810" customFormat="false" ht="15" hidden="false" customHeight="false" outlineLevel="0" collapsed="false">
      <c r="A810" s="6" t="str">
        <f aca="false">Orders!A810</f>
        <v>O000809</v>
      </c>
      <c r="B810" s="19" t="n">
        <f aca="false">Orders!B810</f>
        <v>45712</v>
      </c>
      <c r="C810" s="6" t="str">
        <f aca="false">Orders!C810</f>
        <v>C0139</v>
      </c>
      <c r="D810" s="6" t="str">
        <f aca="false">Orders!D810</f>
        <v>P1068</v>
      </c>
      <c r="E810" s="6" t="str">
        <f aca="false">INDEX(Products!$B$2:$B$101,MATCH(D810,Products!$A$2:$A$101,0))</f>
        <v>Cycling Bottle</v>
      </c>
      <c r="F810" s="1" t="str">
        <f aca="false">INDEX(Products!$C$2:$C$101,MATCH(D810,Products!$A$2:$A$101,0))</f>
        <v>Sports &amp; Outdoors</v>
      </c>
      <c r="G810" s="6" t="n">
        <f aca="false">Orders!E810</f>
        <v>4</v>
      </c>
      <c r="H810" s="16" t="n">
        <f aca="false">INDEX(Products!$D$2:$D$101,MATCH(D810,Products!$A$2:$A$101,0))</f>
        <v>349</v>
      </c>
      <c r="I810" s="16" t="n">
        <f aca="false">INDEX(Products!$E$2:$E$101,MATCH(D810,Products!$A$2:$A$101,0))</f>
        <v>120</v>
      </c>
      <c r="J810" s="20" t="n">
        <f aca="false">Orders!F810</f>
        <v>0.1</v>
      </c>
      <c r="K810" s="6" t="n">
        <f aca="false">G810*H810</f>
        <v>1396</v>
      </c>
      <c r="L810" s="6" t="n">
        <f aca="false">K810*J810</f>
        <v>139.6</v>
      </c>
      <c r="M810" s="6" t="n">
        <f aca="false">K810-L810</f>
        <v>1256.4</v>
      </c>
      <c r="N810" s="6" t="n">
        <f aca="false">G810*I810</f>
        <v>480</v>
      </c>
      <c r="O810" s="6" t="n">
        <f aca="false">M810-N810</f>
        <v>776.4</v>
      </c>
      <c r="P810" s="21" t="n">
        <f aca="false">IFERROR(O810/M810,0)</f>
        <v>0.617956064947469</v>
      </c>
      <c r="Q810" s="6" t="str">
        <f aca="false">Orders!H810</f>
        <v>Delivered</v>
      </c>
      <c r="R810" s="1" t="str">
        <f aca="false">INDEX(Customers!$C$2:$C$301,MATCH(C810,Customers!$A$2:$A$301,0))</f>
        <v>Coimbatore</v>
      </c>
      <c r="S810" s="1" t="str">
        <f aca="false">INDEX(Customers!$E$2:$E$301,MATCH(C810,Customers!$A$2:$A$301,0))</f>
        <v>Returning</v>
      </c>
      <c r="T810" s="6" t="str">
        <f aca="false">Orders!I810</f>
        <v>Mobile App</v>
      </c>
      <c r="U810" s="1" t="str">
        <f aca="false">IF(Q810="Delivered","Completed",IF(Q810="Cancelled","Cancelled",IF(Q810="Returned","Returned","In Progress")))</f>
        <v>Completed</v>
      </c>
      <c r="V810" s="1" t="str">
        <f aca="false">IF(M810&gt;=10000,"High Value",IF(M810&gt;=5000,"Medium Value","Low Value"))</f>
        <v>Low Value</v>
      </c>
      <c r="W810" s="1" t="str">
        <f aca="false">IF(O810&gt;0,"Profitable",IF(O810=0,"Break-even","Loss"))</f>
        <v>Profitable</v>
      </c>
      <c r="X810" s="1" t="str">
        <f aca="false">IF(Q810="Cancelled","Not Applicable",IF(Q810="Processing","Pending",IF(B810="","Unknown",IF(Orders!J810="","Unknown",IF(Orders!J810&lt;=3,"Fast",IF(Orders!J810&lt;=6,"Standard","Slow"))))))</f>
        <v>Slow</v>
      </c>
      <c r="Y810" s="1" t="n">
        <f aca="false">IF(OR(Q810="Cancelled",Q810="Returned"),0,O810)</f>
        <v>776.4</v>
      </c>
    </row>
    <row r="811" customFormat="false" ht="15" hidden="false" customHeight="false" outlineLevel="0" collapsed="false">
      <c r="A811" s="6" t="str">
        <f aca="false">Orders!A811</f>
        <v>O000810</v>
      </c>
      <c r="B811" s="19" t="n">
        <f aca="false">Orders!B811</f>
        <v>45660</v>
      </c>
      <c r="C811" s="6" t="str">
        <f aca="false">Orders!C811</f>
        <v>C0112</v>
      </c>
      <c r="D811" s="6" t="str">
        <f aca="false">Orders!D811</f>
        <v>P1094</v>
      </c>
      <c r="E811" s="6" t="str">
        <f aca="false">INDEX(Products!$B$2:$B$101,MATCH(D811,Products!$A$2:$A$101,0))</f>
        <v>Room Heater</v>
      </c>
      <c r="F811" s="1" t="str">
        <f aca="false">INDEX(Products!$C$2:$C$101,MATCH(D811,Products!$A$2:$A$101,0))</f>
        <v>Appliances</v>
      </c>
      <c r="G811" s="6" t="n">
        <f aca="false">Orders!E811</f>
        <v>2</v>
      </c>
      <c r="H811" s="16" t="n">
        <f aca="false">INDEX(Products!$D$2:$D$101,MATCH(D811,Products!$A$2:$A$101,0))</f>
        <v>1999</v>
      </c>
      <c r="I811" s="16" t="n">
        <f aca="false">INDEX(Products!$E$2:$E$101,MATCH(D811,Products!$A$2:$A$101,0))</f>
        <v>1250</v>
      </c>
      <c r="J811" s="20" t="n">
        <f aca="false">Orders!F811</f>
        <v>0.15</v>
      </c>
      <c r="K811" s="6" t="n">
        <f aca="false">G811*H811</f>
        <v>3998</v>
      </c>
      <c r="L811" s="6" t="n">
        <f aca="false">K811*J811</f>
        <v>599.7</v>
      </c>
      <c r="M811" s="6" t="n">
        <f aca="false">K811-L811</f>
        <v>3398.3</v>
      </c>
      <c r="N811" s="6" t="n">
        <f aca="false">G811*I811</f>
        <v>2500</v>
      </c>
      <c r="O811" s="6" t="n">
        <f aca="false">M811-N811</f>
        <v>898.3</v>
      </c>
      <c r="P811" s="21" t="n">
        <f aca="false">IFERROR(O811/M811,0)</f>
        <v>0.264338051378631</v>
      </c>
      <c r="Q811" s="6" t="str">
        <f aca="false">Orders!H811</f>
        <v>Delivered</v>
      </c>
      <c r="R811" s="1" t="str">
        <f aca="false">INDEX(Customers!$C$2:$C$301,MATCH(C811,Customers!$A$2:$A$301,0))</f>
        <v>Noida</v>
      </c>
      <c r="S811" s="1" t="str">
        <f aca="false">INDEX(Customers!$E$2:$E$301,MATCH(C811,Customers!$A$2:$A$301,0))</f>
        <v>New</v>
      </c>
      <c r="T811" s="6" t="str">
        <f aca="false">Orders!I811</f>
        <v>Mobile App</v>
      </c>
      <c r="U811" s="1" t="str">
        <f aca="false">IF(Q811="Delivered","Completed",IF(Q811="Cancelled","Cancelled",IF(Q811="Returned","Returned","In Progress")))</f>
        <v>Completed</v>
      </c>
      <c r="V811" s="1" t="str">
        <f aca="false">IF(M811&gt;=10000,"High Value",IF(M811&gt;=5000,"Medium Value","Low Value"))</f>
        <v>Low Value</v>
      </c>
      <c r="W811" s="1" t="str">
        <f aca="false">IF(O811&gt;0,"Profitable",IF(O811=0,"Break-even","Loss"))</f>
        <v>Profitable</v>
      </c>
      <c r="X811" s="1" t="str">
        <f aca="false">IF(Q811="Cancelled","Not Applicable",IF(Q811="Processing","Pending",IF(B811="","Unknown",IF(Orders!J811="","Unknown",IF(Orders!J811&lt;=3,"Fast",IF(Orders!J811&lt;=6,"Standard","Slow"))))))</f>
        <v>Fast</v>
      </c>
      <c r="Y811" s="1" t="n">
        <f aca="false">IF(OR(Q811="Cancelled",Q811="Returned"),0,O811)</f>
        <v>898.3</v>
      </c>
    </row>
    <row r="812" customFormat="false" ht="15" hidden="false" customHeight="false" outlineLevel="0" collapsed="false">
      <c r="A812" s="6" t="str">
        <f aca="false">Orders!A812</f>
        <v>O000811</v>
      </c>
      <c r="B812" s="19" t="n">
        <f aca="false">Orders!B812</f>
        <v>45941</v>
      </c>
      <c r="C812" s="6" t="str">
        <f aca="false">Orders!C812</f>
        <v>C0039</v>
      </c>
      <c r="D812" s="6" t="str">
        <f aca="false">Orders!D812</f>
        <v>P1077</v>
      </c>
      <c r="E812" s="6" t="str">
        <f aca="false">INDEX(Products!$B$2:$B$101,MATCH(D812,Products!$A$2:$A$101,0))</f>
        <v>Planner</v>
      </c>
      <c r="F812" s="1" t="str">
        <f aca="false">INDEX(Products!$C$2:$C$101,MATCH(D812,Products!$A$2:$A$101,0))</f>
        <v>Books &amp; Stationery</v>
      </c>
      <c r="G812" s="6" t="n">
        <f aca="false">Orders!E812</f>
        <v>1</v>
      </c>
      <c r="H812" s="16" t="n">
        <f aca="false">INDEX(Products!$D$2:$D$101,MATCH(D812,Products!$A$2:$A$101,0))</f>
        <v>349</v>
      </c>
      <c r="I812" s="16" t="n">
        <f aca="false">INDEX(Products!$E$2:$E$101,MATCH(D812,Products!$A$2:$A$101,0))</f>
        <v>130</v>
      </c>
      <c r="J812" s="20" t="n">
        <f aca="false">Orders!F812</f>
        <v>0.15</v>
      </c>
      <c r="K812" s="6" t="n">
        <f aca="false">G812*H812</f>
        <v>349</v>
      </c>
      <c r="L812" s="6" t="n">
        <f aca="false">K812*J812</f>
        <v>52.35</v>
      </c>
      <c r="M812" s="6" t="n">
        <f aca="false">K812-L812</f>
        <v>296.65</v>
      </c>
      <c r="N812" s="6" t="n">
        <f aca="false">G812*I812</f>
        <v>130</v>
      </c>
      <c r="O812" s="6" t="n">
        <f aca="false">M812-N812</f>
        <v>166.65</v>
      </c>
      <c r="P812" s="21" t="n">
        <f aca="false">IFERROR(O812/M812,0)</f>
        <v>0.561773133322097</v>
      </c>
      <c r="Q812" s="6" t="str">
        <f aca="false">Orders!H812</f>
        <v>Delivered</v>
      </c>
      <c r="R812" s="1" t="str">
        <f aca="false">INDEX(Customers!$C$2:$C$301,MATCH(C812,Customers!$A$2:$A$301,0))</f>
        <v>Coimbatore</v>
      </c>
      <c r="S812" s="1" t="str">
        <f aca="false">INDEX(Customers!$E$2:$E$301,MATCH(C812,Customers!$A$2:$A$301,0))</f>
        <v>Returning</v>
      </c>
      <c r="T812" s="6" t="str">
        <f aca="false">Orders!I812</f>
        <v>Marketplace</v>
      </c>
      <c r="U812" s="1" t="str">
        <f aca="false">IF(Q812="Delivered","Completed",IF(Q812="Cancelled","Cancelled",IF(Q812="Returned","Returned","In Progress")))</f>
        <v>Completed</v>
      </c>
      <c r="V812" s="1" t="str">
        <f aca="false">IF(M812&gt;=10000,"High Value",IF(M812&gt;=5000,"Medium Value","Low Value"))</f>
        <v>Low Value</v>
      </c>
      <c r="W812" s="1" t="str">
        <f aca="false">IF(O812&gt;0,"Profitable",IF(O812=0,"Break-even","Loss"))</f>
        <v>Profitable</v>
      </c>
      <c r="X812" s="1" t="str">
        <f aca="false">IF(Q812="Cancelled","Not Applicable",IF(Q812="Processing","Pending",IF(B812="","Unknown",IF(Orders!J812="","Unknown",IF(Orders!J812&lt;=3,"Fast",IF(Orders!J812&lt;=6,"Standard","Slow"))))))</f>
        <v>Fast</v>
      </c>
      <c r="Y812" s="1" t="n">
        <f aca="false">IF(OR(Q812="Cancelled",Q812="Returned"),0,O812)</f>
        <v>166.65</v>
      </c>
    </row>
    <row r="813" customFormat="false" ht="23.85" hidden="false" customHeight="false" outlineLevel="0" collapsed="false">
      <c r="A813" s="6" t="str">
        <f aca="false">Orders!A813</f>
        <v>O000812</v>
      </c>
      <c r="B813" s="19" t="n">
        <f aca="false">Orders!B813</f>
        <v>45828</v>
      </c>
      <c r="C813" s="6" t="str">
        <f aca="false">Orders!C813</f>
        <v>C0073</v>
      </c>
      <c r="D813" s="6" t="str">
        <f aca="false">Orders!D813</f>
        <v>P1002</v>
      </c>
      <c r="E813" s="6" t="str">
        <f aca="false">INDEX(Products!$B$2:$B$101,MATCH(D813,Products!$A$2:$A$101,0))</f>
        <v>Bluetooth Speaker</v>
      </c>
      <c r="F813" s="1" t="str">
        <f aca="false">INDEX(Products!$C$2:$C$101,MATCH(D813,Products!$A$2:$A$101,0))</f>
        <v>Electronics</v>
      </c>
      <c r="G813" s="6" t="n">
        <f aca="false">Orders!E813</f>
        <v>1</v>
      </c>
      <c r="H813" s="16" t="n">
        <f aca="false">INDEX(Products!$D$2:$D$101,MATCH(D813,Products!$A$2:$A$101,0))</f>
        <v>1499</v>
      </c>
      <c r="I813" s="16" t="n">
        <f aca="false">INDEX(Products!$E$2:$E$101,MATCH(D813,Products!$A$2:$A$101,0))</f>
        <v>850</v>
      </c>
      <c r="J813" s="20" t="n">
        <f aca="false">Orders!F813</f>
        <v>0.1</v>
      </c>
      <c r="K813" s="6" t="n">
        <f aca="false">G813*H813</f>
        <v>1499</v>
      </c>
      <c r="L813" s="6" t="n">
        <f aca="false">K813*J813</f>
        <v>149.9</v>
      </c>
      <c r="M813" s="6" t="n">
        <f aca="false">K813-L813</f>
        <v>1349.1</v>
      </c>
      <c r="N813" s="6" t="n">
        <f aca="false">G813*I813</f>
        <v>850</v>
      </c>
      <c r="O813" s="6" t="n">
        <f aca="false">M813-N813</f>
        <v>499.1</v>
      </c>
      <c r="P813" s="21" t="n">
        <f aca="false">IFERROR(O813/M813,0)</f>
        <v>0.369950337261878</v>
      </c>
      <c r="Q813" s="6" t="str">
        <f aca="false">Orders!H813</f>
        <v>Cancelled</v>
      </c>
      <c r="R813" s="1" t="str">
        <f aca="false">INDEX(Customers!$C$2:$C$301,MATCH(C813,Customers!$A$2:$A$301,0))</f>
        <v>Kochi</v>
      </c>
      <c r="S813" s="1" t="str">
        <f aca="false">INDEX(Customers!$E$2:$E$301,MATCH(C813,Customers!$A$2:$A$301,0))</f>
        <v>Returning</v>
      </c>
      <c r="T813" s="6" t="str">
        <f aca="false">Orders!I813</f>
        <v>Mobile App</v>
      </c>
      <c r="U813" s="1" t="str">
        <f aca="false">IF(Q813="Delivered","Completed",IF(Q813="Cancelled","Cancelled",IF(Q813="Returned","Returned","In Progress")))</f>
        <v>Cancelled</v>
      </c>
      <c r="V813" s="1" t="str">
        <f aca="false">IF(M813&gt;=10000,"High Value",IF(M813&gt;=5000,"Medium Value","Low Value"))</f>
        <v>Low Value</v>
      </c>
      <c r="W813" s="1" t="str">
        <f aca="false">IF(O813&gt;0,"Profitable",IF(O813=0,"Break-even","Loss"))</f>
        <v>Profitable</v>
      </c>
      <c r="X813" s="1" t="str">
        <f aca="false">IF(Q813="Cancelled","Not Applicable",IF(Q813="Processing","Pending",IF(B813="","Unknown",IF(Orders!J813="","Unknown",IF(Orders!J813&lt;=3,"Fast",IF(Orders!J813&lt;=6,"Standard","Slow"))))))</f>
        <v>Not Applicable</v>
      </c>
      <c r="Y813" s="1" t="n">
        <f aca="false">IF(OR(Q813="Cancelled",Q813="Returned"),0,O813)</f>
        <v>0</v>
      </c>
    </row>
    <row r="814" customFormat="false" ht="15" hidden="false" customHeight="false" outlineLevel="0" collapsed="false">
      <c r="A814" s="6" t="str">
        <f aca="false">Orders!A814</f>
        <v>O000813</v>
      </c>
      <c r="B814" s="19" t="n">
        <f aca="false">Orders!B814</f>
        <v>45994</v>
      </c>
      <c r="C814" s="6" t="str">
        <f aca="false">Orders!C814</f>
        <v>C0034</v>
      </c>
      <c r="D814" s="6" t="str">
        <f aca="false">Orders!D814</f>
        <v>P1007</v>
      </c>
      <c r="E814" s="6" t="str">
        <f aca="false">INDEX(Products!$B$2:$B$101,MATCH(D814,Products!$A$2:$A$101,0))</f>
        <v>Keyboard</v>
      </c>
      <c r="F814" s="1" t="str">
        <f aca="false">INDEX(Products!$C$2:$C$101,MATCH(D814,Products!$A$2:$A$101,0))</f>
        <v>Electronics</v>
      </c>
      <c r="G814" s="6" t="n">
        <f aca="false">Orders!E814</f>
        <v>1</v>
      </c>
      <c r="H814" s="16" t="n">
        <f aca="false">INDEX(Products!$D$2:$D$101,MATCH(D814,Products!$A$2:$A$101,0))</f>
        <v>999</v>
      </c>
      <c r="I814" s="16" t="n">
        <f aca="false">INDEX(Products!$E$2:$E$101,MATCH(D814,Products!$A$2:$A$101,0))</f>
        <v>480</v>
      </c>
      <c r="J814" s="20" t="n">
        <f aca="false">Orders!F814</f>
        <v>0.1</v>
      </c>
      <c r="K814" s="6" t="n">
        <f aca="false">G814*H814</f>
        <v>999</v>
      </c>
      <c r="L814" s="6" t="n">
        <f aca="false">K814*J814</f>
        <v>99.9</v>
      </c>
      <c r="M814" s="6" t="n">
        <f aca="false">K814-L814</f>
        <v>899.1</v>
      </c>
      <c r="N814" s="6" t="n">
        <f aca="false">G814*I814</f>
        <v>480</v>
      </c>
      <c r="O814" s="6" t="n">
        <f aca="false">M814-N814</f>
        <v>419.1</v>
      </c>
      <c r="P814" s="21" t="n">
        <f aca="false">IFERROR(O814/M814,0)</f>
        <v>0.466132799466133</v>
      </c>
      <c r="Q814" s="6" t="str">
        <f aca="false">Orders!H814</f>
        <v>Delivered</v>
      </c>
      <c r="R814" s="1" t="str">
        <f aca="false">INDEX(Customers!$C$2:$C$301,MATCH(C814,Customers!$A$2:$A$301,0))</f>
        <v>Indore</v>
      </c>
      <c r="S814" s="1" t="str">
        <f aca="false">INDEX(Customers!$E$2:$E$301,MATCH(C814,Customers!$A$2:$A$301,0))</f>
        <v>New</v>
      </c>
      <c r="T814" s="6" t="str">
        <f aca="false">Orders!I814</f>
        <v>Mobile App</v>
      </c>
      <c r="U814" s="1" t="str">
        <f aca="false">IF(Q814="Delivered","Completed",IF(Q814="Cancelled","Cancelled",IF(Q814="Returned","Returned","In Progress")))</f>
        <v>Completed</v>
      </c>
      <c r="V814" s="1" t="str">
        <f aca="false">IF(M814&gt;=10000,"High Value",IF(M814&gt;=5000,"Medium Value","Low Value"))</f>
        <v>Low Value</v>
      </c>
      <c r="W814" s="1" t="str">
        <f aca="false">IF(O814&gt;0,"Profitable",IF(O814=0,"Break-even","Loss"))</f>
        <v>Profitable</v>
      </c>
      <c r="X814" s="1" t="str">
        <f aca="false">IF(Q814="Cancelled","Not Applicable",IF(Q814="Processing","Pending",IF(B814="","Unknown",IF(Orders!J814="","Unknown",IF(Orders!J814&lt;=3,"Fast",IF(Orders!J814&lt;=6,"Standard","Slow"))))))</f>
        <v>Standard</v>
      </c>
      <c r="Y814" s="1" t="n">
        <f aca="false">IF(OR(Q814="Cancelled",Q814="Returned"),0,O814)</f>
        <v>419.1</v>
      </c>
    </row>
    <row r="815" customFormat="false" ht="15" hidden="false" customHeight="false" outlineLevel="0" collapsed="false">
      <c r="A815" s="6" t="str">
        <f aca="false">Orders!A815</f>
        <v>O000814</v>
      </c>
      <c r="B815" s="19" t="n">
        <f aca="false">Orders!B815</f>
        <v>45959</v>
      </c>
      <c r="C815" s="6" t="str">
        <f aca="false">Orders!C815</f>
        <v>C0087</v>
      </c>
      <c r="D815" s="6" t="str">
        <f aca="false">Orders!D815</f>
        <v>P1086</v>
      </c>
      <c r="E815" s="6" t="str">
        <f aca="false">INDEX(Products!$B$2:$B$101,MATCH(D815,Products!$A$2:$A$101,0))</f>
        <v>Geometry Box</v>
      </c>
      <c r="F815" s="1" t="str">
        <f aca="false">INDEX(Products!$C$2:$C$101,MATCH(D815,Products!$A$2:$A$101,0))</f>
        <v>Books &amp; Stationery</v>
      </c>
      <c r="G815" s="6" t="n">
        <f aca="false">Orders!E815</f>
        <v>1</v>
      </c>
      <c r="H815" s="16" t="n">
        <f aca="false">INDEX(Products!$D$2:$D$101,MATCH(D815,Products!$A$2:$A$101,0))</f>
        <v>199</v>
      </c>
      <c r="I815" s="16" t="n">
        <f aca="false">INDEX(Products!$E$2:$E$101,MATCH(D815,Products!$A$2:$A$101,0))</f>
        <v>70</v>
      </c>
      <c r="J815" s="20" t="n">
        <f aca="false">Orders!F815</f>
        <v>0.2</v>
      </c>
      <c r="K815" s="6" t="n">
        <f aca="false">G815*H815</f>
        <v>199</v>
      </c>
      <c r="L815" s="6" t="n">
        <f aca="false">K815*J815</f>
        <v>39.8</v>
      </c>
      <c r="M815" s="6" t="n">
        <f aca="false">K815-L815</f>
        <v>159.2</v>
      </c>
      <c r="N815" s="6" t="n">
        <f aca="false">G815*I815</f>
        <v>70</v>
      </c>
      <c r="O815" s="6" t="n">
        <f aca="false">M815-N815</f>
        <v>89.2</v>
      </c>
      <c r="P815" s="21" t="n">
        <f aca="false">IFERROR(O815/M815,0)</f>
        <v>0.560301507537688</v>
      </c>
      <c r="Q815" s="6" t="str">
        <f aca="false">Orders!H815</f>
        <v>Delivered</v>
      </c>
      <c r="R815" s="1" t="str">
        <f aca="false">INDEX(Customers!$C$2:$C$301,MATCH(C815,Customers!$A$2:$A$301,0))</f>
        <v>Pune</v>
      </c>
      <c r="S815" s="1" t="str">
        <f aca="false">INDEX(Customers!$E$2:$E$301,MATCH(C815,Customers!$A$2:$A$301,0))</f>
        <v>New</v>
      </c>
      <c r="T815" s="6" t="str">
        <f aca="false">Orders!I815</f>
        <v>Marketplace</v>
      </c>
      <c r="U815" s="1" t="str">
        <f aca="false">IF(Q815="Delivered","Completed",IF(Q815="Cancelled","Cancelled",IF(Q815="Returned","Returned","In Progress")))</f>
        <v>Completed</v>
      </c>
      <c r="V815" s="1" t="str">
        <f aca="false">IF(M815&gt;=10000,"High Value",IF(M815&gt;=5000,"Medium Value","Low Value"))</f>
        <v>Low Value</v>
      </c>
      <c r="W815" s="1" t="str">
        <f aca="false">IF(O815&gt;0,"Profitable",IF(O815=0,"Break-even","Loss"))</f>
        <v>Profitable</v>
      </c>
      <c r="X815" s="1" t="str">
        <f aca="false">IF(Q815="Cancelled","Not Applicable",IF(Q815="Processing","Pending",IF(B815="","Unknown",IF(Orders!J815="","Unknown",IF(Orders!J815&lt;=3,"Fast",IF(Orders!J815&lt;=6,"Standard","Slow"))))))</f>
        <v>Slow</v>
      </c>
      <c r="Y815" s="1" t="n">
        <f aca="false">IF(OR(Q815="Cancelled",Q815="Returned"),0,O815)</f>
        <v>89.2</v>
      </c>
    </row>
    <row r="816" customFormat="false" ht="15" hidden="false" customHeight="false" outlineLevel="0" collapsed="false">
      <c r="A816" s="6" t="str">
        <f aca="false">Orders!A816</f>
        <v>O000815</v>
      </c>
      <c r="B816" s="19" t="n">
        <f aca="false">Orders!B816</f>
        <v>45743</v>
      </c>
      <c r="C816" s="6" t="str">
        <f aca="false">Orders!C816</f>
        <v>C0072</v>
      </c>
      <c r="D816" s="6" t="str">
        <f aca="false">Orders!D816</f>
        <v>P1021</v>
      </c>
      <c r="E816" s="6" t="str">
        <f aca="false">INDEX(Products!$B$2:$B$101,MATCH(D816,Products!$A$2:$A$101,0))</f>
        <v>Handbag</v>
      </c>
      <c r="F816" s="1" t="str">
        <f aca="false">INDEX(Products!$C$2:$C$101,MATCH(D816,Products!$A$2:$A$101,0))</f>
        <v>Fashion</v>
      </c>
      <c r="G816" s="6" t="n">
        <f aca="false">Orders!E816</f>
        <v>1</v>
      </c>
      <c r="H816" s="16" t="n">
        <f aca="false">INDEX(Products!$D$2:$D$101,MATCH(D816,Products!$A$2:$A$101,0))</f>
        <v>1499</v>
      </c>
      <c r="I816" s="16" t="n">
        <f aca="false">INDEX(Products!$E$2:$E$101,MATCH(D816,Products!$A$2:$A$101,0))</f>
        <v>700</v>
      </c>
      <c r="J816" s="20" t="n">
        <f aca="false">Orders!F816</f>
        <v>0.05</v>
      </c>
      <c r="K816" s="6" t="n">
        <f aca="false">G816*H816</f>
        <v>1499</v>
      </c>
      <c r="L816" s="6" t="n">
        <f aca="false">K816*J816</f>
        <v>74.95</v>
      </c>
      <c r="M816" s="6" t="n">
        <f aca="false">K816-L816</f>
        <v>1424.05</v>
      </c>
      <c r="N816" s="6" t="n">
        <f aca="false">G816*I816</f>
        <v>700</v>
      </c>
      <c r="O816" s="6" t="n">
        <f aca="false">M816-N816</f>
        <v>724.05</v>
      </c>
      <c r="P816" s="21" t="n">
        <f aca="false">IFERROR(O816/M816,0)</f>
        <v>0.508444225975212</v>
      </c>
      <c r="Q816" s="6" t="str">
        <f aca="false">Orders!H816</f>
        <v>Delivered</v>
      </c>
      <c r="R816" s="1" t="str">
        <f aca="false">INDEX(Customers!$C$2:$C$301,MATCH(C816,Customers!$A$2:$A$301,0))</f>
        <v>Noida</v>
      </c>
      <c r="S816" s="1" t="str">
        <f aca="false">INDEX(Customers!$E$2:$E$301,MATCH(C816,Customers!$A$2:$A$301,0))</f>
        <v>Returning</v>
      </c>
      <c r="T816" s="6" t="str">
        <f aca="false">Orders!I816</f>
        <v>Mobile App</v>
      </c>
      <c r="U816" s="1" t="str">
        <f aca="false">IF(Q816="Delivered","Completed",IF(Q816="Cancelled","Cancelled",IF(Q816="Returned","Returned","In Progress")))</f>
        <v>Completed</v>
      </c>
      <c r="V816" s="1" t="str">
        <f aca="false">IF(M816&gt;=10000,"High Value",IF(M816&gt;=5000,"Medium Value","Low Value"))</f>
        <v>Low Value</v>
      </c>
      <c r="W816" s="1" t="str">
        <f aca="false">IF(O816&gt;0,"Profitable",IF(O816=0,"Break-even","Loss"))</f>
        <v>Profitable</v>
      </c>
      <c r="X816" s="1" t="str">
        <f aca="false">IF(Q816="Cancelled","Not Applicable",IF(Q816="Processing","Pending",IF(B816="","Unknown",IF(Orders!J816="","Unknown",IF(Orders!J816&lt;=3,"Fast",IF(Orders!J816&lt;=6,"Standard","Slow"))))))</f>
        <v>Standard</v>
      </c>
      <c r="Y816" s="1" t="n">
        <f aca="false">IF(OR(Q816="Cancelled",Q816="Returned"),0,O816)</f>
        <v>724.05</v>
      </c>
    </row>
    <row r="817" customFormat="false" ht="15" hidden="false" customHeight="false" outlineLevel="0" collapsed="false">
      <c r="A817" s="6" t="str">
        <f aca="false">Orders!A817</f>
        <v>O000816</v>
      </c>
      <c r="B817" s="19" t="n">
        <f aca="false">Orders!B817</f>
        <v>45697</v>
      </c>
      <c r="C817" s="6" t="str">
        <f aca="false">Orders!C817</f>
        <v>C0120</v>
      </c>
      <c r="D817" s="6" t="str">
        <f aca="false">Orders!D817</f>
        <v>P1083</v>
      </c>
      <c r="E817" s="6" t="str">
        <f aca="false">INDEX(Products!$B$2:$B$101,MATCH(D817,Products!$A$2:$A$101,0))</f>
        <v>Reading Light</v>
      </c>
      <c r="F817" s="1" t="str">
        <f aca="false">INDEX(Products!$C$2:$C$101,MATCH(D817,Products!$A$2:$A$101,0))</f>
        <v>Books &amp; Stationery</v>
      </c>
      <c r="G817" s="6" t="n">
        <f aca="false">Orders!E817</f>
        <v>1</v>
      </c>
      <c r="H817" s="16" t="n">
        <f aca="false">INDEX(Products!$D$2:$D$101,MATCH(D817,Products!$A$2:$A$101,0))</f>
        <v>399</v>
      </c>
      <c r="I817" s="16" t="n">
        <f aca="false">INDEX(Products!$E$2:$E$101,MATCH(D817,Products!$A$2:$A$101,0))</f>
        <v>180</v>
      </c>
      <c r="J817" s="20" t="n">
        <f aca="false">Orders!F817</f>
        <v>0.1</v>
      </c>
      <c r="K817" s="6" t="n">
        <f aca="false">G817*H817</f>
        <v>399</v>
      </c>
      <c r="L817" s="6" t="n">
        <f aca="false">K817*J817</f>
        <v>39.9</v>
      </c>
      <c r="M817" s="6" t="n">
        <f aca="false">K817-L817</f>
        <v>359.1</v>
      </c>
      <c r="N817" s="6" t="n">
        <f aca="false">G817*I817</f>
        <v>180</v>
      </c>
      <c r="O817" s="6" t="n">
        <f aca="false">M817-N817</f>
        <v>179.1</v>
      </c>
      <c r="P817" s="21" t="n">
        <f aca="false">IFERROR(O817/M817,0)</f>
        <v>0.49874686716792</v>
      </c>
      <c r="Q817" s="6" t="str">
        <f aca="false">Orders!H817</f>
        <v>Processing</v>
      </c>
      <c r="R817" s="1" t="str">
        <f aca="false">INDEX(Customers!$C$2:$C$301,MATCH(C817,Customers!$A$2:$A$301,0))</f>
        <v>Visakhapatnam</v>
      </c>
      <c r="S817" s="1" t="str">
        <f aca="false">INDEX(Customers!$E$2:$E$301,MATCH(C817,Customers!$A$2:$A$301,0))</f>
        <v>Returning</v>
      </c>
      <c r="T817" s="6" t="str">
        <f aca="false">Orders!I817</f>
        <v>Mobile App</v>
      </c>
      <c r="U817" s="1" t="str">
        <f aca="false">IF(Q817="Delivered","Completed",IF(Q817="Cancelled","Cancelled",IF(Q817="Returned","Returned","In Progress")))</f>
        <v>In Progress</v>
      </c>
      <c r="V817" s="1" t="str">
        <f aca="false">IF(M817&gt;=10000,"High Value",IF(M817&gt;=5000,"Medium Value","Low Value"))</f>
        <v>Low Value</v>
      </c>
      <c r="W817" s="1" t="str">
        <f aca="false">IF(O817&gt;0,"Profitable",IF(O817=0,"Break-even","Loss"))</f>
        <v>Profitable</v>
      </c>
      <c r="X817" s="1" t="str">
        <f aca="false">IF(Q817="Cancelled","Not Applicable",IF(Q817="Processing","Pending",IF(B817="","Unknown",IF(Orders!J817="","Unknown",IF(Orders!J817&lt;=3,"Fast",IF(Orders!J817&lt;=6,"Standard","Slow"))))))</f>
        <v>Pending</v>
      </c>
      <c r="Y817" s="1" t="n">
        <f aca="false">IF(OR(Q817="Cancelled",Q817="Returned"),0,O817)</f>
        <v>179.1</v>
      </c>
    </row>
    <row r="818" customFormat="false" ht="23.85" hidden="false" customHeight="false" outlineLevel="0" collapsed="false">
      <c r="A818" s="6" t="str">
        <f aca="false">Orders!A818</f>
        <v>O000817</v>
      </c>
      <c r="B818" s="19" t="n">
        <f aca="false">Orders!B818</f>
        <v>45873</v>
      </c>
      <c r="C818" s="6" t="str">
        <f aca="false">Orders!C818</f>
        <v>C0140</v>
      </c>
      <c r="D818" s="6" t="str">
        <f aca="false">Orders!D818</f>
        <v>P1061</v>
      </c>
      <c r="E818" s="6" t="str">
        <f aca="false">INDEX(Products!$B$2:$B$101,MATCH(D818,Products!$A$2:$A$101,0))</f>
        <v>Resistance Bands</v>
      </c>
      <c r="F818" s="1" t="str">
        <f aca="false">INDEX(Products!$C$2:$C$101,MATCH(D818,Products!$A$2:$A$101,0))</f>
        <v>Sports &amp; Outdoors</v>
      </c>
      <c r="G818" s="6" t="n">
        <f aca="false">Orders!E818</f>
        <v>2</v>
      </c>
      <c r="H818" s="16" t="n">
        <f aca="false">INDEX(Products!$D$2:$D$101,MATCH(D818,Products!$A$2:$A$101,0))</f>
        <v>399</v>
      </c>
      <c r="I818" s="16" t="n">
        <f aca="false">INDEX(Products!$E$2:$E$101,MATCH(D818,Products!$A$2:$A$101,0))</f>
        <v>150</v>
      </c>
      <c r="J818" s="20" t="n">
        <f aca="false">Orders!F818</f>
        <v>0.1</v>
      </c>
      <c r="K818" s="6" t="n">
        <f aca="false">G818*H818</f>
        <v>798</v>
      </c>
      <c r="L818" s="6" t="n">
        <f aca="false">K818*J818</f>
        <v>79.8</v>
      </c>
      <c r="M818" s="6" t="n">
        <f aca="false">K818-L818</f>
        <v>718.2</v>
      </c>
      <c r="N818" s="6" t="n">
        <f aca="false">G818*I818</f>
        <v>300</v>
      </c>
      <c r="O818" s="6" t="n">
        <f aca="false">M818-N818</f>
        <v>418.2</v>
      </c>
      <c r="P818" s="21" t="n">
        <f aca="false">IFERROR(O818/M818,0)</f>
        <v>0.582289055973267</v>
      </c>
      <c r="Q818" s="6" t="str">
        <f aca="false">Orders!H818</f>
        <v>Delivered</v>
      </c>
      <c r="R818" s="1" t="str">
        <f aca="false">INDEX(Customers!$C$2:$C$301,MATCH(C818,Customers!$A$2:$A$301,0))</f>
        <v>Visakhapatnam</v>
      </c>
      <c r="S818" s="1" t="str">
        <f aca="false">INDEX(Customers!$E$2:$E$301,MATCH(C818,Customers!$A$2:$A$301,0))</f>
        <v>New</v>
      </c>
      <c r="T818" s="6" t="str">
        <f aca="false">Orders!I818</f>
        <v>Marketplace</v>
      </c>
      <c r="U818" s="1" t="str">
        <f aca="false">IF(Q818="Delivered","Completed",IF(Q818="Cancelled","Cancelled",IF(Q818="Returned","Returned","In Progress")))</f>
        <v>Completed</v>
      </c>
      <c r="V818" s="1" t="str">
        <f aca="false">IF(M818&gt;=10000,"High Value",IF(M818&gt;=5000,"Medium Value","Low Value"))</f>
        <v>Low Value</v>
      </c>
      <c r="W818" s="1" t="str">
        <f aca="false">IF(O818&gt;0,"Profitable",IF(O818=0,"Break-even","Loss"))</f>
        <v>Profitable</v>
      </c>
      <c r="X818" s="1" t="str">
        <f aca="false">IF(Q818="Cancelled","Not Applicable",IF(Q818="Processing","Pending",IF(B818="","Unknown",IF(Orders!J818="","Unknown",IF(Orders!J818&lt;=3,"Fast",IF(Orders!J818&lt;=6,"Standard","Slow"))))))</f>
        <v>Standard</v>
      </c>
      <c r="Y818" s="1" t="n">
        <f aca="false">IF(OR(Q818="Cancelled",Q818="Returned"),0,O818)</f>
        <v>418.2</v>
      </c>
    </row>
    <row r="819" customFormat="false" ht="23.85" hidden="false" customHeight="false" outlineLevel="0" collapsed="false">
      <c r="A819" s="6" t="str">
        <f aca="false">Orders!A819</f>
        <v>O000818</v>
      </c>
      <c r="B819" s="19" t="n">
        <f aca="false">Orders!B819</f>
        <v>45807</v>
      </c>
      <c r="C819" s="6" t="str">
        <f aca="false">Orders!C819</f>
        <v>C0107</v>
      </c>
      <c r="D819" s="6" t="str">
        <f aca="false">Orders!D819</f>
        <v>P1069</v>
      </c>
      <c r="E819" s="6" t="str">
        <f aca="false">INDEX(Products!$B$2:$B$101,MATCH(D819,Products!$A$2:$A$101,0))</f>
        <v>Sports Duffel Bag</v>
      </c>
      <c r="F819" s="1" t="str">
        <f aca="false">INDEX(Products!$C$2:$C$101,MATCH(D819,Products!$A$2:$A$101,0))</f>
        <v>Sports &amp; Outdoors</v>
      </c>
      <c r="G819" s="6" t="n">
        <f aca="false">Orders!E819</f>
        <v>1</v>
      </c>
      <c r="H819" s="16" t="n">
        <f aca="false">INDEX(Products!$D$2:$D$101,MATCH(D819,Products!$A$2:$A$101,0))</f>
        <v>999</v>
      </c>
      <c r="I819" s="16" t="n">
        <f aca="false">INDEX(Products!$E$2:$E$101,MATCH(D819,Products!$A$2:$A$101,0))</f>
        <v>500</v>
      </c>
      <c r="J819" s="20" t="n">
        <f aca="false">Orders!F819</f>
        <v>0</v>
      </c>
      <c r="K819" s="6" t="n">
        <f aca="false">G819*H819</f>
        <v>999</v>
      </c>
      <c r="L819" s="6" t="n">
        <f aca="false">K819*J819</f>
        <v>0</v>
      </c>
      <c r="M819" s="6" t="n">
        <f aca="false">K819-L819</f>
        <v>999</v>
      </c>
      <c r="N819" s="6" t="n">
        <f aca="false">G819*I819</f>
        <v>500</v>
      </c>
      <c r="O819" s="6" t="n">
        <f aca="false">M819-N819</f>
        <v>499</v>
      </c>
      <c r="P819" s="21" t="n">
        <f aca="false">IFERROR(O819/M819,0)</f>
        <v>0.4994994994995</v>
      </c>
      <c r="Q819" s="6" t="str">
        <f aca="false">Orders!H819</f>
        <v>Delivered</v>
      </c>
      <c r="R819" s="1" t="str">
        <f aca="false">INDEX(Customers!$C$2:$C$301,MATCH(C819,Customers!$A$2:$A$301,0))</f>
        <v>Pune</v>
      </c>
      <c r="S819" s="1" t="str">
        <f aca="false">INDEX(Customers!$E$2:$E$301,MATCH(C819,Customers!$A$2:$A$301,0))</f>
        <v>Returning</v>
      </c>
      <c r="T819" s="6" t="str">
        <f aca="false">Orders!I819</f>
        <v>Website</v>
      </c>
      <c r="U819" s="1" t="str">
        <f aca="false">IF(Q819="Delivered","Completed",IF(Q819="Cancelled","Cancelled",IF(Q819="Returned","Returned","In Progress")))</f>
        <v>Completed</v>
      </c>
      <c r="V819" s="1" t="str">
        <f aca="false">IF(M819&gt;=10000,"High Value",IF(M819&gt;=5000,"Medium Value","Low Value"))</f>
        <v>Low Value</v>
      </c>
      <c r="W819" s="1" t="str">
        <f aca="false">IF(O819&gt;0,"Profitable",IF(O819=0,"Break-even","Loss"))</f>
        <v>Profitable</v>
      </c>
      <c r="X819" s="1" t="str">
        <f aca="false">IF(Q819="Cancelled","Not Applicable",IF(Q819="Processing","Pending",IF(B819="","Unknown",IF(Orders!J819="","Unknown",IF(Orders!J819&lt;=3,"Fast",IF(Orders!J819&lt;=6,"Standard","Slow"))))))</f>
        <v>Standard</v>
      </c>
      <c r="Y819" s="1" t="n">
        <f aca="false">IF(OR(Q819="Cancelled",Q819="Returned"),0,O819)</f>
        <v>499</v>
      </c>
    </row>
    <row r="820" customFormat="false" ht="15" hidden="false" customHeight="false" outlineLevel="0" collapsed="false">
      <c r="A820" s="6" t="str">
        <f aca="false">Orders!A820</f>
        <v>O000819</v>
      </c>
      <c r="B820" s="19" t="n">
        <f aca="false">Orders!B820</f>
        <v>45736</v>
      </c>
      <c r="C820" s="6" t="str">
        <f aca="false">Orders!C820</f>
        <v>C0290</v>
      </c>
      <c r="D820" s="6" t="str">
        <f aca="false">Orders!D820</f>
        <v>P1100</v>
      </c>
      <c r="E820" s="6" t="str">
        <f aca="false">INDEX(Products!$B$2:$B$101,MATCH(D820,Products!$A$2:$A$101,0))</f>
        <v>Coffee Maker</v>
      </c>
      <c r="F820" s="1" t="str">
        <f aca="false">INDEX(Products!$C$2:$C$101,MATCH(D820,Products!$A$2:$A$101,0))</f>
        <v>Appliances</v>
      </c>
      <c r="G820" s="6" t="n">
        <f aca="false">Orders!E820</f>
        <v>2</v>
      </c>
      <c r="H820" s="16" t="n">
        <f aca="false">INDEX(Products!$D$2:$D$101,MATCH(D820,Products!$A$2:$A$101,0))</f>
        <v>2499</v>
      </c>
      <c r="I820" s="16" t="n">
        <f aca="false">INDEX(Products!$E$2:$E$101,MATCH(D820,Products!$A$2:$A$101,0))</f>
        <v>1600</v>
      </c>
      <c r="J820" s="20" t="n">
        <f aca="false">Orders!F820</f>
        <v>0.05</v>
      </c>
      <c r="K820" s="6" t="n">
        <f aca="false">G820*H820</f>
        <v>4998</v>
      </c>
      <c r="L820" s="6" t="n">
        <f aca="false">K820*J820</f>
        <v>249.9</v>
      </c>
      <c r="M820" s="6" t="n">
        <f aca="false">K820-L820</f>
        <v>4748.1</v>
      </c>
      <c r="N820" s="6" t="n">
        <f aca="false">G820*I820</f>
        <v>3200</v>
      </c>
      <c r="O820" s="6" t="n">
        <f aca="false">M820-N820</f>
        <v>1548.1</v>
      </c>
      <c r="P820" s="21" t="n">
        <f aca="false">IFERROR(O820/M820,0)</f>
        <v>0.326046207956867</v>
      </c>
      <c r="Q820" s="6" t="str">
        <f aca="false">Orders!H820</f>
        <v>Delivered</v>
      </c>
      <c r="R820" s="1" t="str">
        <f aca="false">INDEX(Customers!$C$2:$C$301,MATCH(C820,Customers!$A$2:$A$301,0))</f>
        <v>Lucknow</v>
      </c>
      <c r="S820" s="1" t="str">
        <f aca="false">INDEX(Customers!$E$2:$E$301,MATCH(C820,Customers!$A$2:$A$301,0))</f>
        <v>Returning</v>
      </c>
      <c r="T820" s="6" t="str">
        <f aca="false">Orders!I820</f>
        <v>Website</v>
      </c>
      <c r="U820" s="1" t="str">
        <f aca="false">IF(Q820="Delivered","Completed",IF(Q820="Cancelled","Cancelled",IF(Q820="Returned","Returned","In Progress")))</f>
        <v>Completed</v>
      </c>
      <c r="V820" s="1" t="str">
        <f aca="false">IF(M820&gt;=10000,"High Value",IF(M820&gt;=5000,"Medium Value","Low Value"))</f>
        <v>Low Value</v>
      </c>
      <c r="W820" s="1" t="str">
        <f aca="false">IF(O820&gt;0,"Profitable",IF(O820=0,"Break-even","Loss"))</f>
        <v>Profitable</v>
      </c>
      <c r="X820" s="1" t="str">
        <f aca="false">IF(Q820="Cancelled","Not Applicable",IF(Q820="Processing","Pending",IF(B820="","Unknown",IF(Orders!J820="","Unknown",IF(Orders!J820&lt;=3,"Fast",IF(Orders!J820&lt;=6,"Standard","Slow"))))))</f>
        <v>Standard</v>
      </c>
      <c r="Y820" s="1" t="n">
        <f aca="false">IF(OR(Q820="Cancelled",Q820="Returned"),0,O820)</f>
        <v>1548.1</v>
      </c>
    </row>
    <row r="821" customFormat="false" ht="15" hidden="false" customHeight="false" outlineLevel="0" collapsed="false">
      <c r="A821" s="6" t="str">
        <f aca="false">Orders!A821</f>
        <v>O000820</v>
      </c>
      <c r="B821" s="19" t="n">
        <f aca="false">Orders!B821</f>
        <v>45783</v>
      </c>
      <c r="C821" s="6" t="str">
        <f aca="false">Orders!C821</f>
        <v>C0288</v>
      </c>
      <c r="D821" s="6" t="str">
        <f aca="false">Orders!D821</f>
        <v>P1022</v>
      </c>
      <c r="E821" s="6" t="str">
        <f aca="false">INDEX(Products!$B$2:$B$101,MATCH(D821,Products!$A$2:$A$101,0))</f>
        <v>Wallet</v>
      </c>
      <c r="F821" s="1" t="str">
        <f aca="false">INDEX(Products!$C$2:$C$101,MATCH(D821,Products!$A$2:$A$101,0))</f>
        <v>Fashion</v>
      </c>
      <c r="G821" s="6" t="n">
        <f aca="false">Orders!E821</f>
        <v>2</v>
      </c>
      <c r="H821" s="16" t="n">
        <f aca="false">INDEX(Products!$D$2:$D$101,MATCH(D821,Products!$A$2:$A$101,0))</f>
        <v>499</v>
      </c>
      <c r="I821" s="16" t="n">
        <f aca="false">INDEX(Products!$E$2:$E$101,MATCH(D821,Products!$A$2:$A$101,0))</f>
        <v>200</v>
      </c>
      <c r="J821" s="20" t="n">
        <f aca="false">Orders!F821</f>
        <v>0.15</v>
      </c>
      <c r="K821" s="6" t="n">
        <f aca="false">G821*H821</f>
        <v>998</v>
      </c>
      <c r="L821" s="6" t="n">
        <f aca="false">K821*J821</f>
        <v>149.7</v>
      </c>
      <c r="M821" s="6" t="n">
        <f aca="false">K821-L821</f>
        <v>848.3</v>
      </c>
      <c r="N821" s="6" t="n">
        <f aca="false">G821*I821</f>
        <v>400</v>
      </c>
      <c r="O821" s="6" t="n">
        <f aca="false">M821-N821</f>
        <v>448.3</v>
      </c>
      <c r="P821" s="21" t="n">
        <f aca="false">IFERROR(O821/M821,0)</f>
        <v>0.528468702110103</v>
      </c>
      <c r="Q821" s="6" t="str">
        <f aca="false">Orders!H821</f>
        <v>Delivered</v>
      </c>
      <c r="R821" s="1" t="str">
        <f aca="false">INDEX(Customers!$C$2:$C$301,MATCH(C821,Customers!$A$2:$A$301,0))</f>
        <v>Jaipur</v>
      </c>
      <c r="S821" s="1" t="str">
        <f aca="false">INDEX(Customers!$E$2:$E$301,MATCH(C821,Customers!$A$2:$A$301,0))</f>
        <v>New</v>
      </c>
      <c r="T821" s="6" t="str">
        <f aca="false">Orders!I821</f>
        <v>Website</v>
      </c>
      <c r="U821" s="1" t="str">
        <f aca="false">IF(Q821="Delivered","Completed",IF(Q821="Cancelled","Cancelled",IF(Q821="Returned","Returned","In Progress")))</f>
        <v>Completed</v>
      </c>
      <c r="V821" s="1" t="str">
        <f aca="false">IF(M821&gt;=10000,"High Value",IF(M821&gt;=5000,"Medium Value","Low Value"))</f>
        <v>Low Value</v>
      </c>
      <c r="W821" s="1" t="str">
        <f aca="false">IF(O821&gt;0,"Profitable",IF(O821=0,"Break-even","Loss"))</f>
        <v>Profitable</v>
      </c>
      <c r="X821" s="1" t="str">
        <f aca="false">IF(Q821="Cancelled","Not Applicable",IF(Q821="Processing","Pending",IF(B821="","Unknown",IF(Orders!J821="","Unknown",IF(Orders!J821&lt;=3,"Fast",IF(Orders!J821&lt;=6,"Standard","Slow"))))))</f>
        <v>Standard</v>
      </c>
      <c r="Y821" s="1" t="n">
        <f aca="false">IF(OR(Q821="Cancelled",Q821="Returned"),0,O821)</f>
        <v>448.3</v>
      </c>
    </row>
    <row r="822" customFormat="false" ht="15" hidden="false" customHeight="false" outlineLevel="0" collapsed="false">
      <c r="A822" s="6" t="str">
        <f aca="false">Orders!A822</f>
        <v>O000821</v>
      </c>
      <c r="B822" s="19" t="n">
        <f aca="false">Orders!B822</f>
        <v>45688</v>
      </c>
      <c r="C822" s="6" t="str">
        <f aca="false">Orders!C822</f>
        <v>C0155</v>
      </c>
      <c r="D822" s="6" t="str">
        <f aca="false">Orders!D822</f>
        <v>P1028</v>
      </c>
      <c r="E822" s="6" t="str">
        <f aca="false">INDEX(Products!$B$2:$B$101,MATCH(D822,Products!$A$2:$A$101,0))</f>
        <v>Sneakers</v>
      </c>
      <c r="F822" s="1" t="str">
        <f aca="false">INDEX(Products!$C$2:$C$101,MATCH(D822,Products!$A$2:$A$101,0))</f>
        <v>Fashion</v>
      </c>
      <c r="G822" s="6" t="n">
        <f aca="false">Orders!E822</f>
        <v>2</v>
      </c>
      <c r="H822" s="16" t="n">
        <f aca="false">INDEX(Products!$D$2:$D$101,MATCH(D822,Products!$A$2:$A$101,0))</f>
        <v>1799</v>
      </c>
      <c r="I822" s="16" t="n">
        <f aca="false">INDEX(Products!$E$2:$E$101,MATCH(D822,Products!$A$2:$A$101,0))</f>
        <v>950</v>
      </c>
      <c r="J822" s="20" t="n">
        <f aca="false">Orders!F822</f>
        <v>0</v>
      </c>
      <c r="K822" s="6" t="n">
        <f aca="false">G822*H822</f>
        <v>3598</v>
      </c>
      <c r="L822" s="6" t="n">
        <f aca="false">K822*J822</f>
        <v>0</v>
      </c>
      <c r="M822" s="6" t="n">
        <f aca="false">K822-L822</f>
        <v>3598</v>
      </c>
      <c r="N822" s="6" t="n">
        <f aca="false">G822*I822</f>
        <v>1900</v>
      </c>
      <c r="O822" s="6" t="n">
        <f aca="false">M822-N822</f>
        <v>1698</v>
      </c>
      <c r="P822" s="21" t="n">
        <f aca="false">IFERROR(O822/M822,0)</f>
        <v>0.471928849360756</v>
      </c>
      <c r="Q822" s="6" t="str">
        <f aca="false">Orders!H822</f>
        <v>Delivered</v>
      </c>
      <c r="R822" s="1" t="str">
        <f aca="false">INDEX(Customers!$C$2:$C$301,MATCH(C822,Customers!$A$2:$A$301,0))</f>
        <v>Bhopal</v>
      </c>
      <c r="S822" s="1" t="str">
        <f aca="false">INDEX(Customers!$E$2:$E$301,MATCH(C822,Customers!$A$2:$A$301,0))</f>
        <v>Returning</v>
      </c>
      <c r="T822" s="6" t="str">
        <f aca="false">Orders!I822</f>
        <v>Marketplace</v>
      </c>
      <c r="U822" s="1" t="str">
        <f aca="false">IF(Q822="Delivered","Completed",IF(Q822="Cancelled","Cancelled",IF(Q822="Returned","Returned","In Progress")))</f>
        <v>Completed</v>
      </c>
      <c r="V822" s="1" t="str">
        <f aca="false">IF(M822&gt;=10000,"High Value",IF(M822&gt;=5000,"Medium Value","Low Value"))</f>
        <v>Low Value</v>
      </c>
      <c r="W822" s="1" t="str">
        <f aca="false">IF(O822&gt;0,"Profitable",IF(O822=0,"Break-even","Loss"))</f>
        <v>Profitable</v>
      </c>
      <c r="X822" s="1" t="str">
        <f aca="false">IF(Q822="Cancelled","Not Applicable",IF(Q822="Processing","Pending",IF(B822="","Unknown",IF(Orders!J822="","Unknown",IF(Orders!J822&lt;=3,"Fast",IF(Orders!J822&lt;=6,"Standard","Slow"))))))</f>
        <v>Standard</v>
      </c>
      <c r="Y822" s="1" t="n">
        <f aca="false">IF(OR(Q822="Cancelled",Q822="Returned"),0,O822)</f>
        <v>1698</v>
      </c>
    </row>
    <row r="823" customFormat="false" ht="15" hidden="false" customHeight="false" outlineLevel="0" collapsed="false">
      <c r="A823" s="6" t="str">
        <f aca="false">Orders!A823</f>
        <v>O000822</v>
      </c>
      <c r="B823" s="19" t="n">
        <f aca="false">Orders!B823</f>
        <v>45766</v>
      </c>
      <c r="C823" s="6" t="str">
        <f aca="false">Orders!C823</f>
        <v>C0228</v>
      </c>
      <c r="D823" s="6" t="str">
        <f aca="false">Orders!D823</f>
        <v>P1032</v>
      </c>
      <c r="E823" s="6" t="str">
        <f aca="false">INDEX(Products!$B$2:$B$101,MATCH(D823,Products!$A$2:$A$101,0))</f>
        <v>Water Bottle</v>
      </c>
      <c r="F823" s="1" t="str">
        <f aca="false">INDEX(Products!$C$2:$C$101,MATCH(D823,Products!$A$2:$A$101,0))</f>
        <v>Home &amp; Kitchen</v>
      </c>
      <c r="G823" s="6" t="n">
        <f aca="false">Orders!E823</f>
        <v>3</v>
      </c>
      <c r="H823" s="16" t="n">
        <f aca="false">INDEX(Products!$D$2:$D$101,MATCH(D823,Products!$A$2:$A$101,0))</f>
        <v>399</v>
      </c>
      <c r="I823" s="16" t="n">
        <f aca="false">INDEX(Products!$E$2:$E$101,MATCH(D823,Products!$A$2:$A$101,0))</f>
        <v>150</v>
      </c>
      <c r="J823" s="20" t="n">
        <f aca="false">Orders!F823</f>
        <v>0.05</v>
      </c>
      <c r="K823" s="6" t="n">
        <f aca="false">G823*H823</f>
        <v>1197</v>
      </c>
      <c r="L823" s="6" t="n">
        <f aca="false">K823*J823</f>
        <v>59.85</v>
      </c>
      <c r="M823" s="6" t="n">
        <f aca="false">K823-L823</f>
        <v>1137.15</v>
      </c>
      <c r="N823" s="6" t="n">
        <f aca="false">G823*I823</f>
        <v>450</v>
      </c>
      <c r="O823" s="6" t="n">
        <f aca="false">M823-N823</f>
        <v>687.15</v>
      </c>
      <c r="P823" s="21" t="n">
        <f aca="false">IFERROR(O823/M823,0)</f>
        <v>0.604273842500989</v>
      </c>
      <c r="Q823" s="6" t="str">
        <f aca="false">Orders!H823</f>
        <v>Delivered</v>
      </c>
      <c r="R823" s="1" t="str">
        <f aca="false">INDEX(Customers!$C$2:$C$301,MATCH(C823,Customers!$A$2:$A$301,0))</f>
        <v>Jaipur</v>
      </c>
      <c r="S823" s="1" t="str">
        <f aca="false">INDEX(Customers!$E$2:$E$301,MATCH(C823,Customers!$A$2:$A$301,0))</f>
        <v>Returning</v>
      </c>
      <c r="T823" s="6" t="str">
        <f aca="false">Orders!I823</f>
        <v>Website</v>
      </c>
      <c r="U823" s="1" t="str">
        <f aca="false">IF(Q823="Delivered","Completed",IF(Q823="Cancelled","Cancelled",IF(Q823="Returned","Returned","In Progress")))</f>
        <v>Completed</v>
      </c>
      <c r="V823" s="1" t="str">
        <f aca="false">IF(M823&gt;=10000,"High Value",IF(M823&gt;=5000,"Medium Value","Low Value"))</f>
        <v>Low Value</v>
      </c>
      <c r="W823" s="1" t="str">
        <f aca="false">IF(O823&gt;0,"Profitable",IF(O823=0,"Break-even","Loss"))</f>
        <v>Profitable</v>
      </c>
      <c r="X823" s="1" t="str">
        <f aca="false">IF(Q823="Cancelled","Not Applicable",IF(Q823="Processing","Pending",IF(B823="","Unknown",IF(Orders!J823="","Unknown",IF(Orders!J823&lt;=3,"Fast",IF(Orders!J823&lt;=6,"Standard","Slow"))))))</f>
        <v>Standard</v>
      </c>
      <c r="Y823" s="1" t="n">
        <f aca="false">IF(OR(Q823="Cancelled",Q823="Returned"),0,O823)</f>
        <v>687.15</v>
      </c>
    </row>
    <row r="824" customFormat="false" ht="15" hidden="false" customHeight="false" outlineLevel="0" collapsed="false">
      <c r="A824" s="6" t="str">
        <f aca="false">Orders!A824</f>
        <v>O000823</v>
      </c>
      <c r="B824" s="19" t="n">
        <f aca="false">Orders!B824</f>
        <v>45963</v>
      </c>
      <c r="C824" s="6" t="str">
        <f aca="false">Orders!C824</f>
        <v>C0200</v>
      </c>
      <c r="D824" s="6" t="str">
        <f aca="false">Orders!D824</f>
        <v>P1013</v>
      </c>
      <c r="E824" s="6" t="str">
        <f aca="false">INDEX(Products!$B$2:$B$101,MATCH(D824,Products!$A$2:$A$101,0))</f>
        <v>Memory Card</v>
      </c>
      <c r="F824" s="1" t="str">
        <f aca="false">INDEX(Products!$C$2:$C$101,MATCH(D824,Products!$A$2:$A$101,0))</f>
        <v>Electronics</v>
      </c>
      <c r="G824" s="6" t="n">
        <f aca="false">Orders!E824</f>
        <v>4</v>
      </c>
      <c r="H824" s="16" t="n">
        <f aca="false">INDEX(Products!$D$2:$D$101,MATCH(D824,Products!$A$2:$A$101,0))</f>
        <v>699</v>
      </c>
      <c r="I824" s="16" t="n">
        <f aca="false">INDEX(Products!$E$2:$E$101,MATCH(D824,Products!$A$2:$A$101,0))</f>
        <v>400</v>
      </c>
      <c r="J824" s="20" t="n">
        <f aca="false">Orders!F824</f>
        <v>0.05</v>
      </c>
      <c r="K824" s="6" t="n">
        <f aca="false">G824*H824</f>
        <v>2796</v>
      </c>
      <c r="L824" s="6" t="n">
        <f aca="false">K824*J824</f>
        <v>139.8</v>
      </c>
      <c r="M824" s="6" t="n">
        <f aca="false">K824-L824</f>
        <v>2656.2</v>
      </c>
      <c r="N824" s="6" t="n">
        <f aca="false">G824*I824</f>
        <v>1600</v>
      </c>
      <c r="O824" s="6" t="n">
        <f aca="false">M824-N824</f>
        <v>1056.2</v>
      </c>
      <c r="P824" s="21" t="n">
        <f aca="false">IFERROR(O824/M824,0)</f>
        <v>0.397635720201792</v>
      </c>
      <c r="Q824" s="6" t="str">
        <f aca="false">Orders!H824</f>
        <v>Shipped</v>
      </c>
      <c r="R824" s="1" t="str">
        <f aca="false">INDEX(Customers!$C$2:$C$301,MATCH(C824,Customers!$A$2:$A$301,0))</f>
        <v>Visakhapatnam</v>
      </c>
      <c r="S824" s="1" t="str">
        <f aca="false">INDEX(Customers!$E$2:$E$301,MATCH(C824,Customers!$A$2:$A$301,0))</f>
        <v>New</v>
      </c>
      <c r="T824" s="6" t="str">
        <f aca="false">Orders!I824</f>
        <v>Mobile App</v>
      </c>
      <c r="U824" s="1" t="str">
        <f aca="false">IF(Q824="Delivered","Completed",IF(Q824="Cancelled","Cancelled",IF(Q824="Returned","Returned","In Progress")))</f>
        <v>In Progress</v>
      </c>
      <c r="V824" s="1" t="str">
        <f aca="false">IF(M824&gt;=10000,"High Value",IF(M824&gt;=5000,"Medium Value","Low Value"))</f>
        <v>Low Value</v>
      </c>
      <c r="W824" s="1" t="str">
        <f aca="false">IF(O824&gt;0,"Profitable",IF(O824=0,"Break-even","Loss"))</f>
        <v>Profitable</v>
      </c>
      <c r="X824" s="1" t="str">
        <f aca="false">IF(Q824="Cancelled","Not Applicable",IF(Q824="Processing","Pending",IF(B824="","Unknown",IF(Orders!J824="","Unknown",IF(Orders!J824&lt;=3,"Fast",IF(Orders!J824&lt;=6,"Standard","Slow"))))))</f>
        <v>Slow</v>
      </c>
      <c r="Y824" s="1" t="n">
        <f aca="false">IF(OR(Q824="Cancelled",Q824="Returned"),0,O824)</f>
        <v>1056.2</v>
      </c>
    </row>
    <row r="825" customFormat="false" ht="23.85" hidden="false" customHeight="false" outlineLevel="0" collapsed="false">
      <c r="A825" s="6" t="str">
        <f aca="false">Orders!A825</f>
        <v>O000824</v>
      </c>
      <c r="B825" s="19" t="n">
        <f aca="false">Orders!B825</f>
        <v>45978</v>
      </c>
      <c r="C825" s="6" t="str">
        <f aca="false">Orders!C825</f>
        <v>C0024</v>
      </c>
      <c r="D825" s="6" t="str">
        <f aca="false">Orders!D825</f>
        <v>P1081</v>
      </c>
      <c r="E825" s="6" t="str">
        <f aca="false">INDEX(Products!$B$2:$B$101,MATCH(D825,Products!$A$2:$A$101,0))</f>
        <v>Sticky Notes Pack</v>
      </c>
      <c r="F825" s="1" t="str">
        <f aca="false">INDEX(Products!$C$2:$C$101,MATCH(D825,Products!$A$2:$A$101,0))</f>
        <v>Books &amp; Stationery</v>
      </c>
      <c r="G825" s="6" t="n">
        <f aca="false">Orders!E825</f>
        <v>1</v>
      </c>
      <c r="H825" s="16" t="n">
        <f aca="false">INDEX(Products!$D$2:$D$101,MATCH(D825,Products!$A$2:$A$101,0))</f>
        <v>149</v>
      </c>
      <c r="I825" s="16" t="n">
        <f aca="false">INDEX(Products!$E$2:$E$101,MATCH(D825,Products!$A$2:$A$101,0))</f>
        <v>45</v>
      </c>
      <c r="J825" s="20" t="n">
        <f aca="false">Orders!F825</f>
        <v>0.15</v>
      </c>
      <c r="K825" s="6" t="n">
        <f aca="false">G825*H825</f>
        <v>149</v>
      </c>
      <c r="L825" s="6" t="n">
        <f aca="false">K825*J825</f>
        <v>22.35</v>
      </c>
      <c r="M825" s="6" t="n">
        <f aca="false">K825-L825</f>
        <v>126.65</v>
      </c>
      <c r="N825" s="6" t="n">
        <f aca="false">G825*I825</f>
        <v>45</v>
      </c>
      <c r="O825" s="6" t="n">
        <f aca="false">M825-N825</f>
        <v>81.65</v>
      </c>
      <c r="P825" s="21" t="n">
        <f aca="false">IFERROR(O825/M825,0)</f>
        <v>0.644690090801421</v>
      </c>
      <c r="Q825" s="6" t="str">
        <f aca="false">Orders!H825</f>
        <v>Delivered</v>
      </c>
      <c r="R825" s="1" t="str">
        <f aca="false">INDEX(Customers!$C$2:$C$301,MATCH(C825,Customers!$A$2:$A$301,0))</f>
        <v>Hyderabad</v>
      </c>
      <c r="S825" s="1" t="str">
        <f aca="false">INDEX(Customers!$E$2:$E$301,MATCH(C825,Customers!$A$2:$A$301,0))</f>
        <v>Returning</v>
      </c>
      <c r="T825" s="6" t="str">
        <f aca="false">Orders!I825</f>
        <v>Mobile App</v>
      </c>
      <c r="U825" s="1" t="str">
        <f aca="false">IF(Q825="Delivered","Completed",IF(Q825="Cancelled","Cancelled",IF(Q825="Returned","Returned","In Progress")))</f>
        <v>Completed</v>
      </c>
      <c r="V825" s="1" t="str">
        <f aca="false">IF(M825&gt;=10000,"High Value",IF(M825&gt;=5000,"Medium Value","Low Value"))</f>
        <v>Low Value</v>
      </c>
      <c r="W825" s="1" t="str">
        <f aca="false">IF(O825&gt;0,"Profitable",IF(O825=0,"Break-even","Loss"))</f>
        <v>Profitable</v>
      </c>
      <c r="X825" s="1" t="str">
        <f aca="false">IF(Q825="Cancelled","Not Applicable",IF(Q825="Processing","Pending",IF(B825="","Unknown",IF(Orders!J825="","Unknown",IF(Orders!J825&lt;=3,"Fast",IF(Orders!J825&lt;=6,"Standard","Slow"))))))</f>
        <v>Standard</v>
      </c>
      <c r="Y825" s="1" t="n">
        <f aca="false">IF(OR(Q825="Cancelled",Q825="Returned"),0,O825)</f>
        <v>81.65</v>
      </c>
    </row>
    <row r="826" customFormat="false" ht="23.85" hidden="false" customHeight="false" outlineLevel="0" collapsed="false">
      <c r="A826" s="6" t="str">
        <f aca="false">Orders!A826</f>
        <v>O000825</v>
      </c>
      <c r="B826" s="19" t="n">
        <f aca="false">Orders!B826</f>
        <v>45942</v>
      </c>
      <c r="C826" s="6" t="str">
        <f aca="false">Orders!C826</f>
        <v>C0160</v>
      </c>
      <c r="D826" s="6" t="str">
        <f aca="false">Orders!D826</f>
        <v>P1012</v>
      </c>
      <c r="E826" s="6" t="str">
        <f aca="false">INDEX(Products!$B$2:$B$101,MATCH(D826,Products!$A$2:$A$101,0))</f>
        <v>Charging Adapter</v>
      </c>
      <c r="F826" s="1" t="str">
        <f aca="false">INDEX(Products!$C$2:$C$101,MATCH(D826,Products!$A$2:$A$101,0))</f>
        <v>Electronics</v>
      </c>
      <c r="G826" s="6" t="n">
        <f aca="false">Orders!E826</f>
        <v>2</v>
      </c>
      <c r="H826" s="16" t="n">
        <f aca="false">INDEX(Products!$D$2:$D$101,MATCH(D826,Products!$A$2:$A$101,0))</f>
        <v>599</v>
      </c>
      <c r="I826" s="16" t="n">
        <f aca="false">INDEX(Products!$E$2:$E$101,MATCH(D826,Products!$A$2:$A$101,0))</f>
        <v>260</v>
      </c>
      <c r="J826" s="20" t="n">
        <f aca="false">Orders!F826</f>
        <v>0.1</v>
      </c>
      <c r="K826" s="6" t="n">
        <f aca="false">G826*H826</f>
        <v>1198</v>
      </c>
      <c r="L826" s="6" t="n">
        <f aca="false">K826*J826</f>
        <v>119.8</v>
      </c>
      <c r="M826" s="6" t="n">
        <f aca="false">K826-L826</f>
        <v>1078.2</v>
      </c>
      <c r="N826" s="6" t="n">
        <f aca="false">G826*I826</f>
        <v>520</v>
      </c>
      <c r="O826" s="6" t="n">
        <f aca="false">M826-N826</f>
        <v>558.2</v>
      </c>
      <c r="P826" s="21" t="n">
        <f aca="false">IFERROR(O826/M826,0)</f>
        <v>0.517714709701354</v>
      </c>
      <c r="Q826" s="6" t="str">
        <f aca="false">Orders!H826</f>
        <v>Processing</v>
      </c>
      <c r="R826" s="1" t="str">
        <f aca="false">INDEX(Customers!$C$2:$C$301,MATCH(C826,Customers!$A$2:$A$301,0))</f>
        <v>Visakhapatnam</v>
      </c>
      <c r="S826" s="1" t="str">
        <f aca="false">INDEX(Customers!$E$2:$E$301,MATCH(C826,Customers!$A$2:$A$301,0))</f>
        <v>New</v>
      </c>
      <c r="T826" s="6" t="str">
        <f aca="false">Orders!I826</f>
        <v>Mobile App</v>
      </c>
      <c r="U826" s="1" t="str">
        <f aca="false">IF(Q826="Delivered","Completed",IF(Q826="Cancelled","Cancelled",IF(Q826="Returned","Returned","In Progress")))</f>
        <v>In Progress</v>
      </c>
      <c r="V826" s="1" t="str">
        <f aca="false">IF(M826&gt;=10000,"High Value",IF(M826&gt;=5000,"Medium Value","Low Value"))</f>
        <v>Low Value</v>
      </c>
      <c r="W826" s="1" t="str">
        <f aca="false">IF(O826&gt;0,"Profitable",IF(O826=0,"Break-even","Loss"))</f>
        <v>Profitable</v>
      </c>
      <c r="X826" s="1" t="str">
        <f aca="false">IF(Q826="Cancelled","Not Applicable",IF(Q826="Processing","Pending",IF(B826="","Unknown",IF(Orders!J826="","Unknown",IF(Orders!J826&lt;=3,"Fast",IF(Orders!J826&lt;=6,"Standard","Slow"))))))</f>
        <v>Pending</v>
      </c>
      <c r="Y826" s="1" t="n">
        <f aca="false">IF(OR(Q826="Cancelled",Q826="Returned"),0,O826)</f>
        <v>558.2</v>
      </c>
    </row>
    <row r="827" customFormat="false" ht="15" hidden="false" customHeight="false" outlineLevel="0" collapsed="false">
      <c r="A827" s="6" t="str">
        <f aca="false">Orders!A827</f>
        <v>O000826</v>
      </c>
      <c r="B827" s="19" t="n">
        <f aca="false">Orders!B827</f>
        <v>45859</v>
      </c>
      <c r="C827" s="6" t="str">
        <f aca="false">Orders!C827</f>
        <v>C0261</v>
      </c>
      <c r="D827" s="6" t="str">
        <f aca="false">Orders!D827</f>
        <v>P1079</v>
      </c>
      <c r="E827" s="6" t="str">
        <f aca="false">INDEX(Products!$B$2:$B$101,MATCH(D827,Products!$A$2:$A$101,0))</f>
        <v>Art Supply Kit</v>
      </c>
      <c r="F827" s="1" t="str">
        <f aca="false">INDEX(Products!$C$2:$C$101,MATCH(D827,Products!$A$2:$A$101,0))</f>
        <v>Books &amp; Stationery</v>
      </c>
      <c r="G827" s="6" t="n">
        <f aca="false">Orders!E827</f>
        <v>1</v>
      </c>
      <c r="H827" s="16" t="n">
        <f aca="false">INDEX(Products!$D$2:$D$101,MATCH(D827,Products!$A$2:$A$101,0))</f>
        <v>699</v>
      </c>
      <c r="I827" s="16" t="n">
        <f aca="false">INDEX(Products!$E$2:$E$101,MATCH(D827,Products!$A$2:$A$101,0))</f>
        <v>350</v>
      </c>
      <c r="J827" s="20" t="n">
        <f aca="false">Orders!F827</f>
        <v>0</v>
      </c>
      <c r="K827" s="6" t="n">
        <f aca="false">G827*H827</f>
        <v>699</v>
      </c>
      <c r="L827" s="6" t="n">
        <f aca="false">K827*J827</f>
        <v>0</v>
      </c>
      <c r="M827" s="6" t="n">
        <f aca="false">K827-L827</f>
        <v>699</v>
      </c>
      <c r="N827" s="6" t="n">
        <f aca="false">G827*I827</f>
        <v>350</v>
      </c>
      <c r="O827" s="6" t="n">
        <f aca="false">M827-N827</f>
        <v>349</v>
      </c>
      <c r="P827" s="21" t="n">
        <f aca="false">IFERROR(O827/M827,0)</f>
        <v>0.49928469241774</v>
      </c>
      <c r="Q827" s="6" t="str">
        <f aca="false">Orders!H827</f>
        <v>Returned</v>
      </c>
      <c r="R827" s="1" t="str">
        <f aca="false">INDEX(Customers!$C$2:$C$301,MATCH(C827,Customers!$A$2:$A$301,0))</f>
        <v>Delhi</v>
      </c>
      <c r="S827" s="1" t="str">
        <f aca="false">INDEX(Customers!$E$2:$E$301,MATCH(C827,Customers!$A$2:$A$301,0))</f>
        <v>Returning</v>
      </c>
      <c r="T827" s="6" t="str">
        <f aca="false">Orders!I827</f>
        <v>Website</v>
      </c>
      <c r="U827" s="1" t="str">
        <f aca="false">IF(Q827="Delivered","Completed",IF(Q827="Cancelled","Cancelled",IF(Q827="Returned","Returned","In Progress")))</f>
        <v>Returned</v>
      </c>
      <c r="V827" s="1" t="str">
        <f aca="false">IF(M827&gt;=10000,"High Value",IF(M827&gt;=5000,"Medium Value","Low Value"))</f>
        <v>Low Value</v>
      </c>
      <c r="W827" s="1" t="str">
        <f aca="false">IF(O827&gt;0,"Profitable",IF(O827=0,"Break-even","Loss"))</f>
        <v>Profitable</v>
      </c>
      <c r="X827" s="1" t="str">
        <f aca="false">IF(Q827="Cancelled","Not Applicable",IF(Q827="Processing","Pending",IF(B827="","Unknown",IF(Orders!J827="","Unknown",IF(Orders!J827&lt;=3,"Fast",IF(Orders!J827&lt;=6,"Standard","Slow"))))))</f>
        <v>Slow</v>
      </c>
      <c r="Y827" s="1" t="n">
        <f aca="false">IF(OR(Q827="Cancelled",Q827="Returned"),0,O827)</f>
        <v>0</v>
      </c>
    </row>
    <row r="828" customFormat="false" ht="23.85" hidden="false" customHeight="false" outlineLevel="0" collapsed="false">
      <c r="A828" s="6" t="str">
        <f aca="false">Orders!A828</f>
        <v>O000827</v>
      </c>
      <c r="B828" s="19" t="n">
        <f aca="false">Orders!B828</f>
        <v>46019</v>
      </c>
      <c r="C828" s="6" t="str">
        <f aca="false">Orders!C828</f>
        <v>C0275</v>
      </c>
      <c r="D828" s="6" t="str">
        <f aca="false">Orders!D828</f>
        <v>P1047</v>
      </c>
      <c r="E828" s="6" t="str">
        <f aca="false">INDEX(Products!$B$2:$B$101,MATCH(D828,Products!$A$2:$A$101,0))</f>
        <v>Sunscreen Lotion</v>
      </c>
      <c r="F828" s="1" t="str">
        <f aca="false">INDEX(Products!$C$2:$C$101,MATCH(D828,Products!$A$2:$A$101,0))</f>
        <v>Beauty</v>
      </c>
      <c r="G828" s="6" t="n">
        <f aca="false">Orders!E828</f>
        <v>1</v>
      </c>
      <c r="H828" s="16" t="n">
        <f aca="false">INDEX(Products!$D$2:$D$101,MATCH(D828,Products!$A$2:$A$101,0))</f>
        <v>399</v>
      </c>
      <c r="I828" s="16" t="n">
        <f aca="false">INDEX(Products!$E$2:$E$101,MATCH(D828,Products!$A$2:$A$101,0))</f>
        <v>170</v>
      </c>
      <c r="J828" s="20" t="n">
        <f aca="false">Orders!F828</f>
        <v>0.2</v>
      </c>
      <c r="K828" s="6" t="n">
        <f aca="false">G828*H828</f>
        <v>399</v>
      </c>
      <c r="L828" s="6" t="n">
        <f aca="false">K828*J828</f>
        <v>79.8</v>
      </c>
      <c r="M828" s="6" t="n">
        <f aca="false">K828-L828</f>
        <v>319.2</v>
      </c>
      <c r="N828" s="6" t="n">
        <f aca="false">G828*I828</f>
        <v>170</v>
      </c>
      <c r="O828" s="6" t="n">
        <f aca="false">M828-N828</f>
        <v>149.2</v>
      </c>
      <c r="P828" s="21" t="n">
        <f aca="false">IFERROR(O828/M828,0)</f>
        <v>0.467418546365915</v>
      </c>
      <c r="Q828" s="6" t="str">
        <f aca="false">Orders!H828</f>
        <v>Delivered</v>
      </c>
      <c r="R828" s="1" t="str">
        <f aca="false">INDEX(Customers!$C$2:$C$301,MATCH(C828,Customers!$A$2:$A$301,0))</f>
        <v>Bhopal</v>
      </c>
      <c r="S828" s="1" t="str">
        <f aca="false">INDEX(Customers!$E$2:$E$301,MATCH(C828,Customers!$A$2:$A$301,0))</f>
        <v>VIP</v>
      </c>
      <c r="T828" s="6" t="str">
        <f aca="false">Orders!I828</f>
        <v>Mobile App</v>
      </c>
      <c r="U828" s="1" t="str">
        <f aca="false">IF(Q828="Delivered","Completed",IF(Q828="Cancelled","Cancelled",IF(Q828="Returned","Returned","In Progress")))</f>
        <v>Completed</v>
      </c>
      <c r="V828" s="1" t="str">
        <f aca="false">IF(M828&gt;=10000,"High Value",IF(M828&gt;=5000,"Medium Value","Low Value"))</f>
        <v>Low Value</v>
      </c>
      <c r="W828" s="1" t="str">
        <f aca="false">IF(O828&gt;0,"Profitable",IF(O828=0,"Break-even","Loss"))</f>
        <v>Profitable</v>
      </c>
      <c r="X828" s="1" t="str">
        <f aca="false">IF(Q828="Cancelled","Not Applicable",IF(Q828="Processing","Pending",IF(B828="","Unknown",IF(Orders!J828="","Unknown",IF(Orders!J828&lt;=3,"Fast",IF(Orders!J828&lt;=6,"Standard","Slow"))))))</f>
        <v>Standard</v>
      </c>
      <c r="Y828" s="1" t="n">
        <f aca="false">IF(OR(Q828="Cancelled",Q828="Returned"),0,O828)</f>
        <v>149.2</v>
      </c>
    </row>
    <row r="829" customFormat="false" ht="15" hidden="false" customHeight="false" outlineLevel="0" collapsed="false">
      <c r="A829" s="6" t="str">
        <f aca="false">Orders!A829</f>
        <v>O000828</v>
      </c>
      <c r="B829" s="19" t="n">
        <f aca="false">Orders!B829</f>
        <v>45962</v>
      </c>
      <c r="C829" s="6" t="str">
        <f aca="false">Orders!C829</f>
        <v>C0007</v>
      </c>
      <c r="D829" s="6" t="str">
        <f aca="false">Orders!D829</f>
        <v>P1015</v>
      </c>
      <c r="E829" s="6" t="str">
        <f aca="false">INDEX(Products!$B$2:$B$101,MATCH(D829,Products!$A$2:$A$101,0))</f>
        <v>Portable SSD</v>
      </c>
      <c r="F829" s="1" t="str">
        <f aca="false">INDEX(Products!$C$2:$C$101,MATCH(D829,Products!$A$2:$A$101,0))</f>
        <v>Electronics</v>
      </c>
      <c r="G829" s="6" t="n">
        <f aca="false">Orders!E829</f>
        <v>4</v>
      </c>
      <c r="H829" s="16" t="n">
        <f aca="false">INDEX(Products!$D$2:$D$101,MATCH(D829,Products!$A$2:$A$101,0))</f>
        <v>3999</v>
      </c>
      <c r="I829" s="16" t="n">
        <f aca="false">INDEX(Products!$E$2:$E$101,MATCH(D829,Products!$A$2:$A$101,0))</f>
        <v>2800</v>
      </c>
      <c r="J829" s="20" t="n">
        <f aca="false">Orders!F829</f>
        <v>0.05</v>
      </c>
      <c r="K829" s="6" t="n">
        <f aca="false">G829*H829</f>
        <v>15996</v>
      </c>
      <c r="L829" s="6" t="n">
        <f aca="false">K829*J829</f>
        <v>799.8</v>
      </c>
      <c r="M829" s="6" t="n">
        <f aca="false">K829-L829</f>
        <v>15196.2</v>
      </c>
      <c r="N829" s="6" t="n">
        <f aca="false">G829*I829</f>
        <v>11200</v>
      </c>
      <c r="O829" s="6" t="n">
        <f aca="false">M829-N829</f>
        <v>3996.2</v>
      </c>
      <c r="P829" s="21" t="n">
        <f aca="false">IFERROR(O829/M829,0)</f>
        <v>0.262973638146379</v>
      </c>
      <c r="Q829" s="6" t="str">
        <f aca="false">Orders!H829</f>
        <v>Delivered</v>
      </c>
      <c r="R829" s="1" t="str">
        <f aca="false">INDEX(Customers!$C$2:$C$301,MATCH(C829,Customers!$A$2:$A$301,0))</f>
        <v>Pune</v>
      </c>
      <c r="S829" s="1" t="str">
        <f aca="false">INDEX(Customers!$E$2:$E$301,MATCH(C829,Customers!$A$2:$A$301,0))</f>
        <v>Returning</v>
      </c>
      <c r="T829" s="6" t="str">
        <f aca="false">Orders!I829</f>
        <v>Marketplace</v>
      </c>
      <c r="U829" s="1" t="str">
        <f aca="false">IF(Q829="Delivered","Completed",IF(Q829="Cancelled","Cancelled",IF(Q829="Returned","Returned","In Progress")))</f>
        <v>Completed</v>
      </c>
      <c r="V829" s="1" t="str">
        <f aca="false">IF(M829&gt;=10000,"High Value",IF(M829&gt;=5000,"Medium Value","Low Value"))</f>
        <v>High Value</v>
      </c>
      <c r="W829" s="1" t="str">
        <f aca="false">IF(O829&gt;0,"Profitable",IF(O829=0,"Break-even","Loss"))</f>
        <v>Profitable</v>
      </c>
      <c r="X829" s="1" t="str">
        <f aca="false">IF(Q829="Cancelled","Not Applicable",IF(Q829="Processing","Pending",IF(B829="","Unknown",IF(Orders!J829="","Unknown",IF(Orders!J829&lt;=3,"Fast",IF(Orders!J829&lt;=6,"Standard","Slow"))))))</f>
        <v>Slow</v>
      </c>
      <c r="Y829" s="1" t="n">
        <f aca="false">IF(OR(Q829="Cancelled",Q829="Returned"),0,O829)</f>
        <v>3996.2</v>
      </c>
    </row>
    <row r="830" customFormat="false" ht="15" hidden="false" customHeight="false" outlineLevel="0" collapsed="false">
      <c r="A830" s="6" t="str">
        <f aca="false">Orders!A830</f>
        <v>O000829</v>
      </c>
      <c r="B830" s="19" t="n">
        <f aca="false">Orders!B830</f>
        <v>45699</v>
      </c>
      <c r="C830" s="6" t="str">
        <f aca="false">Orders!C830</f>
        <v>C0068</v>
      </c>
      <c r="D830" s="6" t="str">
        <f aca="false">Orders!D830</f>
        <v>P1083</v>
      </c>
      <c r="E830" s="6" t="str">
        <f aca="false">INDEX(Products!$B$2:$B$101,MATCH(D830,Products!$A$2:$A$101,0))</f>
        <v>Reading Light</v>
      </c>
      <c r="F830" s="1" t="str">
        <f aca="false">INDEX(Products!$C$2:$C$101,MATCH(D830,Products!$A$2:$A$101,0))</f>
        <v>Books &amp; Stationery</v>
      </c>
      <c r="G830" s="6" t="n">
        <f aca="false">Orders!E830</f>
        <v>1</v>
      </c>
      <c r="H830" s="16" t="n">
        <f aca="false">INDEX(Products!$D$2:$D$101,MATCH(D830,Products!$A$2:$A$101,0))</f>
        <v>399</v>
      </c>
      <c r="I830" s="16" t="n">
        <f aca="false">INDEX(Products!$E$2:$E$101,MATCH(D830,Products!$A$2:$A$101,0))</f>
        <v>180</v>
      </c>
      <c r="J830" s="20" t="n">
        <f aca="false">Orders!F830</f>
        <v>0.1</v>
      </c>
      <c r="K830" s="6" t="n">
        <f aca="false">G830*H830</f>
        <v>399</v>
      </c>
      <c r="L830" s="6" t="n">
        <f aca="false">K830*J830</f>
        <v>39.9</v>
      </c>
      <c r="M830" s="6" t="n">
        <f aca="false">K830-L830</f>
        <v>359.1</v>
      </c>
      <c r="N830" s="6" t="n">
        <f aca="false">G830*I830</f>
        <v>180</v>
      </c>
      <c r="O830" s="6" t="n">
        <f aca="false">M830-N830</f>
        <v>179.1</v>
      </c>
      <c r="P830" s="21" t="n">
        <f aca="false">IFERROR(O830/M830,0)</f>
        <v>0.49874686716792</v>
      </c>
      <c r="Q830" s="6" t="str">
        <f aca="false">Orders!H830</f>
        <v>Processing</v>
      </c>
      <c r="R830" s="1" t="str">
        <f aca="false">INDEX(Customers!$C$2:$C$301,MATCH(C830,Customers!$A$2:$A$301,0))</f>
        <v>Jaipur</v>
      </c>
      <c r="S830" s="1" t="str">
        <f aca="false">INDEX(Customers!$E$2:$E$301,MATCH(C830,Customers!$A$2:$A$301,0))</f>
        <v>Returning</v>
      </c>
      <c r="T830" s="6" t="str">
        <f aca="false">Orders!I830</f>
        <v>Mobile App</v>
      </c>
      <c r="U830" s="1" t="str">
        <f aca="false">IF(Q830="Delivered","Completed",IF(Q830="Cancelled","Cancelled",IF(Q830="Returned","Returned","In Progress")))</f>
        <v>In Progress</v>
      </c>
      <c r="V830" s="1" t="str">
        <f aca="false">IF(M830&gt;=10000,"High Value",IF(M830&gt;=5000,"Medium Value","Low Value"))</f>
        <v>Low Value</v>
      </c>
      <c r="W830" s="1" t="str">
        <f aca="false">IF(O830&gt;0,"Profitable",IF(O830=0,"Break-even","Loss"))</f>
        <v>Profitable</v>
      </c>
      <c r="X830" s="1" t="str">
        <f aca="false">IF(Q830="Cancelled","Not Applicable",IF(Q830="Processing","Pending",IF(B830="","Unknown",IF(Orders!J830="","Unknown",IF(Orders!J830&lt;=3,"Fast",IF(Orders!J830&lt;=6,"Standard","Slow"))))))</f>
        <v>Pending</v>
      </c>
      <c r="Y830" s="1" t="n">
        <f aca="false">IF(OR(Q830="Cancelled",Q830="Returned"),0,O830)</f>
        <v>179.1</v>
      </c>
    </row>
    <row r="831" customFormat="false" ht="15" hidden="false" customHeight="false" outlineLevel="0" collapsed="false">
      <c r="A831" s="6" t="str">
        <f aca="false">Orders!A831</f>
        <v>O000830</v>
      </c>
      <c r="B831" s="19" t="n">
        <f aca="false">Orders!B831</f>
        <v>45711</v>
      </c>
      <c r="C831" s="6" t="str">
        <f aca="false">Orders!C831</f>
        <v>C0266</v>
      </c>
      <c r="D831" s="6" t="str">
        <f aca="false">Orders!D831</f>
        <v>P1019</v>
      </c>
      <c r="E831" s="6" t="str">
        <f aca="false">INDEX(Products!$B$2:$B$101,MATCH(D831,Products!$A$2:$A$101,0))</f>
        <v>Running Shoes</v>
      </c>
      <c r="F831" s="1" t="str">
        <f aca="false">INDEX(Products!$C$2:$C$101,MATCH(D831,Products!$A$2:$A$101,0))</f>
        <v>Fashion</v>
      </c>
      <c r="G831" s="6" t="n">
        <f aca="false">Orders!E831</f>
        <v>1</v>
      </c>
      <c r="H831" s="16" t="n">
        <f aca="false">INDEX(Products!$D$2:$D$101,MATCH(D831,Products!$A$2:$A$101,0))</f>
        <v>1999</v>
      </c>
      <c r="I831" s="16" t="n">
        <f aca="false">INDEX(Products!$E$2:$E$101,MATCH(D831,Products!$A$2:$A$101,0))</f>
        <v>1100</v>
      </c>
      <c r="J831" s="20" t="n">
        <f aca="false">Orders!F831</f>
        <v>0.2</v>
      </c>
      <c r="K831" s="6" t="n">
        <f aca="false">G831*H831</f>
        <v>1999</v>
      </c>
      <c r="L831" s="6" t="n">
        <f aca="false">K831*J831</f>
        <v>399.8</v>
      </c>
      <c r="M831" s="6" t="n">
        <f aca="false">K831-L831</f>
        <v>1599.2</v>
      </c>
      <c r="N831" s="6" t="n">
        <f aca="false">G831*I831</f>
        <v>1100</v>
      </c>
      <c r="O831" s="6" t="n">
        <f aca="false">M831-N831</f>
        <v>499.2</v>
      </c>
      <c r="P831" s="21" t="n">
        <f aca="false">IFERROR(O831/M831,0)</f>
        <v>0.31215607803902</v>
      </c>
      <c r="Q831" s="6" t="str">
        <f aca="false">Orders!H831</f>
        <v>Shipped</v>
      </c>
      <c r="R831" s="1" t="str">
        <f aca="false">INDEX(Customers!$C$2:$C$301,MATCH(C831,Customers!$A$2:$A$301,0))</f>
        <v>Kolkata</v>
      </c>
      <c r="S831" s="1" t="str">
        <f aca="false">INDEX(Customers!$E$2:$E$301,MATCH(C831,Customers!$A$2:$A$301,0))</f>
        <v>Returning</v>
      </c>
      <c r="T831" s="6" t="str">
        <f aca="false">Orders!I831</f>
        <v>Website</v>
      </c>
      <c r="U831" s="1" t="str">
        <f aca="false">IF(Q831="Delivered","Completed",IF(Q831="Cancelled","Cancelled",IF(Q831="Returned","Returned","In Progress")))</f>
        <v>In Progress</v>
      </c>
      <c r="V831" s="1" t="str">
        <f aca="false">IF(M831&gt;=10000,"High Value",IF(M831&gt;=5000,"Medium Value","Low Value"))</f>
        <v>Low Value</v>
      </c>
      <c r="W831" s="1" t="str">
        <f aca="false">IF(O831&gt;0,"Profitable",IF(O831=0,"Break-even","Loss"))</f>
        <v>Profitable</v>
      </c>
      <c r="X831" s="1" t="str">
        <f aca="false">IF(Q831="Cancelled","Not Applicable",IF(Q831="Processing","Pending",IF(B831="","Unknown",IF(Orders!J831="","Unknown",IF(Orders!J831&lt;=3,"Fast",IF(Orders!J831&lt;=6,"Standard","Slow"))))))</f>
        <v>Standard</v>
      </c>
      <c r="Y831" s="1" t="n">
        <f aca="false">IF(OR(Q831="Cancelled",Q831="Returned"),0,O831)</f>
        <v>499.2</v>
      </c>
    </row>
    <row r="832" customFormat="false" ht="15" hidden="false" customHeight="false" outlineLevel="0" collapsed="false">
      <c r="A832" s="6" t="str">
        <f aca="false">Orders!A832</f>
        <v>O000831</v>
      </c>
      <c r="B832" s="19" t="n">
        <f aca="false">Orders!B832</f>
        <v>46004</v>
      </c>
      <c r="C832" s="6" t="str">
        <f aca="false">Orders!C832</f>
        <v>C0175</v>
      </c>
      <c r="D832" s="6" t="str">
        <f aca="false">Orders!D832</f>
        <v>P1080</v>
      </c>
      <c r="E832" s="6" t="str">
        <f aca="false">INDEX(Products!$B$2:$B$101,MATCH(D832,Products!$A$2:$A$101,0))</f>
        <v>Calculator</v>
      </c>
      <c r="F832" s="1" t="str">
        <f aca="false">INDEX(Products!$C$2:$C$101,MATCH(D832,Products!$A$2:$A$101,0))</f>
        <v>Books &amp; Stationery</v>
      </c>
      <c r="G832" s="6" t="n">
        <f aca="false">Orders!E832</f>
        <v>1</v>
      </c>
      <c r="H832" s="16" t="n">
        <f aca="false">INDEX(Products!$D$2:$D$101,MATCH(D832,Products!$A$2:$A$101,0))</f>
        <v>599</v>
      </c>
      <c r="I832" s="16" t="n">
        <f aca="false">INDEX(Products!$E$2:$E$101,MATCH(D832,Products!$A$2:$A$101,0))</f>
        <v>300</v>
      </c>
      <c r="J832" s="20" t="n">
        <f aca="false">Orders!F832</f>
        <v>0.1</v>
      </c>
      <c r="K832" s="6" t="n">
        <f aca="false">G832*H832</f>
        <v>599</v>
      </c>
      <c r="L832" s="6" t="n">
        <f aca="false">K832*J832</f>
        <v>59.9</v>
      </c>
      <c r="M832" s="6" t="n">
        <f aca="false">K832-L832</f>
        <v>539.1</v>
      </c>
      <c r="N832" s="6" t="n">
        <f aca="false">G832*I832</f>
        <v>300</v>
      </c>
      <c r="O832" s="6" t="n">
        <f aca="false">M832-N832</f>
        <v>239.1</v>
      </c>
      <c r="P832" s="21" t="n">
        <f aca="false">IFERROR(O832/M832,0)</f>
        <v>0.443516972732332</v>
      </c>
      <c r="Q832" s="6" t="str">
        <f aca="false">Orders!H832</f>
        <v>Delivered</v>
      </c>
      <c r="R832" s="1" t="str">
        <f aca="false">INDEX(Customers!$C$2:$C$301,MATCH(C832,Customers!$A$2:$A$301,0))</f>
        <v>Bhopal</v>
      </c>
      <c r="S832" s="1" t="str">
        <f aca="false">INDEX(Customers!$E$2:$E$301,MATCH(C832,Customers!$A$2:$A$301,0))</f>
        <v>Returning</v>
      </c>
      <c r="T832" s="6" t="str">
        <f aca="false">Orders!I832</f>
        <v>Marketplace</v>
      </c>
      <c r="U832" s="1" t="str">
        <f aca="false">IF(Q832="Delivered","Completed",IF(Q832="Cancelled","Cancelled",IF(Q832="Returned","Returned","In Progress")))</f>
        <v>Completed</v>
      </c>
      <c r="V832" s="1" t="str">
        <f aca="false">IF(M832&gt;=10000,"High Value",IF(M832&gt;=5000,"Medium Value","Low Value"))</f>
        <v>Low Value</v>
      </c>
      <c r="W832" s="1" t="str">
        <f aca="false">IF(O832&gt;0,"Profitable",IF(O832=0,"Break-even","Loss"))</f>
        <v>Profitable</v>
      </c>
      <c r="X832" s="1" t="str">
        <f aca="false">IF(Q832="Cancelled","Not Applicable",IF(Q832="Processing","Pending",IF(B832="","Unknown",IF(Orders!J832="","Unknown",IF(Orders!J832&lt;=3,"Fast",IF(Orders!J832&lt;=6,"Standard","Slow"))))))</f>
        <v>Fast</v>
      </c>
      <c r="Y832" s="1" t="n">
        <f aca="false">IF(OR(Q832="Cancelled",Q832="Returned"),0,O832)</f>
        <v>239.1</v>
      </c>
    </row>
    <row r="833" customFormat="false" ht="15" hidden="false" customHeight="false" outlineLevel="0" collapsed="false">
      <c r="A833" s="6" t="str">
        <f aca="false">Orders!A833</f>
        <v>O000832</v>
      </c>
      <c r="B833" s="19" t="n">
        <f aca="false">Orders!B833</f>
        <v>45751</v>
      </c>
      <c r="C833" s="6" t="str">
        <f aca="false">Orders!C833</f>
        <v>C0024</v>
      </c>
      <c r="D833" s="6" t="str">
        <f aca="false">Orders!D833</f>
        <v>P1066</v>
      </c>
      <c r="E833" s="6" t="str">
        <f aca="false">INDEX(Products!$B$2:$B$101,MATCH(D833,Products!$A$2:$A$101,0))</f>
        <v>Gym Gloves</v>
      </c>
      <c r="F833" s="1" t="str">
        <f aca="false">INDEX(Products!$C$2:$C$101,MATCH(D833,Products!$A$2:$A$101,0))</f>
        <v>Sports &amp; Outdoors</v>
      </c>
      <c r="G833" s="6" t="n">
        <f aca="false">Orders!E833</f>
        <v>5</v>
      </c>
      <c r="H833" s="16" t="n">
        <f aca="false">INDEX(Products!$D$2:$D$101,MATCH(D833,Products!$A$2:$A$101,0))</f>
        <v>499</v>
      </c>
      <c r="I833" s="16" t="n">
        <f aca="false">INDEX(Products!$E$2:$E$101,MATCH(D833,Products!$A$2:$A$101,0))</f>
        <v>200</v>
      </c>
      <c r="J833" s="20" t="n">
        <f aca="false">Orders!F833</f>
        <v>0.1</v>
      </c>
      <c r="K833" s="6" t="n">
        <f aca="false">G833*H833</f>
        <v>2495</v>
      </c>
      <c r="L833" s="6" t="n">
        <f aca="false">K833*J833</f>
        <v>249.5</v>
      </c>
      <c r="M833" s="6" t="n">
        <f aca="false">K833-L833</f>
        <v>2245.5</v>
      </c>
      <c r="N833" s="6" t="n">
        <f aca="false">G833*I833</f>
        <v>1000</v>
      </c>
      <c r="O833" s="6" t="n">
        <f aca="false">M833-N833</f>
        <v>1245.5</v>
      </c>
      <c r="P833" s="21" t="n">
        <f aca="false">IFERROR(O833/M833,0)</f>
        <v>0.554664885326208</v>
      </c>
      <c r="Q833" s="6" t="str">
        <f aca="false">Orders!H833</f>
        <v>Delivered</v>
      </c>
      <c r="R833" s="1" t="str">
        <f aca="false">INDEX(Customers!$C$2:$C$301,MATCH(C833,Customers!$A$2:$A$301,0))</f>
        <v>Hyderabad</v>
      </c>
      <c r="S833" s="1" t="str">
        <f aca="false">INDEX(Customers!$E$2:$E$301,MATCH(C833,Customers!$A$2:$A$301,0))</f>
        <v>Returning</v>
      </c>
      <c r="T833" s="6" t="str">
        <f aca="false">Orders!I833</f>
        <v>Website</v>
      </c>
      <c r="U833" s="1" t="str">
        <f aca="false">IF(Q833="Delivered","Completed",IF(Q833="Cancelled","Cancelled",IF(Q833="Returned","Returned","In Progress")))</f>
        <v>Completed</v>
      </c>
      <c r="V833" s="1" t="str">
        <f aca="false">IF(M833&gt;=10000,"High Value",IF(M833&gt;=5000,"Medium Value","Low Value"))</f>
        <v>Low Value</v>
      </c>
      <c r="W833" s="1" t="str">
        <f aca="false">IF(O833&gt;0,"Profitable",IF(O833=0,"Break-even","Loss"))</f>
        <v>Profitable</v>
      </c>
      <c r="X833" s="1" t="str">
        <f aca="false">IF(Q833="Cancelled","Not Applicable",IF(Q833="Processing","Pending",IF(B833="","Unknown",IF(Orders!J833="","Unknown",IF(Orders!J833&lt;=3,"Fast",IF(Orders!J833&lt;=6,"Standard","Slow"))))))</f>
        <v>Fast</v>
      </c>
      <c r="Y833" s="1" t="n">
        <f aca="false">IF(OR(Q833="Cancelled",Q833="Returned"),0,O833)</f>
        <v>1245.5</v>
      </c>
    </row>
    <row r="834" customFormat="false" ht="15" hidden="false" customHeight="false" outlineLevel="0" collapsed="false">
      <c r="A834" s="6" t="str">
        <f aca="false">Orders!A834</f>
        <v>O000833</v>
      </c>
      <c r="B834" s="19" t="n">
        <f aca="false">Orders!B834</f>
        <v>45980</v>
      </c>
      <c r="C834" s="6" t="str">
        <f aca="false">Orders!C834</f>
        <v>C0248</v>
      </c>
      <c r="D834" s="6" t="str">
        <f aca="false">Orders!D834</f>
        <v>P1017</v>
      </c>
      <c r="E834" s="6" t="str">
        <f aca="false">INDEX(Products!$B$2:$B$101,MATCH(D834,Products!$A$2:$A$101,0))</f>
        <v>Denim Jeans</v>
      </c>
      <c r="F834" s="1" t="str">
        <f aca="false">INDEX(Products!$C$2:$C$101,MATCH(D834,Products!$A$2:$A$101,0))</f>
        <v>Fashion</v>
      </c>
      <c r="G834" s="6" t="n">
        <f aca="false">Orders!E834</f>
        <v>1</v>
      </c>
      <c r="H834" s="16" t="n">
        <f aca="false">INDEX(Products!$D$2:$D$101,MATCH(D834,Products!$A$2:$A$101,0))</f>
        <v>1299</v>
      </c>
      <c r="I834" s="16" t="n">
        <f aca="false">INDEX(Products!$E$2:$E$101,MATCH(D834,Products!$A$2:$A$101,0))</f>
        <v>650</v>
      </c>
      <c r="J834" s="20" t="n">
        <f aca="false">Orders!F834</f>
        <v>0.05</v>
      </c>
      <c r="K834" s="6" t="n">
        <f aca="false">G834*H834</f>
        <v>1299</v>
      </c>
      <c r="L834" s="6" t="n">
        <f aca="false">K834*J834</f>
        <v>64.95</v>
      </c>
      <c r="M834" s="6" t="n">
        <f aca="false">K834-L834</f>
        <v>1234.05</v>
      </c>
      <c r="N834" s="6" t="n">
        <f aca="false">G834*I834</f>
        <v>650</v>
      </c>
      <c r="O834" s="6" t="n">
        <f aca="false">M834-N834</f>
        <v>584.05</v>
      </c>
      <c r="P834" s="21" t="n">
        <f aca="false">IFERROR(O834/M834,0)</f>
        <v>0.473279040557514</v>
      </c>
      <c r="Q834" s="6" t="str">
        <f aca="false">Orders!H834</f>
        <v>Delivered</v>
      </c>
      <c r="R834" s="1" t="str">
        <f aca="false">INDEX(Customers!$C$2:$C$301,MATCH(C834,Customers!$A$2:$A$301,0))</f>
        <v>Jaipur</v>
      </c>
      <c r="S834" s="1" t="str">
        <f aca="false">INDEX(Customers!$E$2:$E$301,MATCH(C834,Customers!$A$2:$A$301,0))</f>
        <v>Returning</v>
      </c>
      <c r="T834" s="6" t="str">
        <f aca="false">Orders!I834</f>
        <v>Marketplace</v>
      </c>
      <c r="U834" s="1" t="str">
        <f aca="false">IF(Q834="Delivered","Completed",IF(Q834="Cancelled","Cancelled",IF(Q834="Returned","Returned","In Progress")))</f>
        <v>Completed</v>
      </c>
      <c r="V834" s="1" t="str">
        <f aca="false">IF(M834&gt;=10000,"High Value",IF(M834&gt;=5000,"Medium Value","Low Value"))</f>
        <v>Low Value</v>
      </c>
      <c r="W834" s="1" t="str">
        <f aca="false">IF(O834&gt;0,"Profitable",IF(O834=0,"Break-even","Loss"))</f>
        <v>Profitable</v>
      </c>
      <c r="X834" s="1" t="str">
        <f aca="false">IF(Q834="Cancelled","Not Applicable",IF(Q834="Processing","Pending",IF(B834="","Unknown",IF(Orders!J834="","Unknown",IF(Orders!J834&lt;=3,"Fast",IF(Orders!J834&lt;=6,"Standard","Slow"))))))</f>
        <v>Standard</v>
      </c>
      <c r="Y834" s="1" t="n">
        <f aca="false">IF(OR(Q834="Cancelled",Q834="Returned"),0,O834)</f>
        <v>584.05</v>
      </c>
    </row>
    <row r="835" customFormat="false" ht="15" hidden="false" customHeight="false" outlineLevel="0" collapsed="false">
      <c r="A835" s="6" t="str">
        <f aca="false">Orders!A835</f>
        <v>O000834</v>
      </c>
      <c r="B835" s="19" t="n">
        <f aca="false">Orders!B835</f>
        <v>45949</v>
      </c>
      <c r="C835" s="6" t="str">
        <f aca="false">Orders!C835</f>
        <v>C0195</v>
      </c>
      <c r="D835" s="6" t="str">
        <f aca="false">Orders!D835</f>
        <v>P1003</v>
      </c>
      <c r="E835" s="6" t="str">
        <f aca="false">INDEX(Products!$B$2:$B$101,MATCH(D835,Products!$A$2:$A$101,0))</f>
        <v>Smart Watch</v>
      </c>
      <c r="F835" s="1" t="str">
        <f aca="false">INDEX(Products!$C$2:$C$101,MATCH(D835,Products!$A$2:$A$101,0))</f>
        <v>Electronics</v>
      </c>
      <c r="G835" s="6" t="n">
        <f aca="false">Orders!E835</f>
        <v>1</v>
      </c>
      <c r="H835" s="16" t="n">
        <f aca="false">INDEX(Products!$D$2:$D$101,MATCH(D835,Products!$A$2:$A$101,0))</f>
        <v>2499</v>
      </c>
      <c r="I835" s="16" t="n">
        <f aca="false">INDEX(Products!$E$2:$E$101,MATCH(D835,Products!$A$2:$A$101,0))</f>
        <v>1450</v>
      </c>
      <c r="J835" s="20" t="n">
        <f aca="false">Orders!F835</f>
        <v>0.25</v>
      </c>
      <c r="K835" s="6" t="n">
        <f aca="false">G835*H835</f>
        <v>2499</v>
      </c>
      <c r="L835" s="6" t="n">
        <f aca="false">K835*J835</f>
        <v>624.75</v>
      </c>
      <c r="M835" s="6" t="n">
        <f aca="false">K835-L835</f>
        <v>1874.25</v>
      </c>
      <c r="N835" s="6" t="n">
        <f aca="false">G835*I835</f>
        <v>1450</v>
      </c>
      <c r="O835" s="6" t="n">
        <f aca="false">M835-N835</f>
        <v>424.25</v>
      </c>
      <c r="P835" s="21" t="n">
        <f aca="false">IFERROR(O835/M835,0)</f>
        <v>0.226357209550487</v>
      </c>
      <c r="Q835" s="6" t="str">
        <f aca="false">Orders!H835</f>
        <v>Delivered</v>
      </c>
      <c r="R835" s="1" t="str">
        <f aca="false">INDEX(Customers!$C$2:$C$301,MATCH(C835,Customers!$A$2:$A$301,0))</f>
        <v>Bhopal</v>
      </c>
      <c r="S835" s="1" t="str">
        <f aca="false">INDEX(Customers!$E$2:$E$301,MATCH(C835,Customers!$A$2:$A$301,0))</f>
        <v>Returning</v>
      </c>
      <c r="T835" s="6" t="str">
        <f aca="false">Orders!I835</f>
        <v>Mobile App</v>
      </c>
      <c r="U835" s="1" t="str">
        <f aca="false">IF(Q835="Delivered","Completed",IF(Q835="Cancelled","Cancelled",IF(Q835="Returned","Returned","In Progress")))</f>
        <v>Completed</v>
      </c>
      <c r="V835" s="1" t="str">
        <f aca="false">IF(M835&gt;=10000,"High Value",IF(M835&gt;=5000,"Medium Value","Low Value"))</f>
        <v>Low Value</v>
      </c>
      <c r="W835" s="1" t="str">
        <f aca="false">IF(O835&gt;0,"Profitable",IF(O835=0,"Break-even","Loss"))</f>
        <v>Profitable</v>
      </c>
      <c r="X835" s="1" t="str">
        <f aca="false">IF(Q835="Cancelled","Not Applicable",IF(Q835="Processing","Pending",IF(B835="","Unknown",IF(Orders!J835="","Unknown",IF(Orders!J835&lt;=3,"Fast",IF(Orders!J835&lt;=6,"Standard","Slow"))))))</f>
        <v>Fast</v>
      </c>
      <c r="Y835" s="1" t="n">
        <f aca="false">IF(OR(Q835="Cancelled",Q835="Returned"),0,O835)</f>
        <v>424.25</v>
      </c>
    </row>
    <row r="836" customFormat="false" ht="15" hidden="false" customHeight="false" outlineLevel="0" collapsed="false">
      <c r="A836" s="6" t="str">
        <f aca="false">Orders!A836</f>
        <v>O000835</v>
      </c>
      <c r="B836" s="19" t="n">
        <f aca="false">Orders!B836</f>
        <v>45932</v>
      </c>
      <c r="C836" s="6" t="str">
        <f aca="false">Orders!C836</f>
        <v>C0138</v>
      </c>
      <c r="D836" s="6" t="str">
        <f aca="false">Orders!D836</f>
        <v>P1042</v>
      </c>
      <c r="E836" s="6" t="str">
        <f aca="false">INDEX(Products!$B$2:$B$101,MATCH(D836,Products!$A$2:$A$101,0))</f>
        <v>Bath Towel Set</v>
      </c>
      <c r="F836" s="1" t="str">
        <f aca="false">INDEX(Products!$C$2:$C$101,MATCH(D836,Products!$A$2:$A$101,0))</f>
        <v>Home &amp; Kitchen</v>
      </c>
      <c r="G836" s="6" t="n">
        <f aca="false">Orders!E836</f>
        <v>2</v>
      </c>
      <c r="H836" s="16" t="n">
        <f aca="false">INDEX(Products!$D$2:$D$101,MATCH(D836,Products!$A$2:$A$101,0))</f>
        <v>799</v>
      </c>
      <c r="I836" s="16" t="n">
        <f aca="false">INDEX(Products!$E$2:$E$101,MATCH(D836,Products!$A$2:$A$101,0))</f>
        <v>360</v>
      </c>
      <c r="J836" s="20" t="n">
        <f aca="false">Orders!F836</f>
        <v>0</v>
      </c>
      <c r="K836" s="6" t="n">
        <f aca="false">G836*H836</f>
        <v>1598</v>
      </c>
      <c r="L836" s="6" t="n">
        <f aca="false">K836*J836</f>
        <v>0</v>
      </c>
      <c r="M836" s="6" t="n">
        <f aca="false">K836-L836</f>
        <v>1598</v>
      </c>
      <c r="N836" s="6" t="n">
        <f aca="false">G836*I836</f>
        <v>720</v>
      </c>
      <c r="O836" s="6" t="n">
        <f aca="false">M836-N836</f>
        <v>878</v>
      </c>
      <c r="P836" s="21" t="n">
        <f aca="false">IFERROR(O836/M836,0)</f>
        <v>0.549436795994994</v>
      </c>
      <c r="Q836" s="6" t="str">
        <f aca="false">Orders!H836</f>
        <v>Delivered</v>
      </c>
      <c r="R836" s="1" t="str">
        <f aca="false">INDEX(Customers!$C$2:$C$301,MATCH(C836,Customers!$A$2:$A$301,0))</f>
        <v>Nagpur</v>
      </c>
      <c r="S836" s="1" t="str">
        <f aca="false">INDEX(Customers!$E$2:$E$301,MATCH(C836,Customers!$A$2:$A$301,0))</f>
        <v>Returning</v>
      </c>
      <c r="T836" s="6" t="str">
        <f aca="false">Orders!I836</f>
        <v>Marketplace</v>
      </c>
      <c r="U836" s="1" t="str">
        <f aca="false">IF(Q836="Delivered","Completed",IF(Q836="Cancelled","Cancelled",IF(Q836="Returned","Returned","In Progress")))</f>
        <v>Completed</v>
      </c>
      <c r="V836" s="1" t="str">
        <f aca="false">IF(M836&gt;=10000,"High Value",IF(M836&gt;=5000,"Medium Value","Low Value"))</f>
        <v>Low Value</v>
      </c>
      <c r="W836" s="1" t="str">
        <f aca="false">IF(O836&gt;0,"Profitable",IF(O836=0,"Break-even","Loss"))</f>
        <v>Profitable</v>
      </c>
      <c r="X836" s="1" t="str">
        <f aca="false">IF(Q836="Cancelled","Not Applicable",IF(Q836="Processing","Pending",IF(B836="","Unknown",IF(Orders!J836="","Unknown",IF(Orders!J836&lt;=3,"Fast",IF(Orders!J836&lt;=6,"Standard","Slow"))))))</f>
        <v>Fast</v>
      </c>
      <c r="Y836" s="1" t="n">
        <f aca="false">IF(OR(Q836="Cancelled",Q836="Returned"),0,O836)</f>
        <v>878</v>
      </c>
    </row>
    <row r="837" customFormat="false" ht="15" hidden="false" customHeight="false" outlineLevel="0" collapsed="false">
      <c r="A837" s="6" t="str">
        <f aca="false">Orders!A837</f>
        <v>O000836</v>
      </c>
      <c r="B837" s="19" t="n">
        <f aca="false">Orders!B837</f>
        <v>45692</v>
      </c>
      <c r="C837" s="6" t="str">
        <f aca="false">Orders!C837</f>
        <v>C0200</v>
      </c>
      <c r="D837" s="6" t="str">
        <f aca="false">Orders!D837</f>
        <v>P1054</v>
      </c>
      <c r="E837" s="6" t="str">
        <f aca="false">INDEX(Products!$B$2:$B$101,MATCH(D837,Products!$A$2:$A$101,0))</f>
        <v>Face Mask Pack</v>
      </c>
      <c r="F837" s="1" t="str">
        <f aca="false">INDEX(Products!$C$2:$C$101,MATCH(D837,Products!$A$2:$A$101,0))</f>
        <v>Beauty</v>
      </c>
      <c r="G837" s="6" t="n">
        <f aca="false">Orders!E837</f>
        <v>1</v>
      </c>
      <c r="H837" s="16" t="n">
        <f aca="false">INDEX(Products!$D$2:$D$101,MATCH(D837,Products!$A$2:$A$101,0))</f>
        <v>299</v>
      </c>
      <c r="I837" s="16" t="n">
        <f aca="false">INDEX(Products!$E$2:$E$101,MATCH(D837,Products!$A$2:$A$101,0))</f>
        <v>110</v>
      </c>
      <c r="J837" s="20" t="n">
        <f aca="false">Orders!F837</f>
        <v>0.05</v>
      </c>
      <c r="K837" s="6" t="n">
        <f aca="false">G837*H837</f>
        <v>299</v>
      </c>
      <c r="L837" s="6" t="n">
        <f aca="false">K837*J837</f>
        <v>14.95</v>
      </c>
      <c r="M837" s="6" t="n">
        <f aca="false">K837-L837</f>
        <v>284.05</v>
      </c>
      <c r="N837" s="6" t="n">
        <f aca="false">G837*I837</f>
        <v>110</v>
      </c>
      <c r="O837" s="6" t="n">
        <f aca="false">M837-N837</f>
        <v>174.05</v>
      </c>
      <c r="P837" s="21" t="n">
        <f aca="false">IFERROR(O837/M837,0)</f>
        <v>0.612744235169864</v>
      </c>
      <c r="Q837" s="6" t="str">
        <f aca="false">Orders!H837</f>
        <v>Returned</v>
      </c>
      <c r="R837" s="1" t="str">
        <f aca="false">INDEX(Customers!$C$2:$C$301,MATCH(C837,Customers!$A$2:$A$301,0))</f>
        <v>Visakhapatnam</v>
      </c>
      <c r="S837" s="1" t="str">
        <f aca="false">INDEX(Customers!$E$2:$E$301,MATCH(C837,Customers!$A$2:$A$301,0))</f>
        <v>New</v>
      </c>
      <c r="T837" s="6" t="str">
        <f aca="false">Orders!I837</f>
        <v>Website</v>
      </c>
      <c r="U837" s="1" t="str">
        <f aca="false">IF(Q837="Delivered","Completed",IF(Q837="Cancelled","Cancelled",IF(Q837="Returned","Returned","In Progress")))</f>
        <v>Returned</v>
      </c>
      <c r="V837" s="1" t="str">
        <f aca="false">IF(M837&gt;=10000,"High Value",IF(M837&gt;=5000,"Medium Value","Low Value"))</f>
        <v>Low Value</v>
      </c>
      <c r="W837" s="1" t="str">
        <f aca="false">IF(O837&gt;0,"Profitable",IF(O837=0,"Break-even","Loss"))</f>
        <v>Profitable</v>
      </c>
      <c r="X837" s="1" t="str">
        <f aca="false">IF(Q837="Cancelled","Not Applicable",IF(Q837="Processing","Pending",IF(B837="","Unknown",IF(Orders!J837="","Unknown",IF(Orders!J837&lt;=3,"Fast",IF(Orders!J837&lt;=6,"Standard","Slow"))))))</f>
        <v>Slow</v>
      </c>
      <c r="Y837" s="1" t="n">
        <f aca="false">IF(OR(Q837="Cancelled",Q837="Returned"),0,O837)</f>
        <v>0</v>
      </c>
    </row>
    <row r="838" customFormat="false" ht="15" hidden="false" customHeight="false" outlineLevel="0" collapsed="false">
      <c r="A838" s="6" t="str">
        <f aca="false">Orders!A838</f>
        <v>O000837</v>
      </c>
      <c r="B838" s="19" t="n">
        <f aca="false">Orders!B838</f>
        <v>45981</v>
      </c>
      <c r="C838" s="6" t="str">
        <f aca="false">Orders!C838</f>
        <v>C0098</v>
      </c>
      <c r="D838" s="6" t="str">
        <f aca="false">Orders!D838</f>
        <v>P1082</v>
      </c>
      <c r="E838" s="6" t="str">
        <f aca="false">INDEX(Products!$B$2:$B$101,MATCH(D838,Products!$A$2:$A$101,0))</f>
        <v>File Folder Set</v>
      </c>
      <c r="F838" s="1" t="str">
        <f aca="false">INDEX(Products!$C$2:$C$101,MATCH(D838,Products!$A$2:$A$101,0))</f>
        <v>Books &amp; Stationery</v>
      </c>
      <c r="G838" s="6" t="n">
        <f aca="false">Orders!E838</f>
        <v>3</v>
      </c>
      <c r="H838" s="16" t="n">
        <f aca="false">INDEX(Products!$D$2:$D$101,MATCH(D838,Products!$A$2:$A$101,0))</f>
        <v>249</v>
      </c>
      <c r="I838" s="16" t="n">
        <f aca="false">INDEX(Products!$E$2:$E$101,MATCH(D838,Products!$A$2:$A$101,0))</f>
        <v>90</v>
      </c>
      <c r="J838" s="20" t="n">
        <f aca="false">Orders!F838</f>
        <v>0.15</v>
      </c>
      <c r="K838" s="6" t="n">
        <f aca="false">G838*H838</f>
        <v>747</v>
      </c>
      <c r="L838" s="6" t="n">
        <f aca="false">K838*J838</f>
        <v>112.05</v>
      </c>
      <c r="M838" s="6" t="n">
        <f aca="false">K838-L838</f>
        <v>634.95</v>
      </c>
      <c r="N838" s="6" t="n">
        <f aca="false">G838*I838</f>
        <v>270</v>
      </c>
      <c r="O838" s="6" t="n">
        <f aca="false">M838-N838</f>
        <v>364.95</v>
      </c>
      <c r="P838" s="21" t="n">
        <f aca="false">IFERROR(O838/M838,0)</f>
        <v>0.574769666902906</v>
      </c>
      <c r="Q838" s="6" t="str">
        <f aca="false">Orders!H838</f>
        <v>Delivered</v>
      </c>
      <c r="R838" s="1" t="str">
        <f aca="false">INDEX(Customers!$C$2:$C$301,MATCH(C838,Customers!$A$2:$A$301,0))</f>
        <v>Nagpur</v>
      </c>
      <c r="S838" s="1" t="str">
        <f aca="false">INDEX(Customers!$E$2:$E$301,MATCH(C838,Customers!$A$2:$A$301,0))</f>
        <v>Returning</v>
      </c>
      <c r="T838" s="6" t="str">
        <f aca="false">Orders!I838</f>
        <v>Website</v>
      </c>
      <c r="U838" s="1" t="str">
        <f aca="false">IF(Q838="Delivered","Completed",IF(Q838="Cancelled","Cancelled",IF(Q838="Returned","Returned","In Progress")))</f>
        <v>Completed</v>
      </c>
      <c r="V838" s="1" t="str">
        <f aca="false">IF(M838&gt;=10000,"High Value",IF(M838&gt;=5000,"Medium Value","Low Value"))</f>
        <v>Low Value</v>
      </c>
      <c r="W838" s="1" t="str">
        <f aca="false">IF(O838&gt;0,"Profitable",IF(O838=0,"Break-even","Loss"))</f>
        <v>Profitable</v>
      </c>
      <c r="X838" s="1" t="str">
        <f aca="false">IF(Q838="Cancelled","Not Applicable",IF(Q838="Processing","Pending",IF(B838="","Unknown",IF(Orders!J838="","Unknown",IF(Orders!J838&lt;=3,"Fast",IF(Orders!J838&lt;=6,"Standard","Slow"))))))</f>
        <v>Fast</v>
      </c>
      <c r="Y838" s="1" t="n">
        <f aca="false">IF(OR(Q838="Cancelled",Q838="Returned"),0,O838)</f>
        <v>364.95</v>
      </c>
    </row>
    <row r="839" customFormat="false" ht="15" hidden="false" customHeight="false" outlineLevel="0" collapsed="false">
      <c r="A839" s="6" t="str">
        <f aca="false">Orders!A839</f>
        <v>O000838</v>
      </c>
      <c r="B839" s="19" t="n">
        <f aca="false">Orders!B839</f>
        <v>45937</v>
      </c>
      <c r="C839" s="6" t="str">
        <f aca="false">Orders!C839</f>
        <v>C0012</v>
      </c>
      <c r="D839" s="6" t="str">
        <f aca="false">Orders!D839</f>
        <v>P1040</v>
      </c>
      <c r="E839" s="6" t="str">
        <f aca="false">INDEX(Products!$B$2:$B$101,MATCH(D839,Products!$A$2:$A$101,0))</f>
        <v>Curtain Set</v>
      </c>
      <c r="F839" s="1" t="str">
        <f aca="false">INDEX(Products!$C$2:$C$101,MATCH(D839,Products!$A$2:$A$101,0))</f>
        <v>Home &amp; Kitchen</v>
      </c>
      <c r="G839" s="6" t="n">
        <f aca="false">Orders!E839</f>
        <v>2</v>
      </c>
      <c r="H839" s="16" t="n">
        <f aca="false">INDEX(Products!$D$2:$D$101,MATCH(D839,Products!$A$2:$A$101,0))</f>
        <v>1099</v>
      </c>
      <c r="I839" s="16" t="n">
        <f aca="false">INDEX(Products!$E$2:$E$101,MATCH(D839,Products!$A$2:$A$101,0))</f>
        <v>550</v>
      </c>
      <c r="J839" s="20" t="n">
        <f aca="false">Orders!F839</f>
        <v>0.2</v>
      </c>
      <c r="K839" s="6" t="n">
        <f aca="false">G839*H839</f>
        <v>2198</v>
      </c>
      <c r="L839" s="6" t="n">
        <f aca="false">K839*J839</f>
        <v>439.6</v>
      </c>
      <c r="M839" s="6" t="n">
        <f aca="false">K839-L839</f>
        <v>1758.4</v>
      </c>
      <c r="N839" s="6" t="n">
        <f aca="false">G839*I839</f>
        <v>1100</v>
      </c>
      <c r="O839" s="6" t="n">
        <f aca="false">M839-N839</f>
        <v>658.4</v>
      </c>
      <c r="P839" s="21" t="n">
        <f aca="false">IFERROR(O839/M839,0)</f>
        <v>0.374431301182894</v>
      </c>
      <c r="Q839" s="6" t="str">
        <f aca="false">Orders!H839</f>
        <v>Shipped</v>
      </c>
      <c r="R839" s="1" t="str">
        <f aca="false">INDEX(Customers!$C$2:$C$301,MATCH(C839,Customers!$A$2:$A$301,0))</f>
        <v>Noida</v>
      </c>
      <c r="S839" s="1" t="str">
        <f aca="false">INDEX(Customers!$E$2:$E$301,MATCH(C839,Customers!$A$2:$A$301,0))</f>
        <v>Returning</v>
      </c>
      <c r="T839" s="6" t="str">
        <f aca="false">Orders!I839</f>
        <v>Mobile App</v>
      </c>
      <c r="U839" s="1" t="str">
        <f aca="false">IF(Q839="Delivered","Completed",IF(Q839="Cancelled","Cancelled",IF(Q839="Returned","Returned","In Progress")))</f>
        <v>In Progress</v>
      </c>
      <c r="V839" s="1" t="str">
        <f aca="false">IF(M839&gt;=10000,"High Value",IF(M839&gt;=5000,"Medium Value","Low Value"))</f>
        <v>Low Value</v>
      </c>
      <c r="W839" s="1" t="str">
        <f aca="false">IF(O839&gt;0,"Profitable",IF(O839=0,"Break-even","Loss"))</f>
        <v>Profitable</v>
      </c>
      <c r="X839" s="1" t="str">
        <f aca="false">IF(Q839="Cancelled","Not Applicable",IF(Q839="Processing","Pending",IF(B839="","Unknown",IF(Orders!J839="","Unknown",IF(Orders!J839&lt;=3,"Fast",IF(Orders!J839&lt;=6,"Standard","Slow"))))))</f>
        <v>Standard</v>
      </c>
      <c r="Y839" s="1" t="n">
        <f aca="false">IF(OR(Q839="Cancelled",Q839="Returned"),0,O839)</f>
        <v>658.4</v>
      </c>
    </row>
    <row r="840" customFormat="false" ht="15" hidden="false" customHeight="false" outlineLevel="0" collapsed="false">
      <c r="A840" s="6" t="str">
        <f aca="false">Orders!A840</f>
        <v>O000839</v>
      </c>
      <c r="B840" s="19" t="n">
        <f aca="false">Orders!B840</f>
        <v>45809</v>
      </c>
      <c r="C840" s="6" t="str">
        <f aca="false">Orders!C840</f>
        <v>C0075</v>
      </c>
      <c r="D840" s="6" t="str">
        <f aca="false">Orders!D840</f>
        <v>P1043</v>
      </c>
      <c r="E840" s="6" t="str">
        <f aca="false">INDEX(Products!$B$2:$B$101,MATCH(D840,Products!$A$2:$A$101,0))</f>
        <v>Kitchen Rack</v>
      </c>
      <c r="F840" s="1" t="str">
        <f aca="false">INDEX(Products!$C$2:$C$101,MATCH(D840,Products!$A$2:$A$101,0))</f>
        <v>Home &amp; Kitchen</v>
      </c>
      <c r="G840" s="6" t="n">
        <f aca="false">Orders!E840</f>
        <v>1</v>
      </c>
      <c r="H840" s="16" t="n">
        <f aca="false">INDEX(Products!$D$2:$D$101,MATCH(D840,Products!$A$2:$A$101,0))</f>
        <v>1299</v>
      </c>
      <c r="I840" s="16" t="n">
        <f aca="false">INDEX(Products!$E$2:$E$101,MATCH(D840,Products!$A$2:$A$101,0))</f>
        <v>700</v>
      </c>
      <c r="J840" s="20" t="n">
        <f aca="false">Orders!F840</f>
        <v>0</v>
      </c>
      <c r="K840" s="6" t="n">
        <f aca="false">G840*H840</f>
        <v>1299</v>
      </c>
      <c r="L840" s="6" t="n">
        <f aca="false">K840*J840</f>
        <v>0</v>
      </c>
      <c r="M840" s="6" t="n">
        <f aca="false">K840-L840</f>
        <v>1299</v>
      </c>
      <c r="N840" s="6" t="n">
        <f aca="false">G840*I840</f>
        <v>700</v>
      </c>
      <c r="O840" s="6" t="n">
        <f aca="false">M840-N840</f>
        <v>599</v>
      </c>
      <c r="P840" s="21" t="n">
        <f aca="false">IFERROR(O840/M840,0)</f>
        <v>0.461123941493457</v>
      </c>
      <c r="Q840" s="6" t="str">
        <f aca="false">Orders!H840</f>
        <v>Delivered</v>
      </c>
      <c r="R840" s="1" t="str">
        <f aca="false">INDEX(Customers!$C$2:$C$301,MATCH(C840,Customers!$A$2:$A$301,0))</f>
        <v>Bhopal</v>
      </c>
      <c r="S840" s="1" t="str">
        <f aca="false">INDEX(Customers!$E$2:$E$301,MATCH(C840,Customers!$A$2:$A$301,0))</f>
        <v>New</v>
      </c>
      <c r="T840" s="6" t="str">
        <f aca="false">Orders!I840</f>
        <v>Marketplace</v>
      </c>
      <c r="U840" s="1" t="str">
        <f aca="false">IF(Q840="Delivered","Completed",IF(Q840="Cancelled","Cancelled",IF(Q840="Returned","Returned","In Progress")))</f>
        <v>Completed</v>
      </c>
      <c r="V840" s="1" t="str">
        <f aca="false">IF(M840&gt;=10000,"High Value",IF(M840&gt;=5000,"Medium Value","Low Value"))</f>
        <v>Low Value</v>
      </c>
      <c r="W840" s="1" t="str">
        <f aca="false">IF(O840&gt;0,"Profitable",IF(O840=0,"Break-even","Loss"))</f>
        <v>Profitable</v>
      </c>
      <c r="X840" s="1" t="str">
        <f aca="false">IF(Q840="Cancelled","Not Applicable",IF(Q840="Processing","Pending",IF(B840="","Unknown",IF(Orders!J840="","Unknown",IF(Orders!J840&lt;=3,"Fast",IF(Orders!J840&lt;=6,"Standard","Slow"))))))</f>
        <v>Fast</v>
      </c>
      <c r="Y840" s="1" t="n">
        <f aca="false">IF(OR(Q840="Cancelled",Q840="Returned"),0,O840)</f>
        <v>599</v>
      </c>
    </row>
    <row r="841" customFormat="false" ht="15" hidden="false" customHeight="false" outlineLevel="0" collapsed="false">
      <c r="A841" s="6" t="str">
        <f aca="false">Orders!A841</f>
        <v>O000840</v>
      </c>
      <c r="B841" s="19" t="n">
        <f aca="false">Orders!B841</f>
        <v>45888</v>
      </c>
      <c r="C841" s="6" t="str">
        <f aca="false">Orders!C841</f>
        <v>C0155</v>
      </c>
      <c r="D841" s="6" t="str">
        <f aca="false">Orders!D841</f>
        <v>P1045</v>
      </c>
      <c r="E841" s="6" t="str">
        <f aca="false">INDEX(Products!$B$2:$B$101,MATCH(D841,Products!$A$2:$A$101,0))</f>
        <v>Lunch Box</v>
      </c>
      <c r="F841" s="1" t="str">
        <f aca="false">INDEX(Products!$C$2:$C$101,MATCH(D841,Products!$A$2:$A$101,0))</f>
        <v>Home &amp; Kitchen</v>
      </c>
      <c r="G841" s="6" t="n">
        <f aca="false">Orders!E841</f>
        <v>1</v>
      </c>
      <c r="H841" s="16" t="n">
        <f aca="false">INDEX(Products!$D$2:$D$101,MATCH(D841,Products!$A$2:$A$101,0))</f>
        <v>449</v>
      </c>
      <c r="I841" s="16" t="n">
        <f aca="false">INDEX(Products!$E$2:$E$101,MATCH(D841,Products!$A$2:$A$101,0))</f>
        <v>180</v>
      </c>
      <c r="J841" s="20" t="n">
        <f aca="false">Orders!F841</f>
        <v>0.05</v>
      </c>
      <c r="K841" s="6" t="n">
        <f aca="false">G841*H841</f>
        <v>449</v>
      </c>
      <c r="L841" s="6" t="n">
        <f aca="false">K841*J841</f>
        <v>22.45</v>
      </c>
      <c r="M841" s="6" t="n">
        <f aca="false">K841-L841</f>
        <v>426.55</v>
      </c>
      <c r="N841" s="6" t="n">
        <f aca="false">G841*I841</f>
        <v>180</v>
      </c>
      <c r="O841" s="6" t="n">
        <f aca="false">M841-N841</f>
        <v>246.55</v>
      </c>
      <c r="P841" s="21" t="n">
        <f aca="false">IFERROR(O841/M841,0)</f>
        <v>0.578009612003282</v>
      </c>
      <c r="Q841" s="6" t="str">
        <f aca="false">Orders!H841</f>
        <v>Cancelled</v>
      </c>
      <c r="R841" s="1" t="str">
        <f aca="false">INDEX(Customers!$C$2:$C$301,MATCH(C841,Customers!$A$2:$A$301,0))</f>
        <v>Bhopal</v>
      </c>
      <c r="S841" s="1" t="str">
        <f aca="false">INDEX(Customers!$E$2:$E$301,MATCH(C841,Customers!$A$2:$A$301,0))</f>
        <v>Returning</v>
      </c>
      <c r="T841" s="6" t="str">
        <f aca="false">Orders!I841</f>
        <v>Mobile App</v>
      </c>
      <c r="U841" s="1" t="str">
        <f aca="false">IF(Q841="Delivered","Completed",IF(Q841="Cancelled","Cancelled",IF(Q841="Returned","Returned","In Progress")))</f>
        <v>Cancelled</v>
      </c>
      <c r="V841" s="1" t="str">
        <f aca="false">IF(M841&gt;=10000,"High Value",IF(M841&gt;=5000,"Medium Value","Low Value"))</f>
        <v>Low Value</v>
      </c>
      <c r="W841" s="1" t="str">
        <f aca="false">IF(O841&gt;0,"Profitable",IF(O841=0,"Break-even","Loss"))</f>
        <v>Profitable</v>
      </c>
      <c r="X841" s="1" t="str">
        <f aca="false">IF(Q841="Cancelled","Not Applicable",IF(Q841="Processing","Pending",IF(B841="","Unknown",IF(Orders!J841="","Unknown",IF(Orders!J841&lt;=3,"Fast",IF(Orders!J841&lt;=6,"Standard","Slow"))))))</f>
        <v>Not Applicable</v>
      </c>
      <c r="Y841" s="1" t="n">
        <f aca="false">IF(OR(Q841="Cancelled",Q841="Returned"),0,O841)</f>
        <v>0</v>
      </c>
    </row>
    <row r="842" customFormat="false" ht="15" hidden="false" customHeight="false" outlineLevel="0" collapsed="false">
      <c r="A842" s="6" t="str">
        <f aca="false">Orders!A842</f>
        <v>O000841</v>
      </c>
      <c r="B842" s="19" t="n">
        <f aca="false">Orders!B842</f>
        <v>45693</v>
      </c>
      <c r="C842" s="6" t="str">
        <f aca="false">Orders!C842</f>
        <v>C0252</v>
      </c>
      <c r="D842" s="6" t="str">
        <f aca="false">Orders!D842</f>
        <v>P1003</v>
      </c>
      <c r="E842" s="6" t="str">
        <f aca="false">INDEX(Products!$B$2:$B$101,MATCH(D842,Products!$A$2:$A$101,0))</f>
        <v>Smart Watch</v>
      </c>
      <c r="F842" s="1" t="str">
        <f aca="false">INDEX(Products!$C$2:$C$101,MATCH(D842,Products!$A$2:$A$101,0))</f>
        <v>Electronics</v>
      </c>
      <c r="G842" s="6" t="n">
        <f aca="false">Orders!E842</f>
        <v>2</v>
      </c>
      <c r="H842" s="16" t="n">
        <f aca="false">INDEX(Products!$D$2:$D$101,MATCH(D842,Products!$A$2:$A$101,0))</f>
        <v>2499</v>
      </c>
      <c r="I842" s="16" t="n">
        <f aca="false">INDEX(Products!$E$2:$E$101,MATCH(D842,Products!$A$2:$A$101,0))</f>
        <v>1450</v>
      </c>
      <c r="J842" s="20" t="n">
        <f aca="false">Orders!F842</f>
        <v>0.2</v>
      </c>
      <c r="K842" s="6" t="n">
        <f aca="false">G842*H842</f>
        <v>4998</v>
      </c>
      <c r="L842" s="6" t="n">
        <f aca="false">K842*J842</f>
        <v>999.6</v>
      </c>
      <c r="M842" s="6" t="n">
        <f aca="false">K842-L842</f>
        <v>3998.4</v>
      </c>
      <c r="N842" s="6" t="n">
        <f aca="false">G842*I842</f>
        <v>2900</v>
      </c>
      <c r="O842" s="6" t="n">
        <f aca="false">M842-N842</f>
        <v>1098.4</v>
      </c>
      <c r="P842" s="21" t="n">
        <f aca="false">IFERROR(O842/M842,0)</f>
        <v>0.274709883953581</v>
      </c>
      <c r="Q842" s="6" t="str">
        <f aca="false">Orders!H842</f>
        <v>Delivered</v>
      </c>
      <c r="R842" s="1" t="str">
        <f aca="false">INDEX(Customers!$C$2:$C$301,MATCH(C842,Customers!$A$2:$A$301,0))</f>
        <v>Noida</v>
      </c>
      <c r="S842" s="1" t="str">
        <f aca="false">INDEX(Customers!$E$2:$E$301,MATCH(C842,Customers!$A$2:$A$301,0))</f>
        <v>Returning</v>
      </c>
      <c r="T842" s="6" t="str">
        <f aca="false">Orders!I842</f>
        <v>Marketplace</v>
      </c>
      <c r="U842" s="1" t="str">
        <f aca="false">IF(Q842="Delivered","Completed",IF(Q842="Cancelled","Cancelled",IF(Q842="Returned","Returned","In Progress")))</f>
        <v>Completed</v>
      </c>
      <c r="V842" s="1" t="str">
        <f aca="false">IF(M842&gt;=10000,"High Value",IF(M842&gt;=5000,"Medium Value","Low Value"))</f>
        <v>Low Value</v>
      </c>
      <c r="W842" s="1" t="str">
        <f aca="false">IF(O842&gt;0,"Profitable",IF(O842=0,"Break-even","Loss"))</f>
        <v>Profitable</v>
      </c>
      <c r="X842" s="1" t="str">
        <f aca="false">IF(Q842="Cancelled","Not Applicable",IF(Q842="Processing","Pending",IF(B842="","Unknown",IF(Orders!J842="","Unknown",IF(Orders!J842&lt;=3,"Fast",IF(Orders!J842&lt;=6,"Standard","Slow"))))))</f>
        <v>Slow</v>
      </c>
      <c r="Y842" s="1" t="n">
        <f aca="false">IF(OR(Q842="Cancelled",Q842="Returned"),0,O842)</f>
        <v>1098.4</v>
      </c>
    </row>
    <row r="843" customFormat="false" ht="15" hidden="false" customHeight="false" outlineLevel="0" collapsed="false">
      <c r="A843" s="6" t="str">
        <f aca="false">Orders!A843</f>
        <v>O000842</v>
      </c>
      <c r="B843" s="19" t="n">
        <f aca="false">Orders!B843</f>
        <v>45686</v>
      </c>
      <c r="C843" s="6" t="str">
        <f aca="false">Orders!C843</f>
        <v>C0033</v>
      </c>
      <c r="D843" s="6" t="str">
        <f aca="false">Orders!D843</f>
        <v>P1087</v>
      </c>
      <c r="E843" s="6" t="str">
        <f aca="false">INDEX(Products!$B$2:$B$101,MATCH(D843,Products!$A$2:$A$101,0))</f>
        <v>Book Stand</v>
      </c>
      <c r="F843" s="1" t="str">
        <f aca="false">INDEX(Products!$C$2:$C$101,MATCH(D843,Products!$A$2:$A$101,0))</f>
        <v>Books &amp; Stationery</v>
      </c>
      <c r="G843" s="6" t="n">
        <f aca="false">Orders!E843</f>
        <v>1</v>
      </c>
      <c r="H843" s="16" t="n">
        <f aca="false">INDEX(Products!$D$2:$D$101,MATCH(D843,Products!$A$2:$A$101,0))</f>
        <v>449</v>
      </c>
      <c r="I843" s="16" t="n">
        <f aca="false">INDEX(Products!$E$2:$E$101,MATCH(D843,Products!$A$2:$A$101,0))</f>
        <v>200</v>
      </c>
      <c r="J843" s="20" t="n">
        <f aca="false">Orders!F843</f>
        <v>0.25</v>
      </c>
      <c r="K843" s="6" t="n">
        <f aca="false">G843*H843</f>
        <v>449</v>
      </c>
      <c r="L843" s="6" t="n">
        <f aca="false">K843*J843</f>
        <v>112.25</v>
      </c>
      <c r="M843" s="6" t="n">
        <f aca="false">K843-L843</f>
        <v>336.75</v>
      </c>
      <c r="N843" s="6" t="n">
        <f aca="false">G843*I843</f>
        <v>200</v>
      </c>
      <c r="O843" s="6" t="n">
        <f aca="false">M843-N843</f>
        <v>136.75</v>
      </c>
      <c r="P843" s="21" t="n">
        <f aca="false">IFERROR(O843/M843,0)</f>
        <v>0.406087602078693</v>
      </c>
      <c r="Q843" s="6" t="str">
        <f aca="false">Orders!H843</f>
        <v>Shipped</v>
      </c>
      <c r="R843" s="1" t="str">
        <f aca="false">INDEX(Customers!$C$2:$C$301,MATCH(C843,Customers!$A$2:$A$301,0))</f>
        <v>Kochi</v>
      </c>
      <c r="S843" s="1" t="str">
        <f aca="false">INDEX(Customers!$E$2:$E$301,MATCH(C843,Customers!$A$2:$A$301,0))</f>
        <v>VIP</v>
      </c>
      <c r="T843" s="6" t="str">
        <f aca="false">Orders!I843</f>
        <v>Website</v>
      </c>
      <c r="U843" s="1" t="str">
        <f aca="false">IF(Q843="Delivered","Completed",IF(Q843="Cancelled","Cancelled",IF(Q843="Returned","Returned","In Progress")))</f>
        <v>In Progress</v>
      </c>
      <c r="V843" s="1" t="str">
        <f aca="false">IF(M843&gt;=10000,"High Value",IF(M843&gt;=5000,"Medium Value","Low Value"))</f>
        <v>Low Value</v>
      </c>
      <c r="W843" s="1" t="str">
        <f aca="false">IF(O843&gt;0,"Profitable",IF(O843=0,"Break-even","Loss"))</f>
        <v>Profitable</v>
      </c>
      <c r="X843" s="1" t="str">
        <f aca="false">IF(Q843="Cancelled","Not Applicable",IF(Q843="Processing","Pending",IF(B843="","Unknown",IF(Orders!J843="","Unknown",IF(Orders!J843&lt;=3,"Fast",IF(Orders!J843&lt;=6,"Standard","Slow"))))))</f>
        <v>Slow</v>
      </c>
      <c r="Y843" s="1" t="n">
        <f aca="false">IF(OR(Q843="Cancelled",Q843="Returned"),0,O843)</f>
        <v>136.75</v>
      </c>
    </row>
    <row r="844" customFormat="false" ht="15" hidden="false" customHeight="false" outlineLevel="0" collapsed="false">
      <c r="A844" s="6" t="str">
        <f aca="false">Orders!A844</f>
        <v>O000843</v>
      </c>
      <c r="B844" s="19" t="n">
        <f aca="false">Orders!B844</f>
        <v>46017</v>
      </c>
      <c r="C844" s="6" t="str">
        <f aca="false">Orders!C844</f>
        <v>C0069</v>
      </c>
      <c r="D844" s="6" t="str">
        <f aca="false">Orders!D844</f>
        <v>P1010</v>
      </c>
      <c r="E844" s="6" t="str">
        <f aca="false">INDEX(Products!$B$2:$B$101,MATCH(D844,Products!$A$2:$A$101,0))</f>
        <v>Webcam</v>
      </c>
      <c r="F844" s="1" t="str">
        <f aca="false">INDEX(Products!$C$2:$C$101,MATCH(D844,Products!$A$2:$A$101,0))</f>
        <v>Electronics</v>
      </c>
      <c r="G844" s="6" t="n">
        <f aca="false">Orders!E844</f>
        <v>3</v>
      </c>
      <c r="H844" s="16" t="n">
        <f aca="false">INDEX(Products!$D$2:$D$101,MATCH(D844,Products!$A$2:$A$101,0))</f>
        <v>1799</v>
      </c>
      <c r="I844" s="16" t="n">
        <f aca="false">INDEX(Products!$E$2:$E$101,MATCH(D844,Products!$A$2:$A$101,0))</f>
        <v>1050</v>
      </c>
      <c r="J844" s="20" t="n">
        <f aca="false">Orders!F844</f>
        <v>0.05</v>
      </c>
      <c r="K844" s="6" t="n">
        <f aca="false">G844*H844</f>
        <v>5397</v>
      </c>
      <c r="L844" s="6" t="n">
        <f aca="false">K844*J844</f>
        <v>269.85</v>
      </c>
      <c r="M844" s="6" t="n">
        <f aca="false">K844-L844</f>
        <v>5127.15</v>
      </c>
      <c r="N844" s="6" t="n">
        <f aca="false">G844*I844</f>
        <v>3150</v>
      </c>
      <c r="O844" s="6" t="n">
        <f aca="false">M844-N844</f>
        <v>1977.15</v>
      </c>
      <c r="P844" s="21" t="n">
        <f aca="false">IFERROR(O844/M844,0)</f>
        <v>0.385623592054065</v>
      </c>
      <c r="Q844" s="6" t="str">
        <f aca="false">Orders!H844</f>
        <v>Cancelled</v>
      </c>
      <c r="R844" s="1" t="str">
        <f aca="false">INDEX(Customers!$C$2:$C$301,MATCH(C844,Customers!$A$2:$A$301,0))</f>
        <v>Ahmedabad</v>
      </c>
      <c r="S844" s="1" t="str">
        <f aca="false">INDEX(Customers!$E$2:$E$301,MATCH(C844,Customers!$A$2:$A$301,0))</f>
        <v>New</v>
      </c>
      <c r="T844" s="6" t="str">
        <f aca="false">Orders!I844</f>
        <v>Mobile App</v>
      </c>
      <c r="U844" s="1" t="str">
        <f aca="false">IF(Q844="Delivered","Completed",IF(Q844="Cancelled","Cancelled",IF(Q844="Returned","Returned","In Progress")))</f>
        <v>Cancelled</v>
      </c>
      <c r="V844" s="1" t="str">
        <f aca="false">IF(M844&gt;=10000,"High Value",IF(M844&gt;=5000,"Medium Value","Low Value"))</f>
        <v>Medium Value</v>
      </c>
      <c r="W844" s="1" t="str">
        <f aca="false">IF(O844&gt;0,"Profitable",IF(O844=0,"Break-even","Loss"))</f>
        <v>Profitable</v>
      </c>
      <c r="X844" s="1" t="str">
        <f aca="false">IF(Q844="Cancelled","Not Applicable",IF(Q844="Processing","Pending",IF(B844="","Unknown",IF(Orders!J844="","Unknown",IF(Orders!J844&lt;=3,"Fast",IF(Orders!J844&lt;=6,"Standard","Slow"))))))</f>
        <v>Not Applicable</v>
      </c>
      <c r="Y844" s="1" t="n">
        <f aca="false">IF(OR(Q844="Cancelled",Q844="Returned"),0,O844)</f>
        <v>0</v>
      </c>
    </row>
    <row r="845" customFormat="false" ht="15" hidden="false" customHeight="false" outlineLevel="0" collapsed="false">
      <c r="A845" s="6" t="str">
        <f aca="false">Orders!A845</f>
        <v>O000844</v>
      </c>
      <c r="B845" s="19" t="n">
        <f aca="false">Orders!B845</f>
        <v>46005</v>
      </c>
      <c r="C845" s="6" t="str">
        <f aca="false">Orders!C845</f>
        <v>C0243</v>
      </c>
      <c r="D845" s="6" t="str">
        <f aca="false">Orders!D845</f>
        <v>P1098</v>
      </c>
      <c r="E845" s="6" t="str">
        <f aca="false">INDEX(Products!$B$2:$B$101,MATCH(D845,Products!$A$2:$A$101,0))</f>
        <v>Steam Iron</v>
      </c>
      <c r="F845" s="1" t="str">
        <f aca="false">INDEX(Products!$C$2:$C$101,MATCH(D845,Products!$A$2:$A$101,0))</f>
        <v>Appliances</v>
      </c>
      <c r="G845" s="6" t="n">
        <f aca="false">Orders!E845</f>
        <v>2</v>
      </c>
      <c r="H845" s="16" t="n">
        <f aca="false">INDEX(Products!$D$2:$D$101,MATCH(D845,Products!$A$2:$A$101,0))</f>
        <v>999</v>
      </c>
      <c r="I845" s="16" t="n">
        <f aca="false">INDEX(Products!$E$2:$E$101,MATCH(D845,Products!$A$2:$A$101,0))</f>
        <v>550</v>
      </c>
      <c r="J845" s="20" t="n">
        <f aca="false">Orders!F845</f>
        <v>0.2</v>
      </c>
      <c r="K845" s="6" t="n">
        <f aca="false">G845*H845</f>
        <v>1998</v>
      </c>
      <c r="L845" s="6" t="n">
        <f aca="false">K845*J845</f>
        <v>399.6</v>
      </c>
      <c r="M845" s="6" t="n">
        <f aca="false">K845-L845</f>
        <v>1598.4</v>
      </c>
      <c r="N845" s="6" t="n">
        <f aca="false">G845*I845</f>
        <v>1100</v>
      </c>
      <c r="O845" s="6" t="n">
        <f aca="false">M845-N845</f>
        <v>498.4</v>
      </c>
      <c r="P845" s="21" t="n">
        <f aca="false">IFERROR(O845/M845,0)</f>
        <v>0.311811811811812</v>
      </c>
      <c r="Q845" s="6" t="str">
        <f aca="false">Orders!H845</f>
        <v>Delivered</v>
      </c>
      <c r="R845" s="1" t="str">
        <f aca="false">INDEX(Customers!$C$2:$C$301,MATCH(C845,Customers!$A$2:$A$301,0))</f>
        <v>Bengaluru</v>
      </c>
      <c r="S845" s="1" t="str">
        <f aca="false">INDEX(Customers!$E$2:$E$301,MATCH(C845,Customers!$A$2:$A$301,0))</f>
        <v>New</v>
      </c>
      <c r="T845" s="6" t="str">
        <f aca="false">Orders!I845</f>
        <v>Marketplace</v>
      </c>
      <c r="U845" s="1" t="str">
        <f aca="false">IF(Q845="Delivered","Completed",IF(Q845="Cancelled","Cancelled",IF(Q845="Returned","Returned","In Progress")))</f>
        <v>Completed</v>
      </c>
      <c r="V845" s="1" t="str">
        <f aca="false">IF(M845&gt;=10000,"High Value",IF(M845&gt;=5000,"Medium Value","Low Value"))</f>
        <v>Low Value</v>
      </c>
      <c r="W845" s="1" t="str">
        <f aca="false">IF(O845&gt;0,"Profitable",IF(O845=0,"Break-even","Loss"))</f>
        <v>Profitable</v>
      </c>
      <c r="X845" s="1" t="str">
        <f aca="false">IF(Q845="Cancelled","Not Applicable",IF(Q845="Processing","Pending",IF(B845="","Unknown",IF(Orders!J845="","Unknown",IF(Orders!J845&lt;=3,"Fast",IF(Orders!J845&lt;=6,"Standard","Slow"))))))</f>
        <v>Slow</v>
      </c>
      <c r="Y845" s="1" t="n">
        <f aca="false">IF(OR(Q845="Cancelled",Q845="Returned"),0,O845)</f>
        <v>498.4</v>
      </c>
    </row>
    <row r="846" customFormat="false" ht="23.85" hidden="false" customHeight="false" outlineLevel="0" collapsed="false">
      <c r="A846" s="6" t="str">
        <f aca="false">Orders!A846</f>
        <v>O000845</v>
      </c>
      <c r="B846" s="19" t="n">
        <f aca="false">Orders!B846</f>
        <v>45833</v>
      </c>
      <c r="C846" s="6" t="str">
        <f aca="false">Orders!C846</f>
        <v>C0031</v>
      </c>
      <c r="D846" s="6" t="str">
        <f aca="false">Orders!D846</f>
        <v>P1046</v>
      </c>
      <c r="E846" s="6" t="str">
        <f aca="false">INDEX(Products!$B$2:$B$101,MATCH(D846,Products!$A$2:$A$101,0))</f>
        <v>Face Moisturizer</v>
      </c>
      <c r="F846" s="1" t="str">
        <f aca="false">INDEX(Products!$C$2:$C$101,MATCH(D846,Products!$A$2:$A$101,0))</f>
        <v>Beauty</v>
      </c>
      <c r="G846" s="6" t="n">
        <f aca="false">Orders!E846</f>
        <v>1</v>
      </c>
      <c r="H846" s="16" t="n">
        <f aca="false">INDEX(Products!$D$2:$D$101,MATCH(D846,Products!$A$2:$A$101,0))</f>
        <v>499</v>
      </c>
      <c r="I846" s="16" t="n">
        <f aca="false">INDEX(Products!$E$2:$E$101,MATCH(D846,Products!$A$2:$A$101,0))</f>
        <v>220</v>
      </c>
      <c r="J846" s="20" t="n">
        <f aca="false">Orders!F846</f>
        <v>0.05</v>
      </c>
      <c r="K846" s="6" t="n">
        <f aca="false">G846*H846</f>
        <v>499</v>
      </c>
      <c r="L846" s="6" t="n">
        <f aca="false">K846*J846</f>
        <v>24.95</v>
      </c>
      <c r="M846" s="6" t="n">
        <f aca="false">K846-L846</f>
        <v>474.05</v>
      </c>
      <c r="N846" s="6" t="n">
        <f aca="false">G846*I846</f>
        <v>220</v>
      </c>
      <c r="O846" s="6" t="n">
        <f aca="false">M846-N846</f>
        <v>254.05</v>
      </c>
      <c r="P846" s="21" t="n">
        <f aca="false">IFERROR(O846/M846,0)</f>
        <v>0.535913933129417</v>
      </c>
      <c r="Q846" s="6" t="str">
        <f aca="false">Orders!H846</f>
        <v>Delivered</v>
      </c>
      <c r="R846" s="1" t="str">
        <f aca="false">INDEX(Customers!$C$2:$C$301,MATCH(C846,Customers!$A$2:$A$301,0))</f>
        <v>Gurugram</v>
      </c>
      <c r="S846" s="1" t="str">
        <f aca="false">INDEX(Customers!$E$2:$E$301,MATCH(C846,Customers!$A$2:$A$301,0))</f>
        <v>Returning</v>
      </c>
      <c r="T846" s="6" t="str">
        <f aca="false">Orders!I846</f>
        <v>Mobile App</v>
      </c>
      <c r="U846" s="1" t="str">
        <f aca="false">IF(Q846="Delivered","Completed",IF(Q846="Cancelled","Cancelled",IF(Q846="Returned","Returned","In Progress")))</f>
        <v>Completed</v>
      </c>
      <c r="V846" s="1" t="str">
        <f aca="false">IF(M846&gt;=10000,"High Value",IF(M846&gt;=5000,"Medium Value","Low Value"))</f>
        <v>Low Value</v>
      </c>
      <c r="W846" s="1" t="str">
        <f aca="false">IF(O846&gt;0,"Profitable",IF(O846=0,"Break-even","Loss"))</f>
        <v>Profitable</v>
      </c>
      <c r="X846" s="1" t="str">
        <f aca="false">IF(Q846="Cancelled","Not Applicable",IF(Q846="Processing","Pending",IF(B846="","Unknown",IF(Orders!J846="","Unknown",IF(Orders!J846&lt;=3,"Fast",IF(Orders!J846&lt;=6,"Standard","Slow"))))))</f>
        <v>Fast</v>
      </c>
      <c r="Y846" s="1" t="n">
        <f aca="false">IF(OR(Q846="Cancelled",Q846="Returned"),0,O846)</f>
        <v>254.05</v>
      </c>
    </row>
    <row r="847" customFormat="false" ht="23.85" hidden="false" customHeight="false" outlineLevel="0" collapsed="false">
      <c r="A847" s="6" t="str">
        <f aca="false">Orders!A847</f>
        <v>O000846</v>
      </c>
      <c r="B847" s="19" t="n">
        <f aca="false">Orders!B847</f>
        <v>45968</v>
      </c>
      <c r="C847" s="6" t="str">
        <f aca="false">Orders!C847</f>
        <v>C0160</v>
      </c>
      <c r="D847" s="6" t="str">
        <f aca="false">Orders!D847</f>
        <v>P1012</v>
      </c>
      <c r="E847" s="6" t="str">
        <f aca="false">INDEX(Products!$B$2:$B$101,MATCH(D847,Products!$A$2:$A$101,0))</f>
        <v>Charging Adapter</v>
      </c>
      <c r="F847" s="1" t="str">
        <f aca="false">INDEX(Products!$C$2:$C$101,MATCH(D847,Products!$A$2:$A$101,0))</f>
        <v>Electronics</v>
      </c>
      <c r="G847" s="6" t="n">
        <f aca="false">Orders!E847</f>
        <v>4</v>
      </c>
      <c r="H847" s="16" t="n">
        <f aca="false">INDEX(Products!$D$2:$D$101,MATCH(D847,Products!$A$2:$A$101,0))</f>
        <v>599</v>
      </c>
      <c r="I847" s="16" t="n">
        <f aca="false">INDEX(Products!$E$2:$E$101,MATCH(D847,Products!$A$2:$A$101,0))</f>
        <v>260</v>
      </c>
      <c r="J847" s="20" t="n">
        <f aca="false">Orders!F847</f>
        <v>0</v>
      </c>
      <c r="K847" s="6" t="n">
        <f aca="false">G847*H847</f>
        <v>2396</v>
      </c>
      <c r="L847" s="6" t="n">
        <f aca="false">K847*J847</f>
        <v>0</v>
      </c>
      <c r="M847" s="6" t="n">
        <f aca="false">K847-L847</f>
        <v>2396</v>
      </c>
      <c r="N847" s="6" t="n">
        <f aca="false">G847*I847</f>
        <v>1040</v>
      </c>
      <c r="O847" s="6" t="n">
        <f aca="false">M847-N847</f>
        <v>1356</v>
      </c>
      <c r="P847" s="21" t="n">
        <f aca="false">IFERROR(O847/M847,0)</f>
        <v>0.565943238731219</v>
      </c>
      <c r="Q847" s="6" t="str">
        <f aca="false">Orders!H847</f>
        <v>Delivered</v>
      </c>
      <c r="R847" s="1" t="str">
        <f aca="false">INDEX(Customers!$C$2:$C$301,MATCH(C847,Customers!$A$2:$A$301,0))</f>
        <v>Visakhapatnam</v>
      </c>
      <c r="S847" s="1" t="str">
        <f aca="false">INDEX(Customers!$E$2:$E$301,MATCH(C847,Customers!$A$2:$A$301,0))</f>
        <v>New</v>
      </c>
      <c r="T847" s="6" t="str">
        <f aca="false">Orders!I847</f>
        <v>Marketplace</v>
      </c>
      <c r="U847" s="1" t="str">
        <f aca="false">IF(Q847="Delivered","Completed",IF(Q847="Cancelled","Cancelled",IF(Q847="Returned","Returned","In Progress")))</f>
        <v>Completed</v>
      </c>
      <c r="V847" s="1" t="str">
        <f aca="false">IF(M847&gt;=10000,"High Value",IF(M847&gt;=5000,"Medium Value","Low Value"))</f>
        <v>Low Value</v>
      </c>
      <c r="W847" s="1" t="str">
        <f aca="false">IF(O847&gt;0,"Profitable",IF(O847=0,"Break-even","Loss"))</f>
        <v>Profitable</v>
      </c>
      <c r="X847" s="1" t="str">
        <f aca="false">IF(Q847="Cancelled","Not Applicable",IF(Q847="Processing","Pending",IF(B847="","Unknown",IF(Orders!J847="","Unknown",IF(Orders!J847&lt;=3,"Fast",IF(Orders!J847&lt;=6,"Standard","Slow"))))))</f>
        <v>Fast</v>
      </c>
      <c r="Y847" s="1" t="n">
        <f aca="false">IF(OR(Q847="Cancelled",Q847="Returned"),0,O847)</f>
        <v>1356</v>
      </c>
    </row>
    <row r="848" customFormat="false" ht="23.85" hidden="false" customHeight="false" outlineLevel="0" collapsed="false">
      <c r="A848" s="6" t="str">
        <f aca="false">Orders!A848</f>
        <v>O000847</v>
      </c>
      <c r="B848" s="19" t="n">
        <f aca="false">Orders!B848</f>
        <v>46014</v>
      </c>
      <c r="C848" s="6" t="str">
        <f aca="false">Orders!C848</f>
        <v>C0100</v>
      </c>
      <c r="D848" s="6" t="str">
        <f aca="false">Orders!D848</f>
        <v>P1046</v>
      </c>
      <c r="E848" s="6" t="str">
        <f aca="false">INDEX(Products!$B$2:$B$101,MATCH(D848,Products!$A$2:$A$101,0))</f>
        <v>Face Moisturizer</v>
      </c>
      <c r="F848" s="1" t="str">
        <f aca="false">INDEX(Products!$C$2:$C$101,MATCH(D848,Products!$A$2:$A$101,0))</f>
        <v>Beauty</v>
      </c>
      <c r="G848" s="6" t="n">
        <f aca="false">Orders!E848</f>
        <v>2</v>
      </c>
      <c r="H848" s="16" t="n">
        <f aca="false">INDEX(Products!$D$2:$D$101,MATCH(D848,Products!$A$2:$A$101,0))</f>
        <v>499</v>
      </c>
      <c r="I848" s="16" t="n">
        <f aca="false">INDEX(Products!$E$2:$E$101,MATCH(D848,Products!$A$2:$A$101,0))</f>
        <v>220</v>
      </c>
      <c r="J848" s="20" t="n">
        <f aca="false">Orders!F848</f>
        <v>0.25</v>
      </c>
      <c r="K848" s="6" t="n">
        <f aca="false">G848*H848</f>
        <v>998</v>
      </c>
      <c r="L848" s="6" t="n">
        <f aca="false">K848*J848</f>
        <v>249.5</v>
      </c>
      <c r="M848" s="6" t="n">
        <f aca="false">K848-L848</f>
        <v>748.5</v>
      </c>
      <c r="N848" s="6" t="n">
        <f aca="false">G848*I848</f>
        <v>440</v>
      </c>
      <c r="O848" s="6" t="n">
        <f aca="false">M848-N848</f>
        <v>308.5</v>
      </c>
      <c r="P848" s="21" t="n">
        <f aca="false">IFERROR(O848/M848,0)</f>
        <v>0.412157648630595</v>
      </c>
      <c r="Q848" s="6" t="str">
        <f aca="false">Orders!H848</f>
        <v>Delivered</v>
      </c>
      <c r="R848" s="1" t="str">
        <f aca="false">INDEX(Customers!$C$2:$C$301,MATCH(C848,Customers!$A$2:$A$301,0))</f>
        <v>Visakhapatnam</v>
      </c>
      <c r="S848" s="1" t="str">
        <f aca="false">INDEX(Customers!$E$2:$E$301,MATCH(C848,Customers!$A$2:$A$301,0))</f>
        <v>New</v>
      </c>
      <c r="T848" s="6" t="str">
        <f aca="false">Orders!I848</f>
        <v>Mobile App</v>
      </c>
      <c r="U848" s="1" t="str">
        <f aca="false">IF(Q848="Delivered","Completed",IF(Q848="Cancelled","Cancelled",IF(Q848="Returned","Returned","In Progress")))</f>
        <v>Completed</v>
      </c>
      <c r="V848" s="1" t="str">
        <f aca="false">IF(M848&gt;=10000,"High Value",IF(M848&gt;=5000,"Medium Value","Low Value"))</f>
        <v>Low Value</v>
      </c>
      <c r="W848" s="1" t="str">
        <f aca="false">IF(O848&gt;0,"Profitable",IF(O848=0,"Break-even","Loss"))</f>
        <v>Profitable</v>
      </c>
      <c r="X848" s="1" t="str">
        <f aca="false">IF(Q848="Cancelled","Not Applicable",IF(Q848="Processing","Pending",IF(B848="","Unknown",IF(Orders!J848="","Unknown",IF(Orders!J848&lt;=3,"Fast",IF(Orders!J848&lt;=6,"Standard","Slow"))))))</f>
        <v>Slow</v>
      </c>
      <c r="Y848" s="1" t="n">
        <f aca="false">IF(OR(Q848="Cancelled",Q848="Returned"),0,O848)</f>
        <v>308.5</v>
      </c>
    </row>
    <row r="849" customFormat="false" ht="15" hidden="false" customHeight="false" outlineLevel="0" collapsed="false">
      <c r="A849" s="6" t="str">
        <f aca="false">Orders!A849</f>
        <v>O000848</v>
      </c>
      <c r="B849" s="19" t="n">
        <f aca="false">Orders!B849</f>
        <v>45910</v>
      </c>
      <c r="C849" s="6" t="str">
        <f aca="false">Orders!C849</f>
        <v>C0297</v>
      </c>
      <c r="D849" s="6" t="str">
        <f aca="false">Orders!D849</f>
        <v>P1038</v>
      </c>
      <c r="E849" s="6" t="str">
        <f aca="false">INDEX(Products!$B$2:$B$101,MATCH(D849,Products!$A$2:$A$101,0))</f>
        <v>Laundry Basket</v>
      </c>
      <c r="F849" s="1" t="str">
        <f aca="false">INDEX(Products!$C$2:$C$101,MATCH(D849,Products!$A$2:$A$101,0))</f>
        <v>Home &amp; Kitchen</v>
      </c>
      <c r="G849" s="6" t="n">
        <f aca="false">Orders!E849</f>
        <v>1</v>
      </c>
      <c r="H849" s="16" t="n">
        <f aca="false">INDEX(Products!$D$2:$D$101,MATCH(D849,Products!$A$2:$A$101,0))</f>
        <v>599</v>
      </c>
      <c r="I849" s="16" t="n">
        <f aca="false">INDEX(Products!$E$2:$E$101,MATCH(D849,Products!$A$2:$A$101,0))</f>
        <v>260</v>
      </c>
      <c r="J849" s="20" t="n">
        <f aca="false">Orders!F849</f>
        <v>0.1</v>
      </c>
      <c r="K849" s="6" t="n">
        <f aca="false">G849*H849</f>
        <v>599</v>
      </c>
      <c r="L849" s="6" t="n">
        <f aca="false">K849*J849</f>
        <v>59.9</v>
      </c>
      <c r="M849" s="6" t="n">
        <f aca="false">K849-L849</f>
        <v>539.1</v>
      </c>
      <c r="N849" s="6" t="n">
        <f aca="false">G849*I849</f>
        <v>260</v>
      </c>
      <c r="O849" s="6" t="n">
        <f aca="false">M849-N849</f>
        <v>279.1</v>
      </c>
      <c r="P849" s="21" t="n">
        <f aca="false">IFERROR(O849/M849,0)</f>
        <v>0.517714709701354</v>
      </c>
      <c r="Q849" s="6" t="str">
        <f aca="false">Orders!H849</f>
        <v>Shipped</v>
      </c>
      <c r="R849" s="1" t="str">
        <f aca="false">INDEX(Customers!$C$2:$C$301,MATCH(C849,Customers!$A$2:$A$301,0))</f>
        <v>Surat</v>
      </c>
      <c r="S849" s="1" t="str">
        <f aca="false">INDEX(Customers!$E$2:$E$301,MATCH(C849,Customers!$A$2:$A$301,0))</f>
        <v>New</v>
      </c>
      <c r="T849" s="6" t="str">
        <f aca="false">Orders!I849</f>
        <v>Mobile App</v>
      </c>
      <c r="U849" s="1" t="str">
        <f aca="false">IF(Q849="Delivered","Completed",IF(Q849="Cancelled","Cancelled",IF(Q849="Returned","Returned","In Progress")))</f>
        <v>In Progress</v>
      </c>
      <c r="V849" s="1" t="str">
        <f aca="false">IF(M849&gt;=10000,"High Value",IF(M849&gt;=5000,"Medium Value","Low Value"))</f>
        <v>Low Value</v>
      </c>
      <c r="W849" s="1" t="str">
        <f aca="false">IF(O849&gt;0,"Profitable",IF(O849=0,"Break-even","Loss"))</f>
        <v>Profitable</v>
      </c>
      <c r="X849" s="1" t="str">
        <f aca="false">IF(Q849="Cancelled","Not Applicable",IF(Q849="Processing","Pending",IF(B849="","Unknown",IF(Orders!J849="","Unknown",IF(Orders!J849&lt;=3,"Fast",IF(Orders!J849&lt;=6,"Standard","Slow"))))))</f>
        <v>Fast</v>
      </c>
      <c r="Y849" s="1" t="n">
        <f aca="false">IF(OR(Q849="Cancelled",Q849="Returned"),0,O849)</f>
        <v>279.1</v>
      </c>
    </row>
    <row r="850" customFormat="false" ht="15" hidden="false" customHeight="false" outlineLevel="0" collapsed="false">
      <c r="A850" s="6" t="str">
        <f aca="false">Orders!A850</f>
        <v>O000849</v>
      </c>
      <c r="B850" s="19" t="n">
        <f aca="false">Orders!B850</f>
        <v>45799</v>
      </c>
      <c r="C850" s="6" t="str">
        <f aca="false">Orders!C850</f>
        <v>C0087</v>
      </c>
      <c r="D850" s="6" t="str">
        <f aca="false">Orders!D850</f>
        <v>P1052</v>
      </c>
      <c r="E850" s="6" t="str">
        <f aca="false">INDEX(Products!$B$2:$B$101,MATCH(D850,Products!$A$2:$A$101,0))</f>
        <v>Lip Balm Set</v>
      </c>
      <c r="F850" s="1" t="str">
        <f aca="false">INDEX(Products!$C$2:$C$101,MATCH(D850,Products!$A$2:$A$101,0))</f>
        <v>Beauty</v>
      </c>
      <c r="G850" s="6" t="n">
        <f aca="false">Orders!E850</f>
        <v>1</v>
      </c>
      <c r="H850" s="16" t="n">
        <f aca="false">INDEX(Products!$D$2:$D$101,MATCH(D850,Products!$A$2:$A$101,0))</f>
        <v>249</v>
      </c>
      <c r="I850" s="16" t="n">
        <f aca="false">INDEX(Products!$E$2:$E$101,MATCH(D850,Products!$A$2:$A$101,0))</f>
        <v>90</v>
      </c>
      <c r="J850" s="20" t="n">
        <f aca="false">Orders!F850</f>
        <v>0.15</v>
      </c>
      <c r="K850" s="6" t="n">
        <f aca="false">G850*H850</f>
        <v>249</v>
      </c>
      <c r="L850" s="6" t="n">
        <f aca="false">K850*J850</f>
        <v>37.35</v>
      </c>
      <c r="M850" s="6" t="n">
        <f aca="false">K850-L850</f>
        <v>211.65</v>
      </c>
      <c r="N850" s="6" t="n">
        <f aca="false">G850*I850</f>
        <v>90</v>
      </c>
      <c r="O850" s="6" t="n">
        <f aca="false">M850-N850</f>
        <v>121.65</v>
      </c>
      <c r="P850" s="21" t="n">
        <f aca="false">IFERROR(O850/M850,0)</f>
        <v>0.574769666902906</v>
      </c>
      <c r="Q850" s="6" t="str">
        <f aca="false">Orders!H850</f>
        <v>Delivered</v>
      </c>
      <c r="R850" s="1" t="str">
        <f aca="false">INDEX(Customers!$C$2:$C$301,MATCH(C850,Customers!$A$2:$A$301,0))</f>
        <v>Pune</v>
      </c>
      <c r="S850" s="1" t="str">
        <f aca="false">INDEX(Customers!$E$2:$E$301,MATCH(C850,Customers!$A$2:$A$301,0))</f>
        <v>New</v>
      </c>
      <c r="T850" s="6" t="str">
        <f aca="false">Orders!I850</f>
        <v>Mobile App</v>
      </c>
      <c r="U850" s="1" t="str">
        <f aca="false">IF(Q850="Delivered","Completed",IF(Q850="Cancelled","Cancelled",IF(Q850="Returned","Returned","In Progress")))</f>
        <v>Completed</v>
      </c>
      <c r="V850" s="1" t="str">
        <f aca="false">IF(M850&gt;=10000,"High Value",IF(M850&gt;=5000,"Medium Value","Low Value"))</f>
        <v>Low Value</v>
      </c>
      <c r="W850" s="1" t="str">
        <f aca="false">IF(O850&gt;0,"Profitable",IF(O850=0,"Break-even","Loss"))</f>
        <v>Profitable</v>
      </c>
      <c r="X850" s="1" t="str">
        <f aca="false">IF(Q850="Cancelled","Not Applicable",IF(Q850="Processing","Pending",IF(B850="","Unknown",IF(Orders!J850="","Unknown",IF(Orders!J850&lt;=3,"Fast",IF(Orders!J850&lt;=6,"Standard","Slow"))))))</f>
        <v>Slow</v>
      </c>
      <c r="Y850" s="1" t="n">
        <f aca="false">IF(OR(Q850="Cancelled",Q850="Returned"),0,O850)</f>
        <v>121.65</v>
      </c>
    </row>
    <row r="851" customFormat="false" ht="15" hidden="false" customHeight="false" outlineLevel="0" collapsed="false">
      <c r="A851" s="6" t="str">
        <f aca="false">Orders!A851</f>
        <v>O000850</v>
      </c>
      <c r="B851" s="19" t="n">
        <f aca="false">Orders!B851</f>
        <v>45759</v>
      </c>
      <c r="C851" s="6" t="str">
        <f aca="false">Orders!C851</f>
        <v>C0022</v>
      </c>
      <c r="D851" s="6" t="str">
        <f aca="false">Orders!D851</f>
        <v>P1005</v>
      </c>
      <c r="E851" s="6" t="str">
        <f aca="false">INDEX(Products!$B$2:$B$101,MATCH(D851,Products!$A$2:$A$101,0))</f>
        <v>Power Bank</v>
      </c>
      <c r="F851" s="1" t="str">
        <f aca="false">INDEX(Products!$C$2:$C$101,MATCH(D851,Products!$A$2:$A$101,0))</f>
        <v>Electronics</v>
      </c>
      <c r="G851" s="6" t="n">
        <f aca="false">Orders!E851</f>
        <v>1</v>
      </c>
      <c r="H851" s="16" t="n">
        <f aca="false">INDEX(Products!$D$2:$D$101,MATCH(D851,Products!$A$2:$A$101,0))</f>
        <v>1199</v>
      </c>
      <c r="I851" s="16" t="n">
        <f aca="false">INDEX(Products!$E$2:$E$101,MATCH(D851,Products!$A$2:$A$101,0))</f>
        <v>650</v>
      </c>
      <c r="J851" s="20" t="n">
        <f aca="false">Orders!F851</f>
        <v>0.15</v>
      </c>
      <c r="K851" s="6" t="n">
        <f aca="false">G851*H851</f>
        <v>1199</v>
      </c>
      <c r="L851" s="6" t="n">
        <f aca="false">K851*J851</f>
        <v>179.85</v>
      </c>
      <c r="M851" s="6" t="n">
        <f aca="false">K851-L851</f>
        <v>1019.15</v>
      </c>
      <c r="N851" s="6" t="n">
        <f aca="false">G851*I851</f>
        <v>650</v>
      </c>
      <c r="O851" s="6" t="n">
        <f aca="false">M851-N851</f>
        <v>369.15</v>
      </c>
      <c r="P851" s="21" t="n">
        <f aca="false">IFERROR(O851/M851,0)</f>
        <v>0.362213609380366</v>
      </c>
      <c r="Q851" s="6" t="str">
        <f aca="false">Orders!H851</f>
        <v>Delivered</v>
      </c>
      <c r="R851" s="1" t="str">
        <f aca="false">INDEX(Customers!$C$2:$C$301,MATCH(C851,Customers!$A$2:$A$301,0))</f>
        <v>Mumbai</v>
      </c>
      <c r="S851" s="1" t="str">
        <f aca="false">INDEX(Customers!$E$2:$E$301,MATCH(C851,Customers!$A$2:$A$301,0))</f>
        <v>Returning</v>
      </c>
      <c r="T851" s="6" t="str">
        <f aca="false">Orders!I851</f>
        <v>Mobile App</v>
      </c>
      <c r="U851" s="1" t="str">
        <f aca="false">IF(Q851="Delivered","Completed",IF(Q851="Cancelled","Cancelled",IF(Q851="Returned","Returned","In Progress")))</f>
        <v>Completed</v>
      </c>
      <c r="V851" s="1" t="str">
        <f aca="false">IF(M851&gt;=10000,"High Value",IF(M851&gt;=5000,"Medium Value","Low Value"))</f>
        <v>Low Value</v>
      </c>
      <c r="W851" s="1" t="str">
        <f aca="false">IF(O851&gt;0,"Profitable",IF(O851=0,"Break-even","Loss"))</f>
        <v>Profitable</v>
      </c>
      <c r="X851" s="1" t="str">
        <f aca="false">IF(Q851="Cancelled","Not Applicable",IF(Q851="Processing","Pending",IF(B851="","Unknown",IF(Orders!J851="","Unknown",IF(Orders!J851&lt;=3,"Fast",IF(Orders!J851&lt;=6,"Standard","Slow"))))))</f>
        <v>Slow</v>
      </c>
      <c r="Y851" s="1" t="n">
        <f aca="false">IF(OR(Q851="Cancelled",Q851="Returned"),0,O851)</f>
        <v>369.15</v>
      </c>
    </row>
    <row r="852" customFormat="false" ht="15" hidden="false" customHeight="false" outlineLevel="0" collapsed="false">
      <c r="A852" s="6" t="str">
        <f aca="false">Orders!A852</f>
        <v>O000851</v>
      </c>
      <c r="B852" s="19" t="n">
        <f aca="false">Orders!B852</f>
        <v>45995</v>
      </c>
      <c r="C852" s="6" t="str">
        <f aca="false">Orders!C852</f>
        <v>C0140</v>
      </c>
      <c r="D852" s="6" t="str">
        <f aca="false">Orders!D852</f>
        <v>P1043</v>
      </c>
      <c r="E852" s="6" t="str">
        <f aca="false">INDEX(Products!$B$2:$B$101,MATCH(D852,Products!$A$2:$A$101,0))</f>
        <v>Kitchen Rack</v>
      </c>
      <c r="F852" s="1" t="str">
        <f aca="false">INDEX(Products!$C$2:$C$101,MATCH(D852,Products!$A$2:$A$101,0))</f>
        <v>Home &amp; Kitchen</v>
      </c>
      <c r="G852" s="6" t="n">
        <f aca="false">Orders!E852</f>
        <v>1</v>
      </c>
      <c r="H852" s="16" t="n">
        <f aca="false">INDEX(Products!$D$2:$D$101,MATCH(D852,Products!$A$2:$A$101,0))</f>
        <v>1299</v>
      </c>
      <c r="I852" s="16" t="n">
        <f aca="false">INDEX(Products!$E$2:$E$101,MATCH(D852,Products!$A$2:$A$101,0))</f>
        <v>700</v>
      </c>
      <c r="J852" s="20" t="n">
        <f aca="false">Orders!F852</f>
        <v>0.05</v>
      </c>
      <c r="K852" s="6" t="n">
        <f aca="false">G852*H852</f>
        <v>1299</v>
      </c>
      <c r="L852" s="6" t="n">
        <f aca="false">K852*J852</f>
        <v>64.95</v>
      </c>
      <c r="M852" s="6" t="n">
        <f aca="false">K852-L852</f>
        <v>1234.05</v>
      </c>
      <c r="N852" s="6" t="n">
        <f aca="false">G852*I852</f>
        <v>700</v>
      </c>
      <c r="O852" s="6" t="n">
        <f aca="false">M852-N852</f>
        <v>534.05</v>
      </c>
      <c r="P852" s="21" t="n">
        <f aca="false">IFERROR(O852/M852,0)</f>
        <v>0.432762043677323</v>
      </c>
      <c r="Q852" s="6" t="str">
        <f aca="false">Orders!H852</f>
        <v>Delivered</v>
      </c>
      <c r="R852" s="1" t="str">
        <f aca="false">INDEX(Customers!$C$2:$C$301,MATCH(C852,Customers!$A$2:$A$301,0))</f>
        <v>Visakhapatnam</v>
      </c>
      <c r="S852" s="1" t="str">
        <f aca="false">INDEX(Customers!$E$2:$E$301,MATCH(C852,Customers!$A$2:$A$301,0))</f>
        <v>New</v>
      </c>
      <c r="T852" s="6" t="str">
        <f aca="false">Orders!I852</f>
        <v>Website</v>
      </c>
      <c r="U852" s="1" t="str">
        <f aca="false">IF(Q852="Delivered","Completed",IF(Q852="Cancelled","Cancelled",IF(Q852="Returned","Returned","In Progress")))</f>
        <v>Completed</v>
      </c>
      <c r="V852" s="1" t="str">
        <f aca="false">IF(M852&gt;=10000,"High Value",IF(M852&gt;=5000,"Medium Value","Low Value"))</f>
        <v>Low Value</v>
      </c>
      <c r="W852" s="1" t="str">
        <f aca="false">IF(O852&gt;0,"Profitable",IF(O852=0,"Break-even","Loss"))</f>
        <v>Profitable</v>
      </c>
      <c r="X852" s="1" t="str">
        <f aca="false">IF(Q852="Cancelled","Not Applicable",IF(Q852="Processing","Pending",IF(B852="","Unknown",IF(Orders!J852="","Unknown",IF(Orders!J852&lt;=3,"Fast",IF(Orders!J852&lt;=6,"Standard","Slow"))))))</f>
        <v>Fast</v>
      </c>
      <c r="Y852" s="1" t="n">
        <f aca="false">IF(OR(Q852="Cancelled",Q852="Returned"),0,O852)</f>
        <v>534.05</v>
      </c>
    </row>
    <row r="853" customFormat="false" ht="15" hidden="false" customHeight="false" outlineLevel="0" collapsed="false">
      <c r="A853" s="6" t="str">
        <f aca="false">Orders!A853</f>
        <v>O000852</v>
      </c>
      <c r="B853" s="19" t="n">
        <f aca="false">Orders!B853</f>
        <v>45765</v>
      </c>
      <c r="C853" s="6" t="str">
        <f aca="false">Orders!C853</f>
        <v>C0291</v>
      </c>
      <c r="D853" s="6" t="str">
        <f aca="false">Orders!D853</f>
        <v>P1028</v>
      </c>
      <c r="E853" s="6" t="str">
        <f aca="false">INDEX(Products!$B$2:$B$101,MATCH(D853,Products!$A$2:$A$101,0))</f>
        <v>Sneakers</v>
      </c>
      <c r="F853" s="1" t="str">
        <f aca="false">INDEX(Products!$C$2:$C$101,MATCH(D853,Products!$A$2:$A$101,0))</f>
        <v>Fashion</v>
      </c>
      <c r="G853" s="6" t="n">
        <f aca="false">Orders!E853</f>
        <v>2</v>
      </c>
      <c r="H853" s="16" t="n">
        <f aca="false">INDEX(Products!$D$2:$D$101,MATCH(D853,Products!$A$2:$A$101,0))</f>
        <v>1799</v>
      </c>
      <c r="I853" s="16" t="n">
        <f aca="false">INDEX(Products!$E$2:$E$101,MATCH(D853,Products!$A$2:$A$101,0))</f>
        <v>950</v>
      </c>
      <c r="J853" s="20" t="n">
        <f aca="false">Orders!F853</f>
        <v>0.15</v>
      </c>
      <c r="K853" s="6" t="n">
        <f aca="false">G853*H853</f>
        <v>3598</v>
      </c>
      <c r="L853" s="6" t="n">
        <f aca="false">K853*J853</f>
        <v>539.7</v>
      </c>
      <c r="M853" s="6" t="n">
        <f aca="false">K853-L853</f>
        <v>3058.3</v>
      </c>
      <c r="N853" s="6" t="n">
        <f aca="false">G853*I853</f>
        <v>1900</v>
      </c>
      <c r="O853" s="6" t="n">
        <f aca="false">M853-N853</f>
        <v>1158.3</v>
      </c>
      <c r="P853" s="21" t="n">
        <f aca="false">IFERROR(O853/M853,0)</f>
        <v>0.37873982277736</v>
      </c>
      <c r="Q853" s="6" t="str">
        <f aca="false">Orders!H853</f>
        <v>Shipped</v>
      </c>
      <c r="R853" s="1" t="str">
        <f aca="false">INDEX(Customers!$C$2:$C$301,MATCH(C853,Customers!$A$2:$A$301,0))</f>
        <v>Gurugram</v>
      </c>
      <c r="S853" s="1" t="str">
        <f aca="false">INDEX(Customers!$E$2:$E$301,MATCH(C853,Customers!$A$2:$A$301,0))</f>
        <v>Returning</v>
      </c>
      <c r="T853" s="6" t="str">
        <f aca="false">Orders!I853</f>
        <v>Marketplace</v>
      </c>
      <c r="U853" s="1" t="str">
        <f aca="false">IF(Q853="Delivered","Completed",IF(Q853="Cancelled","Cancelled",IF(Q853="Returned","Returned","In Progress")))</f>
        <v>In Progress</v>
      </c>
      <c r="V853" s="1" t="str">
        <f aca="false">IF(M853&gt;=10000,"High Value",IF(M853&gt;=5000,"Medium Value","Low Value"))</f>
        <v>Low Value</v>
      </c>
      <c r="W853" s="1" t="str">
        <f aca="false">IF(O853&gt;0,"Profitable",IF(O853=0,"Break-even","Loss"))</f>
        <v>Profitable</v>
      </c>
      <c r="X853" s="1" t="str">
        <f aca="false">IF(Q853="Cancelled","Not Applicable",IF(Q853="Processing","Pending",IF(B853="","Unknown",IF(Orders!J853="","Unknown",IF(Orders!J853&lt;=3,"Fast",IF(Orders!J853&lt;=6,"Standard","Slow"))))))</f>
        <v>Standard</v>
      </c>
      <c r="Y853" s="1" t="n">
        <f aca="false">IF(OR(Q853="Cancelled",Q853="Returned"),0,O853)</f>
        <v>1158.3</v>
      </c>
    </row>
    <row r="854" customFormat="false" ht="15" hidden="false" customHeight="false" outlineLevel="0" collapsed="false">
      <c r="A854" s="6" t="str">
        <f aca="false">Orders!A854</f>
        <v>O000853</v>
      </c>
      <c r="B854" s="19" t="n">
        <f aca="false">Orders!B854</f>
        <v>45729</v>
      </c>
      <c r="C854" s="6" t="str">
        <f aca="false">Orders!C854</f>
        <v>C0029</v>
      </c>
      <c r="D854" s="6" t="str">
        <f aca="false">Orders!D854</f>
        <v>P1014</v>
      </c>
      <c r="E854" s="6" t="str">
        <f aca="false">INDEX(Products!$B$2:$B$101,MATCH(D854,Products!$A$2:$A$101,0))</f>
        <v>HDMI Cable</v>
      </c>
      <c r="F854" s="1" t="str">
        <f aca="false">INDEX(Products!$C$2:$C$101,MATCH(D854,Products!$A$2:$A$101,0))</f>
        <v>Electronics</v>
      </c>
      <c r="G854" s="6" t="n">
        <f aca="false">Orders!E854</f>
        <v>3</v>
      </c>
      <c r="H854" s="16" t="n">
        <f aca="false">INDEX(Products!$D$2:$D$101,MATCH(D854,Products!$A$2:$A$101,0))</f>
        <v>449</v>
      </c>
      <c r="I854" s="16" t="n">
        <f aca="false">INDEX(Products!$E$2:$E$101,MATCH(D854,Products!$A$2:$A$101,0))</f>
        <v>180</v>
      </c>
      <c r="J854" s="20" t="n">
        <f aca="false">Orders!F854</f>
        <v>0.05</v>
      </c>
      <c r="K854" s="6" t="n">
        <f aca="false">G854*H854</f>
        <v>1347</v>
      </c>
      <c r="L854" s="6" t="n">
        <f aca="false">K854*J854</f>
        <v>67.35</v>
      </c>
      <c r="M854" s="6" t="n">
        <f aca="false">K854-L854</f>
        <v>1279.65</v>
      </c>
      <c r="N854" s="6" t="n">
        <f aca="false">G854*I854</f>
        <v>540</v>
      </c>
      <c r="O854" s="6" t="n">
        <f aca="false">M854-N854</f>
        <v>739.65</v>
      </c>
      <c r="P854" s="21" t="n">
        <f aca="false">IFERROR(O854/M854,0)</f>
        <v>0.578009612003282</v>
      </c>
      <c r="Q854" s="6" t="str">
        <f aca="false">Orders!H854</f>
        <v>Shipped</v>
      </c>
      <c r="R854" s="1" t="str">
        <f aca="false">INDEX(Customers!$C$2:$C$301,MATCH(C854,Customers!$A$2:$A$301,0))</f>
        <v>Ahmedabad</v>
      </c>
      <c r="S854" s="1" t="str">
        <f aca="false">INDEX(Customers!$E$2:$E$301,MATCH(C854,Customers!$A$2:$A$301,0))</f>
        <v>Returning</v>
      </c>
      <c r="T854" s="6" t="str">
        <f aca="false">Orders!I854</f>
        <v>Mobile App</v>
      </c>
      <c r="U854" s="1" t="str">
        <f aca="false">IF(Q854="Delivered","Completed",IF(Q854="Cancelled","Cancelled",IF(Q854="Returned","Returned","In Progress")))</f>
        <v>In Progress</v>
      </c>
      <c r="V854" s="1" t="str">
        <f aca="false">IF(M854&gt;=10000,"High Value",IF(M854&gt;=5000,"Medium Value","Low Value"))</f>
        <v>Low Value</v>
      </c>
      <c r="W854" s="1" t="str">
        <f aca="false">IF(O854&gt;0,"Profitable",IF(O854=0,"Break-even","Loss"))</f>
        <v>Profitable</v>
      </c>
      <c r="X854" s="1" t="str">
        <f aca="false">IF(Q854="Cancelled","Not Applicable",IF(Q854="Processing","Pending",IF(B854="","Unknown",IF(Orders!J854="","Unknown",IF(Orders!J854&lt;=3,"Fast",IF(Orders!J854&lt;=6,"Standard","Slow"))))))</f>
        <v>Slow</v>
      </c>
      <c r="Y854" s="1" t="n">
        <f aca="false">IF(OR(Q854="Cancelled",Q854="Returned"),0,O854)</f>
        <v>739.65</v>
      </c>
    </row>
    <row r="855" customFormat="false" ht="15" hidden="false" customHeight="false" outlineLevel="0" collapsed="false">
      <c r="A855" s="6" t="str">
        <f aca="false">Orders!A855</f>
        <v>O000854</v>
      </c>
      <c r="B855" s="19" t="n">
        <f aca="false">Orders!B855</f>
        <v>45872</v>
      </c>
      <c r="C855" s="6" t="str">
        <f aca="false">Orders!C855</f>
        <v>C0238</v>
      </c>
      <c r="D855" s="6" t="str">
        <f aca="false">Orders!D855</f>
        <v>P1021</v>
      </c>
      <c r="E855" s="6" t="str">
        <f aca="false">INDEX(Products!$B$2:$B$101,MATCH(D855,Products!$A$2:$A$101,0))</f>
        <v>Handbag</v>
      </c>
      <c r="F855" s="1" t="str">
        <f aca="false">INDEX(Products!$C$2:$C$101,MATCH(D855,Products!$A$2:$A$101,0))</f>
        <v>Fashion</v>
      </c>
      <c r="G855" s="6" t="n">
        <f aca="false">Orders!E855</f>
        <v>2</v>
      </c>
      <c r="H855" s="16" t="n">
        <f aca="false">INDEX(Products!$D$2:$D$101,MATCH(D855,Products!$A$2:$A$101,0))</f>
        <v>1499</v>
      </c>
      <c r="I855" s="16" t="n">
        <f aca="false">INDEX(Products!$E$2:$E$101,MATCH(D855,Products!$A$2:$A$101,0))</f>
        <v>700</v>
      </c>
      <c r="J855" s="20" t="n">
        <f aca="false">Orders!F855</f>
        <v>0</v>
      </c>
      <c r="K855" s="6" t="n">
        <f aca="false">G855*H855</f>
        <v>2998</v>
      </c>
      <c r="L855" s="6" t="n">
        <f aca="false">K855*J855</f>
        <v>0</v>
      </c>
      <c r="M855" s="6" t="n">
        <f aca="false">K855-L855</f>
        <v>2998</v>
      </c>
      <c r="N855" s="6" t="n">
        <f aca="false">G855*I855</f>
        <v>1400</v>
      </c>
      <c r="O855" s="6" t="n">
        <f aca="false">M855-N855</f>
        <v>1598</v>
      </c>
      <c r="P855" s="21" t="n">
        <f aca="false">IFERROR(O855/M855,0)</f>
        <v>0.533022014676451</v>
      </c>
      <c r="Q855" s="6" t="str">
        <f aca="false">Orders!H855</f>
        <v>Cancelled</v>
      </c>
      <c r="R855" s="1" t="str">
        <f aca="false">INDEX(Customers!$C$2:$C$301,MATCH(C855,Customers!$A$2:$A$301,0))</f>
        <v>Nagpur</v>
      </c>
      <c r="S855" s="1" t="str">
        <f aca="false">INDEX(Customers!$E$2:$E$301,MATCH(C855,Customers!$A$2:$A$301,0))</f>
        <v>Returning</v>
      </c>
      <c r="T855" s="6" t="str">
        <f aca="false">Orders!I855</f>
        <v>Marketplace</v>
      </c>
      <c r="U855" s="1" t="str">
        <f aca="false">IF(Q855="Delivered","Completed",IF(Q855="Cancelled","Cancelled",IF(Q855="Returned","Returned","In Progress")))</f>
        <v>Cancelled</v>
      </c>
      <c r="V855" s="1" t="str">
        <f aca="false">IF(M855&gt;=10000,"High Value",IF(M855&gt;=5000,"Medium Value","Low Value"))</f>
        <v>Low Value</v>
      </c>
      <c r="W855" s="1" t="str">
        <f aca="false">IF(O855&gt;0,"Profitable",IF(O855=0,"Break-even","Loss"))</f>
        <v>Profitable</v>
      </c>
      <c r="X855" s="1" t="str">
        <f aca="false">IF(Q855="Cancelled","Not Applicable",IF(Q855="Processing","Pending",IF(B855="","Unknown",IF(Orders!J855="","Unknown",IF(Orders!J855&lt;=3,"Fast",IF(Orders!J855&lt;=6,"Standard","Slow"))))))</f>
        <v>Not Applicable</v>
      </c>
      <c r="Y855" s="1" t="n">
        <f aca="false">IF(OR(Q855="Cancelled",Q855="Returned"),0,O855)</f>
        <v>0</v>
      </c>
    </row>
    <row r="856" customFormat="false" ht="15" hidden="false" customHeight="false" outlineLevel="0" collapsed="false">
      <c r="A856" s="6" t="str">
        <f aca="false">Orders!A856</f>
        <v>O000855</v>
      </c>
      <c r="B856" s="19" t="n">
        <f aca="false">Orders!B856</f>
        <v>45806</v>
      </c>
      <c r="C856" s="6" t="str">
        <f aca="false">Orders!C856</f>
        <v>C0014</v>
      </c>
      <c r="D856" s="6" t="str">
        <f aca="false">Orders!D856</f>
        <v>P1048</v>
      </c>
      <c r="E856" s="6" t="str">
        <f aca="false">INDEX(Products!$B$2:$B$101,MATCH(D856,Products!$A$2:$A$101,0))</f>
        <v>Shampoo</v>
      </c>
      <c r="F856" s="1" t="str">
        <f aca="false">INDEX(Products!$C$2:$C$101,MATCH(D856,Products!$A$2:$A$101,0))</f>
        <v>Beauty</v>
      </c>
      <c r="G856" s="6" t="n">
        <f aca="false">Orders!E856</f>
        <v>3</v>
      </c>
      <c r="H856" s="16" t="n">
        <f aca="false">INDEX(Products!$D$2:$D$101,MATCH(D856,Products!$A$2:$A$101,0))</f>
        <v>349</v>
      </c>
      <c r="I856" s="16" t="n">
        <f aca="false">INDEX(Products!$E$2:$E$101,MATCH(D856,Products!$A$2:$A$101,0))</f>
        <v>150</v>
      </c>
      <c r="J856" s="20" t="n">
        <f aca="false">Orders!F856</f>
        <v>0.15</v>
      </c>
      <c r="K856" s="6" t="n">
        <f aca="false">G856*H856</f>
        <v>1047</v>
      </c>
      <c r="L856" s="6" t="n">
        <f aca="false">K856*J856</f>
        <v>157.05</v>
      </c>
      <c r="M856" s="6" t="n">
        <f aca="false">K856-L856</f>
        <v>889.95</v>
      </c>
      <c r="N856" s="6" t="n">
        <f aca="false">G856*I856</f>
        <v>450</v>
      </c>
      <c r="O856" s="6" t="n">
        <f aca="false">M856-N856</f>
        <v>439.95</v>
      </c>
      <c r="P856" s="21" t="n">
        <f aca="false">IFERROR(O856/M856,0)</f>
        <v>0.49435361537165</v>
      </c>
      <c r="Q856" s="6" t="str">
        <f aca="false">Orders!H856</f>
        <v>Delivered</v>
      </c>
      <c r="R856" s="1" t="str">
        <f aca="false">INDEX(Customers!$C$2:$C$301,MATCH(C856,Customers!$A$2:$A$301,0))</f>
        <v>Indore</v>
      </c>
      <c r="S856" s="1" t="str">
        <f aca="false">INDEX(Customers!$E$2:$E$301,MATCH(C856,Customers!$A$2:$A$301,0))</f>
        <v>Returning</v>
      </c>
      <c r="T856" s="6" t="str">
        <f aca="false">Orders!I856</f>
        <v>Marketplace</v>
      </c>
      <c r="U856" s="1" t="str">
        <f aca="false">IF(Q856="Delivered","Completed",IF(Q856="Cancelled","Cancelled",IF(Q856="Returned","Returned","In Progress")))</f>
        <v>Completed</v>
      </c>
      <c r="V856" s="1" t="str">
        <f aca="false">IF(M856&gt;=10000,"High Value",IF(M856&gt;=5000,"Medium Value","Low Value"))</f>
        <v>Low Value</v>
      </c>
      <c r="W856" s="1" t="str">
        <f aca="false">IF(O856&gt;0,"Profitable",IF(O856=0,"Break-even","Loss"))</f>
        <v>Profitable</v>
      </c>
      <c r="X856" s="1" t="str">
        <f aca="false">IF(Q856="Cancelled","Not Applicable",IF(Q856="Processing","Pending",IF(B856="","Unknown",IF(Orders!J856="","Unknown",IF(Orders!J856&lt;=3,"Fast",IF(Orders!J856&lt;=6,"Standard","Slow"))))))</f>
        <v>Standard</v>
      </c>
      <c r="Y856" s="1" t="n">
        <f aca="false">IF(OR(Q856="Cancelled",Q856="Returned"),0,O856)</f>
        <v>439.95</v>
      </c>
    </row>
    <row r="857" customFormat="false" ht="15" hidden="false" customHeight="false" outlineLevel="0" collapsed="false">
      <c r="A857" s="6" t="str">
        <f aca="false">Orders!A857</f>
        <v>O000856</v>
      </c>
      <c r="B857" s="19" t="n">
        <f aca="false">Orders!B857</f>
        <v>45916</v>
      </c>
      <c r="C857" s="6" t="str">
        <f aca="false">Orders!C857</f>
        <v>C0118</v>
      </c>
      <c r="D857" s="6" t="str">
        <f aca="false">Orders!D857</f>
        <v>P1042</v>
      </c>
      <c r="E857" s="6" t="str">
        <f aca="false">INDEX(Products!$B$2:$B$101,MATCH(D857,Products!$A$2:$A$101,0))</f>
        <v>Bath Towel Set</v>
      </c>
      <c r="F857" s="1" t="str">
        <f aca="false">INDEX(Products!$C$2:$C$101,MATCH(D857,Products!$A$2:$A$101,0))</f>
        <v>Home &amp; Kitchen</v>
      </c>
      <c r="G857" s="6" t="n">
        <f aca="false">Orders!E857</f>
        <v>1</v>
      </c>
      <c r="H857" s="16" t="n">
        <f aca="false">INDEX(Products!$D$2:$D$101,MATCH(D857,Products!$A$2:$A$101,0))</f>
        <v>799</v>
      </c>
      <c r="I857" s="16" t="n">
        <f aca="false">INDEX(Products!$E$2:$E$101,MATCH(D857,Products!$A$2:$A$101,0))</f>
        <v>360</v>
      </c>
      <c r="J857" s="20" t="n">
        <f aca="false">Orders!F857</f>
        <v>0.25</v>
      </c>
      <c r="K857" s="6" t="n">
        <f aca="false">G857*H857</f>
        <v>799</v>
      </c>
      <c r="L857" s="6" t="n">
        <f aca="false">K857*J857</f>
        <v>199.75</v>
      </c>
      <c r="M857" s="6" t="n">
        <f aca="false">K857-L857</f>
        <v>599.25</v>
      </c>
      <c r="N857" s="6" t="n">
        <f aca="false">G857*I857</f>
        <v>360</v>
      </c>
      <c r="O857" s="6" t="n">
        <f aca="false">M857-N857</f>
        <v>239.25</v>
      </c>
      <c r="P857" s="21" t="n">
        <f aca="false">IFERROR(O857/M857,0)</f>
        <v>0.399249061326658</v>
      </c>
      <c r="Q857" s="6" t="str">
        <f aca="false">Orders!H857</f>
        <v>Processing</v>
      </c>
      <c r="R857" s="1" t="str">
        <f aca="false">INDEX(Customers!$C$2:$C$301,MATCH(C857,Customers!$A$2:$A$301,0))</f>
        <v>Nagpur</v>
      </c>
      <c r="S857" s="1" t="str">
        <f aca="false">INDEX(Customers!$E$2:$E$301,MATCH(C857,Customers!$A$2:$A$301,0))</f>
        <v>Returning</v>
      </c>
      <c r="T857" s="6" t="str">
        <f aca="false">Orders!I857</f>
        <v>Mobile App</v>
      </c>
      <c r="U857" s="1" t="str">
        <f aca="false">IF(Q857="Delivered","Completed",IF(Q857="Cancelled","Cancelled",IF(Q857="Returned","Returned","In Progress")))</f>
        <v>In Progress</v>
      </c>
      <c r="V857" s="1" t="str">
        <f aca="false">IF(M857&gt;=10000,"High Value",IF(M857&gt;=5000,"Medium Value","Low Value"))</f>
        <v>Low Value</v>
      </c>
      <c r="W857" s="1" t="str">
        <f aca="false">IF(O857&gt;0,"Profitable",IF(O857=0,"Break-even","Loss"))</f>
        <v>Profitable</v>
      </c>
      <c r="X857" s="1" t="str">
        <f aca="false">IF(Q857="Cancelled","Not Applicable",IF(Q857="Processing","Pending",IF(B857="","Unknown",IF(Orders!J857="","Unknown",IF(Orders!J857&lt;=3,"Fast",IF(Orders!J857&lt;=6,"Standard","Slow"))))))</f>
        <v>Pending</v>
      </c>
      <c r="Y857" s="1" t="n">
        <f aca="false">IF(OR(Q857="Cancelled",Q857="Returned"),0,O857)</f>
        <v>239.25</v>
      </c>
    </row>
    <row r="858" customFormat="false" ht="15" hidden="false" customHeight="false" outlineLevel="0" collapsed="false">
      <c r="A858" s="6" t="str">
        <f aca="false">Orders!A858</f>
        <v>O000857</v>
      </c>
      <c r="B858" s="19" t="n">
        <f aca="false">Orders!B858</f>
        <v>45835</v>
      </c>
      <c r="C858" s="6" t="str">
        <f aca="false">Orders!C858</f>
        <v>C0231</v>
      </c>
      <c r="D858" s="6" t="str">
        <f aca="false">Orders!D858</f>
        <v>P1056</v>
      </c>
      <c r="E858" s="6" t="str">
        <f aca="false">INDEX(Products!$B$2:$B$101,MATCH(D858,Products!$A$2:$A$101,0))</f>
        <v>Hair Dryer</v>
      </c>
      <c r="F858" s="1" t="str">
        <f aca="false">INDEX(Products!$C$2:$C$101,MATCH(D858,Products!$A$2:$A$101,0))</f>
        <v>Beauty</v>
      </c>
      <c r="G858" s="6" t="n">
        <f aca="false">Orders!E858</f>
        <v>1</v>
      </c>
      <c r="H858" s="16" t="n">
        <f aca="false">INDEX(Products!$D$2:$D$101,MATCH(D858,Products!$A$2:$A$101,0))</f>
        <v>1299</v>
      </c>
      <c r="I858" s="16" t="n">
        <f aca="false">INDEX(Products!$E$2:$E$101,MATCH(D858,Products!$A$2:$A$101,0))</f>
        <v>750</v>
      </c>
      <c r="J858" s="20" t="n">
        <f aca="false">Orders!F858</f>
        <v>0.15</v>
      </c>
      <c r="K858" s="6" t="n">
        <f aca="false">G858*H858</f>
        <v>1299</v>
      </c>
      <c r="L858" s="6" t="n">
        <f aca="false">K858*J858</f>
        <v>194.85</v>
      </c>
      <c r="M858" s="6" t="n">
        <f aca="false">K858-L858</f>
        <v>1104.15</v>
      </c>
      <c r="N858" s="6" t="n">
        <f aca="false">G858*I858</f>
        <v>750</v>
      </c>
      <c r="O858" s="6" t="n">
        <f aca="false">M858-N858</f>
        <v>354.15</v>
      </c>
      <c r="P858" s="21" t="n">
        <f aca="false">IFERROR(O858/M858,0)</f>
        <v>0.320744464067382</v>
      </c>
      <c r="Q858" s="6" t="str">
        <f aca="false">Orders!H858</f>
        <v>Delivered</v>
      </c>
      <c r="R858" s="1" t="str">
        <f aca="false">INDEX(Customers!$C$2:$C$301,MATCH(C858,Customers!$A$2:$A$301,0))</f>
        <v>Gurugram</v>
      </c>
      <c r="S858" s="1" t="str">
        <f aca="false">INDEX(Customers!$E$2:$E$301,MATCH(C858,Customers!$A$2:$A$301,0))</f>
        <v>New</v>
      </c>
      <c r="T858" s="6" t="str">
        <f aca="false">Orders!I858</f>
        <v>Marketplace</v>
      </c>
      <c r="U858" s="1" t="str">
        <f aca="false">IF(Q858="Delivered","Completed",IF(Q858="Cancelled","Cancelled",IF(Q858="Returned","Returned","In Progress")))</f>
        <v>Completed</v>
      </c>
      <c r="V858" s="1" t="str">
        <f aca="false">IF(M858&gt;=10000,"High Value",IF(M858&gt;=5000,"Medium Value","Low Value"))</f>
        <v>Low Value</v>
      </c>
      <c r="W858" s="1" t="str">
        <f aca="false">IF(O858&gt;0,"Profitable",IF(O858=0,"Break-even","Loss"))</f>
        <v>Profitable</v>
      </c>
      <c r="X858" s="1" t="str">
        <f aca="false">IF(Q858="Cancelled","Not Applicable",IF(Q858="Processing","Pending",IF(B858="","Unknown",IF(Orders!J858="","Unknown",IF(Orders!J858&lt;=3,"Fast",IF(Orders!J858&lt;=6,"Standard","Slow"))))))</f>
        <v>Slow</v>
      </c>
      <c r="Y858" s="1" t="n">
        <f aca="false">IF(OR(Q858="Cancelled",Q858="Returned"),0,O858)</f>
        <v>354.15</v>
      </c>
    </row>
    <row r="859" customFormat="false" ht="15" hidden="false" customHeight="false" outlineLevel="0" collapsed="false">
      <c r="A859" s="6" t="str">
        <f aca="false">Orders!A859</f>
        <v>O000858</v>
      </c>
      <c r="B859" s="19" t="n">
        <f aca="false">Orders!B859</f>
        <v>45934</v>
      </c>
      <c r="C859" s="6" t="str">
        <f aca="false">Orders!C859</f>
        <v>C0209</v>
      </c>
      <c r="D859" s="6" t="str">
        <f aca="false">Orders!D859</f>
        <v>P1057</v>
      </c>
      <c r="E859" s="6" t="str">
        <f aca="false">INDEX(Products!$B$2:$B$101,MATCH(D859,Products!$A$2:$A$101,0))</f>
        <v>Comb Set</v>
      </c>
      <c r="F859" s="1" t="str">
        <f aca="false">INDEX(Products!$C$2:$C$101,MATCH(D859,Products!$A$2:$A$101,0))</f>
        <v>Beauty</v>
      </c>
      <c r="G859" s="6" t="n">
        <f aca="false">Orders!E859</f>
        <v>1</v>
      </c>
      <c r="H859" s="16" t="n">
        <f aca="false">INDEX(Products!$D$2:$D$101,MATCH(D859,Products!$A$2:$A$101,0))</f>
        <v>199</v>
      </c>
      <c r="I859" s="16" t="n">
        <f aca="false">INDEX(Products!$E$2:$E$101,MATCH(D859,Products!$A$2:$A$101,0))</f>
        <v>65</v>
      </c>
      <c r="J859" s="20" t="n">
        <f aca="false">Orders!F859</f>
        <v>0.2</v>
      </c>
      <c r="K859" s="6" t="n">
        <f aca="false">G859*H859</f>
        <v>199</v>
      </c>
      <c r="L859" s="6" t="n">
        <f aca="false">K859*J859</f>
        <v>39.8</v>
      </c>
      <c r="M859" s="6" t="n">
        <f aca="false">K859-L859</f>
        <v>159.2</v>
      </c>
      <c r="N859" s="6" t="n">
        <f aca="false">G859*I859</f>
        <v>65</v>
      </c>
      <c r="O859" s="6" t="n">
        <f aca="false">M859-N859</f>
        <v>94.2</v>
      </c>
      <c r="P859" s="21" t="n">
        <f aca="false">IFERROR(O859/M859,0)</f>
        <v>0.591708542713568</v>
      </c>
      <c r="Q859" s="6" t="str">
        <f aca="false">Orders!H859</f>
        <v>Delivered</v>
      </c>
      <c r="R859" s="1" t="str">
        <f aca="false">INDEX(Customers!$C$2:$C$301,MATCH(C859,Customers!$A$2:$A$301,0))</f>
        <v>Ahmedabad</v>
      </c>
      <c r="S859" s="1" t="str">
        <f aca="false">INDEX(Customers!$E$2:$E$301,MATCH(C859,Customers!$A$2:$A$301,0))</f>
        <v>Returning</v>
      </c>
      <c r="T859" s="6" t="str">
        <f aca="false">Orders!I859</f>
        <v>Marketplace</v>
      </c>
      <c r="U859" s="1" t="str">
        <f aca="false">IF(Q859="Delivered","Completed",IF(Q859="Cancelled","Cancelled",IF(Q859="Returned","Returned","In Progress")))</f>
        <v>Completed</v>
      </c>
      <c r="V859" s="1" t="str">
        <f aca="false">IF(M859&gt;=10000,"High Value",IF(M859&gt;=5000,"Medium Value","Low Value"))</f>
        <v>Low Value</v>
      </c>
      <c r="W859" s="1" t="str">
        <f aca="false">IF(O859&gt;0,"Profitable",IF(O859=0,"Break-even","Loss"))</f>
        <v>Profitable</v>
      </c>
      <c r="X859" s="1" t="str">
        <f aca="false">IF(Q859="Cancelled","Not Applicable",IF(Q859="Processing","Pending",IF(B859="","Unknown",IF(Orders!J859="","Unknown",IF(Orders!J859&lt;=3,"Fast",IF(Orders!J859&lt;=6,"Standard","Slow"))))))</f>
        <v>Slow</v>
      </c>
      <c r="Y859" s="1" t="n">
        <f aca="false">IF(OR(Q859="Cancelled",Q859="Returned"),0,O859)</f>
        <v>94.2</v>
      </c>
    </row>
    <row r="860" customFormat="false" ht="15" hidden="false" customHeight="false" outlineLevel="0" collapsed="false">
      <c r="A860" s="6" t="str">
        <f aca="false">Orders!A860</f>
        <v>O000859</v>
      </c>
      <c r="B860" s="19" t="n">
        <f aca="false">Orders!B860</f>
        <v>45877</v>
      </c>
      <c r="C860" s="6" t="str">
        <f aca="false">Orders!C860</f>
        <v>C0290</v>
      </c>
      <c r="D860" s="6" t="str">
        <f aca="false">Orders!D860</f>
        <v>P1036</v>
      </c>
      <c r="E860" s="6" t="str">
        <f aca="false">INDEX(Products!$B$2:$B$101,MATCH(D860,Products!$A$2:$A$101,0))</f>
        <v>Dinner Set</v>
      </c>
      <c r="F860" s="1" t="str">
        <f aca="false">INDEX(Products!$C$2:$C$101,MATCH(D860,Products!$A$2:$A$101,0))</f>
        <v>Home &amp; Kitchen</v>
      </c>
      <c r="G860" s="6" t="n">
        <f aca="false">Orders!E860</f>
        <v>1</v>
      </c>
      <c r="H860" s="16" t="n">
        <f aca="false">INDEX(Products!$D$2:$D$101,MATCH(D860,Products!$A$2:$A$101,0))</f>
        <v>1499</v>
      </c>
      <c r="I860" s="16" t="n">
        <f aca="false">INDEX(Products!$E$2:$E$101,MATCH(D860,Products!$A$2:$A$101,0))</f>
        <v>800</v>
      </c>
      <c r="J860" s="20" t="n">
        <f aca="false">Orders!F860</f>
        <v>0</v>
      </c>
      <c r="K860" s="6" t="n">
        <f aca="false">G860*H860</f>
        <v>1499</v>
      </c>
      <c r="L860" s="6" t="n">
        <f aca="false">K860*J860</f>
        <v>0</v>
      </c>
      <c r="M860" s="6" t="n">
        <f aca="false">K860-L860</f>
        <v>1499</v>
      </c>
      <c r="N860" s="6" t="n">
        <f aca="false">G860*I860</f>
        <v>800</v>
      </c>
      <c r="O860" s="6" t="n">
        <f aca="false">M860-N860</f>
        <v>699</v>
      </c>
      <c r="P860" s="21" t="n">
        <f aca="false">IFERROR(O860/M860,0)</f>
        <v>0.466310873915944</v>
      </c>
      <c r="Q860" s="6" t="str">
        <f aca="false">Orders!H860</f>
        <v>Delivered</v>
      </c>
      <c r="R860" s="1" t="str">
        <f aca="false">INDEX(Customers!$C$2:$C$301,MATCH(C860,Customers!$A$2:$A$301,0))</f>
        <v>Lucknow</v>
      </c>
      <c r="S860" s="1" t="str">
        <f aca="false">INDEX(Customers!$E$2:$E$301,MATCH(C860,Customers!$A$2:$A$301,0))</f>
        <v>Returning</v>
      </c>
      <c r="T860" s="6" t="str">
        <f aca="false">Orders!I860</f>
        <v>Mobile App</v>
      </c>
      <c r="U860" s="1" t="str">
        <f aca="false">IF(Q860="Delivered","Completed",IF(Q860="Cancelled","Cancelled",IF(Q860="Returned","Returned","In Progress")))</f>
        <v>Completed</v>
      </c>
      <c r="V860" s="1" t="str">
        <f aca="false">IF(M860&gt;=10000,"High Value",IF(M860&gt;=5000,"Medium Value","Low Value"))</f>
        <v>Low Value</v>
      </c>
      <c r="W860" s="1" t="str">
        <f aca="false">IF(O860&gt;0,"Profitable",IF(O860=0,"Break-even","Loss"))</f>
        <v>Profitable</v>
      </c>
      <c r="X860" s="1" t="str">
        <f aca="false">IF(Q860="Cancelled","Not Applicable",IF(Q860="Processing","Pending",IF(B860="","Unknown",IF(Orders!J860="","Unknown",IF(Orders!J860&lt;=3,"Fast",IF(Orders!J860&lt;=6,"Standard","Slow"))))))</f>
        <v>Standard</v>
      </c>
      <c r="Y860" s="1" t="n">
        <f aca="false">IF(OR(Q860="Cancelled",Q860="Returned"),0,O860)</f>
        <v>699</v>
      </c>
    </row>
    <row r="861" customFormat="false" ht="15" hidden="false" customHeight="false" outlineLevel="0" collapsed="false">
      <c r="A861" s="6" t="str">
        <f aca="false">Orders!A861</f>
        <v>O000860</v>
      </c>
      <c r="B861" s="19" t="n">
        <f aca="false">Orders!B861</f>
        <v>46003</v>
      </c>
      <c r="C861" s="6" t="str">
        <f aca="false">Orders!C861</f>
        <v>C0219</v>
      </c>
      <c r="D861" s="6" t="str">
        <f aca="false">Orders!D861</f>
        <v>P1098</v>
      </c>
      <c r="E861" s="6" t="str">
        <f aca="false">INDEX(Products!$B$2:$B$101,MATCH(D861,Products!$A$2:$A$101,0))</f>
        <v>Steam Iron</v>
      </c>
      <c r="F861" s="1" t="str">
        <f aca="false">INDEX(Products!$C$2:$C$101,MATCH(D861,Products!$A$2:$A$101,0))</f>
        <v>Appliances</v>
      </c>
      <c r="G861" s="6" t="n">
        <f aca="false">Orders!E861</f>
        <v>2</v>
      </c>
      <c r="H861" s="16" t="n">
        <f aca="false">INDEX(Products!$D$2:$D$101,MATCH(D861,Products!$A$2:$A$101,0))</f>
        <v>999</v>
      </c>
      <c r="I861" s="16" t="n">
        <f aca="false">INDEX(Products!$E$2:$E$101,MATCH(D861,Products!$A$2:$A$101,0))</f>
        <v>550</v>
      </c>
      <c r="J861" s="20" t="n">
        <f aca="false">Orders!F861</f>
        <v>0.15</v>
      </c>
      <c r="K861" s="6" t="n">
        <f aca="false">G861*H861</f>
        <v>1998</v>
      </c>
      <c r="L861" s="6" t="n">
        <f aca="false">K861*J861</f>
        <v>299.7</v>
      </c>
      <c r="M861" s="6" t="n">
        <f aca="false">K861-L861</f>
        <v>1698.3</v>
      </c>
      <c r="N861" s="6" t="n">
        <f aca="false">G861*I861</f>
        <v>1100</v>
      </c>
      <c r="O861" s="6" t="n">
        <f aca="false">M861-N861</f>
        <v>598.3</v>
      </c>
      <c r="P861" s="21" t="n">
        <f aca="false">IFERROR(O861/M861,0)</f>
        <v>0.352293469940529</v>
      </c>
      <c r="Q861" s="6" t="str">
        <f aca="false">Orders!H861</f>
        <v>Delivered</v>
      </c>
      <c r="R861" s="1" t="str">
        <f aca="false">INDEX(Customers!$C$2:$C$301,MATCH(C861,Customers!$A$2:$A$301,0))</f>
        <v>Coimbatore</v>
      </c>
      <c r="S861" s="1" t="str">
        <f aca="false">INDEX(Customers!$E$2:$E$301,MATCH(C861,Customers!$A$2:$A$301,0))</f>
        <v>New</v>
      </c>
      <c r="T861" s="6" t="str">
        <f aca="false">Orders!I861</f>
        <v>Mobile App</v>
      </c>
      <c r="U861" s="1" t="str">
        <f aca="false">IF(Q861="Delivered","Completed",IF(Q861="Cancelled","Cancelled",IF(Q861="Returned","Returned","In Progress")))</f>
        <v>Completed</v>
      </c>
      <c r="V861" s="1" t="str">
        <f aca="false">IF(M861&gt;=10000,"High Value",IF(M861&gt;=5000,"Medium Value","Low Value"))</f>
        <v>Low Value</v>
      </c>
      <c r="W861" s="1" t="str">
        <f aca="false">IF(O861&gt;0,"Profitable",IF(O861=0,"Break-even","Loss"))</f>
        <v>Profitable</v>
      </c>
      <c r="X861" s="1" t="str">
        <f aca="false">IF(Q861="Cancelled","Not Applicable",IF(Q861="Processing","Pending",IF(B861="","Unknown",IF(Orders!J861="","Unknown",IF(Orders!J861&lt;=3,"Fast",IF(Orders!J861&lt;=6,"Standard","Slow"))))))</f>
        <v>Standard</v>
      </c>
      <c r="Y861" s="1" t="n">
        <f aca="false">IF(OR(Q861="Cancelled",Q861="Returned"),0,O861)</f>
        <v>598.3</v>
      </c>
    </row>
    <row r="862" customFormat="false" ht="15" hidden="false" customHeight="false" outlineLevel="0" collapsed="false">
      <c r="A862" s="6" t="str">
        <f aca="false">Orders!A862</f>
        <v>O000861</v>
      </c>
      <c r="B862" s="19" t="n">
        <f aca="false">Orders!B862</f>
        <v>46000</v>
      </c>
      <c r="C862" s="6" t="str">
        <f aca="false">Orders!C862</f>
        <v>C0092</v>
      </c>
      <c r="D862" s="6" t="str">
        <f aca="false">Orders!D862</f>
        <v>P1043</v>
      </c>
      <c r="E862" s="6" t="str">
        <f aca="false">INDEX(Products!$B$2:$B$101,MATCH(D862,Products!$A$2:$A$101,0))</f>
        <v>Kitchen Rack</v>
      </c>
      <c r="F862" s="1" t="str">
        <f aca="false">INDEX(Products!$C$2:$C$101,MATCH(D862,Products!$A$2:$A$101,0))</f>
        <v>Home &amp; Kitchen</v>
      </c>
      <c r="G862" s="6" t="n">
        <f aca="false">Orders!E862</f>
        <v>1</v>
      </c>
      <c r="H862" s="16" t="n">
        <f aca="false">INDEX(Products!$D$2:$D$101,MATCH(D862,Products!$A$2:$A$101,0))</f>
        <v>1299</v>
      </c>
      <c r="I862" s="16" t="n">
        <f aca="false">INDEX(Products!$E$2:$E$101,MATCH(D862,Products!$A$2:$A$101,0))</f>
        <v>700</v>
      </c>
      <c r="J862" s="20" t="n">
        <f aca="false">Orders!F862</f>
        <v>0.15</v>
      </c>
      <c r="K862" s="6" t="n">
        <f aca="false">G862*H862</f>
        <v>1299</v>
      </c>
      <c r="L862" s="6" t="n">
        <f aca="false">K862*J862</f>
        <v>194.85</v>
      </c>
      <c r="M862" s="6" t="n">
        <f aca="false">K862-L862</f>
        <v>1104.15</v>
      </c>
      <c r="N862" s="6" t="n">
        <f aca="false">G862*I862</f>
        <v>700</v>
      </c>
      <c r="O862" s="6" t="n">
        <f aca="false">M862-N862</f>
        <v>404.15</v>
      </c>
      <c r="P862" s="21" t="n">
        <f aca="false">IFERROR(O862/M862,0)</f>
        <v>0.36602816646289</v>
      </c>
      <c r="Q862" s="6" t="str">
        <f aca="false">Orders!H862</f>
        <v>Delivered</v>
      </c>
      <c r="R862" s="1" t="str">
        <f aca="false">INDEX(Customers!$C$2:$C$301,MATCH(C862,Customers!$A$2:$A$301,0))</f>
        <v>Noida</v>
      </c>
      <c r="S862" s="1" t="str">
        <f aca="false">INDEX(Customers!$E$2:$E$301,MATCH(C862,Customers!$A$2:$A$301,0))</f>
        <v>New</v>
      </c>
      <c r="T862" s="6" t="str">
        <f aca="false">Orders!I862</f>
        <v>Marketplace</v>
      </c>
      <c r="U862" s="1" t="str">
        <f aca="false">IF(Q862="Delivered","Completed",IF(Q862="Cancelled","Cancelled",IF(Q862="Returned","Returned","In Progress")))</f>
        <v>Completed</v>
      </c>
      <c r="V862" s="1" t="str">
        <f aca="false">IF(M862&gt;=10000,"High Value",IF(M862&gt;=5000,"Medium Value","Low Value"))</f>
        <v>Low Value</v>
      </c>
      <c r="W862" s="1" t="str">
        <f aca="false">IF(O862&gt;0,"Profitable",IF(O862=0,"Break-even","Loss"))</f>
        <v>Profitable</v>
      </c>
      <c r="X862" s="1" t="str">
        <f aca="false">IF(Q862="Cancelled","Not Applicable",IF(Q862="Processing","Pending",IF(B862="","Unknown",IF(Orders!J862="","Unknown",IF(Orders!J862&lt;=3,"Fast",IF(Orders!J862&lt;=6,"Standard","Slow"))))))</f>
        <v>Slow</v>
      </c>
      <c r="Y862" s="1" t="n">
        <f aca="false">IF(OR(Q862="Cancelled",Q862="Returned"),0,O862)</f>
        <v>404.15</v>
      </c>
    </row>
    <row r="863" customFormat="false" ht="15" hidden="false" customHeight="false" outlineLevel="0" collapsed="false">
      <c r="A863" s="6" t="str">
        <f aca="false">Orders!A863</f>
        <v>O000862</v>
      </c>
      <c r="B863" s="19" t="n">
        <f aca="false">Orders!B863</f>
        <v>45978</v>
      </c>
      <c r="C863" s="6" t="str">
        <f aca="false">Orders!C863</f>
        <v>C0176</v>
      </c>
      <c r="D863" s="6" t="str">
        <f aca="false">Orders!D863</f>
        <v>P1077</v>
      </c>
      <c r="E863" s="6" t="str">
        <f aca="false">INDEX(Products!$B$2:$B$101,MATCH(D863,Products!$A$2:$A$101,0))</f>
        <v>Planner</v>
      </c>
      <c r="F863" s="1" t="str">
        <f aca="false">INDEX(Products!$C$2:$C$101,MATCH(D863,Products!$A$2:$A$101,0))</f>
        <v>Books &amp; Stationery</v>
      </c>
      <c r="G863" s="6" t="n">
        <f aca="false">Orders!E863</f>
        <v>1</v>
      </c>
      <c r="H863" s="16" t="n">
        <f aca="false">INDEX(Products!$D$2:$D$101,MATCH(D863,Products!$A$2:$A$101,0))</f>
        <v>349</v>
      </c>
      <c r="I863" s="16" t="n">
        <f aca="false">INDEX(Products!$E$2:$E$101,MATCH(D863,Products!$A$2:$A$101,0))</f>
        <v>130</v>
      </c>
      <c r="J863" s="20" t="n">
        <f aca="false">Orders!F863</f>
        <v>0</v>
      </c>
      <c r="K863" s="6" t="n">
        <f aca="false">G863*H863</f>
        <v>349</v>
      </c>
      <c r="L863" s="6" t="n">
        <f aca="false">K863*J863</f>
        <v>0</v>
      </c>
      <c r="M863" s="6" t="n">
        <f aca="false">K863-L863</f>
        <v>349</v>
      </c>
      <c r="N863" s="6" t="n">
        <f aca="false">G863*I863</f>
        <v>130</v>
      </c>
      <c r="O863" s="6" t="n">
        <f aca="false">M863-N863</f>
        <v>219</v>
      </c>
      <c r="P863" s="21" t="n">
        <f aca="false">IFERROR(O863/M863,0)</f>
        <v>0.627507163323782</v>
      </c>
      <c r="Q863" s="6" t="str">
        <f aca="false">Orders!H863</f>
        <v>Delivered</v>
      </c>
      <c r="R863" s="1" t="str">
        <f aca="false">INDEX(Customers!$C$2:$C$301,MATCH(C863,Customers!$A$2:$A$301,0))</f>
        <v>Chandigarh</v>
      </c>
      <c r="S863" s="1" t="str">
        <f aca="false">INDEX(Customers!$E$2:$E$301,MATCH(C863,Customers!$A$2:$A$301,0))</f>
        <v>New</v>
      </c>
      <c r="T863" s="6" t="str">
        <f aca="false">Orders!I863</f>
        <v>Website</v>
      </c>
      <c r="U863" s="1" t="str">
        <f aca="false">IF(Q863="Delivered","Completed",IF(Q863="Cancelled","Cancelled",IF(Q863="Returned","Returned","In Progress")))</f>
        <v>Completed</v>
      </c>
      <c r="V863" s="1" t="str">
        <f aca="false">IF(M863&gt;=10000,"High Value",IF(M863&gt;=5000,"Medium Value","Low Value"))</f>
        <v>Low Value</v>
      </c>
      <c r="W863" s="1" t="str">
        <f aca="false">IF(O863&gt;0,"Profitable",IF(O863=0,"Break-even","Loss"))</f>
        <v>Profitable</v>
      </c>
      <c r="X863" s="1" t="str">
        <f aca="false">IF(Q863="Cancelled","Not Applicable",IF(Q863="Processing","Pending",IF(B863="","Unknown",IF(Orders!J863="","Unknown",IF(Orders!J863&lt;=3,"Fast",IF(Orders!J863&lt;=6,"Standard","Slow"))))))</f>
        <v>Slow</v>
      </c>
      <c r="Y863" s="1" t="n">
        <f aca="false">IF(OR(Q863="Cancelled",Q863="Returned"),0,O863)</f>
        <v>219</v>
      </c>
    </row>
    <row r="864" customFormat="false" ht="15" hidden="false" customHeight="false" outlineLevel="0" collapsed="false">
      <c r="A864" s="6" t="str">
        <f aca="false">Orders!A864</f>
        <v>O000863</v>
      </c>
      <c r="B864" s="19" t="n">
        <f aca="false">Orders!B864</f>
        <v>45752</v>
      </c>
      <c r="C864" s="6" t="str">
        <f aca="false">Orders!C864</f>
        <v>C0152</v>
      </c>
      <c r="D864" s="6" t="str">
        <f aca="false">Orders!D864</f>
        <v>P1025</v>
      </c>
      <c r="E864" s="6" t="str">
        <f aca="false">INDEX(Products!$B$2:$B$101,MATCH(D864,Products!$A$2:$A$101,0))</f>
        <v>Hoodie</v>
      </c>
      <c r="F864" s="1" t="str">
        <f aca="false">INDEX(Products!$C$2:$C$101,MATCH(D864,Products!$A$2:$A$101,0))</f>
        <v>Fashion</v>
      </c>
      <c r="G864" s="6" t="n">
        <f aca="false">Orders!E864</f>
        <v>1</v>
      </c>
      <c r="H864" s="16" t="n">
        <f aca="false">INDEX(Products!$D$2:$D$101,MATCH(D864,Products!$A$2:$A$101,0))</f>
        <v>1399</v>
      </c>
      <c r="I864" s="16" t="n">
        <f aca="false">INDEX(Products!$E$2:$E$101,MATCH(D864,Products!$A$2:$A$101,0))</f>
        <v>720</v>
      </c>
      <c r="J864" s="20" t="n">
        <f aca="false">Orders!F864</f>
        <v>0.2</v>
      </c>
      <c r="K864" s="6" t="n">
        <f aca="false">G864*H864</f>
        <v>1399</v>
      </c>
      <c r="L864" s="6" t="n">
        <f aca="false">K864*J864</f>
        <v>279.8</v>
      </c>
      <c r="M864" s="6" t="n">
        <f aca="false">K864-L864</f>
        <v>1119.2</v>
      </c>
      <c r="N864" s="6" t="n">
        <f aca="false">G864*I864</f>
        <v>720</v>
      </c>
      <c r="O864" s="6" t="n">
        <f aca="false">M864-N864</f>
        <v>399.2</v>
      </c>
      <c r="P864" s="21" t="n">
        <f aca="false">IFERROR(O864/M864,0)</f>
        <v>0.356683345246605</v>
      </c>
      <c r="Q864" s="6" t="str">
        <f aca="false">Orders!H864</f>
        <v>Shipped</v>
      </c>
      <c r="R864" s="1" t="str">
        <f aca="false">INDEX(Customers!$C$2:$C$301,MATCH(C864,Customers!$A$2:$A$301,0))</f>
        <v>Noida</v>
      </c>
      <c r="S864" s="1" t="str">
        <f aca="false">INDEX(Customers!$E$2:$E$301,MATCH(C864,Customers!$A$2:$A$301,0))</f>
        <v>Returning</v>
      </c>
      <c r="T864" s="6" t="str">
        <f aca="false">Orders!I864</f>
        <v>Website</v>
      </c>
      <c r="U864" s="1" t="str">
        <f aca="false">IF(Q864="Delivered","Completed",IF(Q864="Cancelled","Cancelled",IF(Q864="Returned","Returned","In Progress")))</f>
        <v>In Progress</v>
      </c>
      <c r="V864" s="1" t="str">
        <f aca="false">IF(M864&gt;=10000,"High Value",IF(M864&gt;=5000,"Medium Value","Low Value"))</f>
        <v>Low Value</v>
      </c>
      <c r="W864" s="1" t="str">
        <f aca="false">IF(O864&gt;0,"Profitable",IF(O864=0,"Break-even","Loss"))</f>
        <v>Profitable</v>
      </c>
      <c r="X864" s="1" t="str">
        <f aca="false">IF(Q864="Cancelled","Not Applicable",IF(Q864="Processing","Pending",IF(B864="","Unknown",IF(Orders!J864="","Unknown",IF(Orders!J864&lt;=3,"Fast",IF(Orders!J864&lt;=6,"Standard","Slow"))))))</f>
        <v>Fast</v>
      </c>
      <c r="Y864" s="1" t="n">
        <f aca="false">IF(OR(Q864="Cancelled",Q864="Returned"),0,O864)</f>
        <v>399.2</v>
      </c>
    </row>
    <row r="865" customFormat="false" ht="15" hidden="false" customHeight="false" outlineLevel="0" collapsed="false">
      <c r="A865" s="6" t="str">
        <f aca="false">Orders!A865</f>
        <v>O000864</v>
      </c>
      <c r="B865" s="19" t="n">
        <f aca="false">Orders!B865</f>
        <v>45833</v>
      </c>
      <c r="C865" s="6" t="str">
        <f aca="false">Orders!C865</f>
        <v>C0103</v>
      </c>
      <c r="D865" s="6" t="str">
        <f aca="false">Orders!D865</f>
        <v>P1060</v>
      </c>
      <c r="E865" s="6" t="str">
        <f aca="false">INDEX(Products!$B$2:$B$101,MATCH(D865,Products!$A$2:$A$101,0))</f>
        <v>Yoga Mat</v>
      </c>
      <c r="F865" s="1" t="str">
        <f aca="false">INDEX(Products!$C$2:$C$101,MATCH(D865,Products!$A$2:$A$101,0))</f>
        <v>Sports &amp; Outdoors</v>
      </c>
      <c r="G865" s="6" t="n">
        <f aca="false">Orders!E865</f>
        <v>1</v>
      </c>
      <c r="H865" s="16" t="n">
        <f aca="false">INDEX(Products!$D$2:$D$101,MATCH(D865,Products!$A$2:$A$101,0))</f>
        <v>799</v>
      </c>
      <c r="I865" s="16" t="n">
        <f aca="false">INDEX(Products!$E$2:$E$101,MATCH(D865,Products!$A$2:$A$101,0))</f>
        <v>350</v>
      </c>
      <c r="J865" s="20" t="n">
        <f aca="false">Orders!F865</f>
        <v>0.1</v>
      </c>
      <c r="K865" s="6" t="n">
        <f aca="false">G865*H865</f>
        <v>799</v>
      </c>
      <c r="L865" s="6" t="n">
        <f aca="false">K865*J865</f>
        <v>79.9</v>
      </c>
      <c r="M865" s="6" t="n">
        <f aca="false">K865-L865</f>
        <v>719.1</v>
      </c>
      <c r="N865" s="6" t="n">
        <f aca="false">G865*I865</f>
        <v>350</v>
      </c>
      <c r="O865" s="6" t="n">
        <f aca="false">M865-N865</f>
        <v>369.1</v>
      </c>
      <c r="P865" s="21" t="n">
        <f aca="false">IFERROR(O865/M865,0)</f>
        <v>0.513280489500765</v>
      </c>
      <c r="Q865" s="6" t="str">
        <f aca="false">Orders!H865</f>
        <v>Delivered</v>
      </c>
      <c r="R865" s="1" t="str">
        <f aca="false">INDEX(Customers!$C$2:$C$301,MATCH(C865,Customers!$A$2:$A$301,0))</f>
        <v>Bengaluru</v>
      </c>
      <c r="S865" s="1" t="str">
        <f aca="false">INDEX(Customers!$E$2:$E$301,MATCH(C865,Customers!$A$2:$A$301,0))</f>
        <v>Returning</v>
      </c>
      <c r="T865" s="6" t="str">
        <f aca="false">Orders!I865</f>
        <v>Mobile App</v>
      </c>
      <c r="U865" s="1" t="str">
        <f aca="false">IF(Q865="Delivered","Completed",IF(Q865="Cancelled","Cancelled",IF(Q865="Returned","Returned","In Progress")))</f>
        <v>Completed</v>
      </c>
      <c r="V865" s="1" t="str">
        <f aca="false">IF(M865&gt;=10000,"High Value",IF(M865&gt;=5000,"Medium Value","Low Value"))</f>
        <v>Low Value</v>
      </c>
      <c r="W865" s="1" t="str">
        <f aca="false">IF(O865&gt;0,"Profitable",IF(O865=0,"Break-even","Loss"))</f>
        <v>Profitable</v>
      </c>
      <c r="X865" s="1" t="str">
        <f aca="false">IF(Q865="Cancelled","Not Applicable",IF(Q865="Processing","Pending",IF(B865="","Unknown",IF(Orders!J865="","Unknown",IF(Orders!J865&lt;=3,"Fast",IF(Orders!J865&lt;=6,"Standard","Slow"))))))</f>
        <v>Fast</v>
      </c>
      <c r="Y865" s="1" t="n">
        <f aca="false">IF(OR(Q865="Cancelled",Q865="Returned"),0,O865)</f>
        <v>369.1</v>
      </c>
    </row>
    <row r="866" customFormat="false" ht="23.85" hidden="false" customHeight="false" outlineLevel="0" collapsed="false">
      <c r="A866" s="6" t="str">
        <f aca="false">Orders!A866</f>
        <v>O000865</v>
      </c>
      <c r="B866" s="19" t="n">
        <f aca="false">Orders!B866</f>
        <v>45803</v>
      </c>
      <c r="C866" s="6" t="str">
        <f aca="false">Orders!C866</f>
        <v>C0270</v>
      </c>
      <c r="D866" s="6" t="str">
        <f aca="false">Orders!D866</f>
        <v>P1031</v>
      </c>
      <c r="E866" s="6" t="str">
        <f aca="false">INDEX(Products!$B$2:$B$101,MATCH(D866,Products!$A$2:$A$101,0))</f>
        <v>Storage Container Set</v>
      </c>
      <c r="F866" s="1" t="str">
        <f aca="false">INDEX(Products!$C$2:$C$101,MATCH(D866,Products!$A$2:$A$101,0))</f>
        <v>Home &amp; Kitchen</v>
      </c>
      <c r="G866" s="6" t="n">
        <f aca="false">Orders!E866</f>
        <v>3</v>
      </c>
      <c r="H866" s="16" t="n">
        <f aca="false">INDEX(Products!$D$2:$D$101,MATCH(D866,Products!$A$2:$A$101,0))</f>
        <v>699</v>
      </c>
      <c r="I866" s="16" t="n">
        <f aca="false">INDEX(Products!$E$2:$E$101,MATCH(D866,Products!$A$2:$A$101,0))</f>
        <v>300</v>
      </c>
      <c r="J866" s="20" t="n">
        <f aca="false">Orders!F866</f>
        <v>0.15</v>
      </c>
      <c r="K866" s="6" t="n">
        <f aca="false">G866*H866</f>
        <v>2097</v>
      </c>
      <c r="L866" s="6" t="n">
        <f aca="false">K866*J866</f>
        <v>314.55</v>
      </c>
      <c r="M866" s="6" t="n">
        <f aca="false">K866-L866</f>
        <v>1782.45</v>
      </c>
      <c r="N866" s="6" t="n">
        <f aca="false">G866*I866</f>
        <v>900</v>
      </c>
      <c r="O866" s="6" t="n">
        <f aca="false">M866-N866</f>
        <v>882.45</v>
      </c>
      <c r="P866" s="21" t="n">
        <f aca="false">IFERROR(O866/M866,0)</f>
        <v>0.495077000757385</v>
      </c>
      <c r="Q866" s="6" t="str">
        <f aca="false">Orders!H866</f>
        <v>Delivered</v>
      </c>
      <c r="R866" s="1" t="str">
        <f aca="false">INDEX(Customers!$C$2:$C$301,MATCH(C866,Customers!$A$2:$A$301,0))</f>
        <v>Lucknow</v>
      </c>
      <c r="S866" s="1" t="str">
        <f aca="false">INDEX(Customers!$E$2:$E$301,MATCH(C866,Customers!$A$2:$A$301,0))</f>
        <v>Returning</v>
      </c>
      <c r="T866" s="6" t="str">
        <f aca="false">Orders!I866</f>
        <v>Mobile App</v>
      </c>
      <c r="U866" s="1" t="str">
        <f aca="false">IF(Q866="Delivered","Completed",IF(Q866="Cancelled","Cancelled",IF(Q866="Returned","Returned","In Progress")))</f>
        <v>Completed</v>
      </c>
      <c r="V866" s="1" t="str">
        <f aca="false">IF(M866&gt;=10000,"High Value",IF(M866&gt;=5000,"Medium Value","Low Value"))</f>
        <v>Low Value</v>
      </c>
      <c r="W866" s="1" t="str">
        <f aca="false">IF(O866&gt;0,"Profitable",IF(O866=0,"Break-even","Loss"))</f>
        <v>Profitable</v>
      </c>
      <c r="X866" s="1" t="str">
        <f aca="false">IF(Q866="Cancelled","Not Applicable",IF(Q866="Processing","Pending",IF(B866="","Unknown",IF(Orders!J866="","Unknown",IF(Orders!J866&lt;=3,"Fast",IF(Orders!J866&lt;=6,"Standard","Slow"))))))</f>
        <v>Fast</v>
      </c>
      <c r="Y866" s="1" t="n">
        <f aca="false">IF(OR(Q866="Cancelled",Q866="Returned"),0,O866)</f>
        <v>882.45</v>
      </c>
    </row>
    <row r="867" customFormat="false" ht="15" hidden="false" customHeight="false" outlineLevel="0" collapsed="false">
      <c r="A867" s="6" t="str">
        <f aca="false">Orders!A867</f>
        <v>O000866</v>
      </c>
      <c r="B867" s="19" t="n">
        <f aca="false">Orders!B867</f>
        <v>45907</v>
      </c>
      <c r="C867" s="6" t="str">
        <f aca="false">Orders!C867</f>
        <v>C0139</v>
      </c>
      <c r="D867" s="6" t="str">
        <f aca="false">Orders!D867</f>
        <v>P1045</v>
      </c>
      <c r="E867" s="6" t="str">
        <f aca="false">INDEX(Products!$B$2:$B$101,MATCH(D867,Products!$A$2:$A$101,0))</f>
        <v>Lunch Box</v>
      </c>
      <c r="F867" s="1" t="str">
        <f aca="false">INDEX(Products!$C$2:$C$101,MATCH(D867,Products!$A$2:$A$101,0))</f>
        <v>Home &amp; Kitchen</v>
      </c>
      <c r="G867" s="6" t="n">
        <f aca="false">Orders!E867</f>
        <v>2</v>
      </c>
      <c r="H867" s="16" t="n">
        <f aca="false">INDEX(Products!$D$2:$D$101,MATCH(D867,Products!$A$2:$A$101,0))</f>
        <v>449</v>
      </c>
      <c r="I867" s="16" t="n">
        <f aca="false">INDEX(Products!$E$2:$E$101,MATCH(D867,Products!$A$2:$A$101,0))</f>
        <v>180</v>
      </c>
      <c r="J867" s="20" t="n">
        <f aca="false">Orders!F867</f>
        <v>0.25</v>
      </c>
      <c r="K867" s="6" t="n">
        <f aca="false">G867*H867</f>
        <v>898</v>
      </c>
      <c r="L867" s="6" t="n">
        <f aca="false">K867*J867</f>
        <v>224.5</v>
      </c>
      <c r="M867" s="6" t="n">
        <f aca="false">K867-L867</f>
        <v>673.5</v>
      </c>
      <c r="N867" s="6" t="n">
        <f aca="false">G867*I867</f>
        <v>360</v>
      </c>
      <c r="O867" s="6" t="n">
        <f aca="false">M867-N867</f>
        <v>313.5</v>
      </c>
      <c r="P867" s="21" t="n">
        <f aca="false">IFERROR(O867/M867,0)</f>
        <v>0.465478841870824</v>
      </c>
      <c r="Q867" s="6" t="str">
        <f aca="false">Orders!H867</f>
        <v>Delivered</v>
      </c>
      <c r="R867" s="1" t="str">
        <f aca="false">INDEX(Customers!$C$2:$C$301,MATCH(C867,Customers!$A$2:$A$301,0))</f>
        <v>Coimbatore</v>
      </c>
      <c r="S867" s="1" t="str">
        <f aca="false">INDEX(Customers!$E$2:$E$301,MATCH(C867,Customers!$A$2:$A$301,0))</f>
        <v>Returning</v>
      </c>
      <c r="T867" s="6" t="str">
        <f aca="false">Orders!I867</f>
        <v>Mobile App</v>
      </c>
      <c r="U867" s="1" t="str">
        <f aca="false">IF(Q867="Delivered","Completed",IF(Q867="Cancelled","Cancelled",IF(Q867="Returned","Returned","In Progress")))</f>
        <v>Completed</v>
      </c>
      <c r="V867" s="1" t="str">
        <f aca="false">IF(M867&gt;=10000,"High Value",IF(M867&gt;=5000,"Medium Value","Low Value"))</f>
        <v>Low Value</v>
      </c>
      <c r="W867" s="1" t="str">
        <f aca="false">IF(O867&gt;0,"Profitable",IF(O867=0,"Break-even","Loss"))</f>
        <v>Profitable</v>
      </c>
      <c r="X867" s="1" t="str">
        <f aca="false">IF(Q867="Cancelled","Not Applicable",IF(Q867="Processing","Pending",IF(B867="","Unknown",IF(Orders!J867="","Unknown",IF(Orders!J867&lt;=3,"Fast",IF(Orders!J867&lt;=6,"Standard","Slow"))))))</f>
        <v>Fast</v>
      </c>
      <c r="Y867" s="1" t="n">
        <f aca="false">IF(OR(Q867="Cancelled",Q867="Returned"),0,O867)</f>
        <v>313.5</v>
      </c>
    </row>
    <row r="868" customFormat="false" ht="23.85" hidden="false" customHeight="false" outlineLevel="0" collapsed="false">
      <c r="A868" s="6" t="str">
        <f aca="false">Orders!A868</f>
        <v>O000867</v>
      </c>
      <c r="B868" s="19" t="n">
        <f aca="false">Orders!B868</f>
        <v>45916</v>
      </c>
      <c r="C868" s="6" t="str">
        <f aca="false">Orders!C868</f>
        <v>C0110</v>
      </c>
      <c r="D868" s="6" t="str">
        <f aca="false">Orders!D868</f>
        <v>P1070</v>
      </c>
      <c r="E868" s="6" t="str">
        <f aca="false">INDEX(Products!$B$2:$B$101,MATCH(D868,Products!$A$2:$A$101,0))</f>
        <v>Knee Support Pair</v>
      </c>
      <c r="F868" s="1" t="str">
        <f aca="false">INDEX(Products!$C$2:$C$101,MATCH(D868,Products!$A$2:$A$101,0))</f>
        <v>Sports &amp; Outdoors</v>
      </c>
      <c r="G868" s="6" t="n">
        <f aca="false">Orders!E868</f>
        <v>1</v>
      </c>
      <c r="H868" s="16" t="n">
        <f aca="false">INDEX(Products!$D$2:$D$101,MATCH(D868,Products!$A$2:$A$101,0))</f>
        <v>449</v>
      </c>
      <c r="I868" s="16" t="n">
        <f aca="false">INDEX(Products!$E$2:$E$101,MATCH(D868,Products!$A$2:$A$101,0))</f>
        <v>180</v>
      </c>
      <c r="J868" s="20" t="n">
        <f aca="false">Orders!F868</f>
        <v>0.2</v>
      </c>
      <c r="K868" s="6" t="n">
        <f aca="false">G868*H868</f>
        <v>449</v>
      </c>
      <c r="L868" s="6" t="n">
        <f aca="false">K868*J868</f>
        <v>89.8</v>
      </c>
      <c r="M868" s="6" t="n">
        <f aca="false">K868-L868</f>
        <v>359.2</v>
      </c>
      <c r="N868" s="6" t="n">
        <f aca="false">G868*I868</f>
        <v>180</v>
      </c>
      <c r="O868" s="6" t="n">
        <f aca="false">M868-N868</f>
        <v>179.2</v>
      </c>
      <c r="P868" s="21" t="n">
        <f aca="false">IFERROR(O868/M868,0)</f>
        <v>0.498886414253898</v>
      </c>
      <c r="Q868" s="6" t="str">
        <f aca="false">Orders!H868</f>
        <v>Shipped</v>
      </c>
      <c r="R868" s="1" t="str">
        <f aca="false">INDEX(Customers!$C$2:$C$301,MATCH(C868,Customers!$A$2:$A$301,0))</f>
        <v>Lucknow</v>
      </c>
      <c r="S868" s="1" t="str">
        <f aca="false">INDEX(Customers!$E$2:$E$301,MATCH(C868,Customers!$A$2:$A$301,0))</f>
        <v>New</v>
      </c>
      <c r="T868" s="6" t="str">
        <f aca="false">Orders!I868</f>
        <v>Marketplace</v>
      </c>
      <c r="U868" s="1" t="str">
        <f aca="false">IF(Q868="Delivered","Completed",IF(Q868="Cancelled","Cancelled",IF(Q868="Returned","Returned","In Progress")))</f>
        <v>In Progress</v>
      </c>
      <c r="V868" s="1" t="str">
        <f aca="false">IF(M868&gt;=10000,"High Value",IF(M868&gt;=5000,"Medium Value","Low Value"))</f>
        <v>Low Value</v>
      </c>
      <c r="W868" s="1" t="str">
        <f aca="false">IF(O868&gt;0,"Profitable",IF(O868=0,"Break-even","Loss"))</f>
        <v>Profitable</v>
      </c>
      <c r="X868" s="1" t="str">
        <f aca="false">IF(Q868="Cancelled","Not Applicable",IF(Q868="Processing","Pending",IF(B868="","Unknown",IF(Orders!J868="","Unknown",IF(Orders!J868&lt;=3,"Fast",IF(Orders!J868&lt;=6,"Standard","Slow"))))))</f>
        <v>Fast</v>
      </c>
      <c r="Y868" s="1" t="n">
        <f aca="false">IF(OR(Q868="Cancelled",Q868="Returned"),0,O868)</f>
        <v>179.2</v>
      </c>
    </row>
    <row r="869" customFormat="false" ht="15" hidden="false" customHeight="false" outlineLevel="0" collapsed="false">
      <c r="A869" s="6" t="str">
        <f aca="false">Orders!A869</f>
        <v>O000868</v>
      </c>
      <c r="B869" s="19" t="n">
        <f aca="false">Orders!B869</f>
        <v>45828</v>
      </c>
      <c r="C869" s="6" t="str">
        <f aca="false">Orders!C869</f>
        <v>C0137</v>
      </c>
      <c r="D869" s="6" t="str">
        <f aca="false">Orders!D869</f>
        <v>P1023</v>
      </c>
      <c r="E869" s="6" t="str">
        <f aca="false">INDEX(Products!$B$2:$B$101,MATCH(D869,Products!$A$2:$A$101,0))</f>
        <v>Sports Cap</v>
      </c>
      <c r="F869" s="1" t="str">
        <f aca="false">INDEX(Products!$C$2:$C$101,MATCH(D869,Products!$A$2:$A$101,0))</f>
        <v>Fashion</v>
      </c>
      <c r="G869" s="6" t="n">
        <f aca="false">Orders!E869</f>
        <v>1</v>
      </c>
      <c r="H869" s="16" t="n">
        <f aca="false">INDEX(Products!$D$2:$D$101,MATCH(D869,Products!$A$2:$A$101,0))</f>
        <v>349</v>
      </c>
      <c r="I869" s="16" t="n">
        <f aca="false">INDEX(Products!$E$2:$E$101,MATCH(D869,Products!$A$2:$A$101,0))</f>
        <v>120</v>
      </c>
      <c r="J869" s="20" t="n">
        <f aca="false">Orders!F869</f>
        <v>0.15</v>
      </c>
      <c r="K869" s="6" t="n">
        <f aca="false">G869*H869</f>
        <v>349</v>
      </c>
      <c r="L869" s="6" t="n">
        <f aca="false">K869*J869</f>
        <v>52.35</v>
      </c>
      <c r="M869" s="6" t="n">
        <f aca="false">K869-L869</f>
        <v>296.65</v>
      </c>
      <c r="N869" s="6" t="n">
        <f aca="false">G869*I869</f>
        <v>120</v>
      </c>
      <c r="O869" s="6" t="n">
        <f aca="false">M869-N869</f>
        <v>176.65</v>
      </c>
      <c r="P869" s="21" t="n">
        <f aca="false">IFERROR(O869/M869,0)</f>
        <v>0.59548289229732</v>
      </c>
      <c r="Q869" s="6" t="str">
        <f aca="false">Orders!H869</f>
        <v>Delivered</v>
      </c>
      <c r="R869" s="1" t="str">
        <f aca="false">INDEX(Customers!$C$2:$C$301,MATCH(C869,Customers!$A$2:$A$301,0))</f>
        <v>Surat</v>
      </c>
      <c r="S869" s="1" t="str">
        <f aca="false">INDEX(Customers!$E$2:$E$301,MATCH(C869,Customers!$A$2:$A$301,0))</f>
        <v>New</v>
      </c>
      <c r="T869" s="6" t="str">
        <f aca="false">Orders!I869</f>
        <v>Marketplace</v>
      </c>
      <c r="U869" s="1" t="str">
        <f aca="false">IF(Q869="Delivered","Completed",IF(Q869="Cancelled","Cancelled",IF(Q869="Returned","Returned","In Progress")))</f>
        <v>Completed</v>
      </c>
      <c r="V869" s="1" t="str">
        <f aca="false">IF(M869&gt;=10000,"High Value",IF(M869&gt;=5000,"Medium Value","Low Value"))</f>
        <v>Low Value</v>
      </c>
      <c r="W869" s="1" t="str">
        <f aca="false">IF(O869&gt;0,"Profitable",IF(O869=0,"Break-even","Loss"))</f>
        <v>Profitable</v>
      </c>
      <c r="X869" s="1" t="str">
        <f aca="false">IF(Q869="Cancelled","Not Applicable",IF(Q869="Processing","Pending",IF(B869="","Unknown",IF(Orders!J869="","Unknown",IF(Orders!J869&lt;=3,"Fast",IF(Orders!J869&lt;=6,"Standard","Slow"))))))</f>
        <v>Standard</v>
      </c>
      <c r="Y869" s="1" t="n">
        <f aca="false">IF(OR(Q869="Cancelled",Q869="Returned"),0,O869)</f>
        <v>176.65</v>
      </c>
    </row>
    <row r="870" customFormat="false" ht="15" hidden="false" customHeight="false" outlineLevel="0" collapsed="false">
      <c r="A870" s="6" t="str">
        <f aca="false">Orders!A870</f>
        <v>O000869</v>
      </c>
      <c r="B870" s="19" t="n">
        <f aca="false">Orders!B870</f>
        <v>45817</v>
      </c>
      <c r="C870" s="6" t="str">
        <f aca="false">Orders!C870</f>
        <v>C0029</v>
      </c>
      <c r="D870" s="6" t="str">
        <f aca="false">Orders!D870</f>
        <v>P1083</v>
      </c>
      <c r="E870" s="6" t="str">
        <f aca="false">INDEX(Products!$B$2:$B$101,MATCH(D870,Products!$A$2:$A$101,0))</f>
        <v>Reading Light</v>
      </c>
      <c r="F870" s="1" t="str">
        <f aca="false">INDEX(Products!$C$2:$C$101,MATCH(D870,Products!$A$2:$A$101,0))</f>
        <v>Books &amp; Stationery</v>
      </c>
      <c r="G870" s="6" t="n">
        <f aca="false">Orders!E870</f>
        <v>1</v>
      </c>
      <c r="H870" s="16" t="n">
        <f aca="false">INDEX(Products!$D$2:$D$101,MATCH(D870,Products!$A$2:$A$101,0))</f>
        <v>399</v>
      </c>
      <c r="I870" s="16" t="n">
        <f aca="false">INDEX(Products!$E$2:$E$101,MATCH(D870,Products!$A$2:$A$101,0))</f>
        <v>180</v>
      </c>
      <c r="J870" s="20" t="n">
        <f aca="false">Orders!F870</f>
        <v>0.05</v>
      </c>
      <c r="K870" s="6" t="n">
        <f aca="false">G870*H870</f>
        <v>399</v>
      </c>
      <c r="L870" s="6" t="n">
        <f aca="false">K870*J870</f>
        <v>19.95</v>
      </c>
      <c r="M870" s="6" t="n">
        <f aca="false">K870-L870</f>
        <v>379.05</v>
      </c>
      <c r="N870" s="6" t="n">
        <f aca="false">G870*I870</f>
        <v>180</v>
      </c>
      <c r="O870" s="6" t="n">
        <f aca="false">M870-N870</f>
        <v>199.05</v>
      </c>
      <c r="P870" s="21" t="n">
        <f aca="false">IFERROR(O870/M870,0)</f>
        <v>0.525128611001187</v>
      </c>
      <c r="Q870" s="6" t="str">
        <f aca="false">Orders!H870</f>
        <v>Delivered</v>
      </c>
      <c r="R870" s="1" t="str">
        <f aca="false">INDEX(Customers!$C$2:$C$301,MATCH(C870,Customers!$A$2:$A$301,0))</f>
        <v>Ahmedabad</v>
      </c>
      <c r="S870" s="1" t="str">
        <f aca="false">INDEX(Customers!$E$2:$E$301,MATCH(C870,Customers!$A$2:$A$301,0))</f>
        <v>Returning</v>
      </c>
      <c r="T870" s="6" t="str">
        <f aca="false">Orders!I870</f>
        <v>Mobile App</v>
      </c>
      <c r="U870" s="1" t="str">
        <f aca="false">IF(Q870="Delivered","Completed",IF(Q870="Cancelled","Cancelled",IF(Q870="Returned","Returned","In Progress")))</f>
        <v>Completed</v>
      </c>
      <c r="V870" s="1" t="str">
        <f aca="false">IF(M870&gt;=10000,"High Value",IF(M870&gt;=5000,"Medium Value","Low Value"))</f>
        <v>Low Value</v>
      </c>
      <c r="W870" s="1" t="str">
        <f aca="false">IF(O870&gt;0,"Profitable",IF(O870=0,"Break-even","Loss"))</f>
        <v>Profitable</v>
      </c>
      <c r="X870" s="1" t="str">
        <f aca="false">IF(Q870="Cancelled","Not Applicable",IF(Q870="Processing","Pending",IF(B870="","Unknown",IF(Orders!J870="","Unknown",IF(Orders!J870&lt;=3,"Fast",IF(Orders!J870&lt;=6,"Standard","Slow"))))))</f>
        <v>Slow</v>
      </c>
      <c r="Y870" s="1" t="n">
        <f aca="false">IF(OR(Q870="Cancelled",Q870="Returned"),0,O870)</f>
        <v>199.05</v>
      </c>
    </row>
    <row r="871" customFormat="false" ht="15" hidden="false" customHeight="false" outlineLevel="0" collapsed="false">
      <c r="A871" s="6" t="str">
        <f aca="false">Orders!A871</f>
        <v>O000870</v>
      </c>
      <c r="B871" s="19" t="n">
        <f aca="false">Orders!B871</f>
        <v>45711</v>
      </c>
      <c r="C871" s="6" t="str">
        <f aca="false">Orders!C871</f>
        <v>C0067</v>
      </c>
      <c r="D871" s="6" t="str">
        <f aca="false">Orders!D871</f>
        <v>P1029</v>
      </c>
      <c r="E871" s="6" t="str">
        <f aca="false">INDEX(Products!$B$2:$B$101,MATCH(D871,Products!$A$2:$A$101,0))</f>
        <v>Scarf</v>
      </c>
      <c r="F871" s="1" t="str">
        <f aca="false">INDEX(Products!$C$2:$C$101,MATCH(D871,Products!$A$2:$A$101,0))</f>
        <v>Fashion</v>
      </c>
      <c r="G871" s="6" t="n">
        <f aca="false">Orders!E871</f>
        <v>2</v>
      </c>
      <c r="H871" s="16" t="n">
        <f aca="false">INDEX(Products!$D$2:$D$101,MATCH(D871,Products!$A$2:$A$101,0))</f>
        <v>299</v>
      </c>
      <c r="I871" s="16" t="n">
        <f aca="false">INDEX(Products!$E$2:$E$101,MATCH(D871,Products!$A$2:$A$101,0))</f>
        <v>100</v>
      </c>
      <c r="J871" s="20" t="n">
        <f aca="false">Orders!F871</f>
        <v>0.05</v>
      </c>
      <c r="K871" s="6" t="n">
        <f aca="false">G871*H871</f>
        <v>598</v>
      </c>
      <c r="L871" s="6" t="n">
        <f aca="false">K871*J871</f>
        <v>29.9</v>
      </c>
      <c r="M871" s="6" t="n">
        <f aca="false">K871-L871</f>
        <v>568.1</v>
      </c>
      <c r="N871" s="6" t="n">
        <f aca="false">G871*I871</f>
        <v>200</v>
      </c>
      <c r="O871" s="6" t="n">
        <f aca="false">M871-N871</f>
        <v>368.1</v>
      </c>
      <c r="P871" s="21" t="n">
        <f aca="false">IFERROR(O871/M871,0)</f>
        <v>0.647949304699877</v>
      </c>
      <c r="Q871" s="6" t="str">
        <f aca="false">Orders!H871</f>
        <v>Delivered</v>
      </c>
      <c r="R871" s="1" t="str">
        <f aca="false">INDEX(Customers!$C$2:$C$301,MATCH(C871,Customers!$A$2:$A$301,0))</f>
        <v>Pune</v>
      </c>
      <c r="S871" s="1" t="str">
        <f aca="false">INDEX(Customers!$E$2:$E$301,MATCH(C871,Customers!$A$2:$A$301,0))</f>
        <v>VIP</v>
      </c>
      <c r="T871" s="6" t="str">
        <f aca="false">Orders!I871</f>
        <v>Mobile App</v>
      </c>
      <c r="U871" s="1" t="str">
        <f aca="false">IF(Q871="Delivered","Completed",IF(Q871="Cancelled","Cancelled",IF(Q871="Returned","Returned","In Progress")))</f>
        <v>Completed</v>
      </c>
      <c r="V871" s="1" t="str">
        <f aca="false">IF(M871&gt;=10000,"High Value",IF(M871&gt;=5000,"Medium Value","Low Value"))</f>
        <v>Low Value</v>
      </c>
      <c r="W871" s="1" t="str">
        <f aca="false">IF(O871&gt;0,"Profitable",IF(O871=0,"Break-even","Loss"))</f>
        <v>Profitable</v>
      </c>
      <c r="X871" s="1" t="str">
        <f aca="false">IF(Q871="Cancelled","Not Applicable",IF(Q871="Processing","Pending",IF(B871="","Unknown",IF(Orders!J871="","Unknown",IF(Orders!J871&lt;=3,"Fast",IF(Orders!J871&lt;=6,"Standard","Slow"))))))</f>
        <v>Standard</v>
      </c>
      <c r="Y871" s="1" t="n">
        <f aca="false">IF(OR(Q871="Cancelled",Q871="Returned"),0,O871)</f>
        <v>368.1</v>
      </c>
    </row>
    <row r="872" customFormat="false" ht="15" hidden="false" customHeight="false" outlineLevel="0" collapsed="false">
      <c r="A872" s="6" t="str">
        <f aca="false">Orders!A872</f>
        <v>O000871</v>
      </c>
      <c r="B872" s="19" t="n">
        <f aca="false">Orders!B872</f>
        <v>45942</v>
      </c>
      <c r="C872" s="6" t="str">
        <f aca="false">Orders!C872</f>
        <v>C0186</v>
      </c>
      <c r="D872" s="6" t="str">
        <f aca="false">Orders!D872</f>
        <v>P1060</v>
      </c>
      <c r="E872" s="6" t="str">
        <f aca="false">INDEX(Products!$B$2:$B$101,MATCH(D872,Products!$A$2:$A$101,0))</f>
        <v>Yoga Mat</v>
      </c>
      <c r="F872" s="1" t="str">
        <f aca="false">INDEX(Products!$C$2:$C$101,MATCH(D872,Products!$A$2:$A$101,0))</f>
        <v>Sports &amp; Outdoors</v>
      </c>
      <c r="G872" s="6" t="n">
        <f aca="false">Orders!E872</f>
        <v>2</v>
      </c>
      <c r="H872" s="16" t="n">
        <f aca="false">INDEX(Products!$D$2:$D$101,MATCH(D872,Products!$A$2:$A$101,0))</f>
        <v>799</v>
      </c>
      <c r="I872" s="16" t="n">
        <f aca="false">INDEX(Products!$E$2:$E$101,MATCH(D872,Products!$A$2:$A$101,0))</f>
        <v>350</v>
      </c>
      <c r="J872" s="20" t="n">
        <f aca="false">Orders!F872</f>
        <v>0.1</v>
      </c>
      <c r="K872" s="6" t="n">
        <f aca="false">G872*H872</f>
        <v>1598</v>
      </c>
      <c r="L872" s="6" t="n">
        <f aca="false">K872*J872</f>
        <v>159.8</v>
      </c>
      <c r="M872" s="6" t="n">
        <f aca="false">K872-L872</f>
        <v>1438.2</v>
      </c>
      <c r="N872" s="6" t="n">
        <f aca="false">G872*I872</f>
        <v>700</v>
      </c>
      <c r="O872" s="6" t="n">
        <f aca="false">M872-N872</f>
        <v>738.2</v>
      </c>
      <c r="P872" s="21" t="n">
        <f aca="false">IFERROR(O872/M872,0)</f>
        <v>0.513280489500765</v>
      </c>
      <c r="Q872" s="6" t="str">
        <f aca="false">Orders!H872</f>
        <v>Delivered</v>
      </c>
      <c r="R872" s="1" t="str">
        <f aca="false">INDEX(Customers!$C$2:$C$301,MATCH(C872,Customers!$A$2:$A$301,0))</f>
        <v>Kolkata</v>
      </c>
      <c r="S872" s="1" t="str">
        <f aca="false">INDEX(Customers!$E$2:$E$301,MATCH(C872,Customers!$A$2:$A$301,0))</f>
        <v>New</v>
      </c>
      <c r="T872" s="6" t="str">
        <f aca="false">Orders!I872</f>
        <v>Marketplace</v>
      </c>
      <c r="U872" s="1" t="str">
        <f aca="false">IF(Q872="Delivered","Completed",IF(Q872="Cancelled","Cancelled",IF(Q872="Returned","Returned","In Progress")))</f>
        <v>Completed</v>
      </c>
      <c r="V872" s="1" t="str">
        <f aca="false">IF(M872&gt;=10000,"High Value",IF(M872&gt;=5000,"Medium Value","Low Value"))</f>
        <v>Low Value</v>
      </c>
      <c r="W872" s="1" t="str">
        <f aca="false">IF(O872&gt;0,"Profitable",IF(O872=0,"Break-even","Loss"))</f>
        <v>Profitable</v>
      </c>
      <c r="X872" s="1" t="str">
        <f aca="false">IF(Q872="Cancelled","Not Applicable",IF(Q872="Processing","Pending",IF(B872="","Unknown",IF(Orders!J872="","Unknown",IF(Orders!J872&lt;=3,"Fast",IF(Orders!J872&lt;=6,"Standard","Slow"))))))</f>
        <v>Slow</v>
      </c>
      <c r="Y872" s="1" t="n">
        <f aca="false">IF(OR(Q872="Cancelled",Q872="Returned"),0,O872)</f>
        <v>738.2</v>
      </c>
    </row>
    <row r="873" customFormat="false" ht="15" hidden="false" customHeight="false" outlineLevel="0" collapsed="false">
      <c r="A873" s="6" t="str">
        <f aca="false">Orders!A873</f>
        <v>O000872</v>
      </c>
      <c r="B873" s="19" t="n">
        <f aca="false">Orders!B873</f>
        <v>45753</v>
      </c>
      <c r="C873" s="6" t="str">
        <f aca="false">Orders!C873</f>
        <v>C0284</v>
      </c>
      <c r="D873" s="6" t="str">
        <f aca="false">Orders!D873</f>
        <v>P1082</v>
      </c>
      <c r="E873" s="6" t="str">
        <f aca="false">INDEX(Products!$B$2:$B$101,MATCH(D873,Products!$A$2:$A$101,0))</f>
        <v>File Folder Set</v>
      </c>
      <c r="F873" s="1" t="str">
        <f aca="false">INDEX(Products!$C$2:$C$101,MATCH(D873,Products!$A$2:$A$101,0))</f>
        <v>Books &amp; Stationery</v>
      </c>
      <c r="G873" s="6" t="n">
        <f aca="false">Orders!E873</f>
        <v>2</v>
      </c>
      <c r="H873" s="16" t="n">
        <f aca="false">INDEX(Products!$D$2:$D$101,MATCH(D873,Products!$A$2:$A$101,0))</f>
        <v>249</v>
      </c>
      <c r="I873" s="16" t="n">
        <f aca="false">INDEX(Products!$E$2:$E$101,MATCH(D873,Products!$A$2:$A$101,0))</f>
        <v>90</v>
      </c>
      <c r="J873" s="20" t="n">
        <f aca="false">Orders!F873</f>
        <v>0.15</v>
      </c>
      <c r="K873" s="6" t="n">
        <f aca="false">G873*H873</f>
        <v>498</v>
      </c>
      <c r="L873" s="6" t="n">
        <f aca="false">K873*J873</f>
        <v>74.7</v>
      </c>
      <c r="M873" s="6" t="n">
        <f aca="false">K873-L873</f>
        <v>423.3</v>
      </c>
      <c r="N873" s="6" t="n">
        <f aca="false">G873*I873</f>
        <v>180</v>
      </c>
      <c r="O873" s="6" t="n">
        <f aca="false">M873-N873</f>
        <v>243.3</v>
      </c>
      <c r="P873" s="21" t="n">
        <f aca="false">IFERROR(O873/M873,0)</f>
        <v>0.574769666902906</v>
      </c>
      <c r="Q873" s="6" t="str">
        <f aca="false">Orders!H873</f>
        <v>Delivered</v>
      </c>
      <c r="R873" s="1" t="str">
        <f aca="false">INDEX(Customers!$C$2:$C$301,MATCH(C873,Customers!$A$2:$A$301,0))</f>
        <v>Hyderabad</v>
      </c>
      <c r="S873" s="1" t="str">
        <f aca="false">INDEX(Customers!$E$2:$E$301,MATCH(C873,Customers!$A$2:$A$301,0))</f>
        <v>Returning</v>
      </c>
      <c r="T873" s="6" t="str">
        <f aca="false">Orders!I873</f>
        <v>Mobile App</v>
      </c>
      <c r="U873" s="1" t="str">
        <f aca="false">IF(Q873="Delivered","Completed",IF(Q873="Cancelled","Cancelled",IF(Q873="Returned","Returned","In Progress")))</f>
        <v>Completed</v>
      </c>
      <c r="V873" s="1" t="str">
        <f aca="false">IF(M873&gt;=10000,"High Value",IF(M873&gt;=5000,"Medium Value","Low Value"))</f>
        <v>Low Value</v>
      </c>
      <c r="W873" s="1" t="str">
        <f aca="false">IF(O873&gt;0,"Profitable",IF(O873=0,"Break-even","Loss"))</f>
        <v>Profitable</v>
      </c>
      <c r="X873" s="1" t="str">
        <f aca="false">IF(Q873="Cancelled","Not Applicable",IF(Q873="Processing","Pending",IF(B873="","Unknown",IF(Orders!J873="","Unknown",IF(Orders!J873&lt;=3,"Fast",IF(Orders!J873&lt;=6,"Standard","Slow"))))))</f>
        <v>Fast</v>
      </c>
      <c r="Y873" s="1" t="n">
        <f aca="false">IF(OR(Q873="Cancelled",Q873="Returned"),0,O873)</f>
        <v>243.3</v>
      </c>
    </row>
    <row r="874" customFormat="false" ht="15" hidden="false" customHeight="false" outlineLevel="0" collapsed="false">
      <c r="A874" s="6" t="str">
        <f aca="false">Orders!A874</f>
        <v>O000873</v>
      </c>
      <c r="B874" s="19" t="n">
        <f aca="false">Orders!B874</f>
        <v>45694</v>
      </c>
      <c r="C874" s="6" t="str">
        <f aca="false">Orders!C874</f>
        <v>C0277</v>
      </c>
      <c r="D874" s="6" t="str">
        <f aca="false">Orders!D874</f>
        <v>P1040</v>
      </c>
      <c r="E874" s="6" t="str">
        <f aca="false">INDEX(Products!$B$2:$B$101,MATCH(D874,Products!$A$2:$A$101,0))</f>
        <v>Curtain Set</v>
      </c>
      <c r="F874" s="1" t="str">
        <f aca="false">INDEX(Products!$C$2:$C$101,MATCH(D874,Products!$A$2:$A$101,0))</f>
        <v>Home &amp; Kitchen</v>
      </c>
      <c r="G874" s="6" t="n">
        <f aca="false">Orders!E874</f>
        <v>3</v>
      </c>
      <c r="H874" s="16" t="n">
        <f aca="false">INDEX(Products!$D$2:$D$101,MATCH(D874,Products!$A$2:$A$101,0))</f>
        <v>1099</v>
      </c>
      <c r="I874" s="16" t="n">
        <f aca="false">INDEX(Products!$E$2:$E$101,MATCH(D874,Products!$A$2:$A$101,0))</f>
        <v>550</v>
      </c>
      <c r="J874" s="20" t="n">
        <f aca="false">Orders!F874</f>
        <v>0.05</v>
      </c>
      <c r="K874" s="6" t="n">
        <f aca="false">G874*H874</f>
        <v>3297</v>
      </c>
      <c r="L874" s="6" t="n">
        <f aca="false">K874*J874</f>
        <v>164.85</v>
      </c>
      <c r="M874" s="6" t="n">
        <f aca="false">K874-L874</f>
        <v>3132.15</v>
      </c>
      <c r="N874" s="6" t="n">
        <f aca="false">G874*I874</f>
        <v>1650</v>
      </c>
      <c r="O874" s="6" t="n">
        <f aca="false">M874-N874</f>
        <v>1482.15</v>
      </c>
      <c r="P874" s="21" t="n">
        <f aca="false">IFERROR(O874/M874,0)</f>
        <v>0.473205306259279</v>
      </c>
      <c r="Q874" s="6" t="str">
        <f aca="false">Orders!H874</f>
        <v>Returned</v>
      </c>
      <c r="R874" s="1" t="str">
        <f aca="false">INDEX(Customers!$C$2:$C$301,MATCH(C874,Customers!$A$2:$A$301,0))</f>
        <v>Surat</v>
      </c>
      <c r="S874" s="1" t="str">
        <f aca="false">INDEX(Customers!$E$2:$E$301,MATCH(C874,Customers!$A$2:$A$301,0))</f>
        <v>VIP</v>
      </c>
      <c r="T874" s="6" t="str">
        <f aca="false">Orders!I874</f>
        <v>Website</v>
      </c>
      <c r="U874" s="1" t="str">
        <f aca="false">IF(Q874="Delivered","Completed",IF(Q874="Cancelled","Cancelled",IF(Q874="Returned","Returned","In Progress")))</f>
        <v>Returned</v>
      </c>
      <c r="V874" s="1" t="str">
        <f aca="false">IF(M874&gt;=10000,"High Value",IF(M874&gt;=5000,"Medium Value","Low Value"))</f>
        <v>Low Value</v>
      </c>
      <c r="W874" s="1" t="str">
        <f aca="false">IF(O874&gt;0,"Profitable",IF(O874=0,"Break-even","Loss"))</f>
        <v>Profitable</v>
      </c>
      <c r="X874" s="1" t="str">
        <f aca="false">IF(Q874="Cancelled","Not Applicable",IF(Q874="Processing","Pending",IF(B874="","Unknown",IF(Orders!J874="","Unknown",IF(Orders!J874&lt;=3,"Fast",IF(Orders!J874&lt;=6,"Standard","Slow"))))))</f>
        <v>Standard</v>
      </c>
      <c r="Y874" s="1" t="n">
        <f aca="false">IF(OR(Q874="Cancelled",Q874="Returned"),0,O874)</f>
        <v>0</v>
      </c>
    </row>
    <row r="875" customFormat="false" ht="15" hidden="false" customHeight="false" outlineLevel="0" collapsed="false">
      <c r="A875" s="6" t="str">
        <f aca="false">Orders!A875</f>
        <v>O000874</v>
      </c>
      <c r="B875" s="19" t="n">
        <f aca="false">Orders!B875</f>
        <v>45993</v>
      </c>
      <c r="C875" s="6" t="str">
        <f aca="false">Orders!C875</f>
        <v>C0006</v>
      </c>
      <c r="D875" s="6" t="str">
        <f aca="false">Orders!D875</f>
        <v>P1007</v>
      </c>
      <c r="E875" s="6" t="str">
        <f aca="false">INDEX(Products!$B$2:$B$101,MATCH(D875,Products!$A$2:$A$101,0))</f>
        <v>Keyboard</v>
      </c>
      <c r="F875" s="1" t="str">
        <f aca="false">INDEX(Products!$C$2:$C$101,MATCH(D875,Products!$A$2:$A$101,0))</f>
        <v>Electronics</v>
      </c>
      <c r="G875" s="6" t="n">
        <f aca="false">Orders!E875</f>
        <v>5</v>
      </c>
      <c r="H875" s="16" t="n">
        <f aca="false">INDEX(Products!$D$2:$D$101,MATCH(D875,Products!$A$2:$A$101,0))</f>
        <v>999</v>
      </c>
      <c r="I875" s="16" t="n">
        <f aca="false">INDEX(Products!$E$2:$E$101,MATCH(D875,Products!$A$2:$A$101,0))</f>
        <v>480</v>
      </c>
      <c r="J875" s="20" t="n">
        <f aca="false">Orders!F875</f>
        <v>0.25</v>
      </c>
      <c r="K875" s="6" t="n">
        <f aca="false">G875*H875</f>
        <v>4995</v>
      </c>
      <c r="L875" s="6" t="n">
        <f aca="false">K875*J875</f>
        <v>1248.75</v>
      </c>
      <c r="M875" s="6" t="n">
        <f aca="false">K875-L875</f>
        <v>3746.25</v>
      </c>
      <c r="N875" s="6" t="n">
        <f aca="false">G875*I875</f>
        <v>2400</v>
      </c>
      <c r="O875" s="6" t="n">
        <f aca="false">M875-N875</f>
        <v>1346.25</v>
      </c>
      <c r="P875" s="21" t="n">
        <f aca="false">IFERROR(O875/M875,0)</f>
        <v>0.359359359359359</v>
      </c>
      <c r="Q875" s="6" t="str">
        <f aca="false">Orders!H875</f>
        <v>Delivered</v>
      </c>
      <c r="R875" s="1" t="str">
        <f aca="false">INDEX(Customers!$C$2:$C$301,MATCH(C875,Customers!$A$2:$A$301,0))</f>
        <v>Kolkata</v>
      </c>
      <c r="S875" s="1" t="str">
        <f aca="false">INDEX(Customers!$E$2:$E$301,MATCH(C875,Customers!$A$2:$A$301,0))</f>
        <v>Returning</v>
      </c>
      <c r="T875" s="6" t="str">
        <f aca="false">Orders!I875</f>
        <v>Marketplace</v>
      </c>
      <c r="U875" s="1" t="str">
        <f aca="false">IF(Q875="Delivered","Completed",IF(Q875="Cancelled","Cancelled",IF(Q875="Returned","Returned","In Progress")))</f>
        <v>Completed</v>
      </c>
      <c r="V875" s="1" t="str">
        <f aca="false">IF(M875&gt;=10000,"High Value",IF(M875&gt;=5000,"Medium Value","Low Value"))</f>
        <v>Low Value</v>
      </c>
      <c r="W875" s="1" t="str">
        <f aca="false">IF(O875&gt;0,"Profitable",IF(O875=0,"Break-even","Loss"))</f>
        <v>Profitable</v>
      </c>
      <c r="X875" s="1" t="str">
        <f aca="false">IF(Q875="Cancelled","Not Applicable",IF(Q875="Processing","Pending",IF(B875="","Unknown",IF(Orders!J875="","Unknown",IF(Orders!J875&lt;=3,"Fast",IF(Orders!J875&lt;=6,"Standard","Slow"))))))</f>
        <v>Standard</v>
      </c>
      <c r="Y875" s="1" t="n">
        <f aca="false">IF(OR(Q875="Cancelled",Q875="Returned"),0,O875)</f>
        <v>1346.25</v>
      </c>
    </row>
    <row r="876" customFormat="false" ht="15" hidden="false" customHeight="false" outlineLevel="0" collapsed="false">
      <c r="A876" s="6" t="str">
        <f aca="false">Orders!A876</f>
        <v>O000875</v>
      </c>
      <c r="B876" s="19" t="n">
        <f aca="false">Orders!B876</f>
        <v>45750</v>
      </c>
      <c r="C876" s="6" t="str">
        <f aca="false">Orders!C876</f>
        <v>C0167</v>
      </c>
      <c r="D876" s="6" t="str">
        <f aca="false">Orders!D876</f>
        <v>P1071</v>
      </c>
      <c r="E876" s="6" t="str">
        <f aca="false">INDEX(Products!$B$2:$B$101,MATCH(D876,Products!$A$2:$A$101,0))</f>
        <v>Exercise Ball</v>
      </c>
      <c r="F876" s="1" t="str">
        <f aca="false">INDEX(Products!$C$2:$C$101,MATCH(D876,Products!$A$2:$A$101,0))</f>
        <v>Sports &amp; Outdoors</v>
      </c>
      <c r="G876" s="6" t="n">
        <f aca="false">Orders!E876</f>
        <v>2</v>
      </c>
      <c r="H876" s="16" t="n">
        <f aca="false">INDEX(Products!$D$2:$D$101,MATCH(D876,Products!$A$2:$A$101,0))</f>
        <v>699</v>
      </c>
      <c r="I876" s="16" t="n">
        <f aca="false">INDEX(Products!$E$2:$E$101,MATCH(D876,Products!$A$2:$A$101,0))</f>
        <v>320</v>
      </c>
      <c r="J876" s="20" t="n">
        <f aca="false">Orders!F876</f>
        <v>0.05</v>
      </c>
      <c r="K876" s="6" t="n">
        <f aca="false">G876*H876</f>
        <v>1398</v>
      </c>
      <c r="L876" s="6" t="n">
        <f aca="false">K876*J876</f>
        <v>69.9</v>
      </c>
      <c r="M876" s="6" t="n">
        <f aca="false">K876-L876</f>
        <v>1328.1</v>
      </c>
      <c r="N876" s="6" t="n">
        <f aca="false">G876*I876</f>
        <v>640</v>
      </c>
      <c r="O876" s="6" t="n">
        <f aca="false">M876-N876</f>
        <v>688.1</v>
      </c>
      <c r="P876" s="21" t="n">
        <f aca="false">IFERROR(O876/M876,0)</f>
        <v>0.518108576161434</v>
      </c>
      <c r="Q876" s="6" t="str">
        <f aca="false">Orders!H876</f>
        <v>Shipped</v>
      </c>
      <c r="R876" s="1" t="str">
        <f aca="false">INDEX(Customers!$C$2:$C$301,MATCH(C876,Customers!$A$2:$A$301,0))</f>
        <v>Pune</v>
      </c>
      <c r="S876" s="1" t="str">
        <f aca="false">INDEX(Customers!$E$2:$E$301,MATCH(C876,Customers!$A$2:$A$301,0))</f>
        <v>Returning</v>
      </c>
      <c r="T876" s="6" t="str">
        <f aca="false">Orders!I876</f>
        <v>Website</v>
      </c>
      <c r="U876" s="1" t="str">
        <f aca="false">IF(Q876="Delivered","Completed",IF(Q876="Cancelled","Cancelled",IF(Q876="Returned","Returned","In Progress")))</f>
        <v>In Progress</v>
      </c>
      <c r="V876" s="1" t="str">
        <f aca="false">IF(M876&gt;=10000,"High Value",IF(M876&gt;=5000,"Medium Value","Low Value"))</f>
        <v>Low Value</v>
      </c>
      <c r="W876" s="1" t="str">
        <f aca="false">IF(O876&gt;0,"Profitable",IF(O876=0,"Break-even","Loss"))</f>
        <v>Profitable</v>
      </c>
      <c r="X876" s="1" t="str">
        <f aca="false">IF(Q876="Cancelled","Not Applicable",IF(Q876="Processing","Pending",IF(B876="","Unknown",IF(Orders!J876="","Unknown",IF(Orders!J876&lt;=3,"Fast",IF(Orders!J876&lt;=6,"Standard","Slow"))))))</f>
        <v>Standard</v>
      </c>
      <c r="Y876" s="1" t="n">
        <f aca="false">IF(OR(Q876="Cancelled",Q876="Returned"),0,O876)</f>
        <v>688.1</v>
      </c>
    </row>
    <row r="877" customFormat="false" ht="15" hidden="false" customHeight="false" outlineLevel="0" collapsed="false">
      <c r="A877" s="6" t="str">
        <f aca="false">Orders!A877</f>
        <v>O000876</v>
      </c>
      <c r="B877" s="19" t="n">
        <f aca="false">Orders!B877</f>
        <v>45999</v>
      </c>
      <c r="C877" s="6" t="str">
        <f aca="false">Orders!C877</f>
        <v>C0293</v>
      </c>
      <c r="D877" s="6" t="str">
        <f aca="false">Orders!D877</f>
        <v>P1039</v>
      </c>
      <c r="E877" s="6" t="str">
        <f aca="false">INDEX(Products!$B$2:$B$101,MATCH(D877,Products!$A$2:$A$101,0))</f>
        <v>Wall Clock</v>
      </c>
      <c r="F877" s="1" t="str">
        <f aca="false">INDEX(Products!$C$2:$C$101,MATCH(D877,Products!$A$2:$A$101,0))</f>
        <v>Home &amp; Kitchen</v>
      </c>
      <c r="G877" s="6" t="n">
        <f aca="false">Orders!E877</f>
        <v>2</v>
      </c>
      <c r="H877" s="16" t="n">
        <f aca="false">INDEX(Products!$D$2:$D$101,MATCH(D877,Products!$A$2:$A$101,0))</f>
        <v>699</v>
      </c>
      <c r="I877" s="16" t="n">
        <f aca="false">INDEX(Products!$E$2:$E$101,MATCH(D877,Products!$A$2:$A$101,0))</f>
        <v>300</v>
      </c>
      <c r="J877" s="20" t="n">
        <f aca="false">Orders!F877</f>
        <v>0.15</v>
      </c>
      <c r="K877" s="6" t="n">
        <f aca="false">G877*H877</f>
        <v>1398</v>
      </c>
      <c r="L877" s="6" t="n">
        <f aca="false">K877*J877</f>
        <v>209.7</v>
      </c>
      <c r="M877" s="6" t="n">
        <f aca="false">K877-L877</f>
        <v>1188.3</v>
      </c>
      <c r="N877" s="6" t="n">
        <f aca="false">G877*I877</f>
        <v>600</v>
      </c>
      <c r="O877" s="6" t="n">
        <f aca="false">M877-N877</f>
        <v>588.3</v>
      </c>
      <c r="P877" s="21" t="n">
        <f aca="false">IFERROR(O877/M877,0)</f>
        <v>0.495077000757385</v>
      </c>
      <c r="Q877" s="6" t="str">
        <f aca="false">Orders!H877</f>
        <v>Delivered</v>
      </c>
      <c r="R877" s="1" t="str">
        <f aca="false">INDEX(Customers!$C$2:$C$301,MATCH(C877,Customers!$A$2:$A$301,0))</f>
        <v>Kochi</v>
      </c>
      <c r="S877" s="1" t="str">
        <f aca="false">INDEX(Customers!$E$2:$E$301,MATCH(C877,Customers!$A$2:$A$301,0))</f>
        <v>VIP</v>
      </c>
      <c r="T877" s="6" t="str">
        <f aca="false">Orders!I877</f>
        <v>Marketplace</v>
      </c>
      <c r="U877" s="1" t="str">
        <f aca="false">IF(Q877="Delivered","Completed",IF(Q877="Cancelled","Cancelled",IF(Q877="Returned","Returned","In Progress")))</f>
        <v>Completed</v>
      </c>
      <c r="V877" s="1" t="str">
        <f aca="false">IF(M877&gt;=10000,"High Value",IF(M877&gt;=5000,"Medium Value","Low Value"))</f>
        <v>Low Value</v>
      </c>
      <c r="W877" s="1" t="str">
        <f aca="false">IF(O877&gt;0,"Profitable",IF(O877=0,"Break-even","Loss"))</f>
        <v>Profitable</v>
      </c>
      <c r="X877" s="1" t="str">
        <f aca="false">IF(Q877="Cancelled","Not Applicable",IF(Q877="Processing","Pending",IF(B877="","Unknown",IF(Orders!J877="","Unknown",IF(Orders!J877&lt;=3,"Fast",IF(Orders!J877&lt;=6,"Standard","Slow"))))))</f>
        <v>Fast</v>
      </c>
      <c r="Y877" s="1" t="n">
        <f aca="false">IF(OR(Q877="Cancelled",Q877="Returned"),0,O877)</f>
        <v>588.3</v>
      </c>
    </row>
    <row r="878" customFormat="false" ht="15" hidden="false" customHeight="false" outlineLevel="0" collapsed="false">
      <c r="A878" s="6" t="str">
        <f aca="false">Orders!A878</f>
        <v>O000877</v>
      </c>
      <c r="B878" s="19" t="n">
        <f aca="false">Orders!B878</f>
        <v>45709</v>
      </c>
      <c r="C878" s="6" t="str">
        <f aca="false">Orders!C878</f>
        <v>C0230</v>
      </c>
      <c r="D878" s="6" t="str">
        <f aca="false">Orders!D878</f>
        <v>P1045</v>
      </c>
      <c r="E878" s="6" t="str">
        <f aca="false">INDEX(Products!$B$2:$B$101,MATCH(D878,Products!$A$2:$A$101,0))</f>
        <v>Lunch Box</v>
      </c>
      <c r="F878" s="1" t="str">
        <f aca="false">INDEX(Products!$C$2:$C$101,MATCH(D878,Products!$A$2:$A$101,0))</f>
        <v>Home &amp; Kitchen</v>
      </c>
      <c r="G878" s="6" t="n">
        <f aca="false">Orders!E878</f>
        <v>2</v>
      </c>
      <c r="H878" s="16" t="n">
        <f aca="false">INDEX(Products!$D$2:$D$101,MATCH(D878,Products!$A$2:$A$101,0))</f>
        <v>449</v>
      </c>
      <c r="I878" s="16" t="n">
        <f aca="false">INDEX(Products!$E$2:$E$101,MATCH(D878,Products!$A$2:$A$101,0))</f>
        <v>180</v>
      </c>
      <c r="J878" s="20" t="n">
        <f aca="false">Orders!F878</f>
        <v>0.05</v>
      </c>
      <c r="K878" s="6" t="n">
        <f aca="false">G878*H878</f>
        <v>898</v>
      </c>
      <c r="L878" s="6" t="n">
        <f aca="false">K878*J878</f>
        <v>44.9</v>
      </c>
      <c r="M878" s="6" t="n">
        <f aca="false">K878-L878</f>
        <v>853.1</v>
      </c>
      <c r="N878" s="6" t="n">
        <f aca="false">G878*I878</f>
        <v>360</v>
      </c>
      <c r="O878" s="6" t="n">
        <f aca="false">M878-N878</f>
        <v>493.1</v>
      </c>
      <c r="P878" s="21" t="n">
        <f aca="false">IFERROR(O878/M878,0)</f>
        <v>0.578009612003282</v>
      </c>
      <c r="Q878" s="6" t="str">
        <f aca="false">Orders!H878</f>
        <v>Delivered</v>
      </c>
      <c r="R878" s="1" t="str">
        <f aca="false">INDEX(Customers!$C$2:$C$301,MATCH(C878,Customers!$A$2:$A$301,0))</f>
        <v>Lucknow</v>
      </c>
      <c r="S878" s="1" t="str">
        <f aca="false">INDEX(Customers!$E$2:$E$301,MATCH(C878,Customers!$A$2:$A$301,0))</f>
        <v>New</v>
      </c>
      <c r="T878" s="6" t="str">
        <f aca="false">Orders!I878</f>
        <v>Mobile App</v>
      </c>
      <c r="U878" s="1" t="str">
        <f aca="false">IF(Q878="Delivered","Completed",IF(Q878="Cancelled","Cancelled",IF(Q878="Returned","Returned","In Progress")))</f>
        <v>Completed</v>
      </c>
      <c r="V878" s="1" t="str">
        <f aca="false">IF(M878&gt;=10000,"High Value",IF(M878&gt;=5000,"Medium Value","Low Value"))</f>
        <v>Low Value</v>
      </c>
      <c r="W878" s="1" t="str">
        <f aca="false">IF(O878&gt;0,"Profitable",IF(O878=0,"Break-even","Loss"))</f>
        <v>Profitable</v>
      </c>
      <c r="X878" s="1" t="str">
        <f aca="false">IF(Q878="Cancelled","Not Applicable",IF(Q878="Processing","Pending",IF(B878="","Unknown",IF(Orders!J878="","Unknown",IF(Orders!J878&lt;=3,"Fast",IF(Orders!J878&lt;=6,"Standard","Slow"))))))</f>
        <v>Standard</v>
      </c>
      <c r="Y878" s="1" t="n">
        <f aca="false">IF(OR(Q878="Cancelled",Q878="Returned"),0,O878)</f>
        <v>493.1</v>
      </c>
    </row>
    <row r="879" customFormat="false" ht="23.85" hidden="false" customHeight="false" outlineLevel="0" collapsed="false">
      <c r="A879" s="6" t="str">
        <f aca="false">Orders!A879</f>
        <v>O000878</v>
      </c>
      <c r="B879" s="19" t="n">
        <f aca="false">Orders!B879</f>
        <v>45993</v>
      </c>
      <c r="C879" s="6" t="str">
        <f aca="false">Orders!C879</f>
        <v>C0140</v>
      </c>
      <c r="D879" s="6" t="str">
        <f aca="false">Orders!D879</f>
        <v>P1001</v>
      </c>
      <c r="E879" s="6" t="str">
        <f aca="false">INDEX(Products!$B$2:$B$101,MATCH(D879,Products!$A$2:$A$101,0))</f>
        <v>Wireless Earbuds</v>
      </c>
      <c r="F879" s="1" t="str">
        <f aca="false">INDEX(Products!$C$2:$C$101,MATCH(D879,Products!$A$2:$A$101,0))</f>
        <v>Electronics</v>
      </c>
      <c r="G879" s="6" t="n">
        <f aca="false">Orders!E879</f>
        <v>1</v>
      </c>
      <c r="H879" s="16" t="n">
        <f aca="false">INDEX(Products!$D$2:$D$101,MATCH(D879,Products!$A$2:$A$101,0))</f>
        <v>899</v>
      </c>
      <c r="I879" s="16" t="n">
        <f aca="false">INDEX(Products!$E$2:$E$101,MATCH(D879,Products!$A$2:$A$101,0))</f>
        <v>499</v>
      </c>
      <c r="J879" s="20" t="n">
        <f aca="false">Orders!F879</f>
        <v>0</v>
      </c>
      <c r="K879" s="6" t="n">
        <f aca="false">G879*H879</f>
        <v>899</v>
      </c>
      <c r="L879" s="6" t="n">
        <f aca="false">K879*J879</f>
        <v>0</v>
      </c>
      <c r="M879" s="6" t="n">
        <f aca="false">K879-L879</f>
        <v>899</v>
      </c>
      <c r="N879" s="6" t="n">
        <f aca="false">G879*I879</f>
        <v>499</v>
      </c>
      <c r="O879" s="6" t="n">
        <f aca="false">M879-N879</f>
        <v>400</v>
      </c>
      <c r="P879" s="21" t="n">
        <f aca="false">IFERROR(O879/M879,0)</f>
        <v>0.444938820912125</v>
      </c>
      <c r="Q879" s="6" t="str">
        <f aca="false">Orders!H879</f>
        <v>Processing</v>
      </c>
      <c r="R879" s="1" t="str">
        <f aca="false">INDEX(Customers!$C$2:$C$301,MATCH(C879,Customers!$A$2:$A$301,0))</f>
        <v>Visakhapatnam</v>
      </c>
      <c r="S879" s="1" t="str">
        <f aca="false">INDEX(Customers!$E$2:$E$301,MATCH(C879,Customers!$A$2:$A$301,0))</f>
        <v>New</v>
      </c>
      <c r="T879" s="6" t="str">
        <f aca="false">Orders!I879</f>
        <v>Website</v>
      </c>
      <c r="U879" s="1" t="str">
        <f aca="false">IF(Q879="Delivered","Completed",IF(Q879="Cancelled","Cancelled",IF(Q879="Returned","Returned","In Progress")))</f>
        <v>In Progress</v>
      </c>
      <c r="V879" s="1" t="str">
        <f aca="false">IF(M879&gt;=10000,"High Value",IF(M879&gt;=5000,"Medium Value","Low Value"))</f>
        <v>Low Value</v>
      </c>
      <c r="W879" s="1" t="str">
        <f aca="false">IF(O879&gt;0,"Profitable",IF(O879=0,"Break-even","Loss"))</f>
        <v>Profitable</v>
      </c>
      <c r="X879" s="1" t="str">
        <f aca="false">IF(Q879="Cancelled","Not Applicable",IF(Q879="Processing","Pending",IF(B879="","Unknown",IF(Orders!J879="","Unknown",IF(Orders!J879&lt;=3,"Fast",IF(Orders!J879&lt;=6,"Standard","Slow"))))))</f>
        <v>Pending</v>
      </c>
      <c r="Y879" s="1" t="n">
        <f aca="false">IF(OR(Q879="Cancelled",Q879="Returned"),0,O879)</f>
        <v>400</v>
      </c>
    </row>
    <row r="880" customFormat="false" ht="15" hidden="false" customHeight="false" outlineLevel="0" collapsed="false">
      <c r="A880" s="6" t="str">
        <f aca="false">Orders!A880</f>
        <v>O000879</v>
      </c>
      <c r="B880" s="19" t="n">
        <f aca="false">Orders!B880</f>
        <v>45791</v>
      </c>
      <c r="C880" s="6" t="str">
        <f aca="false">Orders!C880</f>
        <v>C0056</v>
      </c>
      <c r="D880" s="6" t="str">
        <f aca="false">Orders!D880</f>
        <v>P1086</v>
      </c>
      <c r="E880" s="6" t="str">
        <f aca="false">INDEX(Products!$B$2:$B$101,MATCH(D880,Products!$A$2:$A$101,0))</f>
        <v>Geometry Box</v>
      </c>
      <c r="F880" s="1" t="str">
        <f aca="false">INDEX(Products!$C$2:$C$101,MATCH(D880,Products!$A$2:$A$101,0))</f>
        <v>Books &amp; Stationery</v>
      </c>
      <c r="G880" s="6" t="n">
        <f aca="false">Orders!E880</f>
        <v>2</v>
      </c>
      <c r="H880" s="16" t="n">
        <f aca="false">INDEX(Products!$D$2:$D$101,MATCH(D880,Products!$A$2:$A$101,0))</f>
        <v>199</v>
      </c>
      <c r="I880" s="16" t="n">
        <f aca="false">INDEX(Products!$E$2:$E$101,MATCH(D880,Products!$A$2:$A$101,0))</f>
        <v>70</v>
      </c>
      <c r="J880" s="20" t="n">
        <f aca="false">Orders!F880</f>
        <v>0.05</v>
      </c>
      <c r="K880" s="6" t="n">
        <f aca="false">G880*H880</f>
        <v>398</v>
      </c>
      <c r="L880" s="6" t="n">
        <f aca="false">K880*J880</f>
        <v>19.9</v>
      </c>
      <c r="M880" s="6" t="n">
        <f aca="false">K880-L880</f>
        <v>378.1</v>
      </c>
      <c r="N880" s="6" t="n">
        <f aca="false">G880*I880</f>
        <v>140</v>
      </c>
      <c r="O880" s="6" t="n">
        <f aca="false">M880-N880</f>
        <v>238.1</v>
      </c>
      <c r="P880" s="21" t="n">
        <f aca="false">IFERROR(O880/M880,0)</f>
        <v>0.629727585294896</v>
      </c>
      <c r="Q880" s="6" t="str">
        <f aca="false">Orders!H880</f>
        <v>Delivered</v>
      </c>
      <c r="R880" s="1" t="str">
        <f aca="false">INDEX(Customers!$C$2:$C$301,MATCH(C880,Customers!$A$2:$A$301,0))</f>
        <v>Chandigarh</v>
      </c>
      <c r="S880" s="1" t="str">
        <f aca="false">INDEX(Customers!$E$2:$E$301,MATCH(C880,Customers!$A$2:$A$301,0))</f>
        <v>Returning</v>
      </c>
      <c r="T880" s="6" t="str">
        <f aca="false">Orders!I880</f>
        <v>Website</v>
      </c>
      <c r="U880" s="1" t="str">
        <f aca="false">IF(Q880="Delivered","Completed",IF(Q880="Cancelled","Cancelled",IF(Q880="Returned","Returned","In Progress")))</f>
        <v>Completed</v>
      </c>
      <c r="V880" s="1" t="str">
        <f aca="false">IF(M880&gt;=10000,"High Value",IF(M880&gt;=5000,"Medium Value","Low Value"))</f>
        <v>Low Value</v>
      </c>
      <c r="W880" s="1" t="str">
        <f aca="false">IF(O880&gt;0,"Profitable",IF(O880=0,"Break-even","Loss"))</f>
        <v>Profitable</v>
      </c>
      <c r="X880" s="1" t="str">
        <f aca="false">IF(Q880="Cancelled","Not Applicable",IF(Q880="Processing","Pending",IF(B880="","Unknown",IF(Orders!J880="","Unknown",IF(Orders!J880&lt;=3,"Fast",IF(Orders!J880&lt;=6,"Standard","Slow"))))))</f>
        <v>Standard</v>
      </c>
      <c r="Y880" s="1" t="n">
        <f aca="false">IF(OR(Q880="Cancelled",Q880="Returned"),0,O880)</f>
        <v>238.1</v>
      </c>
    </row>
    <row r="881" customFormat="false" ht="15" hidden="false" customHeight="false" outlineLevel="0" collapsed="false">
      <c r="A881" s="6" t="str">
        <f aca="false">Orders!A881</f>
        <v>O000880</v>
      </c>
      <c r="B881" s="19" t="n">
        <f aca="false">Orders!B881</f>
        <v>45742</v>
      </c>
      <c r="C881" s="6" t="str">
        <f aca="false">Orders!C881</f>
        <v>C0273</v>
      </c>
      <c r="D881" s="6" t="str">
        <f aca="false">Orders!D881</f>
        <v>P1006</v>
      </c>
      <c r="E881" s="6" t="str">
        <f aca="false">INDEX(Products!$B$2:$B$101,MATCH(D881,Products!$A$2:$A$101,0))</f>
        <v>Wireless Mouse</v>
      </c>
      <c r="F881" s="1" t="str">
        <f aca="false">INDEX(Products!$C$2:$C$101,MATCH(D881,Products!$A$2:$A$101,0))</f>
        <v>Electronics</v>
      </c>
      <c r="G881" s="6" t="n">
        <f aca="false">Orders!E881</f>
        <v>1</v>
      </c>
      <c r="H881" s="16" t="n">
        <f aca="false">INDEX(Products!$D$2:$D$101,MATCH(D881,Products!$A$2:$A$101,0))</f>
        <v>699</v>
      </c>
      <c r="I881" s="16" t="n">
        <f aca="false">INDEX(Products!$E$2:$E$101,MATCH(D881,Products!$A$2:$A$101,0))</f>
        <v>300</v>
      </c>
      <c r="J881" s="20" t="n">
        <f aca="false">Orders!F881</f>
        <v>0</v>
      </c>
      <c r="K881" s="6" t="n">
        <f aca="false">G881*H881</f>
        <v>699</v>
      </c>
      <c r="L881" s="6" t="n">
        <f aca="false">K881*J881</f>
        <v>0</v>
      </c>
      <c r="M881" s="6" t="n">
        <f aca="false">K881-L881</f>
        <v>699</v>
      </c>
      <c r="N881" s="6" t="n">
        <f aca="false">G881*I881</f>
        <v>300</v>
      </c>
      <c r="O881" s="6" t="n">
        <f aca="false">M881-N881</f>
        <v>399</v>
      </c>
      <c r="P881" s="21" t="n">
        <f aca="false">IFERROR(O881/M881,0)</f>
        <v>0.570815450643777</v>
      </c>
      <c r="Q881" s="6" t="str">
        <f aca="false">Orders!H881</f>
        <v>Delivered</v>
      </c>
      <c r="R881" s="1" t="str">
        <f aca="false">INDEX(Customers!$C$2:$C$301,MATCH(C881,Customers!$A$2:$A$301,0))</f>
        <v>Kochi</v>
      </c>
      <c r="S881" s="1" t="str">
        <f aca="false">INDEX(Customers!$E$2:$E$301,MATCH(C881,Customers!$A$2:$A$301,0))</f>
        <v>Returning</v>
      </c>
      <c r="T881" s="6" t="str">
        <f aca="false">Orders!I881</f>
        <v>Website</v>
      </c>
      <c r="U881" s="1" t="str">
        <f aca="false">IF(Q881="Delivered","Completed",IF(Q881="Cancelled","Cancelled",IF(Q881="Returned","Returned","In Progress")))</f>
        <v>Completed</v>
      </c>
      <c r="V881" s="1" t="str">
        <f aca="false">IF(M881&gt;=10000,"High Value",IF(M881&gt;=5000,"Medium Value","Low Value"))</f>
        <v>Low Value</v>
      </c>
      <c r="W881" s="1" t="str">
        <f aca="false">IF(O881&gt;0,"Profitable",IF(O881=0,"Break-even","Loss"))</f>
        <v>Profitable</v>
      </c>
      <c r="X881" s="1" t="str">
        <f aca="false">IF(Q881="Cancelled","Not Applicable",IF(Q881="Processing","Pending",IF(B881="","Unknown",IF(Orders!J881="","Unknown",IF(Orders!J881&lt;=3,"Fast",IF(Orders!J881&lt;=6,"Standard","Slow"))))))</f>
        <v>Slow</v>
      </c>
      <c r="Y881" s="1" t="n">
        <f aca="false">IF(OR(Q881="Cancelled",Q881="Returned"),0,O881)</f>
        <v>399</v>
      </c>
    </row>
    <row r="882" customFormat="false" ht="15" hidden="false" customHeight="false" outlineLevel="0" collapsed="false">
      <c r="A882" s="6" t="str">
        <f aca="false">Orders!A882</f>
        <v>O000881</v>
      </c>
      <c r="B882" s="19" t="n">
        <f aca="false">Orders!B882</f>
        <v>45823</v>
      </c>
      <c r="C882" s="6" t="str">
        <f aca="false">Orders!C882</f>
        <v>C0294</v>
      </c>
      <c r="D882" s="6" t="str">
        <f aca="false">Orders!D882</f>
        <v>P1086</v>
      </c>
      <c r="E882" s="6" t="str">
        <f aca="false">INDEX(Products!$B$2:$B$101,MATCH(D882,Products!$A$2:$A$101,0))</f>
        <v>Geometry Box</v>
      </c>
      <c r="F882" s="1" t="str">
        <f aca="false">INDEX(Products!$C$2:$C$101,MATCH(D882,Products!$A$2:$A$101,0))</f>
        <v>Books &amp; Stationery</v>
      </c>
      <c r="G882" s="6" t="n">
        <f aca="false">Orders!E882</f>
        <v>2</v>
      </c>
      <c r="H882" s="16" t="n">
        <f aca="false">INDEX(Products!$D$2:$D$101,MATCH(D882,Products!$A$2:$A$101,0))</f>
        <v>199</v>
      </c>
      <c r="I882" s="16" t="n">
        <f aca="false">INDEX(Products!$E$2:$E$101,MATCH(D882,Products!$A$2:$A$101,0))</f>
        <v>70</v>
      </c>
      <c r="J882" s="20" t="n">
        <f aca="false">Orders!F882</f>
        <v>0.25</v>
      </c>
      <c r="K882" s="6" t="n">
        <f aca="false">G882*H882</f>
        <v>398</v>
      </c>
      <c r="L882" s="6" t="n">
        <f aca="false">K882*J882</f>
        <v>99.5</v>
      </c>
      <c r="M882" s="6" t="n">
        <f aca="false">K882-L882</f>
        <v>298.5</v>
      </c>
      <c r="N882" s="6" t="n">
        <f aca="false">G882*I882</f>
        <v>140</v>
      </c>
      <c r="O882" s="6" t="n">
        <f aca="false">M882-N882</f>
        <v>158.5</v>
      </c>
      <c r="P882" s="21" t="n">
        <f aca="false">IFERROR(O882/M882,0)</f>
        <v>0.530988274706868</v>
      </c>
      <c r="Q882" s="6" t="str">
        <f aca="false">Orders!H882</f>
        <v>Delivered</v>
      </c>
      <c r="R882" s="1" t="str">
        <f aca="false">INDEX(Customers!$C$2:$C$301,MATCH(C882,Customers!$A$2:$A$301,0))</f>
        <v>Indore</v>
      </c>
      <c r="S882" s="1" t="str">
        <f aca="false">INDEX(Customers!$E$2:$E$301,MATCH(C882,Customers!$A$2:$A$301,0))</f>
        <v>Returning</v>
      </c>
      <c r="T882" s="6" t="str">
        <f aca="false">Orders!I882</f>
        <v>Mobile App</v>
      </c>
      <c r="U882" s="1" t="str">
        <f aca="false">IF(Q882="Delivered","Completed",IF(Q882="Cancelled","Cancelled",IF(Q882="Returned","Returned","In Progress")))</f>
        <v>Completed</v>
      </c>
      <c r="V882" s="1" t="str">
        <f aca="false">IF(M882&gt;=10000,"High Value",IF(M882&gt;=5000,"Medium Value","Low Value"))</f>
        <v>Low Value</v>
      </c>
      <c r="W882" s="1" t="str">
        <f aca="false">IF(O882&gt;0,"Profitable",IF(O882=0,"Break-even","Loss"))</f>
        <v>Profitable</v>
      </c>
      <c r="X882" s="1" t="str">
        <f aca="false">IF(Q882="Cancelled","Not Applicable",IF(Q882="Processing","Pending",IF(B882="","Unknown",IF(Orders!J882="","Unknown",IF(Orders!J882&lt;=3,"Fast",IF(Orders!J882&lt;=6,"Standard","Slow"))))))</f>
        <v>Fast</v>
      </c>
      <c r="Y882" s="1" t="n">
        <f aca="false">IF(OR(Q882="Cancelled",Q882="Returned"),0,O882)</f>
        <v>158.5</v>
      </c>
    </row>
    <row r="883" customFormat="false" ht="23.85" hidden="false" customHeight="false" outlineLevel="0" collapsed="false">
      <c r="A883" s="6" t="str">
        <f aca="false">Orders!A883</f>
        <v>O000882</v>
      </c>
      <c r="B883" s="19" t="n">
        <f aca="false">Orders!B883</f>
        <v>45992</v>
      </c>
      <c r="C883" s="6" t="str">
        <f aca="false">Orders!C883</f>
        <v>C0192</v>
      </c>
      <c r="D883" s="6" t="str">
        <f aca="false">Orders!D883</f>
        <v>P1002</v>
      </c>
      <c r="E883" s="6" t="str">
        <f aca="false">INDEX(Products!$B$2:$B$101,MATCH(D883,Products!$A$2:$A$101,0))</f>
        <v>Bluetooth Speaker</v>
      </c>
      <c r="F883" s="1" t="str">
        <f aca="false">INDEX(Products!$C$2:$C$101,MATCH(D883,Products!$A$2:$A$101,0))</f>
        <v>Electronics</v>
      </c>
      <c r="G883" s="6" t="n">
        <f aca="false">Orders!E883</f>
        <v>1</v>
      </c>
      <c r="H883" s="16" t="n">
        <f aca="false">INDEX(Products!$D$2:$D$101,MATCH(D883,Products!$A$2:$A$101,0))</f>
        <v>1499</v>
      </c>
      <c r="I883" s="16" t="n">
        <f aca="false">INDEX(Products!$E$2:$E$101,MATCH(D883,Products!$A$2:$A$101,0))</f>
        <v>850</v>
      </c>
      <c r="J883" s="20" t="n">
        <f aca="false">Orders!F883</f>
        <v>0.1</v>
      </c>
      <c r="K883" s="6" t="n">
        <f aca="false">G883*H883</f>
        <v>1499</v>
      </c>
      <c r="L883" s="6" t="n">
        <f aca="false">K883*J883</f>
        <v>149.9</v>
      </c>
      <c r="M883" s="6" t="n">
        <f aca="false">K883-L883</f>
        <v>1349.1</v>
      </c>
      <c r="N883" s="6" t="n">
        <f aca="false">G883*I883</f>
        <v>850</v>
      </c>
      <c r="O883" s="6" t="n">
        <f aca="false">M883-N883</f>
        <v>499.1</v>
      </c>
      <c r="P883" s="21" t="n">
        <f aca="false">IFERROR(O883/M883,0)</f>
        <v>0.369950337261878</v>
      </c>
      <c r="Q883" s="6" t="str">
        <f aca="false">Orders!H883</f>
        <v>Cancelled</v>
      </c>
      <c r="R883" s="1" t="str">
        <f aca="false">INDEX(Customers!$C$2:$C$301,MATCH(C883,Customers!$A$2:$A$301,0))</f>
        <v>Noida</v>
      </c>
      <c r="S883" s="1" t="str">
        <f aca="false">INDEX(Customers!$E$2:$E$301,MATCH(C883,Customers!$A$2:$A$301,0))</f>
        <v>Returning</v>
      </c>
      <c r="T883" s="6" t="str">
        <f aca="false">Orders!I883</f>
        <v>Marketplace</v>
      </c>
      <c r="U883" s="1" t="str">
        <f aca="false">IF(Q883="Delivered","Completed",IF(Q883="Cancelled","Cancelled",IF(Q883="Returned","Returned","In Progress")))</f>
        <v>Cancelled</v>
      </c>
      <c r="V883" s="1" t="str">
        <f aca="false">IF(M883&gt;=10000,"High Value",IF(M883&gt;=5000,"Medium Value","Low Value"))</f>
        <v>Low Value</v>
      </c>
      <c r="W883" s="1" t="str">
        <f aca="false">IF(O883&gt;0,"Profitable",IF(O883=0,"Break-even","Loss"))</f>
        <v>Profitable</v>
      </c>
      <c r="X883" s="1" t="str">
        <f aca="false">IF(Q883="Cancelled","Not Applicable",IF(Q883="Processing","Pending",IF(B883="","Unknown",IF(Orders!J883="","Unknown",IF(Orders!J883&lt;=3,"Fast",IF(Orders!J883&lt;=6,"Standard","Slow"))))))</f>
        <v>Not Applicable</v>
      </c>
      <c r="Y883" s="1" t="n">
        <f aca="false">IF(OR(Q883="Cancelled",Q883="Returned"),0,O883)</f>
        <v>0</v>
      </c>
    </row>
    <row r="884" customFormat="false" ht="23.85" hidden="false" customHeight="false" outlineLevel="0" collapsed="false">
      <c r="A884" s="6" t="str">
        <f aca="false">Orders!A884</f>
        <v>O000883</v>
      </c>
      <c r="B884" s="19" t="n">
        <f aca="false">Orders!B884</f>
        <v>45934</v>
      </c>
      <c r="C884" s="6" t="str">
        <f aca="false">Orders!C884</f>
        <v>C0023</v>
      </c>
      <c r="D884" s="6" t="str">
        <f aca="false">Orders!D884</f>
        <v>P1072</v>
      </c>
      <c r="E884" s="6" t="str">
        <f aca="false">INDEX(Products!$B$2:$B$101,MATCH(D884,Products!$A$2:$A$101,0))</f>
        <v>Tennis Balls Pack</v>
      </c>
      <c r="F884" s="1" t="str">
        <f aca="false">INDEX(Products!$C$2:$C$101,MATCH(D884,Products!$A$2:$A$101,0))</f>
        <v>Sports &amp; Outdoors</v>
      </c>
      <c r="G884" s="6" t="n">
        <f aca="false">Orders!E884</f>
        <v>1</v>
      </c>
      <c r="H884" s="16" t="n">
        <f aca="false">INDEX(Products!$D$2:$D$101,MATCH(D884,Products!$A$2:$A$101,0))</f>
        <v>399</v>
      </c>
      <c r="I884" s="16" t="n">
        <f aca="false">INDEX(Products!$E$2:$E$101,MATCH(D884,Products!$A$2:$A$101,0))</f>
        <v>160</v>
      </c>
      <c r="J884" s="20" t="n">
        <f aca="false">Orders!F884</f>
        <v>0.1</v>
      </c>
      <c r="K884" s="6" t="n">
        <f aca="false">G884*H884</f>
        <v>399</v>
      </c>
      <c r="L884" s="6" t="n">
        <f aca="false">K884*J884</f>
        <v>39.9</v>
      </c>
      <c r="M884" s="6" t="n">
        <f aca="false">K884-L884</f>
        <v>359.1</v>
      </c>
      <c r="N884" s="6" t="n">
        <f aca="false">G884*I884</f>
        <v>160</v>
      </c>
      <c r="O884" s="6" t="n">
        <f aca="false">M884-N884</f>
        <v>199.1</v>
      </c>
      <c r="P884" s="21" t="n">
        <f aca="false">IFERROR(O884/M884,0)</f>
        <v>0.554441659704818</v>
      </c>
      <c r="Q884" s="6" t="str">
        <f aca="false">Orders!H884</f>
        <v>Delivered</v>
      </c>
      <c r="R884" s="1" t="str">
        <f aca="false">INDEX(Customers!$C$2:$C$301,MATCH(C884,Customers!$A$2:$A$301,0))</f>
        <v>Bengaluru</v>
      </c>
      <c r="S884" s="1" t="str">
        <f aca="false">INDEX(Customers!$E$2:$E$301,MATCH(C884,Customers!$A$2:$A$301,0))</f>
        <v>Returning</v>
      </c>
      <c r="T884" s="6" t="str">
        <f aca="false">Orders!I884</f>
        <v>Marketplace</v>
      </c>
      <c r="U884" s="1" t="str">
        <f aca="false">IF(Q884="Delivered","Completed",IF(Q884="Cancelled","Cancelled",IF(Q884="Returned","Returned","In Progress")))</f>
        <v>Completed</v>
      </c>
      <c r="V884" s="1" t="str">
        <f aca="false">IF(M884&gt;=10000,"High Value",IF(M884&gt;=5000,"Medium Value","Low Value"))</f>
        <v>Low Value</v>
      </c>
      <c r="W884" s="1" t="str">
        <f aca="false">IF(O884&gt;0,"Profitable",IF(O884=0,"Break-even","Loss"))</f>
        <v>Profitable</v>
      </c>
      <c r="X884" s="1" t="str">
        <f aca="false">IF(Q884="Cancelled","Not Applicable",IF(Q884="Processing","Pending",IF(B884="","Unknown",IF(Orders!J884="","Unknown",IF(Orders!J884&lt;=3,"Fast",IF(Orders!J884&lt;=6,"Standard","Slow"))))))</f>
        <v>Slow</v>
      </c>
      <c r="Y884" s="1" t="n">
        <f aca="false">IF(OR(Q884="Cancelled",Q884="Returned"),0,O884)</f>
        <v>199.1</v>
      </c>
    </row>
    <row r="885" customFormat="false" ht="15" hidden="false" customHeight="false" outlineLevel="0" collapsed="false">
      <c r="A885" s="6" t="str">
        <f aca="false">Orders!A885</f>
        <v>O000884</v>
      </c>
      <c r="B885" s="19" t="n">
        <f aca="false">Orders!B885</f>
        <v>45684</v>
      </c>
      <c r="C885" s="6" t="str">
        <f aca="false">Orders!C885</f>
        <v>C0147</v>
      </c>
      <c r="D885" s="6" t="str">
        <f aca="false">Orders!D885</f>
        <v>P1087</v>
      </c>
      <c r="E885" s="6" t="str">
        <f aca="false">INDEX(Products!$B$2:$B$101,MATCH(D885,Products!$A$2:$A$101,0))</f>
        <v>Book Stand</v>
      </c>
      <c r="F885" s="1" t="str">
        <f aca="false">INDEX(Products!$C$2:$C$101,MATCH(D885,Products!$A$2:$A$101,0))</f>
        <v>Books &amp; Stationery</v>
      </c>
      <c r="G885" s="6" t="n">
        <f aca="false">Orders!E885</f>
        <v>4</v>
      </c>
      <c r="H885" s="16" t="n">
        <f aca="false">INDEX(Products!$D$2:$D$101,MATCH(D885,Products!$A$2:$A$101,0))</f>
        <v>449</v>
      </c>
      <c r="I885" s="16" t="n">
        <f aca="false">INDEX(Products!$E$2:$E$101,MATCH(D885,Products!$A$2:$A$101,0))</f>
        <v>200</v>
      </c>
      <c r="J885" s="20" t="n">
        <f aca="false">Orders!F885</f>
        <v>0.15</v>
      </c>
      <c r="K885" s="6" t="n">
        <f aca="false">G885*H885</f>
        <v>1796</v>
      </c>
      <c r="L885" s="6" t="n">
        <f aca="false">K885*J885</f>
        <v>269.4</v>
      </c>
      <c r="M885" s="6" t="n">
        <f aca="false">K885-L885</f>
        <v>1526.6</v>
      </c>
      <c r="N885" s="6" t="n">
        <f aca="false">G885*I885</f>
        <v>800</v>
      </c>
      <c r="O885" s="6" t="n">
        <f aca="false">M885-N885</f>
        <v>726.6</v>
      </c>
      <c r="P885" s="21" t="n">
        <f aca="false">IFERROR(O885/M885,0)</f>
        <v>0.475959648892965</v>
      </c>
      <c r="Q885" s="6" t="str">
        <f aca="false">Orders!H885</f>
        <v>Delivered</v>
      </c>
      <c r="R885" s="1" t="str">
        <f aca="false">INDEX(Customers!$C$2:$C$301,MATCH(C885,Customers!$A$2:$A$301,0))</f>
        <v>Pune</v>
      </c>
      <c r="S885" s="1" t="str">
        <f aca="false">INDEX(Customers!$E$2:$E$301,MATCH(C885,Customers!$A$2:$A$301,0))</f>
        <v>Returning</v>
      </c>
      <c r="T885" s="6" t="str">
        <f aca="false">Orders!I885</f>
        <v>Mobile App</v>
      </c>
      <c r="U885" s="1" t="str">
        <f aca="false">IF(Q885="Delivered","Completed",IF(Q885="Cancelled","Cancelled",IF(Q885="Returned","Returned","In Progress")))</f>
        <v>Completed</v>
      </c>
      <c r="V885" s="1" t="str">
        <f aca="false">IF(M885&gt;=10000,"High Value",IF(M885&gt;=5000,"Medium Value","Low Value"))</f>
        <v>Low Value</v>
      </c>
      <c r="W885" s="1" t="str">
        <f aca="false">IF(O885&gt;0,"Profitable",IF(O885=0,"Break-even","Loss"))</f>
        <v>Profitable</v>
      </c>
      <c r="X885" s="1" t="str">
        <f aca="false">IF(Q885="Cancelled","Not Applicable",IF(Q885="Processing","Pending",IF(B885="","Unknown",IF(Orders!J885="","Unknown",IF(Orders!J885&lt;=3,"Fast",IF(Orders!J885&lt;=6,"Standard","Slow"))))))</f>
        <v>Fast</v>
      </c>
      <c r="Y885" s="1" t="n">
        <f aca="false">IF(OR(Q885="Cancelled",Q885="Returned"),0,O885)</f>
        <v>726.6</v>
      </c>
    </row>
    <row r="886" customFormat="false" ht="15" hidden="false" customHeight="false" outlineLevel="0" collapsed="false">
      <c r="A886" s="6" t="str">
        <f aca="false">Orders!A886</f>
        <v>O000885</v>
      </c>
      <c r="B886" s="19" t="n">
        <f aca="false">Orders!B886</f>
        <v>45703</v>
      </c>
      <c r="C886" s="6" t="str">
        <f aca="false">Orders!C886</f>
        <v>C0231</v>
      </c>
      <c r="D886" s="6" t="str">
        <f aca="false">Orders!D886</f>
        <v>P1029</v>
      </c>
      <c r="E886" s="6" t="str">
        <f aca="false">INDEX(Products!$B$2:$B$101,MATCH(D886,Products!$A$2:$A$101,0))</f>
        <v>Scarf</v>
      </c>
      <c r="F886" s="1" t="str">
        <f aca="false">INDEX(Products!$C$2:$C$101,MATCH(D886,Products!$A$2:$A$101,0))</f>
        <v>Fashion</v>
      </c>
      <c r="G886" s="6" t="n">
        <f aca="false">Orders!E886</f>
        <v>1</v>
      </c>
      <c r="H886" s="16" t="n">
        <f aca="false">INDEX(Products!$D$2:$D$101,MATCH(D886,Products!$A$2:$A$101,0))</f>
        <v>299</v>
      </c>
      <c r="I886" s="16" t="n">
        <f aca="false">INDEX(Products!$E$2:$E$101,MATCH(D886,Products!$A$2:$A$101,0))</f>
        <v>100</v>
      </c>
      <c r="J886" s="20" t="n">
        <f aca="false">Orders!F886</f>
        <v>0.05</v>
      </c>
      <c r="K886" s="6" t="n">
        <f aca="false">G886*H886</f>
        <v>299</v>
      </c>
      <c r="L886" s="6" t="n">
        <f aca="false">K886*J886</f>
        <v>14.95</v>
      </c>
      <c r="M886" s="6" t="n">
        <f aca="false">K886-L886</f>
        <v>284.05</v>
      </c>
      <c r="N886" s="6" t="n">
        <f aca="false">G886*I886</f>
        <v>100</v>
      </c>
      <c r="O886" s="6" t="n">
        <f aca="false">M886-N886</f>
        <v>184.05</v>
      </c>
      <c r="P886" s="21" t="n">
        <f aca="false">IFERROR(O886/M886,0)</f>
        <v>0.647949304699877</v>
      </c>
      <c r="Q886" s="6" t="str">
        <f aca="false">Orders!H886</f>
        <v>Processing</v>
      </c>
      <c r="R886" s="1" t="str">
        <f aca="false">INDEX(Customers!$C$2:$C$301,MATCH(C886,Customers!$A$2:$A$301,0))</f>
        <v>Gurugram</v>
      </c>
      <c r="S886" s="1" t="str">
        <f aca="false">INDEX(Customers!$E$2:$E$301,MATCH(C886,Customers!$A$2:$A$301,0))</f>
        <v>New</v>
      </c>
      <c r="T886" s="6" t="str">
        <f aca="false">Orders!I886</f>
        <v>Mobile App</v>
      </c>
      <c r="U886" s="1" t="str">
        <f aca="false">IF(Q886="Delivered","Completed",IF(Q886="Cancelled","Cancelled",IF(Q886="Returned","Returned","In Progress")))</f>
        <v>In Progress</v>
      </c>
      <c r="V886" s="1" t="str">
        <f aca="false">IF(M886&gt;=10000,"High Value",IF(M886&gt;=5000,"Medium Value","Low Value"))</f>
        <v>Low Value</v>
      </c>
      <c r="W886" s="1" t="str">
        <f aca="false">IF(O886&gt;0,"Profitable",IF(O886=0,"Break-even","Loss"))</f>
        <v>Profitable</v>
      </c>
      <c r="X886" s="1" t="str">
        <f aca="false">IF(Q886="Cancelled","Not Applicable",IF(Q886="Processing","Pending",IF(B886="","Unknown",IF(Orders!J886="","Unknown",IF(Orders!J886&lt;=3,"Fast",IF(Orders!J886&lt;=6,"Standard","Slow"))))))</f>
        <v>Pending</v>
      </c>
      <c r="Y886" s="1" t="n">
        <f aca="false">IF(OR(Q886="Cancelled",Q886="Returned"),0,O886)</f>
        <v>184.05</v>
      </c>
    </row>
    <row r="887" customFormat="false" ht="15" hidden="false" customHeight="false" outlineLevel="0" collapsed="false">
      <c r="A887" s="6" t="str">
        <f aca="false">Orders!A887</f>
        <v>O000886</v>
      </c>
      <c r="B887" s="19" t="n">
        <f aca="false">Orders!B887</f>
        <v>45875</v>
      </c>
      <c r="C887" s="6" t="str">
        <f aca="false">Orders!C887</f>
        <v>C0006</v>
      </c>
      <c r="D887" s="6" t="str">
        <f aca="false">Orders!D887</f>
        <v>P1037</v>
      </c>
      <c r="E887" s="6" t="str">
        <f aca="false">INDEX(Products!$B$2:$B$101,MATCH(D887,Products!$A$2:$A$101,0))</f>
        <v>Pillow Pair</v>
      </c>
      <c r="F887" s="1" t="str">
        <f aca="false">INDEX(Products!$C$2:$C$101,MATCH(D887,Products!$A$2:$A$101,0))</f>
        <v>Home &amp; Kitchen</v>
      </c>
      <c r="G887" s="6" t="n">
        <f aca="false">Orders!E887</f>
        <v>1</v>
      </c>
      <c r="H887" s="16" t="n">
        <f aca="false">INDEX(Products!$D$2:$D$101,MATCH(D887,Products!$A$2:$A$101,0))</f>
        <v>799</v>
      </c>
      <c r="I887" s="16" t="n">
        <f aca="false">INDEX(Products!$E$2:$E$101,MATCH(D887,Products!$A$2:$A$101,0))</f>
        <v>350</v>
      </c>
      <c r="J887" s="20" t="n">
        <f aca="false">Orders!F887</f>
        <v>0.05</v>
      </c>
      <c r="K887" s="6" t="n">
        <f aca="false">G887*H887</f>
        <v>799</v>
      </c>
      <c r="L887" s="6" t="n">
        <f aca="false">K887*J887</f>
        <v>39.95</v>
      </c>
      <c r="M887" s="6" t="n">
        <f aca="false">K887-L887</f>
        <v>759.05</v>
      </c>
      <c r="N887" s="6" t="n">
        <f aca="false">G887*I887</f>
        <v>350</v>
      </c>
      <c r="O887" s="6" t="n">
        <f aca="false">M887-N887</f>
        <v>409.05</v>
      </c>
      <c r="P887" s="21" t="n">
        <f aca="false">IFERROR(O887/M887,0)</f>
        <v>0.53889730584283</v>
      </c>
      <c r="Q887" s="6" t="str">
        <f aca="false">Orders!H887</f>
        <v>Returned</v>
      </c>
      <c r="R887" s="1" t="str">
        <f aca="false">INDEX(Customers!$C$2:$C$301,MATCH(C887,Customers!$A$2:$A$301,0))</f>
        <v>Kolkata</v>
      </c>
      <c r="S887" s="1" t="str">
        <f aca="false">INDEX(Customers!$E$2:$E$301,MATCH(C887,Customers!$A$2:$A$301,0))</f>
        <v>Returning</v>
      </c>
      <c r="T887" s="6" t="str">
        <f aca="false">Orders!I887</f>
        <v>Mobile App</v>
      </c>
      <c r="U887" s="1" t="str">
        <f aca="false">IF(Q887="Delivered","Completed",IF(Q887="Cancelled","Cancelled",IF(Q887="Returned","Returned","In Progress")))</f>
        <v>Returned</v>
      </c>
      <c r="V887" s="1" t="str">
        <f aca="false">IF(M887&gt;=10000,"High Value",IF(M887&gt;=5000,"Medium Value","Low Value"))</f>
        <v>Low Value</v>
      </c>
      <c r="W887" s="1" t="str">
        <f aca="false">IF(O887&gt;0,"Profitable",IF(O887=0,"Break-even","Loss"))</f>
        <v>Profitable</v>
      </c>
      <c r="X887" s="1" t="str">
        <f aca="false">IF(Q887="Cancelled","Not Applicable",IF(Q887="Processing","Pending",IF(B887="","Unknown",IF(Orders!J887="","Unknown",IF(Orders!J887&lt;=3,"Fast",IF(Orders!J887&lt;=6,"Standard","Slow"))))))</f>
        <v>Standard</v>
      </c>
      <c r="Y887" s="1" t="n">
        <f aca="false">IF(OR(Q887="Cancelled",Q887="Returned"),0,O887)</f>
        <v>0</v>
      </c>
    </row>
    <row r="888" customFormat="false" ht="15" hidden="false" customHeight="false" outlineLevel="0" collapsed="false">
      <c r="A888" s="6" t="str">
        <f aca="false">Orders!A888</f>
        <v>O000887</v>
      </c>
      <c r="B888" s="19" t="n">
        <f aca="false">Orders!B888</f>
        <v>45996</v>
      </c>
      <c r="C888" s="6" t="str">
        <f aca="false">Orders!C888</f>
        <v>C0226</v>
      </c>
      <c r="D888" s="6" t="str">
        <f aca="false">Orders!D888</f>
        <v>P1068</v>
      </c>
      <c r="E888" s="6" t="str">
        <f aca="false">INDEX(Products!$B$2:$B$101,MATCH(D888,Products!$A$2:$A$101,0))</f>
        <v>Cycling Bottle</v>
      </c>
      <c r="F888" s="1" t="str">
        <f aca="false">INDEX(Products!$C$2:$C$101,MATCH(D888,Products!$A$2:$A$101,0))</f>
        <v>Sports &amp; Outdoors</v>
      </c>
      <c r="G888" s="6" t="n">
        <f aca="false">Orders!E888</f>
        <v>1</v>
      </c>
      <c r="H888" s="16" t="n">
        <f aca="false">INDEX(Products!$D$2:$D$101,MATCH(D888,Products!$A$2:$A$101,0))</f>
        <v>349</v>
      </c>
      <c r="I888" s="16" t="n">
        <f aca="false">INDEX(Products!$E$2:$E$101,MATCH(D888,Products!$A$2:$A$101,0))</f>
        <v>120</v>
      </c>
      <c r="J888" s="20" t="n">
        <f aca="false">Orders!F888</f>
        <v>0.1</v>
      </c>
      <c r="K888" s="6" t="n">
        <f aca="false">G888*H888</f>
        <v>349</v>
      </c>
      <c r="L888" s="6" t="n">
        <f aca="false">K888*J888</f>
        <v>34.9</v>
      </c>
      <c r="M888" s="6" t="n">
        <f aca="false">K888-L888</f>
        <v>314.1</v>
      </c>
      <c r="N888" s="6" t="n">
        <f aca="false">G888*I888</f>
        <v>120</v>
      </c>
      <c r="O888" s="6" t="n">
        <f aca="false">M888-N888</f>
        <v>194.1</v>
      </c>
      <c r="P888" s="21" t="n">
        <f aca="false">IFERROR(O888/M888,0)</f>
        <v>0.617956064947469</v>
      </c>
      <c r="Q888" s="6" t="str">
        <f aca="false">Orders!H888</f>
        <v>Delivered</v>
      </c>
      <c r="R888" s="1" t="str">
        <f aca="false">INDEX(Customers!$C$2:$C$301,MATCH(C888,Customers!$A$2:$A$301,0))</f>
        <v>Kolkata</v>
      </c>
      <c r="S888" s="1" t="str">
        <f aca="false">INDEX(Customers!$E$2:$E$301,MATCH(C888,Customers!$A$2:$A$301,0))</f>
        <v>Returning</v>
      </c>
      <c r="T888" s="6" t="str">
        <f aca="false">Orders!I888</f>
        <v>Mobile App</v>
      </c>
      <c r="U888" s="1" t="str">
        <f aca="false">IF(Q888="Delivered","Completed",IF(Q888="Cancelled","Cancelled",IF(Q888="Returned","Returned","In Progress")))</f>
        <v>Completed</v>
      </c>
      <c r="V888" s="1" t="str">
        <f aca="false">IF(M888&gt;=10000,"High Value",IF(M888&gt;=5000,"Medium Value","Low Value"))</f>
        <v>Low Value</v>
      </c>
      <c r="W888" s="1" t="str">
        <f aca="false">IF(O888&gt;0,"Profitable",IF(O888=0,"Break-even","Loss"))</f>
        <v>Profitable</v>
      </c>
      <c r="X888" s="1" t="str">
        <f aca="false">IF(Q888="Cancelled","Not Applicable",IF(Q888="Processing","Pending",IF(B888="","Unknown",IF(Orders!J888="","Unknown",IF(Orders!J888&lt;=3,"Fast",IF(Orders!J888&lt;=6,"Standard","Slow"))))))</f>
        <v>Standard</v>
      </c>
      <c r="Y888" s="1" t="n">
        <f aca="false">IF(OR(Q888="Cancelled",Q888="Returned"),0,O888)</f>
        <v>194.1</v>
      </c>
    </row>
    <row r="889" customFormat="false" ht="15" hidden="false" customHeight="false" outlineLevel="0" collapsed="false">
      <c r="A889" s="6" t="str">
        <f aca="false">Orders!A889</f>
        <v>O000888</v>
      </c>
      <c r="B889" s="19" t="n">
        <f aca="false">Orders!B889</f>
        <v>45988</v>
      </c>
      <c r="C889" s="6" t="str">
        <f aca="false">Orders!C889</f>
        <v>C0084</v>
      </c>
      <c r="D889" s="6" t="str">
        <f aca="false">Orders!D889</f>
        <v>P1034</v>
      </c>
      <c r="E889" s="6" t="str">
        <f aca="false">INDEX(Products!$B$2:$B$101,MATCH(D889,Products!$A$2:$A$101,0))</f>
        <v>Table Lamp</v>
      </c>
      <c r="F889" s="1" t="str">
        <f aca="false">INDEX(Products!$C$2:$C$101,MATCH(D889,Products!$A$2:$A$101,0))</f>
        <v>Home &amp; Kitchen</v>
      </c>
      <c r="G889" s="6" t="n">
        <f aca="false">Orders!E889</f>
        <v>1</v>
      </c>
      <c r="H889" s="16" t="n">
        <f aca="false">INDEX(Products!$D$2:$D$101,MATCH(D889,Products!$A$2:$A$101,0))</f>
        <v>899</v>
      </c>
      <c r="I889" s="16" t="n">
        <f aca="false">INDEX(Products!$E$2:$E$101,MATCH(D889,Products!$A$2:$A$101,0))</f>
        <v>420</v>
      </c>
      <c r="J889" s="20" t="n">
        <f aca="false">Orders!F889</f>
        <v>0</v>
      </c>
      <c r="K889" s="6" t="n">
        <f aca="false">G889*H889</f>
        <v>899</v>
      </c>
      <c r="L889" s="6" t="n">
        <f aca="false">K889*J889</f>
        <v>0</v>
      </c>
      <c r="M889" s="6" t="n">
        <f aca="false">K889-L889</f>
        <v>899</v>
      </c>
      <c r="N889" s="6" t="n">
        <f aca="false">G889*I889</f>
        <v>420</v>
      </c>
      <c r="O889" s="6" t="n">
        <f aca="false">M889-N889</f>
        <v>479</v>
      </c>
      <c r="P889" s="21" t="n">
        <f aca="false">IFERROR(O889/M889,0)</f>
        <v>0.532814238042269</v>
      </c>
      <c r="Q889" s="6" t="str">
        <f aca="false">Orders!H889</f>
        <v>Delivered</v>
      </c>
      <c r="R889" s="1" t="str">
        <f aca="false">INDEX(Customers!$C$2:$C$301,MATCH(C889,Customers!$A$2:$A$301,0))</f>
        <v>Hyderabad</v>
      </c>
      <c r="S889" s="1" t="str">
        <f aca="false">INDEX(Customers!$E$2:$E$301,MATCH(C889,Customers!$A$2:$A$301,0))</f>
        <v>Returning</v>
      </c>
      <c r="T889" s="6" t="str">
        <f aca="false">Orders!I889</f>
        <v>Mobile App</v>
      </c>
      <c r="U889" s="1" t="str">
        <f aca="false">IF(Q889="Delivered","Completed",IF(Q889="Cancelled","Cancelled",IF(Q889="Returned","Returned","In Progress")))</f>
        <v>Completed</v>
      </c>
      <c r="V889" s="1" t="str">
        <f aca="false">IF(M889&gt;=10000,"High Value",IF(M889&gt;=5000,"Medium Value","Low Value"))</f>
        <v>Low Value</v>
      </c>
      <c r="W889" s="1" t="str">
        <f aca="false">IF(O889&gt;0,"Profitable",IF(O889=0,"Break-even","Loss"))</f>
        <v>Profitable</v>
      </c>
      <c r="X889" s="1" t="str">
        <f aca="false">IF(Q889="Cancelled","Not Applicable",IF(Q889="Processing","Pending",IF(B889="","Unknown",IF(Orders!J889="","Unknown",IF(Orders!J889&lt;=3,"Fast",IF(Orders!J889&lt;=6,"Standard","Slow"))))))</f>
        <v>Standard</v>
      </c>
      <c r="Y889" s="1" t="n">
        <f aca="false">IF(OR(Q889="Cancelled",Q889="Returned"),0,O889)</f>
        <v>479</v>
      </c>
    </row>
    <row r="890" customFormat="false" ht="15" hidden="false" customHeight="false" outlineLevel="0" collapsed="false">
      <c r="A890" s="6" t="str">
        <f aca="false">Orders!A890</f>
        <v>O000889</v>
      </c>
      <c r="B890" s="19" t="n">
        <f aca="false">Orders!B890</f>
        <v>45806</v>
      </c>
      <c r="C890" s="6" t="str">
        <f aca="false">Orders!C890</f>
        <v>C0178</v>
      </c>
      <c r="D890" s="6" t="str">
        <f aca="false">Orders!D890</f>
        <v>P1049</v>
      </c>
      <c r="E890" s="6" t="str">
        <f aca="false">INDEX(Products!$B$2:$B$101,MATCH(D890,Products!$A$2:$A$101,0))</f>
        <v>Face Cleanser</v>
      </c>
      <c r="F890" s="1" t="str">
        <f aca="false">INDEX(Products!$C$2:$C$101,MATCH(D890,Products!$A$2:$A$101,0))</f>
        <v>Beauty</v>
      </c>
      <c r="G890" s="6" t="n">
        <f aca="false">Orders!E890</f>
        <v>1</v>
      </c>
      <c r="H890" s="16" t="n">
        <f aca="false">INDEX(Products!$D$2:$D$101,MATCH(D890,Products!$A$2:$A$101,0))</f>
        <v>299</v>
      </c>
      <c r="I890" s="16" t="n">
        <f aca="false">INDEX(Products!$E$2:$E$101,MATCH(D890,Products!$A$2:$A$101,0))</f>
        <v>120</v>
      </c>
      <c r="J890" s="20" t="n">
        <f aca="false">Orders!F890</f>
        <v>0.15</v>
      </c>
      <c r="K890" s="6" t="n">
        <f aca="false">G890*H890</f>
        <v>299</v>
      </c>
      <c r="L890" s="6" t="n">
        <f aca="false">K890*J890</f>
        <v>44.85</v>
      </c>
      <c r="M890" s="6" t="n">
        <f aca="false">K890-L890</f>
        <v>254.15</v>
      </c>
      <c r="N890" s="6" t="n">
        <f aca="false">G890*I890</f>
        <v>120</v>
      </c>
      <c r="O890" s="6" t="n">
        <f aca="false">M890-N890</f>
        <v>134.15</v>
      </c>
      <c r="P890" s="21" t="n">
        <f aca="false">IFERROR(O890/M890,0)</f>
        <v>0.527837891009247</v>
      </c>
      <c r="Q890" s="6" t="str">
        <f aca="false">Orders!H890</f>
        <v>Delivered</v>
      </c>
      <c r="R890" s="1" t="str">
        <f aca="false">INDEX(Customers!$C$2:$C$301,MATCH(C890,Customers!$A$2:$A$301,0))</f>
        <v>Nagpur</v>
      </c>
      <c r="S890" s="1" t="str">
        <f aca="false">INDEX(Customers!$E$2:$E$301,MATCH(C890,Customers!$A$2:$A$301,0))</f>
        <v>VIP</v>
      </c>
      <c r="T890" s="6" t="str">
        <f aca="false">Orders!I890</f>
        <v>Marketplace</v>
      </c>
      <c r="U890" s="1" t="str">
        <f aca="false">IF(Q890="Delivered","Completed",IF(Q890="Cancelled","Cancelled",IF(Q890="Returned","Returned","In Progress")))</f>
        <v>Completed</v>
      </c>
      <c r="V890" s="1" t="str">
        <f aca="false">IF(M890&gt;=10000,"High Value",IF(M890&gt;=5000,"Medium Value","Low Value"))</f>
        <v>Low Value</v>
      </c>
      <c r="W890" s="1" t="str">
        <f aca="false">IF(O890&gt;0,"Profitable",IF(O890=0,"Break-even","Loss"))</f>
        <v>Profitable</v>
      </c>
      <c r="X890" s="1" t="str">
        <f aca="false">IF(Q890="Cancelled","Not Applicable",IF(Q890="Processing","Pending",IF(B890="","Unknown",IF(Orders!J890="","Unknown",IF(Orders!J890&lt;=3,"Fast",IF(Orders!J890&lt;=6,"Standard","Slow"))))))</f>
        <v>Fast</v>
      </c>
      <c r="Y890" s="1" t="n">
        <f aca="false">IF(OR(Q890="Cancelled",Q890="Returned"),0,O890)</f>
        <v>134.15</v>
      </c>
    </row>
    <row r="891" customFormat="false" ht="15" hidden="false" customHeight="false" outlineLevel="0" collapsed="false">
      <c r="A891" s="6" t="str">
        <f aca="false">Orders!A891</f>
        <v>O000890</v>
      </c>
      <c r="B891" s="19" t="n">
        <f aca="false">Orders!B891</f>
        <v>45733</v>
      </c>
      <c r="C891" s="6" t="str">
        <f aca="false">Orders!C891</f>
        <v>C0251</v>
      </c>
      <c r="D891" s="6" t="str">
        <f aca="false">Orders!D891</f>
        <v>P1023</v>
      </c>
      <c r="E891" s="6" t="str">
        <f aca="false">INDEX(Products!$B$2:$B$101,MATCH(D891,Products!$A$2:$A$101,0))</f>
        <v>Sports Cap</v>
      </c>
      <c r="F891" s="1" t="str">
        <f aca="false">INDEX(Products!$C$2:$C$101,MATCH(D891,Products!$A$2:$A$101,0))</f>
        <v>Fashion</v>
      </c>
      <c r="G891" s="6" t="n">
        <f aca="false">Orders!E891</f>
        <v>5</v>
      </c>
      <c r="H891" s="16" t="n">
        <f aca="false">INDEX(Products!$D$2:$D$101,MATCH(D891,Products!$A$2:$A$101,0))</f>
        <v>349</v>
      </c>
      <c r="I891" s="16" t="n">
        <f aca="false">INDEX(Products!$E$2:$E$101,MATCH(D891,Products!$A$2:$A$101,0))</f>
        <v>120</v>
      </c>
      <c r="J891" s="20" t="n">
        <f aca="false">Orders!F891</f>
        <v>0.05</v>
      </c>
      <c r="K891" s="6" t="n">
        <f aca="false">G891*H891</f>
        <v>1745</v>
      </c>
      <c r="L891" s="6" t="n">
        <f aca="false">K891*J891</f>
        <v>87.25</v>
      </c>
      <c r="M891" s="6" t="n">
        <f aca="false">K891-L891</f>
        <v>1657.75</v>
      </c>
      <c r="N891" s="6" t="n">
        <f aca="false">G891*I891</f>
        <v>600</v>
      </c>
      <c r="O891" s="6" t="n">
        <f aca="false">M891-N891</f>
        <v>1057.75</v>
      </c>
      <c r="P891" s="21" t="n">
        <f aca="false">IFERROR(O891/M891,0)</f>
        <v>0.63806364047655</v>
      </c>
      <c r="Q891" s="6" t="str">
        <f aca="false">Orders!H891</f>
        <v>Returned</v>
      </c>
      <c r="R891" s="1" t="str">
        <f aca="false">INDEX(Customers!$C$2:$C$301,MATCH(C891,Customers!$A$2:$A$301,0))</f>
        <v>Gurugram</v>
      </c>
      <c r="S891" s="1" t="str">
        <f aca="false">INDEX(Customers!$E$2:$E$301,MATCH(C891,Customers!$A$2:$A$301,0))</f>
        <v>Returning</v>
      </c>
      <c r="T891" s="6" t="str">
        <f aca="false">Orders!I891</f>
        <v>Website</v>
      </c>
      <c r="U891" s="1" t="str">
        <f aca="false">IF(Q891="Delivered","Completed",IF(Q891="Cancelled","Cancelled",IF(Q891="Returned","Returned","In Progress")))</f>
        <v>Returned</v>
      </c>
      <c r="V891" s="1" t="str">
        <f aca="false">IF(M891&gt;=10000,"High Value",IF(M891&gt;=5000,"Medium Value","Low Value"))</f>
        <v>Low Value</v>
      </c>
      <c r="W891" s="1" t="str">
        <f aca="false">IF(O891&gt;0,"Profitable",IF(O891=0,"Break-even","Loss"))</f>
        <v>Profitable</v>
      </c>
      <c r="X891" s="1" t="str">
        <f aca="false">IF(Q891="Cancelled","Not Applicable",IF(Q891="Processing","Pending",IF(B891="","Unknown",IF(Orders!J891="","Unknown",IF(Orders!J891&lt;=3,"Fast",IF(Orders!J891&lt;=6,"Standard","Slow"))))))</f>
        <v>Standard</v>
      </c>
      <c r="Y891" s="1" t="n">
        <f aca="false">IF(OR(Q891="Cancelled",Q891="Returned"),0,O891)</f>
        <v>0</v>
      </c>
    </row>
    <row r="892" customFormat="false" ht="15" hidden="false" customHeight="false" outlineLevel="0" collapsed="false">
      <c r="A892" s="6" t="str">
        <f aca="false">Orders!A892</f>
        <v>O000891</v>
      </c>
      <c r="B892" s="19" t="n">
        <f aca="false">Orders!B892</f>
        <v>45742</v>
      </c>
      <c r="C892" s="6" t="str">
        <f aca="false">Orders!C892</f>
        <v>C0260</v>
      </c>
      <c r="D892" s="6" t="str">
        <f aca="false">Orders!D892</f>
        <v>P1068</v>
      </c>
      <c r="E892" s="6" t="str">
        <f aca="false">INDEX(Products!$B$2:$B$101,MATCH(D892,Products!$A$2:$A$101,0))</f>
        <v>Cycling Bottle</v>
      </c>
      <c r="F892" s="1" t="str">
        <f aca="false">INDEX(Products!$C$2:$C$101,MATCH(D892,Products!$A$2:$A$101,0))</f>
        <v>Sports &amp; Outdoors</v>
      </c>
      <c r="G892" s="6" t="n">
        <f aca="false">Orders!E892</f>
        <v>5</v>
      </c>
      <c r="H892" s="16" t="n">
        <f aca="false">INDEX(Products!$D$2:$D$101,MATCH(D892,Products!$A$2:$A$101,0))</f>
        <v>349</v>
      </c>
      <c r="I892" s="16" t="n">
        <f aca="false">INDEX(Products!$E$2:$E$101,MATCH(D892,Products!$A$2:$A$101,0))</f>
        <v>120</v>
      </c>
      <c r="J892" s="20" t="n">
        <f aca="false">Orders!F892</f>
        <v>0.05</v>
      </c>
      <c r="K892" s="6" t="n">
        <f aca="false">G892*H892</f>
        <v>1745</v>
      </c>
      <c r="L892" s="6" t="n">
        <f aca="false">K892*J892</f>
        <v>87.25</v>
      </c>
      <c r="M892" s="6" t="n">
        <f aca="false">K892-L892</f>
        <v>1657.75</v>
      </c>
      <c r="N892" s="6" t="n">
        <f aca="false">G892*I892</f>
        <v>600</v>
      </c>
      <c r="O892" s="6" t="n">
        <f aca="false">M892-N892</f>
        <v>1057.75</v>
      </c>
      <c r="P892" s="21" t="n">
        <f aca="false">IFERROR(O892/M892,0)</f>
        <v>0.63806364047655</v>
      </c>
      <c r="Q892" s="6" t="str">
        <f aca="false">Orders!H892</f>
        <v>Cancelled</v>
      </c>
      <c r="R892" s="1" t="str">
        <f aca="false">INDEX(Customers!$C$2:$C$301,MATCH(C892,Customers!$A$2:$A$301,0))</f>
        <v>Visakhapatnam</v>
      </c>
      <c r="S892" s="1" t="str">
        <f aca="false">INDEX(Customers!$E$2:$E$301,MATCH(C892,Customers!$A$2:$A$301,0))</f>
        <v>Returning</v>
      </c>
      <c r="T892" s="6" t="str">
        <f aca="false">Orders!I892</f>
        <v>Website</v>
      </c>
      <c r="U892" s="1" t="str">
        <f aca="false">IF(Q892="Delivered","Completed",IF(Q892="Cancelled","Cancelled",IF(Q892="Returned","Returned","In Progress")))</f>
        <v>Cancelled</v>
      </c>
      <c r="V892" s="1" t="str">
        <f aca="false">IF(M892&gt;=10000,"High Value",IF(M892&gt;=5000,"Medium Value","Low Value"))</f>
        <v>Low Value</v>
      </c>
      <c r="W892" s="1" t="str">
        <f aca="false">IF(O892&gt;0,"Profitable",IF(O892=0,"Break-even","Loss"))</f>
        <v>Profitable</v>
      </c>
      <c r="X892" s="1" t="str">
        <f aca="false">IF(Q892="Cancelled","Not Applicable",IF(Q892="Processing","Pending",IF(B892="","Unknown",IF(Orders!J892="","Unknown",IF(Orders!J892&lt;=3,"Fast",IF(Orders!J892&lt;=6,"Standard","Slow"))))))</f>
        <v>Not Applicable</v>
      </c>
      <c r="Y892" s="1" t="n">
        <f aca="false">IF(OR(Q892="Cancelled",Q892="Returned"),0,O892)</f>
        <v>0</v>
      </c>
    </row>
    <row r="893" customFormat="false" ht="15" hidden="false" customHeight="false" outlineLevel="0" collapsed="false">
      <c r="A893" s="6" t="str">
        <f aca="false">Orders!A893</f>
        <v>O000892</v>
      </c>
      <c r="B893" s="19" t="n">
        <f aca="false">Orders!B893</f>
        <v>45891</v>
      </c>
      <c r="C893" s="6" t="str">
        <f aca="false">Orders!C893</f>
        <v>C0023</v>
      </c>
      <c r="D893" s="6" t="str">
        <f aca="false">Orders!D893</f>
        <v>P1013</v>
      </c>
      <c r="E893" s="6" t="str">
        <f aca="false">INDEX(Products!$B$2:$B$101,MATCH(D893,Products!$A$2:$A$101,0))</f>
        <v>Memory Card</v>
      </c>
      <c r="F893" s="1" t="str">
        <f aca="false">INDEX(Products!$C$2:$C$101,MATCH(D893,Products!$A$2:$A$101,0))</f>
        <v>Electronics</v>
      </c>
      <c r="G893" s="6" t="n">
        <f aca="false">Orders!E893</f>
        <v>1</v>
      </c>
      <c r="H893" s="16" t="n">
        <f aca="false">INDEX(Products!$D$2:$D$101,MATCH(D893,Products!$A$2:$A$101,0))</f>
        <v>699</v>
      </c>
      <c r="I893" s="16" t="n">
        <f aca="false">INDEX(Products!$E$2:$E$101,MATCH(D893,Products!$A$2:$A$101,0))</f>
        <v>400</v>
      </c>
      <c r="J893" s="20" t="n">
        <f aca="false">Orders!F893</f>
        <v>0.1</v>
      </c>
      <c r="K893" s="6" t="n">
        <f aca="false">G893*H893</f>
        <v>699</v>
      </c>
      <c r="L893" s="6" t="n">
        <f aca="false">K893*J893</f>
        <v>69.9</v>
      </c>
      <c r="M893" s="6" t="n">
        <f aca="false">K893-L893</f>
        <v>629.1</v>
      </c>
      <c r="N893" s="6" t="n">
        <f aca="false">G893*I893</f>
        <v>400</v>
      </c>
      <c r="O893" s="6" t="n">
        <f aca="false">M893-N893</f>
        <v>229.1</v>
      </c>
      <c r="P893" s="21" t="n">
        <f aca="false">IFERROR(O893/M893,0)</f>
        <v>0.364171037990781</v>
      </c>
      <c r="Q893" s="6" t="str">
        <f aca="false">Orders!H893</f>
        <v>Delivered</v>
      </c>
      <c r="R893" s="1" t="str">
        <f aca="false">INDEX(Customers!$C$2:$C$301,MATCH(C893,Customers!$A$2:$A$301,0))</f>
        <v>Bengaluru</v>
      </c>
      <c r="S893" s="1" t="str">
        <f aca="false">INDEX(Customers!$E$2:$E$301,MATCH(C893,Customers!$A$2:$A$301,0))</f>
        <v>Returning</v>
      </c>
      <c r="T893" s="6" t="str">
        <f aca="false">Orders!I893</f>
        <v>Website</v>
      </c>
      <c r="U893" s="1" t="str">
        <f aca="false">IF(Q893="Delivered","Completed",IF(Q893="Cancelled","Cancelled",IF(Q893="Returned","Returned","In Progress")))</f>
        <v>Completed</v>
      </c>
      <c r="V893" s="1" t="str">
        <f aca="false">IF(M893&gt;=10000,"High Value",IF(M893&gt;=5000,"Medium Value","Low Value"))</f>
        <v>Low Value</v>
      </c>
      <c r="W893" s="1" t="str">
        <f aca="false">IF(O893&gt;0,"Profitable",IF(O893=0,"Break-even","Loss"))</f>
        <v>Profitable</v>
      </c>
      <c r="X893" s="1" t="str">
        <f aca="false">IF(Q893="Cancelled","Not Applicable",IF(Q893="Processing","Pending",IF(B893="","Unknown",IF(Orders!J893="","Unknown",IF(Orders!J893&lt;=3,"Fast",IF(Orders!J893&lt;=6,"Standard","Slow"))))))</f>
        <v>Fast</v>
      </c>
      <c r="Y893" s="1" t="n">
        <f aca="false">IF(OR(Q893="Cancelled",Q893="Returned"),0,O893)</f>
        <v>229.1</v>
      </c>
    </row>
    <row r="894" customFormat="false" ht="15" hidden="false" customHeight="false" outlineLevel="0" collapsed="false">
      <c r="A894" s="6" t="str">
        <f aca="false">Orders!A894</f>
        <v>O000893</v>
      </c>
      <c r="B894" s="19" t="n">
        <f aca="false">Orders!B894</f>
        <v>45761</v>
      </c>
      <c r="C894" s="6" t="str">
        <f aca="false">Orders!C894</f>
        <v>C0078</v>
      </c>
      <c r="D894" s="6" t="str">
        <f aca="false">Orders!D894</f>
        <v>P1033</v>
      </c>
      <c r="E894" s="6" t="str">
        <f aca="false">INDEX(Products!$B$2:$B$101,MATCH(D894,Products!$A$2:$A$101,0))</f>
        <v>Bedsheet Set</v>
      </c>
      <c r="F894" s="1" t="str">
        <f aca="false">INDEX(Products!$C$2:$C$101,MATCH(D894,Products!$A$2:$A$101,0))</f>
        <v>Home &amp; Kitchen</v>
      </c>
      <c r="G894" s="6" t="n">
        <f aca="false">Orders!E894</f>
        <v>2</v>
      </c>
      <c r="H894" s="16" t="n">
        <f aca="false">INDEX(Products!$D$2:$D$101,MATCH(D894,Products!$A$2:$A$101,0))</f>
        <v>1199</v>
      </c>
      <c r="I894" s="16" t="n">
        <f aca="false">INDEX(Products!$E$2:$E$101,MATCH(D894,Products!$A$2:$A$101,0))</f>
        <v>600</v>
      </c>
      <c r="J894" s="20" t="n">
        <f aca="false">Orders!F894</f>
        <v>0</v>
      </c>
      <c r="K894" s="6" t="n">
        <f aca="false">G894*H894</f>
        <v>2398</v>
      </c>
      <c r="L894" s="6" t="n">
        <f aca="false">K894*J894</f>
        <v>0</v>
      </c>
      <c r="M894" s="6" t="n">
        <f aca="false">K894-L894</f>
        <v>2398</v>
      </c>
      <c r="N894" s="6" t="n">
        <f aca="false">G894*I894</f>
        <v>1200</v>
      </c>
      <c r="O894" s="6" t="n">
        <f aca="false">M894-N894</f>
        <v>1198</v>
      </c>
      <c r="P894" s="21" t="n">
        <f aca="false">IFERROR(O894/M894,0)</f>
        <v>0.499582985821518</v>
      </c>
      <c r="Q894" s="6" t="str">
        <f aca="false">Orders!H894</f>
        <v>Delivered</v>
      </c>
      <c r="R894" s="1" t="str">
        <f aca="false">INDEX(Customers!$C$2:$C$301,MATCH(C894,Customers!$A$2:$A$301,0))</f>
        <v>Nagpur</v>
      </c>
      <c r="S894" s="1" t="str">
        <f aca="false">INDEX(Customers!$E$2:$E$301,MATCH(C894,Customers!$A$2:$A$301,0))</f>
        <v>New</v>
      </c>
      <c r="T894" s="6" t="str">
        <f aca="false">Orders!I894</f>
        <v>Website</v>
      </c>
      <c r="U894" s="1" t="str">
        <f aca="false">IF(Q894="Delivered","Completed",IF(Q894="Cancelled","Cancelled",IF(Q894="Returned","Returned","In Progress")))</f>
        <v>Completed</v>
      </c>
      <c r="V894" s="1" t="str">
        <f aca="false">IF(M894&gt;=10000,"High Value",IF(M894&gt;=5000,"Medium Value","Low Value"))</f>
        <v>Low Value</v>
      </c>
      <c r="W894" s="1" t="str">
        <f aca="false">IF(O894&gt;0,"Profitable",IF(O894=0,"Break-even","Loss"))</f>
        <v>Profitable</v>
      </c>
      <c r="X894" s="1" t="str">
        <f aca="false">IF(Q894="Cancelled","Not Applicable",IF(Q894="Processing","Pending",IF(B894="","Unknown",IF(Orders!J894="","Unknown",IF(Orders!J894&lt;=3,"Fast",IF(Orders!J894&lt;=6,"Standard","Slow"))))))</f>
        <v>Standard</v>
      </c>
      <c r="Y894" s="1" t="n">
        <f aca="false">IF(OR(Q894="Cancelled",Q894="Returned"),0,O894)</f>
        <v>1198</v>
      </c>
    </row>
    <row r="895" customFormat="false" ht="15" hidden="false" customHeight="false" outlineLevel="0" collapsed="false">
      <c r="A895" s="6" t="str">
        <f aca="false">Orders!A895</f>
        <v>O000894</v>
      </c>
      <c r="B895" s="19" t="n">
        <f aca="false">Orders!B895</f>
        <v>45919</v>
      </c>
      <c r="C895" s="6" t="str">
        <f aca="false">Orders!C895</f>
        <v>C0110</v>
      </c>
      <c r="D895" s="6" t="str">
        <f aca="false">Orders!D895</f>
        <v>P1089</v>
      </c>
      <c r="E895" s="6" t="str">
        <f aca="false">INDEX(Products!$B$2:$B$101,MATCH(D895,Products!$A$2:$A$101,0))</f>
        <v>Mixer Grinder</v>
      </c>
      <c r="F895" s="1" t="str">
        <f aca="false">INDEX(Products!$C$2:$C$101,MATCH(D895,Products!$A$2:$A$101,0))</f>
        <v>Appliances</v>
      </c>
      <c r="G895" s="6" t="n">
        <f aca="false">Orders!E895</f>
        <v>2</v>
      </c>
      <c r="H895" s="16" t="n">
        <f aca="false">INDEX(Products!$D$2:$D$101,MATCH(D895,Products!$A$2:$A$101,0))</f>
        <v>2499</v>
      </c>
      <c r="I895" s="16" t="n">
        <f aca="false">INDEX(Products!$E$2:$E$101,MATCH(D895,Products!$A$2:$A$101,0))</f>
        <v>1550</v>
      </c>
      <c r="J895" s="20" t="n">
        <f aca="false">Orders!F895</f>
        <v>0.1</v>
      </c>
      <c r="K895" s="6" t="n">
        <f aca="false">G895*H895</f>
        <v>4998</v>
      </c>
      <c r="L895" s="6" t="n">
        <f aca="false">K895*J895</f>
        <v>499.8</v>
      </c>
      <c r="M895" s="6" t="n">
        <f aca="false">K895-L895</f>
        <v>4498.2</v>
      </c>
      <c r="N895" s="6" t="n">
        <f aca="false">G895*I895</f>
        <v>3100</v>
      </c>
      <c r="O895" s="6" t="n">
        <f aca="false">M895-N895</f>
        <v>1398.2</v>
      </c>
      <c r="P895" s="21" t="n">
        <f aca="false">IFERROR(O895/M895,0)</f>
        <v>0.310835445289227</v>
      </c>
      <c r="Q895" s="6" t="str">
        <f aca="false">Orders!H895</f>
        <v>Delivered</v>
      </c>
      <c r="R895" s="1" t="str">
        <f aca="false">INDEX(Customers!$C$2:$C$301,MATCH(C895,Customers!$A$2:$A$301,0))</f>
        <v>Lucknow</v>
      </c>
      <c r="S895" s="1" t="str">
        <f aca="false">INDEX(Customers!$E$2:$E$301,MATCH(C895,Customers!$A$2:$A$301,0))</f>
        <v>New</v>
      </c>
      <c r="T895" s="6" t="str">
        <f aca="false">Orders!I895</f>
        <v>Mobile App</v>
      </c>
      <c r="U895" s="1" t="str">
        <f aca="false">IF(Q895="Delivered","Completed",IF(Q895="Cancelled","Cancelled",IF(Q895="Returned","Returned","In Progress")))</f>
        <v>Completed</v>
      </c>
      <c r="V895" s="1" t="str">
        <f aca="false">IF(M895&gt;=10000,"High Value",IF(M895&gt;=5000,"Medium Value","Low Value"))</f>
        <v>Low Value</v>
      </c>
      <c r="W895" s="1" t="str">
        <f aca="false">IF(O895&gt;0,"Profitable",IF(O895=0,"Break-even","Loss"))</f>
        <v>Profitable</v>
      </c>
      <c r="X895" s="1" t="str">
        <f aca="false">IF(Q895="Cancelled","Not Applicable",IF(Q895="Processing","Pending",IF(B895="","Unknown",IF(Orders!J895="","Unknown",IF(Orders!J895&lt;=3,"Fast",IF(Orders!J895&lt;=6,"Standard","Slow"))))))</f>
        <v>Fast</v>
      </c>
      <c r="Y895" s="1" t="n">
        <f aca="false">IF(OR(Q895="Cancelled",Q895="Returned"),0,O895)</f>
        <v>1398.2</v>
      </c>
    </row>
    <row r="896" customFormat="false" ht="15" hidden="false" customHeight="false" outlineLevel="0" collapsed="false">
      <c r="A896" s="6" t="str">
        <f aca="false">Orders!A896</f>
        <v>O000895</v>
      </c>
      <c r="B896" s="19" t="n">
        <f aca="false">Orders!B896</f>
        <v>46016</v>
      </c>
      <c r="C896" s="6" t="str">
        <f aca="false">Orders!C896</f>
        <v>C0164</v>
      </c>
      <c r="D896" s="6" t="str">
        <f aca="false">Orders!D896</f>
        <v>P1091</v>
      </c>
      <c r="E896" s="6" t="str">
        <f aca="false">INDEX(Products!$B$2:$B$101,MATCH(D896,Products!$A$2:$A$101,0))</f>
        <v>Rice Cooker</v>
      </c>
      <c r="F896" s="1" t="str">
        <f aca="false">INDEX(Products!$C$2:$C$101,MATCH(D896,Products!$A$2:$A$101,0))</f>
        <v>Appliances</v>
      </c>
      <c r="G896" s="6" t="n">
        <f aca="false">Orders!E896</f>
        <v>1</v>
      </c>
      <c r="H896" s="16" t="n">
        <f aca="false">INDEX(Products!$D$2:$D$101,MATCH(D896,Products!$A$2:$A$101,0))</f>
        <v>1999</v>
      </c>
      <c r="I896" s="16" t="n">
        <f aca="false">INDEX(Products!$E$2:$E$101,MATCH(D896,Products!$A$2:$A$101,0))</f>
        <v>1200</v>
      </c>
      <c r="J896" s="20" t="n">
        <f aca="false">Orders!F896</f>
        <v>0.15</v>
      </c>
      <c r="K896" s="6" t="n">
        <f aca="false">G896*H896</f>
        <v>1999</v>
      </c>
      <c r="L896" s="6" t="n">
        <f aca="false">K896*J896</f>
        <v>299.85</v>
      </c>
      <c r="M896" s="6" t="n">
        <f aca="false">K896-L896</f>
        <v>1699.15</v>
      </c>
      <c r="N896" s="6" t="n">
        <f aca="false">G896*I896</f>
        <v>1200</v>
      </c>
      <c r="O896" s="6" t="n">
        <f aca="false">M896-N896</f>
        <v>499.15</v>
      </c>
      <c r="P896" s="21" t="n">
        <f aca="false">IFERROR(O896/M896,0)</f>
        <v>0.293764529323485</v>
      </c>
      <c r="Q896" s="6" t="str">
        <f aca="false">Orders!H896</f>
        <v>Delivered</v>
      </c>
      <c r="R896" s="1" t="str">
        <f aca="false">INDEX(Customers!$C$2:$C$301,MATCH(C896,Customers!$A$2:$A$301,0))</f>
        <v>Hyderabad</v>
      </c>
      <c r="S896" s="1" t="str">
        <f aca="false">INDEX(Customers!$E$2:$E$301,MATCH(C896,Customers!$A$2:$A$301,0))</f>
        <v>Returning</v>
      </c>
      <c r="T896" s="6" t="str">
        <f aca="false">Orders!I896</f>
        <v>Marketplace</v>
      </c>
      <c r="U896" s="1" t="str">
        <f aca="false">IF(Q896="Delivered","Completed",IF(Q896="Cancelled","Cancelled",IF(Q896="Returned","Returned","In Progress")))</f>
        <v>Completed</v>
      </c>
      <c r="V896" s="1" t="str">
        <f aca="false">IF(M896&gt;=10000,"High Value",IF(M896&gt;=5000,"Medium Value","Low Value"))</f>
        <v>Low Value</v>
      </c>
      <c r="W896" s="1" t="str">
        <f aca="false">IF(O896&gt;0,"Profitable",IF(O896=0,"Break-even","Loss"))</f>
        <v>Profitable</v>
      </c>
      <c r="X896" s="1" t="str">
        <f aca="false">IF(Q896="Cancelled","Not Applicable",IF(Q896="Processing","Pending",IF(B896="","Unknown",IF(Orders!J896="","Unknown",IF(Orders!J896&lt;=3,"Fast",IF(Orders!J896&lt;=6,"Standard","Slow"))))))</f>
        <v>Fast</v>
      </c>
      <c r="Y896" s="1" t="n">
        <f aca="false">IF(OR(Q896="Cancelled",Q896="Returned"),0,O896)</f>
        <v>499.15</v>
      </c>
    </row>
    <row r="897" customFormat="false" ht="15" hidden="false" customHeight="false" outlineLevel="0" collapsed="false">
      <c r="A897" s="6" t="str">
        <f aca="false">Orders!A897</f>
        <v>O000896</v>
      </c>
      <c r="B897" s="19" t="n">
        <f aca="false">Orders!B897</f>
        <v>46007</v>
      </c>
      <c r="C897" s="6" t="str">
        <f aca="false">Orders!C897</f>
        <v>C0263</v>
      </c>
      <c r="D897" s="6" t="str">
        <f aca="false">Orders!D897</f>
        <v>P1042</v>
      </c>
      <c r="E897" s="6" t="str">
        <f aca="false">INDEX(Products!$B$2:$B$101,MATCH(D897,Products!$A$2:$A$101,0))</f>
        <v>Bath Towel Set</v>
      </c>
      <c r="F897" s="1" t="str">
        <f aca="false">INDEX(Products!$C$2:$C$101,MATCH(D897,Products!$A$2:$A$101,0))</f>
        <v>Home &amp; Kitchen</v>
      </c>
      <c r="G897" s="6" t="n">
        <f aca="false">Orders!E897</f>
        <v>4</v>
      </c>
      <c r="H897" s="16" t="n">
        <f aca="false">INDEX(Products!$D$2:$D$101,MATCH(D897,Products!$A$2:$A$101,0))</f>
        <v>799</v>
      </c>
      <c r="I897" s="16" t="n">
        <f aca="false">INDEX(Products!$E$2:$E$101,MATCH(D897,Products!$A$2:$A$101,0))</f>
        <v>360</v>
      </c>
      <c r="J897" s="20" t="n">
        <f aca="false">Orders!F897</f>
        <v>0.25</v>
      </c>
      <c r="K897" s="6" t="n">
        <f aca="false">G897*H897</f>
        <v>3196</v>
      </c>
      <c r="L897" s="6" t="n">
        <f aca="false">K897*J897</f>
        <v>799</v>
      </c>
      <c r="M897" s="6" t="n">
        <f aca="false">K897-L897</f>
        <v>2397</v>
      </c>
      <c r="N897" s="6" t="n">
        <f aca="false">G897*I897</f>
        <v>1440</v>
      </c>
      <c r="O897" s="6" t="n">
        <f aca="false">M897-N897</f>
        <v>957</v>
      </c>
      <c r="P897" s="21" t="n">
        <f aca="false">IFERROR(O897/M897,0)</f>
        <v>0.399249061326658</v>
      </c>
      <c r="Q897" s="6" t="str">
        <f aca="false">Orders!H897</f>
        <v>Delivered</v>
      </c>
      <c r="R897" s="1" t="str">
        <f aca="false">INDEX(Customers!$C$2:$C$301,MATCH(C897,Customers!$A$2:$A$301,0))</f>
        <v>Bengaluru</v>
      </c>
      <c r="S897" s="1" t="str">
        <f aca="false">INDEX(Customers!$E$2:$E$301,MATCH(C897,Customers!$A$2:$A$301,0))</f>
        <v>VIP</v>
      </c>
      <c r="T897" s="6" t="str">
        <f aca="false">Orders!I897</f>
        <v>Marketplace</v>
      </c>
      <c r="U897" s="1" t="str">
        <f aca="false">IF(Q897="Delivered","Completed",IF(Q897="Cancelled","Cancelled",IF(Q897="Returned","Returned","In Progress")))</f>
        <v>Completed</v>
      </c>
      <c r="V897" s="1" t="str">
        <f aca="false">IF(M897&gt;=10000,"High Value",IF(M897&gt;=5000,"Medium Value","Low Value"))</f>
        <v>Low Value</v>
      </c>
      <c r="W897" s="1" t="str">
        <f aca="false">IF(O897&gt;0,"Profitable",IF(O897=0,"Break-even","Loss"))</f>
        <v>Profitable</v>
      </c>
      <c r="X897" s="1" t="str">
        <f aca="false">IF(Q897="Cancelled","Not Applicable",IF(Q897="Processing","Pending",IF(B897="","Unknown",IF(Orders!J897="","Unknown",IF(Orders!J897&lt;=3,"Fast",IF(Orders!J897&lt;=6,"Standard","Slow"))))))</f>
        <v>Slow</v>
      </c>
      <c r="Y897" s="1" t="n">
        <f aca="false">IF(OR(Q897="Cancelled",Q897="Returned"),0,O897)</f>
        <v>957</v>
      </c>
    </row>
    <row r="898" customFormat="false" ht="15" hidden="false" customHeight="false" outlineLevel="0" collapsed="false">
      <c r="A898" s="6" t="str">
        <f aca="false">Orders!A898</f>
        <v>O000897</v>
      </c>
      <c r="B898" s="19" t="n">
        <f aca="false">Orders!B898</f>
        <v>45747</v>
      </c>
      <c r="C898" s="6" t="str">
        <f aca="false">Orders!C898</f>
        <v>C0128</v>
      </c>
      <c r="D898" s="6" t="str">
        <f aca="false">Orders!D898</f>
        <v>P1100</v>
      </c>
      <c r="E898" s="6" t="str">
        <f aca="false">INDEX(Products!$B$2:$B$101,MATCH(D898,Products!$A$2:$A$101,0))</f>
        <v>Coffee Maker</v>
      </c>
      <c r="F898" s="1" t="str">
        <f aca="false">INDEX(Products!$C$2:$C$101,MATCH(D898,Products!$A$2:$A$101,0))</f>
        <v>Appliances</v>
      </c>
      <c r="G898" s="6" t="n">
        <f aca="false">Orders!E898</f>
        <v>3</v>
      </c>
      <c r="H898" s="16" t="n">
        <f aca="false">INDEX(Products!$D$2:$D$101,MATCH(D898,Products!$A$2:$A$101,0))</f>
        <v>2499</v>
      </c>
      <c r="I898" s="16" t="n">
        <f aca="false">INDEX(Products!$E$2:$E$101,MATCH(D898,Products!$A$2:$A$101,0))</f>
        <v>1600</v>
      </c>
      <c r="J898" s="20" t="n">
        <f aca="false">Orders!F898</f>
        <v>0.1</v>
      </c>
      <c r="K898" s="6" t="n">
        <f aca="false">G898*H898</f>
        <v>7497</v>
      </c>
      <c r="L898" s="6" t="n">
        <f aca="false">K898*J898</f>
        <v>749.7</v>
      </c>
      <c r="M898" s="6" t="n">
        <f aca="false">K898-L898</f>
        <v>6747.3</v>
      </c>
      <c r="N898" s="6" t="n">
        <f aca="false">G898*I898</f>
        <v>4800</v>
      </c>
      <c r="O898" s="6" t="n">
        <f aca="false">M898-N898</f>
        <v>1947.3</v>
      </c>
      <c r="P898" s="21" t="n">
        <f aca="false">IFERROR(O898/M898,0)</f>
        <v>0.288604330621137</v>
      </c>
      <c r="Q898" s="6" t="str">
        <f aca="false">Orders!H898</f>
        <v>Delivered</v>
      </c>
      <c r="R898" s="1" t="str">
        <f aca="false">INDEX(Customers!$C$2:$C$301,MATCH(C898,Customers!$A$2:$A$301,0))</f>
        <v>Jaipur</v>
      </c>
      <c r="S898" s="1" t="str">
        <f aca="false">INDEX(Customers!$E$2:$E$301,MATCH(C898,Customers!$A$2:$A$301,0))</f>
        <v>Returning</v>
      </c>
      <c r="T898" s="6" t="str">
        <f aca="false">Orders!I898</f>
        <v>Marketplace</v>
      </c>
      <c r="U898" s="1" t="str">
        <f aca="false">IF(Q898="Delivered","Completed",IF(Q898="Cancelled","Cancelled",IF(Q898="Returned","Returned","In Progress")))</f>
        <v>Completed</v>
      </c>
      <c r="V898" s="1" t="str">
        <f aca="false">IF(M898&gt;=10000,"High Value",IF(M898&gt;=5000,"Medium Value","Low Value"))</f>
        <v>Medium Value</v>
      </c>
      <c r="W898" s="1" t="str">
        <f aca="false">IF(O898&gt;0,"Profitable",IF(O898=0,"Break-even","Loss"))</f>
        <v>Profitable</v>
      </c>
      <c r="X898" s="1" t="str">
        <f aca="false">IF(Q898="Cancelled","Not Applicable",IF(Q898="Processing","Pending",IF(B898="","Unknown",IF(Orders!J898="","Unknown",IF(Orders!J898&lt;=3,"Fast",IF(Orders!J898&lt;=6,"Standard","Slow"))))))</f>
        <v>Standard</v>
      </c>
      <c r="Y898" s="1" t="n">
        <f aca="false">IF(OR(Q898="Cancelled",Q898="Returned"),0,O898)</f>
        <v>1947.3</v>
      </c>
    </row>
    <row r="899" customFormat="false" ht="15" hidden="false" customHeight="false" outlineLevel="0" collapsed="false">
      <c r="A899" s="6" t="str">
        <f aca="false">Orders!A899</f>
        <v>O000898</v>
      </c>
      <c r="B899" s="19" t="n">
        <f aca="false">Orders!B899</f>
        <v>45743</v>
      </c>
      <c r="C899" s="6" t="str">
        <f aca="false">Orders!C899</f>
        <v>C0256</v>
      </c>
      <c r="D899" s="6" t="str">
        <f aca="false">Orders!D899</f>
        <v>P1005</v>
      </c>
      <c r="E899" s="6" t="str">
        <f aca="false">INDEX(Products!$B$2:$B$101,MATCH(D899,Products!$A$2:$A$101,0))</f>
        <v>Power Bank</v>
      </c>
      <c r="F899" s="1" t="str">
        <f aca="false">INDEX(Products!$C$2:$C$101,MATCH(D899,Products!$A$2:$A$101,0))</f>
        <v>Electronics</v>
      </c>
      <c r="G899" s="6" t="n">
        <f aca="false">Orders!E899</f>
        <v>3</v>
      </c>
      <c r="H899" s="16" t="n">
        <f aca="false">INDEX(Products!$D$2:$D$101,MATCH(D899,Products!$A$2:$A$101,0))</f>
        <v>1199</v>
      </c>
      <c r="I899" s="16" t="n">
        <f aca="false">INDEX(Products!$E$2:$E$101,MATCH(D899,Products!$A$2:$A$101,0))</f>
        <v>650</v>
      </c>
      <c r="J899" s="20" t="n">
        <f aca="false">Orders!F899</f>
        <v>0.1</v>
      </c>
      <c r="K899" s="6" t="n">
        <f aca="false">G899*H899</f>
        <v>3597</v>
      </c>
      <c r="L899" s="6" t="n">
        <f aca="false">K899*J899</f>
        <v>359.7</v>
      </c>
      <c r="M899" s="6" t="n">
        <f aca="false">K899-L899</f>
        <v>3237.3</v>
      </c>
      <c r="N899" s="6" t="n">
        <f aca="false">G899*I899</f>
        <v>1950</v>
      </c>
      <c r="O899" s="6" t="n">
        <f aca="false">M899-N899</f>
        <v>1287.3</v>
      </c>
      <c r="P899" s="21" t="n">
        <f aca="false">IFERROR(O899/M899,0)</f>
        <v>0.397646186637012</v>
      </c>
      <c r="Q899" s="6" t="str">
        <f aca="false">Orders!H899</f>
        <v>Processing</v>
      </c>
      <c r="R899" s="1" t="str">
        <f aca="false">INDEX(Customers!$C$2:$C$301,MATCH(C899,Customers!$A$2:$A$301,0))</f>
        <v>Chandigarh</v>
      </c>
      <c r="S899" s="1" t="str">
        <f aca="false">INDEX(Customers!$E$2:$E$301,MATCH(C899,Customers!$A$2:$A$301,0))</f>
        <v>VIP</v>
      </c>
      <c r="T899" s="6" t="str">
        <f aca="false">Orders!I899</f>
        <v>Marketplace</v>
      </c>
      <c r="U899" s="1" t="str">
        <f aca="false">IF(Q899="Delivered","Completed",IF(Q899="Cancelled","Cancelled",IF(Q899="Returned","Returned","In Progress")))</f>
        <v>In Progress</v>
      </c>
      <c r="V899" s="1" t="str">
        <f aca="false">IF(M899&gt;=10000,"High Value",IF(M899&gt;=5000,"Medium Value","Low Value"))</f>
        <v>Low Value</v>
      </c>
      <c r="W899" s="1" t="str">
        <f aca="false">IF(O899&gt;0,"Profitable",IF(O899=0,"Break-even","Loss"))</f>
        <v>Profitable</v>
      </c>
      <c r="X899" s="1" t="str">
        <f aca="false">IF(Q899="Cancelled","Not Applicable",IF(Q899="Processing","Pending",IF(B899="","Unknown",IF(Orders!J899="","Unknown",IF(Orders!J899&lt;=3,"Fast",IF(Orders!J899&lt;=6,"Standard","Slow"))))))</f>
        <v>Pending</v>
      </c>
      <c r="Y899" s="1" t="n">
        <f aca="false">IF(OR(Q899="Cancelled",Q899="Returned"),0,O899)</f>
        <v>1287.3</v>
      </c>
    </row>
    <row r="900" customFormat="false" ht="15" hidden="false" customHeight="false" outlineLevel="0" collapsed="false">
      <c r="A900" s="6" t="str">
        <f aca="false">Orders!A900</f>
        <v>O000899</v>
      </c>
      <c r="B900" s="19" t="n">
        <f aca="false">Orders!B900</f>
        <v>45726</v>
      </c>
      <c r="C900" s="6" t="str">
        <f aca="false">Orders!C900</f>
        <v>C0299</v>
      </c>
      <c r="D900" s="6" t="str">
        <f aca="false">Orders!D900</f>
        <v>P1044</v>
      </c>
      <c r="E900" s="6" t="str">
        <f aca="false">INDEX(Products!$B$2:$B$101,MATCH(D900,Products!$A$2:$A$101,0))</f>
        <v>Doormat</v>
      </c>
      <c r="F900" s="1" t="str">
        <f aca="false">INDEX(Products!$C$2:$C$101,MATCH(D900,Products!$A$2:$A$101,0))</f>
        <v>Home &amp; Kitchen</v>
      </c>
      <c r="G900" s="6" t="n">
        <f aca="false">Orders!E900</f>
        <v>2</v>
      </c>
      <c r="H900" s="16" t="n">
        <f aca="false">INDEX(Products!$D$2:$D$101,MATCH(D900,Products!$A$2:$A$101,0))</f>
        <v>299</v>
      </c>
      <c r="I900" s="16" t="n">
        <f aca="false">INDEX(Products!$E$2:$E$101,MATCH(D900,Products!$A$2:$A$101,0))</f>
        <v>100</v>
      </c>
      <c r="J900" s="20" t="n">
        <f aca="false">Orders!F900</f>
        <v>0.15</v>
      </c>
      <c r="K900" s="6" t="n">
        <f aca="false">G900*H900</f>
        <v>598</v>
      </c>
      <c r="L900" s="6" t="n">
        <f aca="false">K900*J900</f>
        <v>89.7</v>
      </c>
      <c r="M900" s="6" t="n">
        <f aca="false">K900-L900</f>
        <v>508.3</v>
      </c>
      <c r="N900" s="6" t="n">
        <f aca="false">G900*I900</f>
        <v>200</v>
      </c>
      <c r="O900" s="6" t="n">
        <f aca="false">M900-N900</f>
        <v>308.3</v>
      </c>
      <c r="P900" s="21" t="n">
        <f aca="false">IFERROR(O900/M900,0)</f>
        <v>0.606531575841039</v>
      </c>
      <c r="Q900" s="6" t="str">
        <f aca="false">Orders!H900</f>
        <v>Shipped</v>
      </c>
      <c r="R900" s="1" t="str">
        <f aca="false">INDEX(Customers!$C$2:$C$301,MATCH(C900,Customers!$A$2:$A$301,0))</f>
        <v>Coimbatore</v>
      </c>
      <c r="S900" s="1" t="str">
        <f aca="false">INDEX(Customers!$E$2:$E$301,MATCH(C900,Customers!$A$2:$A$301,0))</f>
        <v>Returning</v>
      </c>
      <c r="T900" s="6" t="str">
        <f aca="false">Orders!I900</f>
        <v>Website</v>
      </c>
      <c r="U900" s="1" t="str">
        <f aca="false">IF(Q900="Delivered","Completed",IF(Q900="Cancelled","Cancelled",IF(Q900="Returned","Returned","In Progress")))</f>
        <v>In Progress</v>
      </c>
      <c r="V900" s="1" t="str">
        <f aca="false">IF(M900&gt;=10000,"High Value",IF(M900&gt;=5000,"Medium Value","Low Value"))</f>
        <v>Low Value</v>
      </c>
      <c r="W900" s="1" t="str">
        <f aca="false">IF(O900&gt;0,"Profitable",IF(O900=0,"Break-even","Loss"))</f>
        <v>Profitable</v>
      </c>
      <c r="X900" s="1" t="str">
        <f aca="false">IF(Q900="Cancelled","Not Applicable",IF(Q900="Processing","Pending",IF(B900="","Unknown",IF(Orders!J900="","Unknown",IF(Orders!J900&lt;=3,"Fast",IF(Orders!J900&lt;=6,"Standard","Slow"))))))</f>
        <v>Slow</v>
      </c>
      <c r="Y900" s="1" t="n">
        <f aca="false">IF(OR(Q900="Cancelled",Q900="Returned"),0,O900)</f>
        <v>308.3</v>
      </c>
    </row>
    <row r="901" customFormat="false" ht="15" hidden="false" customHeight="false" outlineLevel="0" collapsed="false">
      <c r="A901" s="6" t="str">
        <f aca="false">Orders!A901</f>
        <v>O000900</v>
      </c>
      <c r="B901" s="19" t="n">
        <f aca="false">Orders!B901</f>
        <v>45980</v>
      </c>
      <c r="C901" s="6" t="str">
        <f aca="false">Orders!C901</f>
        <v>C0180</v>
      </c>
      <c r="D901" s="6" t="str">
        <f aca="false">Orders!D901</f>
        <v>P1044</v>
      </c>
      <c r="E901" s="6" t="str">
        <f aca="false">INDEX(Products!$B$2:$B$101,MATCH(D901,Products!$A$2:$A$101,0))</f>
        <v>Doormat</v>
      </c>
      <c r="F901" s="1" t="str">
        <f aca="false">INDEX(Products!$C$2:$C$101,MATCH(D901,Products!$A$2:$A$101,0))</f>
        <v>Home &amp; Kitchen</v>
      </c>
      <c r="G901" s="6" t="n">
        <f aca="false">Orders!E901</f>
        <v>1</v>
      </c>
      <c r="H901" s="16" t="n">
        <f aca="false">INDEX(Products!$D$2:$D$101,MATCH(D901,Products!$A$2:$A$101,0))</f>
        <v>299</v>
      </c>
      <c r="I901" s="16" t="n">
        <f aca="false">INDEX(Products!$E$2:$E$101,MATCH(D901,Products!$A$2:$A$101,0))</f>
        <v>100</v>
      </c>
      <c r="J901" s="20" t="n">
        <f aca="false">Orders!F901</f>
        <v>0.05</v>
      </c>
      <c r="K901" s="6" t="n">
        <f aca="false">G901*H901</f>
        <v>299</v>
      </c>
      <c r="L901" s="6" t="n">
        <f aca="false">K901*J901</f>
        <v>14.95</v>
      </c>
      <c r="M901" s="6" t="n">
        <f aca="false">K901-L901</f>
        <v>284.05</v>
      </c>
      <c r="N901" s="6" t="n">
        <f aca="false">G901*I901</f>
        <v>100</v>
      </c>
      <c r="O901" s="6" t="n">
        <f aca="false">M901-N901</f>
        <v>184.05</v>
      </c>
      <c r="P901" s="21" t="n">
        <f aca="false">IFERROR(O901/M901,0)</f>
        <v>0.647949304699877</v>
      </c>
      <c r="Q901" s="6" t="str">
        <f aca="false">Orders!H901</f>
        <v>Shipped</v>
      </c>
      <c r="R901" s="1" t="str">
        <f aca="false">INDEX(Customers!$C$2:$C$301,MATCH(C901,Customers!$A$2:$A$301,0))</f>
        <v>Visakhapatnam</v>
      </c>
      <c r="S901" s="1" t="str">
        <f aca="false">INDEX(Customers!$E$2:$E$301,MATCH(C901,Customers!$A$2:$A$301,0))</f>
        <v>New</v>
      </c>
      <c r="T901" s="6" t="str">
        <f aca="false">Orders!I901</f>
        <v>Mobile App</v>
      </c>
      <c r="U901" s="1" t="str">
        <f aca="false">IF(Q901="Delivered","Completed",IF(Q901="Cancelled","Cancelled",IF(Q901="Returned","Returned","In Progress")))</f>
        <v>In Progress</v>
      </c>
      <c r="V901" s="1" t="str">
        <f aca="false">IF(M901&gt;=10000,"High Value",IF(M901&gt;=5000,"Medium Value","Low Value"))</f>
        <v>Low Value</v>
      </c>
      <c r="W901" s="1" t="str">
        <f aca="false">IF(O901&gt;0,"Profitable",IF(O901=0,"Break-even","Loss"))</f>
        <v>Profitable</v>
      </c>
      <c r="X901" s="1" t="str">
        <f aca="false">IF(Q901="Cancelled","Not Applicable",IF(Q901="Processing","Pending",IF(B901="","Unknown",IF(Orders!J901="","Unknown",IF(Orders!J901&lt;=3,"Fast",IF(Orders!J901&lt;=6,"Standard","Slow"))))))</f>
        <v>Slow</v>
      </c>
      <c r="Y901" s="1" t="n">
        <f aca="false">IF(OR(Q901="Cancelled",Q901="Returned"),0,O901)</f>
        <v>184.05</v>
      </c>
    </row>
    <row r="902" customFormat="false" ht="15" hidden="false" customHeight="false" outlineLevel="0" collapsed="false">
      <c r="A902" s="6" t="str">
        <f aca="false">Orders!A902</f>
        <v>O000901</v>
      </c>
      <c r="B902" s="19" t="n">
        <f aca="false">Orders!B902</f>
        <v>45877</v>
      </c>
      <c r="C902" s="6" t="str">
        <f aca="false">Orders!C902</f>
        <v>C0023</v>
      </c>
      <c r="D902" s="6" t="str">
        <f aca="false">Orders!D902</f>
        <v>P1050</v>
      </c>
      <c r="E902" s="6" t="str">
        <f aca="false">INDEX(Products!$B$2:$B$101,MATCH(D902,Products!$A$2:$A$101,0))</f>
        <v>Hair Serum</v>
      </c>
      <c r="F902" s="1" t="str">
        <f aca="false">INDEX(Products!$C$2:$C$101,MATCH(D902,Products!$A$2:$A$101,0))</f>
        <v>Beauty</v>
      </c>
      <c r="G902" s="6" t="n">
        <f aca="false">Orders!E902</f>
        <v>3</v>
      </c>
      <c r="H902" s="16" t="n">
        <f aca="false">INDEX(Products!$D$2:$D$101,MATCH(D902,Products!$A$2:$A$101,0))</f>
        <v>449</v>
      </c>
      <c r="I902" s="16" t="n">
        <f aca="false">INDEX(Products!$E$2:$E$101,MATCH(D902,Products!$A$2:$A$101,0))</f>
        <v>190</v>
      </c>
      <c r="J902" s="20" t="n">
        <f aca="false">Orders!F902</f>
        <v>0</v>
      </c>
      <c r="K902" s="6" t="n">
        <f aca="false">G902*H902</f>
        <v>1347</v>
      </c>
      <c r="L902" s="6" t="n">
        <f aca="false">K902*J902</f>
        <v>0</v>
      </c>
      <c r="M902" s="6" t="n">
        <f aca="false">K902-L902</f>
        <v>1347</v>
      </c>
      <c r="N902" s="6" t="n">
        <f aca="false">G902*I902</f>
        <v>570</v>
      </c>
      <c r="O902" s="6" t="n">
        <f aca="false">M902-N902</f>
        <v>777</v>
      </c>
      <c r="P902" s="21" t="n">
        <f aca="false">IFERROR(O902/M902,0)</f>
        <v>0.576837416481069</v>
      </c>
      <c r="Q902" s="6" t="str">
        <f aca="false">Orders!H902</f>
        <v>Returned</v>
      </c>
      <c r="R902" s="1" t="str">
        <f aca="false">INDEX(Customers!$C$2:$C$301,MATCH(C902,Customers!$A$2:$A$301,0))</f>
        <v>Bengaluru</v>
      </c>
      <c r="S902" s="1" t="str">
        <f aca="false">INDEX(Customers!$E$2:$E$301,MATCH(C902,Customers!$A$2:$A$301,0))</f>
        <v>Returning</v>
      </c>
      <c r="T902" s="6" t="str">
        <f aca="false">Orders!I902</f>
        <v>Website</v>
      </c>
      <c r="U902" s="1" t="str">
        <f aca="false">IF(Q902="Delivered","Completed",IF(Q902="Cancelled","Cancelled",IF(Q902="Returned","Returned","In Progress")))</f>
        <v>Returned</v>
      </c>
      <c r="V902" s="1" t="str">
        <f aca="false">IF(M902&gt;=10000,"High Value",IF(M902&gt;=5000,"Medium Value","Low Value"))</f>
        <v>Low Value</v>
      </c>
      <c r="W902" s="1" t="str">
        <f aca="false">IF(O902&gt;0,"Profitable",IF(O902=0,"Break-even","Loss"))</f>
        <v>Profitable</v>
      </c>
      <c r="X902" s="1" t="str">
        <f aca="false">IF(Q902="Cancelled","Not Applicable",IF(Q902="Processing","Pending",IF(B902="","Unknown",IF(Orders!J902="","Unknown",IF(Orders!J902&lt;=3,"Fast",IF(Orders!J902&lt;=6,"Standard","Slow"))))))</f>
        <v>Slow</v>
      </c>
      <c r="Y902" s="1" t="n">
        <f aca="false">IF(OR(Q902="Cancelled",Q902="Returned"),0,O902)</f>
        <v>0</v>
      </c>
    </row>
    <row r="903" customFormat="false" ht="15" hidden="false" customHeight="false" outlineLevel="0" collapsed="false">
      <c r="A903" s="6" t="str">
        <f aca="false">Orders!A903</f>
        <v>O000902</v>
      </c>
      <c r="B903" s="19" t="n">
        <f aca="false">Orders!B903</f>
        <v>45728</v>
      </c>
      <c r="C903" s="6" t="str">
        <f aca="false">Orders!C903</f>
        <v>C0265</v>
      </c>
      <c r="D903" s="6" t="str">
        <f aca="false">Orders!D903</f>
        <v>P1054</v>
      </c>
      <c r="E903" s="6" t="str">
        <f aca="false">INDEX(Products!$B$2:$B$101,MATCH(D903,Products!$A$2:$A$101,0))</f>
        <v>Face Mask Pack</v>
      </c>
      <c r="F903" s="1" t="str">
        <f aca="false">INDEX(Products!$C$2:$C$101,MATCH(D903,Products!$A$2:$A$101,0))</f>
        <v>Beauty</v>
      </c>
      <c r="G903" s="6" t="n">
        <f aca="false">Orders!E903</f>
        <v>3</v>
      </c>
      <c r="H903" s="16" t="n">
        <f aca="false">INDEX(Products!$D$2:$D$101,MATCH(D903,Products!$A$2:$A$101,0))</f>
        <v>299</v>
      </c>
      <c r="I903" s="16" t="n">
        <f aca="false">INDEX(Products!$E$2:$E$101,MATCH(D903,Products!$A$2:$A$101,0))</f>
        <v>110</v>
      </c>
      <c r="J903" s="20" t="n">
        <f aca="false">Orders!F903</f>
        <v>0</v>
      </c>
      <c r="K903" s="6" t="n">
        <f aca="false">G903*H903</f>
        <v>897</v>
      </c>
      <c r="L903" s="6" t="n">
        <f aca="false">K903*J903</f>
        <v>0</v>
      </c>
      <c r="M903" s="6" t="n">
        <f aca="false">K903-L903</f>
        <v>897</v>
      </c>
      <c r="N903" s="6" t="n">
        <f aca="false">G903*I903</f>
        <v>330</v>
      </c>
      <c r="O903" s="6" t="n">
        <f aca="false">M903-N903</f>
        <v>567</v>
      </c>
      <c r="P903" s="21" t="n">
        <f aca="false">IFERROR(O903/M903,0)</f>
        <v>0.632107023411371</v>
      </c>
      <c r="Q903" s="6" t="str">
        <f aca="false">Orders!H903</f>
        <v>Delivered</v>
      </c>
      <c r="R903" s="1" t="str">
        <f aca="false">INDEX(Customers!$C$2:$C$301,MATCH(C903,Customers!$A$2:$A$301,0))</f>
        <v>Chennai</v>
      </c>
      <c r="S903" s="1" t="str">
        <f aca="false">INDEX(Customers!$E$2:$E$301,MATCH(C903,Customers!$A$2:$A$301,0))</f>
        <v>VIP</v>
      </c>
      <c r="T903" s="6" t="str">
        <f aca="false">Orders!I903</f>
        <v>Mobile App</v>
      </c>
      <c r="U903" s="1" t="str">
        <f aca="false">IF(Q903="Delivered","Completed",IF(Q903="Cancelled","Cancelled",IF(Q903="Returned","Returned","In Progress")))</f>
        <v>Completed</v>
      </c>
      <c r="V903" s="1" t="str">
        <f aca="false">IF(M903&gt;=10000,"High Value",IF(M903&gt;=5000,"Medium Value","Low Value"))</f>
        <v>Low Value</v>
      </c>
      <c r="W903" s="1" t="str">
        <f aca="false">IF(O903&gt;0,"Profitable",IF(O903=0,"Break-even","Loss"))</f>
        <v>Profitable</v>
      </c>
      <c r="X903" s="1" t="str">
        <f aca="false">IF(Q903="Cancelled","Not Applicable",IF(Q903="Processing","Pending",IF(B903="","Unknown",IF(Orders!J903="","Unknown",IF(Orders!J903&lt;=3,"Fast",IF(Orders!J903&lt;=6,"Standard","Slow"))))))</f>
        <v>Standard</v>
      </c>
      <c r="Y903" s="1" t="n">
        <f aca="false">IF(OR(Q903="Cancelled",Q903="Returned"),0,O903)</f>
        <v>567</v>
      </c>
    </row>
    <row r="904" customFormat="false" ht="23.85" hidden="false" customHeight="false" outlineLevel="0" collapsed="false">
      <c r="A904" s="6" t="str">
        <f aca="false">Orders!A904</f>
        <v>O000903</v>
      </c>
      <c r="B904" s="19" t="n">
        <f aca="false">Orders!B904</f>
        <v>45840</v>
      </c>
      <c r="C904" s="6" t="str">
        <f aca="false">Orders!C904</f>
        <v>C0255</v>
      </c>
      <c r="D904" s="6" t="str">
        <f aca="false">Orders!D904</f>
        <v>P1041</v>
      </c>
      <c r="E904" s="6" t="str">
        <f aca="false">INDEX(Products!$B$2:$B$101,MATCH(D904,Products!$A$2:$A$101,0))</f>
        <v>Food Storage Jars</v>
      </c>
      <c r="F904" s="1" t="str">
        <f aca="false">INDEX(Products!$C$2:$C$101,MATCH(D904,Products!$A$2:$A$101,0))</f>
        <v>Home &amp; Kitchen</v>
      </c>
      <c r="G904" s="6" t="n">
        <f aca="false">Orders!E904</f>
        <v>2</v>
      </c>
      <c r="H904" s="16" t="n">
        <f aca="false">INDEX(Products!$D$2:$D$101,MATCH(D904,Products!$A$2:$A$101,0))</f>
        <v>499</v>
      </c>
      <c r="I904" s="16" t="n">
        <f aca="false">INDEX(Products!$E$2:$E$101,MATCH(D904,Products!$A$2:$A$101,0))</f>
        <v>220</v>
      </c>
      <c r="J904" s="20" t="n">
        <f aca="false">Orders!F904</f>
        <v>0</v>
      </c>
      <c r="K904" s="6" t="n">
        <f aca="false">G904*H904</f>
        <v>998</v>
      </c>
      <c r="L904" s="6" t="n">
        <f aca="false">K904*J904</f>
        <v>0</v>
      </c>
      <c r="M904" s="6" t="n">
        <f aca="false">K904-L904</f>
        <v>998</v>
      </c>
      <c r="N904" s="6" t="n">
        <f aca="false">G904*I904</f>
        <v>440</v>
      </c>
      <c r="O904" s="6" t="n">
        <f aca="false">M904-N904</f>
        <v>558</v>
      </c>
      <c r="P904" s="21" t="n">
        <f aca="false">IFERROR(O904/M904,0)</f>
        <v>0.559118236472946</v>
      </c>
      <c r="Q904" s="6" t="str">
        <f aca="false">Orders!H904</f>
        <v>Delivered</v>
      </c>
      <c r="R904" s="1" t="str">
        <f aca="false">INDEX(Customers!$C$2:$C$301,MATCH(C904,Customers!$A$2:$A$301,0))</f>
        <v>Bhopal</v>
      </c>
      <c r="S904" s="1" t="str">
        <f aca="false">INDEX(Customers!$E$2:$E$301,MATCH(C904,Customers!$A$2:$A$301,0))</f>
        <v>Returning</v>
      </c>
      <c r="T904" s="6" t="str">
        <f aca="false">Orders!I904</f>
        <v>Marketplace</v>
      </c>
      <c r="U904" s="1" t="str">
        <f aca="false">IF(Q904="Delivered","Completed",IF(Q904="Cancelled","Cancelled",IF(Q904="Returned","Returned","In Progress")))</f>
        <v>Completed</v>
      </c>
      <c r="V904" s="1" t="str">
        <f aca="false">IF(M904&gt;=10000,"High Value",IF(M904&gt;=5000,"Medium Value","Low Value"))</f>
        <v>Low Value</v>
      </c>
      <c r="W904" s="1" t="str">
        <f aca="false">IF(O904&gt;0,"Profitable",IF(O904=0,"Break-even","Loss"))</f>
        <v>Profitable</v>
      </c>
      <c r="X904" s="1" t="str">
        <f aca="false">IF(Q904="Cancelled","Not Applicable",IF(Q904="Processing","Pending",IF(B904="","Unknown",IF(Orders!J904="","Unknown",IF(Orders!J904&lt;=3,"Fast",IF(Orders!J904&lt;=6,"Standard","Slow"))))))</f>
        <v>Slow</v>
      </c>
      <c r="Y904" s="1" t="n">
        <f aca="false">IF(OR(Q904="Cancelled",Q904="Returned"),0,O904)</f>
        <v>558</v>
      </c>
    </row>
    <row r="905" customFormat="false" ht="15" hidden="false" customHeight="false" outlineLevel="0" collapsed="false">
      <c r="A905" s="6" t="str">
        <f aca="false">Orders!A905</f>
        <v>O000904</v>
      </c>
      <c r="B905" s="19" t="n">
        <f aca="false">Orders!B905</f>
        <v>45687</v>
      </c>
      <c r="C905" s="6" t="str">
        <f aca="false">Orders!C905</f>
        <v>C0297</v>
      </c>
      <c r="D905" s="6" t="str">
        <f aca="false">Orders!D905</f>
        <v>P1017</v>
      </c>
      <c r="E905" s="6" t="str">
        <f aca="false">INDEX(Products!$B$2:$B$101,MATCH(D905,Products!$A$2:$A$101,0))</f>
        <v>Denim Jeans</v>
      </c>
      <c r="F905" s="1" t="str">
        <f aca="false">INDEX(Products!$C$2:$C$101,MATCH(D905,Products!$A$2:$A$101,0))</f>
        <v>Fashion</v>
      </c>
      <c r="G905" s="6" t="n">
        <f aca="false">Orders!E905</f>
        <v>1</v>
      </c>
      <c r="H905" s="16" t="n">
        <f aca="false">INDEX(Products!$D$2:$D$101,MATCH(D905,Products!$A$2:$A$101,0))</f>
        <v>1299</v>
      </c>
      <c r="I905" s="16" t="n">
        <f aca="false">INDEX(Products!$E$2:$E$101,MATCH(D905,Products!$A$2:$A$101,0))</f>
        <v>650</v>
      </c>
      <c r="J905" s="20" t="n">
        <f aca="false">Orders!F905</f>
        <v>0.2</v>
      </c>
      <c r="K905" s="6" t="n">
        <f aca="false">G905*H905</f>
        <v>1299</v>
      </c>
      <c r="L905" s="6" t="n">
        <f aca="false">K905*J905</f>
        <v>259.8</v>
      </c>
      <c r="M905" s="6" t="n">
        <f aca="false">K905-L905</f>
        <v>1039.2</v>
      </c>
      <c r="N905" s="6" t="n">
        <f aca="false">G905*I905</f>
        <v>650</v>
      </c>
      <c r="O905" s="6" t="n">
        <f aca="false">M905-N905</f>
        <v>389.2</v>
      </c>
      <c r="P905" s="21" t="n">
        <f aca="false">IFERROR(O905/M905,0)</f>
        <v>0.374518860662048</v>
      </c>
      <c r="Q905" s="6" t="str">
        <f aca="false">Orders!H905</f>
        <v>Delivered</v>
      </c>
      <c r="R905" s="1" t="str">
        <f aca="false">INDEX(Customers!$C$2:$C$301,MATCH(C905,Customers!$A$2:$A$301,0))</f>
        <v>Surat</v>
      </c>
      <c r="S905" s="1" t="str">
        <f aca="false">INDEX(Customers!$E$2:$E$301,MATCH(C905,Customers!$A$2:$A$301,0))</f>
        <v>New</v>
      </c>
      <c r="T905" s="6" t="str">
        <f aca="false">Orders!I905</f>
        <v>Mobile App</v>
      </c>
      <c r="U905" s="1" t="str">
        <f aca="false">IF(Q905="Delivered","Completed",IF(Q905="Cancelled","Cancelled",IF(Q905="Returned","Returned","In Progress")))</f>
        <v>Completed</v>
      </c>
      <c r="V905" s="1" t="str">
        <f aca="false">IF(M905&gt;=10000,"High Value",IF(M905&gt;=5000,"Medium Value","Low Value"))</f>
        <v>Low Value</v>
      </c>
      <c r="W905" s="1" t="str">
        <f aca="false">IF(O905&gt;0,"Profitable",IF(O905=0,"Break-even","Loss"))</f>
        <v>Profitable</v>
      </c>
      <c r="X905" s="1" t="str">
        <f aca="false">IF(Q905="Cancelled","Not Applicable",IF(Q905="Processing","Pending",IF(B905="","Unknown",IF(Orders!J905="","Unknown",IF(Orders!J905&lt;=3,"Fast",IF(Orders!J905&lt;=6,"Standard","Slow"))))))</f>
        <v>Standard</v>
      </c>
      <c r="Y905" s="1" t="n">
        <f aca="false">IF(OR(Q905="Cancelled",Q905="Returned"),0,O905)</f>
        <v>389.2</v>
      </c>
    </row>
    <row r="906" customFormat="false" ht="15" hidden="false" customHeight="false" outlineLevel="0" collapsed="false">
      <c r="A906" s="6" t="str">
        <f aca="false">Orders!A906</f>
        <v>O000905</v>
      </c>
      <c r="B906" s="19" t="n">
        <f aca="false">Orders!B906</f>
        <v>45996</v>
      </c>
      <c r="C906" s="6" t="str">
        <f aca="false">Orders!C906</f>
        <v>C0136</v>
      </c>
      <c r="D906" s="6" t="str">
        <f aca="false">Orders!D906</f>
        <v>P1080</v>
      </c>
      <c r="E906" s="6" t="str">
        <f aca="false">INDEX(Products!$B$2:$B$101,MATCH(D906,Products!$A$2:$A$101,0))</f>
        <v>Calculator</v>
      </c>
      <c r="F906" s="1" t="str">
        <f aca="false">INDEX(Products!$C$2:$C$101,MATCH(D906,Products!$A$2:$A$101,0))</f>
        <v>Books &amp; Stationery</v>
      </c>
      <c r="G906" s="6" t="n">
        <f aca="false">Orders!E906</f>
        <v>2</v>
      </c>
      <c r="H906" s="16" t="n">
        <f aca="false">INDEX(Products!$D$2:$D$101,MATCH(D906,Products!$A$2:$A$101,0))</f>
        <v>599</v>
      </c>
      <c r="I906" s="16" t="n">
        <f aca="false">INDEX(Products!$E$2:$E$101,MATCH(D906,Products!$A$2:$A$101,0))</f>
        <v>300</v>
      </c>
      <c r="J906" s="20" t="n">
        <f aca="false">Orders!F906</f>
        <v>0</v>
      </c>
      <c r="K906" s="6" t="n">
        <f aca="false">G906*H906</f>
        <v>1198</v>
      </c>
      <c r="L906" s="6" t="n">
        <f aca="false">K906*J906</f>
        <v>0</v>
      </c>
      <c r="M906" s="6" t="n">
        <f aca="false">K906-L906</f>
        <v>1198</v>
      </c>
      <c r="N906" s="6" t="n">
        <f aca="false">G906*I906</f>
        <v>600</v>
      </c>
      <c r="O906" s="6" t="n">
        <f aca="false">M906-N906</f>
        <v>598</v>
      </c>
      <c r="P906" s="21" t="n">
        <f aca="false">IFERROR(O906/M906,0)</f>
        <v>0.499165275459099</v>
      </c>
      <c r="Q906" s="6" t="str">
        <f aca="false">Orders!H906</f>
        <v>Delivered</v>
      </c>
      <c r="R906" s="1" t="str">
        <f aca="false">INDEX(Customers!$C$2:$C$301,MATCH(C906,Customers!$A$2:$A$301,0))</f>
        <v>Chandigarh</v>
      </c>
      <c r="S906" s="1" t="str">
        <f aca="false">INDEX(Customers!$E$2:$E$301,MATCH(C906,Customers!$A$2:$A$301,0))</f>
        <v>New</v>
      </c>
      <c r="T906" s="6" t="str">
        <f aca="false">Orders!I906</f>
        <v>Mobile App</v>
      </c>
      <c r="U906" s="1" t="str">
        <f aca="false">IF(Q906="Delivered","Completed",IF(Q906="Cancelled","Cancelled",IF(Q906="Returned","Returned","In Progress")))</f>
        <v>Completed</v>
      </c>
      <c r="V906" s="1" t="str">
        <f aca="false">IF(M906&gt;=10000,"High Value",IF(M906&gt;=5000,"Medium Value","Low Value"))</f>
        <v>Low Value</v>
      </c>
      <c r="W906" s="1" t="str">
        <f aca="false">IF(O906&gt;0,"Profitable",IF(O906=0,"Break-even","Loss"))</f>
        <v>Profitable</v>
      </c>
      <c r="X906" s="1" t="str">
        <f aca="false">IF(Q906="Cancelled","Not Applicable",IF(Q906="Processing","Pending",IF(B906="","Unknown",IF(Orders!J906="","Unknown",IF(Orders!J906&lt;=3,"Fast",IF(Orders!J906&lt;=6,"Standard","Slow"))))))</f>
        <v>Fast</v>
      </c>
      <c r="Y906" s="1" t="n">
        <f aca="false">IF(OR(Q906="Cancelled",Q906="Returned"),0,O906)</f>
        <v>598</v>
      </c>
    </row>
    <row r="907" customFormat="false" ht="15" hidden="false" customHeight="false" outlineLevel="0" collapsed="false">
      <c r="A907" s="6" t="str">
        <f aca="false">Orders!A907</f>
        <v>O000906</v>
      </c>
      <c r="B907" s="19" t="n">
        <f aca="false">Orders!B907</f>
        <v>45684</v>
      </c>
      <c r="C907" s="6" t="str">
        <f aca="false">Orders!C907</f>
        <v>C0008</v>
      </c>
      <c r="D907" s="6" t="str">
        <f aca="false">Orders!D907</f>
        <v>P1003</v>
      </c>
      <c r="E907" s="6" t="str">
        <f aca="false">INDEX(Products!$B$2:$B$101,MATCH(D907,Products!$A$2:$A$101,0))</f>
        <v>Smart Watch</v>
      </c>
      <c r="F907" s="1" t="str">
        <f aca="false">INDEX(Products!$C$2:$C$101,MATCH(D907,Products!$A$2:$A$101,0))</f>
        <v>Electronics</v>
      </c>
      <c r="G907" s="6" t="n">
        <f aca="false">Orders!E907</f>
        <v>1</v>
      </c>
      <c r="H907" s="16" t="n">
        <f aca="false">INDEX(Products!$D$2:$D$101,MATCH(D907,Products!$A$2:$A$101,0))</f>
        <v>2499</v>
      </c>
      <c r="I907" s="16" t="n">
        <f aca="false">INDEX(Products!$E$2:$E$101,MATCH(D907,Products!$A$2:$A$101,0))</f>
        <v>1450</v>
      </c>
      <c r="J907" s="20" t="n">
        <f aca="false">Orders!F907</f>
        <v>0</v>
      </c>
      <c r="K907" s="6" t="n">
        <f aca="false">G907*H907</f>
        <v>2499</v>
      </c>
      <c r="L907" s="6" t="n">
        <f aca="false">K907*J907</f>
        <v>0</v>
      </c>
      <c r="M907" s="6" t="n">
        <f aca="false">K907-L907</f>
        <v>2499</v>
      </c>
      <c r="N907" s="6" t="n">
        <f aca="false">G907*I907</f>
        <v>1450</v>
      </c>
      <c r="O907" s="6" t="n">
        <f aca="false">M907-N907</f>
        <v>1049</v>
      </c>
      <c r="P907" s="21" t="n">
        <f aca="false">IFERROR(O907/M907,0)</f>
        <v>0.419767907162865</v>
      </c>
      <c r="Q907" s="6" t="str">
        <f aca="false">Orders!H907</f>
        <v>Delivered</v>
      </c>
      <c r="R907" s="1" t="str">
        <f aca="false">INDEX(Customers!$C$2:$C$301,MATCH(C907,Customers!$A$2:$A$301,0))</f>
        <v>Jaipur</v>
      </c>
      <c r="S907" s="1" t="str">
        <f aca="false">INDEX(Customers!$E$2:$E$301,MATCH(C907,Customers!$A$2:$A$301,0))</f>
        <v>New</v>
      </c>
      <c r="T907" s="6" t="str">
        <f aca="false">Orders!I907</f>
        <v>Mobile App</v>
      </c>
      <c r="U907" s="1" t="str">
        <f aca="false">IF(Q907="Delivered","Completed",IF(Q907="Cancelled","Cancelled",IF(Q907="Returned","Returned","In Progress")))</f>
        <v>Completed</v>
      </c>
      <c r="V907" s="1" t="str">
        <f aca="false">IF(M907&gt;=10000,"High Value",IF(M907&gt;=5000,"Medium Value","Low Value"))</f>
        <v>Low Value</v>
      </c>
      <c r="W907" s="1" t="str">
        <f aca="false">IF(O907&gt;0,"Profitable",IF(O907=0,"Break-even","Loss"))</f>
        <v>Profitable</v>
      </c>
      <c r="X907" s="1" t="str">
        <f aca="false">IF(Q907="Cancelled","Not Applicable",IF(Q907="Processing","Pending",IF(B907="","Unknown",IF(Orders!J907="","Unknown",IF(Orders!J907&lt;=3,"Fast",IF(Orders!J907&lt;=6,"Standard","Slow"))))))</f>
        <v>Slow</v>
      </c>
      <c r="Y907" s="1" t="n">
        <f aca="false">IF(OR(Q907="Cancelled",Q907="Returned"),0,O907)</f>
        <v>1049</v>
      </c>
    </row>
    <row r="908" customFormat="false" ht="15" hidden="false" customHeight="false" outlineLevel="0" collapsed="false">
      <c r="A908" s="6" t="str">
        <f aca="false">Orders!A908</f>
        <v>O000907</v>
      </c>
      <c r="B908" s="19" t="n">
        <f aca="false">Orders!B908</f>
        <v>45886</v>
      </c>
      <c r="C908" s="6" t="str">
        <f aca="false">Orders!C908</f>
        <v>C0085</v>
      </c>
      <c r="D908" s="6" t="str">
        <f aca="false">Orders!D908</f>
        <v>P1064</v>
      </c>
      <c r="E908" s="6" t="str">
        <f aca="false">INDEX(Products!$B$2:$B$101,MATCH(D908,Products!$A$2:$A$101,0))</f>
        <v>Football</v>
      </c>
      <c r="F908" s="1" t="str">
        <f aca="false">INDEX(Products!$C$2:$C$101,MATCH(D908,Products!$A$2:$A$101,0))</f>
        <v>Sports &amp; Outdoors</v>
      </c>
      <c r="G908" s="6" t="n">
        <f aca="false">Orders!E908</f>
        <v>4</v>
      </c>
      <c r="H908" s="16" t="n">
        <f aca="false">INDEX(Products!$D$2:$D$101,MATCH(D908,Products!$A$2:$A$101,0))</f>
        <v>699</v>
      </c>
      <c r="I908" s="16" t="n">
        <f aca="false">INDEX(Products!$E$2:$E$101,MATCH(D908,Products!$A$2:$A$101,0))</f>
        <v>300</v>
      </c>
      <c r="J908" s="20" t="n">
        <f aca="false">Orders!F908</f>
        <v>0.05</v>
      </c>
      <c r="K908" s="6" t="n">
        <f aca="false">G908*H908</f>
        <v>2796</v>
      </c>
      <c r="L908" s="6" t="n">
        <f aca="false">K908*J908</f>
        <v>139.8</v>
      </c>
      <c r="M908" s="6" t="n">
        <f aca="false">K908-L908</f>
        <v>2656.2</v>
      </c>
      <c r="N908" s="6" t="n">
        <f aca="false">G908*I908</f>
        <v>1200</v>
      </c>
      <c r="O908" s="6" t="n">
        <f aca="false">M908-N908</f>
        <v>1456.2</v>
      </c>
      <c r="P908" s="21" t="n">
        <f aca="false">IFERROR(O908/M908,0)</f>
        <v>0.548226790151344</v>
      </c>
      <c r="Q908" s="6" t="str">
        <f aca="false">Orders!H908</f>
        <v>Delivered</v>
      </c>
      <c r="R908" s="1" t="str">
        <f aca="false">INDEX(Customers!$C$2:$C$301,MATCH(C908,Customers!$A$2:$A$301,0))</f>
        <v>Chennai</v>
      </c>
      <c r="S908" s="1" t="str">
        <f aca="false">INDEX(Customers!$E$2:$E$301,MATCH(C908,Customers!$A$2:$A$301,0))</f>
        <v>VIP</v>
      </c>
      <c r="T908" s="6" t="str">
        <f aca="false">Orders!I908</f>
        <v>Mobile App</v>
      </c>
      <c r="U908" s="1" t="str">
        <f aca="false">IF(Q908="Delivered","Completed",IF(Q908="Cancelled","Cancelled",IF(Q908="Returned","Returned","In Progress")))</f>
        <v>Completed</v>
      </c>
      <c r="V908" s="1" t="str">
        <f aca="false">IF(M908&gt;=10000,"High Value",IF(M908&gt;=5000,"Medium Value","Low Value"))</f>
        <v>Low Value</v>
      </c>
      <c r="W908" s="1" t="str">
        <f aca="false">IF(O908&gt;0,"Profitable",IF(O908=0,"Break-even","Loss"))</f>
        <v>Profitable</v>
      </c>
      <c r="X908" s="1" t="str">
        <f aca="false">IF(Q908="Cancelled","Not Applicable",IF(Q908="Processing","Pending",IF(B908="","Unknown",IF(Orders!J908="","Unknown",IF(Orders!J908&lt;=3,"Fast",IF(Orders!J908&lt;=6,"Standard","Slow"))))))</f>
        <v>Standard</v>
      </c>
      <c r="Y908" s="1" t="n">
        <f aca="false">IF(OR(Q908="Cancelled",Q908="Returned"),0,O908)</f>
        <v>1456.2</v>
      </c>
    </row>
    <row r="909" customFormat="false" ht="15" hidden="false" customHeight="false" outlineLevel="0" collapsed="false">
      <c r="A909" s="6" t="str">
        <f aca="false">Orders!A909</f>
        <v>O000908</v>
      </c>
      <c r="B909" s="19" t="n">
        <f aca="false">Orders!B909</f>
        <v>45690</v>
      </c>
      <c r="C909" s="6" t="str">
        <f aca="false">Orders!C909</f>
        <v>C0190</v>
      </c>
      <c r="D909" s="6" t="str">
        <f aca="false">Orders!D909</f>
        <v>P1082</v>
      </c>
      <c r="E909" s="6" t="str">
        <f aca="false">INDEX(Products!$B$2:$B$101,MATCH(D909,Products!$A$2:$A$101,0))</f>
        <v>File Folder Set</v>
      </c>
      <c r="F909" s="1" t="str">
        <f aca="false">INDEX(Products!$C$2:$C$101,MATCH(D909,Products!$A$2:$A$101,0))</f>
        <v>Books &amp; Stationery</v>
      </c>
      <c r="G909" s="6" t="n">
        <f aca="false">Orders!E909</f>
        <v>1</v>
      </c>
      <c r="H909" s="16" t="n">
        <f aca="false">INDEX(Products!$D$2:$D$101,MATCH(D909,Products!$A$2:$A$101,0))</f>
        <v>249</v>
      </c>
      <c r="I909" s="16" t="n">
        <f aca="false">INDEX(Products!$E$2:$E$101,MATCH(D909,Products!$A$2:$A$101,0))</f>
        <v>90</v>
      </c>
      <c r="J909" s="20" t="n">
        <f aca="false">Orders!F909</f>
        <v>0.05</v>
      </c>
      <c r="K909" s="6" t="n">
        <f aca="false">G909*H909</f>
        <v>249</v>
      </c>
      <c r="L909" s="6" t="n">
        <f aca="false">K909*J909</f>
        <v>12.45</v>
      </c>
      <c r="M909" s="6" t="n">
        <f aca="false">K909-L909</f>
        <v>236.55</v>
      </c>
      <c r="N909" s="6" t="n">
        <f aca="false">G909*I909</f>
        <v>90</v>
      </c>
      <c r="O909" s="6" t="n">
        <f aca="false">M909-N909</f>
        <v>146.55</v>
      </c>
      <c r="P909" s="21" t="n">
        <f aca="false">IFERROR(O909/M909,0)</f>
        <v>0.619530754597337</v>
      </c>
      <c r="Q909" s="6" t="str">
        <f aca="false">Orders!H909</f>
        <v>Returned</v>
      </c>
      <c r="R909" s="1" t="str">
        <f aca="false">INDEX(Customers!$C$2:$C$301,MATCH(C909,Customers!$A$2:$A$301,0))</f>
        <v>Lucknow</v>
      </c>
      <c r="S909" s="1" t="str">
        <f aca="false">INDEX(Customers!$E$2:$E$301,MATCH(C909,Customers!$A$2:$A$301,0))</f>
        <v>Returning</v>
      </c>
      <c r="T909" s="6" t="str">
        <f aca="false">Orders!I909</f>
        <v>Mobile App</v>
      </c>
      <c r="U909" s="1" t="str">
        <f aca="false">IF(Q909="Delivered","Completed",IF(Q909="Cancelled","Cancelled",IF(Q909="Returned","Returned","In Progress")))</f>
        <v>Returned</v>
      </c>
      <c r="V909" s="1" t="str">
        <f aca="false">IF(M909&gt;=10000,"High Value",IF(M909&gt;=5000,"Medium Value","Low Value"))</f>
        <v>Low Value</v>
      </c>
      <c r="W909" s="1" t="str">
        <f aca="false">IF(O909&gt;0,"Profitable",IF(O909=0,"Break-even","Loss"))</f>
        <v>Profitable</v>
      </c>
      <c r="X909" s="1" t="str">
        <f aca="false">IF(Q909="Cancelled","Not Applicable",IF(Q909="Processing","Pending",IF(B909="","Unknown",IF(Orders!J909="","Unknown",IF(Orders!J909&lt;=3,"Fast",IF(Orders!J909&lt;=6,"Standard","Slow"))))))</f>
        <v>Standard</v>
      </c>
      <c r="Y909" s="1" t="n">
        <f aca="false">IF(OR(Q909="Cancelled",Q909="Returned"),0,O909)</f>
        <v>0</v>
      </c>
    </row>
    <row r="910" customFormat="false" ht="15" hidden="false" customHeight="false" outlineLevel="0" collapsed="false">
      <c r="A910" s="6" t="str">
        <f aca="false">Orders!A910</f>
        <v>O000909</v>
      </c>
      <c r="B910" s="19" t="n">
        <f aca="false">Orders!B910</f>
        <v>45735</v>
      </c>
      <c r="C910" s="6" t="str">
        <f aca="false">Orders!C910</f>
        <v>C0283</v>
      </c>
      <c r="D910" s="6" t="str">
        <f aca="false">Orders!D910</f>
        <v>P1096</v>
      </c>
      <c r="E910" s="6" t="str">
        <f aca="false">INDEX(Products!$B$2:$B$101,MATCH(D910,Products!$A$2:$A$101,0))</f>
        <v>Air Fryer</v>
      </c>
      <c r="F910" s="1" t="str">
        <f aca="false">INDEX(Products!$C$2:$C$101,MATCH(D910,Products!$A$2:$A$101,0))</f>
        <v>Appliances</v>
      </c>
      <c r="G910" s="6" t="n">
        <f aca="false">Orders!E910</f>
        <v>1</v>
      </c>
      <c r="H910" s="16" t="n">
        <f aca="false">INDEX(Products!$D$2:$D$101,MATCH(D910,Products!$A$2:$A$101,0))</f>
        <v>3999</v>
      </c>
      <c r="I910" s="16" t="n">
        <f aca="false">INDEX(Products!$E$2:$E$101,MATCH(D910,Products!$A$2:$A$101,0))</f>
        <v>2700</v>
      </c>
      <c r="J910" s="20" t="n">
        <f aca="false">Orders!F910</f>
        <v>0.2</v>
      </c>
      <c r="K910" s="6" t="n">
        <f aca="false">G910*H910</f>
        <v>3999</v>
      </c>
      <c r="L910" s="6" t="n">
        <f aca="false">K910*J910</f>
        <v>799.8</v>
      </c>
      <c r="M910" s="6" t="n">
        <f aca="false">K910-L910</f>
        <v>3199.2</v>
      </c>
      <c r="N910" s="6" t="n">
        <f aca="false">G910*I910</f>
        <v>2700</v>
      </c>
      <c r="O910" s="6" t="n">
        <f aca="false">M910-N910</f>
        <v>499.2</v>
      </c>
      <c r="P910" s="21" t="n">
        <f aca="false">IFERROR(O910/M910,0)</f>
        <v>0.156039009752438</v>
      </c>
      <c r="Q910" s="6" t="str">
        <f aca="false">Orders!H910</f>
        <v>Processing</v>
      </c>
      <c r="R910" s="1" t="str">
        <f aca="false">INDEX(Customers!$C$2:$C$301,MATCH(C910,Customers!$A$2:$A$301,0))</f>
        <v>Bengaluru</v>
      </c>
      <c r="S910" s="1" t="str">
        <f aca="false">INDEX(Customers!$E$2:$E$301,MATCH(C910,Customers!$A$2:$A$301,0))</f>
        <v>Returning</v>
      </c>
      <c r="T910" s="6" t="str">
        <f aca="false">Orders!I910</f>
        <v>Website</v>
      </c>
      <c r="U910" s="1" t="str">
        <f aca="false">IF(Q910="Delivered","Completed",IF(Q910="Cancelled","Cancelled",IF(Q910="Returned","Returned","In Progress")))</f>
        <v>In Progress</v>
      </c>
      <c r="V910" s="1" t="str">
        <f aca="false">IF(M910&gt;=10000,"High Value",IF(M910&gt;=5000,"Medium Value","Low Value"))</f>
        <v>Low Value</v>
      </c>
      <c r="W910" s="1" t="str">
        <f aca="false">IF(O910&gt;0,"Profitable",IF(O910=0,"Break-even","Loss"))</f>
        <v>Profitable</v>
      </c>
      <c r="X910" s="1" t="str">
        <f aca="false">IF(Q910="Cancelled","Not Applicable",IF(Q910="Processing","Pending",IF(B910="","Unknown",IF(Orders!J910="","Unknown",IF(Orders!J910&lt;=3,"Fast",IF(Orders!J910&lt;=6,"Standard","Slow"))))))</f>
        <v>Pending</v>
      </c>
      <c r="Y910" s="1" t="n">
        <f aca="false">IF(OR(Q910="Cancelled",Q910="Returned"),0,O910)</f>
        <v>499.2</v>
      </c>
    </row>
    <row r="911" customFormat="false" ht="15" hidden="false" customHeight="false" outlineLevel="0" collapsed="false">
      <c r="A911" s="6" t="str">
        <f aca="false">Orders!A911</f>
        <v>O000910</v>
      </c>
      <c r="B911" s="19" t="n">
        <f aca="false">Orders!B911</f>
        <v>45715</v>
      </c>
      <c r="C911" s="6" t="str">
        <f aca="false">Orders!C911</f>
        <v>C0197</v>
      </c>
      <c r="D911" s="6" t="str">
        <f aca="false">Orders!D911</f>
        <v>P1086</v>
      </c>
      <c r="E911" s="6" t="str">
        <f aca="false">INDEX(Products!$B$2:$B$101,MATCH(D911,Products!$A$2:$A$101,0))</f>
        <v>Geometry Box</v>
      </c>
      <c r="F911" s="1" t="str">
        <f aca="false">INDEX(Products!$C$2:$C$101,MATCH(D911,Products!$A$2:$A$101,0))</f>
        <v>Books &amp; Stationery</v>
      </c>
      <c r="G911" s="6" t="n">
        <f aca="false">Orders!E911</f>
        <v>4</v>
      </c>
      <c r="H911" s="16" t="n">
        <f aca="false">INDEX(Products!$D$2:$D$101,MATCH(D911,Products!$A$2:$A$101,0))</f>
        <v>199</v>
      </c>
      <c r="I911" s="16" t="n">
        <f aca="false">INDEX(Products!$E$2:$E$101,MATCH(D911,Products!$A$2:$A$101,0))</f>
        <v>70</v>
      </c>
      <c r="J911" s="20" t="n">
        <f aca="false">Orders!F911</f>
        <v>0</v>
      </c>
      <c r="K911" s="6" t="n">
        <f aca="false">G911*H911</f>
        <v>796</v>
      </c>
      <c r="L911" s="6" t="n">
        <f aca="false">K911*J911</f>
        <v>0</v>
      </c>
      <c r="M911" s="6" t="n">
        <f aca="false">K911-L911</f>
        <v>796</v>
      </c>
      <c r="N911" s="6" t="n">
        <f aca="false">G911*I911</f>
        <v>280</v>
      </c>
      <c r="O911" s="6" t="n">
        <f aca="false">M911-N911</f>
        <v>516</v>
      </c>
      <c r="P911" s="21" t="n">
        <f aca="false">IFERROR(O911/M911,0)</f>
        <v>0.648241206030151</v>
      </c>
      <c r="Q911" s="6" t="str">
        <f aca="false">Orders!H911</f>
        <v>Delivered</v>
      </c>
      <c r="R911" s="1" t="str">
        <f aca="false">INDEX(Customers!$C$2:$C$301,MATCH(C911,Customers!$A$2:$A$301,0))</f>
        <v>Surat</v>
      </c>
      <c r="S911" s="1" t="str">
        <f aca="false">INDEX(Customers!$E$2:$E$301,MATCH(C911,Customers!$A$2:$A$301,0))</f>
        <v>Returning</v>
      </c>
      <c r="T911" s="6" t="str">
        <f aca="false">Orders!I911</f>
        <v>Mobile App</v>
      </c>
      <c r="U911" s="1" t="str">
        <f aca="false">IF(Q911="Delivered","Completed",IF(Q911="Cancelled","Cancelled",IF(Q911="Returned","Returned","In Progress")))</f>
        <v>Completed</v>
      </c>
      <c r="V911" s="1" t="str">
        <f aca="false">IF(M911&gt;=10000,"High Value",IF(M911&gt;=5000,"Medium Value","Low Value"))</f>
        <v>Low Value</v>
      </c>
      <c r="W911" s="1" t="str">
        <f aca="false">IF(O911&gt;0,"Profitable",IF(O911=0,"Break-even","Loss"))</f>
        <v>Profitable</v>
      </c>
      <c r="X911" s="1" t="str">
        <f aca="false">IF(Q911="Cancelled","Not Applicable",IF(Q911="Processing","Pending",IF(B911="","Unknown",IF(Orders!J911="","Unknown",IF(Orders!J911&lt;=3,"Fast",IF(Orders!J911&lt;=6,"Standard","Slow"))))))</f>
        <v>Standard</v>
      </c>
      <c r="Y911" s="1" t="n">
        <f aca="false">IF(OR(Q911="Cancelled",Q911="Returned"),0,O911)</f>
        <v>516</v>
      </c>
    </row>
    <row r="912" customFormat="false" ht="15" hidden="false" customHeight="false" outlineLevel="0" collapsed="false">
      <c r="A912" s="6" t="str">
        <f aca="false">Orders!A912</f>
        <v>O000911</v>
      </c>
      <c r="B912" s="19" t="n">
        <f aca="false">Orders!B912</f>
        <v>45903</v>
      </c>
      <c r="C912" s="6" t="str">
        <f aca="false">Orders!C912</f>
        <v>C0147</v>
      </c>
      <c r="D912" s="6" t="str">
        <f aca="false">Orders!D912</f>
        <v>P1015</v>
      </c>
      <c r="E912" s="6" t="str">
        <f aca="false">INDEX(Products!$B$2:$B$101,MATCH(D912,Products!$A$2:$A$101,0))</f>
        <v>Portable SSD</v>
      </c>
      <c r="F912" s="1" t="str">
        <f aca="false">INDEX(Products!$C$2:$C$101,MATCH(D912,Products!$A$2:$A$101,0))</f>
        <v>Electronics</v>
      </c>
      <c r="G912" s="6" t="n">
        <f aca="false">Orders!E912</f>
        <v>1</v>
      </c>
      <c r="H912" s="16" t="n">
        <f aca="false">INDEX(Products!$D$2:$D$101,MATCH(D912,Products!$A$2:$A$101,0))</f>
        <v>3999</v>
      </c>
      <c r="I912" s="16" t="n">
        <f aca="false">INDEX(Products!$E$2:$E$101,MATCH(D912,Products!$A$2:$A$101,0))</f>
        <v>2800</v>
      </c>
      <c r="J912" s="20" t="n">
        <f aca="false">Orders!F912</f>
        <v>0.1</v>
      </c>
      <c r="K912" s="6" t="n">
        <f aca="false">G912*H912</f>
        <v>3999</v>
      </c>
      <c r="L912" s="6" t="n">
        <f aca="false">K912*J912</f>
        <v>399.9</v>
      </c>
      <c r="M912" s="6" t="n">
        <f aca="false">K912-L912</f>
        <v>3599.1</v>
      </c>
      <c r="N912" s="6" t="n">
        <f aca="false">G912*I912</f>
        <v>2800</v>
      </c>
      <c r="O912" s="6" t="n">
        <f aca="false">M912-N912</f>
        <v>799.1</v>
      </c>
      <c r="P912" s="21" t="n">
        <f aca="false">IFERROR(O912/M912,0)</f>
        <v>0.222027729154511</v>
      </c>
      <c r="Q912" s="6" t="str">
        <f aca="false">Orders!H912</f>
        <v>Delivered</v>
      </c>
      <c r="R912" s="1" t="str">
        <f aca="false">INDEX(Customers!$C$2:$C$301,MATCH(C912,Customers!$A$2:$A$301,0))</f>
        <v>Pune</v>
      </c>
      <c r="S912" s="1" t="str">
        <f aca="false">INDEX(Customers!$E$2:$E$301,MATCH(C912,Customers!$A$2:$A$301,0))</f>
        <v>Returning</v>
      </c>
      <c r="T912" s="6" t="str">
        <f aca="false">Orders!I912</f>
        <v>Mobile App</v>
      </c>
      <c r="U912" s="1" t="str">
        <f aca="false">IF(Q912="Delivered","Completed",IF(Q912="Cancelled","Cancelled",IF(Q912="Returned","Returned","In Progress")))</f>
        <v>Completed</v>
      </c>
      <c r="V912" s="1" t="str">
        <f aca="false">IF(M912&gt;=10000,"High Value",IF(M912&gt;=5000,"Medium Value","Low Value"))</f>
        <v>Low Value</v>
      </c>
      <c r="W912" s="1" t="str">
        <f aca="false">IF(O912&gt;0,"Profitable",IF(O912=0,"Break-even","Loss"))</f>
        <v>Profitable</v>
      </c>
      <c r="X912" s="1" t="str">
        <f aca="false">IF(Q912="Cancelled","Not Applicable",IF(Q912="Processing","Pending",IF(B912="","Unknown",IF(Orders!J912="","Unknown",IF(Orders!J912&lt;=3,"Fast",IF(Orders!J912&lt;=6,"Standard","Slow"))))))</f>
        <v>Standard</v>
      </c>
      <c r="Y912" s="1" t="n">
        <f aca="false">IF(OR(Q912="Cancelled",Q912="Returned"),0,O912)</f>
        <v>799.1</v>
      </c>
    </row>
    <row r="913" customFormat="false" ht="15" hidden="false" customHeight="false" outlineLevel="0" collapsed="false">
      <c r="A913" s="6" t="str">
        <f aca="false">Orders!A913</f>
        <v>O000912</v>
      </c>
      <c r="B913" s="19" t="n">
        <f aca="false">Orders!B913</f>
        <v>45692</v>
      </c>
      <c r="C913" s="6" t="str">
        <f aca="false">Orders!C913</f>
        <v>C0098</v>
      </c>
      <c r="D913" s="6" t="str">
        <f aca="false">Orders!D913</f>
        <v>P1087</v>
      </c>
      <c r="E913" s="6" t="str">
        <f aca="false">INDEX(Products!$B$2:$B$101,MATCH(D913,Products!$A$2:$A$101,0))</f>
        <v>Book Stand</v>
      </c>
      <c r="F913" s="1" t="str">
        <f aca="false">INDEX(Products!$C$2:$C$101,MATCH(D913,Products!$A$2:$A$101,0))</f>
        <v>Books &amp; Stationery</v>
      </c>
      <c r="G913" s="6" t="n">
        <f aca="false">Orders!E913</f>
        <v>1</v>
      </c>
      <c r="H913" s="16" t="n">
        <f aca="false">INDEX(Products!$D$2:$D$101,MATCH(D913,Products!$A$2:$A$101,0))</f>
        <v>449</v>
      </c>
      <c r="I913" s="16" t="n">
        <f aca="false">INDEX(Products!$E$2:$E$101,MATCH(D913,Products!$A$2:$A$101,0))</f>
        <v>200</v>
      </c>
      <c r="J913" s="20" t="n">
        <f aca="false">Orders!F913</f>
        <v>0.25</v>
      </c>
      <c r="K913" s="6" t="n">
        <f aca="false">G913*H913</f>
        <v>449</v>
      </c>
      <c r="L913" s="6" t="n">
        <f aca="false">K913*J913</f>
        <v>112.25</v>
      </c>
      <c r="M913" s="6" t="n">
        <f aca="false">K913-L913</f>
        <v>336.75</v>
      </c>
      <c r="N913" s="6" t="n">
        <f aca="false">G913*I913</f>
        <v>200</v>
      </c>
      <c r="O913" s="6" t="n">
        <f aca="false">M913-N913</f>
        <v>136.75</v>
      </c>
      <c r="P913" s="21" t="n">
        <f aca="false">IFERROR(O913/M913,0)</f>
        <v>0.406087602078693</v>
      </c>
      <c r="Q913" s="6" t="str">
        <f aca="false">Orders!H913</f>
        <v>Delivered</v>
      </c>
      <c r="R913" s="1" t="str">
        <f aca="false">INDEX(Customers!$C$2:$C$301,MATCH(C913,Customers!$A$2:$A$301,0))</f>
        <v>Nagpur</v>
      </c>
      <c r="S913" s="1" t="str">
        <f aca="false">INDEX(Customers!$E$2:$E$301,MATCH(C913,Customers!$A$2:$A$301,0))</f>
        <v>Returning</v>
      </c>
      <c r="T913" s="6" t="str">
        <f aca="false">Orders!I913</f>
        <v>Mobile App</v>
      </c>
      <c r="U913" s="1" t="str">
        <f aca="false">IF(Q913="Delivered","Completed",IF(Q913="Cancelled","Cancelled",IF(Q913="Returned","Returned","In Progress")))</f>
        <v>Completed</v>
      </c>
      <c r="V913" s="1" t="str">
        <f aca="false">IF(M913&gt;=10000,"High Value",IF(M913&gt;=5000,"Medium Value","Low Value"))</f>
        <v>Low Value</v>
      </c>
      <c r="W913" s="1" t="str">
        <f aca="false">IF(O913&gt;0,"Profitable",IF(O913=0,"Break-even","Loss"))</f>
        <v>Profitable</v>
      </c>
      <c r="X913" s="1" t="str">
        <f aca="false">IF(Q913="Cancelled","Not Applicable",IF(Q913="Processing","Pending",IF(B913="","Unknown",IF(Orders!J913="","Unknown",IF(Orders!J913&lt;=3,"Fast",IF(Orders!J913&lt;=6,"Standard","Slow"))))))</f>
        <v>Slow</v>
      </c>
      <c r="Y913" s="1" t="n">
        <f aca="false">IF(OR(Q913="Cancelled",Q913="Returned"),0,O913)</f>
        <v>136.75</v>
      </c>
    </row>
    <row r="914" customFormat="false" ht="15" hidden="false" customHeight="false" outlineLevel="0" collapsed="false">
      <c r="A914" s="6" t="str">
        <f aca="false">Orders!A914</f>
        <v>O000913</v>
      </c>
      <c r="B914" s="19" t="n">
        <f aca="false">Orders!B914</f>
        <v>45976</v>
      </c>
      <c r="C914" s="6" t="str">
        <f aca="false">Orders!C914</f>
        <v>C0040</v>
      </c>
      <c r="D914" s="6" t="str">
        <f aca="false">Orders!D914</f>
        <v>P1064</v>
      </c>
      <c r="E914" s="6" t="str">
        <f aca="false">INDEX(Products!$B$2:$B$101,MATCH(D914,Products!$A$2:$A$101,0))</f>
        <v>Football</v>
      </c>
      <c r="F914" s="1" t="str">
        <f aca="false">INDEX(Products!$C$2:$C$101,MATCH(D914,Products!$A$2:$A$101,0))</f>
        <v>Sports &amp; Outdoors</v>
      </c>
      <c r="G914" s="6" t="n">
        <f aca="false">Orders!E914</f>
        <v>1</v>
      </c>
      <c r="H914" s="16" t="n">
        <f aca="false">INDEX(Products!$D$2:$D$101,MATCH(D914,Products!$A$2:$A$101,0))</f>
        <v>699</v>
      </c>
      <c r="I914" s="16" t="n">
        <f aca="false">INDEX(Products!$E$2:$E$101,MATCH(D914,Products!$A$2:$A$101,0))</f>
        <v>300</v>
      </c>
      <c r="J914" s="20" t="n">
        <f aca="false">Orders!F914</f>
        <v>0.1</v>
      </c>
      <c r="K914" s="6" t="n">
        <f aca="false">G914*H914</f>
        <v>699</v>
      </c>
      <c r="L914" s="6" t="n">
        <f aca="false">K914*J914</f>
        <v>69.9</v>
      </c>
      <c r="M914" s="6" t="n">
        <f aca="false">K914-L914</f>
        <v>629.1</v>
      </c>
      <c r="N914" s="6" t="n">
        <f aca="false">G914*I914</f>
        <v>300</v>
      </c>
      <c r="O914" s="6" t="n">
        <f aca="false">M914-N914</f>
        <v>329.1</v>
      </c>
      <c r="P914" s="21" t="n">
        <f aca="false">IFERROR(O914/M914,0)</f>
        <v>0.523128278493085</v>
      </c>
      <c r="Q914" s="6" t="str">
        <f aca="false">Orders!H914</f>
        <v>Delivered</v>
      </c>
      <c r="R914" s="1" t="str">
        <f aca="false">INDEX(Customers!$C$2:$C$301,MATCH(C914,Customers!$A$2:$A$301,0))</f>
        <v>Visakhapatnam</v>
      </c>
      <c r="S914" s="1" t="str">
        <f aca="false">INDEX(Customers!$E$2:$E$301,MATCH(C914,Customers!$A$2:$A$301,0))</f>
        <v>Returning</v>
      </c>
      <c r="T914" s="6" t="str">
        <f aca="false">Orders!I914</f>
        <v>Mobile App</v>
      </c>
      <c r="U914" s="1" t="str">
        <f aca="false">IF(Q914="Delivered","Completed",IF(Q914="Cancelled","Cancelled",IF(Q914="Returned","Returned","In Progress")))</f>
        <v>Completed</v>
      </c>
      <c r="V914" s="1" t="str">
        <f aca="false">IF(M914&gt;=10000,"High Value",IF(M914&gt;=5000,"Medium Value","Low Value"))</f>
        <v>Low Value</v>
      </c>
      <c r="W914" s="1" t="str">
        <f aca="false">IF(O914&gt;0,"Profitable",IF(O914=0,"Break-even","Loss"))</f>
        <v>Profitable</v>
      </c>
      <c r="X914" s="1" t="str">
        <f aca="false">IF(Q914="Cancelled","Not Applicable",IF(Q914="Processing","Pending",IF(B914="","Unknown",IF(Orders!J914="","Unknown",IF(Orders!J914&lt;=3,"Fast",IF(Orders!J914&lt;=6,"Standard","Slow"))))))</f>
        <v>Slow</v>
      </c>
      <c r="Y914" s="1" t="n">
        <f aca="false">IF(OR(Q914="Cancelled",Q914="Returned"),0,O914)</f>
        <v>329.1</v>
      </c>
    </row>
    <row r="915" customFormat="false" ht="15" hidden="false" customHeight="false" outlineLevel="0" collapsed="false">
      <c r="A915" s="6" t="str">
        <f aca="false">Orders!A915</f>
        <v>O000914</v>
      </c>
      <c r="B915" s="19" t="n">
        <f aca="false">Orders!B915</f>
        <v>45719</v>
      </c>
      <c r="C915" s="6" t="str">
        <f aca="false">Orders!C915</f>
        <v>C0272</v>
      </c>
      <c r="D915" s="6" t="str">
        <f aca="false">Orders!D915</f>
        <v>P1091</v>
      </c>
      <c r="E915" s="6" t="str">
        <f aca="false">INDEX(Products!$B$2:$B$101,MATCH(D915,Products!$A$2:$A$101,0))</f>
        <v>Rice Cooker</v>
      </c>
      <c r="F915" s="1" t="str">
        <f aca="false">INDEX(Products!$C$2:$C$101,MATCH(D915,Products!$A$2:$A$101,0))</f>
        <v>Appliances</v>
      </c>
      <c r="G915" s="6" t="n">
        <f aca="false">Orders!E915</f>
        <v>3</v>
      </c>
      <c r="H915" s="16" t="n">
        <f aca="false">INDEX(Products!$D$2:$D$101,MATCH(D915,Products!$A$2:$A$101,0))</f>
        <v>1999</v>
      </c>
      <c r="I915" s="16" t="n">
        <f aca="false">INDEX(Products!$E$2:$E$101,MATCH(D915,Products!$A$2:$A$101,0))</f>
        <v>1200</v>
      </c>
      <c r="J915" s="20" t="n">
        <f aca="false">Orders!F915</f>
        <v>0.25</v>
      </c>
      <c r="K915" s="6" t="n">
        <f aca="false">G915*H915</f>
        <v>5997</v>
      </c>
      <c r="L915" s="6" t="n">
        <f aca="false">K915*J915</f>
        <v>1499.25</v>
      </c>
      <c r="M915" s="6" t="n">
        <f aca="false">K915-L915</f>
        <v>4497.75</v>
      </c>
      <c r="N915" s="6" t="n">
        <f aca="false">G915*I915</f>
        <v>3600</v>
      </c>
      <c r="O915" s="6" t="n">
        <f aca="false">M915-N915</f>
        <v>897.75</v>
      </c>
      <c r="P915" s="21" t="n">
        <f aca="false">IFERROR(O915/M915,0)</f>
        <v>0.19959979989995</v>
      </c>
      <c r="Q915" s="6" t="str">
        <f aca="false">Orders!H915</f>
        <v>Delivered</v>
      </c>
      <c r="R915" s="1" t="str">
        <f aca="false">INDEX(Customers!$C$2:$C$301,MATCH(C915,Customers!$A$2:$A$301,0))</f>
        <v>Noida</v>
      </c>
      <c r="S915" s="1" t="str">
        <f aca="false">INDEX(Customers!$E$2:$E$301,MATCH(C915,Customers!$A$2:$A$301,0))</f>
        <v>New</v>
      </c>
      <c r="T915" s="6" t="str">
        <f aca="false">Orders!I915</f>
        <v>Website</v>
      </c>
      <c r="U915" s="1" t="str">
        <f aca="false">IF(Q915="Delivered","Completed",IF(Q915="Cancelled","Cancelled",IF(Q915="Returned","Returned","In Progress")))</f>
        <v>Completed</v>
      </c>
      <c r="V915" s="1" t="str">
        <f aca="false">IF(M915&gt;=10000,"High Value",IF(M915&gt;=5000,"Medium Value","Low Value"))</f>
        <v>Low Value</v>
      </c>
      <c r="W915" s="1" t="str">
        <f aca="false">IF(O915&gt;0,"Profitable",IF(O915=0,"Break-even","Loss"))</f>
        <v>Profitable</v>
      </c>
      <c r="X915" s="1" t="str">
        <f aca="false">IF(Q915="Cancelled","Not Applicable",IF(Q915="Processing","Pending",IF(B915="","Unknown",IF(Orders!J915="","Unknown",IF(Orders!J915&lt;=3,"Fast",IF(Orders!J915&lt;=6,"Standard","Slow"))))))</f>
        <v>Standard</v>
      </c>
      <c r="Y915" s="1" t="n">
        <f aca="false">IF(OR(Q915="Cancelled",Q915="Returned"),0,O915)</f>
        <v>897.75</v>
      </c>
    </row>
    <row r="916" customFormat="false" ht="23.85" hidden="false" customHeight="false" outlineLevel="0" collapsed="false">
      <c r="A916" s="6" t="str">
        <f aca="false">Orders!A916</f>
        <v>O000915</v>
      </c>
      <c r="B916" s="19" t="n">
        <f aca="false">Orders!B916</f>
        <v>45698</v>
      </c>
      <c r="C916" s="6" t="str">
        <f aca="false">Orders!C916</f>
        <v>C0201</v>
      </c>
      <c r="D916" s="6" t="str">
        <f aca="false">Orders!D916</f>
        <v>P1093</v>
      </c>
      <c r="E916" s="6" t="str">
        <f aca="false">INDEX(Products!$B$2:$B$101,MATCH(D916,Products!$A$2:$A$101,0))</f>
        <v>Induction Cooktop</v>
      </c>
      <c r="F916" s="1" t="str">
        <f aca="false">INDEX(Products!$C$2:$C$101,MATCH(D916,Products!$A$2:$A$101,0))</f>
        <v>Appliances</v>
      </c>
      <c r="G916" s="6" t="n">
        <f aca="false">Orders!E916</f>
        <v>1</v>
      </c>
      <c r="H916" s="16" t="n">
        <f aca="false">INDEX(Products!$D$2:$D$101,MATCH(D916,Products!$A$2:$A$101,0))</f>
        <v>2299</v>
      </c>
      <c r="I916" s="16" t="n">
        <f aca="false">INDEX(Products!$E$2:$E$101,MATCH(D916,Products!$A$2:$A$101,0))</f>
        <v>1450</v>
      </c>
      <c r="J916" s="20" t="n">
        <f aca="false">Orders!F916</f>
        <v>0</v>
      </c>
      <c r="K916" s="6" t="n">
        <f aca="false">G916*H916</f>
        <v>2299</v>
      </c>
      <c r="L916" s="6" t="n">
        <f aca="false">K916*J916</f>
        <v>0</v>
      </c>
      <c r="M916" s="6" t="n">
        <f aca="false">K916-L916</f>
        <v>2299</v>
      </c>
      <c r="N916" s="6" t="n">
        <f aca="false">G916*I916</f>
        <v>1450</v>
      </c>
      <c r="O916" s="6" t="n">
        <f aca="false">M916-N916</f>
        <v>849</v>
      </c>
      <c r="P916" s="21" t="n">
        <f aca="false">IFERROR(O916/M916,0)</f>
        <v>0.369290996085254</v>
      </c>
      <c r="Q916" s="6" t="str">
        <f aca="false">Orders!H916</f>
        <v>Shipped</v>
      </c>
      <c r="R916" s="1" t="str">
        <f aca="false">INDEX(Customers!$C$2:$C$301,MATCH(C916,Customers!$A$2:$A$301,0))</f>
        <v>Delhi</v>
      </c>
      <c r="S916" s="1" t="str">
        <f aca="false">INDEX(Customers!$E$2:$E$301,MATCH(C916,Customers!$A$2:$A$301,0))</f>
        <v>VIP</v>
      </c>
      <c r="T916" s="6" t="str">
        <f aca="false">Orders!I916</f>
        <v>Marketplace</v>
      </c>
      <c r="U916" s="1" t="str">
        <f aca="false">IF(Q916="Delivered","Completed",IF(Q916="Cancelled","Cancelled",IF(Q916="Returned","Returned","In Progress")))</f>
        <v>In Progress</v>
      </c>
      <c r="V916" s="1" t="str">
        <f aca="false">IF(M916&gt;=10000,"High Value",IF(M916&gt;=5000,"Medium Value","Low Value"))</f>
        <v>Low Value</v>
      </c>
      <c r="W916" s="1" t="str">
        <f aca="false">IF(O916&gt;0,"Profitable",IF(O916=0,"Break-even","Loss"))</f>
        <v>Profitable</v>
      </c>
      <c r="X916" s="1" t="str">
        <f aca="false">IF(Q916="Cancelled","Not Applicable",IF(Q916="Processing","Pending",IF(B916="","Unknown",IF(Orders!J916="","Unknown",IF(Orders!J916&lt;=3,"Fast",IF(Orders!J916&lt;=6,"Standard","Slow"))))))</f>
        <v>Fast</v>
      </c>
      <c r="Y916" s="1" t="n">
        <f aca="false">IF(OR(Q916="Cancelled",Q916="Returned"),0,O916)</f>
        <v>849</v>
      </c>
    </row>
    <row r="917" customFormat="false" ht="15" hidden="false" customHeight="false" outlineLevel="0" collapsed="false">
      <c r="A917" s="6" t="str">
        <f aca="false">Orders!A917</f>
        <v>O000916</v>
      </c>
      <c r="B917" s="19" t="n">
        <f aca="false">Orders!B917</f>
        <v>45821</v>
      </c>
      <c r="C917" s="6" t="str">
        <f aca="false">Orders!C917</f>
        <v>C0235</v>
      </c>
      <c r="D917" s="6" t="str">
        <f aca="false">Orders!D917</f>
        <v>P1091</v>
      </c>
      <c r="E917" s="6" t="str">
        <f aca="false">INDEX(Products!$B$2:$B$101,MATCH(D917,Products!$A$2:$A$101,0))</f>
        <v>Rice Cooker</v>
      </c>
      <c r="F917" s="1" t="str">
        <f aca="false">INDEX(Products!$C$2:$C$101,MATCH(D917,Products!$A$2:$A$101,0))</f>
        <v>Appliances</v>
      </c>
      <c r="G917" s="6" t="n">
        <f aca="false">Orders!E917</f>
        <v>1</v>
      </c>
      <c r="H917" s="16" t="n">
        <f aca="false">INDEX(Products!$D$2:$D$101,MATCH(D917,Products!$A$2:$A$101,0))</f>
        <v>1999</v>
      </c>
      <c r="I917" s="16" t="n">
        <f aca="false">INDEX(Products!$E$2:$E$101,MATCH(D917,Products!$A$2:$A$101,0))</f>
        <v>1200</v>
      </c>
      <c r="J917" s="20" t="n">
        <f aca="false">Orders!F917</f>
        <v>0.05</v>
      </c>
      <c r="K917" s="6" t="n">
        <f aca="false">G917*H917</f>
        <v>1999</v>
      </c>
      <c r="L917" s="6" t="n">
        <f aca="false">K917*J917</f>
        <v>99.95</v>
      </c>
      <c r="M917" s="6" t="n">
        <f aca="false">K917-L917</f>
        <v>1899.05</v>
      </c>
      <c r="N917" s="6" t="n">
        <f aca="false">G917*I917</f>
        <v>1200</v>
      </c>
      <c r="O917" s="6" t="n">
        <f aca="false">M917-N917</f>
        <v>699.05</v>
      </c>
      <c r="P917" s="21" t="n">
        <f aca="false">IFERROR(O917/M917,0)</f>
        <v>0.368105105184171</v>
      </c>
      <c r="Q917" s="6" t="str">
        <f aca="false">Orders!H917</f>
        <v>Processing</v>
      </c>
      <c r="R917" s="1" t="str">
        <f aca="false">INDEX(Customers!$C$2:$C$301,MATCH(C917,Customers!$A$2:$A$301,0))</f>
        <v>Bhopal</v>
      </c>
      <c r="S917" s="1" t="str">
        <f aca="false">INDEX(Customers!$E$2:$E$301,MATCH(C917,Customers!$A$2:$A$301,0))</f>
        <v>New</v>
      </c>
      <c r="T917" s="6" t="str">
        <f aca="false">Orders!I917</f>
        <v>Website</v>
      </c>
      <c r="U917" s="1" t="str">
        <f aca="false">IF(Q917="Delivered","Completed",IF(Q917="Cancelled","Cancelled",IF(Q917="Returned","Returned","In Progress")))</f>
        <v>In Progress</v>
      </c>
      <c r="V917" s="1" t="str">
        <f aca="false">IF(M917&gt;=10000,"High Value",IF(M917&gt;=5000,"Medium Value","Low Value"))</f>
        <v>Low Value</v>
      </c>
      <c r="W917" s="1" t="str">
        <f aca="false">IF(O917&gt;0,"Profitable",IF(O917=0,"Break-even","Loss"))</f>
        <v>Profitable</v>
      </c>
      <c r="X917" s="1" t="str">
        <f aca="false">IF(Q917="Cancelled","Not Applicable",IF(Q917="Processing","Pending",IF(B917="","Unknown",IF(Orders!J917="","Unknown",IF(Orders!J917&lt;=3,"Fast",IF(Orders!J917&lt;=6,"Standard","Slow"))))))</f>
        <v>Pending</v>
      </c>
      <c r="Y917" s="1" t="n">
        <f aca="false">IF(OR(Q917="Cancelled",Q917="Returned"),0,O917)</f>
        <v>699.05</v>
      </c>
    </row>
    <row r="918" customFormat="false" ht="15" hidden="false" customHeight="false" outlineLevel="0" collapsed="false">
      <c r="A918" s="6" t="str">
        <f aca="false">Orders!A918</f>
        <v>O000917</v>
      </c>
      <c r="B918" s="19" t="n">
        <f aca="false">Orders!B918</f>
        <v>45970</v>
      </c>
      <c r="C918" s="6" t="str">
        <f aca="false">Orders!C918</f>
        <v>C0255</v>
      </c>
      <c r="D918" s="6" t="str">
        <f aca="false">Orders!D918</f>
        <v>P1040</v>
      </c>
      <c r="E918" s="6" t="str">
        <f aca="false">INDEX(Products!$B$2:$B$101,MATCH(D918,Products!$A$2:$A$101,0))</f>
        <v>Curtain Set</v>
      </c>
      <c r="F918" s="1" t="str">
        <f aca="false">INDEX(Products!$C$2:$C$101,MATCH(D918,Products!$A$2:$A$101,0))</f>
        <v>Home &amp; Kitchen</v>
      </c>
      <c r="G918" s="6" t="n">
        <f aca="false">Orders!E918</f>
        <v>2</v>
      </c>
      <c r="H918" s="16" t="n">
        <f aca="false">INDEX(Products!$D$2:$D$101,MATCH(D918,Products!$A$2:$A$101,0))</f>
        <v>1099</v>
      </c>
      <c r="I918" s="16" t="n">
        <f aca="false">INDEX(Products!$E$2:$E$101,MATCH(D918,Products!$A$2:$A$101,0))</f>
        <v>550</v>
      </c>
      <c r="J918" s="20" t="n">
        <f aca="false">Orders!F918</f>
        <v>0.15</v>
      </c>
      <c r="K918" s="6" t="n">
        <f aca="false">G918*H918</f>
        <v>2198</v>
      </c>
      <c r="L918" s="6" t="n">
        <f aca="false">K918*J918</f>
        <v>329.7</v>
      </c>
      <c r="M918" s="6" t="n">
        <f aca="false">K918-L918</f>
        <v>1868.3</v>
      </c>
      <c r="N918" s="6" t="n">
        <f aca="false">G918*I918</f>
        <v>1100</v>
      </c>
      <c r="O918" s="6" t="n">
        <f aca="false">M918-N918</f>
        <v>768.3</v>
      </c>
      <c r="P918" s="21" t="n">
        <f aca="false">IFERROR(O918/M918,0)</f>
        <v>0.411229459936841</v>
      </c>
      <c r="Q918" s="6" t="str">
        <f aca="false">Orders!H918</f>
        <v>Delivered</v>
      </c>
      <c r="R918" s="1" t="str">
        <f aca="false">INDEX(Customers!$C$2:$C$301,MATCH(C918,Customers!$A$2:$A$301,0))</f>
        <v>Bhopal</v>
      </c>
      <c r="S918" s="1" t="str">
        <f aca="false">INDEX(Customers!$E$2:$E$301,MATCH(C918,Customers!$A$2:$A$301,0))</f>
        <v>Returning</v>
      </c>
      <c r="T918" s="6" t="str">
        <f aca="false">Orders!I918</f>
        <v>Mobile App</v>
      </c>
      <c r="U918" s="1" t="str">
        <f aca="false">IF(Q918="Delivered","Completed",IF(Q918="Cancelled","Cancelled",IF(Q918="Returned","Returned","In Progress")))</f>
        <v>Completed</v>
      </c>
      <c r="V918" s="1" t="str">
        <f aca="false">IF(M918&gt;=10000,"High Value",IF(M918&gt;=5000,"Medium Value","Low Value"))</f>
        <v>Low Value</v>
      </c>
      <c r="W918" s="1" t="str">
        <f aca="false">IF(O918&gt;0,"Profitable",IF(O918=0,"Break-even","Loss"))</f>
        <v>Profitable</v>
      </c>
      <c r="X918" s="1" t="str">
        <f aca="false">IF(Q918="Cancelled","Not Applicable",IF(Q918="Processing","Pending",IF(B918="","Unknown",IF(Orders!J918="","Unknown",IF(Orders!J918&lt;=3,"Fast",IF(Orders!J918&lt;=6,"Standard","Slow"))))))</f>
        <v>Fast</v>
      </c>
      <c r="Y918" s="1" t="n">
        <f aca="false">IF(OR(Q918="Cancelled",Q918="Returned"),0,O918)</f>
        <v>768.3</v>
      </c>
    </row>
    <row r="919" customFormat="false" ht="15" hidden="false" customHeight="false" outlineLevel="0" collapsed="false">
      <c r="A919" s="6" t="str">
        <f aca="false">Orders!A919</f>
        <v>O000918</v>
      </c>
      <c r="B919" s="19" t="n">
        <f aca="false">Orders!B919</f>
        <v>45962</v>
      </c>
      <c r="C919" s="6" t="str">
        <f aca="false">Orders!C919</f>
        <v>C0025</v>
      </c>
      <c r="D919" s="6" t="str">
        <f aca="false">Orders!D919</f>
        <v>P1064</v>
      </c>
      <c r="E919" s="6" t="str">
        <f aca="false">INDEX(Products!$B$2:$B$101,MATCH(D919,Products!$A$2:$A$101,0))</f>
        <v>Football</v>
      </c>
      <c r="F919" s="1" t="str">
        <f aca="false">INDEX(Products!$C$2:$C$101,MATCH(D919,Products!$A$2:$A$101,0))</f>
        <v>Sports &amp; Outdoors</v>
      </c>
      <c r="G919" s="6" t="n">
        <f aca="false">Orders!E919</f>
        <v>1</v>
      </c>
      <c r="H919" s="16" t="n">
        <f aca="false">INDEX(Products!$D$2:$D$101,MATCH(D919,Products!$A$2:$A$101,0))</f>
        <v>699</v>
      </c>
      <c r="I919" s="16" t="n">
        <f aca="false">INDEX(Products!$E$2:$E$101,MATCH(D919,Products!$A$2:$A$101,0))</f>
        <v>300</v>
      </c>
      <c r="J919" s="20" t="n">
        <f aca="false">Orders!F919</f>
        <v>0.1</v>
      </c>
      <c r="K919" s="6" t="n">
        <f aca="false">G919*H919</f>
        <v>699</v>
      </c>
      <c r="L919" s="6" t="n">
        <f aca="false">K919*J919</f>
        <v>69.9</v>
      </c>
      <c r="M919" s="6" t="n">
        <f aca="false">K919-L919</f>
        <v>629.1</v>
      </c>
      <c r="N919" s="6" t="n">
        <f aca="false">G919*I919</f>
        <v>300</v>
      </c>
      <c r="O919" s="6" t="n">
        <f aca="false">M919-N919</f>
        <v>329.1</v>
      </c>
      <c r="P919" s="21" t="n">
        <f aca="false">IFERROR(O919/M919,0)</f>
        <v>0.523128278493085</v>
      </c>
      <c r="Q919" s="6" t="str">
        <f aca="false">Orders!H919</f>
        <v>Processing</v>
      </c>
      <c r="R919" s="1" t="str">
        <f aca="false">INDEX(Customers!$C$2:$C$301,MATCH(C919,Customers!$A$2:$A$301,0))</f>
        <v>Chennai</v>
      </c>
      <c r="S919" s="1" t="str">
        <f aca="false">INDEX(Customers!$E$2:$E$301,MATCH(C919,Customers!$A$2:$A$301,0))</f>
        <v>Returning</v>
      </c>
      <c r="T919" s="6" t="str">
        <f aca="false">Orders!I919</f>
        <v>Marketplace</v>
      </c>
      <c r="U919" s="1" t="str">
        <f aca="false">IF(Q919="Delivered","Completed",IF(Q919="Cancelled","Cancelled",IF(Q919="Returned","Returned","In Progress")))</f>
        <v>In Progress</v>
      </c>
      <c r="V919" s="1" t="str">
        <f aca="false">IF(M919&gt;=10000,"High Value",IF(M919&gt;=5000,"Medium Value","Low Value"))</f>
        <v>Low Value</v>
      </c>
      <c r="W919" s="1" t="str">
        <f aca="false">IF(O919&gt;0,"Profitable",IF(O919=0,"Break-even","Loss"))</f>
        <v>Profitable</v>
      </c>
      <c r="X919" s="1" t="str">
        <f aca="false">IF(Q919="Cancelled","Not Applicable",IF(Q919="Processing","Pending",IF(B919="","Unknown",IF(Orders!J919="","Unknown",IF(Orders!J919&lt;=3,"Fast",IF(Orders!J919&lt;=6,"Standard","Slow"))))))</f>
        <v>Pending</v>
      </c>
      <c r="Y919" s="1" t="n">
        <f aca="false">IF(OR(Q919="Cancelled",Q919="Returned"),0,O919)</f>
        <v>329.1</v>
      </c>
    </row>
    <row r="920" customFormat="false" ht="15" hidden="false" customHeight="false" outlineLevel="0" collapsed="false">
      <c r="A920" s="6" t="str">
        <f aca="false">Orders!A920</f>
        <v>O000919</v>
      </c>
      <c r="B920" s="19" t="n">
        <f aca="false">Orders!B920</f>
        <v>45906</v>
      </c>
      <c r="C920" s="6" t="str">
        <f aca="false">Orders!C920</f>
        <v>C0219</v>
      </c>
      <c r="D920" s="6" t="str">
        <f aca="false">Orders!D920</f>
        <v>P1068</v>
      </c>
      <c r="E920" s="6" t="str">
        <f aca="false">INDEX(Products!$B$2:$B$101,MATCH(D920,Products!$A$2:$A$101,0))</f>
        <v>Cycling Bottle</v>
      </c>
      <c r="F920" s="1" t="str">
        <f aca="false">INDEX(Products!$C$2:$C$101,MATCH(D920,Products!$A$2:$A$101,0))</f>
        <v>Sports &amp; Outdoors</v>
      </c>
      <c r="G920" s="6" t="n">
        <f aca="false">Orders!E920</f>
        <v>1</v>
      </c>
      <c r="H920" s="16" t="n">
        <f aca="false">INDEX(Products!$D$2:$D$101,MATCH(D920,Products!$A$2:$A$101,0))</f>
        <v>349</v>
      </c>
      <c r="I920" s="16" t="n">
        <f aca="false">INDEX(Products!$E$2:$E$101,MATCH(D920,Products!$A$2:$A$101,0))</f>
        <v>120</v>
      </c>
      <c r="J920" s="20" t="n">
        <f aca="false">Orders!F920</f>
        <v>0.05</v>
      </c>
      <c r="K920" s="6" t="n">
        <f aca="false">G920*H920</f>
        <v>349</v>
      </c>
      <c r="L920" s="6" t="n">
        <f aca="false">K920*J920</f>
        <v>17.45</v>
      </c>
      <c r="M920" s="6" t="n">
        <f aca="false">K920-L920</f>
        <v>331.55</v>
      </c>
      <c r="N920" s="6" t="n">
        <f aca="false">G920*I920</f>
        <v>120</v>
      </c>
      <c r="O920" s="6" t="n">
        <f aca="false">M920-N920</f>
        <v>211.55</v>
      </c>
      <c r="P920" s="21" t="n">
        <f aca="false">IFERROR(O920/M920,0)</f>
        <v>0.63806364047655</v>
      </c>
      <c r="Q920" s="6" t="str">
        <f aca="false">Orders!H920</f>
        <v>Returned</v>
      </c>
      <c r="R920" s="1" t="str">
        <f aca="false">INDEX(Customers!$C$2:$C$301,MATCH(C920,Customers!$A$2:$A$301,0))</f>
        <v>Coimbatore</v>
      </c>
      <c r="S920" s="1" t="str">
        <f aca="false">INDEX(Customers!$E$2:$E$301,MATCH(C920,Customers!$A$2:$A$301,0))</f>
        <v>New</v>
      </c>
      <c r="T920" s="6" t="str">
        <f aca="false">Orders!I920</f>
        <v>Mobile App</v>
      </c>
      <c r="U920" s="1" t="str">
        <f aca="false">IF(Q920="Delivered","Completed",IF(Q920="Cancelled","Cancelled",IF(Q920="Returned","Returned","In Progress")))</f>
        <v>Returned</v>
      </c>
      <c r="V920" s="1" t="str">
        <f aca="false">IF(M920&gt;=10000,"High Value",IF(M920&gt;=5000,"Medium Value","Low Value"))</f>
        <v>Low Value</v>
      </c>
      <c r="W920" s="1" t="str">
        <f aca="false">IF(O920&gt;0,"Profitable",IF(O920=0,"Break-even","Loss"))</f>
        <v>Profitable</v>
      </c>
      <c r="X920" s="1" t="str">
        <f aca="false">IF(Q920="Cancelled","Not Applicable",IF(Q920="Processing","Pending",IF(B920="","Unknown",IF(Orders!J920="","Unknown",IF(Orders!J920&lt;=3,"Fast",IF(Orders!J920&lt;=6,"Standard","Slow"))))))</f>
        <v>Fast</v>
      </c>
      <c r="Y920" s="1" t="n">
        <f aca="false">IF(OR(Q920="Cancelled",Q920="Returned"),0,O920)</f>
        <v>0</v>
      </c>
    </row>
    <row r="921" customFormat="false" ht="15" hidden="false" customHeight="false" outlineLevel="0" collapsed="false">
      <c r="A921" s="6" t="str">
        <f aca="false">Orders!A921</f>
        <v>O000920</v>
      </c>
      <c r="B921" s="19" t="n">
        <f aca="false">Orders!B921</f>
        <v>45665</v>
      </c>
      <c r="C921" s="6" t="str">
        <f aca="false">Orders!C921</f>
        <v>C0057</v>
      </c>
      <c r="D921" s="6" t="str">
        <f aca="false">Orders!D921</f>
        <v>P1096</v>
      </c>
      <c r="E921" s="6" t="str">
        <f aca="false">INDEX(Products!$B$2:$B$101,MATCH(D921,Products!$A$2:$A$101,0))</f>
        <v>Air Fryer</v>
      </c>
      <c r="F921" s="1" t="str">
        <f aca="false">INDEX(Products!$C$2:$C$101,MATCH(D921,Products!$A$2:$A$101,0))</f>
        <v>Appliances</v>
      </c>
      <c r="G921" s="6" t="n">
        <f aca="false">Orders!E921</f>
        <v>1</v>
      </c>
      <c r="H921" s="16" t="n">
        <f aca="false">INDEX(Products!$D$2:$D$101,MATCH(D921,Products!$A$2:$A$101,0))</f>
        <v>3999</v>
      </c>
      <c r="I921" s="16" t="n">
        <f aca="false">INDEX(Products!$E$2:$E$101,MATCH(D921,Products!$A$2:$A$101,0))</f>
        <v>2700</v>
      </c>
      <c r="J921" s="20" t="n">
        <f aca="false">Orders!F921</f>
        <v>0</v>
      </c>
      <c r="K921" s="6" t="n">
        <f aca="false">G921*H921</f>
        <v>3999</v>
      </c>
      <c r="L921" s="6" t="n">
        <f aca="false">K921*J921</f>
        <v>0</v>
      </c>
      <c r="M921" s="6" t="n">
        <f aca="false">K921-L921</f>
        <v>3999</v>
      </c>
      <c r="N921" s="6" t="n">
        <f aca="false">G921*I921</f>
        <v>2700</v>
      </c>
      <c r="O921" s="6" t="n">
        <f aca="false">M921-N921</f>
        <v>1299</v>
      </c>
      <c r="P921" s="21" t="n">
        <f aca="false">IFERROR(O921/M921,0)</f>
        <v>0.32483120780195</v>
      </c>
      <c r="Q921" s="6" t="str">
        <f aca="false">Orders!H921</f>
        <v>Delivered</v>
      </c>
      <c r="R921" s="1" t="str">
        <f aca="false">INDEX(Customers!$C$2:$C$301,MATCH(C921,Customers!$A$2:$A$301,0))</f>
        <v>Surat</v>
      </c>
      <c r="S921" s="1" t="str">
        <f aca="false">INDEX(Customers!$E$2:$E$301,MATCH(C921,Customers!$A$2:$A$301,0))</f>
        <v>Returning</v>
      </c>
      <c r="T921" s="6" t="str">
        <f aca="false">Orders!I921</f>
        <v>Marketplace</v>
      </c>
      <c r="U921" s="1" t="str">
        <f aca="false">IF(Q921="Delivered","Completed",IF(Q921="Cancelled","Cancelled",IF(Q921="Returned","Returned","In Progress")))</f>
        <v>Completed</v>
      </c>
      <c r="V921" s="1" t="str">
        <f aca="false">IF(M921&gt;=10000,"High Value",IF(M921&gt;=5000,"Medium Value","Low Value"))</f>
        <v>Low Value</v>
      </c>
      <c r="W921" s="1" t="str">
        <f aca="false">IF(O921&gt;0,"Profitable",IF(O921=0,"Break-even","Loss"))</f>
        <v>Profitable</v>
      </c>
      <c r="X921" s="1" t="str">
        <f aca="false">IF(Q921="Cancelled","Not Applicable",IF(Q921="Processing","Pending",IF(B921="","Unknown",IF(Orders!J921="","Unknown",IF(Orders!J921&lt;=3,"Fast",IF(Orders!J921&lt;=6,"Standard","Slow"))))))</f>
        <v>Slow</v>
      </c>
      <c r="Y921" s="1" t="n">
        <f aca="false">IF(OR(Q921="Cancelled",Q921="Returned"),0,O921)</f>
        <v>1299</v>
      </c>
    </row>
    <row r="922" customFormat="false" ht="15" hidden="false" customHeight="false" outlineLevel="0" collapsed="false">
      <c r="A922" s="6" t="str">
        <f aca="false">Orders!A922</f>
        <v>O000921</v>
      </c>
      <c r="B922" s="19" t="n">
        <f aca="false">Orders!B922</f>
        <v>45935</v>
      </c>
      <c r="C922" s="6" t="str">
        <f aca="false">Orders!C922</f>
        <v>C0174</v>
      </c>
      <c r="D922" s="6" t="str">
        <f aca="false">Orders!D922</f>
        <v>P1028</v>
      </c>
      <c r="E922" s="6" t="str">
        <f aca="false">INDEX(Products!$B$2:$B$101,MATCH(D922,Products!$A$2:$A$101,0))</f>
        <v>Sneakers</v>
      </c>
      <c r="F922" s="1" t="str">
        <f aca="false">INDEX(Products!$C$2:$C$101,MATCH(D922,Products!$A$2:$A$101,0))</f>
        <v>Fashion</v>
      </c>
      <c r="G922" s="6" t="n">
        <f aca="false">Orders!E922</f>
        <v>2</v>
      </c>
      <c r="H922" s="16" t="n">
        <f aca="false">INDEX(Products!$D$2:$D$101,MATCH(D922,Products!$A$2:$A$101,0))</f>
        <v>1799</v>
      </c>
      <c r="I922" s="16" t="n">
        <f aca="false">INDEX(Products!$E$2:$E$101,MATCH(D922,Products!$A$2:$A$101,0))</f>
        <v>950</v>
      </c>
      <c r="J922" s="20" t="n">
        <f aca="false">Orders!F922</f>
        <v>0</v>
      </c>
      <c r="K922" s="6" t="n">
        <f aca="false">G922*H922</f>
        <v>3598</v>
      </c>
      <c r="L922" s="6" t="n">
        <f aca="false">K922*J922</f>
        <v>0</v>
      </c>
      <c r="M922" s="6" t="n">
        <f aca="false">K922-L922</f>
        <v>3598</v>
      </c>
      <c r="N922" s="6" t="n">
        <f aca="false">G922*I922</f>
        <v>1900</v>
      </c>
      <c r="O922" s="6" t="n">
        <f aca="false">M922-N922</f>
        <v>1698</v>
      </c>
      <c r="P922" s="21" t="n">
        <f aca="false">IFERROR(O922/M922,0)</f>
        <v>0.471928849360756</v>
      </c>
      <c r="Q922" s="6" t="str">
        <f aca="false">Orders!H922</f>
        <v>Delivered</v>
      </c>
      <c r="R922" s="1" t="str">
        <f aca="false">INDEX(Customers!$C$2:$C$301,MATCH(C922,Customers!$A$2:$A$301,0))</f>
        <v>Indore</v>
      </c>
      <c r="S922" s="1" t="str">
        <f aca="false">INDEX(Customers!$E$2:$E$301,MATCH(C922,Customers!$A$2:$A$301,0))</f>
        <v>VIP</v>
      </c>
      <c r="T922" s="6" t="str">
        <f aca="false">Orders!I922</f>
        <v>Mobile App</v>
      </c>
      <c r="U922" s="1" t="str">
        <f aca="false">IF(Q922="Delivered","Completed",IF(Q922="Cancelled","Cancelled",IF(Q922="Returned","Returned","In Progress")))</f>
        <v>Completed</v>
      </c>
      <c r="V922" s="1" t="str">
        <f aca="false">IF(M922&gt;=10000,"High Value",IF(M922&gt;=5000,"Medium Value","Low Value"))</f>
        <v>Low Value</v>
      </c>
      <c r="W922" s="1" t="str">
        <f aca="false">IF(O922&gt;0,"Profitable",IF(O922=0,"Break-even","Loss"))</f>
        <v>Profitable</v>
      </c>
      <c r="X922" s="1" t="str">
        <f aca="false">IF(Q922="Cancelled","Not Applicable",IF(Q922="Processing","Pending",IF(B922="","Unknown",IF(Orders!J922="","Unknown",IF(Orders!J922&lt;=3,"Fast",IF(Orders!J922&lt;=6,"Standard","Slow"))))))</f>
        <v>Slow</v>
      </c>
      <c r="Y922" s="1" t="n">
        <f aca="false">IF(OR(Q922="Cancelled",Q922="Returned"),0,O922)</f>
        <v>1698</v>
      </c>
    </row>
    <row r="923" customFormat="false" ht="15" hidden="false" customHeight="false" outlineLevel="0" collapsed="false">
      <c r="A923" s="6" t="str">
        <f aca="false">Orders!A923</f>
        <v>O000922</v>
      </c>
      <c r="B923" s="19" t="n">
        <f aca="false">Orders!B923</f>
        <v>45697</v>
      </c>
      <c r="C923" s="6" t="str">
        <f aca="false">Orders!C923</f>
        <v>C0241</v>
      </c>
      <c r="D923" s="6" t="str">
        <f aca="false">Orders!D923</f>
        <v>P1044</v>
      </c>
      <c r="E923" s="6" t="str">
        <f aca="false">INDEX(Products!$B$2:$B$101,MATCH(D923,Products!$A$2:$A$101,0))</f>
        <v>Doormat</v>
      </c>
      <c r="F923" s="1" t="str">
        <f aca="false">INDEX(Products!$C$2:$C$101,MATCH(D923,Products!$A$2:$A$101,0))</f>
        <v>Home &amp; Kitchen</v>
      </c>
      <c r="G923" s="6" t="n">
        <f aca="false">Orders!E923</f>
        <v>1</v>
      </c>
      <c r="H923" s="16" t="n">
        <f aca="false">INDEX(Products!$D$2:$D$101,MATCH(D923,Products!$A$2:$A$101,0))</f>
        <v>299</v>
      </c>
      <c r="I923" s="16" t="n">
        <f aca="false">INDEX(Products!$E$2:$E$101,MATCH(D923,Products!$A$2:$A$101,0))</f>
        <v>100</v>
      </c>
      <c r="J923" s="20" t="n">
        <f aca="false">Orders!F923</f>
        <v>0.05</v>
      </c>
      <c r="K923" s="6" t="n">
        <f aca="false">G923*H923</f>
        <v>299</v>
      </c>
      <c r="L923" s="6" t="n">
        <f aca="false">K923*J923</f>
        <v>14.95</v>
      </c>
      <c r="M923" s="6" t="n">
        <f aca="false">K923-L923</f>
        <v>284.05</v>
      </c>
      <c r="N923" s="6" t="n">
        <f aca="false">G923*I923</f>
        <v>100</v>
      </c>
      <c r="O923" s="6" t="n">
        <f aca="false">M923-N923</f>
        <v>184.05</v>
      </c>
      <c r="P923" s="21" t="n">
        <f aca="false">IFERROR(O923/M923,0)</f>
        <v>0.647949304699877</v>
      </c>
      <c r="Q923" s="6" t="str">
        <f aca="false">Orders!H923</f>
        <v>Delivered</v>
      </c>
      <c r="R923" s="1" t="str">
        <f aca="false">INDEX(Customers!$C$2:$C$301,MATCH(C923,Customers!$A$2:$A$301,0))</f>
        <v>Delhi</v>
      </c>
      <c r="S923" s="1" t="str">
        <f aca="false">INDEX(Customers!$E$2:$E$301,MATCH(C923,Customers!$A$2:$A$301,0))</f>
        <v>Returning</v>
      </c>
      <c r="T923" s="6" t="str">
        <f aca="false">Orders!I923</f>
        <v>Marketplace</v>
      </c>
      <c r="U923" s="1" t="str">
        <f aca="false">IF(Q923="Delivered","Completed",IF(Q923="Cancelled","Cancelled",IF(Q923="Returned","Returned","In Progress")))</f>
        <v>Completed</v>
      </c>
      <c r="V923" s="1" t="str">
        <f aca="false">IF(M923&gt;=10000,"High Value",IF(M923&gt;=5000,"Medium Value","Low Value"))</f>
        <v>Low Value</v>
      </c>
      <c r="W923" s="1" t="str">
        <f aca="false">IF(O923&gt;0,"Profitable",IF(O923=0,"Break-even","Loss"))</f>
        <v>Profitable</v>
      </c>
      <c r="X923" s="1" t="str">
        <f aca="false">IF(Q923="Cancelled","Not Applicable",IF(Q923="Processing","Pending",IF(B923="","Unknown",IF(Orders!J923="","Unknown",IF(Orders!J923&lt;=3,"Fast",IF(Orders!J923&lt;=6,"Standard","Slow"))))))</f>
        <v>Standard</v>
      </c>
      <c r="Y923" s="1" t="n">
        <f aca="false">IF(OR(Q923="Cancelled",Q923="Returned"),0,O923)</f>
        <v>184.05</v>
      </c>
    </row>
    <row r="924" customFormat="false" ht="23.85" hidden="false" customHeight="false" outlineLevel="0" collapsed="false">
      <c r="A924" s="6" t="str">
        <f aca="false">Orders!A924</f>
        <v>O000923</v>
      </c>
      <c r="B924" s="19" t="n">
        <f aca="false">Orders!B924</f>
        <v>45833</v>
      </c>
      <c r="C924" s="6" t="str">
        <f aca="false">Orders!C924</f>
        <v>C0043</v>
      </c>
      <c r="D924" s="6" t="str">
        <f aca="false">Orders!D924</f>
        <v>P1001</v>
      </c>
      <c r="E924" s="6" t="str">
        <f aca="false">INDEX(Products!$B$2:$B$101,MATCH(D924,Products!$A$2:$A$101,0))</f>
        <v>Wireless Earbuds</v>
      </c>
      <c r="F924" s="1" t="str">
        <f aca="false">INDEX(Products!$C$2:$C$101,MATCH(D924,Products!$A$2:$A$101,0))</f>
        <v>Electronics</v>
      </c>
      <c r="G924" s="6" t="n">
        <f aca="false">Orders!E924</f>
        <v>2</v>
      </c>
      <c r="H924" s="16" t="n">
        <f aca="false">INDEX(Products!$D$2:$D$101,MATCH(D924,Products!$A$2:$A$101,0))</f>
        <v>899</v>
      </c>
      <c r="I924" s="16" t="n">
        <f aca="false">INDEX(Products!$E$2:$E$101,MATCH(D924,Products!$A$2:$A$101,0))</f>
        <v>499</v>
      </c>
      <c r="J924" s="20" t="n">
        <f aca="false">Orders!F924</f>
        <v>0.25</v>
      </c>
      <c r="K924" s="6" t="n">
        <f aca="false">G924*H924</f>
        <v>1798</v>
      </c>
      <c r="L924" s="6" t="n">
        <f aca="false">K924*J924</f>
        <v>449.5</v>
      </c>
      <c r="M924" s="6" t="n">
        <f aca="false">K924-L924</f>
        <v>1348.5</v>
      </c>
      <c r="N924" s="6" t="n">
        <f aca="false">G924*I924</f>
        <v>998</v>
      </c>
      <c r="O924" s="6" t="n">
        <f aca="false">M924-N924</f>
        <v>350.5</v>
      </c>
      <c r="P924" s="21" t="n">
        <f aca="false">IFERROR(O924/M924,0)</f>
        <v>0.259918427882833</v>
      </c>
      <c r="Q924" s="6" t="str">
        <f aca="false">Orders!H924</f>
        <v>Delivered</v>
      </c>
      <c r="R924" s="1" t="str">
        <f aca="false">INDEX(Customers!$C$2:$C$301,MATCH(C924,Customers!$A$2:$A$301,0))</f>
        <v>Bengaluru</v>
      </c>
      <c r="S924" s="1" t="str">
        <f aca="false">INDEX(Customers!$E$2:$E$301,MATCH(C924,Customers!$A$2:$A$301,0))</f>
        <v>New</v>
      </c>
      <c r="T924" s="6" t="str">
        <f aca="false">Orders!I924</f>
        <v>Website</v>
      </c>
      <c r="U924" s="1" t="str">
        <f aca="false">IF(Q924="Delivered","Completed",IF(Q924="Cancelled","Cancelled",IF(Q924="Returned","Returned","In Progress")))</f>
        <v>Completed</v>
      </c>
      <c r="V924" s="1" t="str">
        <f aca="false">IF(M924&gt;=10000,"High Value",IF(M924&gt;=5000,"Medium Value","Low Value"))</f>
        <v>Low Value</v>
      </c>
      <c r="W924" s="1" t="str">
        <f aca="false">IF(O924&gt;0,"Profitable",IF(O924=0,"Break-even","Loss"))</f>
        <v>Profitable</v>
      </c>
      <c r="X924" s="1" t="str">
        <f aca="false">IF(Q924="Cancelled","Not Applicable",IF(Q924="Processing","Pending",IF(B924="","Unknown",IF(Orders!J924="","Unknown",IF(Orders!J924&lt;=3,"Fast",IF(Orders!J924&lt;=6,"Standard","Slow"))))))</f>
        <v>Standard</v>
      </c>
      <c r="Y924" s="1" t="n">
        <f aca="false">IF(OR(Q924="Cancelled",Q924="Returned"),0,O924)</f>
        <v>350.5</v>
      </c>
    </row>
    <row r="925" customFormat="false" ht="23.85" hidden="false" customHeight="false" outlineLevel="0" collapsed="false">
      <c r="A925" s="6" t="str">
        <f aca="false">Orders!A925</f>
        <v>O000924</v>
      </c>
      <c r="B925" s="19" t="n">
        <f aca="false">Orders!B925</f>
        <v>45894</v>
      </c>
      <c r="C925" s="6" t="str">
        <f aca="false">Orders!C925</f>
        <v>C0111</v>
      </c>
      <c r="D925" s="6" t="str">
        <f aca="false">Orders!D925</f>
        <v>P1047</v>
      </c>
      <c r="E925" s="6" t="str">
        <f aca="false">INDEX(Products!$B$2:$B$101,MATCH(D925,Products!$A$2:$A$101,0))</f>
        <v>Sunscreen Lotion</v>
      </c>
      <c r="F925" s="1" t="str">
        <f aca="false">INDEX(Products!$C$2:$C$101,MATCH(D925,Products!$A$2:$A$101,0))</f>
        <v>Beauty</v>
      </c>
      <c r="G925" s="6" t="n">
        <f aca="false">Orders!E925</f>
        <v>3</v>
      </c>
      <c r="H925" s="16" t="n">
        <f aca="false">INDEX(Products!$D$2:$D$101,MATCH(D925,Products!$A$2:$A$101,0))</f>
        <v>399</v>
      </c>
      <c r="I925" s="16" t="n">
        <f aca="false">INDEX(Products!$E$2:$E$101,MATCH(D925,Products!$A$2:$A$101,0))</f>
        <v>170</v>
      </c>
      <c r="J925" s="20" t="n">
        <f aca="false">Orders!F925</f>
        <v>0.05</v>
      </c>
      <c r="K925" s="6" t="n">
        <f aca="false">G925*H925</f>
        <v>1197</v>
      </c>
      <c r="L925" s="6" t="n">
        <f aca="false">K925*J925</f>
        <v>59.85</v>
      </c>
      <c r="M925" s="6" t="n">
        <f aca="false">K925-L925</f>
        <v>1137.15</v>
      </c>
      <c r="N925" s="6" t="n">
        <f aca="false">G925*I925</f>
        <v>510</v>
      </c>
      <c r="O925" s="6" t="n">
        <f aca="false">M925-N925</f>
        <v>627.15</v>
      </c>
      <c r="P925" s="21" t="n">
        <f aca="false">IFERROR(O925/M925,0)</f>
        <v>0.551510354834455</v>
      </c>
      <c r="Q925" s="6" t="str">
        <f aca="false">Orders!H925</f>
        <v>Delivered</v>
      </c>
      <c r="R925" s="1" t="str">
        <f aca="false">INDEX(Customers!$C$2:$C$301,MATCH(C925,Customers!$A$2:$A$301,0))</f>
        <v>Gurugram</v>
      </c>
      <c r="S925" s="1" t="str">
        <f aca="false">INDEX(Customers!$E$2:$E$301,MATCH(C925,Customers!$A$2:$A$301,0))</f>
        <v>Returning</v>
      </c>
      <c r="T925" s="6" t="str">
        <f aca="false">Orders!I925</f>
        <v>Mobile App</v>
      </c>
      <c r="U925" s="1" t="str">
        <f aca="false">IF(Q925="Delivered","Completed",IF(Q925="Cancelled","Cancelled",IF(Q925="Returned","Returned","In Progress")))</f>
        <v>Completed</v>
      </c>
      <c r="V925" s="1" t="str">
        <f aca="false">IF(M925&gt;=10000,"High Value",IF(M925&gt;=5000,"Medium Value","Low Value"))</f>
        <v>Low Value</v>
      </c>
      <c r="W925" s="1" t="str">
        <f aca="false">IF(O925&gt;0,"Profitable",IF(O925=0,"Break-even","Loss"))</f>
        <v>Profitable</v>
      </c>
      <c r="X925" s="1" t="str">
        <f aca="false">IF(Q925="Cancelled","Not Applicable",IF(Q925="Processing","Pending",IF(B925="","Unknown",IF(Orders!J925="","Unknown",IF(Orders!J925&lt;=3,"Fast",IF(Orders!J925&lt;=6,"Standard","Slow"))))))</f>
        <v>Fast</v>
      </c>
      <c r="Y925" s="1" t="n">
        <f aca="false">IF(OR(Q925="Cancelled",Q925="Returned"),0,O925)</f>
        <v>627.15</v>
      </c>
    </row>
    <row r="926" customFormat="false" ht="15" hidden="false" customHeight="false" outlineLevel="0" collapsed="false">
      <c r="A926" s="6" t="str">
        <f aca="false">Orders!A926</f>
        <v>O000925</v>
      </c>
      <c r="B926" s="19" t="n">
        <f aca="false">Orders!B926</f>
        <v>45798</v>
      </c>
      <c r="C926" s="6" t="str">
        <f aca="false">Orders!C926</f>
        <v>C0019</v>
      </c>
      <c r="D926" s="6" t="str">
        <f aca="false">Orders!D926</f>
        <v>P1080</v>
      </c>
      <c r="E926" s="6" t="str">
        <f aca="false">INDEX(Products!$B$2:$B$101,MATCH(D926,Products!$A$2:$A$101,0))</f>
        <v>Calculator</v>
      </c>
      <c r="F926" s="1" t="str">
        <f aca="false">INDEX(Products!$C$2:$C$101,MATCH(D926,Products!$A$2:$A$101,0))</f>
        <v>Books &amp; Stationery</v>
      </c>
      <c r="G926" s="6" t="n">
        <f aca="false">Orders!E926</f>
        <v>1</v>
      </c>
      <c r="H926" s="16" t="n">
        <f aca="false">INDEX(Products!$D$2:$D$101,MATCH(D926,Products!$A$2:$A$101,0))</f>
        <v>599</v>
      </c>
      <c r="I926" s="16" t="n">
        <f aca="false">INDEX(Products!$E$2:$E$101,MATCH(D926,Products!$A$2:$A$101,0))</f>
        <v>300</v>
      </c>
      <c r="J926" s="20" t="n">
        <f aca="false">Orders!F926</f>
        <v>0.1</v>
      </c>
      <c r="K926" s="6" t="n">
        <f aca="false">G926*H926</f>
        <v>599</v>
      </c>
      <c r="L926" s="6" t="n">
        <f aca="false">K926*J926</f>
        <v>59.9</v>
      </c>
      <c r="M926" s="6" t="n">
        <f aca="false">K926-L926</f>
        <v>539.1</v>
      </c>
      <c r="N926" s="6" t="n">
        <f aca="false">G926*I926</f>
        <v>300</v>
      </c>
      <c r="O926" s="6" t="n">
        <f aca="false">M926-N926</f>
        <v>239.1</v>
      </c>
      <c r="P926" s="21" t="n">
        <f aca="false">IFERROR(O926/M926,0)</f>
        <v>0.443516972732332</v>
      </c>
      <c r="Q926" s="6" t="str">
        <f aca="false">Orders!H926</f>
        <v>Delivered</v>
      </c>
      <c r="R926" s="1" t="str">
        <f aca="false">INDEX(Customers!$C$2:$C$301,MATCH(C926,Customers!$A$2:$A$301,0))</f>
        <v>Coimbatore</v>
      </c>
      <c r="S926" s="1" t="str">
        <f aca="false">INDEX(Customers!$E$2:$E$301,MATCH(C926,Customers!$A$2:$A$301,0))</f>
        <v>New</v>
      </c>
      <c r="T926" s="6" t="str">
        <f aca="false">Orders!I926</f>
        <v>Mobile App</v>
      </c>
      <c r="U926" s="1" t="str">
        <f aca="false">IF(Q926="Delivered","Completed",IF(Q926="Cancelled","Cancelled",IF(Q926="Returned","Returned","In Progress")))</f>
        <v>Completed</v>
      </c>
      <c r="V926" s="1" t="str">
        <f aca="false">IF(M926&gt;=10000,"High Value",IF(M926&gt;=5000,"Medium Value","Low Value"))</f>
        <v>Low Value</v>
      </c>
      <c r="W926" s="1" t="str">
        <f aca="false">IF(O926&gt;0,"Profitable",IF(O926=0,"Break-even","Loss"))</f>
        <v>Profitable</v>
      </c>
      <c r="X926" s="1" t="str">
        <f aca="false">IF(Q926="Cancelled","Not Applicable",IF(Q926="Processing","Pending",IF(B926="","Unknown",IF(Orders!J926="","Unknown",IF(Orders!J926&lt;=3,"Fast",IF(Orders!J926&lt;=6,"Standard","Slow"))))))</f>
        <v>Standard</v>
      </c>
      <c r="Y926" s="1" t="n">
        <f aca="false">IF(OR(Q926="Cancelled",Q926="Returned"),0,O926)</f>
        <v>239.1</v>
      </c>
    </row>
    <row r="927" customFormat="false" ht="15" hidden="false" customHeight="false" outlineLevel="0" collapsed="false">
      <c r="A927" s="6" t="str">
        <f aca="false">Orders!A927</f>
        <v>O000926</v>
      </c>
      <c r="B927" s="19" t="n">
        <f aca="false">Orders!B927</f>
        <v>45922</v>
      </c>
      <c r="C927" s="6" t="str">
        <f aca="false">Orders!C927</f>
        <v>C0292</v>
      </c>
      <c r="D927" s="6" t="str">
        <f aca="false">Orders!D927</f>
        <v>P1028</v>
      </c>
      <c r="E927" s="6" t="str">
        <f aca="false">INDEX(Products!$B$2:$B$101,MATCH(D927,Products!$A$2:$A$101,0))</f>
        <v>Sneakers</v>
      </c>
      <c r="F927" s="1" t="str">
        <f aca="false">INDEX(Products!$C$2:$C$101,MATCH(D927,Products!$A$2:$A$101,0))</f>
        <v>Fashion</v>
      </c>
      <c r="G927" s="6" t="n">
        <f aca="false">Orders!E927</f>
        <v>2</v>
      </c>
      <c r="H927" s="16" t="n">
        <f aca="false">INDEX(Products!$D$2:$D$101,MATCH(D927,Products!$A$2:$A$101,0))</f>
        <v>1799</v>
      </c>
      <c r="I927" s="16" t="n">
        <f aca="false">INDEX(Products!$E$2:$E$101,MATCH(D927,Products!$A$2:$A$101,0))</f>
        <v>950</v>
      </c>
      <c r="J927" s="20" t="n">
        <f aca="false">Orders!F927</f>
        <v>0</v>
      </c>
      <c r="K927" s="6" t="n">
        <f aca="false">G927*H927</f>
        <v>3598</v>
      </c>
      <c r="L927" s="6" t="n">
        <f aca="false">K927*J927</f>
        <v>0</v>
      </c>
      <c r="M927" s="6" t="n">
        <f aca="false">K927-L927</f>
        <v>3598</v>
      </c>
      <c r="N927" s="6" t="n">
        <f aca="false">G927*I927</f>
        <v>1900</v>
      </c>
      <c r="O927" s="6" t="n">
        <f aca="false">M927-N927</f>
        <v>1698</v>
      </c>
      <c r="P927" s="21" t="n">
        <f aca="false">IFERROR(O927/M927,0)</f>
        <v>0.471928849360756</v>
      </c>
      <c r="Q927" s="6" t="str">
        <f aca="false">Orders!H927</f>
        <v>Delivered</v>
      </c>
      <c r="R927" s="1" t="str">
        <f aca="false">INDEX(Customers!$C$2:$C$301,MATCH(C927,Customers!$A$2:$A$301,0))</f>
        <v>Noida</v>
      </c>
      <c r="S927" s="1" t="str">
        <f aca="false">INDEX(Customers!$E$2:$E$301,MATCH(C927,Customers!$A$2:$A$301,0))</f>
        <v>New</v>
      </c>
      <c r="T927" s="6" t="str">
        <f aca="false">Orders!I927</f>
        <v>Mobile App</v>
      </c>
      <c r="U927" s="1" t="str">
        <f aca="false">IF(Q927="Delivered","Completed",IF(Q927="Cancelled","Cancelled",IF(Q927="Returned","Returned","In Progress")))</f>
        <v>Completed</v>
      </c>
      <c r="V927" s="1" t="str">
        <f aca="false">IF(M927&gt;=10000,"High Value",IF(M927&gt;=5000,"Medium Value","Low Value"))</f>
        <v>Low Value</v>
      </c>
      <c r="W927" s="1" t="str">
        <f aca="false">IF(O927&gt;0,"Profitable",IF(O927=0,"Break-even","Loss"))</f>
        <v>Profitable</v>
      </c>
      <c r="X927" s="1" t="str">
        <f aca="false">IF(Q927="Cancelled","Not Applicable",IF(Q927="Processing","Pending",IF(B927="","Unknown",IF(Orders!J927="","Unknown",IF(Orders!J927&lt;=3,"Fast",IF(Orders!J927&lt;=6,"Standard","Slow"))))))</f>
        <v>Slow</v>
      </c>
      <c r="Y927" s="1" t="n">
        <f aca="false">IF(OR(Q927="Cancelled",Q927="Returned"),0,O927)</f>
        <v>1698</v>
      </c>
    </row>
    <row r="928" customFormat="false" ht="15" hidden="false" customHeight="false" outlineLevel="0" collapsed="false">
      <c r="A928" s="6" t="str">
        <f aca="false">Orders!A928</f>
        <v>O000927</v>
      </c>
      <c r="B928" s="19" t="n">
        <f aca="false">Orders!B928</f>
        <v>45723</v>
      </c>
      <c r="C928" s="6" t="str">
        <f aca="false">Orders!C928</f>
        <v>C0255</v>
      </c>
      <c r="D928" s="6" t="str">
        <f aca="false">Orders!D928</f>
        <v>P1011</v>
      </c>
      <c r="E928" s="6" t="str">
        <f aca="false">INDEX(Products!$B$2:$B$101,MATCH(D928,Products!$A$2:$A$101,0))</f>
        <v>Headphones</v>
      </c>
      <c r="F928" s="1" t="str">
        <f aca="false">INDEX(Products!$C$2:$C$101,MATCH(D928,Products!$A$2:$A$101,0))</f>
        <v>Electronics</v>
      </c>
      <c r="G928" s="6" t="n">
        <f aca="false">Orders!E928</f>
        <v>1</v>
      </c>
      <c r="H928" s="16" t="n">
        <f aca="false">INDEX(Products!$D$2:$D$101,MATCH(D928,Products!$A$2:$A$101,0))</f>
        <v>1599</v>
      </c>
      <c r="I928" s="16" t="n">
        <f aca="false">INDEX(Products!$E$2:$E$101,MATCH(D928,Products!$A$2:$A$101,0))</f>
        <v>900</v>
      </c>
      <c r="J928" s="20" t="n">
        <f aca="false">Orders!F928</f>
        <v>0.2</v>
      </c>
      <c r="K928" s="6" t="n">
        <f aca="false">G928*H928</f>
        <v>1599</v>
      </c>
      <c r="L928" s="6" t="n">
        <f aca="false">K928*J928</f>
        <v>319.8</v>
      </c>
      <c r="M928" s="6" t="n">
        <f aca="false">K928-L928</f>
        <v>1279.2</v>
      </c>
      <c r="N928" s="6" t="n">
        <f aca="false">G928*I928</f>
        <v>900</v>
      </c>
      <c r="O928" s="6" t="n">
        <f aca="false">M928-N928</f>
        <v>379.2</v>
      </c>
      <c r="P928" s="21" t="n">
        <f aca="false">IFERROR(O928/M928,0)</f>
        <v>0.296435272045028</v>
      </c>
      <c r="Q928" s="6" t="str">
        <f aca="false">Orders!H928</f>
        <v>Delivered</v>
      </c>
      <c r="R928" s="1" t="str">
        <f aca="false">INDEX(Customers!$C$2:$C$301,MATCH(C928,Customers!$A$2:$A$301,0))</f>
        <v>Bhopal</v>
      </c>
      <c r="S928" s="1" t="str">
        <f aca="false">INDEX(Customers!$E$2:$E$301,MATCH(C928,Customers!$A$2:$A$301,0))</f>
        <v>Returning</v>
      </c>
      <c r="T928" s="6" t="str">
        <f aca="false">Orders!I928</f>
        <v>Marketplace</v>
      </c>
      <c r="U928" s="1" t="str">
        <f aca="false">IF(Q928="Delivered","Completed",IF(Q928="Cancelled","Cancelled",IF(Q928="Returned","Returned","In Progress")))</f>
        <v>Completed</v>
      </c>
      <c r="V928" s="1" t="str">
        <f aca="false">IF(M928&gt;=10000,"High Value",IF(M928&gt;=5000,"Medium Value","Low Value"))</f>
        <v>Low Value</v>
      </c>
      <c r="W928" s="1" t="str">
        <f aca="false">IF(O928&gt;0,"Profitable",IF(O928=0,"Break-even","Loss"))</f>
        <v>Profitable</v>
      </c>
      <c r="X928" s="1" t="str">
        <f aca="false">IF(Q928="Cancelled","Not Applicable",IF(Q928="Processing","Pending",IF(B928="","Unknown",IF(Orders!J928="","Unknown",IF(Orders!J928&lt;=3,"Fast",IF(Orders!J928&lt;=6,"Standard","Slow"))))))</f>
        <v>Standard</v>
      </c>
      <c r="Y928" s="1" t="n">
        <f aca="false">IF(OR(Q928="Cancelled",Q928="Returned"),0,O928)</f>
        <v>379.2</v>
      </c>
    </row>
    <row r="929" customFormat="false" ht="15" hidden="false" customHeight="false" outlineLevel="0" collapsed="false">
      <c r="A929" s="6" t="str">
        <f aca="false">Orders!A929</f>
        <v>O000928</v>
      </c>
      <c r="B929" s="19" t="n">
        <f aca="false">Orders!B929</f>
        <v>45969</v>
      </c>
      <c r="C929" s="6" t="str">
        <f aca="false">Orders!C929</f>
        <v>C0160</v>
      </c>
      <c r="D929" s="6" t="str">
        <f aca="false">Orders!D929</f>
        <v>P1039</v>
      </c>
      <c r="E929" s="6" t="str">
        <f aca="false">INDEX(Products!$B$2:$B$101,MATCH(D929,Products!$A$2:$A$101,0))</f>
        <v>Wall Clock</v>
      </c>
      <c r="F929" s="1" t="str">
        <f aca="false">INDEX(Products!$C$2:$C$101,MATCH(D929,Products!$A$2:$A$101,0))</f>
        <v>Home &amp; Kitchen</v>
      </c>
      <c r="G929" s="6" t="n">
        <f aca="false">Orders!E929</f>
        <v>1</v>
      </c>
      <c r="H929" s="16" t="n">
        <f aca="false">INDEX(Products!$D$2:$D$101,MATCH(D929,Products!$A$2:$A$101,0))</f>
        <v>699</v>
      </c>
      <c r="I929" s="16" t="n">
        <f aca="false">INDEX(Products!$E$2:$E$101,MATCH(D929,Products!$A$2:$A$101,0))</f>
        <v>300</v>
      </c>
      <c r="J929" s="20" t="n">
        <f aca="false">Orders!F929</f>
        <v>0.05</v>
      </c>
      <c r="K929" s="6" t="n">
        <f aca="false">G929*H929</f>
        <v>699</v>
      </c>
      <c r="L929" s="6" t="n">
        <f aca="false">K929*J929</f>
        <v>34.95</v>
      </c>
      <c r="M929" s="6" t="n">
        <f aca="false">K929-L929</f>
        <v>664.05</v>
      </c>
      <c r="N929" s="6" t="n">
        <f aca="false">G929*I929</f>
        <v>300</v>
      </c>
      <c r="O929" s="6" t="n">
        <f aca="false">M929-N929</f>
        <v>364.05</v>
      </c>
      <c r="P929" s="21" t="n">
        <f aca="false">IFERROR(O929/M929,0)</f>
        <v>0.548226790151344</v>
      </c>
      <c r="Q929" s="6" t="str">
        <f aca="false">Orders!H929</f>
        <v>Shipped</v>
      </c>
      <c r="R929" s="1" t="str">
        <f aca="false">INDEX(Customers!$C$2:$C$301,MATCH(C929,Customers!$A$2:$A$301,0))</f>
        <v>Visakhapatnam</v>
      </c>
      <c r="S929" s="1" t="str">
        <f aca="false">INDEX(Customers!$E$2:$E$301,MATCH(C929,Customers!$A$2:$A$301,0))</f>
        <v>New</v>
      </c>
      <c r="T929" s="6" t="str">
        <f aca="false">Orders!I929</f>
        <v>Marketplace</v>
      </c>
      <c r="U929" s="1" t="str">
        <f aca="false">IF(Q929="Delivered","Completed",IF(Q929="Cancelled","Cancelled",IF(Q929="Returned","Returned","In Progress")))</f>
        <v>In Progress</v>
      </c>
      <c r="V929" s="1" t="str">
        <f aca="false">IF(M929&gt;=10000,"High Value",IF(M929&gt;=5000,"Medium Value","Low Value"))</f>
        <v>Low Value</v>
      </c>
      <c r="W929" s="1" t="str">
        <f aca="false">IF(O929&gt;0,"Profitable",IF(O929=0,"Break-even","Loss"))</f>
        <v>Profitable</v>
      </c>
      <c r="X929" s="1" t="str">
        <f aca="false">IF(Q929="Cancelled","Not Applicable",IF(Q929="Processing","Pending",IF(B929="","Unknown",IF(Orders!J929="","Unknown",IF(Orders!J929&lt;=3,"Fast",IF(Orders!J929&lt;=6,"Standard","Slow"))))))</f>
        <v>Standard</v>
      </c>
      <c r="Y929" s="1" t="n">
        <f aca="false">IF(OR(Q929="Cancelled",Q929="Returned"),0,O929)</f>
        <v>364.05</v>
      </c>
    </row>
    <row r="930" customFormat="false" ht="15" hidden="false" customHeight="false" outlineLevel="0" collapsed="false">
      <c r="A930" s="6" t="str">
        <f aca="false">Orders!A930</f>
        <v>O000929</v>
      </c>
      <c r="B930" s="19" t="n">
        <f aca="false">Orders!B930</f>
        <v>45985</v>
      </c>
      <c r="C930" s="6" t="str">
        <f aca="false">Orders!C930</f>
        <v>C0175</v>
      </c>
      <c r="D930" s="6" t="str">
        <f aca="false">Orders!D930</f>
        <v>P1035</v>
      </c>
      <c r="E930" s="6" t="str">
        <f aca="false">INDEX(Products!$B$2:$B$101,MATCH(D930,Products!$A$2:$A$101,0))</f>
        <v>Nonstick Pan</v>
      </c>
      <c r="F930" s="1" t="str">
        <f aca="false">INDEX(Products!$C$2:$C$101,MATCH(D930,Products!$A$2:$A$101,0))</f>
        <v>Home &amp; Kitchen</v>
      </c>
      <c r="G930" s="6" t="n">
        <f aca="false">Orders!E930</f>
        <v>3</v>
      </c>
      <c r="H930" s="16" t="n">
        <f aca="false">INDEX(Products!$D$2:$D$101,MATCH(D930,Products!$A$2:$A$101,0))</f>
        <v>999</v>
      </c>
      <c r="I930" s="16" t="n">
        <f aca="false">INDEX(Products!$E$2:$E$101,MATCH(D930,Products!$A$2:$A$101,0))</f>
        <v>520</v>
      </c>
      <c r="J930" s="20" t="n">
        <f aca="false">Orders!F930</f>
        <v>0.1</v>
      </c>
      <c r="K930" s="6" t="n">
        <f aca="false">G930*H930</f>
        <v>2997</v>
      </c>
      <c r="L930" s="6" t="n">
        <f aca="false">K930*J930</f>
        <v>299.7</v>
      </c>
      <c r="M930" s="6" t="n">
        <f aca="false">K930-L930</f>
        <v>2697.3</v>
      </c>
      <c r="N930" s="6" t="n">
        <f aca="false">G930*I930</f>
        <v>1560</v>
      </c>
      <c r="O930" s="6" t="n">
        <f aca="false">M930-N930</f>
        <v>1137.3</v>
      </c>
      <c r="P930" s="21" t="n">
        <f aca="false">IFERROR(O930/M930,0)</f>
        <v>0.421643866088311</v>
      </c>
      <c r="Q930" s="6" t="str">
        <f aca="false">Orders!H930</f>
        <v>Delivered</v>
      </c>
      <c r="R930" s="1" t="str">
        <f aca="false">INDEX(Customers!$C$2:$C$301,MATCH(C930,Customers!$A$2:$A$301,0))</f>
        <v>Bhopal</v>
      </c>
      <c r="S930" s="1" t="str">
        <f aca="false">INDEX(Customers!$E$2:$E$301,MATCH(C930,Customers!$A$2:$A$301,0))</f>
        <v>Returning</v>
      </c>
      <c r="T930" s="6" t="str">
        <f aca="false">Orders!I930</f>
        <v>Mobile App</v>
      </c>
      <c r="U930" s="1" t="str">
        <f aca="false">IF(Q930="Delivered","Completed",IF(Q930="Cancelled","Cancelled",IF(Q930="Returned","Returned","In Progress")))</f>
        <v>Completed</v>
      </c>
      <c r="V930" s="1" t="str">
        <f aca="false">IF(M930&gt;=10000,"High Value",IF(M930&gt;=5000,"Medium Value","Low Value"))</f>
        <v>Low Value</v>
      </c>
      <c r="W930" s="1" t="str">
        <f aca="false">IF(O930&gt;0,"Profitable",IF(O930=0,"Break-even","Loss"))</f>
        <v>Profitable</v>
      </c>
      <c r="X930" s="1" t="str">
        <f aca="false">IF(Q930="Cancelled","Not Applicable",IF(Q930="Processing","Pending",IF(B930="","Unknown",IF(Orders!J930="","Unknown",IF(Orders!J930&lt;=3,"Fast",IF(Orders!J930&lt;=6,"Standard","Slow"))))))</f>
        <v>Slow</v>
      </c>
      <c r="Y930" s="1" t="n">
        <f aca="false">IF(OR(Q930="Cancelled",Q930="Returned"),0,O930)</f>
        <v>1137.3</v>
      </c>
    </row>
    <row r="931" customFormat="false" ht="15" hidden="false" customHeight="false" outlineLevel="0" collapsed="false">
      <c r="A931" s="6" t="str">
        <f aca="false">Orders!A931</f>
        <v>O000930</v>
      </c>
      <c r="B931" s="19" t="n">
        <f aca="false">Orders!B931</f>
        <v>46001</v>
      </c>
      <c r="C931" s="6" t="str">
        <f aca="false">Orders!C931</f>
        <v>C0212</v>
      </c>
      <c r="D931" s="6" t="str">
        <f aca="false">Orders!D931</f>
        <v>P1076</v>
      </c>
      <c r="E931" s="6" t="str">
        <f aca="false">INDEX(Products!$B$2:$B$101,MATCH(D931,Products!$A$2:$A$101,0))</f>
        <v>Desk Organizer</v>
      </c>
      <c r="F931" s="1" t="str">
        <f aca="false">INDEX(Products!$C$2:$C$101,MATCH(D931,Products!$A$2:$A$101,0))</f>
        <v>Books &amp; Stationery</v>
      </c>
      <c r="G931" s="6" t="n">
        <f aca="false">Orders!E931</f>
        <v>1</v>
      </c>
      <c r="H931" s="16" t="n">
        <f aca="false">INDEX(Products!$D$2:$D$101,MATCH(D931,Products!$A$2:$A$101,0))</f>
        <v>399</v>
      </c>
      <c r="I931" s="16" t="n">
        <f aca="false">INDEX(Products!$E$2:$E$101,MATCH(D931,Products!$A$2:$A$101,0))</f>
        <v>170</v>
      </c>
      <c r="J931" s="20" t="n">
        <f aca="false">Orders!F931</f>
        <v>0.15</v>
      </c>
      <c r="K931" s="6" t="n">
        <f aca="false">G931*H931</f>
        <v>399</v>
      </c>
      <c r="L931" s="6" t="n">
        <f aca="false">K931*J931</f>
        <v>59.85</v>
      </c>
      <c r="M931" s="6" t="n">
        <f aca="false">K931-L931</f>
        <v>339.15</v>
      </c>
      <c r="N931" s="6" t="n">
        <f aca="false">G931*I931</f>
        <v>170</v>
      </c>
      <c r="O931" s="6" t="n">
        <f aca="false">M931-N931</f>
        <v>169.15</v>
      </c>
      <c r="P931" s="21" t="n">
        <f aca="false">IFERROR(O931/M931,0)</f>
        <v>0.49874686716792</v>
      </c>
      <c r="Q931" s="6" t="str">
        <f aca="false">Orders!H931</f>
        <v>Delivered</v>
      </c>
      <c r="R931" s="1" t="str">
        <f aca="false">INDEX(Customers!$C$2:$C$301,MATCH(C931,Customers!$A$2:$A$301,0))</f>
        <v>Noida</v>
      </c>
      <c r="S931" s="1" t="str">
        <f aca="false">INDEX(Customers!$E$2:$E$301,MATCH(C931,Customers!$A$2:$A$301,0))</f>
        <v>Returning</v>
      </c>
      <c r="T931" s="6" t="str">
        <f aca="false">Orders!I931</f>
        <v>Website</v>
      </c>
      <c r="U931" s="1" t="str">
        <f aca="false">IF(Q931="Delivered","Completed",IF(Q931="Cancelled","Cancelled",IF(Q931="Returned","Returned","In Progress")))</f>
        <v>Completed</v>
      </c>
      <c r="V931" s="1" t="str">
        <f aca="false">IF(M931&gt;=10000,"High Value",IF(M931&gt;=5000,"Medium Value","Low Value"))</f>
        <v>Low Value</v>
      </c>
      <c r="W931" s="1" t="str">
        <f aca="false">IF(O931&gt;0,"Profitable",IF(O931=0,"Break-even","Loss"))</f>
        <v>Profitable</v>
      </c>
      <c r="X931" s="1" t="str">
        <f aca="false">IF(Q931="Cancelled","Not Applicable",IF(Q931="Processing","Pending",IF(B931="","Unknown",IF(Orders!J931="","Unknown",IF(Orders!J931&lt;=3,"Fast",IF(Orders!J931&lt;=6,"Standard","Slow"))))))</f>
        <v>Standard</v>
      </c>
      <c r="Y931" s="1" t="n">
        <f aca="false">IF(OR(Q931="Cancelled",Q931="Returned"),0,O931)</f>
        <v>169.15</v>
      </c>
    </row>
    <row r="932" customFormat="false" ht="23.85" hidden="false" customHeight="false" outlineLevel="0" collapsed="false">
      <c r="A932" s="6" t="str">
        <f aca="false">Orders!A932</f>
        <v>O000931</v>
      </c>
      <c r="B932" s="19" t="n">
        <f aca="false">Orders!B932</f>
        <v>45967</v>
      </c>
      <c r="C932" s="6" t="str">
        <f aca="false">Orders!C932</f>
        <v>C0097</v>
      </c>
      <c r="D932" s="6" t="str">
        <f aca="false">Orders!D932</f>
        <v>P1081</v>
      </c>
      <c r="E932" s="6" t="str">
        <f aca="false">INDEX(Products!$B$2:$B$101,MATCH(D932,Products!$A$2:$A$101,0))</f>
        <v>Sticky Notes Pack</v>
      </c>
      <c r="F932" s="1" t="str">
        <f aca="false">INDEX(Products!$C$2:$C$101,MATCH(D932,Products!$A$2:$A$101,0))</f>
        <v>Books &amp; Stationery</v>
      </c>
      <c r="G932" s="6" t="n">
        <f aca="false">Orders!E932</f>
        <v>1</v>
      </c>
      <c r="H932" s="16" t="n">
        <f aca="false">INDEX(Products!$D$2:$D$101,MATCH(D932,Products!$A$2:$A$101,0))</f>
        <v>149</v>
      </c>
      <c r="I932" s="16" t="n">
        <f aca="false">INDEX(Products!$E$2:$E$101,MATCH(D932,Products!$A$2:$A$101,0))</f>
        <v>45</v>
      </c>
      <c r="J932" s="20" t="n">
        <f aca="false">Orders!F932</f>
        <v>0</v>
      </c>
      <c r="K932" s="6" t="n">
        <f aca="false">G932*H932</f>
        <v>149</v>
      </c>
      <c r="L932" s="6" t="n">
        <f aca="false">K932*J932</f>
        <v>0</v>
      </c>
      <c r="M932" s="6" t="n">
        <f aca="false">K932-L932</f>
        <v>149</v>
      </c>
      <c r="N932" s="6" t="n">
        <f aca="false">G932*I932</f>
        <v>45</v>
      </c>
      <c r="O932" s="6" t="n">
        <f aca="false">M932-N932</f>
        <v>104</v>
      </c>
      <c r="P932" s="21" t="n">
        <f aca="false">IFERROR(O932/M932,0)</f>
        <v>0.697986577181208</v>
      </c>
      <c r="Q932" s="6" t="str">
        <f aca="false">Orders!H932</f>
        <v>Returned</v>
      </c>
      <c r="R932" s="1" t="str">
        <f aca="false">INDEX(Customers!$C$2:$C$301,MATCH(C932,Customers!$A$2:$A$301,0))</f>
        <v>Surat</v>
      </c>
      <c r="S932" s="1" t="str">
        <f aca="false">INDEX(Customers!$E$2:$E$301,MATCH(C932,Customers!$A$2:$A$301,0))</f>
        <v>Returning</v>
      </c>
      <c r="T932" s="6" t="str">
        <f aca="false">Orders!I932</f>
        <v>Website</v>
      </c>
      <c r="U932" s="1" t="str">
        <f aca="false">IF(Q932="Delivered","Completed",IF(Q932="Cancelled","Cancelled",IF(Q932="Returned","Returned","In Progress")))</f>
        <v>Returned</v>
      </c>
      <c r="V932" s="1" t="str">
        <f aca="false">IF(M932&gt;=10000,"High Value",IF(M932&gt;=5000,"Medium Value","Low Value"))</f>
        <v>Low Value</v>
      </c>
      <c r="W932" s="1" t="str">
        <f aca="false">IF(O932&gt;0,"Profitable",IF(O932=0,"Break-even","Loss"))</f>
        <v>Profitable</v>
      </c>
      <c r="X932" s="1" t="str">
        <f aca="false">IF(Q932="Cancelled","Not Applicable",IF(Q932="Processing","Pending",IF(B932="","Unknown",IF(Orders!J932="","Unknown",IF(Orders!J932&lt;=3,"Fast",IF(Orders!J932&lt;=6,"Standard","Slow"))))))</f>
        <v>Slow</v>
      </c>
      <c r="Y932" s="1" t="n">
        <f aca="false">IF(OR(Q932="Cancelled",Q932="Returned"),0,O932)</f>
        <v>0</v>
      </c>
    </row>
    <row r="933" customFormat="false" ht="15" hidden="false" customHeight="false" outlineLevel="0" collapsed="false">
      <c r="A933" s="6" t="str">
        <f aca="false">Orders!A933</f>
        <v>O000932</v>
      </c>
      <c r="B933" s="19" t="n">
        <f aca="false">Orders!B933</f>
        <v>45966</v>
      </c>
      <c r="C933" s="6" t="str">
        <f aca="false">Orders!C933</f>
        <v>C0117</v>
      </c>
      <c r="D933" s="6" t="str">
        <f aca="false">Orders!D933</f>
        <v>P1064</v>
      </c>
      <c r="E933" s="6" t="str">
        <f aca="false">INDEX(Products!$B$2:$B$101,MATCH(D933,Products!$A$2:$A$101,0))</f>
        <v>Football</v>
      </c>
      <c r="F933" s="1" t="str">
        <f aca="false">INDEX(Products!$C$2:$C$101,MATCH(D933,Products!$A$2:$A$101,0))</f>
        <v>Sports &amp; Outdoors</v>
      </c>
      <c r="G933" s="6" t="n">
        <f aca="false">Orders!E933</f>
        <v>1</v>
      </c>
      <c r="H933" s="16" t="n">
        <f aca="false">INDEX(Products!$D$2:$D$101,MATCH(D933,Products!$A$2:$A$101,0))</f>
        <v>699</v>
      </c>
      <c r="I933" s="16" t="n">
        <f aca="false">INDEX(Products!$E$2:$E$101,MATCH(D933,Products!$A$2:$A$101,0))</f>
        <v>300</v>
      </c>
      <c r="J933" s="20" t="n">
        <f aca="false">Orders!F933</f>
        <v>0.2</v>
      </c>
      <c r="K933" s="6" t="n">
        <f aca="false">G933*H933</f>
        <v>699</v>
      </c>
      <c r="L933" s="6" t="n">
        <f aca="false">K933*J933</f>
        <v>139.8</v>
      </c>
      <c r="M933" s="6" t="n">
        <f aca="false">K933-L933</f>
        <v>559.2</v>
      </c>
      <c r="N933" s="6" t="n">
        <f aca="false">G933*I933</f>
        <v>300</v>
      </c>
      <c r="O933" s="6" t="n">
        <f aca="false">M933-N933</f>
        <v>259.2</v>
      </c>
      <c r="P933" s="21" t="n">
        <f aca="false">IFERROR(O933/M933,0)</f>
        <v>0.463519313304721</v>
      </c>
      <c r="Q933" s="6" t="str">
        <f aca="false">Orders!H933</f>
        <v>Delivered</v>
      </c>
      <c r="R933" s="1" t="str">
        <f aca="false">INDEX(Customers!$C$2:$C$301,MATCH(C933,Customers!$A$2:$A$301,0))</f>
        <v>Surat</v>
      </c>
      <c r="S933" s="1" t="str">
        <f aca="false">INDEX(Customers!$E$2:$E$301,MATCH(C933,Customers!$A$2:$A$301,0))</f>
        <v>Returning</v>
      </c>
      <c r="T933" s="6" t="str">
        <f aca="false">Orders!I933</f>
        <v>Mobile App</v>
      </c>
      <c r="U933" s="1" t="str">
        <f aca="false">IF(Q933="Delivered","Completed",IF(Q933="Cancelled","Cancelled",IF(Q933="Returned","Returned","In Progress")))</f>
        <v>Completed</v>
      </c>
      <c r="V933" s="1" t="str">
        <f aca="false">IF(M933&gt;=10000,"High Value",IF(M933&gt;=5000,"Medium Value","Low Value"))</f>
        <v>Low Value</v>
      </c>
      <c r="W933" s="1" t="str">
        <f aca="false">IF(O933&gt;0,"Profitable",IF(O933=0,"Break-even","Loss"))</f>
        <v>Profitable</v>
      </c>
      <c r="X933" s="1" t="str">
        <f aca="false">IF(Q933="Cancelled","Not Applicable",IF(Q933="Processing","Pending",IF(B933="","Unknown",IF(Orders!J933="","Unknown",IF(Orders!J933&lt;=3,"Fast",IF(Orders!J933&lt;=6,"Standard","Slow"))))))</f>
        <v>Standard</v>
      </c>
      <c r="Y933" s="1" t="n">
        <f aca="false">IF(OR(Q933="Cancelled",Q933="Returned"),0,O933)</f>
        <v>259.2</v>
      </c>
    </row>
    <row r="934" customFormat="false" ht="23.85" hidden="false" customHeight="false" outlineLevel="0" collapsed="false">
      <c r="A934" s="6" t="str">
        <f aca="false">Orders!A934</f>
        <v>O000933</v>
      </c>
      <c r="B934" s="19" t="n">
        <f aca="false">Orders!B934</f>
        <v>45823</v>
      </c>
      <c r="C934" s="6" t="str">
        <f aca="false">Orders!C934</f>
        <v>C0173</v>
      </c>
      <c r="D934" s="6" t="str">
        <f aca="false">Orders!D934</f>
        <v>P1001</v>
      </c>
      <c r="E934" s="6" t="str">
        <f aca="false">INDEX(Products!$B$2:$B$101,MATCH(D934,Products!$A$2:$A$101,0))</f>
        <v>Wireless Earbuds</v>
      </c>
      <c r="F934" s="1" t="str">
        <f aca="false">INDEX(Products!$C$2:$C$101,MATCH(D934,Products!$A$2:$A$101,0))</f>
        <v>Electronics</v>
      </c>
      <c r="G934" s="6" t="n">
        <f aca="false">Orders!E934</f>
        <v>1</v>
      </c>
      <c r="H934" s="16" t="n">
        <f aca="false">INDEX(Products!$D$2:$D$101,MATCH(D934,Products!$A$2:$A$101,0))</f>
        <v>899</v>
      </c>
      <c r="I934" s="16" t="n">
        <f aca="false">INDEX(Products!$E$2:$E$101,MATCH(D934,Products!$A$2:$A$101,0))</f>
        <v>499</v>
      </c>
      <c r="J934" s="20" t="n">
        <f aca="false">Orders!F934</f>
        <v>0.05</v>
      </c>
      <c r="K934" s="6" t="n">
        <f aca="false">G934*H934</f>
        <v>899</v>
      </c>
      <c r="L934" s="6" t="n">
        <f aca="false">K934*J934</f>
        <v>44.95</v>
      </c>
      <c r="M934" s="6" t="n">
        <f aca="false">K934-L934</f>
        <v>854.05</v>
      </c>
      <c r="N934" s="6" t="n">
        <f aca="false">G934*I934</f>
        <v>499</v>
      </c>
      <c r="O934" s="6" t="n">
        <f aca="false">M934-N934</f>
        <v>355.05</v>
      </c>
      <c r="P934" s="21" t="n">
        <f aca="false">IFERROR(O934/M934,0)</f>
        <v>0.415725074644342</v>
      </c>
      <c r="Q934" s="6" t="str">
        <f aca="false">Orders!H934</f>
        <v>Delivered</v>
      </c>
      <c r="R934" s="1" t="str">
        <f aca="false">INDEX(Customers!$C$2:$C$301,MATCH(C934,Customers!$A$2:$A$301,0))</f>
        <v>Kochi</v>
      </c>
      <c r="S934" s="1" t="str">
        <f aca="false">INDEX(Customers!$E$2:$E$301,MATCH(C934,Customers!$A$2:$A$301,0))</f>
        <v>New</v>
      </c>
      <c r="T934" s="6" t="str">
        <f aca="false">Orders!I934</f>
        <v>Marketplace</v>
      </c>
      <c r="U934" s="1" t="str">
        <f aca="false">IF(Q934="Delivered","Completed",IF(Q934="Cancelled","Cancelled",IF(Q934="Returned","Returned","In Progress")))</f>
        <v>Completed</v>
      </c>
      <c r="V934" s="1" t="str">
        <f aca="false">IF(M934&gt;=10000,"High Value",IF(M934&gt;=5000,"Medium Value","Low Value"))</f>
        <v>Low Value</v>
      </c>
      <c r="W934" s="1" t="str">
        <f aca="false">IF(O934&gt;0,"Profitable",IF(O934=0,"Break-even","Loss"))</f>
        <v>Profitable</v>
      </c>
      <c r="X934" s="1" t="str">
        <f aca="false">IF(Q934="Cancelled","Not Applicable",IF(Q934="Processing","Pending",IF(B934="","Unknown",IF(Orders!J934="","Unknown",IF(Orders!J934&lt;=3,"Fast",IF(Orders!J934&lt;=6,"Standard","Slow"))))))</f>
        <v>Standard</v>
      </c>
      <c r="Y934" s="1" t="n">
        <f aca="false">IF(OR(Q934="Cancelled",Q934="Returned"),0,O934)</f>
        <v>355.05</v>
      </c>
    </row>
    <row r="935" customFormat="false" ht="15" hidden="false" customHeight="false" outlineLevel="0" collapsed="false">
      <c r="A935" s="6" t="str">
        <f aca="false">Orders!A935</f>
        <v>O000934</v>
      </c>
      <c r="B935" s="19" t="n">
        <f aca="false">Orders!B935</f>
        <v>45703</v>
      </c>
      <c r="C935" s="6" t="str">
        <f aca="false">Orders!C935</f>
        <v>C0070</v>
      </c>
      <c r="D935" s="6" t="str">
        <f aca="false">Orders!D935</f>
        <v>P1017</v>
      </c>
      <c r="E935" s="6" t="str">
        <f aca="false">INDEX(Products!$B$2:$B$101,MATCH(D935,Products!$A$2:$A$101,0))</f>
        <v>Denim Jeans</v>
      </c>
      <c r="F935" s="1" t="str">
        <f aca="false">INDEX(Products!$C$2:$C$101,MATCH(D935,Products!$A$2:$A$101,0))</f>
        <v>Fashion</v>
      </c>
      <c r="G935" s="6" t="n">
        <f aca="false">Orders!E935</f>
        <v>3</v>
      </c>
      <c r="H935" s="16" t="n">
        <f aca="false">INDEX(Products!$D$2:$D$101,MATCH(D935,Products!$A$2:$A$101,0))</f>
        <v>1299</v>
      </c>
      <c r="I935" s="16" t="n">
        <f aca="false">INDEX(Products!$E$2:$E$101,MATCH(D935,Products!$A$2:$A$101,0))</f>
        <v>650</v>
      </c>
      <c r="J935" s="20" t="n">
        <f aca="false">Orders!F935</f>
        <v>0.05</v>
      </c>
      <c r="K935" s="6" t="n">
        <f aca="false">G935*H935</f>
        <v>3897</v>
      </c>
      <c r="L935" s="6" t="n">
        <f aca="false">K935*J935</f>
        <v>194.85</v>
      </c>
      <c r="M935" s="6" t="n">
        <f aca="false">K935-L935</f>
        <v>3702.15</v>
      </c>
      <c r="N935" s="6" t="n">
        <f aca="false">G935*I935</f>
        <v>1950</v>
      </c>
      <c r="O935" s="6" t="n">
        <f aca="false">M935-N935</f>
        <v>1752.15</v>
      </c>
      <c r="P935" s="21" t="n">
        <f aca="false">IFERROR(O935/M935,0)</f>
        <v>0.473279040557514</v>
      </c>
      <c r="Q935" s="6" t="str">
        <f aca="false">Orders!H935</f>
        <v>Delivered</v>
      </c>
      <c r="R935" s="1" t="str">
        <f aca="false">INDEX(Customers!$C$2:$C$301,MATCH(C935,Customers!$A$2:$A$301,0))</f>
        <v>Lucknow</v>
      </c>
      <c r="S935" s="1" t="str">
        <f aca="false">INDEX(Customers!$E$2:$E$301,MATCH(C935,Customers!$A$2:$A$301,0))</f>
        <v>Returning</v>
      </c>
      <c r="T935" s="6" t="str">
        <f aca="false">Orders!I935</f>
        <v>Mobile App</v>
      </c>
      <c r="U935" s="1" t="str">
        <f aca="false">IF(Q935="Delivered","Completed",IF(Q935="Cancelled","Cancelled",IF(Q935="Returned","Returned","In Progress")))</f>
        <v>Completed</v>
      </c>
      <c r="V935" s="1" t="str">
        <f aca="false">IF(M935&gt;=10000,"High Value",IF(M935&gt;=5000,"Medium Value","Low Value"))</f>
        <v>Low Value</v>
      </c>
      <c r="W935" s="1" t="str">
        <f aca="false">IF(O935&gt;0,"Profitable",IF(O935=0,"Break-even","Loss"))</f>
        <v>Profitable</v>
      </c>
      <c r="X935" s="1" t="str">
        <f aca="false">IF(Q935="Cancelled","Not Applicable",IF(Q935="Processing","Pending",IF(B935="","Unknown",IF(Orders!J935="","Unknown",IF(Orders!J935&lt;=3,"Fast",IF(Orders!J935&lt;=6,"Standard","Slow"))))))</f>
        <v>Standard</v>
      </c>
      <c r="Y935" s="1" t="n">
        <f aca="false">IF(OR(Q935="Cancelled",Q935="Returned"),0,O935)</f>
        <v>1752.15</v>
      </c>
    </row>
    <row r="936" customFormat="false" ht="23.85" hidden="false" customHeight="false" outlineLevel="0" collapsed="false">
      <c r="A936" s="6" t="str">
        <f aca="false">Orders!A936</f>
        <v>O000935</v>
      </c>
      <c r="B936" s="19" t="n">
        <f aca="false">Orders!B936</f>
        <v>45928</v>
      </c>
      <c r="C936" s="6" t="str">
        <f aca="false">Orders!C936</f>
        <v>C0204</v>
      </c>
      <c r="D936" s="6" t="str">
        <f aca="false">Orders!D936</f>
        <v>P1069</v>
      </c>
      <c r="E936" s="6" t="str">
        <f aca="false">INDEX(Products!$B$2:$B$101,MATCH(D936,Products!$A$2:$A$101,0))</f>
        <v>Sports Duffel Bag</v>
      </c>
      <c r="F936" s="1" t="str">
        <f aca="false">INDEX(Products!$C$2:$C$101,MATCH(D936,Products!$A$2:$A$101,0))</f>
        <v>Sports &amp; Outdoors</v>
      </c>
      <c r="G936" s="6" t="n">
        <f aca="false">Orders!E936</f>
        <v>3</v>
      </c>
      <c r="H936" s="16" t="n">
        <f aca="false">INDEX(Products!$D$2:$D$101,MATCH(D936,Products!$A$2:$A$101,0))</f>
        <v>999</v>
      </c>
      <c r="I936" s="16" t="n">
        <f aca="false">INDEX(Products!$E$2:$E$101,MATCH(D936,Products!$A$2:$A$101,0))</f>
        <v>500</v>
      </c>
      <c r="J936" s="20" t="n">
        <f aca="false">Orders!F936</f>
        <v>0.1</v>
      </c>
      <c r="K936" s="6" t="n">
        <f aca="false">G936*H936</f>
        <v>2997</v>
      </c>
      <c r="L936" s="6" t="n">
        <f aca="false">K936*J936</f>
        <v>299.7</v>
      </c>
      <c r="M936" s="6" t="n">
        <f aca="false">K936-L936</f>
        <v>2697.3</v>
      </c>
      <c r="N936" s="6" t="n">
        <f aca="false">G936*I936</f>
        <v>1500</v>
      </c>
      <c r="O936" s="6" t="n">
        <f aca="false">M936-N936</f>
        <v>1197.3</v>
      </c>
      <c r="P936" s="21" t="n">
        <f aca="false">IFERROR(O936/M936,0)</f>
        <v>0.443888332777222</v>
      </c>
      <c r="Q936" s="6" t="str">
        <f aca="false">Orders!H936</f>
        <v>Delivered</v>
      </c>
      <c r="R936" s="1" t="str">
        <f aca="false">INDEX(Customers!$C$2:$C$301,MATCH(C936,Customers!$A$2:$A$301,0))</f>
        <v>Hyderabad</v>
      </c>
      <c r="S936" s="1" t="str">
        <f aca="false">INDEX(Customers!$E$2:$E$301,MATCH(C936,Customers!$A$2:$A$301,0))</f>
        <v>Returning</v>
      </c>
      <c r="T936" s="6" t="str">
        <f aca="false">Orders!I936</f>
        <v>Mobile App</v>
      </c>
      <c r="U936" s="1" t="str">
        <f aca="false">IF(Q936="Delivered","Completed",IF(Q936="Cancelled","Cancelled",IF(Q936="Returned","Returned","In Progress")))</f>
        <v>Completed</v>
      </c>
      <c r="V936" s="1" t="str">
        <f aca="false">IF(M936&gt;=10000,"High Value",IF(M936&gt;=5000,"Medium Value","Low Value"))</f>
        <v>Low Value</v>
      </c>
      <c r="W936" s="1" t="str">
        <f aca="false">IF(O936&gt;0,"Profitable",IF(O936=0,"Break-even","Loss"))</f>
        <v>Profitable</v>
      </c>
      <c r="X936" s="1" t="str">
        <f aca="false">IF(Q936="Cancelled","Not Applicable",IF(Q936="Processing","Pending",IF(B936="","Unknown",IF(Orders!J936="","Unknown",IF(Orders!J936&lt;=3,"Fast",IF(Orders!J936&lt;=6,"Standard","Slow"))))))</f>
        <v>Standard</v>
      </c>
      <c r="Y936" s="1" t="n">
        <f aca="false">IF(OR(Q936="Cancelled",Q936="Returned"),0,O936)</f>
        <v>1197.3</v>
      </c>
    </row>
    <row r="937" customFormat="false" ht="15" hidden="false" customHeight="false" outlineLevel="0" collapsed="false">
      <c r="A937" s="6" t="str">
        <f aca="false">Orders!A937</f>
        <v>O000936</v>
      </c>
      <c r="B937" s="19" t="n">
        <f aca="false">Orders!B937</f>
        <v>45839</v>
      </c>
      <c r="C937" s="6" t="str">
        <f aca="false">Orders!C937</f>
        <v>C0011</v>
      </c>
      <c r="D937" s="6" t="str">
        <f aca="false">Orders!D937</f>
        <v>P1028</v>
      </c>
      <c r="E937" s="6" t="str">
        <f aca="false">INDEX(Products!$B$2:$B$101,MATCH(D937,Products!$A$2:$A$101,0))</f>
        <v>Sneakers</v>
      </c>
      <c r="F937" s="1" t="str">
        <f aca="false">INDEX(Products!$C$2:$C$101,MATCH(D937,Products!$A$2:$A$101,0))</f>
        <v>Fashion</v>
      </c>
      <c r="G937" s="6" t="n">
        <f aca="false">Orders!E937</f>
        <v>1</v>
      </c>
      <c r="H937" s="16" t="n">
        <f aca="false">INDEX(Products!$D$2:$D$101,MATCH(D937,Products!$A$2:$A$101,0))</f>
        <v>1799</v>
      </c>
      <c r="I937" s="16" t="n">
        <f aca="false">INDEX(Products!$E$2:$E$101,MATCH(D937,Products!$A$2:$A$101,0))</f>
        <v>950</v>
      </c>
      <c r="J937" s="20" t="n">
        <f aca="false">Orders!F937</f>
        <v>0</v>
      </c>
      <c r="K937" s="6" t="n">
        <f aca="false">G937*H937</f>
        <v>1799</v>
      </c>
      <c r="L937" s="6" t="n">
        <f aca="false">K937*J937</f>
        <v>0</v>
      </c>
      <c r="M937" s="6" t="n">
        <f aca="false">K937-L937</f>
        <v>1799</v>
      </c>
      <c r="N937" s="6" t="n">
        <f aca="false">G937*I937</f>
        <v>950</v>
      </c>
      <c r="O937" s="6" t="n">
        <f aca="false">M937-N937</f>
        <v>849</v>
      </c>
      <c r="P937" s="21" t="n">
        <f aca="false">IFERROR(O937/M937,0)</f>
        <v>0.471928849360756</v>
      </c>
      <c r="Q937" s="6" t="str">
        <f aca="false">Orders!H937</f>
        <v>Delivered</v>
      </c>
      <c r="R937" s="1" t="str">
        <f aca="false">INDEX(Customers!$C$2:$C$301,MATCH(C937,Customers!$A$2:$A$301,0))</f>
        <v>Gurugram</v>
      </c>
      <c r="S937" s="1" t="str">
        <f aca="false">INDEX(Customers!$E$2:$E$301,MATCH(C937,Customers!$A$2:$A$301,0))</f>
        <v>New</v>
      </c>
      <c r="T937" s="6" t="str">
        <f aca="false">Orders!I937</f>
        <v>Mobile App</v>
      </c>
      <c r="U937" s="1" t="str">
        <f aca="false">IF(Q937="Delivered","Completed",IF(Q937="Cancelled","Cancelled",IF(Q937="Returned","Returned","In Progress")))</f>
        <v>Completed</v>
      </c>
      <c r="V937" s="1" t="str">
        <f aca="false">IF(M937&gt;=10000,"High Value",IF(M937&gt;=5000,"Medium Value","Low Value"))</f>
        <v>Low Value</v>
      </c>
      <c r="W937" s="1" t="str">
        <f aca="false">IF(O937&gt;0,"Profitable",IF(O937=0,"Break-even","Loss"))</f>
        <v>Profitable</v>
      </c>
      <c r="X937" s="1" t="str">
        <f aca="false">IF(Q937="Cancelled","Not Applicable",IF(Q937="Processing","Pending",IF(B937="","Unknown",IF(Orders!J937="","Unknown",IF(Orders!J937&lt;=3,"Fast",IF(Orders!J937&lt;=6,"Standard","Slow"))))))</f>
        <v>Slow</v>
      </c>
      <c r="Y937" s="1" t="n">
        <f aca="false">IF(OR(Q937="Cancelled",Q937="Returned"),0,O937)</f>
        <v>849</v>
      </c>
    </row>
    <row r="938" customFormat="false" ht="15" hidden="false" customHeight="false" outlineLevel="0" collapsed="false">
      <c r="A938" s="6" t="str">
        <f aca="false">Orders!A938</f>
        <v>O000937</v>
      </c>
      <c r="B938" s="19" t="n">
        <f aca="false">Orders!B938</f>
        <v>45802</v>
      </c>
      <c r="C938" s="6" t="str">
        <f aca="false">Orders!C938</f>
        <v>C0089</v>
      </c>
      <c r="D938" s="6" t="str">
        <f aca="false">Orders!D938</f>
        <v>P1006</v>
      </c>
      <c r="E938" s="6" t="str">
        <f aca="false">INDEX(Products!$B$2:$B$101,MATCH(D938,Products!$A$2:$A$101,0))</f>
        <v>Wireless Mouse</v>
      </c>
      <c r="F938" s="1" t="str">
        <f aca="false">INDEX(Products!$C$2:$C$101,MATCH(D938,Products!$A$2:$A$101,0))</f>
        <v>Electronics</v>
      </c>
      <c r="G938" s="6" t="n">
        <f aca="false">Orders!E938</f>
        <v>2</v>
      </c>
      <c r="H938" s="16" t="n">
        <f aca="false">INDEX(Products!$D$2:$D$101,MATCH(D938,Products!$A$2:$A$101,0))</f>
        <v>699</v>
      </c>
      <c r="I938" s="16" t="n">
        <f aca="false">INDEX(Products!$E$2:$E$101,MATCH(D938,Products!$A$2:$A$101,0))</f>
        <v>300</v>
      </c>
      <c r="J938" s="20" t="n">
        <f aca="false">Orders!F938</f>
        <v>0.1</v>
      </c>
      <c r="K938" s="6" t="n">
        <f aca="false">G938*H938</f>
        <v>1398</v>
      </c>
      <c r="L938" s="6" t="n">
        <f aca="false">K938*J938</f>
        <v>139.8</v>
      </c>
      <c r="M938" s="6" t="n">
        <f aca="false">K938-L938</f>
        <v>1258.2</v>
      </c>
      <c r="N938" s="6" t="n">
        <f aca="false">G938*I938</f>
        <v>600</v>
      </c>
      <c r="O938" s="6" t="n">
        <f aca="false">M938-N938</f>
        <v>658.2</v>
      </c>
      <c r="P938" s="21" t="n">
        <f aca="false">IFERROR(O938/M938,0)</f>
        <v>0.523128278493085</v>
      </c>
      <c r="Q938" s="6" t="str">
        <f aca="false">Orders!H938</f>
        <v>Returned</v>
      </c>
      <c r="R938" s="1" t="str">
        <f aca="false">INDEX(Customers!$C$2:$C$301,MATCH(C938,Customers!$A$2:$A$301,0))</f>
        <v>Ahmedabad</v>
      </c>
      <c r="S938" s="1" t="str">
        <f aca="false">INDEX(Customers!$E$2:$E$301,MATCH(C938,Customers!$A$2:$A$301,0))</f>
        <v>New</v>
      </c>
      <c r="T938" s="6" t="str">
        <f aca="false">Orders!I938</f>
        <v>Mobile App</v>
      </c>
      <c r="U938" s="1" t="str">
        <f aca="false">IF(Q938="Delivered","Completed",IF(Q938="Cancelled","Cancelled",IF(Q938="Returned","Returned","In Progress")))</f>
        <v>Returned</v>
      </c>
      <c r="V938" s="1" t="str">
        <f aca="false">IF(M938&gt;=10000,"High Value",IF(M938&gt;=5000,"Medium Value","Low Value"))</f>
        <v>Low Value</v>
      </c>
      <c r="W938" s="1" t="str">
        <f aca="false">IF(O938&gt;0,"Profitable",IF(O938=0,"Break-even","Loss"))</f>
        <v>Profitable</v>
      </c>
      <c r="X938" s="1" t="str">
        <f aca="false">IF(Q938="Cancelled","Not Applicable",IF(Q938="Processing","Pending",IF(B938="","Unknown",IF(Orders!J938="","Unknown",IF(Orders!J938&lt;=3,"Fast",IF(Orders!J938&lt;=6,"Standard","Slow"))))))</f>
        <v>Slow</v>
      </c>
      <c r="Y938" s="1" t="n">
        <f aca="false">IF(OR(Q938="Cancelled",Q938="Returned"),0,O938)</f>
        <v>0</v>
      </c>
    </row>
    <row r="939" customFormat="false" ht="15" hidden="false" customHeight="false" outlineLevel="0" collapsed="false">
      <c r="A939" s="6" t="str">
        <f aca="false">Orders!A939</f>
        <v>O000938</v>
      </c>
      <c r="B939" s="19" t="n">
        <f aca="false">Orders!B939</f>
        <v>45992</v>
      </c>
      <c r="C939" s="6" t="str">
        <f aca="false">Orders!C939</f>
        <v>C0237</v>
      </c>
      <c r="D939" s="6" t="str">
        <f aca="false">Orders!D939</f>
        <v>P1098</v>
      </c>
      <c r="E939" s="6" t="str">
        <f aca="false">INDEX(Products!$B$2:$B$101,MATCH(D939,Products!$A$2:$A$101,0))</f>
        <v>Steam Iron</v>
      </c>
      <c r="F939" s="1" t="str">
        <f aca="false">INDEX(Products!$C$2:$C$101,MATCH(D939,Products!$A$2:$A$101,0))</f>
        <v>Appliances</v>
      </c>
      <c r="G939" s="6" t="n">
        <f aca="false">Orders!E939</f>
        <v>2</v>
      </c>
      <c r="H939" s="16" t="n">
        <f aca="false">INDEX(Products!$D$2:$D$101,MATCH(D939,Products!$A$2:$A$101,0))</f>
        <v>999</v>
      </c>
      <c r="I939" s="16" t="n">
        <f aca="false">INDEX(Products!$E$2:$E$101,MATCH(D939,Products!$A$2:$A$101,0))</f>
        <v>550</v>
      </c>
      <c r="J939" s="20" t="n">
        <f aca="false">Orders!F939</f>
        <v>0.15</v>
      </c>
      <c r="K939" s="6" t="n">
        <f aca="false">G939*H939</f>
        <v>1998</v>
      </c>
      <c r="L939" s="6" t="n">
        <f aca="false">K939*J939</f>
        <v>299.7</v>
      </c>
      <c r="M939" s="6" t="n">
        <f aca="false">K939-L939</f>
        <v>1698.3</v>
      </c>
      <c r="N939" s="6" t="n">
        <f aca="false">G939*I939</f>
        <v>1100</v>
      </c>
      <c r="O939" s="6" t="n">
        <f aca="false">M939-N939</f>
        <v>598.3</v>
      </c>
      <c r="P939" s="21" t="n">
        <f aca="false">IFERROR(O939/M939,0)</f>
        <v>0.352293469940529</v>
      </c>
      <c r="Q939" s="6" t="str">
        <f aca="false">Orders!H939</f>
        <v>Shipped</v>
      </c>
      <c r="R939" s="1" t="str">
        <f aca="false">INDEX(Customers!$C$2:$C$301,MATCH(C939,Customers!$A$2:$A$301,0))</f>
        <v>Surat</v>
      </c>
      <c r="S939" s="1" t="str">
        <f aca="false">INDEX(Customers!$E$2:$E$301,MATCH(C939,Customers!$A$2:$A$301,0))</f>
        <v>Returning</v>
      </c>
      <c r="T939" s="6" t="str">
        <f aca="false">Orders!I939</f>
        <v>Mobile App</v>
      </c>
      <c r="U939" s="1" t="str">
        <f aca="false">IF(Q939="Delivered","Completed",IF(Q939="Cancelled","Cancelled",IF(Q939="Returned","Returned","In Progress")))</f>
        <v>In Progress</v>
      </c>
      <c r="V939" s="1" t="str">
        <f aca="false">IF(M939&gt;=10000,"High Value",IF(M939&gt;=5000,"Medium Value","Low Value"))</f>
        <v>Low Value</v>
      </c>
      <c r="W939" s="1" t="str">
        <f aca="false">IF(O939&gt;0,"Profitable",IF(O939=0,"Break-even","Loss"))</f>
        <v>Profitable</v>
      </c>
      <c r="X939" s="1" t="str">
        <f aca="false">IF(Q939="Cancelled","Not Applicable",IF(Q939="Processing","Pending",IF(B939="","Unknown",IF(Orders!J939="","Unknown",IF(Orders!J939&lt;=3,"Fast",IF(Orders!J939&lt;=6,"Standard","Slow"))))))</f>
        <v>Fast</v>
      </c>
      <c r="Y939" s="1" t="n">
        <f aca="false">IF(OR(Q939="Cancelled",Q939="Returned"),0,O939)</f>
        <v>598.3</v>
      </c>
    </row>
    <row r="940" customFormat="false" ht="23.85" hidden="false" customHeight="false" outlineLevel="0" collapsed="false">
      <c r="A940" s="6" t="str">
        <f aca="false">Orders!A940</f>
        <v>O000939</v>
      </c>
      <c r="B940" s="19" t="n">
        <f aca="false">Orders!B940</f>
        <v>45926</v>
      </c>
      <c r="C940" s="6" t="str">
        <f aca="false">Orders!C940</f>
        <v>C0031</v>
      </c>
      <c r="D940" s="6" t="str">
        <f aca="false">Orders!D940</f>
        <v>P1041</v>
      </c>
      <c r="E940" s="6" t="str">
        <f aca="false">INDEX(Products!$B$2:$B$101,MATCH(D940,Products!$A$2:$A$101,0))</f>
        <v>Food Storage Jars</v>
      </c>
      <c r="F940" s="1" t="str">
        <f aca="false">INDEX(Products!$C$2:$C$101,MATCH(D940,Products!$A$2:$A$101,0))</f>
        <v>Home &amp; Kitchen</v>
      </c>
      <c r="G940" s="6" t="n">
        <f aca="false">Orders!E940</f>
        <v>2</v>
      </c>
      <c r="H940" s="16" t="n">
        <f aca="false">INDEX(Products!$D$2:$D$101,MATCH(D940,Products!$A$2:$A$101,0))</f>
        <v>499</v>
      </c>
      <c r="I940" s="16" t="n">
        <f aca="false">INDEX(Products!$E$2:$E$101,MATCH(D940,Products!$A$2:$A$101,0))</f>
        <v>220</v>
      </c>
      <c r="J940" s="20" t="n">
        <f aca="false">Orders!F940</f>
        <v>0.05</v>
      </c>
      <c r="K940" s="6" t="n">
        <f aca="false">G940*H940</f>
        <v>998</v>
      </c>
      <c r="L940" s="6" t="n">
        <f aca="false">K940*J940</f>
        <v>49.9</v>
      </c>
      <c r="M940" s="6" t="n">
        <f aca="false">K940-L940</f>
        <v>948.1</v>
      </c>
      <c r="N940" s="6" t="n">
        <f aca="false">G940*I940</f>
        <v>440</v>
      </c>
      <c r="O940" s="6" t="n">
        <f aca="false">M940-N940</f>
        <v>508.1</v>
      </c>
      <c r="P940" s="21" t="n">
        <f aca="false">IFERROR(O940/M940,0)</f>
        <v>0.535913933129417</v>
      </c>
      <c r="Q940" s="6" t="str">
        <f aca="false">Orders!H940</f>
        <v>Delivered</v>
      </c>
      <c r="R940" s="1" t="str">
        <f aca="false">INDEX(Customers!$C$2:$C$301,MATCH(C940,Customers!$A$2:$A$301,0))</f>
        <v>Gurugram</v>
      </c>
      <c r="S940" s="1" t="str">
        <f aca="false">INDEX(Customers!$E$2:$E$301,MATCH(C940,Customers!$A$2:$A$301,0))</f>
        <v>Returning</v>
      </c>
      <c r="T940" s="6" t="str">
        <f aca="false">Orders!I940</f>
        <v>Marketplace</v>
      </c>
      <c r="U940" s="1" t="str">
        <f aca="false">IF(Q940="Delivered","Completed",IF(Q940="Cancelled","Cancelled",IF(Q940="Returned","Returned","In Progress")))</f>
        <v>Completed</v>
      </c>
      <c r="V940" s="1" t="str">
        <f aca="false">IF(M940&gt;=10000,"High Value",IF(M940&gt;=5000,"Medium Value","Low Value"))</f>
        <v>Low Value</v>
      </c>
      <c r="W940" s="1" t="str">
        <f aca="false">IF(O940&gt;0,"Profitable",IF(O940=0,"Break-even","Loss"))</f>
        <v>Profitable</v>
      </c>
      <c r="X940" s="1" t="str">
        <f aca="false">IF(Q940="Cancelled","Not Applicable",IF(Q940="Processing","Pending",IF(B940="","Unknown",IF(Orders!J940="","Unknown",IF(Orders!J940&lt;=3,"Fast",IF(Orders!J940&lt;=6,"Standard","Slow"))))))</f>
        <v>Fast</v>
      </c>
      <c r="Y940" s="1" t="n">
        <f aca="false">IF(OR(Q940="Cancelled",Q940="Returned"),0,O940)</f>
        <v>508.1</v>
      </c>
    </row>
    <row r="941" customFormat="false" ht="15" hidden="false" customHeight="false" outlineLevel="0" collapsed="false">
      <c r="A941" s="6" t="str">
        <f aca="false">Orders!A941</f>
        <v>O000940</v>
      </c>
      <c r="B941" s="19" t="n">
        <f aca="false">Orders!B941</f>
        <v>45694</v>
      </c>
      <c r="C941" s="6" t="str">
        <f aca="false">Orders!C941</f>
        <v>C0135</v>
      </c>
      <c r="D941" s="6" t="str">
        <f aca="false">Orders!D941</f>
        <v>P1005</v>
      </c>
      <c r="E941" s="6" t="str">
        <f aca="false">INDEX(Products!$B$2:$B$101,MATCH(D941,Products!$A$2:$A$101,0))</f>
        <v>Power Bank</v>
      </c>
      <c r="F941" s="1" t="str">
        <f aca="false">INDEX(Products!$C$2:$C$101,MATCH(D941,Products!$A$2:$A$101,0))</f>
        <v>Electronics</v>
      </c>
      <c r="G941" s="6" t="n">
        <f aca="false">Orders!E941</f>
        <v>1</v>
      </c>
      <c r="H941" s="16" t="n">
        <f aca="false">INDEX(Products!$D$2:$D$101,MATCH(D941,Products!$A$2:$A$101,0))</f>
        <v>1199</v>
      </c>
      <c r="I941" s="16" t="n">
        <f aca="false">INDEX(Products!$E$2:$E$101,MATCH(D941,Products!$A$2:$A$101,0))</f>
        <v>650</v>
      </c>
      <c r="J941" s="20" t="n">
        <f aca="false">Orders!F941</f>
        <v>0.05</v>
      </c>
      <c r="K941" s="6" t="n">
        <f aca="false">G941*H941</f>
        <v>1199</v>
      </c>
      <c r="L941" s="6" t="n">
        <f aca="false">K941*J941</f>
        <v>59.95</v>
      </c>
      <c r="M941" s="6" t="n">
        <f aca="false">K941-L941</f>
        <v>1139.05</v>
      </c>
      <c r="N941" s="6" t="n">
        <f aca="false">G941*I941</f>
        <v>650</v>
      </c>
      <c r="O941" s="6" t="n">
        <f aca="false">M941-N941</f>
        <v>489.05</v>
      </c>
      <c r="P941" s="21" t="n">
        <f aca="false">IFERROR(O941/M941,0)</f>
        <v>0.429349018919275</v>
      </c>
      <c r="Q941" s="6" t="str">
        <f aca="false">Orders!H941</f>
        <v>Delivered</v>
      </c>
      <c r="R941" s="1" t="str">
        <f aca="false">INDEX(Customers!$C$2:$C$301,MATCH(C941,Customers!$A$2:$A$301,0))</f>
        <v>Bhopal</v>
      </c>
      <c r="S941" s="1" t="str">
        <f aca="false">INDEX(Customers!$E$2:$E$301,MATCH(C941,Customers!$A$2:$A$301,0))</f>
        <v>New</v>
      </c>
      <c r="T941" s="6" t="str">
        <f aca="false">Orders!I941</f>
        <v>Website</v>
      </c>
      <c r="U941" s="1" t="str">
        <f aca="false">IF(Q941="Delivered","Completed",IF(Q941="Cancelled","Cancelled",IF(Q941="Returned","Returned","In Progress")))</f>
        <v>Completed</v>
      </c>
      <c r="V941" s="1" t="str">
        <f aca="false">IF(M941&gt;=10000,"High Value",IF(M941&gt;=5000,"Medium Value","Low Value"))</f>
        <v>Low Value</v>
      </c>
      <c r="W941" s="1" t="str">
        <f aca="false">IF(O941&gt;0,"Profitable",IF(O941=0,"Break-even","Loss"))</f>
        <v>Profitable</v>
      </c>
      <c r="X941" s="1" t="str">
        <f aca="false">IF(Q941="Cancelled","Not Applicable",IF(Q941="Processing","Pending",IF(B941="","Unknown",IF(Orders!J941="","Unknown",IF(Orders!J941&lt;=3,"Fast",IF(Orders!J941&lt;=6,"Standard","Slow"))))))</f>
        <v>Fast</v>
      </c>
      <c r="Y941" s="1" t="n">
        <f aca="false">IF(OR(Q941="Cancelled",Q941="Returned"),0,O941)</f>
        <v>489.05</v>
      </c>
    </row>
    <row r="942" customFormat="false" ht="15" hidden="false" customHeight="false" outlineLevel="0" collapsed="false">
      <c r="A942" s="6" t="str">
        <f aca="false">Orders!A942</f>
        <v>O000941</v>
      </c>
      <c r="B942" s="19" t="n">
        <f aca="false">Orders!B942</f>
        <v>45784</v>
      </c>
      <c r="C942" s="6" t="str">
        <f aca="false">Orders!C942</f>
        <v>C0054</v>
      </c>
      <c r="D942" s="6" t="str">
        <f aca="false">Orders!D942</f>
        <v>P1013</v>
      </c>
      <c r="E942" s="6" t="str">
        <f aca="false">INDEX(Products!$B$2:$B$101,MATCH(D942,Products!$A$2:$A$101,0))</f>
        <v>Memory Card</v>
      </c>
      <c r="F942" s="1" t="str">
        <f aca="false">INDEX(Products!$C$2:$C$101,MATCH(D942,Products!$A$2:$A$101,0))</f>
        <v>Electronics</v>
      </c>
      <c r="G942" s="6" t="n">
        <f aca="false">Orders!E942</f>
        <v>2</v>
      </c>
      <c r="H942" s="16" t="n">
        <f aca="false">INDEX(Products!$D$2:$D$101,MATCH(D942,Products!$A$2:$A$101,0))</f>
        <v>699</v>
      </c>
      <c r="I942" s="16" t="n">
        <f aca="false">INDEX(Products!$E$2:$E$101,MATCH(D942,Products!$A$2:$A$101,0))</f>
        <v>400</v>
      </c>
      <c r="J942" s="20" t="n">
        <f aca="false">Orders!F942</f>
        <v>0</v>
      </c>
      <c r="K942" s="6" t="n">
        <f aca="false">G942*H942</f>
        <v>1398</v>
      </c>
      <c r="L942" s="6" t="n">
        <f aca="false">K942*J942</f>
        <v>0</v>
      </c>
      <c r="M942" s="6" t="n">
        <f aca="false">K942-L942</f>
        <v>1398</v>
      </c>
      <c r="N942" s="6" t="n">
        <f aca="false">G942*I942</f>
        <v>800</v>
      </c>
      <c r="O942" s="6" t="n">
        <f aca="false">M942-N942</f>
        <v>598</v>
      </c>
      <c r="P942" s="21" t="n">
        <f aca="false">IFERROR(O942/M942,0)</f>
        <v>0.427753934191702</v>
      </c>
      <c r="Q942" s="6" t="str">
        <f aca="false">Orders!H942</f>
        <v>Delivered</v>
      </c>
      <c r="R942" s="1" t="str">
        <f aca="false">INDEX(Customers!$C$2:$C$301,MATCH(C942,Customers!$A$2:$A$301,0))</f>
        <v>Indore</v>
      </c>
      <c r="S942" s="1" t="str">
        <f aca="false">INDEX(Customers!$E$2:$E$301,MATCH(C942,Customers!$A$2:$A$301,0))</f>
        <v>New</v>
      </c>
      <c r="T942" s="6" t="str">
        <f aca="false">Orders!I942</f>
        <v>Marketplace</v>
      </c>
      <c r="U942" s="1" t="str">
        <f aca="false">IF(Q942="Delivered","Completed",IF(Q942="Cancelled","Cancelled",IF(Q942="Returned","Returned","In Progress")))</f>
        <v>Completed</v>
      </c>
      <c r="V942" s="1" t="str">
        <f aca="false">IF(M942&gt;=10000,"High Value",IF(M942&gt;=5000,"Medium Value","Low Value"))</f>
        <v>Low Value</v>
      </c>
      <c r="W942" s="1" t="str">
        <f aca="false">IF(O942&gt;0,"Profitable",IF(O942=0,"Break-even","Loss"))</f>
        <v>Profitable</v>
      </c>
      <c r="X942" s="1" t="str">
        <f aca="false">IF(Q942="Cancelled","Not Applicable",IF(Q942="Processing","Pending",IF(B942="","Unknown",IF(Orders!J942="","Unknown",IF(Orders!J942&lt;=3,"Fast",IF(Orders!J942&lt;=6,"Standard","Slow"))))))</f>
        <v>Fast</v>
      </c>
      <c r="Y942" s="1" t="n">
        <f aca="false">IF(OR(Q942="Cancelled",Q942="Returned"),0,O942)</f>
        <v>598</v>
      </c>
    </row>
    <row r="943" customFormat="false" ht="23.85" hidden="false" customHeight="false" outlineLevel="0" collapsed="false">
      <c r="A943" s="6" t="str">
        <f aca="false">Orders!A943</f>
        <v>O000942</v>
      </c>
      <c r="B943" s="19" t="n">
        <f aca="false">Orders!B943</f>
        <v>45761</v>
      </c>
      <c r="C943" s="6" t="str">
        <f aca="false">Orders!C943</f>
        <v>C0209</v>
      </c>
      <c r="D943" s="6" t="str">
        <f aca="false">Orders!D943</f>
        <v>P1012</v>
      </c>
      <c r="E943" s="6" t="str">
        <f aca="false">INDEX(Products!$B$2:$B$101,MATCH(D943,Products!$A$2:$A$101,0))</f>
        <v>Charging Adapter</v>
      </c>
      <c r="F943" s="1" t="str">
        <f aca="false">INDEX(Products!$C$2:$C$101,MATCH(D943,Products!$A$2:$A$101,0))</f>
        <v>Electronics</v>
      </c>
      <c r="G943" s="6" t="n">
        <f aca="false">Orders!E943</f>
        <v>3</v>
      </c>
      <c r="H943" s="16" t="n">
        <f aca="false">INDEX(Products!$D$2:$D$101,MATCH(D943,Products!$A$2:$A$101,0))</f>
        <v>599</v>
      </c>
      <c r="I943" s="16" t="n">
        <f aca="false">INDEX(Products!$E$2:$E$101,MATCH(D943,Products!$A$2:$A$101,0))</f>
        <v>260</v>
      </c>
      <c r="J943" s="20" t="n">
        <f aca="false">Orders!F943</f>
        <v>0.05</v>
      </c>
      <c r="K943" s="6" t="n">
        <f aca="false">G943*H943</f>
        <v>1797</v>
      </c>
      <c r="L943" s="6" t="n">
        <f aca="false">K943*J943</f>
        <v>89.85</v>
      </c>
      <c r="M943" s="6" t="n">
        <f aca="false">K943-L943</f>
        <v>1707.15</v>
      </c>
      <c r="N943" s="6" t="n">
        <f aca="false">G943*I943</f>
        <v>780</v>
      </c>
      <c r="O943" s="6" t="n">
        <f aca="false">M943-N943</f>
        <v>927.15</v>
      </c>
      <c r="P943" s="21" t="n">
        <f aca="false">IFERROR(O943/M943,0)</f>
        <v>0.543098146032862</v>
      </c>
      <c r="Q943" s="6" t="str">
        <f aca="false">Orders!H943</f>
        <v>Cancelled</v>
      </c>
      <c r="R943" s="1" t="str">
        <f aca="false">INDEX(Customers!$C$2:$C$301,MATCH(C943,Customers!$A$2:$A$301,0))</f>
        <v>Ahmedabad</v>
      </c>
      <c r="S943" s="1" t="str">
        <f aca="false">INDEX(Customers!$E$2:$E$301,MATCH(C943,Customers!$A$2:$A$301,0))</f>
        <v>Returning</v>
      </c>
      <c r="T943" s="6" t="str">
        <f aca="false">Orders!I943</f>
        <v>Mobile App</v>
      </c>
      <c r="U943" s="1" t="str">
        <f aca="false">IF(Q943="Delivered","Completed",IF(Q943="Cancelled","Cancelled",IF(Q943="Returned","Returned","In Progress")))</f>
        <v>Cancelled</v>
      </c>
      <c r="V943" s="1" t="str">
        <f aca="false">IF(M943&gt;=10000,"High Value",IF(M943&gt;=5000,"Medium Value","Low Value"))</f>
        <v>Low Value</v>
      </c>
      <c r="W943" s="1" t="str">
        <f aca="false">IF(O943&gt;0,"Profitable",IF(O943=0,"Break-even","Loss"))</f>
        <v>Profitable</v>
      </c>
      <c r="X943" s="1" t="str">
        <f aca="false">IF(Q943="Cancelled","Not Applicable",IF(Q943="Processing","Pending",IF(B943="","Unknown",IF(Orders!J943="","Unknown",IF(Orders!J943&lt;=3,"Fast",IF(Orders!J943&lt;=6,"Standard","Slow"))))))</f>
        <v>Not Applicable</v>
      </c>
      <c r="Y943" s="1" t="n">
        <f aca="false">IF(OR(Q943="Cancelled",Q943="Returned"),0,O943)</f>
        <v>0</v>
      </c>
    </row>
    <row r="944" customFormat="false" ht="15" hidden="false" customHeight="false" outlineLevel="0" collapsed="false">
      <c r="A944" s="6" t="str">
        <f aca="false">Orders!A944</f>
        <v>O000943</v>
      </c>
      <c r="B944" s="19" t="n">
        <f aca="false">Orders!B944</f>
        <v>45857</v>
      </c>
      <c r="C944" s="6" t="str">
        <f aca="false">Orders!C944</f>
        <v>C0017</v>
      </c>
      <c r="D944" s="6" t="str">
        <f aca="false">Orders!D944</f>
        <v>P1058</v>
      </c>
      <c r="E944" s="6" t="str">
        <f aca="false">INDEX(Products!$B$2:$B$101,MATCH(D944,Products!$A$2:$A$101,0))</f>
        <v>Nail Care Kit</v>
      </c>
      <c r="F944" s="1" t="str">
        <f aca="false">INDEX(Products!$C$2:$C$101,MATCH(D944,Products!$A$2:$A$101,0))</f>
        <v>Beauty</v>
      </c>
      <c r="G944" s="6" t="n">
        <f aca="false">Orders!E944</f>
        <v>1</v>
      </c>
      <c r="H944" s="16" t="n">
        <f aca="false">INDEX(Products!$D$2:$D$101,MATCH(D944,Products!$A$2:$A$101,0))</f>
        <v>399</v>
      </c>
      <c r="I944" s="16" t="n">
        <f aca="false">INDEX(Products!$E$2:$E$101,MATCH(D944,Products!$A$2:$A$101,0))</f>
        <v>170</v>
      </c>
      <c r="J944" s="20" t="n">
        <f aca="false">Orders!F944</f>
        <v>0</v>
      </c>
      <c r="K944" s="6" t="n">
        <f aca="false">G944*H944</f>
        <v>399</v>
      </c>
      <c r="L944" s="6" t="n">
        <f aca="false">K944*J944</f>
        <v>0</v>
      </c>
      <c r="M944" s="6" t="n">
        <f aca="false">K944-L944</f>
        <v>399</v>
      </c>
      <c r="N944" s="6" t="n">
        <f aca="false">G944*I944</f>
        <v>170</v>
      </c>
      <c r="O944" s="6" t="n">
        <f aca="false">M944-N944</f>
        <v>229</v>
      </c>
      <c r="P944" s="21" t="n">
        <f aca="false">IFERROR(O944/M944,0)</f>
        <v>0.573934837092732</v>
      </c>
      <c r="Q944" s="6" t="str">
        <f aca="false">Orders!H944</f>
        <v>Shipped</v>
      </c>
      <c r="R944" s="1" t="str">
        <f aca="false">INDEX(Customers!$C$2:$C$301,MATCH(C944,Customers!$A$2:$A$301,0))</f>
        <v>Surat</v>
      </c>
      <c r="S944" s="1" t="str">
        <f aca="false">INDEX(Customers!$E$2:$E$301,MATCH(C944,Customers!$A$2:$A$301,0))</f>
        <v>Returning</v>
      </c>
      <c r="T944" s="6" t="str">
        <f aca="false">Orders!I944</f>
        <v>Mobile App</v>
      </c>
      <c r="U944" s="1" t="str">
        <f aca="false">IF(Q944="Delivered","Completed",IF(Q944="Cancelled","Cancelled",IF(Q944="Returned","Returned","In Progress")))</f>
        <v>In Progress</v>
      </c>
      <c r="V944" s="1" t="str">
        <f aca="false">IF(M944&gt;=10000,"High Value",IF(M944&gt;=5000,"Medium Value","Low Value"))</f>
        <v>Low Value</v>
      </c>
      <c r="W944" s="1" t="str">
        <f aca="false">IF(O944&gt;0,"Profitable",IF(O944=0,"Break-even","Loss"))</f>
        <v>Profitable</v>
      </c>
      <c r="X944" s="1" t="str">
        <f aca="false">IF(Q944="Cancelled","Not Applicable",IF(Q944="Processing","Pending",IF(B944="","Unknown",IF(Orders!J944="","Unknown",IF(Orders!J944&lt;=3,"Fast",IF(Orders!J944&lt;=6,"Standard","Slow"))))))</f>
        <v>Standard</v>
      </c>
      <c r="Y944" s="1" t="n">
        <f aca="false">IF(OR(Q944="Cancelled",Q944="Returned"),0,O944)</f>
        <v>229</v>
      </c>
    </row>
    <row r="945" customFormat="false" ht="15" hidden="false" customHeight="false" outlineLevel="0" collapsed="false">
      <c r="A945" s="6" t="str">
        <f aca="false">Orders!A945</f>
        <v>O000944</v>
      </c>
      <c r="B945" s="19" t="n">
        <f aca="false">Orders!B945</f>
        <v>45806</v>
      </c>
      <c r="C945" s="6" t="str">
        <f aca="false">Orders!C945</f>
        <v>C0164</v>
      </c>
      <c r="D945" s="6" t="str">
        <f aca="false">Orders!D945</f>
        <v>P1009</v>
      </c>
      <c r="E945" s="6" t="str">
        <f aca="false">INDEX(Products!$B$2:$B$101,MATCH(D945,Products!$A$2:$A$101,0))</f>
        <v>Laptop Sleeve</v>
      </c>
      <c r="F945" s="1" t="str">
        <f aca="false">INDEX(Products!$C$2:$C$101,MATCH(D945,Products!$A$2:$A$101,0))</f>
        <v>Electronics</v>
      </c>
      <c r="G945" s="6" t="n">
        <f aca="false">Orders!E945</f>
        <v>3</v>
      </c>
      <c r="H945" s="16" t="n">
        <f aca="false">INDEX(Products!$D$2:$D$101,MATCH(D945,Products!$A$2:$A$101,0))</f>
        <v>799</v>
      </c>
      <c r="I945" s="16" t="n">
        <f aca="false">INDEX(Products!$E$2:$E$101,MATCH(D945,Products!$A$2:$A$101,0))</f>
        <v>350</v>
      </c>
      <c r="J945" s="20" t="n">
        <f aca="false">Orders!F945</f>
        <v>0.05</v>
      </c>
      <c r="K945" s="6" t="n">
        <f aca="false">G945*H945</f>
        <v>2397</v>
      </c>
      <c r="L945" s="6" t="n">
        <f aca="false">K945*J945</f>
        <v>119.85</v>
      </c>
      <c r="M945" s="6" t="n">
        <f aca="false">K945-L945</f>
        <v>2277.15</v>
      </c>
      <c r="N945" s="6" t="n">
        <f aca="false">G945*I945</f>
        <v>1050</v>
      </c>
      <c r="O945" s="6" t="n">
        <f aca="false">M945-N945</f>
        <v>1227.15</v>
      </c>
      <c r="P945" s="21" t="n">
        <f aca="false">IFERROR(O945/M945,0)</f>
        <v>0.53889730584283</v>
      </c>
      <c r="Q945" s="6" t="str">
        <f aca="false">Orders!H945</f>
        <v>Delivered</v>
      </c>
      <c r="R945" s="1" t="str">
        <f aca="false">INDEX(Customers!$C$2:$C$301,MATCH(C945,Customers!$A$2:$A$301,0))</f>
        <v>Hyderabad</v>
      </c>
      <c r="S945" s="1" t="str">
        <f aca="false">INDEX(Customers!$E$2:$E$301,MATCH(C945,Customers!$A$2:$A$301,0))</f>
        <v>Returning</v>
      </c>
      <c r="T945" s="6" t="str">
        <f aca="false">Orders!I945</f>
        <v>Mobile App</v>
      </c>
      <c r="U945" s="1" t="str">
        <f aca="false">IF(Q945="Delivered","Completed",IF(Q945="Cancelled","Cancelled",IF(Q945="Returned","Returned","In Progress")))</f>
        <v>Completed</v>
      </c>
      <c r="V945" s="1" t="str">
        <f aca="false">IF(M945&gt;=10000,"High Value",IF(M945&gt;=5000,"Medium Value","Low Value"))</f>
        <v>Low Value</v>
      </c>
      <c r="W945" s="1" t="str">
        <f aca="false">IF(O945&gt;0,"Profitable",IF(O945=0,"Break-even","Loss"))</f>
        <v>Profitable</v>
      </c>
      <c r="X945" s="1" t="str">
        <f aca="false">IF(Q945="Cancelled","Not Applicable",IF(Q945="Processing","Pending",IF(B945="","Unknown",IF(Orders!J945="","Unknown",IF(Orders!J945&lt;=3,"Fast",IF(Orders!J945&lt;=6,"Standard","Slow"))))))</f>
        <v>Fast</v>
      </c>
      <c r="Y945" s="1" t="n">
        <f aca="false">IF(OR(Q945="Cancelled",Q945="Returned"),0,O945)</f>
        <v>1227.15</v>
      </c>
    </row>
    <row r="946" customFormat="false" ht="15" hidden="false" customHeight="false" outlineLevel="0" collapsed="false">
      <c r="A946" s="6" t="str">
        <f aca="false">Orders!A946</f>
        <v>O000945</v>
      </c>
      <c r="B946" s="19" t="n">
        <f aca="false">Orders!B946</f>
        <v>45684</v>
      </c>
      <c r="C946" s="6" t="str">
        <f aca="false">Orders!C946</f>
        <v>C0271</v>
      </c>
      <c r="D946" s="6" t="str">
        <f aca="false">Orders!D946</f>
        <v>P1091</v>
      </c>
      <c r="E946" s="6" t="str">
        <f aca="false">INDEX(Products!$B$2:$B$101,MATCH(D946,Products!$A$2:$A$101,0))</f>
        <v>Rice Cooker</v>
      </c>
      <c r="F946" s="1" t="str">
        <f aca="false">INDEX(Products!$C$2:$C$101,MATCH(D946,Products!$A$2:$A$101,0))</f>
        <v>Appliances</v>
      </c>
      <c r="G946" s="6" t="n">
        <f aca="false">Orders!E946</f>
        <v>3</v>
      </c>
      <c r="H946" s="16" t="n">
        <f aca="false">INDEX(Products!$D$2:$D$101,MATCH(D946,Products!$A$2:$A$101,0))</f>
        <v>1999</v>
      </c>
      <c r="I946" s="16" t="n">
        <f aca="false">INDEX(Products!$E$2:$E$101,MATCH(D946,Products!$A$2:$A$101,0))</f>
        <v>1200</v>
      </c>
      <c r="J946" s="20" t="n">
        <f aca="false">Orders!F946</f>
        <v>0.05</v>
      </c>
      <c r="K946" s="6" t="n">
        <f aca="false">G946*H946</f>
        <v>5997</v>
      </c>
      <c r="L946" s="6" t="n">
        <f aca="false">K946*J946</f>
        <v>299.85</v>
      </c>
      <c r="M946" s="6" t="n">
        <f aca="false">K946-L946</f>
        <v>5697.15</v>
      </c>
      <c r="N946" s="6" t="n">
        <f aca="false">G946*I946</f>
        <v>3600</v>
      </c>
      <c r="O946" s="6" t="n">
        <f aca="false">M946-N946</f>
        <v>2097.15</v>
      </c>
      <c r="P946" s="21" t="n">
        <f aca="false">IFERROR(O946/M946,0)</f>
        <v>0.368105105184171</v>
      </c>
      <c r="Q946" s="6" t="str">
        <f aca="false">Orders!H946</f>
        <v>Processing</v>
      </c>
      <c r="R946" s="1" t="str">
        <f aca="false">INDEX(Customers!$C$2:$C$301,MATCH(C946,Customers!$A$2:$A$301,0))</f>
        <v>Gurugram</v>
      </c>
      <c r="S946" s="1" t="str">
        <f aca="false">INDEX(Customers!$E$2:$E$301,MATCH(C946,Customers!$A$2:$A$301,0))</f>
        <v>New</v>
      </c>
      <c r="T946" s="6" t="str">
        <f aca="false">Orders!I946</f>
        <v>Mobile App</v>
      </c>
      <c r="U946" s="1" t="str">
        <f aca="false">IF(Q946="Delivered","Completed",IF(Q946="Cancelled","Cancelled",IF(Q946="Returned","Returned","In Progress")))</f>
        <v>In Progress</v>
      </c>
      <c r="V946" s="1" t="str">
        <f aca="false">IF(M946&gt;=10000,"High Value",IF(M946&gt;=5000,"Medium Value","Low Value"))</f>
        <v>Medium Value</v>
      </c>
      <c r="W946" s="1" t="str">
        <f aca="false">IF(O946&gt;0,"Profitable",IF(O946=0,"Break-even","Loss"))</f>
        <v>Profitable</v>
      </c>
      <c r="X946" s="1" t="str">
        <f aca="false">IF(Q946="Cancelled","Not Applicable",IF(Q946="Processing","Pending",IF(B946="","Unknown",IF(Orders!J946="","Unknown",IF(Orders!J946&lt;=3,"Fast",IF(Orders!J946&lt;=6,"Standard","Slow"))))))</f>
        <v>Pending</v>
      </c>
      <c r="Y946" s="1" t="n">
        <f aca="false">IF(OR(Q946="Cancelled",Q946="Returned"),0,O946)</f>
        <v>2097.15</v>
      </c>
    </row>
    <row r="947" customFormat="false" ht="15" hidden="false" customHeight="false" outlineLevel="0" collapsed="false">
      <c r="A947" s="6" t="str">
        <f aca="false">Orders!A947</f>
        <v>O000946</v>
      </c>
      <c r="B947" s="19" t="n">
        <f aca="false">Orders!B947</f>
        <v>45838</v>
      </c>
      <c r="C947" s="6" t="str">
        <f aca="false">Orders!C947</f>
        <v>C0184</v>
      </c>
      <c r="D947" s="6" t="str">
        <f aca="false">Orders!D947</f>
        <v>P1040</v>
      </c>
      <c r="E947" s="6" t="str">
        <f aca="false">INDEX(Products!$B$2:$B$101,MATCH(D947,Products!$A$2:$A$101,0))</f>
        <v>Curtain Set</v>
      </c>
      <c r="F947" s="1" t="str">
        <f aca="false">INDEX(Products!$C$2:$C$101,MATCH(D947,Products!$A$2:$A$101,0))</f>
        <v>Home &amp; Kitchen</v>
      </c>
      <c r="G947" s="6" t="n">
        <f aca="false">Orders!E947</f>
        <v>2</v>
      </c>
      <c r="H947" s="16" t="n">
        <f aca="false">INDEX(Products!$D$2:$D$101,MATCH(D947,Products!$A$2:$A$101,0))</f>
        <v>1099</v>
      </c>
      <c r="I947" s="16" t="n">
        <f aca="false">INDEX(Products!$E$2:$E$101,MATCH(D947,Products!$A$2:$A$101,0))</f>
        <v>550</v>
      </c>
      <c r="J947" s="20" t="n">
        <f aca="false">Orders!F947</f>
        <v>0.15</v>
      </c>
      <c r="K947" s="6" t="n">
        <f aca="false">G947*H947</f>
        <v>2198</v>
      </c>
      <c r="L947" s="6" t="n">
        <f aca="false">K947*J947</f>
        <v>329.7</v>
      </c>
      <c r="M947" s="6" t="n">
        <f aca="false">K947-L947</f>
        <v>1868.3</v>
      </c>
      <c r="N947" s="6" t="n">
        <f aca="false">G947*I947</f>
        <v>1100</v>
      </c>
      <c r="O947" s="6" t="n">
        <f aca="false">M947-N947</f>
        <v>768.3</v>
      </c>
      <c r="P947" s="21" t="n">
        <f aca="false">IFERROR(O947/M947,0)</f>
        <v>0.411229459936841</v>
      </c>
      <c r="Q947" s="6" t="str">
        <f aca="false">Orders!H947</f>
        <v>Delivered</v>
      </c>
      <c r="R947" s="1" t="str">
        <f aca="false">INDEX(Customers!$C$2:$C$301,MATCH(C947,Customers!$A$2:$A$301,0))</f>
        <v>Hyderabad</v>
      </c>
      <c r="S947" s="1" t="str">
        <f aca="false">INDEX(Customers!$E$2:$E$301,MATCH(C947,Customers!$A$2:$A$301,0))</f>
        <v>Returning</v>
      </c>
      <c r="T947" s="6" t="str">
        <f aca="false">Orders!I947</f>
        <v>Website</v>
      </c>
      <c r="U947" s="1" t="str">
        <f aca="false">IF(Q947="Delivered","Completed",IF(Q947="Cancelled","Cancelled",IF(Q947="Returned","Returned","In Progress")))</f>
        <v>Completed</v>
      </c>
      <c r="V947" s="1" t="str">
        <f aca="false">IF(M947&gt;=10000,"High Value",IF(M947&gt;=5000,"Medium Value","Low Value"))</f>
        <v>Low Value</v>
      </c>
      <c r="W947" s="1" t="str">
        <f aca="false">IF(O947&gt;0,"Profitable",IF(O947=0,"Break-even","Loss"))</f>
        <v>Profitable</v>
      </c>
      <c r="X947" s="1" t="str">
        <f aca="false">IF(Q947="Cancelled","Not Applicable",IF(Q947="Processing","Pending",IF(B947="","Unknown",IF(Orders!J947="","Unknown",IF(Orders!J947&lt;=3,"Fast",IF(Orders!J947&lt;=6,"Standard","Slow"))))))</f>
        <v>Standard</v>
      </c>
      <c r="Y947" s="1" t="n">
        <f aca="false">IF(OR(Q947="Cancelled",Q947="Returned"),0,O947)</f>
        <v>768.3</v>
      </c>
    </row>
    <row r="948" customFormat="false" ht="15" hidden="false" customHeight="false" outlineLevel="0" collapsed="false">
      <c r="A948" s="6" t="str">
        <f aca="false">Orders!A948</f>
        <v>O000947</v>
      </c>
      <c r="B948" s="19" t="n">
        <f aca="false">Orders!B948</f>
        <v>45750</v>
      </c>
      <c r="C948" s="6" t="str">
        <f aca="false">Orders!C948</f>
        <v>C0143</v>
      </c>
      <c r="D948" s="6" t="str">
        <f aca="false">Orders!D948</f>
        <v>P1068</v>
      </c>
      <c r="E948" s="6" t="str">
        <f aca="false">INDEX(Products!$B$2:$B$101,MATCH(D948,Products!$A$2:$A$101,0))</f>
        <v>Cycling Bottle</v>
      </c>
      <c r="F948" s="1" t="str">
        <f aca="false">INDEX(Products!$C$2:$C$101,MATCH(D948,Products!$A$2:$A$101,0))</f>
        <v>Sports &amp; Outdoors</v>
      </c>
      <c r="G948" s="6" t="n">
        <f aca="false">Orders!E948</f>
        <v>2</v>
      </c>
      <c r="H948" s="16" t="n">
        <f aca="false">INDEX(Products!$D$2:$D$101,MATCH(D948,Products!$A$2:$A$101,0))</f>
        <v>349</v>
      </c>
      <c r="I948" s="16" t="n">
        <f aca="false">INDEX(Products!$E$2:$E$101,MATCH(D948,Products!$A$2:$A$101,0))</f>
        <v>120</v>
      </c>
      <c r="J948" s="20" t="n">
        <f aca="false">Orders!F948</f>
        <v>0.15</v>
      </c>
      <c r="K948" s="6" t="n">
        <f aca="false">G948*H948</f>
        <v>698</v>
      </c>
      <c r="L948" s="6" t="n">
        <f aca="false">K948*J948</f>
        <v>104.7</v>
      </c>
      <c r="M948" s="6" t="n">
        <f aca="false">K948-L948</f>
        <v>593.3</v>
      </c>
      <c r="N948" s="6" t="n">
        <f aca="false">G948*I948</f>
        <v>240</v>
      </c>
      <c r="O948" s="6" t="n">
        <f aca="false">M948-N948</f>
        <v>353.3</v>
      </c>
      <c r="P948" s="21" t="n">
        <f aca="false">IFERROR(O948/M948,0)</f>
        <v>0.59548289229732</v>
      </c>
      <c r="Q948" s="6" t="str">
        <f aca="false">Orders!H948</f>
        <v>Processing</v>
      </c>
      <c r="R948" s="1" t="str">
        <f aca="false">INDEX(Customers!$C$2:$C$301,MATCH(C948,Customers!$A$2:$A$301,0))</f>
        <v>Bengaluru</v>
      </c>
      <c r="S948" s="1" t="str">
        <f aca="false">INDEX(Customers!$E$2:$E$301,MATCH(C948,Customers!$A$2:$A$301,0))</f>
        <v>Returning</v>
      </c>
      <c r="T948" s="6" t="str">
        <f aca="false">Orders!I948</f>
        <v>Mobile App</v>
      </c>
      <c r="U948" s="1" t="str">
        <f aca="false">IF(Q948="Delivered","Completed",IF(Q948="Cancelled","Cancelled",IF(Q948="Returned","Returned","In Progress")))</f>
        <v>In Progress</v>
      </c>
      <c r="V948" s="1" t="str">
        <f aca="false">IF(M948&gt;=10000,"High Value",IF(M948&gt;=5000,"Medium Value","Low Value"))</f>
        <v>Low Value</v>
      </c>
      <c r="W948" s="1" t="str">
        <f aca="false">IF(O948&gt;0,"Profitable",IF(O948=0,"Break-even","Loss"))</f>
        <v>Profitable</v>
      </c>
      <c r="X948" s="1" t="str">
        <f aca="false">IF(Q948="Cancelled","Not Applicable",IF(Q948="Processing","Pending",IF(B948="","Unknown",IF(Orders!J948="","Unknown",IF(Orders!J948&lt;=3,"Fast",IF(Orders!J948&lt;=6,"Standard","Slow"))))))</f>
        <v>Pending</v>
      </c>
      <c r="Y948" s="1" t="n">
        <f aca="false">IF(OR(Q948="Cancelled",Q948="Returned"),0,O948)</f>
        <v>353.3</v>
      </c>
    </row>
    <row r="949" customFormat="false" ht="23.85" hidden="false" customHeight="false" outlineLevel="0" collapsed="false">
      <c r="A949" s="6" t="str">
        <f aca="false">Orders!A949</f>
        <v>O000948</v>
      </c>
      <c r="B949" s="19" t="n">
        <f aca="false">Orders!B949</f>
        <v>45733</v>
      </c>
      <c r="C949" s="6" t="str">
        <f aca="false">Orders!C949</f>
        <v>C0215</v>
      </c>
      <c r="D949" s="6" t="str">
        <f aca="false">Orders!D949</f>
        <v>P1031</v>
      </c>
      <c r="E949" s="6" t="str">
        <f aca="false">INDEX(Products!$B$2:$B$101,MATCH(D949,Products!$A$2:$A$101,0))</f>
        <v>Storage Container Set</v>
      </c>
      <c r="F949" s="1" t="str">
        <f aca="false">INDEX(Products!$C$2:$C$101,MATCH(D949,Products!$A$2:$A$101,0))</f>
        <v>Home &amp; Kitchen</v>
      </c>
      <c r="G949" s="6" t="n">
        <f aca="false">Orders!E949</f>
        <v>1</v>
      </c>
      <c r="H949" s="16" t="n">
        <f aca="false">INDEX(Products!$D$2:$D$101,MATCH(D949,Products!$A$2:$A$101,0))</f>
        <v>699</v>
      </c>
      <c r="I949" s="16" t="n">
        <f aca="false">INDEX(Products!$E$2:$E$101,MATCH(D949,Products!$A$2:$A$101,0))</f>
        <v>300</v>
      </c>
      <c r="J949" s="20" t="n">
        <f aca="false">Orders!F949</f>
        <v>0.05</v>
      </c>
      <c r="K949" s="6" t="n">
        <f aca="false">G949*H949</f>
        <v>699</v>
      </c>
      <c r="L949" s="6" t="n">
        <f aca="false">K949*J949</f>
        <v>34.95</v>
      </c>
      <c r="M949" s="6" t="n">
        <f aca="false">K949-L949</f>
        <v>664.05</v>
      </c>
      <c r="N949" s="6" t="n">
        <f aca="false">G949*I949</f>
        <v>300</v>
      </c>
      <c r="O949" s="6" t="n">
        <f aca="false">M949-N949</f>
        <v>364.05</v>
      </c>
      <c r="P949" s="21" t="n">
        <f aca="false">IFERROR(O949/M949,0)</f>
        <v>0.548226790151344</v>
      </c>
      <c r="Q949" s="6" t="str">
        <f aca="false">Orders!H949</f>
        <v>Delivered</v>
      </c>
      <c r="R949" s="1" t="str">
        <f aca="false">INDEX(Customers!$C$2:$C$301,MATCH(C949,Customers!$A$2:$A$301,0))</f>
        <v>Bhopal</v>
      </c>
      <c r="S949" s="1" t="str">
        <f aca="false">INDEX(Customers!$E$2:$E$301,MATCH(C949,Customers!$A$2:$A$301,0))</f>
        <v>Returning</v>
      </c>
      <c r="T949" s="6" t="str">
        <f aca="false">Orders!I949</f>
        <v>Website</v>
      </c>
      <c r="U949" s="1" t="str">
        <f aca="false">IF(Q949="Delivered","Completed",IF(Q949="Cancelled","Cancelled",IF(Q949="Returned","Returned","In Progress")))</f>
        <v>Completed</v>
      </c>
      <c r="V949" s="1" t="str">
        <f aca="false">IF(M949&gt;=10000,"High Value",IF(M949&gt;=5000,"Medium Value","Low Value"))</f>
        <v>Low Value</v>
      </c>
      <c r="W949" s="1" t="str">
        <f aca="false">IF(O949&gt;0,"Profitable",IF(O949=0,"Break-even","Loss"))</f>
        <v>Profitable</v>
      </c>
      <c r="X949" s="1" t="str">
        <f aca="false">IF(Q949="Cancelled","Not Applicable",IF(Q949="Processing","Pending",IF(B949="","Unknown",IF(Orders!J949="","Unknown",IF(Orders!J949&lt;=3,"Fast",IF(Orders!J949&lt;=6,"Standard","Slow"))))))</f>
        <v>Standard</v>
      </c>
      <c r="Y949" s="1" t="n">
        <f aca="false">IF(OR(Q949="Cancelled",Q949="Returned"),0,O949)</f>
        <v>364.05</v>
      </c>
    </row>
    <row r="950" customFormat="false" ht="23.85" hidden="false" customHeight="false" outlineLevel="0" collapsed="false">
      <c r="A950" s="6" t="str">
        <f aca="false">Orders!A950</f>
        <v>O000949</v>
      </c>
      <c r="B950" s="19" t="n">
        <f aca="false">Orders!B950</f>
        <v>45706</v>
      </c>
      <c r="C950" s="6" t="str">
        <f aca="false">Orders!C950</f>
        <v>C0167</v>
      </c>
      <c r="D950" s="6" t="str">
        <f aca="false">Orders!D950</f>
        <v>P1072</v>
      </c>
      <c r="E950" s="6" t="str">
        <f aca="false">INDEX(Products!$B$2:$B$101,MATCH(D950,Products!$A$2:$A$101,0))</f>
        <v>Tennis Balls Pack</v>
      </c>
      <c r="F950" s="1" t="str">
        <f aca="false">INDEX(Products!$C$2:$C$101,MATCH(D950,Products!$A$2:$A$101,0))</f>
        <v>Sports &amp; Outdoors</v>
      </c>
      <c r="G950" s="6" t="n">
        <f aca="false">Orders!E950</f>
        <v>1</v>
      </c>
      <c r="H950" s="16" t="n">
        <f aca="false">INDEX(Products!$D$2:$D$101,MATCH(D950,Products!$A$2:$A$101,0))</f>
        <v>399</v>
      </c>
      <c r="I950" s="16" t="n">
        <f aca="false">INDEX(Products!$E$2:$E$101,MATCH(D950,Products!$A$2:$A$101,0))</f>
        <v>160</v>
      </c>
      <c r="J950" s="20" t="n">
        <f aca="false">Orders!F950</f>
        <v>0.1</v>
      </c>
      <c r="K950" s="6" t="n">
        <f aca="false">G950*H950</f>
        <v>399</v>
      </c>
      <c r="L950" s="6" t="n">
        <f aca="false">K950*J950</f>
        <v>39.9</v>
      </c>
      <c r="M950" s="6" t="n">
        <f aca="false">K950-L950</f>
        <v>359.1</v>
      </c>
      <c r="N950" s="6" t="n">
        <f aca="false">G950*I950</f>
        <v>160</v>
      </c>
      <c r="O950" s="6" t="n">
        <f aca="false">M950-N950</f>
        <v>199.1</v>
      </c>
      <c r="P950" s="21" t="n">
        <f aca="false">IFERROR(O950/M950,0)</f>
        <v>0.554441659704818</v>
      </c>
      <c r="Q950" s="6" t="str">
        <f aca="false">Orders!H950</f>
        <v>Delivered</v>
      </c>
      <c r="R950" s="1" t="str">
        <f aca="false">INDEX(Customers!$C$2:$C$301,MATCH(C950,Customers!$A$2:$A$301,0))</f>
        <v>Pune</v>
      </c>
      <c r="S950" s="1" t="str">
        <f aca="false">INDEX(Customers!$E$2:$E$301,MATCH(C950,Customers!$A$2:$A$301,0))</f>
        <v>Returning</v>
      </c>
      <c r="T950" s="6" t="str">
        <f aca="false">Orders!I950</f>
        <v>Website</v>
      </c>
      <c r="U950" s="1" t="str">
        <f aca="false">IF(Q950="Delivered","Completed",IF(Q950="Cancelled","Cancelled",IF(Q950="Returned","Returned","In Progress")))</f>
        <v>Completed</v>
      </c>
      <c r="V950" s="1" t="str">
        <f aca="false">IF(M950&gt;=10000,"High Value",IF(M950&gt;=5000,"Medium Value","Low Value"))</f>
        <v>Low Value</v>
      </c>
      <c r="W950" s="1" t="str">
        <f aca="false">IF(O950&gt;0,"Profitable",IF(O950=0,"Break-even","Loss"))</f>
        <v>Profitable</v>
      </c>
      <c r="X950" s="1" t="str">
        <f aca="false">IF(Q950="Cancelled","Not Applicable",IF(Q950="Processing","Pending",IF(B950="","Unknown",IF(Orders!J950="","Unknown",IF(Orders!J950&lt;=3,"Fast",IF(Orders!J950&lt;=6,"Standard","Slow"))))))</f>
        <v>Standard</v>
      </c>
      <c r="Y950" s="1" t="n">
        <f aca="false">IF(OR(Q950="Cancelled",Q950="Returned"),0,O950)</f>
        <v>199.1</v>
      </c>
    </row>
    <row r="951" customFormat="false" ht="15" hidden="false" customHeight="false" outlineLevel="0" collapsed="false">
      <c r="A951" s="6" t="str">
        <f aca="false">Orders!A951</f>
        <v>O000950</v>
      </c>
      <c r="B951" s="19" t="n">
        <f aca="false">Orders!B951</f>
        <v>45798</v>
      </c>
      <c r="C951" s="6" t="str">
        <f aca="false">Orders!C951</f>
        <v>C0079</v>
      </c>
      <c r="D951" s="6" t="str">
        <f aca="false">Orders!D951</f>
        <v>P1024</v>
      </c>
      <c r="E951" s="6" t="str">
        <f aca="false">INDEX(Products!$B$2:$B$101,MATCH(D951,Products!$A$2:$A$101,0))</f>
        <v>Kurta</v>
      </c>
      <c r="F951" s="1" t="str">
        <f aca="false">INDEX(Products!$C$2:$C$101,MATCH(D951,Products!$A$2:$A$101,0))</f>
        <v>Fashion</v>
      </c>
      <c r="G951" s="6" t="n">
        <f aca="false">Orders!E951</f>
        <v>1</v>
      </c>
      <c r="H951" s="16" t="n">
        <f aca="false">INDEX(Products!$D$2:$D$101,MATCH(D951,Products!$A$2:$A$101,0))</f>
        <v>999</v>
      </c>
      <c r="I951" s="16" t="n">
        <f aca="false">INDEX(Products!$E$2:$E$101,MATCH(D951,Products!$A$2:$A$101,0))</f>
        <v>450</v>
      </c>
      <c r="J951" s="20" t="n">
        <f aca="false">Orders!F951</f>
        <v>0.05</v>
      </c>
      <c r="K951" s="6" t="n">
        <f aca="false">G951*H951</f>
        <v>999</v>
      </c>
      <c r="L951" s="6" t="n">
        <f aca="false">K951*J951</f>
        <v>49.95</v>
      </c>
      <c r="M951" s="6" t="n">
        <f aca="false">K951-L951</f>
        <v>949.05</v>
      </c>
      <c r="N951" s="6" t="n">
        <f aca="false">G951*I951</f>
        <v>450</v>
      </c>
      <c r="O951" s="6" t="n">
        <f aca="false">M951-N951</f>
        <v>499.05</v>
      </c>
      <c r="P951" s="21" t="n">
        <f aca="false">IFERROR(O951/M951,0)</f>
        <v>0.525841631104789</v>
      </c>
      <c r="Q951" s="6" t="str">
        <f aca="false">Orders!H951</f>
        <v>Cancelled</v>
      </c>
      <c r="R951" s="1" t="str">
        <f aca="false">INDEX(Customers!$C$2:$C$301,MATCH(C951,Customers!$A$2:$A$301,0))</f>
        <v>Coimbatore</v>
      </c>
      <c r="S951" s="1" t="str">
        <f aca="false">INDEX(Customers!$E$2:$E$301,MATCH(C951,Customers!$A$2:$A$301,0))</f>
        <v>Returning</v>
      </c>
      <c r="T951" s="6" t="str">
        <f aca="false">Orders!I951</f>
        <v>Mobile App</v>
      </c>
      <c r="U951" s="1" t="str">
        <f aca="false">IF(Q951="Delivered","Completed",IF(Q951="Cancelled","Cancelled",IF(Q951="Returned","Returned","In Progress")))</f>
        <v>Cancelled</v>
      </c>
      <c r="V951" s="1" t="str">
        <f aca="false">IF(M951&gt;=10000,"High Value",IF(M951&gt;=5000,"Medium Value","Low Value"))</f>
        <v>Low Value</v>
      </c>
      <c r="W951" s="1" t="str">
        <f aca="false">IF(O951&gt;0,"Profitable",IF(O951=0,"Break-even","Loss"))</f>
        <v>Profitable</v>
      </c>
      <c r="X951" s="1" t="str">
        <f aca="false">IF(Q951="Cancelled","Not Applicable",IF(Q951="Processing","Pending",IF(B951="","Unknown",IF(Orders!J951="","Unknown",IF(Orders!J951&lt;=3,"Fast",IF(Orders!J951&lt;=6,"Standard","Slow"))))))</f>
        <v>Not Applicable</v>
      </c>
      <c r="Y951" s="1" t="n">
        <f aca="false">IF(OR(Q951="Cancelled",Q951="Returned"),0,O951)</f>
        <v>0</v>
      </c>
    </row>
    <row r="952" customFormat="false" ht="23.85" hidden="false" customHeight="false" outlineLevel="0" collapsed="false">
      <c r="A952" s="6" t="str">
        <f aca="false">Orders!A952</f>
        <v>O000951</v>
      </c>
      <c r="B952" s="19" t="n">
        <f aca="false">Orders!B952</f>
        <v>45811</v>
      </c>
      <c r="C952" s="6" t="str">
        <f aca="false">Orders!C952</f>
        <v>C0076</v>
      </c>
      <c r="D952" s="6" t="str">
        <f aca="false">Orders!D952</f>
        <v>P1069</v>
      </c>
      <c r="E952" s="6" t="str">
        <f aca="false">INDEX(Products!$B$2:$B$101,MATCH(D952,Products!$A$2:$A$101,0))</f>
        <v>Sports Duffel Bag</v>
      </c>
      <c r="F952" s="1" t="str">
        <f aca="false">INDEX(Products!$C$2:$C$101,MATCH(D952,Products!$A$2:$A$101,0))</f>
        <v>Sports &amp; Outdoors</v>
      </c>
      <c r="G952" s="6" t="n">
        <f aca="false">Orders!E952</f>
        <v>3</v>
      </c>
      <c r="H952" s="16" t="n">
        <f aca="false">INDEX(Products!$D$2:$D$101,MATCH(D952,Products!$A$2:$A$101,0))</f>
        <v>999</v>
      </c>
      <c r="I952" s="16" t="n">
        <f aca="false">INDEX(Products!$E$2:$E$101,MATCH(D952,Products!$A$2:$A$101,0))</f>
        <v>500</v>
      </c>
      <c r="J952" s="20" t="n">
        <f aca="false">Orders!F952</f>
        <v>0.2</v>
      </c>
      <c r="K952" s="6" t="n">
        <f aca="false">G952*H952</f>
        <v>2997</v>
      </c>
      <c r="L952" s="6" t="n">
        <f aca="false">K952*J952</f>
        <v>599.4</v>
      </c>
      <c r="M952" s="6" t="n">
        <f aca="false">K952-L952</f>
        <v>2397.6</v>
      </c>
      <c r="N952" s="6" t="n">
        <f aca="false">G952*I952</f>
        <v>1500</v>
      </c>
      <c r="O952" s="6" t="n">
        <f aca="false">M952-N952</f>
        <v>897.6</v>
      </c>
      <c r="P952" s="21" t="n">
        <f aca="false">IFERROR(O952/M952,0)</f>
        <v>0.374374374374374</v>
      </c>
      <c r="Q952" s="6" t="str">
        <f aca="false">Orders!H952</f>
        <v>Delivered</v>
      </c>
      <c r="R952" s="1" t="str">
        <f aca="false">INDEX(Customers!$C$2:$C$301,MATCH(C952,Customers!$A$2:$A$301,0))</f>
        <v>Chandigarh</v>
      </c>
      <c r="S952" s="1" t="str">
        <f aca="false">INDEX(Customers!$E$2:$E$301,MATCH(C952,Customers!$A$2:$A$301,0))</f>
        <v>Returning</v>
      </c>
      <c r="T952" s="6" t="str">
        <f aca="false">Orders!I952</f>
        <v>Mobile App</v>
      </c>
      <c r="U952" s="1" t="str">
        <f aca="false">IF(Q952="Delivered","Completed",IF(Q952="Cancelled","Cancelled",IF(Q952="Returned","Returned","In Progress")))</f>
        <v>Completed</v>
      </c>
      <c r="V952" s="1" t="str">
        <f aca="false">IF(M952&gt;=10000,"High Value",IF(M952&gt;=5000,"Medium Value","Low Value"))</f>
        <v>Low Value</v>
      </c>
      <c r="W952" s="1" t="str">
        <f aca="false">IF(O952&gt;0,"Profitable",IF(O952=0,"Break-even","Loss"))</f>
        <v>Profitable</v>
      </c>
      <c r="X952" s="1" t="str">
        <f aca="false">IF(Q952="Cancelled","Not Applicable",IF(Q952="Processing","Pending",IF(B952="","Unknown",IF(Orders!J952="","Unknown",IF(Orders!J952&lt;=3,"Fast",IF(Orders!J952&lt;=6,"Standard","Slow"))))))</f>
        <v>Standard</v>
      </c>
      <c r="Y952" s="1" t="n">
        <f aca="false">IF(OR(Q952="Cancelled",Q952="Returned"),0,O952)</f>
        <v>897.6</v>
      </c>
    </row>
    <row r="953" customFormat="false" ht="15" hidden="false" customHeight="false" outlineLevel="0" collapsed="false">
      <c r="A953" s="6" t="str">
        <f aca="false">Orders!A953</f>
        <v>O000952</v>
      </c>
      <c r="B953" s="19" t="n">
        <f aca="false">Orders!B953</f>
        <v>45815</v>
      </c>
      <c r="C953" s="6" t="str">
        <f aca="false">Orders!C953</f>
        <v>C0024</v>
      </c>
      <c r="D953" s="6" t="str">
        <f aca="false">Orders!D953</f>
        <v>P1008</v>
      </c>
      <c r="E953" s="6" t="str">
        <f aca="false">INDEX(Products!$B$2:$B$101,MATCH(D953,Products!$A$2:$A$101,0))</f>
        <v>Phone Stand</v>
      </c>
      <c r="F953" s="1" t="str">
        <f aca="false">INDEX(Products!$C$2:$C$101,MATCH(D953,Products!$A$2:$A$101,0))</f>
        <v>Electronics</v>
      </c>
      <c r="G953" s="6" t="n">
        <f aca="false">Orders!E953</f>
        <v>1</v>
      </c>
      <c r="H953" s="16" t="n">
        <f aca="false">INDEX(Products!$D$2:$D$101,MATCH(D953,Products!$A$2:$A$101,0))</f>
        <v>399</v>
      </c>
      <c r="I953" s="16" t="n">
        <f aca="false">INDEX(Products!$E$2:$E$101,MATCH(D953,Products!$A$2:$A$101,0))</f>
        <v>150</v>
      </c>
      <c r="J953" s="20" t="n">
        <f aca="false">Orders!F953</f>
        <v>0.25</v>
      </c>
      <c r="K953" s="6" t="n">
        <f aca="false">G953*H953</f>
        <v>399</v>
      </c>
      <c r="L953" s="6" t="n">
        <f aca="false">K953*J953</f>
        <v>99.75</v>
      </c>
      <c r="M953" s="6" t="n">
        <f aca="false">K953-L953</f>
        <v>299.25</v>
      </c>
      <c r="N953" s="6" t="n">
        <f aca="false">G953*I953</f>
        <v>150</v>
      </c>
      <c r="O953" s="6" t="n">
        <f aca="false">M953-N953</f>
        <v>149.25</v>
      </c>
      <c r="P953" s="21" t="n">
        <f aca="false">IFERROR(O953/M953,0)</f>
        <v>0.49874686716792</v>
      </c>
      <c r="Q953" s="6" t="str">
        <f aca="false">Orders!H953</f>
        <v>Shipped</v>
      </c>
      <c r="R953" s="1" t="str">
        <f aca="false">INDEX(Customers!$C$2:$C$301,MATCH(C953,Customers!$A$2:$A$301,0))</f>
        <v>Hyderabad</v>
      </c>
      <c r="S953" s="1" t="str">
        <f aca="false">INDEX(Customers!$E$2:$E$301,MATCH(C953,Customers!$A$2:$A$301,0))</f>
        <v>Returning</v>
      </c>
      <c r="T953" s="6" t="str">
        <f aca="false">Orders!I953</f>
        <v>Marketplace</v>
      </c>
      <c r="U953" s="1" t="str">
        <f aca="false">IF(Q953="Delivered","Completed",IF(Q953="Cancelled","Cancelled",IF(Q953="Returned","Returned","In Progress")))</f>
        <v>In Progress</v>
      </c>
      <c r="V953" s="1" t="str">
        <f aca="false">IF(M953&gt;=10000,"High Value",IF(M953&gt;=5000,"Medium Value","Low Value"))</f>
        <v>Low Value</v>
      </c>
      <c r="W953" s="1" t="str">
        <f aca="false">IF(O953&gt;0,"Profitable",IF(O953=0,"Break-even","Loss"))</f>
        <v>Profitable</v>
      </c>
      <c r="X953" s="1" t="str">
        <f aca="false">IF(Q953="Cancelled","Not Applicable",IF(Q953="Processing","Pending",IF(B953="","Unknown",IF(Orders!J953="","Unknown",IF(Orders!J953&lt;=3,"Fast",IF(Orders!J953&lt;=6,"Standard","Slow"))))))</f>
        <v>Standard</v>
      </c>
      <c r="Y953" s="1" t="n">
        <f aca="false">IF(OR(Q953="Cancelled",Q953="Returned"),0,O953)</f>
        <v>149.25</v>
      </c>
    </row>
    <row r="954" customFormat="false" ht="15" hidden="false" customHeight="false" outlineLevel="0" collapsed="false">
      <c r="A954" s="6" t="str">
        <f aca="false">Orders!A954</f>
        <v>O000953</v>
      </c>
      <c r="B954" s="19" t="n">
        <f aca="false">Orders!B954</f>
        <v>45996</v>
      </c>
      <c r="C954" s="6" t="str">
        <f aca="false">Orders!C954</f>
        <v>C0106</v>
      </c>
      <c r="D954" s="6" t="str">
        <f aca="false">Orders!D954</f>
        <v>P1050</v>
      </c>
      <c r="E954" s="6" t="str">
        <f aca="false">INDEX(Products!$B$2:$B$101,MATCH(D954,Products!$A$2:$A$101,0))</f>
        <v>Hair Serum</v>
      </c>
      <c r="F954" s="1" t="str">
        <f aca="false">INDEX(Products!$C$2:$C$101,MATCH(D954,Products!$A$2:$A$101,0))</f>
        <v>Beauty</v>
      </c>
      <c r="G954" s="6" t="n">
        <f aca="false">Orders!E954</f>
        <v>1</v>
      </c>
      <c r="H954" s="16" t="n">
        <f aca="false">INDEX(Products!$D$2:$D$101,MATCH(D954,Products!$A$2:$A$101,0))</f>
        <v>449</v>
      </c>
      <c r="I954" s="16" t="n">
        <f aca="false">INDEX(Products!$E$2:$E$101,MATCH(D954,Products!$A$2:$A$101,0))</f>
        <v>190</v>
      </c>
      <c r="J954" s="20" t="n">
        <f aca="false">Orders!F954</f>
        <v>0.1</v>
      </c>
      <c r="K954" s="6" t="n">
        <f aca="false">G954*H954</f>
        <v>449</v>
      </c>
      <c r="L954" s="6" t="n">
        <f aca="false">K954*J954</f>
        <v>44.9</v>
      </c>
      <c r="M954" s="6" t="n">
        <f aca="false">K954-L954</f>
        <v>404.1</v>
      </c>
      <c r="N954" s="6" t="n">
        <f aca="false">G954*I954</f>
        <v>190</v>
      </c>
      <c r="O954" s="6" t="n">
        <f aca="false">M954-N954</f>
        <v>214.1</v>
      </c>
      <c r="P954" s="21" t="n">
        <f aca="false">IFERROR(O954/M954,0)</f>
        <v>0.529819351645632</v>
      </c>
      <c r="Q954" s="6" t="str">
        <f aca="false">Orders!H954</f>
        <v>Delivered</v>
      </c>
      <c r="R954" s="1" t="str">
        <f aca="false">INDEX(Customers!$C$2:$C$301,MATCH(C954,Customers!$A$2:$A$301,0))</f>
        <v>Kolkata</v>
      </c>
      <c r="S954" s="1" t="str">
        <f aca="false">INDEX(Customers!$E$2:$E$301,MATCH(C954,Customers!$A$2:$A$301,0))</f>
        <v>New</v>
      </c>
      <c r="T954" s="6" t="str">
        <f aca="false">Orders!I954</f>
        <v>Mobile App</v>
      </c>
      <c r="U954" s="1" t="str">
        <f aca="false">IF(Q954="Delivered","Completed",IF(Q954="Cancelled","Cancelled",IF(Q954="Returned","Returned","In Progress")))</f>
        <v>Completed</v>
      </c>
      <c r="V954" s="1" t="str">
        <f aca="false">IF(M954&gt;=10000,"High Value",IF(M954&gt;=5000,"Medium Value","Low Value"))</f>
        <v>Low Value</v>
      </c>
      <c r="W954" s="1" t="str">
        <f aca="false">IF(O954&gt;0,"Profitable",IF(O954=0,"Break-even","Loss"))</f>
        <v>Profitable</v>
      </c>
      <c r="X954" s="1" t="str">
        <f aca="false">IF(Q954="Cancelled","Not Applicable",IF(Q954="Processing","Pending",IF(B954="","Unknown",IF(Orders!J954="","Unknown",IF(Orders!J954&lt;=3,"Fast",IF(Orders!J954&lt;=6,"Standard","Slow"))))))</f>
        <v>Slow</v>
      </c>
      <c r="Y954" s="1" t="n">
        <f aca="false">IF(OR(Q954="Cancelled",Q954="Returned"),0,O954)</f>
        <v>214.1</v>
      </c>
    </row>
    <row r="955" customFormat="false" ht="15" hidden="false" customHeight="false" outlineLevel="0" collapsed="false">
      <c r="A955" s="6" t="str">
        <f aca="false">Orders!A955</f>
        <v>O000954</v>
      </c>
      <c r="B955" s="19" t="n">
        <f aca="false">Orders!B955</f>
        <v>45777</v>
      </c>
      <c r="C955" s="6" t="str">
        <f aca="false">Orders!C955</f>
        <v>C0039</v>
      </c>
      <c r="D955" s="6" t="str">
        <f aca="false">Orders!D955</f>
        <v>P1021</v>
      </c>
      <c r="E955" s="6" t="str">
        <f aca="false">INDEX(Products!$B$2:$B$101,MATCH(D955,Products!$A$2:$A$101,0))</f>
        <v>Handbag</v>
      </c>
      <c r="F955" s="1" t="str">
        <f aca="false">INDEX(Products!$C$2:$C$101,MATCH(D955,Products!$A$2:$A$101,0))</f>
        <v>Fashion</v>
      </c>
      <c r="G955" s="6" t="n">
        <f aca="false">Orders!E955</f>
        <v>3</v>
      </c>
      <c r="H955" s="16" t="n">
        <f aca="false">INDEX(Products!$D$2:$D$101,MATCH(D955,Products!$A$2:$A$101,0))</f>
        <v>1499</v>
      </c>
      <c r="I955" s="16" t="n">
        <f aca="false">INDEX(Products!$E$2:$E$101,MATCH(D955,Products!$A$2:$A$101,0))</f>
        <v>700</v>
      </c>
      <c r="J955" s="20" t="n">
        <f aca="false">Orders!F955</f>
        <v>0.25</v>
      </c>
      <c r="K955" s="6" t="n">
        <f aca="false">G955*H955</f>
        <v>4497</v>
      </c>
      <c r="L955" s="6" t="n">
        <f aca="false">K955*J955</f>
        <v>1124.25</v>
      </c>
      <c r="M955" s="6" t="n">
        <f aca="false">K955-L955</f>
        <v>3372.75</v>
      </c>
      <c r="N955" s="6" t="n">
        <f aca="false">G955*I955</f>
        <v>2100</v>
      </c>
      <c r="O955" s="6" t="n">
        <f aca="false">M955-N955</f>
        <v>1272.75</v>
      </c>
      <c r="P955" s="21" t="n">
        <f aca="false">IFERROR(O955/M955,0)</f>
        <v>0.377362686235268</v>
      </c>
      <c r="Q955" s="6" t="str">
        <f aca="false">Orders!H955</f>
        <v>Delivered</v>
      </c>
      <c r="R955" s="1" t="str">
        <f aca="false">INDEX(Customers!$C$2:$C$301,MATCH(C955,Customers!$A$2:$A$301,0))</f>
        <v>Coimbatore</v>
      </c>
      <c r="S955" s="1" t="str">
        <f aca="false">INDEX(Customers!$E$2:$E$301,MATCH(C955,Customers!$A$2:$A$301,0))</f>
        <v>Returning</v>
      </c>
      <c r="T955" s="6" t="str">
        <f aca="false">Orders!I955</f>
        <v>Mobile App</v>
      </c>
      <c r="U955" s="1" t="str">
        <f aca="false">IF(Q955="Delivered","Completed",IF(Q955="Cancelled","Cancelled",IF(Q955="Returned","Returned","In Progress")))</f>
        <v>Completed</v>
      </c>
      <c r="V955" s="1" t="str">
        <f aca="false">IF(M955&gt;=10000,"High Value",IF(M955&gt;=5000,"Medium Value","Low Value"))</f>
        <v>Low Value</v>
      </c>
      <c r="W955" s="1" t="str">
        <f aca="false">IF(O955&gt;0,"Profitable",IF(O955=0,"Break-even","Loss"))</f>
        <v>Profitable</v>
      </c>
      <c r="X955" s="1" t="str">
        <f aca="false">IF(Q955="Cancelled","Not Applicable",IF(Q955="Processing","Pending",IF(B955="","Unknown",IF(Orders!J955="","Unknown",IF(Orders!J955&lt;=3,"Fast",IF(Orders!J955&lt;=6,"Standard","Slow"))))))</f>
        <v>Standard</v>
      </c>
      <c r="Y955" s="1" t="n">
        <f aca="false">IF(OR(Q955="Cancelled",Q955="Returned"),0,O955)</f>
        <v>1272.75</v>
      </c>
    </row>
    <row r="956" customFormat="false" ht="23.85" hidden="false" customHeight="false" outlineLevel="0" collapsed="false">
      <c r="A956" s="6" t="str">
        <f aca="false">Orders!A956</f>
        <v>O000955</v>
      </c>
      <c r="B956" s="19" t="n">
        <f aca="false">Orders!B956</f>
        <v>45671</v>
      </c>
      <c r="C956" s="6" t="str">
        <f aca="false">Orders!C956</f>
        <v>C0178</v>
      </c>
      <c r="D956" s="6" t="str">
        <f aca="false">Orders!D956</f>
        <v>P1070</v>
      </c>
      <c r="E956" s="6" t="str">
        <f aca="false">INDEX(Products!$B$2:$B$101,MATCH(D956,Products!$A$2:$A$101,0))</f>
        <v>Knee Support Pair</v>
      </c>
      <c r="F956" s="1" t="str">
        <f aca="false">INDEX(Products!$C$2:$C$101,MATCH(D956,Products!$A$2:$A$101,0))</f>
        <v>Sports &amp; Outdoors</v>
      </c>
      <c r="G956" s="6" t="n">
        <f aca="false">Orders!E956</f>
        <v>1</v>
      </c>
      <c r="H956" s="16" t="n">
        <f aca="false">INDEX(Products!$D$2:$D$101,MATCH(D956,Products!$A$2:$A$101,0))</f>
        <v>449</v>
      </c>
      <c r="I956" s="16" t="n">
        <f aca="false">INDEX(Products!$E$2:$E$101,MATCH(D956,Products!$A$2:$A$101,0))</f>
        <v>180</v>
      </c>
      <c r="J956" s="20" t="n">
        <f aca="false">Orders!F956</f>
        <v>0</v>
      </c>
      <c r="K956" s="6" t="n">
        <f aca="false">G956*H956</f>
        <v>449</v>
      </c>
      <c r="L956" s="6" t="n">
        <f aca="false">K956*J956</f>
        <v>0</v>
      </c>
      <c r="M956" s="6" t="n">
        <f aca="false">K956-L956</f>
        <v>449</v>
      </c>
      <c r="N956" s="6" t="n">
        <f aca="false">G956*I956</f>
        <v>180</v>
      </c>
      <c r="O956" s="6" t="n">
        <f aca="false">M956-N956</f>
        <v>269</v>
      </c>
      <c r="P956" s="21" t="n">
        <f aca="false">IFERROR(O956/M956,0)</f>
        <v>0.599109131403118</v>
      </c>
      <c r="Q956" s="6" t="str">
        <f aca="false">Orders!H956</f>
        <v>Delivered</v>
      </c>
      <c r="R956" s="1" t="str">
        <f aca="false">INDEX(Customers!$C$2:$C$301,MATCH(C956,Customers!$A$2:$A$301,0))</f>
        <v>Nagpur</v>
      </c>
      <c r="S956" s="1" t="str">
        <f aca="false">INDEX(Customers!$E$2:$E$301,MATCH(C956,Customers!$A$2:$A$301,0))</f>
        <v>VIP</v>
      </c>
      <c r="T956" s="6" t="str">
        <f aca="false">Orders!I956</f>
        <v>Mobile App</v>
      </c>
      <c r="U956" s="1" t="str">
        <f aca="false">IF(Q956="Delivered","Completed",IF(Q956="Cancelled","Cancelled",IF(Q956="Returned","Returned","In Progress")))</f>
        <v>Completed</v>
      </c>
      <c r="V956" s="1" t="str">
        <f aca="false">IF(M956&gt;=10000,"High Value",IF(M956&gt;=5000,"Medium Value","Low Value"))</f>
        <v>Low Value</v>
      </c>
      <c r="W956" s="1" t="str">
        <f aca="false">IF(O956&gt;0,"Profitable",IF(O956=0,"Break-even","Loss"))</f>
        <v>Profitable</v>
      </c>
      <c r="X956" s="1" t="str">
        <f aca="false">IF(Q956="Cancelled","Not Applicable",IF(Q956="Processing","Pending",IF(B956="","Unknown",IF(Orders!J956="","Unknown",IF(Orders!J956&lt;=3,"Fast",IF(Orders!J956&lt;=6,"Standard","Slow"))))))</f>
        <v>Standard</v>
      </c>
      <c r="Y956" s="1" t="n">
        <f aca="false">IF(OR(Q956="Cancelled",Q956="Returned"),0,O956)</f>
        <v>269</v>
      </c>
    </row>
    <row r="957" customFormat="false" ht="15" hidden="false" customHeight="false" outlineLevel="0" collapsed="false">
      <c r="A957" s="6" t="str">
        <f aca="false">Orders!A957</f>
        <v>O000956</v>
      </c>
      <c r="B957" s="19" t="n">
        <f aca="false">Orders!B957</f>
        <v>45735</v>
      </c>
      <c r="C957" s="6" t="str">
        <f aca="false">Orders!C957</f>
        <v>C0100</v>
      </c>
      <c r="D957" s="6" t="str">
        <f aca="false">Orders!D957</f>
        <v>P1055</v>
      </c>
      <c r="E957" s="6" t="str">
        <f aca="false">INDEX(Products!$B$2:$B$101,MATCH(D957,Products!$A$2:$A$101,0))</f>
        <v>Perfume</v>
      </c>
      <c r="F957" s="1" t="str">
        <f aca="false">INDEX(Products!$C$2:$C$101,MATCH(D957,Products!$A$2:$A$101,0))</f>
        <v>Beauty</v>
      </c>
      <c r="G957" s="6" t="n">
        <f aca="false">Orders!E957</f>
        <v>1</v>
      </c>
      <c r="H957" s="16" t="n">
        <f aca="false">INDEX(Products!$D$2:$D$101,MATCH(D957,Products!$A$2:$A$101,0))</f>
        <v>999</v>
      </c>
      <c r="I957" s="16" t="n">
        <f aca="false">INDEX(Products!$E$2:$E$101,MATCH(D957,Products!$A$2:$A$101,0))</f>
        <v>500</v>
      </c>
      <c r="J957" s="20" t="n">
        <f aca="false">Orders!F957</f>
        <v>0.15</v>
      </c>
      <c r="K957" s="6" t="n">
        <f aca="false">G957*H957</f>
        <v>999</v>
      </c>
      <c r="L957" s="6" t="n">
        <f aca="false">K957*J957</f>
        <v>149.85</v>
      </c>
      <c r="M957" s="6" t="n">
        <f aca="false">K957-L957</f>
        <v>849.15</v>
      </c>
      <c r="N957" s="6" t="n">
        <f aca="false">G957*I957</f>
        <v>500</v>
      </c>
      <c r="O957" s="6" t="n">
        <f aca="false">M957-N957</f>
        <v>349.15</v>
      </c>
      <c r="P957" s="21" t="n">
        <f aca="false">IFERROR(O957/M957,0)</f>
        <v>0.411175881764117</v>
      </c>
      <c r="Q957" s="6" t="str">
        <f aca="false">Orders!H957</f>
        <v>Processing</v>
      </c>
      <c r="R957" s="1" t="str">
        <f aca="false">INDEX(Customers!$C$2:$C$301,MATCH(C957,Customers!$A$2:$A$301,0))</f>
        <v>Visakhapatnam</v>
      </c>
      <c r="S957" s="1" t="str">
        <f aca="false">INDEX(Customers!$E$2:$E$301,MATCH(C957,Customers!$A$2:$A$301,0))</f>
        <v>New</v>
      </c>
      <c r="T957" s="6" t="str">
        <f aca="false">Orders!I957</f>
        <v>Website</v>
      </c>
      <c r="U957" s="1" t="str">
        <f aca="false">IF(Q957="Delivered","Completed",IF(Q957="Cancelled","Cancelled",IF(Q957="Returned","Returned","In Progress")))</f>
        <v>In Progress</v>
      </c>
      <c r="V957" s="1" t="str">
        <f aca="false">IF(M957&gt;=10000,"High Value",IF(M957&gt;=5000,"Medium Value","Low Value"))</f>
        <v>Low Value</v>
      </c>
      <c r="W957" s="1" t="str">
        <f aca="false">IF(O957&gt;0,"Profitable",IF(O957=0,"Break-even","Loss"))</f>
        <v>Profitable</v>
      </c>
      <c r="X957" s="1" t="str">
        <f aca="false">IF(Q957="Cancelled","Not Applicable",IF(Q957="Processing","Pending",IF(B957="","Unknown",IF(Orders!J957="","Unknown",IF(Orders!J957&lt;=3,"Fast",IF(Orders!J957&lt;=6,"Standard","Slow"))))))</f>
        <v>Pending</v>
      </c>
      <c r="Y957" s="1" t="n">
        <f aca="false">IF(OR(Q957="Cancelled",Q957="Returned"),0,O957)</f>
        <v>349.15</v>
      </c>
    </row>
    <row r="958" customFormat="false" ht="15" hidden="false" customHeight="false" outlineLevel="0" collapsed="false">
      <c r="A958" s="6" t="str">
        <f aca="false">Orders!A958</f>
        <v>O000957</v>
      </c>
      <c r="B958" s="19" t="n">
        <f aca="false">Orders!B958</f>
        <v>45962</v>
      </c>
      <c r="C958" s="6" t="str">
        <f aca="false">Orders!C958</f>
        <v>C0011</v>
      </c>
      <c r="D958" s="6" t="str">
        <f aca="false">Orders!D958</f>
        <v>P1090</v>
      </c>
      <c r="E958" s="6" t="str">
        <f aca="false">INDEX(Products!$B$2:$B$101,MATCH(D958,Products!$A$2:$A$101,0))</f>
        <v>Toaster</v>
      </c>
      <c r="F958" s="1" t="str">
        <f aca="false">INDEX(Products!$C$2:$C$101,MATCH(D958,Products!$A$2:$A$101,0))</f>
        <v>Appliances</v>
      </c>
      <c r="G958" s="6" t="n">
        <f aca="false">Orders!E958</f>
        <v>1</v>
      </c>
      <c r="H958" s="16" t="n">
        <f aca="false">INDEX(Products!$D$2:$D$101,MATCH(D958,Products!$A$2:$A$101,0))</f>
        <v>1499</v>
      </c>
      <c r="I958" s="16" t="n">
        <f aca="false">INDEX(Products!$E$2:$E$101,MATCH(D958,Products!$A$2:$A$101,0))</f>
        <v>900</v>
      </c>
      <c r="J958" s="20" t="n">
        <f aca="false">Orders!F958</f>
        <v>0.2</v>
      </c>
      <c r="K958" s="6" t="n">
        <f aca="false">G958*H958</f>
        <v>1499</v>
      </c>
      <c r="L958" s="6" t="n">
        <f aca="false">K958*J958</f>
        <v>299.8</v>
      </c>
      <c r="M958" s="6" t="n">
        <f aca="false">K958-L958</f>
        <v>1199.2</v>
      </c>
      <c r="N958" s="6" t="n">
        <f aca="false">G958*I958</f>
        <v>900</v>
      </c>
      <c r="O958" s="6" t="n">
        <f aca="false">M958-N958</f>
        <v>299.2</v>
      </c>
      <c r="P958" s="21" t="n">
        <f aca="false">IFERROR(O958/M958,0)</f>
        <v>0.249499666444296</v>
      </c>
      <c r="Q958" s="6" t="str">
        <f aca="false">Orders!H958</f>
        <v>Delivered</v>
      </c>
      <c r="R958" s="1" t="str">
        <f aca="false">INDEX(Customers!$C$2:$C$301,MATCH(C958,Customers!$A$2:$A$301,0))</f>
        <v>Gurugram</v>
      </c>
      <c r="S958" s="1" t="str">
        <f aca="false">INDEX(Customers!$E$2:$E$301,MATCH(C958,Customers!$A$2:$A$301,0))</f>
        <v>New</v>
      </c>
      <c r="T958" s="6" t="str">
        <f aca="false">Orders!I958</f>
        <v>Mobile App</v>
      </c>
      <c r="U958" s="1" t="str">
        <f aca="false">IF(Q958="Delivered","Completed",IF(Q958="Cancelled","Cancelled",IF(Q958="Returned","Returned","In Progress")))</f>
        <v>Completed</v>
      </c>
      <c r="V958" s="1" t="str">
        <f aca="false">IF(M958&gt;=10000,"High Value",IF(M958&gt;=5000,"Medium Value","Low Value"))</f>
        <v>Low Value</v>
      </c>
      <c r="W958" s="1" t="str">
        <f aca="false">IF(O958&gt;0,"Profitable",IF(O958=0,"Break-even","Loss"))</f>
        <v>Profitable</v>
      </c>
      <c r="X958" s="1" t="str">
        <f aca="false">IF(Q958="Cancelled","Not Applicable",IF(Q958="Processing","Pending",IF(B958="","Unknown",IF(Orders!J958="","Unknown",IF(Orders!J958&lt;=3,"Fast",IF(Orders!J958&lt;=6,"Standard","Slow"))))))</f>
        <v>Slow</v>
      </c>
      <c r="Y958" s="1" t="n">
        <f aca="false">IF(OR(Q958="Cancelled",Q958="Returned"),0,O958)</f>
        <v>299.2</v>
      </c>
    </row>
    <row r="959" customFormat="false" ht="15" hidden="false" customHeight="false" outlineLevel="0" collapsed="false">
      <c r="A959" s="6" t="str">
        <f aca="false">Orders!A959</f>
        <v>O000958</v>
      </c>
      <c r="B959" s="19" t="n">
        <f aca="false">Orders!B959</f>
        <v>45908</v>
      </c>
      <c r="C959" s="6" t="str">
        <f aca="false">Orders!C959</f>
        <v>C0004</v>
      </c>
      <c r="D959" s="6" t="str">
        <f aca="false">Orders!D959</f>
        <v>P1009</v>
      </c>
      <c r="E959" s="6" t="str">
        <f aca="false">INDEX(Products!$B$2:$B$101,MATCH(D959,Products!$A$2:$A$101,0))</f>
        <v>Laptop Sleeve</v>
      </c>
      <c r="F959" s="1" t="str">
        <f aca="false">INDEX(Products!$C$2:$C$101,MATCH(D959,Products!$A$2:$A$101,0))</f>
        <v>Electronics</v>
      </c>
      <c r="G959" s="6" t="n">
        <f aca="false">Orders!E959</f>
        <v>2</v>
      </c>
      <c r="H959" s="16" t="n">
        <f aca="false">INDEX(Products!$D$2:$D$101,MATCH(D959,Products!$A$2:$A$101,0))</f>
        <v>799</v>
      </c>
      <c r="I959" s="16" t="n">
        <f aca="false">INDEX(Products!$E$2:$E$101,MATCH(D959,Products!$A$2:$A$101,0))</f>
        <v>350</v>
      </c>
      <c r="J959" s="20" t="n">
        <f aca="false">Orders!F959</f>
        <v>0.05</v>
      </c>
      <c r="K959" s="6" t="n">
        <f aca="false">G959*H959</f>
        <v>1598</v>
      </c>
      <c r="L959" s="6" t="n">
        <f aca="false">K959*J959</f>
        <v>79.9</v>
      </c>
      <c r="M959" s="6" t="n">
        <f aca="false">K959-L959</f>
        <v>1518.1</v>
      </c>
      <c r="N959" s="6" t="n">
        <f aca="false">G959*I959</f>
        <v>700</v>
      </c>
      <c r="O959" s="6" t="n">
        <f aca="false">M959-N959</f>
        <v>818.1</v>
      </c>
      <c r="P959" s="21" t="n">
        <f aca="false">IFERROR(O959/M959,0)</f>
        <v>0.53889730584283</v>
      </c>
      <c r="Q959" s="6" t="str">
        <f aca="false">Orders!H959</f>
        <v>Delivered</v>
      </c>
      <c r="R959" s="1" t="str">
        <f aca="false">INDEX(Customers!$C$2:$C$301,MATCH(C959,Customers!$A$2:$A$301,0))</f>
        <v>Hyderabad</v>
      </c>
      <c r="S959" s="1" t="str">
        <f aca="false">INDEX(Customers!$E$2:$E$301,MATCH(C959,Customers!$A$2:$A$301,0))</f>
        <v>Returning</v>
      </c>
      <c r="T959" s="6" t="str">
        <f aca="false">Orders!I959</f>
        <v>Website</v>
      </c>
      <c r="U959" s="1" t="str">
        <f aca="false">IF(Q959="Delivered","Completed",IF(Q959="Cancelled","Cancelled",IF(Q959="Returned","Returned","In Progress")))</f>
        <v>Completed</v>
      </c>
      <c r="V959" s="1" t="str">
        <f aca="false">IF(M959&gt;=10000,"High Value",IF(M959&gt;=5000,"Medium Value","Low Value"))</f>
        <v>Low Value</v>
      </c>
      <c r="W959" s="1" t="str">
        <f aca="false">IF(O959&gt;0,"Profitable",IF(O959=0,"Break-even","Loss"))</f>
        <v>Profitable</v>
      </c>
      <c r="X959" s="1" t="str">
        <f aca="false">IF(Q959="Cancelled","Not Applicable",IF(Q959="Processing","Pending",IF(B959="","Unknown",IF(Orders!J959="","Unknown",IF(Orders!J959&lt;=3,"Fast",IF(Orders!J959&lt;=6,"Standard","Slow"))))))</f>
        <v>Slow</v>
      </c>
      <c r="Y959" s="1" t="n">
        <f aca="false">IF(OR(Q959="Cancelled",Q959="Returned"),0,O959)</f>
        <v>818.1</v>
      </c>
    </row>
    <row r="960" customFormat="false" ht="23.85" hidden="false" customHeight="false" outlineLevel="0" collapsed="false">
      <c r="A960" s="6" t="str">
        <f aca="false">Orders!A960</f>
        <v>O000959</v>
      </c>
      <c r="B960" s="19" t="n">
        <f aca="false">Orders!B960</f>
        <v>45997</v>
      </c>
      <c r="C960" s="6" t="str">
        <f aca="false">Orders!C960</f>
        <v>C0004</v>
      </c>
      <c r="D960" s="6" t="str">
        <f aca="false">Orders!D960</f>
        <v>P1012</v>
      </c>
      <c r="E960" s="6" t="str">
        <f aca="false">INDEX(Products!$B$2:$B$101,MATCH(D960,Products!$A$2:$A$101,0))</f>
        <v>Charging Adapter</v>
      </c>
      <c r="F960" s="1" t="str">
        <f aca="false">INDEX(Products!$C$2:$C$101,MATCH(D960,Products!$A$2:$A$101,0))</f>
        <v>Electronics</v>
      </c>
      <c r="G960" s="6" t="n">
        <f aca="false">Orders!E960</f>
        <v>3</v>
      </c>
      <c r="H960" s="16" t="n">
        <f aca="false">INDEX(Products!$D$2:$D$101,MATCH(D960,Products!$A$2:$A$101,0))</f>
        <v>599</v>
      </c>
      <c r="I960" s="16" t="n">
        <f aca="false">INDEX(Products!$E$2:$E$101,MATCH(D960,Products!$A$2:$A$101,0))</f>
        <v>260</v>
      </c>
      <c r="J960" s="20" t="n">
        <f aca="false">Orders!F960</f>
        <v>0.1</v>
      </c>
      <c r="K960" s="6" t="n">
        <f aca="false">G960*H960</f>
        <v>1797</v>
      </c>
      <c r="L960" s="6" t="n">
        <f aca="false">K960*J960</f>
        <v>179.7</v>
      </c>
      <c r="M960" s="6" t="n">
        <f aca="false">K960-L960</f>
        <v>1617.3</v>
      </c>
      <c r="N960" s="6" t="n">
        <f aca="false">G960*I960</f>
        <v>780</v>
      </c>
      <c r="O960" s="6" t="n">
        <f aca="false">M960-N960</f>
        <v>837.3</v>
      </c>
      <c r="P960" s="21" t="n">
        <f aca="false">IFERROR(O960/M960,0)</f>
        <v>0.517714709701354</v>
      </c>
      <c r="Q960" s="6" t="str">
        <f aca="false">Orders!H960</f>
        <v>Delivered</v>
      </c>
      <c r="R960" s="1" t="str">
        <f aca="false">INDEX(Customers!$C$2:$C$301,MATCH(C960,Customers!$A$2:$A$301,0))</f>
        <v>Hyderabad</v>
      </c>
      <c r="S960" s="1" t="str">
        <f aca="false">INDEX(Customers!$E$2:$E$301,MATCH(C960,Customers!$A$2:$A$301,0))</f>
        <v>Returning</v>
      </c>
      <c r="T960" s="6" t="str">
        <f aca="false">Orders!I960</f>
        <v>Marketplace</v>
      </c>
      <c r="U960" s="1" t="str">
        <f aca="false">IF(Q960="Delivered","Completed",IF(Q960="Cancelled","Cancelled",IF(Q960="Returned","Returned","In Progress")))</f>
        <v>Completed</v>
      </c>
      <c r="V960" s="1" t="str">
        <f aca="false">IF(M960&gt;=10000,"High Value",IF(M960&gt;=5000,"Medium Value","Low Value"))</f>
        <v>Low Value</v>
      </c>
      <c r="W960" s="1" t="str">
        <f aca="false">IF(O960&gt;0,"Profitable",IF(O960=0,"Break-even","Loss"))</f>
        <v>Profitable</v>
      </c>
      <c r="X960" s="1" t="str">
        <f aca="false">IF(Q960="Cancelled","Not Applicable",IF(Q960="Processing","Pending",IF(B960="","Unknown",IF(Orders!J960="","Unknown",IF(Orders!J960&lt;=3,"Fast",IF(Orders!J960&lt;=6,"Standard","Slow"))))))</f>
        <v>Slow</v>
      </c>
      <c r="Y960" s="1" t="n">
        <f aca="false">IF(OR(Q960="Cancelled",Q960="Returned"),0,O960)</f>
        <v>837.3</v>
      </c>
    </row>
    <row r="961" customFormat="false" ht="15" hidden="false" customHeight="false" outlineLevel="0" collapsed="false">
      <c r="A961" s="6" t="str">
        <f aca="false">Orders!A961</f>
        <v>O000960</v>
      </c>
      <c r="B961" s="19" t="n">
        <f aca="false">Orders!B961</f>
        <v>45980</v>
      </c>
      <c r="C961" s="6" t="str">
        <f aca="false">Orders!C961</f>
        <v>C0165</v>
      </c>
      <c r="D961" s="6" t="str">
        <f aca="false">Orders!D961</f>
        <v>P1096</v>
      </c>
      <c r="E961" s="6" t="str">
        <f aca="false">INDEX(Products!$B$2:$B$101,MATCH(D961,Products!$A$2:$A$101,0))</f>
        <v>Air Fryer</v>
      </c>
      <c r="F961" s="1" t="str">
        <f aca="false">INDEX(Products!$C$2:$C$101,MATCH(D961,Products!$A$2:$A$101,0))</f>
        <v>Appliances</v>
      </c>
      <c r="G961" s="6" t="n">
        <f aca="false">Orders!E961</f>
        <v>3</v>
      </c>
      <c r="H961" s="16" t="n">
        <f aca="false">INDEX(Products!$D$2:$D$101,MATCH(D961,Products!$A$2:$A$101,0))</f>
        <v>3999</v>
      </c>
      <c r="I961" s="16" t="n">
        <f aca="false">INDEX(Products!$E$2:$E$101,MATCH(D961,Products!$A$2:$A$101,0))</f>
        <v>2700</v>
      </c>
      <c r="J961" s="20" t="n">
        <f aca="false">Orders!F961</f>
        <v>0.15</v>
      </c>
      <c r="K961" s="6" t="n">
        <f aca="false">G961*H961</f>
        <v>11997</v>
      </c>
      <c r="L961" s="6" t="n">
        <f aca="false">K961*J961</f>
        <v>1799.55</v>
      </c>
      <c r="M961" s="6" t="n">
        <f aca="false">K961-L961</f>
        <v>10197.45</v>
      </c>
      <c r="N961" s="6" t="n">
        <f aca="false">G961*I961</f>
        <v>8100</v>
      </c>
      <c r="O961" s="6" t="n">
        <f aca="false">M961-N961</f>
        <v>2097.45</v>
      </c>
      <c r="P961" s="21" t="n">
        <f aca="false">IFERROR(O961/M961,0)</f>
        <v>0.205683773884648</v>
      </c>
      <c r="Q961" s="6" t="str">
        <f aca="false">Orders!H961</f>
        <v>Delivered</v>
      </c>
      <c r="R961" s="1" t="str">
        <f aca="false">INDEX(Customers!$C$2:$C$301,MATCH(C961,Customers!$A$2:$A$301,0))</f>
        <v>Chennai</v>
      </c>
      <c r="S961" s="1" t="str">
        <f aca="false">INDEX(Customers!$E$2:$E$301,MATCH(C961,Customers!$A$2:$A$301,0))</f>
        <v>Returning</v>
      </c>
      <c r="T961" s="6" t="str">
        <f aca="false">Orders!I961</f>
        <v>Marketplace</v>
      </c>
      <c r="U961" s="1" t="str">
        <f aca="false">IF(Q961="Delivered","Completed",IF(Q961="Cancelled","Cancelled",IF(Q961="Returned","Returned","In Progress")))</f>
        <v>Completed</v>
      </c>
      <c r="V961" s="1" t="str">
        <f aca="false">IF(M961&gt;=10000,"High Value",IF(M961&gt;=5000,"Medium Value","Low Value"))</f>
        <v>High Value</v>
      </c>
      <c r="W961" s="1" t="str">
        <f aca="false">IF(O961&gt;0,"Profitable",IF(O961=0,"Break-even","Loss"))</f>
        <v>Profitable</v>
      </c>
      <c r="X961" s="1" t="str">
        <f aca="false">IF(Q961="Cancelled","Not Applicable",IF(Q961="Processing","Pending",IF(B961="","Unknown",IF(Orders!J961="","Unknown",IF(Orders!J961&lt;=3,"Fast",IF(Orders!J961&lt;=6,"Standard","Slow"))))))</f>
        <v>Fast</v>
      </c>
      <c r="Y961" s="1" t="n">
        <f aca="false">IF(OR(Q961="Cancelled",Q961="Returned"),0,O961)</f>
        <v>2097.45</v>
      </c>
    </row>
    <row r="962" customFormat="false" ht="15" hidden="false" customHeight="false" outlineLevel="0" collapsed="false">
      <c r="A962" s="6" t="str">
        <f aca="false">Orders!A962</f>
        <v>O000961</v>
      </c>
      <c r="B962" s="19" t="n">
        <f aca="false">Orders!B962</f>
        <v>45758</v>
      </c>
      <c r="C962" s="6" t="str">
        <f aca="false">Orders!C962</f>
        <v>C0039</v>
      </c>
      <c r="D962" s="6" t="str">
        <f aca="false">Orders!D962</f>
        <v>P1083</v>
      </c>
      <c r="E962" s="6" t="str">
        <f aca="false">INDEX(Products!$B$2:$B$101,MATCH(D962,Products!$A$2:$A$101,0))</f>
        <v>Reading Light</v>
      </c>
      <c r="F962" s="1" t="str">
        <f aca="false">INDEX(Products!$C$2:$C$101,MATCH(D962,Products!$A$2:$A$101,0))</f>
        <v>Books &amp; Stationery</v>
      </c>
      <c r="G962" s="6" t="n">
        <f aca="false">Orders!E962</f>
        <v>3</v>
      </c>
      <c r="H962" s="16" t="n">
        <f aca="false">INDEX(Products!$D$2:$D$101,MATCH(D962,Products!$A$2:$A$101,0))</f>
        <v>399</v>
      </c>
      <c r="I962" s="16" t="n">
        <f aca="false">INDEX(Products!$E$2:$E$101,MATCH(D962,Products!$A$2:$A$101,0))</f>
        <v>180</v>
      </c>
      <c r="J962" s="20" t="n">
        <f aca="false">Orders!F962</f>
        <v>0.05</v>
      </c>
      <c r="K962" s="6" t="n">
        <f aca="false">G962*H962</f>
        <v>1197</v>
      </c>
      <c r="L962" s="6" t="n">
        <f aca="false">K962*J962</f>
        <v>59.85</v>
      </c>
      <c r="M962" s="6" t="n">
        <f aca="false">K962-L962</f>
        <v>1137.15</v>
      </c>
      <c r="N962" s="6" t="n">
        <f aca="false">G962*I962</f>
        <v>540</v>
      </c>
      <c r="O962" s="6" t="n">
        <f aca="false">M962-N962</f>
        <v>597.15</v>
      </c>
      <c r="P962" s="21" t="n">
        <f aca="false">IFERROR(O962/M962,0)</f>
        <v>0.525128611001187</v>
      </c>
      <c r="Q962" s="6" t="str">
        <f aca="false">Orders!H962</f>
        <v>Delivered</v>
      </c>
      <c r="R962" s="1" t="str">
        <f aca="false">INDEX(Customers!$C$2:$C$301,MATCH(C962,Customers!$A$2:$A$301,0))</f>
        <v>Coimbatore</v>
      </c>
      <c r="S962" s="1" t="str">
        <f aca="false">INDEX(Customers!$E$2:$E$301,MATCH(C962,Customers!$A$2:$A$301,0))</f>
        <v>Returning</v>
      </c>
      <c r="T962" s="6" t="str">
        <f aca="false">Orders!I962</f>
        <v>Marketplace</v>
      </c>
      <c r="U962" s="1" t="str">
        <f aca="false">IF(Q962="Delivered","Completed",IF(Q962="Cancelled","Cancelled",IF(Q962="Returned","Returned","In Progress")))</f>
        <v>Completed</v>
      </c>
      <c r="V962" s="1" t="str">
        <f aca="false">IF(M962&gt;=10000,"High Value",IF(M962&gt;=5000,"Medium Value","Low Value"))</f>
        <v>Low Value</v>
      </c>
      <c r="W962" s="1" t="str">
        <f aca="false">IF(O962&gt;0,"Profitable",IF(O962=0,"Break-even","Loss"))</f>
        <v>Profitable</v>
      </c>
      <c r="X962" s="1" t="str">
        <f aca="false">IF(Q962="Cancelled","Not Applicable",IF(Q962="Processing","Pending",IF(B962="","Unknown",IF(Orders!J962="","Unknown",IF(Orders!J962&lt;=3,"Fast",IF(Orders!J962&lt;=6,"Standard","Slow"))))))</f>
        <v>Fast</v>
      </c>
      <c r="Y962" s="1" t="n">
        <f aca="false">IF(OR(Q962="Cancelled",Q962="Returned"),0,O962)</f>
        <v>597.15</v>
      </c>
    </row>
    <row r="963" customFormat="false" ht="15" hidden="false" customHeight="false" outlineLevel="0" collapsed="false">
      <c r="A963" s="6" t="str">
        <f aca="false">Orders!A963</f>
        <v>O000962</v>
      </c>
      <c r="B963" s="19" t="n">
        <f aca="false">Orders!B963</f>
        <v>45984</v>
      </c>
      <c r="C963" s="6" t="str">
        <f aca="false">Orders!C963</f>
        <v>C0055</v>
      </c>
      <c r="D963" s="6" t="str">
        <f aca="false">Orders!D963</f>
        <v>P1077</v>
      </c>
      <c r="E963" s="6" t="str">
        <f aca="false">INDEX(Products!$B$2:$B$101,MATCH(D963,Products!$A$2:$A$101,0))</f>
        <v>Planner</v>
      </c>
      <c r="F963" s="1" t="str">
        <f aca="false">INDEX(Products!$C$2:$C$101,MATCH(D963,Products!$A$2:$A$101,0))</f>
        <v>Books &amp; Stationery</v>
      </c>
      <c r="G963" s="6" t="n">
        <f aca="false">Orders!E963</f>
        <v>2</v>
      </c>
      <c r="H963" s="16" t="n">
        <f aca="false">INDEX(Products!$D$2:$D$101,MATCH(D963,Products!$A$2:$A$101,0))</f>
        <v>349</v>
      </c>
      <c r="I963" s="16" t="n">
        <f aca="false">INDEX(Products!$E$2:$E$101,MATCH(D963,Products!$A$2:$A$101,0))</f>
        <v>130</v>
      </c>
      <c r="J963" s="20" t="n">
        <f aca="false">Orders!F963</f>
        <v>0.05</v>
      </c>
      <c r="K963" s="6" t="n">
        <f aca="false">G963*H963</f>
        <v>698</v>
      </c>
      <c r="L963" s="6" t="n">
        <f aca="false">K963*J963</f>
        <v>34.9</v>
      </c>
      <c r="M963" s="6" t="n">
        <f aca="false">K963-L963</f>
        <v>663.1</v>
      </c>
      <c r="N963" s="6" t="n">
        <f aca="false">G963*I963</f>
        <v>260</v>
      </c>
      <c r="O963" s="6" t="n">
        <f aca="false">M963-N963</f>
        <v>403.1</v>
      </c>
      <c r="P963" s="21" t="n">
        <f aca="false">IFERROR(O963/M963,0)</f>
        <v>0.607902277182929</v>
      </c>
      <c r="Q963" s="6" t="str">
        <f aca="false">Orders!H963</f>
        <v>Delivered</v>
      </c>
      <c r="R963" s="1" t="str">
        <f aca="false">INDEX(Customers!$C$2:$C$301,MATCH(C963,Customers!$A$2:$A$301,0))</f>
        <v>Bhopal</v>
      </c>
      <c r="S963" s="1" t="str">
        <f aca="false">INDEX(Customers!$E$2:$E$301,MATCH(C963,Customers!$A$2:$A$301,0))</f>
        <v>Returning</v>
      </c>
      <c r="T963" s="6" t="str">
        <f aca="false">Orders!I963</f>
        <v>Mobile App</v>
      </c>
      <c r="U963" s="1" t="str">
        <f aca="false">IF(Q963="Delivered","Completed",IF(Q963="Cancelled","Cancelled",IF(Q963="Returned","Returned","In Progress")))</f>
        <v>Completed</v>
      </c>
      <c r="V963" s="1" t="str">
        <f aca="false">IF(M963&gt;=10000,"High Value",IF(M963&gt;=5000,"Medium Value","Low Value"))</f>
        <v>Low Value</v>
      </c>
      <c r="W963" s="1" t="str">
        <f aca="false">IF(O963&gt;0,"Profitable",IF(O963=0,"Break-even","Loss"))</f>
        <v>Profitable</v>
      </c>
      <c r="X963" s="1" t="str">
        <f aca="false">IF(Q963="Cancelled","Not Applicable",IF(Q963="Processing","Pending",IF(B963="","Unknown",IF(Orders!J963="","Unknown",IF(Orders!J963&lt;=3,"Fast",IF(Orders!J963&lt;=6,"Standard","Slow"))))))</f>
        <v>Standard</v>
      </c>
      <c r="Y963" s="1" t="n">
        <f aca="false">IF(OR(Q963="Cancelled",Q963="Returned"),0,O963)</f>
        <v>403.1</v>
      </c>
    </row>
    <row r="964" customFormat="false" ht="15" hidden="false" customHeight="false" outlineLevel="0" collapsed="false">
      <c r="A964" s="6" t="str">
        <f aca="false">Orders!A964</f>
        <v>O000963</v>
      </c>
      <c r="B964" s="19" t="n">
        <f aca="false">Orders!B964</f>
        <v>45949</v>
      </c>
      <c r="C964" s="6" t="str">
        <f aca="false">Orders!C964</f>
        <v>C0227</v>
      </c>
      <c r="D964" s="6" t="str">
        <f aca="false">Orders!D964</f>
        <v>P1064</v>
      </c>
      <c r="E964" s="6" t="str">
        <f aca="false">INDEX(Products!$B$2:$B$101,MATCH(D964,Products!$A$2:$A$101,0))</f>
        <v>Football</v>
      </c>
      <c r="F964" s="1" t="str">
        <f aca="false">INDEX(Products!$C$2:$C$101,MATCH(D964,Products!$A$2:$A$101,0))</f>
        <v>Sports &amp; Outdoors</v>
      </c>
      <c r="G964" s="6" t="n">
        <f aca="false">Orders!E964</f>
        <v>2</v>
      </c>
      <c r="H964" s="16" t="n">
        <f aca="false">INDEX(Products!$D$2:$D$101,MATCH(D964,Products!$A$2:$A$101,0))</f>
        <v>699</v>
      </c>
      <c r="I964" s="16" t="n">
        <f aca="false">INDEX(Products!$E$2:$E$101,MATCH(D964,Products!$A$2:$A$101,0))</f>
        <v>300</v>
      </c>
      <c r="J964" s="20" t="n">
        <f aca="false">Orders!F964</f>
        <v>0</v>
      </c>
      <c r="K964" s="6" t="n">
        <f aca="false">G964*H964</f>
        <v>1398</v>
      </c>
      <c r="L964" s="6" t="n">
        <f aca="false">K964*J964</f>
        <v>0</v>
      </c>
      <c r="M964" s="6" t="n">
        <f aca="false">K964-L964</f>
        <v>1398</v>
      </c>
      <c r="N964" s="6" t="n">
        <f aca="false">G964*I964</f>
        <v>600</v>
      </c>
      <c r="O964" s="6" t="n">
        <f aca="false">M964-N964</f>
        <v>798</v>
      </c>
      <c r="P964" s="21" t="n">
        <f aca="false">IFERROR(O964/M964,0)</f>
        <v>0.570815450643777</v>
      </c>
      <c r="Q964" s="6" t="str">
        <f aca="false">Orders!H964</f>
        <v>Delivered</v>
      </c>
      <c r="R964" s="1" t="str">
        <f aca="false">INDEX(Customers!$C$2:$C$301,MATCH(C964,Customers!$A$2:$A$301,0))</f>
        <v>Pune</v>
      </c>
      <c r="S964" s="1" t="str">
        <f aca="false">INDEX(Customers!$E$2:$E$301,MATCH(C964,Customers!$A$2:$A$301,0))</f>
        <v>Returning</v>
      </c>
      <c r="T964" s="6" t="str">
        <f aca="false">Orders!I964</f>
        <v>Website</v>
      </c>
      <c r="U964" s="1" t="str">
        <f aca="false">IF(Q964="Delivered","Completed",IF(Q964="Cancelled","Cancelled",IF(Q964="Returned","Returned","In Progress")))</f>
        <v>Completed</v>
      </c>
      <c r="V964" s="1" t="str">
        <f aca="false">IF(M964&gt;=10000,"High Value",IF(M964&gt;=5000,"Medium Value","Low Value"))</f>
        <v>Low Value</v>
      </c>
      <c r="W964" s="1" t="str">
        <f aca="false">IF(O964&gt;0,"Profitable",IF(O964=0,"Break-even","Loss"))</f>
        <v>Profitable</v>
      </c>
      <c r="X964" s="1" t="str">
        <f aca="false">IF(Q964="Cancelled","Not Applicable",IF(Q964="Processing","Pending",IF(B964="","Unknown",IF(Orders!J964="","Unknown",IF(Orders!J964&lt;=3,"Fast",IF(Orders!J964&lt;=6,"Standard","Slow"))))))</f>
        <v>Standard</v>
      </c>
      <c r="Y964" s="1" t="n">
        <f aca="false">IF(OR(Q964="Cancelled",Q964="Returned"),0,O964)</f>
        <v>798</v>
      </c>
    </row>
    <row r="965" customFormat="false" ht="23.85" hidden="false" customHeight="false" outlineLevel="0" collapsed="false">
      <c r="A965" s="6" t="str">
        <f aca="false">Orders!A965</f>
        <v>O000964</v>
      </c>
      <c r="B965" s="19" t="n">
        <f aca="false">Orders!B965</f>
        <v>45892</v>
      </c>
      <c r="C965" s="6" t="str">
        <f aca="false">Orders!C965</f>
        <v>C0182</v>
      </c>
      <c r="D965" s="6" t="str">
        <f aca="false">Orders!D965</f>
        <v>P1001</v>
      </c>
      <c r="E965" s="6" t="str">
        <f aca="false">INDEX(Products!$B$2:$B$101,MATCH(D965,Products!$A$2:$A$101,0))</f>
        <v>Wireless Earbuds</v>
      </c>
      <c r="F965" s="1" t="str">
        <f aca="false">INDEX(Products!$C$2:$C$101,MATCH(D965,Products!$A$2:$A$101,0))</f>
        <v>Electronics</v>
      </c>
      <c r="G965" s="6" t="n">
        <f aca="false">Orders!E965</f>
        <v>1</v>
      </c>
      <c r="H965" s="16" t="n">
        <f aca="false">INDEX(Products!$D$2:$D$101,MATCH(D965,Products!$A$2:$A$101,0))</f>
        <v>899</v>
      </c>
      <c r="I965" s="16" t="n">
        <f aca="false">INDEX(Products!$E$2:$E$101,MATCH(D965,Products!$A$2:$A$101,0))</f>
        <v>499</v>
      </c>
      <c r="J965" s="20" t="n">
        <f aca="false">Orders!F965</f>
        <v>0.1</v>
      </c>
      <c r="K965" s="6" t="n">
        <f aca="false">G965*H965</f>
        <v>899</v>
      </c>
      <c r="L965" s="6" t="n">
        <f aca="false">K965*J965</f>
        <v>89.9</v>
      </c>
      <c r="M965" s="6" t="n">
        <f aca="false">K965-L965</f>
        <v>809.1</v>
      </c>
      <c r="N965" s="6" t="n">
        <f aca="false">G965*I965</f>
        <v>499</v>
      </c>
      <c r="O965" s="6" t="n">
        <f aca="false">M965-N965</f>
        <v>310.1</v>
      </c>
      <c r="P965" s="21" t="n">
        <f aca="false">IFERROR(O965/M965,0)</f>
        <v>0.383265356569027</v>
      </c>
      <c r="Q965" s="6" t="str">
        <f aca="false">Orders!H965</f>
        <v>Delivered</v>
      </c>
      <c r="R965" s="1" t="str">
        <f aca="false">INDEX(Customers!$C$2:$C$301,MATCH(C965,Customers!$A$2:$A$301,0))</f>
        <v>Mumbai</v>
      </c>
      <c r="S965" s="1" t="str">
        <f aca="false">INDEX(Customers!$E$2:$E$301,MATCH(C965,Customers!$A$2:$A$301,0))</f>
        <v>New</v>
      </c>
      <c r="T965" s="6" t="str">
        <f aca="false">Orders!I965</f>
        <v>Mobile App</v>
      </c>
      <c r="U965" s="1" t="str">
        <f aca="false">IF(Q965="Delivered","Completed",IF(Q965="Cancelled","Cancelled",IF(Q965="Returned","Returned","In Progress")))</f>
        <v>Completed</v>
      </c>
      <c r="V965" s="1" t="str">
        <f aca="false">IF(M965&gt;=10000,"High Value",IF(M965&gt;=5000,"Medium Value","Low Value"))</f>
        <v>Low Value</v>
      </c>
      <c r="W965" s="1" t="str">
        <f aca="false">IF(O965&gt;0,"Profitable",IF(O965=0,"Break-even","Loss"))</f>
        <v>Profitable</v>
      </c>
      <c r="X965" s="1" t="str">
        <f aca="false">IF(Q965="Cancelled","Not Applicable",IF(Q965="Processing","Pending",IF(B965="","Unknown",IF(Orders!J965="","Unknown",IF(Orders!J965&lt;=3,"Fast",IF(Orders!J965&lt;=6,"Standard","Slow"))))))</f>
        <v>Slow</v>
      </c>
      <c r="Y965" s="1" t="n">
        <f aca="false">IF(OR(Q965="Cancelled",Q965="Returned"),0,O965)</f>
        <v>310.1</v>
      </c>
    </row>
    <row r="966" customFormat="false" ht="23.85" hidden="false" customHeight="false" outlineLevel="0" collapsed="false">
      <c r="A966" s="6" t="str">
        <f aca="false">Orders!A966</f>
        <v>O000965</v>
      </c>
      <c r="B966" s="19" t="n">
        <f aca="false">Orders!B966</f>
        <v>45676</v>
      </c>
      <c r="C966" s="6" t="str">
        <f aca="false">Orders!C966</f>
        <v>C0146</v>
      </c>
      <c r="D966" s="6" t="str">
        <f aca="false">Orders!D966</f>
        <v>P1002</v>
      </c>
      <c r="E966" s="6" t="str">
        <f aca="false">INDEX(Products!$B$2:$B$101,MATCH(D966,Products!$A$2:$A$101,0))</f>
        <v>Bluetooth Speaker</v>
      </c>
      <c r="F966" s="1" t="str">
        <f aca="false">INDEX(Products!$C$2:$C$101,MATCH(D966,Products!$A$2:$A$101,0))</f>
        <v>Electronics</v>
      </c>
      <c r="G966" s="6" t="n">
        <f aca="false">Orders!E966</f>
        <v>2</v>
      </c>
      <c r="H966" s="16" t="n">
        <f aca="false">INDEX(Products!$D$2:$D$101,MATCH(D966,Products!$A$2:$A$101,0))</f>
        <v>1499</v>
      </c>
      <c r="I966" s="16" t="n">
        <f aca="false">INDEX(Products!$E$2:$E$101,MATCH(D966,Products!$A$2:$A$101,0))</f>
        <v>850</v>
      </c>
      <c r="J966" s="20" t="n">
        <f aca="false">Orders!F966</f>
        <v>0.1</v>
      </c>
      <c r="K966" s="6" t="n">
        <f aca="false">G966*H966</f>
        <v>2998</v>
      </c>
      <c r="L966" s="6" t="n">
        <f aca="false">K966*J966</f>
        <v>299.8</v>
      </c>
      <c r="M966" s="6" t="n">
        <f aca="false">K966-L966</f>
        <v>2698.2</v>
      </c>
      <c r="N966" s="6" t="n">
        <f aca="false">G966*I966</f>
        <v>1700</v>
      </c>
      <c r="O966" s="6" t="n">
        <f aca="false">M966-N966</f>
        <v>998.2</v>
      </c>
      <c r="P966" s="21" t="n">
        <f aca="false">IFERROR(O966/M966,0)</f>
        <v>0.369950337261878</v>
      </c>
      <c r="Q966" s="6" t="str">
        <f aca="false">Orders!H966</f>
        <v>Delivered</v>
      </c>
      <c r="R966" s="1" t="str">
        <f aca="false">INDEX(Customers!$C$2:$C$301,MATCH(C966,Customers!$A$2:$A$301,0))</f>
        <v>Kolkata</v>
      </c>
      <c r="S966" s="1" t="str">
        <f aca="false">INDEX(Customers!$E$2:$E$301,MATCH(C966,Customers!$A$2:$A$301,0))</f>
        <v>New</v>
      </c>
      <c r="T966" s="6" t="str">
        <f aca="false">Orders!I966</f>
        <v>Website</v>
      </c>
      <c r="U966" s="1" t="str">
        <f aca="false">IF(Q966="Delivered","Completed",IF(Q966="Cancelled","Cancelled",IF(Q966="Returned","Returned","In Progress")))</f>
        <v>Completed</v>
      </c>
      <c r="V966" s="1" t="str">
        <f aca="false">IF(M966&gt;=10000,"High Value",IF(M966&gt;=5000,"Medium Value","Low Value"))</f>
        <v>Low Value</v>
      </c>
      <c r="W966" s="1" t="str">
        <f aca="false">IF(O966&gt;0,"Profitable",IF(O966=0,"Break-even","Loss"))</f>
        <v>Profitable</v>
      </c>
      <c r="X966" s="1" t="str">
        <f aca="false">IF(Q966="Cancelled","Not Applicable",IF(Q966="Processing","Pending",IF(B966="","Unknown",IF(Orders!J966="","Unknown",IF(Orders!J966&lt;=3,"Fast",IF(Orders!J966&lt;=6,"Standard","Slow"))))))</f>
        <v>Fast</v>
      </c>
      <c r="Y966" s="1" t="n">
        <f aca="false">IF(OR(Q966="Cancelled",Q966="Returned"),0,O966)</f>
        <v>998.2</v>
      </c>
    </row>
    <row r="967" customFormat="false" ht="23.85" hidden="false" customHeight="false" outlineLevel="0" collapsed="false">
      <c r="A967" s="6" t="str">
        <f aca="false">Orders!A967</f>
        <v>O000966</v>
      </c>
      <c r="B967" s="19" t="n">
        <f aca="false">Orders!B967</f>
        <v>45760</v>
      </c>
      <c r="C967" s="6" t="str">
        <f aca="false">Orders!C967</f>
        <v>C0258</v>
      </c>
      <c r="D967" s="6" t="str">
        <f aca="false">Orders!D967</f>
        <v>P1061</v>
      </c>
      <c r="E967" s="6" t="str">
        <f aca="false">INDEX(Products!$B$2:$B$101,MATCH(D967,Products!$A$2:$A$101,0))</f>
        <v>Resistance Bands</v>
      </c>
      <c r="F967" s="1" t="str">
        <f aca="false">INDEX(Products!$C$2:$C$101,MATCH(D967,Products!$A$2:$A$101,0))</f>
        <v>Sports &amp; Outdoors</v>
      </c>
      <c r="G967" s="6" t="n">
        <f aca="false">Orders!E967</f>
        <v>1</v>
      </c>
      <c r="H967" s="16" t="n">
        <f aca="false">INDEX(Products!$D$2:$D$101,MATCH(D967,Products!$A$2:$A$101,0))</f>
        <v>399</v>
      </c>
      <c r="I967" s="16" t="n">
        <f aca="false">INDEX(Products!$E$2:$E$101,MATCH(D967,Products!$A$2:$A$101,0))</f>
        <v>150</v>
      </c>
      <c r="J967" s="20" t="n">
        <f aca="false">Orders!F967</f>
        <v>0.2</v>
      </c>
      <c r="K967" s="6" t="n">
        <f aca="false">G967*H967</f>
        <v>399</v>
      </c>
      <c r="L967" s="6" t="n">
        <f aca="false">K967*J967</f>
        <v>79.8</v>
      </c>
      <c r="M967" s="6" t="n">
        <f aca="false">K967-L967</f>
        <v>319.2</v>
      </c>
      <c r="N967" s="6" t="n">
        <f aca="false">G967*I967</f>
        <v>150</v>
      </c>
      <c r="O967" s="6" t="n">
        <f aca="false">M967-N967</f>
        <v>169.2</v>
      </c>
      <c r="P967" s="21" t="n">
        <f aca="false">IFERROR(O967/M967,0)</f>
        <v>0.530075187969925</v>
      </c>
      <c r="Q967" s="6" t="str">
        <f aca="false">Orders!H967</f>
        <v>Delivered</v>
      </c>
      <c r="R967" s="1" t="str">
        <f aca="false">INDEX(Customers!$C$2:$C$301,MATCH(C967,Customers!$A$2:$A$301,0))</f>
        <v>Nagpur</v>
      </c>
      <c r="S967" s="1" t="str">
        <f aca="false">INDEX(Customers!$E$2:$E$301,MATCH(C967,Customers!$A$2:$A$301,0))</f>
        <v>New</v>
      </c>
      <c r="T967" s="6" t="str">
        <f aca="false">Orders!I967</f>
        <v>Mobile App</v>
      </c>
      <c r="U967" s="1" t="str">
        <f aca="false">IF(Q967="Delivered","Completed",IF(Q967="Cancelled","Cancelled",IF(Q967="Returned","Returned","In Progress")))</f>
        <v>Completed</v>
      </c>
      <c r="V967" s="1" t="str">
        <f aca="false">IF(M967&gt;=10000,"High Value",IF(M967&gt;=5000,"Medium Value","Low Value"))</f>
        <v>Low Value</v>
      </c>
      <c r="W967" s="1" t="str">
        <f aca="false">IF(O967&gt;0,"Profitable",IF(O967=0,"Break-even","Loss"))</f>
        <v>Profitable</v>
      </c>
      <c r="X967" s="1" t="str">
        <f aca="false">IF(Q967="Cancelled","Not Applicable",IF(Q967="Processing","Pending",IF(B967="","Unknown",IF(Orders!J967="","Unknown",IF(Orders!J967&lt;=3,"Fast",IF(Orders!J967&lt;=6,"Standard","Slow"))))))</f>
        <v>Standard</v>
      </c>
      <c r="Y967" s="1" t="n">
        <f aca="false">IF(OR(Q967="Cancelled",Q967="Returned"),0,O967)</f>
        <v>169.2</v>
      </c>
    </row>
    <row r="968" customFormat="false" ht="15" hidden="false" customHeight="false" outlineLevel="0" collapsed="false">
      <c r="A968" s="6" t="str">
        <f aca="false">Orders!A968</f>
        <v>O000967</v>
      </c>
      <c r="B968" s="19" t="n">
        <f aca="false">Orders!B968</f>
        <v>45988</v>
      </c>
      <c r="C968" s="6" t="str">
        <f aca="false">Orders!C968</f>
        <v>C0200</v>
      </c>
      <c r="D968" s="6" t="str">
        <f aca="false">Orders!D968</f>
        <v>P1077</v>
      </c>
      <c r="E968" s="6" t="str">
        <f aca="false">INDEX(Products!$B$2:$B$101,MATCH(D968,Products!$A$2:$A$101,0))</f>
        <v>Planner</v>
      </c>
      <c r="F968" s="1" t="str">
        <f aca="false">INDEX(Products!$C$2:$C$101,MATCH(D968,Products!$A$2:$A$101,0))</f>
        <v>Books &amp; Stationery</v>
      </c>
      <c r="G968" s="6" t="n">
        <f aca="false">Orders!E968</f>
        <v>2</v>
      </c>
      <c r="H968" s="16" t="n">
        <f aca="false">INDEX(Products!$D$2:$D$101,MATCH(D968,Products!$A$2:$A$101,0))</f>
        <v>349</v>
      </c>
      <c r="I968" s="16" t="n">
        <f aca="false">INDEX(Products!$E$2:$E$101,MATCH(D968,Products!$A$2:$A$101,0))</f>
        <v>130</v>
      </c>
      <c r="J968" s="20" t="n">
        <f aca="false">Orders!F968</f>
        <v>0</v>
      </c>
      <c r="K968" s="6" t="n">
        <f aca="false">G968*H968</f>
        <v>698</v>
      </c>
      <c r="L968" s="6" t="n">
        <f aca="false">K968*J968</f>
        <v>0</v>
      </c>
      <c r="M968" s="6" t="n">
        <f aca="false">K968-L968</f>
        <v>698</v>
      </c>
      <c r="N968" s="6" t="n">
        <f aca="false">G968*I968</f>
        <v>260</v>
      </c>
      <c r="O968" s="6" t="n">
        <f aca="false">M968-N968</f>
        <v>438</v>
      </c>
      <c r="P968" s="21" t="n">
        <f aca="false">IFERROR(O968/M968,0)</f>
        <v>0.627507163323782</v>
      </c>
      <c r="Q968" s="6" t="str">
        <f aca="false">Orders!H968</f>
        <v>Cancelled</v>
      </c>
      <c r="R968" s="1" t="str">
        <f aca="false">INDEX(Customers!$C$2:$C$301,MATCH(C968,Customers!$A$2:$A$301,0))</f>
        <v>Visakhapatnam</v>
      </c>
      <c r="S968" s="1" t="str">
        <f aca="false">INDEX(Customers!$E$2:$E$301,MATCH(C968,Customers!$A$2:$A$301,0))</f>
        <v>New</v>
      </c>
      <c r="T968" s="6" t="str">
        <f aca="false">Orders!I968</f>
        <v>Marketplace</v>
      </c>
      <c r="U968" s="1" t="str">
        <f aca="false">IF(Q968="Delivered","Completed",IF(Q968="Cancelled","Cancelled",IF(Q968="Returned","Returned","In Progress")))</f>
        <v>Cancelled</v>
      </c>
      <c r="V968" s="1" t="str">
        <f aca="false">IF(M968&gt;=10000,"High Value",IF(M968&gt;=5000,"Medium Value","Low Value"))</f>
        <v>Low Value</v>
      </c>
      <c r="W968" s="1" t="str">
        <f aca="false">IF(O968&gt;0,"Profitable",IF(O968=0,"Break-even","Loss"))</f>
        <v>Profitable</v>
      </c>
      <c r="X968" s="1" t="str">
        <f aca="false">IF(Q968="Cancelled","Not Applicable",IF(Q968="Processing","Pending",IF(B968="","Unknown",IF(Orders!J968="","Unknown",IF(Orders!J968&lt;=3,"Fast",IF(Orders!J968&lt;=6,"Standard","Slow"))))))</f>
        <v>Not Applicable</v>
      </c>
      <c r="Y968" s="1" t="n">
        <f aca="false">IF(OR(Q968="Cancelled",Q968="Returned"),0,O968)</f>
        <v>0</v>
      </c>
    </row>
    <row r="969" customFormat="false" ht="15" hidden="false" customHeight="false" outlineLevel="0" collapsed="false">
      <c r="A969" s="6" t="str">
        <f aca="false">Orders!A969</f>
        <v>O000968</v>
      </c>
      <c r="B969" s="19" t="n">
        <f aca="false">Orders!B969</f>
        <v>45681</v>
      </c>
      <c r="C969" s="6" t="str">
        <f aca="false">Orders!C969</f>
        <v>C0110</v>
      </c>
      <c r="D969" s="6" t="str">
        <f aca="false">Orders!D969</f>
        <v>P1006</v>
      </c>
      <c r="E969" s="6" t="str">
        <f aca="false">INDEX(Products!$B$2:$B$101,MATCH(D969,Products!$A$2:$A$101,0))</f>
        <v>Wireless Mouse</v>
      </c>
      <c r="F969" s="1" t="str">
        <f aca="false">INDEX(Products!$C$2:$C$101,MATCH(D969,Products!$A$2:$A$101,0))</f>
        <v>Electronics</v>
      </c>
      <c r="G969" s="6" t="n">
        <f aca="false">Orders!E969</f>
        <v>2</v>
      </c>
      <c r="H969" s="16" t="n">
        <f aca="false">INDEX(Products!$D$2:$D$101,MATCH(D969,Products!$A$2:$A$101,0))</f>
        <v>699</v>
      </c>
      <c r="I969" s="16" t="n">
        <f aca="false">INDEX(Products!$E$2:$E$101,MATCH(D969,Products!$A$2:$A$101,0))</f>
        <v>300</v>
      </c>
      <c r="J969" s="20" t="n">
        <f aca="false">Orders!F969</f>
        <v>0.05</v>
      </c>
      <c r="K969" s="6" t="n">
        <f aca="false">G969*H969</f>
        <v>1398</v>
      </c>
      <c r="L969" s="6" t="n">
        <f aca="false">K969*J969</f>
        <v>69.9</v>
      </c>
      <c r="M969" s="6" t="n">
        <f aca="false">K969-L969</f>
        <v>1328.1</v>
      </c>
      <c r="N969" s="6" t="n">
        <f aca="false">G969*I969</f>
        <v>600</v>
      </c>
      <c r="O969" s="6" t="n">
        <f aca="false">M969-N969</f>
        <v>728.1</v>
      </c>
      <c r="P969" s="21" t="n">
        <f aca="false">IFERROR(O969/M969,0)</f>
        <v>0.548226790151344</v>
      </c>
      <c r="Q969" s="6" t="str">
        <f aca="false">Orders!H969</f>
        <v>Delivered</v>
      </c>
      <c r="R969" s="1" t="str">
        <f aca="false">INDEX(Customers!$C$2:$C$301,MATCH(C969,Customers!$A$2:$A$301,0))</f>
        <v>Lucknow</v>
      </c>
      <c r="S969" s="1" t="str">
        <f aca="false">INDEX(Customers!$E$2:$E$301,MATCH(C969,Customers!$A$2:$A$301,0))</f>
        <v>New</v>
      </c>
      <c r="T969" s="6" t="str">
        <f aca="false">Orders!I969</f>
        <v>Website</v>
      </c>
      <c r="U969" s="1" t="str">
        <f aca="false">IF(Q969="Delivered","Completed",IF(Q969="Cancelled","Cancelled",IF(Q969="Returned","Returned","In Progress")))</f>
        <v>Completed</v>
      </c>
      <c r="V969" s="1" t="str">
        <f aca="false">IF(M969&gt;=10000,"High Value",IF(M969&gt;=5000,"Medium Value","Low Value"))</f>
        <v>Low Value</v>
      </c>
      <c r="W969" s="1" t="str">
        <f aca="false">IF(O969&gt;0,"Profitable",IF(O969=0,"Break-even","Loss"))</f>
        <v>Profitable</v>
      </c>
      <c r="X969" s="1" t="str">
        <f aca="false">IF(Q969="Cancelled","Not Applicable",IF(Q969="Processing","Pending",IF(B969="","Unknown",IF(Orders!J969="","Unknown",IF(Orders!J969&lt;=3,"Fast",IF(Orders!J969&lt;=6,"Standard","Slow"))))))</f>
        <v>Fast</v>
      </c>
      <c r="Y969" s="1" t="n">
        <f aca="false">IF(OR(Q969="Cancelled",Q969="Returned"),0,O969)</f>
        <v>728.1</v>
      </c>
    </row>
    <row r="970" customFormat="false" ht="15" hidden="false" customHeight="false" outlineLevel="0" collapsed="false">
      <c r="A970" s="6" t="str">
        <f aca="false">Orders!A970</f>
        <v>O000969</v>
      </c>
      <c r="B970" s="19" t="n">
        <f aca="false">Orders!B970</f>
        <v>45715</v>
      </c>
      <c r="C970" s="6" t="str">
        <f aca="false">Orders!C970</f>
        <v>C0215</v>
      </c>
      <c r="D970" s="6" t="str">
        <f aca="false">Orders!D970</f>
        <v>P1074</v>
      </c>
      <c r="E970" s="6" t="str">
        <f aca="false">INDEX(Products!$B$2:$B$101,MATCH(D970,Products!$A$2:$A$101,0))</f>
        <v>Notebook Pack</v>
      </c>
      <c r="F970" s="1" t="str">
        <f aca="false">INDEX(Products!$C$2:$C$101,MATCH(D970,Products!$A$2:$A$101,0))</f>
        <v>Books &amp; Stationery</v>
      </c>
      <c r="G970" s="6" t="n">
        <f aca="false">Orders!E970</f>
        <v>2</v>
      </c>
      <c r="H970" s="16" t="n">
        <f aca="false">INDEX(Products!$D$2:$D$101,MATCH(D970,Products!$A$2:$A$101,0))</f>
        <v>299</v>
      </c>
      <c r="I970" s="16" t="n">
        <f aca="false">INDEX(Products!$E$2:$E$101,MATCH(D970,Products!$A$2:$A$101,0))</f>
        <v>110</v>
      </c>
      <c r="J970" s="20" t="n">
        <f aca="false">Orders!F970</f>
        <v>0.05</v>
      </c>
      <c r="K970" s="6" t="n">
        <f aca="false">G970*H970</f>
        <v>598</v>
      </c>
      <c r="L970" s="6" t="n">
        <f aca="false">K970*J970</f>
        <v>29.9</v>
      </c>
      <c r="M970" s="6" t="n">
        <f aca="false">K970-L970</f>
        <v>568.1</v>
      </c>
      <c r="N970" s="6" t="n">
        <f aca="false">G970*I970</f>
        <v>220</v>
      </c>
      <c r="O970" s="6" t="n">
        <f aca="false">M970-N970</f>
        <v>348.1</v>
      </c>
      <c r="P970" s="21" t="n">
        <f aca="false">IFERROR(O970/M970,0)</f>
        <v>0.612744235169864</v>
      </c>
      <c r="Q970" s="6" t="str">
        <f aca="false">Orders!H970</f>
        <v>Returned</v>
      </c>
      <c r="R970" s="1" t="str">
        <f aca="false">INDEX(Customers!$C$2:$C$301,MATCH(C970,Customers!$A$2:$A$301,0))</f>
        <v>Bhopal</v>
      </c>
      <c r="S970" s="1" t="str">
        <f aca="false">INDEX(Customers!$E$2:$E$301,MATCH(C970,Customers!$A$2:$A$301,0))</f>
        <v>Returning</v>
      </c>
      <c r="T970" s="6" t="str">
        <f aca="false">Orders!I970</f>
        <v>Mobile App</v>
      </c>
      <c r="U970" s="1" t="str">
        <f aca="false">IF(Q970="Delivered","Completed",IF(Q970="Cancelled","Cancelled",IF(Q970="Returned","Returned","In Progress")))</f>
        <v>Returned</v>
      </c>
      <c r="V970" s="1" t="str">
        <f aca="false">IF(M970&gt;=10000,"High Value",IF(M970&gt;=5000,"Medium Value","Low Value"))</f>
        <v>Low Value</v>
      </c>
      <c r="W970" s="1" t="str">
        <f aca="false">IF(O970&gt;0,"Profitable",IF(O970=0,"Break-even","Loss"))</f>
        <v>Profitable</v>
      </c>
      <c r="X970" s="1" t="str">
        <f aca="false">IF(Q970="Cancelled","Not Applicable",IF(Q970="Processing","Pending",IF(B970="","Unknown",IF(Orders!J970="","Unknown",IF(Orders!J970&lt;=3,"Fast",IF(Orders!J970&lt;=6,"Standard","Slow"))))))</f>
        <v>Fast</v>
      </c>
      <c r="Y970" s="1" t="n">
        <f aca="false">IF(OR(Q970="Cancelled",Q970="Returned"),0,O970)</f>
        <v>0</v>
      </c>
    </row>
    <row r="971" customFormat="false" ht="15" hidden="false" customHeight="false" outlineLevel="0" collapsed="false">
      <c r="A971" s="6" t="str">
        <f aca="false">Orders!A971</f>
        <v>O000970</v>
      </c>
      <c r="B971" s="19" t="n">
        <f aca="false">Orders!B971</f>
        <v>45899</v>
      </c>
      <c r="C971" s="6" t="str">
        <f aca="false">Orders!C971</f>
        <v>C0192</v>
      </c>
      <c r="D971" s="6" t="str">
        <f aca="false">Orders!D971</f>
        <v>P1087</v>
      </c>
      <c r="E971" s="6" t="str">
        <f aca="false">INDEX(Products!$B$2:$B$101,MATCH(D971,Products!$A$2:$A$101,0))</f>
        <v>Book Stand</v>
      </c>
      <c r="F971" s="1" t="str">
        <f aca="false">INDEX(Products!$C$2:$C$101,MATCH(D971,Products!$A$2:$A$101,0))</f>
        <v>Books &amp; Stationery</v>
      </c>
      <c r="G971" s="6" t="n">
        <f aca="false">Orders!E971</f>
        <v>3</v>
      </c>
      <c r="H971" s="16" t="n">
        <f aca="false">INDEX(Products!$D$2:$D$101,MATCH(D971,Products!$A$2:$A$101,0))</f>
        <v>449</v>
      </c>
      <c r="I971" s="16" t="n">
        <f aca="false">INDEX(Products!$E$2:$E$101,MATCH(D971,Products!$A$2:$A$101,0))</f>
        <v>200</v>
      </c>
      <c r="J971" s="20" t="n">
        <f aca="false">Orders!F971</f>
        <v>0.05</v>
      </c>
      <c r="K971" s="6" t="n">
        <f aca="false">G971*H971</f>
        <v>1347</v>
      </c>
      <c r="L971" s="6" t="n">
        <f aca="false">K971*J971</f>
        <v>67.35</v>
      </c>
      <c r="M971" s="6" t="n">
        <f aca="false">K971-L971</f>
        <v>1279.65</v>
      </c>
      <c r="N971" s="6" t="n">
        <f aca="false">G971*I971</f>
        <v>600</v>
      </c>
      <c r="O971" s="6" t="n">
        <f aca="false">M971-N971</f>
        <v>679.65</v>
      </c>
      <c r="P971" s="21" t="n">
        <f aca="false">IFERROR(O971/M971,0)</f>
        <v>0.531121791114758</v>
      </c>
      <c r="Q971" s="6" t="str">
        <f aca="false">Orders!H971</f>
        <v>Delivered</v>
      </c>
      <c r="R971" s="1" t="str">
        <f aca="false">INDEX(Customers!$C$2:$C$301,MATCH(C971,Customers!$A$2:$A$301,0))</f>
        <v>Noida</v>
      </c>
      <c r="S971" s="1" t="str">
        <f aca="false">INDEX(Customers!$E$2:$E$301,MATCH(C971,Customers!$A$2:$A$301,0))</f>
        <v>Returning</v>
      </c>
      <c r="T971" s="6" t="str">
        <f aca="false">Orders!I971</f>
        <v>Website</v>
      </c>
      <c r="U971" s="1" t="str">
        <f aca="false">IF(Q971="Delivered","Completed",IF(Q971="Cancelled","Cancelled",IF(Q971="Returned","Returned","In Progress")))</f>
        <v>Completed</v>
      </c>
      <c r="V971" s="1" t="str">
        <f aca="false">IF(M971&gt;=10000,"High Value",IF(M971&gt;=5000,"Medium Value","Low Value"))</f>
        <v>Low Value</v>
      </c>
      <c r="W971" s="1" t="str">
        <f aca="false">IF(O971&gt;0,"Profitable",IF(O971=0,"Break-even","Loss"))</f>
        <v>Profitable</v>
      </c>
      <c r="X971" s="1" t="str">
        <f aca="false">IF(Q971="Cancelled","Not Applicable",IF(Q971="Processing","Pending",IF(B971="","Unknown",IF(Orders!J971="","Unknown",IF(Orders!J971&lt;=3,"Fast",IF(Orders!J971&lt;=6,"Standard","Slow"))))))</f>
        <v>Fast</v>
      </c>
      <c r="Y971" s="1" t="n">
        <f aca="false">IF(OR(Q971="Cancelled",Q971="Returned"),0,O971)</f>
        <v>679.65</v>
      </c>
    </row>
    <row r="972" customFormat="false" ht="15" hidden="false" customHeight="false" outlineLevel="0" collapsed="false">
      <c r="A972" s="6" t="str">
        <f aca="false">Orders!A972</f>
        <v>O000971</v>
      </c>
      <c r="B972" s="19" t="n">
        <f aca="false">Orders!B972</f>
        <v>45671</v>
      </c>
      <c r="C972" s="6" t="str">
        <f aca="false">Orders!C972</f>
        <v>C0113</v>
      </c>
      <c r="D972" s="6" t="str">
        <f aca="false">Orders!D972</f>
        <v>P1007</v>
      </c>
      <c r="E972" s="6" t="str">
        <f aca="false">INDEX(Products!$B$2:$B$101,MATCH(D972,Products!$A$2:$A$101,0))</f>
        <v>Keyboard</v>
      </c>
      <c r="F972" s="1" t="str">
        <f aca="false">INDEX(Products!$C$2:$C$101,MATCH(D972,Products!$A$2:$A$101,0))</f>
        <v>Electronics</v>
      </c>
      <c r="G972" s="6" t="n">
        <f aca="false">Orders!E972</f>
        <v>4</v>
      </c>
      <c r="H972" s="16" t="n">
        <f aca="false">INDEX(Products!$D$2:$D$101,MATCH(D972,Products!$A$2:$A$101,0))</f>
        <v>999</v>
      </c>
      <c r="I972" s="16" t="n">
        <f aca="false">INDEX(Products!$E$2:$E$101,MATCH(D972,Products!$A$2:$A$101,0))</f>
        <v>480</v>
      </c>
      <c r="J972" s="20" t="n">
        <f aca="false">Orders!F972</f>
        <v>0.15</v>
      </c>
      <c r="K972" s="6" t="n">
        <f aca="false">G972*H972</f>
        <v>3996</v>
      </c>
      <c r="L972" s="6" t="n">
        <f aca="false">K972*J972</f>
        <v>599.4</v>
      </c>
      <c r="M972" s="6" t="n">
        <f aca="false">K972-L972</f>
        <v>3396.6</v>
      </c>
      <c r="N972" s="6" t="n">
        <f aca="false">G972*I972</f>
        <v>1920</v>
      </c>
      <c r="O972" s="6" t="n">
        <f aca="false">M972-N972</f>
        <v>1476.6</v>
      </c>
      <c r="P972" s="21" t="n">
        <f aca="false">IFERROR(O972/M972,0)</f>
        <v>0.434728846493552</v>
      </c>
      <c r="Q972" s="6" t="str">
        <f aca="false">Orders!H972</f>
        <v>Delivered</v>
      </c>
      <c r="R972" s="1" t="str">
        <f aca="false">INDEX(Customers!$C$2:$C$301,MATCH(C972,Customers!$A$2:$A$301,0))</f>
        <v>Kochi</v>
      </c>
      <c r="S972" s="1" t="str">
        <f aca="false">INDEX(Customers!$E$2:$E$301,MATCH(C972,Customers!$A$2:$A$301,0))</f>
        <v>New</v>
      </c>
      <c r="T972" s="6" t="str">
        <f aca="false">Orders!I972</f>
        <v>Marketplace</v>
      </c>
      <c r="U972" s="1" t="str">
        <f aca="false">IF(Q972="Delivered","Completed",IF(Q972="Cancelled","Cancelled",IF(Q972="Returned","Returned","In Progress")))</f>
        <v>Completed</v>
      </c>
      <c r="V972" s="1" t="str">
        <f aca="false">IF(M972&gt;=10000,"High Value",IF(M972&gt;=5000,"Medium Value","Low Value"))</f>
        <v>Low Value</v>
      </c>
      <c r="W972" s="1" t="str">
        <f aca="false">IF(O972&gt;0,"Profitable",IF(O972=0,"Break-even","Loss"))</f>
        <v>Profitable</v>
      </c>
      <c r="X972" s="1" t="str">
        <f aca="false">IF(Q972="Cancelled","Not Applicable",IF(Q972="Processing","Pending",IF(B972="","Unknown",IF(Orders!J972="","Unknown",IF(Orders!J972&lt;=3,"Fast",IF(Orders!J972&lt;=6,"Standard","Slow"))))))</f>
        <v>Fast</v>
      </c>
      <c r="Y972" s="1" t="n">
        <f aca="false">IF(OR(Q972="Cancelled",Q972="Returned"),0,O972)</f>
        <v>1476.6</v>
      </c>
    </row>
    <row r="973" customFormat="false" ht="23.85" hidden="false" customHeight="false" outlineLevel="0" collapsed="false">
      <c r="A973" s="6" t="str">
        <f aca="false">Orders!A973</f>
        <v>O000972</v>
      </c>
      <c r="B973" s="19" t="n">
        <f aca="false">Orders!B973</f>
        <v>45904</v>
      </c>
      <c r="C973" s="6" t="str">
        <f aca="false">Orders!C973</f>
        <v>C0275</v>
      </c>
      <c r="D973" s="6" t="str">
        <f aca="false">Orders!D973</f>
        <v>P1072</v>
      </c>
      <c r="E973" s="6" t="str">
        <f aca="false">INDEX(Products!$B$2:$B$101,MATCH(D973,Products!$A$2:$A$101,0))</f>
        <v>Tennis Balls Pack</v>
      </c>
      <c r="F973" s="1" t="str">
        <f aca="false">INDEX(Products!$C$2:$C$101,MATCH(D973,Products!$A$2:$A$101,0))</f>
        <v>Sports &amp; Outdoors</v>
      </c>
      <c r="G973" s="6" t="n">
        <f aca="false">Orders!E973</f>
        <v>4</v>
      </c>
      <c r="H973" s="16" t="n">
        <f aca="false">INDEX(Products!$D$2:$D$101,MATCH(D973,Products!$A$2:$A$101,0))</f>
        <v>399</v>
      </c>
      <c r="I973" s="16" t="n">
        <f aca="false">INDEX(Products!$E$2:$E$101,MATCH(D973,Products!$A$2:$A$101,0))</f>
        <v>160</v>
      </c>
      <c r="J973" s="20" t="n">
        <f aca="false">Orders!F973</f>
        <v>0.05</v>
      </c>
      <c r="K973" s="6" t="n">
        <f aca="false">G973*H973</f>
        <v>1596</v>
      </c>
      <c r="L973" s="6" t="n">
        <f aca="false">K973*J973</f>
        <v>79.8</v>
      </c>
      <c r="M973" s="6" t="n">
        <f aca="false">K973-L973</f>
        <v>1516.2</v>
      </c>
      <c r="N973" s="6" t="n">
        <f aca="false">G973*I973</f>
        <v>640</v>
      </c>
      <c r="O973" s="6" t="n">
        <f aca="false">M973-N973</f>
        <v>876.2</v>
      </c>
      <c r="P973" s="21" t="n">
        <f aca="false">IFERROR(O973/M973,0)</f>
        <v>0.577892098667722</v>
      </c>
      <c r="Q973" s="6" t="str">
        <f aca="false">Orders!H973</f>
        <v>Cancelled</v>
      </c>
      <c r="R973" s="1" t="str">
        <f aca="false">INDEX(Customers!$C$2:$C$301,MATCH(C973,Customers!$A$2:$A$301,0))</f>
        <v>Bhopal</v>
      </c>
      <c r="S973" s="1" t="str">
        <f aca="false">INDEX(Customers!$E$2:$E$301,MATCH(C973,Customers!$A$2:$A$301,0))</f>
        <v>VIP</v>
      </c>
      <c r="T973" s="6" t="str">
        <f aca="false">Orders!I973</f>
        <v>Marketplace</v>
      </c>
      <c r="U973" s="1" t="str">
        <f aca="false">IF(Q973="Delivered","Completed",IF(Q973="Cancelled","Cancelled",IF(Q973="Returned","Returned","In Progress")))</f>
        <v>Cancelled</v>
      </c>
      <c r="V973" s="1" t="str">
        <f aca="false">IF(M973&gt;=10000,"High Value",IF(M973&gt;=5000,"Medium Value","Low Value"))</f>
        <v>Low Value</v>
      </c>
      <c r="W973" s="1" t="str">
        <f aca="false">IF(O973&gt;0,"Profitable",IF(O973=0,"Break-even","Loss"))</f>
        <v>Profitable</v>
      </c>
      <c r="X973" s="1" t="str">
        <f aca="false">IF(Q973="Cancelled","Not Applicable",IF(Q973="Processing","Pending",IF(B973="","Unknown",IF(Orders!J973="","Unknown",IF(Orders!J973&lt;=3,"Fast",IF(Orders!J973&lt;=6,"Standard","Slow"))))))</f>
        <v>Not Applicable</v>
      </c>
      <c r="Y973" s="1" t="n">
        <f aca="false">IF(OR(Q973="Cancelled",Q973="Returned"),0,O973)</f>
        <v>0</v>
      </c>
    </row>
    <row r="974" customFormat="false" ht="15" hidden="false" customHeight="false" outlineLevel="0" collapsed="false">
      <c r="A974" s="6" t="str">
        <f aca="false">Orders!A974</f>
        <v>O000973</v>
      </c>
      <c r="B974" s="19" t="n">
        <f aca="false">Orders!B974</f>
        <v>45827</v>
      </c>
      <c r="C974" s="6" t="str">
        <f aca="false">Orders!C974</f>
        <v>C0023</v>
      </c>
      <c r="D974" s="6" t="str">
        <f aca="false">Orders!D974</f>
        <v>P1084</v>
      </c>
      <c r="E974" s="6" t="str">
        <f aca="false">INDEX(Products!$B$2:$B$101,MATCH(D974,Products!$A$2:$A$101,0))</f>
        <v>Whiteboard</v>
      </c>
      <c r="F974" s="1" t="str">
        <f aca="false">INDEX(Products!$C$2:$C$101,MATCH(D974,Products!$A$2:$A$101,0))</f>
        <v>Books &amp; Stationery</v>
      </c>
      <c r="G974" s="6" t="n">
        <f aca="false">Orders!E974</f>
        <v>1</v>
      </c>
      <c r="H974" s="16" t="n">
        <f aca="false">INDEX(Products!$D$2:$D$101,MATCH(D974,Products!$A$2:$A$101,0))</f>
        <v>799</v>
      </c>
      <c r="I974" s="16" t="n">
        <f aca="false">INDEX(Products!$E$2:$E$101,MATCH(D974,Products!$A$2:$A$101,0))</f>
        <v>420</v>
      </c>
      <c r="J974" s="20" t="n">
        <f aca="false">Orders!F974</f>
        <v>0.25</v>
      </c>
      <c r="K974" s="6" t="n">
        <f aca="false">G974*H974</f>
        <v>799</v>
      </c>
      <c r="L974" s="6" t="n">
        <f aca="false">K974*J974</f>
        <v>199.75</v>
      </c>
      <c r="M974" s="6" t="n">
        <f aca="false">K974-L974</f>
        <v>599.25</v>
      </c>
      <c r="N974" s="6" t="n">
        <f aca="false">G974*I974</f>
        <v>420</v>
      </c>
      <c r="O974" s="6" t="n">
        <f aca="false">M974-N974</f>
        <v>179.25</v>
      </c>
      <c r="P974" s="21" t="n">
        <f aca="false">IFERROR(O974/M974,0)</f>
        <v>0.299123904881101</v>
      </c>
      <c r="Q974" s="6" t="str">
        <f aca="false">Orders!H974</f>
        <v>Returned</v>
      </c>
      <c r="R974" s="1" t="str">
        <f aca="false">INDEX(Customers!$C$2:$C$301,MATCH(C974,Customers!$A$2:$A$301,0))</f>
        <v>Bengaluru</v>
      </c>
      <c r="S974" s="1" t="str">
        <f aca="false">INDEX(Customers!$E$2:$E$301,MATCH(C974,Customers!$A$2:$A$301,0))</f>
        <v>Returning</v>
      </c>
      <c r="T974" s="6" t="str">
        <f aca="false">Orders!I974</f>
        <v>Website</v>
      </c>
      <c r="U974" s="1" t="str">
        <f aca="false">IF(Q974="Delivered","Completed",IF(Q974="Cancelled","Cancelled",IF(Q974="Returned","Returned","In Progress")))</f>
        <v>Returned</v>
      </c>
      <c r="V974" s="1" t="str">
        <f aca="false">IF(M974&gt;=10000,"High Value",IF(M974&gt;=5000,"Medium Value","Low Value"))</f>
        <v>Low Value</v>
      </c>
      <c r="W974" s="1" t="str">
        <f aca="false">IF(O974&gt;0,"Profitable",IF(O974=0,"Break-even","Loss"))</f>
        <v>Profitable</v>
      </c>
      <c r="X974" s="1" t="str">
        <f aca="false">IF(Q974="Cancelled","Not Applicable",IF(Q974="Processing","Pending",IF(B974="","Unknown",IF(Orders!J974="","Unknown",IF(Orders!J974&lt;=3,"Fast",IF(Orders!J974&lt;=6,"Standard","Slow"))))))</f>
        <v>Fast</v>
      </c>
      <c r="Y974" s="1" t="n">
        <f aca="false">IF(OR(Q974="Cancelled",Q974="Returned"),0,O974)</f>
        <v>0</v>
      </c>
    </row>
    <row r="975" customFormat="false" ht="15" hidden="false" customHeight="false" outlineLevel="0" collapsed="false">
      <c r="A975" s="6" t="str">
        <f aca="false">Orders!A975</f>
        <v>O000974</v>
      </c>
      <c r="B975" s="19" t="n">
        <f aca="false">Orders!B975</f>
        <v>45990</v>
      </c>
      <c r="C975" s="6" t="str">
        <f aca="false">Orders!C975</f>
        <v>C0224</v>
      </c>
      <c r="D975" s="6" t="str">
        <f aca="false">Orders!D975</f>
        <v>P1014</v>
      </c>
      <c r="E975" s="6" t="str">
        <f aca="false">INDEX(Products!$B$2:$B$101,MATCH(D975,Products!$A$2:$A$101,0))</f>
        <v>HDMI Cable</v>
      </c>
      <c r="F975" s="1" t="str">
        <f aca="false">INDEX(Products!$C$2:$C$101,MATCH(D975,Products!$A$2:$A$101,0))</f>
        <v>Electronics</v>
      </c>
      <c r="G975" s="6" t="n">
        <f aca="false">Orders!E975</f>
        <v>2</v>
      </c>
      <c r="H975" s="16" t="n">
        <f aca="false">INDEX(Products!$D$2:$D$101,MATCH(D975,Products!$A$2:$A$101,0))</f>
        <v>449</v>
      </c>
      <c r="I975" s="16" t="n">
        <f aca="false">INDEX(Products!$E$2:$E$101,MATCH(D975,Products!$A$2:$A$101,0))</f>
        <v>180</v>
      </c>
      <c r="J975" s="20" t="n">
        <f aca="false">Orders!F975</f>
        <v>0.1</v>
      </c>
      <c r="K975" s="6" t="n">
        <f aca="false">G975*H975</f>
        <v>898</v>
      </c>
      <c r="L975" s="6" t="n">
        <f aca="false">K975*J975</f>
        <v>89.8</v>
      </c>
      <c r="M975" s="6" t="n">
        <f aca="false">K975-L975</f>
        <v>808.2</v>
      </c>
      <c r="N975" s="6" t="n">
        <f aca="false">G975*I975</f>
        <v>360</v>
      </c>
      <c r="O975" s="6" t="n">
        <f aca="false">M975-N975</f>
        <v>448.2</v>
      </c>
      <c r="P975" s="21" t="n">
        <f aca="false">IFERROR(O975/M975,0)</f>
        <v>0.55456570155902</v>
      </c>
      <c r="Q975" s="6" t="str">
        <f aca="false">Orders!H975</f>
        <v>Delivered</v>
      </c>
      <c r="R975" s="1" t="str">
        <f aca="false">INDEX(Customers!$C$2:$C$301,MATCH(C975,Customers!$A$2:$A$301,0))</f>
        <v>Hyderabad</v>
      </c>
      <c r="S975" s="1" t="str">
        <f aca="false">INDEX(Customers!$E$2:$E$301,MATCH(C975,Customers!$A$2:$A$301,0))</f>
        <v>Returning</v>
      </c>
      <c r="T975" s="6" t="str">
        <f aca="false">Orders!I975</f>
        <v>Website</v>
      </c>
      <c r="U975" s="1" t="str">
        <f aca="false">IF(Q975="Delivered","Completed",IF(Q975="Cancelled","Cancelled",IF(Q975="Returned","Returned","In Progress")))</f>
        <v>Completed</v>
      </c>
      <c r="V975" s="1" t="str">
        <f aca="false">IF(M975&gt;=10000,"High Value",IF(M975&gt;=5000,"Medium Value","Low Value"))</f>
        <v>Low Value</v>
      </c>
      <c r="W975" s="1" t="str">
        <f aca="false">IF(O975&gt;0,"Profitable",IF(O975=0,"Break-even","Loss"))</f>
        <v>Profitable</v>
      </c>
      <c r="X975" s="1" t="str">
        <f aca="false">IF(Q975="Cancelled","Not Applicable",IF(Q975="Processing","Pending",IF(B975="","Unknown",IF(Orders!J975="","Unknown",IF(Orders!J975&lt;=3,"Fast",IF(Orders!J975&lt;=6,"Standard","Slow"))))))</f>
        <v>Fast</v>
      </c>
      <c r="Y975" s="1" t="n">
        <f aca="false">IF(OR(Q975="Cancelled",Q975="Returned"),0,O975)</f>
        <v>448.2</v>
      </c>
    </row>
    <row r="976" customFormat="false" ht="15" hidden="false" customHeight="false" outlineLevel="0" collapsed="false">
      <c r="A976" s="6" t="str">
        <f aca="false">Orders!A976</f>
        <v>O000975</v>
      </c>
      <c r="B976" s="19" t="n">
        <f aca="false">Orders!B976</f>
        <v>45812</v>
      </c>
      <c r="C976" s="6" t="str">
        <f aca="false">Orders!C976</f>
        <v>C0046</v>
      </c>
      <c r="D976" s="6" t="str">
        <f aca="false">Orders!D976</f>
        <v>P1054</v>
      </c>
      <c r="E976" s="6" t="str">
        <f aca="false">INDEX(Products!$B$2:$B$101,MATCH(D976,Products!$A$2:$A$101,0))</f>
        <v>Face Mask Pack</v>
      </c>
      <c r="F976" s="1" t="str">
        <f aca="false">INDEX(Products!$C$2:$C$101,MATCH(D976,Products!$A$2:$A$101,0))</f>
        <v>Beauty</v>
      </c>
      <c r="G976" s="6" t="n">
        <f aca="false">Orders!E976</f>
        <v>1</v>
      </c>
      <c r="H976" s="16" t="n">
        <f aca="false">INDEX(Products!$D$2:$D$101,MATCH(D976,Products!$A$2:$A$101,0))</f>
        <v>299</v>
      </c>
      <c r="I976" s="16" t="n">
        <f aca="false">INDEX(Products!$E$2:$E$101,MATCH(D976,Products!$A$2:$A$101,0))</f>
        <v>110</v>
      </c>
      <c r="J976" s="20" t="n">
        <f aca="false">Orders!F976</f>
        <v>0.15</v>
      </c>
      <c r="K976" s="6" t="n">
        <f aca="false">G976*H976</f>
        <v>299</v>
      </c>
      <c r="L976" s="6" t="n">
        <f aca="false">K976*J976</f>
        <v>44.85</v>
      </c>
      <c r="M976" s="6" t="n">
        <f aca="false">K976-L976</f>
        <v>254.15</v>
      </c>
      <c r="N976" s="6" t="n">
        <f aca="false">G976*I976</f>
        <v>110</v>
      </c>
      <c r="O976" s="6" t="n">
        <f aca="false">M976-N976</f>
        <v>144.15</v>
      </c>
      <c r="P976" s="21" t="n">
        <f aca="false">IFERROR(O976/M976,0)</f>
        <v>0.567184733425143</v>
      </c>
      <c r="Q976" s="6" t="str">
        <f aca="false">Orders!H976</f>
        <v>Delivered</v>
      </c>
      <c r="R976" s="1" t="str">
        <f aca="false">INDEX(Customers!$C$2:$C$301,MATCH(C976,Customers!$A$2:$A$301,0))</f>
        <v>Kolkata</v>
      </c>
      <c r="S976" s="1" t="str">
        <f aca="false">INDEX(Customers!$E$2:$E$301,MATCH(C976,Customers!$A$2:$A$301,0))</f>
        <v>New</v>
      </c>
      <c r="T976" s="6" t="str">
        <f aca="false">Orders!I976</f>
        <v>Website</v>
      </c>
      <c r="U976" s="1" t="str">
        <f aca="false">IF(Q976="Delivered","Completed",IF(Q976="Cancelled","Cancelled",IF(Q976="Returned","Returned","In Progress")))</f>
        <v>Completed</v>
      </c>
      <c r="V976" s="1" t="str">
        <f aca="false">IF(M976&gt;=10000,"High Value",IF(M976&gt;=5000,"Medium Value","Low Value"))</f>
        <v>Low Value</v>
      </c>
      <c r="W976" s="1" t="str">
        <f aca="false">IF(O976&gt;0,"Profitable",IF(O976=0,"Break-even","Loss"))</f>
        <v>Profitable</v>
      </c>
      <c r="X976" s="1" t="str">
        <f aca="false">IF(Q976="Cancelled","Not Applicable",IF(Q976="Processing","Pending",IF(B976="","Unknown",IF(Orders!J976="","Unknown",IF(Orders!J976&lt;=3,"Fast",IF(Orders!J976&lt;=6,"Standard","Slow"))))))</f>
        <v>Slow</v>
      </c>
      <c r="Y976" s="1" t="n">
        <f aca="false">IF(OR(Q976="Cancelled",Q976="Returned"),0,O976)</f>
        <v>144.15</v>
      </c>
    </row>
    <row r="977" customFormat="false" ht="15" hidden="false" customHeight="false" outlineLevel="0" collapsed="false">
      <c r="A977" s="6" t="str">
        <f aca="false">Orders!A977</f>
        <v>O000976</v>
      </c>
      <c r="B977" s="19" t="n">
        <f aca="false">Orders!B977</f>
        <v>45890</v>
      </c>
      <c r="C977" s="6" t="str">
        <f aca="false">Orders!C977</f>
        <v>C0272</v>
      </c>
      <c r="D977" s="6" t="str">
        <f aca="false">Orders!D977</f>
        <v>P1082</v>
      </c>
      <c r="E977" s="6" t="str">
        <f aca="false">INDEX(Products!$B$2:$B$101,MATCH(D977,Products!$A$2:$A$101,0))</f>
        <v>File Folder Set</v>
      </c>
      <c r="F977" s="1" t="str">
        <f aca="false">INDEX(Products!$C$2:$C$101,MATCH(D977,Products!$A$2:$A$101,0))</f>
        <v>Books &amp; Stationery</v>
      </c>
      <c r="G977" s="6" t="n">
        <f aca="false">Orders!E977</f>
        <v>3</v>
      </c>
      <c r="H977" s="16" t="n">
        <f aca="false">INDEX(Products!$D$2:$D$101,MATCH(D977,Products!$A$2:$A$101,0))</f>
        <v>249</v>
      </c>
      <c r="I977" s="16" t="n">
        <f aca="false">INDEX(Products!$E$2:$E$101,MATCH(D977,Products!$A$2:$A$101,0))</f>
        <v>90</v>
      </c>
      <c r="J977" s="20" t="n">
        <f aca="false">Orders!F977</f>
        <v>0.15</v>
      </c>
      <c r="K977" s="6" t="n">
        <f aca="false">G977*H977</f>
        <v>747</v>
      </c>
      <c r="L977" s="6" t="n">
        <f aca="false">K977*J977</f>
        <v>112.05</v>
      </c>
      <c r="M977" s="6" t="n">
        <f aca="false">K977-L977</f>
        <v>634.95</v>
      </c>
      <c r="N977" s="6" t="n">
        <f aca="false">G977*I977</f>
        <v>270</v>
      </c>
      <c r="O977" s="6" t="n">
        <f aca="false">M977-N977</f>
        <v>364.95</v>
      </c>
      <c r="P977" s="21" t="n">
        <f aca="false">IFERROR(O977/M977,0)</f>
        <v>0.574769666902906</v>
      </c>
      <c r="Q977" s="6" t="str">
        <f aca="false">Orders!H977</f>
        <v>Delivered</v>
      </c>
      <c r="R977" s="1" t="str">
        <f aca="false">INDEX(Customers!$C$2:$C$301,MATCH(C977,Customers!$A$2:$A$301,0))</f>
        <v>Noida</v>
      </c>
      <c r="S977" s="1" t="str">
        <f aca="false">INDEX(Customers!$E$2:$E$301,MATCH(C977,Customers!$A$2:$A$301,0))</f>
        <v>New</v>
      </c>
      <c r="T977" s="6" t="str">
        <f aca="false">Orders!I977</f>
        <v>Marketplace</v>
      </c>
      <c r="U977" s="1" t="str">
        <f aca="false">IF(Q977="Delivered","Completed",IF(Q977="Cancelled","Cancelled",IF(Q977="Returned","Returned","In Progress")))</f>
        <v>Completed</v>
      </c>
      <c r="V977" s="1" t="str">
        <f aca="false">IF(M977&gt;=10000,"High Value",IF(M977&gt;=5000,"Medium Value","Low Value"))</f>
        <v>Low Value</v>
      </c>
      <c r="W977" s="1" t="str">
        <f aca="false">IF(O977&gt;0,"Profitable",IF(O977=0,"Break-even","Loss"))</f>
        <v>Profitable</v>
      </c>
      <c r="X977" s="1" t="str">
        <f aca="false">IF(Q977="Cancelled","Not Applicable",IF(Q977="Processing","Pending",IF(B977="","Unknown",IF(Orders!J977="","Unknown",IF(Orders!J977&lt;=3,"Fast",IF(Orders!J977&lt;=6,"Standard","Slow"))))))</f>
        <v>Fast</v>
      </c>
      <c r="Y977" s="1" t="n">
        <f aca="false">IF(OR(Q977="Cancelled",Q977="Returned"),0,O977)</f>
        <v>364.95</v>
      </c>
    </row>
    <row r="978" customFormat="false" ht="15" hidden="false" customHeight="false" outlineLevel="0" collapsed="false">
      <c r="A978" s="6" t="str">
        <f aca="false">Orders!A978</f>
        <v>O000977</v>
      </c>
      <c r="B978" s="19" t="n">
        <f aca="false">Orders!B978</f>
        <v>45845</v>
      </c>
      <c r="C978" s="6" t="str">
        <f aca="false">Orders!C978</f>
        <v>C0064</v>
      </c>
      <c r="D978" s="6" t="str">
        <f aca="false">Orders!D978</f>
        <v>P1050</v>
      </c>
      <c r="E978" s="6" t="str">
        <f aca="false">INDEX(Products!$B$2:$B$101,MATCH(D978,Products!$A$2:$A$101,0))</f>
        <v>Hair Serum</v>
      </c>
      <c r="F978" s="1" t="str">
        <f aca="false">INDEX(Products!$C$2:$C$101,MATCH(D978,Products!$A$2:$A$101,0))</f>
        <v>Beauty</v>
      </c>
      <c r="G978" s="6" t="n">
        <f aca="false">Orders!E978</f>
        <v>2</v>
      </c>
      <c r="H978" s="16" t="n">
        <f aca="false">INDEX(Products!$D$2:$D$101,MATCH(D978,Products!$A$2:$A$101,0))</f>
        <v>449</v>
      </c>
      <c r="I978" s="16" t="n">
        <f aca="false">INDEX(Products!$E$2:$E$101,MATCH(D978,Products!$A$2:$A$101,0))</f>
        <v>190</v>
      </c>
      <c r="J978" s="20" t="n">
        <f aca="false">Orders!F978</f>
        <v>0</v>
      </c>
      <c r="K978" s="6" t="n">
        <f aca="false">G978*H978</f>
        <v>898</v>
      </c>
      <c r="L978" s="6" t="n">
        <f aca="false">K978*J978</f>
        <v>0</v>
      </c>
      <c r="M978" s="6" t="n">
        <f aca="false">K978-L978</f>
        <v>898</v>
      </c>
      <c r="N978" s="6" t="n">
        <f aca="false">G978*I978</f>
        <v>380</v>
      </c>
      <c r="O978" s="6" t="n">
        <f aca="false">M978-N978</f>
        <v>518</v>
      </c>
      <c r="P978" s="21" t="n">
        <f aca="false">IFERROR(O978/M978,0)</f>
        <v>0.576837416481069</v>
      </c>
      <c r="Q978" s="6" t="str">
        <f aca="false">Orders!H978</f>
        <v>Cancelled</v>
      </c>
      <c r="R978" s="1" t="str">
        <f aca="false">INDEX(Customers!$C$2:$C$301,MATCH(C978,Customers!$A$2:$A$301,0))</f>
        <v>Hyderabad</v>
      </c>
      <c r="S978" s="1" t="str">
        <f aca="false">INDEX(Customers!$E$2:$E$301,MATCH(C978,Customers!$A$2:$A$301,0))</f>
        <v>Returning</v>
      </c>
      <c r="T978" s="6" t="str">
        <f aca="false">Orders!I978</f>
        <v>Mobile App</v>
      </c>
      <c r="U978" s="1" t="str">
        <f aca="false">IF(Q978="Delivered","Completed",IF(Q978="Cancelled","Cancelled",IF(Q978="Returned","Returned","In Progress")))</f>
        <v>Cancelled</v>
      </c>
      <c r="V978" s="1" t="str">
        <f aca="false">IF(M978&gt;=10000,"High Value",IF(M978&gt;=5000,"Medium Value","Low Value"))</f>
        <v>Low Value</v>
      </c>
      <c r="W978" s="1" t="str">
        <f aca="false">IF(O978&gt;0,"Profitable",IF(O978=0,"Break-even","Loss"))</f>
        <v>Profitable</v>
      </c>
      <c r="X978" s="1" t="str">
        <f aca="false">IF(Q978="Cancelled","Not Applicable",IF(Q978="Processing","Pending",IF(B978="","Unknown",IF(Orders!J978="","Unknown",IF(Orders!J978&lt;=3,"Fast",IF(Orders!J978&lt;=6,"Standard","Slow"))))))</f>
        <v>Not Applicable</v>
      </c>
      <c r="Y978" s="1" t="n">
        <f aca="false">IF(OR(Q978="Cancelled",Q978="Returned"),0,O978)</f>
        <v>0</v>
      </c>
    </row>
    <row r="979" customFormat="false" ht="15" hidden="false" customHeight="false" outlineLevel="0" collapsed="false">
      <c r="A979" s="6" t="str">
        <f aca="false">Orders!A979</f>
        <v>O000978</v>
      </c>
      <c r="B979" s="19" t="n">
        <f aca="false">Orders!B979</f>
        <v>45906</v>
      </c>
      <c r="C979" s="6" t="str">
        <f aca="false">Orders!C979</f>
        <v>C0027</v>
      </c>
      <c r="D979" s="6" t="str">
        <f aca="false">Orders!D979</f>
        <v>P1024</v>
      </c>
      <c r="E979" s="6" t="str">
        <f aca="false">INDEX(Products!$B$2:$B$101,MATCH(D979,Products!$A$2:$A$101,0))</f>
        <v>Kurta</v>
      </c>
      <c r="F979" s="1" t="str">
        <f aca="false">INDEX(Products!$C$2:$C$101,MATCH(D979,Products!$A$2:$A$101,0))</f>
        <v>Fashion</v>
      </c>
      <c r="G979" s="6" t="n">
        <f aca="false">Orders!E979</f>
        <v>1</v>
      </c>
      <c r="H979" s="16" t="n">
        <f aca="false">INDEX(Products!$D$2:$D$101,MATCH(D979,Products!$A$2:$A$101,0))</f>
        <v>999</v>
      </c>
      <c r="I979" s="16" t="n">
        <f aca="false">INDEX(Products!$E$2:$E$101,MATCH(D979,Products!$A$2:$A$101,0))</f>
        <v>450</v>
      </c>
      <c r="J979" s="20" t="n">
        <f aca="false">Orders!F979</f>
        <v>0.1</v>
      </c>
      <c r="K979" s="6" t="n">
        <f aca="false">G979*H979</f>
        <v>999</v>
      </c>
      <c r="L979" s="6" t="n">
        <f aca="false">K979*J979</f>
        <v>99.9</v>
      </c>
      <c r="M979" s="6" t="n">
        <f aca="false">K979-L979</f>
        <v>899.1</v>
      </c>
      <c r="N979" s="6" t="n">
        <f aca="false">G979*I979</f>
        <v>450</v>
      </c>
      <c r="O979" s="6" t="n">
        <f aca="false">M979-N979</f>
        <v>449.1</v>
      </c>
      <c r="P979" s="21" t="n">
        <f aca="false">IFERROR(O979/M979,0)</f>
        <v>0.4994994994995</v>
      </c>
      <c r="Q979" s="6" t="str">
        <f aca="false">Orders!H979</f>
        <v>Shipped</v>
      </c>
      <c r="R979" s="1" t="str">
        <f aca="false">INDEX(Customers!$C$2:$C$301,MATCH(C979,Customers!$A$2:$A$301,0))</f>
        <v>Pune</v>
      </c>
      <c r="S979" s="1" t="str">
        <f aca="false">INDEX(Customers!$E$2:$E$301,MATCH(C979,Customers!$A$2:$A$301,0))</f>
        <v>Returning</v>
      </c>
      <c r="T979" s="6" t="str">
        <f aca="false">Orders!I979</f>
        <v>Mobile App</v>
      </c>
      <c r="U979" s="1" t="str">
        <f aca="false">IF(Q979="Delivered","Completed",IF(Q979="Cancelled","Cancelled",IF(Q979="Returned","Returned","In Progress")))</f>
        <v>In Progress</v>
      </c>
      <c r="V979" s="1" t="str">
        <f aca="false">IF(M979&gt;=10000,"High Value",IF(M979&gt;=5000,"Medium Value","Low Value"))</f>
        <v>Low Value</v>
      </c>
      <c r="W979" s="1" t="str">
        <f aca="false">IF(O979&gt;0,"Profitable",IF(O979=0,"Break-even","Loss"))</f>
        <v>Profitable</v>
      </c>
      <c r="X979" s="1" t="str">
        <f aca="false">IF(Q979="Cancelled","Not Applicable",IF(Q979="Processing","Pending",IF(B979="","Unknown",IF(Orders!J979="","Unknown",IF(Orders!J979&lt;=3,"Fast",IF(Orders!J979&lt;=6,"Standard","Slow"))))))</f>
        <v>Standard</v>
      </c>
      <c r="Y979" s="1" t="n">
        <f aca="false">IF(OR(Q979="Cancelled",Q979="Returned"),0,O979)</f>
        <v>449.1</v>
      </c>
    </row>
    <row r="980" customFormat="false" ht="15" hidden="false" customHeight="false" outlineLevel="0" collapsed="false">
      <c r="A980" s="6" t="str">
        <f aca="false">Orders!A980</f>
        <v>O000979</v>
      </c>
      <c r="B980" s="19" t="n">
        <f aca="false">Orders!B980</f>
        <v>45846</v>
      </c>
      <c r="C980" s="6" t="str">
        <f aca="false">Orders!C980</f>
        <v>C0171</v>
      </c>
      <c r="D980" s="6" t="str">
        <f aca="false">Orders!D980</f>
        <v>P1019</v>
      </c>
      <c r="E980" s="6" t="str">
        <f aca="false">INDEX(Products!$B$2:$B$101,MATCH(D980,Products!$A$2:$A$101,0))</f>
        <v>Running Shoes</v>
      </c>
      <c r="F980" s="1" t="str">
        <f aca="false">INDEX(Products!$C$2:$C$101,MATCH(D980,Products!$A$2:$A$101,0))</f>
        <v>Fashion</v>
      </c>
      <c r="G980" s="6" t="n">
        <f aca="false">Orders!E980</f>
        <v>2</v>
      </c>
      <c r="H980" s="16" t="n">
        <f aca="false">INDEX(Products!$D$2:$D$101,MATCH(D980,Products!$A$2:$A$101,0))</f>
        <v>1999</v>
      </c>
      <c r="I980" s="16" t="n">
        <f aca="false">INDEX(Products!$E$2:$E$101,MATCH(D980,Products!$A$2:$A$101,0))</f>
        <v>1100</v>
      </c>
      <c r="J980" s="20" t="n">
        <f aca="false">Orders!F980</f>
        <v>0.05</v>
      </c>
      <c r="K980" s="6" t="n">
        <f aca="false">G980*H980</f>
        <v>3998</v>
      </c>
      <c r="L980" s="6" t="n">
        <f aca="false">K980*J980</f>
        <v>199.9</v>
      </c>
      <c r="M980" s="6" t="n">
        <f aca="false">K980-L980</f>
        <v>3798.1</v>
      </c>
      <c r="N980" s="6" t="n">
        <f aca="false">G980*I980</f>
        <v>2200</v>
      </c>
      <c r="O980" s="6" t="n">
        <f aca="false">M980-N980</f>
        <v>1598.1</v>
      </c>
      <c r="P980" s="21" t="n">
        <f aca="false">IFERROR(O980/M980,0)</f>
        <v>0.42076301308549</v>
      </c>
      <c r="Q980" s="6" t="str">
        <f aca="false">Orders!H980</f>
        <v>Delivered</v>
      </c>
      <c r="R980" s="1" t="str">
        <f aca="false">INDEX(Customers!$C$2:$C$301,MATCH(C980,Customers!$A$2:$A$301,0))</f>
        <v>Gurugram</v>
      </c>
      <c r="S980" s="1" t="str">
        <f aca="false">INDEX(Customers!$E$2:$E$301,MATCH(C980,Customers!$A$2:$A$301,0))</f>
        <v>New</v>
      </c>
      <c r="T980" s="6" t="str">
        <f aca="false">Orders!I980</f>
        <v>Mobile App</v>
      </c>
      <c r="U980" s="1" t="str">
        <f aca="false">IF(Q980="Delivered","Completed",IF(Q980="Cancelled","Cancelled",IF(Q980="Returned","Returned","In Progress")))</f>
        <v>Completed</v>
      </c>
      <c r="V980" s="1" t="str">
        <f aca="false">IF(M980&gt;=10000,"High Value",IF(M980&gt;=5000,"Medium Value","Low Value"))</f>
        <v>Low Value</v>
      </c>
      <c r="W980" s="1" t="str">
        <f aca="false">IF(O980&gt;0,"Profitable",IF(O980=0,"Break-even","Loss"))</f>
        <v>Profitable</v>
      </c>
      <c r="X980" s="1" t="str">
        <f aca="false">IF(Q980="Cancelled","Not Applicable",IF(Q980="Processing","Pending",IF(B980="","Unknown",IF(Orders!J980="","Unknown",IF(Orders!J980&lt;=3,"Fast",IF(Orders!J980&lt;=6,"Standard","Slow"))))))</f>
        <v>Slow</v>
      </c>
      <c r="Y980" s="1" t="n">
        <f aca="false">IF(OR(Q980="Cancelled",Q980="Returned"),0,O980)</f>
        <v>1598.1</v>
      </c>
    </row>
    <row r="981" customFormat="false" ht="15" hidden="false" customHeight="false" outlineLevel="0" collapsed="false">
      <c r="A981" s="6" t="str">
        <f aca="false">Orders!A981</f>
        <v>O000980</v>
      </c>
      <c r="B981" s="19" t="n">
        <f aca="false">Orders!B981</f>
        <v>45688</v>
      </c>
      <c r="C981" s="6" t="str">
        <f aca="false">Orders!C981</f>
        <v>C0037</v>
      </c>
      <c r="D981" s="6" t="str">
        <f aca="false">Orders!D981</f>
        <v>P1006</v>
      </c>
      <c r="E981" s="6" t="str">
        <f aca="false">INDEX(Products!$B$2:$B$101,MATCH(D981,Products!$A$2:$A$101,0))</f>
        <v>Wireless Mouse</v>
      </c>
      <c r="F981" s="1" t="str">
        <f aca="false">INDEX(Products!$C$2:$C$101,MATCH(D981,Products!$A$2:$A$101,0))</f>
        <v>Electronics</v>
      </c>
      <c r="G981" s="6" t="n">
        <f aca="false">Orders!E981</f>
        <v>2</v>
      </c>
      <c r="H981" s="16" t="n">
        <f aca="false">INDEX(Products!$D$2:$D$101,MATCH(D981,Products!$A$2:$A$101,0))</f>
        <v>699</v>
      </c>
      <c r="I981" s="16" t="n">
        <f aca="false">INDEX(Products!$E$2:$E$101,MATCH(D981,Products!$A$2:$A$101,0))</f>
        <v>300</v>
      </c>
      <c r="J981" s="20" t="n">
        <f aca="false">Orders!F981</f>
        <v>0.15</v>
      </c>
      <c r="K981" s="6" t="n">
        <f aca="false">G981*H981</f>
        <v>1398</v>
      </c>
      <c r="L981" s="6" t="n">
        <f aca="false">K981*J981</f>
        <v>209.7</v>
      </c>
      <c r="M981" s="6" t="n">
        <f aca="false">K981-L981</f>
        <v>1188.3</v>
      </c>
      <c r="N981" s="6" t="n">
        <f aca="false">G981*I981</f>
        <v>600</v>
      </c>
      <c r="O981" s="6" t="n">
        <f aca="false">M981-N981</f>
        <v>588.3</v>
      </c>
      <c r="P981" s="21" t="n">
        <f aca="false">IFERROR(O981/M981,0)</f>
        <v>0.495077000757385</v>
      </c>
      <c r="Q981" s="6" t="str">
        <f aca="false">Orders!H981</f>
        <v>Delivered</v>
      </c>
      <c r="R981" s="1" t="str">
        <f aca="false">INDEX(Customers!$C$2:$C$301,MATCH(C981,Customers!$A$2:$A$301,0))</f>
        <v>Surat</v>
      </c>
      <c r="S981" s="1" t="str">
        <f aca="false">INDEX(Customers!$E$2:$E$301,MATCH(C981,Customers!$A$2:$A$301,0))</f>
        <v>Returning</v>
      </c>
      <c r="T981" s="6" t="str">
        <f aca="false">Orders!I981</f>
        <v>Mobile App</v>
      </c>
      <c r="U981" s="1" t="str">
        <f aca="false">IF(Q981="Delivered","Completed",IF(Q981="Cancelled","Cancelled",IF(Q981="Returned","Returned","In Progress")))</f>
        <v>Completed</v>
      </c>
      <c r="V981" s="1" t="str">
        <f aca="false">IF(M981&gt;=10000,"High Value",IF(M981&gt;=5000,"Medium Value","Low Value"))</f>
        <v>Low Value</v>
      </c>
      <c r="W981" s="1" t="str">
        <f aca="false">IF(O981&gt;0,"Profitable",IF(O981=0,"Break-even","Loss"))</f>
        <v>Profitable</v>
      </c>
      <c r="X981" s="1" t="str">
        <f aca="false">IF(Q981="Cancelled","Not Applicable",IF(Q981="Processing","Pending",IF(B981="","Unknown",IF(Orders!J981="","Unknown",IF(Orders!J981&lt;=3,"Fast",IF(Orders!J981&lt;=6,"Standard","Slow"))))))</f>
        <v>Fast</v>
      </c>
      <c r="Y981" s="1" t="n">
        <f aca="false">IF(OR(Q981="Cancelled",Q981="Returned"),0,O981)</f>
        <v>588.3</v>
      </c>
    </row>
    <row r="982" customFormat="false" ht="15" hidden="false" customHeight="false" outlineLevel="0" collapsed="false">
      <c r="A982" s="6" t="str">
        <f aca="false">Orders!A982</f>
        <v>O000981</v>
      </c>
      <c r="B982" s="19" t="n">
        <f aca="false">Orders!B982</f>
        <v>45699</v>
      </c>
      <c r="C982" s="6" t="str">
        <f aca="false">Orders!C982</f>
        <v>C0143</v>
      </c>
      <c r="D982" s="6" t="str">
        <f aca="false">Orders!D982</f>
        <v>P1019</v>
      </c>
      <c r="E982" s="6" t="str">
        <f aca="false">INDEX(Products!$B$2:$B$101,MATCH(D982,Products!$A$2:$A$101,0))</f>
        <v>Running Shoes</v>
      </c>
      <c r="F982" s="1" t="str">
        <f aca="false">INDEX(Products!$C$2:$C$101,MATCH(D982,Products!$A$2:$A$101,0))</f>
        <v>Fashion</v>
      </c>
      <c r="G982" s="6" t="n">
        <f aca="false">Orders!E982</f>
        <v>1</v>
      </c>
      <c r="H982" s="16" t="n">
        <f aca="false">INDEX(Products!$D$2:$D$101,MATCH(D982,Products!$A$2:$A$101,0))</f>
        <v>1999</v>
      </c>
      <c r="I982" s="16" t="n">
        <f aca="false">INDEX(Products!$E$2:$E$101,MATCH(D982,Products!$A$2:$A$101,0))</f>
        <v>1100</v>
      </c>
      <c r="J982" s="20" t="n">
        <f aca="false">Orders!F982</f>
        <v>0.25</v>
      </c>
      <c r="K982" s="6" t="n">
        <f aca="false">G982*H982</f>
        <v>1999</v>
      </c>
      <c r="L982" s="6" t="n">
        <f aca="false">K982*J982</f>
        <v>499.75</v>
      </c>
      <c r="M982" s="6" t="n">
        <f aca="false">K982-L982</f>
        <v>1499.25</v>
      </c>
      <c r="N982" s="6" t="n">
        <f aca="false">G982*I982</f>
        <v>1100</v>
      </c>
      <c r="O982" s="6" t="n">
        <f aca="false">M982-N982</f>
        <v>399.25</v>
      </c>
      <c r="P982" s="21" t="n">
        <f aca="false">IFERROR(O982/M982,0)</f>
        <v>0.266299816574954</v>
      </c>
      <c r="Q982" s="6" t="str">
        <f aca="false">Orders!H982</f>
        <v>Processing</v>
      </c>
      <c r="R982" s="1" t="str">
        <f aca="false">INDEX(Customers!$C$2:$C$301,MATCH(C982,Customers!$A$2:$A$301,0))</f>
        <v>Bengaluru</v>
      </c>
      <c r="S982" s="1" t="str">
        <f aca="false">INDEX(Customers!$E$2:$E$301,MATCH(C982,Customers!$A$2:$A$301,0))</f>
        <v>Returning</v>
      </c>
      <c r="T982" s="6" t="str">
        <f aca="false">Orders!I982</f>
        <v>Marketplace</v>
      </c>
      <c r="U982" s="1" t="str">
        <f aca="false">IF(Q982="Delivered","Completed",IF(Q982="Cancelled","Cancelled",IF(Q982="Returned","Returned","In Progress")))</f>
        <v>In Progress</v>
      </c>
      <c r="V982" s="1" t="str">
        <f aca="false">IF(M982&gt;=10000,"High Value",IF(M982&gt;=5000,"Medium Value","Low Value"))</f>
        <v>Low Value</v>
      </c>
      <c r="W982" s="1" t="str">
        <f aca="false">IF(O982&gt;0,"Profitable",IF(O982=0,"Break-even","Loss"))</f>
        <v>Profitable</v>
      </c>
      <c r="X982" s="1" t="str">
        <f aca="false">IF(Q982="Cancelled","Not Applicable",IF(Q982="Processing","Pending",IF(B982="","Unknown",IF(Orders!J982="","Unknown",IF(Orders!J982&lt;=3,"Fast",IF(Orders!J982&lt;=6,"Standard","Slow"))))))</f>
        <v>Pending</v>
      </c>
      <c r="Y982" s="1" t="n">
        <f aca="false">IF(OR(Q982="Cancelled",Q982="Returned"),0,O982)</f>
        <v>399.25</v>
      </c>
    </row>
    <row r="983" customFormat="false" ht="15" hidden="false" customHeight="false" outlineLevel="0" collapsed="false">
      <c r="A983" s="6" t="str">
        <f aca="false">Orders!A983</f>
        <v>O000982</v>
      </c>
      <c r="B983" s="19" t="n">
        <f aca="false">Orders!B983</f>
        <v>45736</v>
      </c>
      <c r="C983" s="6" t="str">
        <f aca="false">Orders!C983</f>
        <v>C0112</v>
      </c>
      <c r="D983" s="6" t="str">
        <f aca="false">Orders!D983</f>
        <v>P1060</v>
      </c>
      <c r="E983" s="6" t="str">
        <f aca="false">INDEX(Products!$B$2:$B$101,MATCH(D983,Products!$A$2:$A$101,0))</f>
        <v>Yoga Mat</v>
      </c>
      <c r="F983" s="1" t="str">
        <f aca="false">INDEX(Products!$C$2:$C$101,MATCH(D983,Products!$A$2:$A$101,0))</f>
        <v>Sports &amp; Outdoors</v>
      </c>
      <c r="G983" s="6" t="n">
        <f aca="false">Orders!E983</f>
        <v>2</v>
      </c>
      <c r="H983" s="16" t="n">
        <f aca="false">INDEX(Products!$D$2:$D$101,MATCH(D983,Products!$A$2:$A$101,0))</f>
        <v>799</v>
      </c>
      <c r="I983" s="16" t="n">
        <f aca="false">INDEX(Products!$E$2:$E$101,MATCH(D983,Products!$A$2:$A$101,0))</f>
        <v>350</v>
      </c>
      <c r="J983" s="20" t="n">
        <f aca="false">Orders!F983</f>
        <v>0.15</v>
      </c>
      <c r="K983" s="6" t="n">
        <f aca="false">G983*H983</f>
        <v>1598</v>
      </c>
      <c r="L983" s="6" t="n">
        <f aca="false">K983*J983</f>
        <v>239.7</v>
      </c>
      <c r="M983" s="6" t="n">
        <f aca="false">K983-L983</f>
        <v>1358.3</v>
      </c>
      <c r="N983" s="6" t="n">
        <f aca="false">G983*I983</f>
        <v>700</v>
      </c>
      <c r="O983" s="6" t="n">
        <f aca="false">M983-N983</f>
        <v>658.3</v>
      </c>
      <c r="P983" s="21" t="n">
        <f aca="false">IFERROR(O983/M983,0)</f>
        <v>0.484649930059633</v>
      </c>
      <c r="Q983" s="6" t="str">
        <f aca="false">Orders!H983</f>
        <v>Delivered</v>
      </c>
      <c r="R983" s="1" t="str">
        <f aca="false">INDEX(Customers!$C$2:$C$301,MATCH(C983,Customers!$A$2:$A$301,0))</f>
        <v>Noida</v>
      </c>
      <c r="S983" s="1" t="str">
        <f aca="false">INDEX(Customers!$E$2:$E$301,MATCH(C983,Customers!$A$2:$A$301,0))</f>
        <v>New</v>
      </c>
      <c r="T983" s="6" t="str">
        <f aca="false">Orders!I983</f>
        <v>Marketplace</v>
      </c>
      <c r="U983" s="1" t="str">
        <f aca="false">IF(Q983="Delivered","Completed",IF(Q983="Cancelled","Cancelled",IF(Q983="Returned","Returned","In Progress")))</f>
        <v>Completed</v>
      </c>
      <c r="V983" s="1" t="str">
        <f aca="false">IF(M983&gt;=10000,"High Value",IF(M983&gt;=5000,"Medium Value","Low Value"))</f>
        <v>Low Value</v>
      </c>
      <c r="W983" s="1" t="str">
        <f aca="false">IF(O983&gt;0,"Profitable",IF(O983=0,"Break-even","Loss"))</f>
        <v>Profitable</v>
      </c>
      <c r="X983" s="1" t="str">
        <f aca="false">IF(Q983="Cancelled","Not Applicable",IF(Q983="Processing","Pending",IF(B983="","Unknown",IF(Orders!J983="","Unknown",IF(Orders!J983&lt;=3,"Fast",IF(Orders!J983&lt;=6,"Standard","Slow"))))))</f>
        <v>Fast</v>
      </c>
      <c r="Y983" s="1" t="n">
        <f aca="false">IF(OR(Q983="Cancelled",Q983="Returned"),0,O983)</f>
        <v>658.3</v>
      </c>
    </row>
    <row r="984" customFormat="false" ht="15" hidden="false" customHeight="false" outlineLevel="0" collapsed="false">
      <c r="A984" s="6" t="str">
        <f aca="false">Orders!A984</f>
        <v>O000983</v>
      </c>
      <c r="B984" s="19" t="n">
        <f aca="false">Orders!B984</f>
        <v>45815</v>
      </c>
      <c r="C984" s="6" t="str">
        <f aca="false">Orders!C984</f>
        <v>C0138</v>
      </c>
      <c r="D984" s="6" t="str">
        <f aca="false">Orders!D984</f>
        <v>P1090</v>
      </c>
      <c r="E984" s="6" t="str">
        <f aca="false">INDEX(Products!$B$2:$B$101,MATCH(D984,Products!$A$2:$A$101,0))</f>
        <v>Toaster</v>
      </c>
      <c r="F984" s="1" t="str">
        <f aca="false">INDEX(Products!$C$2:$C$101,MATCH(D984,Products!$A$2:$A$101,0))</f>
        <v>Appliances</v>
      </c>
      <c r="G984" s="6" t="n">
        <f aca="false">Orders!E984</f>
        <v>1</v>
      </c>
      <c r="H984" s="16" t="n">
        <f aca="false">INDEX(Products!$D$2:$D$101,MATCH(D984,Products!$A$2:$A$101,0))</f>
        <v>1499</v>
      </c>
      <c r="I984" s="16" t="n">
        <f aca="false">INDEX(Products!$E$2:$E$101,MATCH(D984,Products!$A$2:$A$101,0))</f>
        <v>900</v>
      </c>
      <c r="J984" s="20" t="n">
        <f aca="false">Orders!F984</f>
        <v>0.2</v>
      </c>
      <c r="K984" s="6" t="n">
        <f aca="false">G984*H984</f>
        <v>1499</v>
      </c>
      <c r="L984" s="6" t="n">
        <f aca="false">K984*J984</f>
        <v>299.8</v>
      </c>
      <c r="M984" s="6" t="n">
        <f aca="false">K984-L984</f>
        <v>1199.2</v>
      </c>
      <c r="N984" s="6" t="n">
        <f aca="false">G984*I984</f>
        <v>900</v>
      </c>
      <c r="O984" s="6" t="n">
        <f aca="false">M984-N984</f>
        <v>299.2</v>
      </c>
      <c r="P984" s="21" t="n">
        <f aca="false">IFERROR(O984/M984,0)</f>
        <v>0.249499666444296</v>
      </c>
      <c r="Q984" s="6" t="str">
        <f aca="false">Orders!H984</f>
        <v>Delivered</v>
      </c>
      <c r="R984" s="1" t="str">
        <f aca="false">INDEX(Customers!$C$2:$C$301,MATCH(C984,Customers!$A$2:$A$301,0))</f>
        <v>Nagpur</v>
      </c>
      <c r="S984" s="1" t="str">
        <f aca="false">INDEX(Customers!$E$2:$E$301,MATCH(C984,Customers!$A$2:$A$301,0))</f>
        <v>Returning</v>
      </c>
      <c r="T984" s="6" t="str">
        <f aca="false">Orders!I984</f>
        <v>Mobile App</v>
      </c>
      <c r="U984" s="1" t="str">
        <f aca="false">IF(Q984="Delivered","Completed",IF(Q984="Cancelled","Cancelled",IF(Q984="Returned","Returned","In Progress")))</f>
        <v>Completed</v>
      </c>
      <c r="V984" s="1" t="str">
        <f aca="false">IF(M984&gt;=10000,"High Value",IF(M984&gt;=5000,"Medium Value","Low Value"))</f>
        <v>Low Value</v>
      </c>
      <c r="W984" s="1" t="str">
        <f aca="false">IF(O984&gt;0,"Profitable",IF(O984=0,"Break-even","Loss"))</f>
        <v>Profitable</v>
      </c>
      <c r="X984" s="1" t="str">
        <f aca="false">IF(Q984="Cancelled","Not Applicable",IF(Q984="Processing","Pending",IF(B984="","Unknown",IF(Orders!J984="","Unknown",IF(Orders!J984&lt;=3,"Fast",IF(Orders!J984&lt;=6,"Standard","Slow"))))))</f>
        <v>Fast</v>
      </c>
      <c r="Y984" s="1" t="n">
        <f aca="false">IF(OR(Q984="Cancelled",Q984="Returned"),0,O984)</f>
        <v>299.2</v>
      </c>
    </row>
    <row r="985" customFormat="false" ht="15" hidden="false" customHeight="false" outlineLevel="0" collapsed="false">
      <c r="A985" s="6" t="str">
        <f aca="false">Orders!A985</f>
        <v>O000984</v>
      </c>
      <c r="B985" s="19" t="n">
        <f aca="false">Orders!B985</f>
        <v>45699</v>
      </c>
      <c r="C985" s="6" t="str">
        <f aca="false">Orders!C985</f>
        <v>C0043</v>
      </c>
      <c r="D985" s="6" t="str">
        <f aca="false">Orders!D985</f>
        <v>P1044</v>
      </c>
      <c r="E985" s="6" t="str">
        <f aca="false">INDEX(Products!$B$2:$B$101,MATCH(D985,Products!$A$2:$A$101,0))</f>
        <v>Doormat</v>
      </c>
      <c r="F985" s="1" t="str">
        <f aca="false">INDEX(Products!$C$2:$C$101,MATCH(D985,Products!$A$2:$A$101,0))</f>
        <v>Home &amp; Kitchen</v>
      </c>
      <c r="G985" s="6" t="n">
        <f aca="false">Orders!E985</f>
        <v>1</v>
      </c>
      <c r="H985" s="16" t="n">
        <f aca="false">INDEX(Products!$D$2:$D$101,MATCH(D985,Products!$A$2:$A$101,0))</f>
        <v>299</v>
      </c>
      <c r="I985" s="16" t="n">
        <f aca="false">INDEX(Products!$E$2:$E$101,MATCH(D985,Products!$A$2:$A$101,0))</f>
        <v>100</v>
      </c>
      <c r="J985" s="20" t="n">
        <f aca="false">Orders!F985</f>
        <v>0.1</v>
      </c>
      <c r="K985" s="6" t="n">
        <f aca="false">G985*H985</f>
        <v>299</v>
      </c>
      <c r="L985" s="6" t="n">
        <f aca="false">K985*J985</f>
        <v>29.9</v>
      </c>
      <c r="M985" s="6" t="n">
        <f aca="false">K985-L985</f>
        <v>269.1</v>
      </c>
      <c r="N985" s="6" t="n">
        <f aca="false">G985*I985</f>
        <v>100</v>
      </c>
      <c r="O985" s="6" t="n">
        <f aca="false">M985-N985</f>
        <v>169.1</v>
      </c>
      <c r="P985" s="21" t="n">
        <f aca="false">IFERROR(O985/M985,0)</f>
        <v>0.628390932738759</v>
      </c>
      <c r="Q985" s="6" t="str">
        <f aca="false">Orders!H985</f>
        <v>Processing</v>
      </c>
      <c r="R985" s="1" t="str">
        <f aca="false">INDEX(Customers!$C$2:$C$301,MATCH(C985,Customers!$A$2:$A$301,0))</f>
        <v>Bengaluru</v>
      </c>
      <c r="S985" s="1" t="str">
        <f aca="false">INDEX(Customers!$E$2:$E$301,MATCH(C985,Customers!$A$2:$A$301,0))</f>
        <v>New</v>
      </c>
      <c r="T985" s="6" t="str">
        <f aca="false">Orders!I985</f>
        <v>Website</v>
      </c>
      <c r="U985" s="1" t="str">
        <f aca="false">IF(Q985="Delivered","Completed",IF(Q985="Cancelled","Cancelled",IF(Q985="Returned","Returned","In Progress")))</f>
        <v>In Progress</v>
      </c>
      <c r="V985" s="1" t="str">
        <f aca="false">IF(M985&gt;=10000,"High Value",IF(M985&gt;=5000,"Medium Value","Low Value"))</f>
        <v>Low Value</v>
      </c>
      <c r="W985" s="1" t="str">
        <f aca="false">IF(O985&gt;0,"Profitable",IF(O985=0,"Break-even","Loss"))</f>
        <v>Profitable</v>
      </c>
      <c r="X985" s="1" t="str">
        <f aca="false">IF(Q985="Cancelled","Not Applicable",IF(Q985="Processing","Pending",IF(B985="","Unknown",IF(Orders!J985="","Unknown",IF(Orders!J985&lt;=3,"Fast",IF(Orders!J985&lt;=6,"Standard","Slow"))))))</f>
        <v>Pending</v>
      </c>
      <c r="Y985" s="1" t="n">
        <f aca="false">IF(OR(Q985="Cancelled",Q985="Returned"),0,O985)</f>
        <v>169.1</v>
      </c>
    </row>
    <row r="986" customFormat="false" ht="15" hidden="false" customHeight="false" outlineLevel="0" collapsed="false">
      <c r="A986" s="6" t="str">
        <f aca="false">Orders!A986</f>
        <v>O000985</v>
      </c>
      <c r="B986" s="19" t="n">
        <f aca="false">Orders!B986</f>
        <v>45944</v>
      </c>
      <c r="C986" s="6" t="str">
        <f aca="false">Orders!C986</f>
        <v>C0267</v>
      </c>
      <c r="D986" s="6" t="str">
        <f aca="false">Orders!D986</f>
        <v>P1049</v>
      </c>
      <c r="E986" s="6" t="str">
        <f aca="false">INDEX(Products!$B$2:$B$101,MATCH(D986,Products!$A$2:$A$101,0))</f>
        <v>Face Cleanser</v>
      </c>
      <c r="F986" s="1" t="str">
        <f aca="false">INDEX(Products!$C$2:$C$101,MATCH(D986,Products!$A$2:$A$101,0))</f>
        <v>Beauty</v>
      </c>
      <c r="G986" s="6" t="n">
        <f aca="false">Orders!E986</f>
        <v>2</v>
      </c>
      <c r="H986" s="16" t="n">
        <f aca="false">INDEX(Products!$D$2:$D$101,MATCH(D986,Products!$A$2:$A$101,0))</f>
        <v>299</v>
      </c>
      <c r="I986" s="16" t="n">
        <f aca="false">INDEX(Products!$E$2:$E$101,MATCH(D986,Products!$A$2:$A$101,0))</f>
        <v>120</v>
      </c>
      <c r="J986" s="20" t="n">
        <f aca="false">Orders!F986</f>
        <v>0.05</v>
      </c>
      <c r="K986" s="6" t="n">
        <f aca="false">G986*H986</f>
        <v>598</v>
      </c>
      <c r="L986" s="6" t="n">
        <f aca="false">K986*J986</f>
        <v>29.9</v>
      </c>
      <c r="M986" s="6" t="n">
        <f aca="false">K986-L986</f>
        <v>568.1</v>
      </c>
      <c r="N986" s="6" t="n">
        <f aca="false">G986*I986</f>
        <v>240</v>
      </c>
      <c r="O986" s="6" t="n">
        <f aca="false">M986-N986</f>
        <v>328.1</v>
      </c>
      <c r="P986" s="21" t="n">
        <f aca="false">IFERROR(O986/M986,0)</f>
        <v>0.577539165639852</v>
      </c>
      <c r="Q986" s="6" t="str">
        <f aca="false">Orders!H986</f>
        <v>Shipped</v>
      </c>
      <c r="R986" s="1" t="str">
        <f aca="false">INDEX(Customers!$C$2:$C$301,MATCH(C986,Customers!$A$2:$A$301,0))</f>
        <v>Pune</v>
      </c>
      <c r="S986" s="1" t="str">
        <f aca="false">INDEX(Customers!$E$2:$E$301,MATCH(C986,Customers!$A$2:$A$301,0))</f>
        <v>Returning</v>
      </c>
      <c r="T986" s="6" t="str">
        <f aca="false">Orders!I986</f>
        <v>Marketplace</v>
      </c>
      <c r="U986" s="1" t="str">
        <f aca="false">IF(Q986="Delivered","Completed",IF(Q986="Cancelled","Cancelled",IF(Q986="Returned","Returned","In Progress")))</f>
        <v>In Progress</v>
      </c>
      <c r="V986" s="1" t="str">
        <f aca="false">IF(M986&gt;=10000,"High Value",IF(M986&gt;=5000,"Medium Value","Low Value"))</f>
        <v>Low Value</v>
      </c>
      <c r="W986" s="1" t="str">
        <f aca="false">IF(O986&gt;0,"Profitable",IF(O986=0,"Break-even","Loss"))</f>
        <v>Profitable</v>
      </c>
      <c r="X986" s="1" t="str">
        <f aca="false">IF(Q986="Cancelled","Not Applicable",IF(Q986="Processing","Pending",IF(B986="","Unknown",IF(Orders!J986="","Unknown",IF(Orders!J986&lt;=3,"Fast",IF(Orders!J986&lt;=6,"Standard","Slow"))))))</f>
        <v>Slow</v>
      </c>
      <c r="Y986" s="1" t="n">
        <f aca="false">IF(OR(Q986="Cancelled",Q986="Returned"),0,O986)</f>
        <v>328.1</v>
      </c>
    </row>
    <row r="987" customFormat="false" ht="15" hidden="false" customHeight="false" outlineLevel="0" collapsed="false">
      <c r="A987" s="6" t="str">
        <f aca="false">Orders!A987</f>
        <v>O000986</v>
      </c>
      <c r="B987" s="19" t="n">
        <f aca="false">Orders!B987</f>
        <v>45962</v>
      </c>
      <c r="C987" s="6" t="str">
        <f aca="false">Orders!C987</f>
        <v>C0069</v>
      </c>
      <c r="D987" s="6" t="str">
        <f aca="false">Orders!D987</f>
        <v>P1083</v>
      </c>
      <c r="E987" s="6" t="str">
        <f aca="false">INDEX(Products!$B$2:$B$101,MATCH(D987,Products!$A$2:$A$101,0))</f>
        <v>Reading Light</v>
      </c>
      <c r="F987" s="1" t="str">
        <f aca="false">INDEX(Products!$C$2:$C$101,MATCH(D987,Products!$A$2:$A$101,0))</f>
        <v>Books &amp; Stationery</v>
      </c>
      <c r="G987" s="6" t="n">
        <f aca="false">Orders!E987</f>
        <v>3</v>
      </c>
      <c r="H987" s="16" t="n">
        <f aca="false">INDEX(Products!$D$2:$D$101,MATCH(D987,Products!$A$2:$A$101,0))</f>
        <v>399</v>
      </c>
      <c r="I987" s="16" t="n">
        <f aca="false">INDEX(Products!$E$2:$E$101,MATCH(D987,Products!$A$2:$A$101,0))</f>
        <v>180</v>
      </c>
      <c r="J987" s="20" t="n">
        <f aca="false">Orders!F987</f>
        <v>0.05</v>
      </c>
      <c r="K987" s="6" t="n">
        <f aca="false">G987*H987</f>
        <v>1197</v>
      </c>
      <c r="L987" s="6" t="n">
        <f aca="false">K987*J987</f>
        <v>59.85</v>
      </c>
      <c r="M987" s="6" t="n">
        <f aca="false">K987-L987</f>
        <v>1137.15</v>
      </c>
      <c r="N987" s="6" t="n">
        <f aca="false">G987*I987</f>
        <v>540</v>
      </c>
      <c r="O987" s="6" t="n">
        <f aca="false">M987-N987</f>
        <v>597.15</v>
      </c>
      <c r="P987" s="21" t="n">
        <f aca="false">IFERROR(O987/M987,0)</f>
        <v>0.525128611001187</v>
      </c>
      <c r="Q987" s="6" t="str">
        <f aca="false">Orders!H987</f>
        <v>Delivered</v>
      </c>
      <c r="R987" s="1" t="str">
        <f aca="false">INDEX(Customers!$C$2:$C$301,MATCH(C987,Customers!$A$2:$A$301,0))</f>
        <v>Ahmedabad</v>
      </c>
      <c r="S987" s="1" t="str">
        <f aca="false">INDEX(Customers!$E$2:$E$301,MATCH(C987,Customers!$A$2:$A$301,0))</f>
        <v>New</v>
      </c>
      <c r="T987" s="6" t="str">
        <f aca="false">Orders!I987</f>
        <v>Marketplace</v>
      </c>
      <c r="U987" s="1" t="str">
        <f aca="false">IF(Q987="Delivered","Completed",IF(Q987="Cancelled","Cancelled",IF(Q987="Returned","Returned","In Progress")))</f>
        <v>Completed</v>
      </c>
      <c r="V987" s="1" t="str">
        <f aca="false">IF(M987&gt;=10000,"High Value",IF(M987&gt;=5000,"Medium Value","Low Value"))</f>
        <v>Low Value</v>
      </c>
      <c r="W987" s="1" t="str">
        <f aca="false">IF(O987&gt;0,"Profitable",IF(O987=0,"Break-even","Loss"))</f>
        <v>Profitable</v>
      </c>
      <c r="X987" s="1" t="str">
        <f aca="false">IF(Q987="Cancelled","Not Applicable",IF(Q987="Processing","Pending",IF(B987="","Unknown",IF(Orders!J987="","Unknown",IF(Orders!J987&lt;=3,"Fast",IF(Orders!J987&lt;=6,"Standard","Slow"))))))</f>
        <v>Slow</v>
      </c>
      <c r="Y987" s="1" t="n">
        <f aca="false">IF(OR(Q987="Cancelled",Q987="Returned"),0,O987)</f>
        <v>597.15</v>
      </c>
    </row>
    <row r="988" customFormat="false" ht="15" hidden="false" customHeight="false" outlineLevel="0" collapsed="false">
      <c r="A988" s="6" t="str">
        <f aca="false">Orders!A988</f>
        <v>O000987</v>
      </c>
      <c r="B988" s="19" t="n">
        <f aca="false">Orders!B988</f>
        <v>45867</v>
      </c>
      <c r="C988" s="6" t="str">
        <f aca="false">Orders!C988</f>
        <v>C0142</v>
      </c>
      <c r="D988" s="6" t="str">
        <f aca="false">Orders!D988</f>
        <v>P1050</v>
      </c>
      <c r="E988" s="6" t="str">
        <f aca="false">INDEX(Products!$B$2:$B$101,MATCH(D988,Products!$A$2:$A$101,0))</f>
        <v>Hair Serum</v>
      </c>
      <c r="F988" s="1" t="str">
        <f aca="false">INDEX(Products!$C$2:$C$101,MATCH(D988,Products!$A$2:$A$101,0))</f>
        <v>Beauty</v>
      </c>
      <c r="G988" s="6" t="n">
        <f aca="false">Orders!E988</f>
        <v>4</v>
      </c>
      <c r="H988" s="16" t="n">
        <f aca="false">INDEX(Products!$D$2:$D$101,MATCH(D988,Products!$A$2:$A$101,0))</f>
        <v>449</v>
      </c>
      <c r="I988" s="16" t="n">
        <f aca="false">INDEX(Products!$E$2:$E$101,MATCH(D988,Products!$A$2:$A$101,0))</f>
        <v>190</v>
      </c>
      <c r="J988" s="20" t="n">
        <f aca="false">Orders!F988</f>
        <v>0</v>
      </c>
      <c r="K988" s="6" t="n">
        <f aca="false">G988*H988</f>
        <v>1796</v>
      </c>
      <c r="L988" s="6" t="n">
        <f aca="false">K988*J988</f>
        <v>0</v>
      </c>
      <c r="M988" s="6" t="n">
        <f aca="false">K988-L988</f>
        <v>1796</v>
      </c>
      <c r="N988" s="6" t="n">
        <f aca="false">G988*I988</f>
        <v>760</v>
      </c>
      <c r="O988" s="6" t="n">
        <f aca="false">M988-N988</f>
        <v>1036</v>
      </c>
      <c r="P988" s="21" t="n">
        <f aca="false">IFERROR(O988/M988,0)</f>
        <v>0.576837416481069</v>
      </c>
      <c r="Q988" s="6" t="str">
        <f aca="false">Orders!H988</f>
        <v>Shipped</v>
      </c>
      <c r="R988" s="1" t="str">
        <f aca="false">INDEX(Customers!$C$2:$C$301,MATCH(C988,Customers!$A$2:$A$301,0))</f>
        <v>Mumbai</v>
      </c>
      <c r="S988" s="1" t="str">
        <f aca="false">INDEX(Customers!$E$2:$E$301,MATCH(C988,Customers!$A$2:$A$301,0))</f>
        <v>VIP</v>
      </c>
      <c r="T988" s="6" t="str">
        <f aca="false">Orders!I988</f>
        <v>Mobile App</v>
      </c>
      <c r="U988" s="1" t="str">
        <f aca="false">IF(Q988="Delivered","Completed",IF(Q988="Cancelled","Cancelled",IF(Q988="Returned","Returned","In Progress")))</f>
        <v>In Progress</v>
      </c>
      <c r="V988" s="1" t="str">
        <f aca="false">IF(M988&gt;=10000,"High Value",IF(M988&gt;=5000,"Medium Value","Low Value"))</f>
        <v>Low Value</v>
      </c>
      <c r="W988" s="1" t="str">
        <f aca="false">IF(O988&gt;0,"Profitable",IF(O988=0,"Break-even","Loss"))</f>
        <v>Profitable</v>
      </c>
      <c r="X988" s="1" t="str">
        <f aca="false">IF(Q988="Cancelled","Not Applicable",IF(Q988="Processing","Pending",IF(B988="","Unknown",IF(Orders!J988="","Unknown",IF(Orders!J988&lt;=3,"Fast",IF(Orders!J988&lt;=6,"Standard","Slow"))))))</f>
        <v>Standard</v>
      </c>
      <c r="Y988" s="1" t="n">
        <f aca="false">IF(OR(Q988="Cancelled",Q988="Returned"),0,O988)</f>
        <v>1036</v>
      </c>
    </row>
    <row r="989" customFormat="false" ht="15" hidden="false" customHeight="false" outlineLevel="0" collapsed="false">
      <c r="A989" s="6" t="str">
        <f aca="false">Orders!A989</f>
        <v>O000988</v>
      </c>
      <c r="B989" s="19" t="n">
        <f aca="false">Orders!B989</f>
        <v>45944</v>
      </c>
      <c r="C989" s="6" t="str">
        <f aca="false">Orders!C989</f>
        <v>C0248</v>
      </c>
      <c r="D989" s="6" t="str">
        <f aca="false">Orders!D989</f>
        <v>P1010</v>
      </c>
      <c r="E989" s="6" t="str">
        <f aca="false">INDEX(Products!$B$2:$B$101,MATCH(D989,Products!$A$2:$A$101,0))</f>
        <v>Webcam</v>
      </c>
      <c r="F989" s="1" t="str">
        <f aca="false">INDEX(Products!$C$2:$C$101,MATCH(D989,Products!$A$2:$A$101,0))</f>
        <v>Electronics</v>
      </c>
      <c r="G989" s="6" t="n">
        <f aca="false">Orders!E989</f>
        <v>1</v>
      </c>
      <c r="H989" s="16" t="n">
        <f aca="false">INDEX(Products!$D$2:$D$101,MATCH(D989,Products!$A$2:$A$101,0))</f>
        <v>1799</v>
      </c>
      <c r="I989" s="16" t="n">
        <f aca="false">INDEX(Products!$E$2:$E$101,MATCH(D989,Products!$A$2:$A$101,0))</f>
        <v>1050</v>
      </c>
      <c r="J989" s="20" t="n">
        <f aca="false">Orders!F989</f>
        <v>0</v>
      </c>
      <c r="K989" s="6" t="n">
        <f aca="false">G989*H989</f>
        <v>1799</v>
      </c>
      <c r="L989" s="6" t="n">
        <f aca="false">K989*J989</f>
        <v>0</v>
      </c>
      <c r="M989" s="6" t="n">
        <f aca="false">K989-L989</f>
        <v>1799</v>
      </c>
      <c r="N989" s="6" t="n">
        <f aca="false">G989*I989</f>
        <v>1050</v>
      </c>
      <c r="O989" s="6" t="n">
        <f aca="false">M989-N989</f>
        <v>749</v>
      </c>
      <c r="P989" s="21" t="n">
        <f aca="false">IFERROR(O989/M989,0)</f>
        <v>0.416342412451362</v>
      </c>
      <c r="Q989" s="6" t="str">
        <f aca="false">Orders!H989</f>
        <v>Processing</v>
      </c>
      <c r="R989" s="1" t="str">
        <f aca="false">INDEX(Customers!$C$2:$C$301,MATCH(C989,Customers!$A$2:$A$301,0))</f>
        <v>Jaipur</v>
      </c>
      <c r="S989" s="1" t="str">
        <f aca="false">INDEX(Customers!$E$2:$E$301,MATCH(C989,Customers!$A$2:$A$301,0))</f>
        <v>Returning</v>
      </c>
      <c r="T989" s="6" t="str">
        <f aca="false">Orders!I989</f>
        <v>Mobile App</v>
      </c>
      <c r="U989" s="1" t="str">
        <f aca="false">IF(Q989="Delivered","Completed",IF(Q989="Cancelled","Cancelled",IF(Q989="Returned","Returned","In Progress")))</f>
        <v>In Progress</v>
      </c>
      <c r="V989" s="1" t="str">
        <f aca="false">IF(M989&gt;=10000,"High Value",IF(M989&gt;=5000,"Medium Value","Low Value"))</f>
        <v>Low Value</v>
      </c>
      <c r="W989" s="1" t="str">
        <f aca="false">IF(O989&gt;0,"Profitable",IF(O989=0,"Break-even","Loss"))</f>
        <v>Profitable</v>
      </c>
      <c r="X989" s="1" t="str">
        <f aca="false">IF(Q989="Cancelled","Not Applicable",IF(Q989="Processing","Pending",IF(B989="","Unknown",IF(Orders!J989="","Unknown",IF(Orders!J989&lt;=3,"Fast",IF(Orders!J989&lt;=6,"Standard","Slow"))))))</f>
        <v>Pending</v>
      </c>
      <c r="Y989" s="1" t="n">
        <f aca="false">IF(OR(Q989="Cancelled",Q989="Returned"),0,O989)</f>
        <v>749</v>
      </c>
    </row>
    <row r="990" customFormat="false" ht="15" hidden="false" customHeight="false" outlineLevel="0" collapsed="false">
      <c r="A990" s="6" t="str">
        <f aca="false">Orders!A990</f>
        <v>O000989</v>
      </c>
      <c r="B990" s="19" t="n">
        <f aca="false">Orders!B990</f>
        <v>45806</v>
      </c>
      <c r="C990" s="6" t="str">
        <f aca="false">Orders!C990</f>
        <v>C0107</v>
      </c>
      <c r="D990" s="6" t="str">
        <f aca="false">Orders!D990</f>
        <v>P1089</v>
      </c>
      <c r="E990" s="6" t="str">
        <f aca="false">INDEX(Products!$B$2:$B$101,MATCH(D990,Products!$A$2:$A$101,0))</f>
        <v>Mixer Grinder</v>
      </c>
      <c r="F990" s="1" t="str">
        <f aca="false">INDEX(Products!$C$2:$C$101,MATCH(D990,Products!$A$2:$A$101,0))</f>
        <v>Appliances</v>
      </c>
      <c r="G990" s="6" t="n">
        <f aca="false">Orders!E990</f>
        <v>1</v>
      </c>
      <c r="H990" s="16" t="n">
        <f aca="false">INDEX(Products!$D$2:$D$101,MATCH(D990,Products!$A$2:$A$101,0))</f>
        <v>2499</v>
      </c>
      <c r="I990" s="16" t="n">
        <f aca="false">INDEX(Products!$E$2:$E$101,MATCH(D990,Products!$A$2:$A$101,0))</f>
        <v>1550</v>
      </c>
      <c r="J990" s="20" t="n">
        <f aca="false">Orders!F990</f>
        <v>0</v>
      </c>
      <c r="K990" s="6" t="n">
        <f aca="false">G990*H990</f>
        <v>2499</v>
      </c>
      <c r="L990" s="6" t="n">
        <f aca="false">K990*J990</f>
        <v>0</v>
      </c>
      <c r="M990" s="6" t="n">
        <f aca="false">K990-L990</f>
        <v>2499</v>
      </c>
      <c r="N990" s="6" t="n">
        <f aca="false">G990*I990</f>
        <v>1550</v>
      </c>
      <c r="O990" s="6" t="n">
        <f aca="false">M990-N990</f>
        <v>949</v>
      </c>
      <c r="P990" s="21" t="n">
        <f aca="false">IFERROR(O990/M990,0)</f>
        <v>0.379751900760304</v>
      </c>
      <c r="Q990" s="6" t="str">
        <f aca="false">Orders!H990</f>
        <v>Delivered</v>
      </c>
      <c r="R990" s="1" t="str">
        <f aca="false">INDEX(Customers!$C$2:$C$301,MATCH(C990,Customers!$A$2:$A$301,0))</f>
        <v>Pune</v>
      </c>
      <c r="S990" s="1" t="str">
        <f aca="false">INDEX(Customers!$E$2:$E$301,MATCH(C990,Customers!$A$2:$A$301,0))</f>
        <v>Returning</v>
      </c>
      <c r="T990" s="6" t="str">
        <f aca="false">Orders!I990</f>
        <v>Mobile App</v>
      </c>
      <c r="U990" s="1" t="str">
        <f aca="false">IF(Q990="Delivered","Completed",IF(Q990="Cancelled","Cancelled",IF(Q990="Returned","Returned","In Progress")))</f>
        <v>Completed</v>
      </c>
      <c r="V990" s="1" t="str">
        <f aca="false">IF(M990&gt;=10000,"High Value",IF(M990&gt;=5000,"Medium Value","Low Value"))</f>
        <v>Low Value</v>
      </c>
      <c r="W990" s="1" t="str">
        <f aca="false">IF(O990&gt;0,"Profitable",IF(O990=0,"Break-even","Loss"))</f>
        <v>Profitable</v>
      </c>
      <c r="X990" s="1" t="str">
        <f aca="false">IF(Q990="Cancelled","Not Applicable",IF(Q990="Processing","Pending",IF(B990="","Unknown",IF(Orders!J990="","Unknown",IF(Orders!J990&lt;=3,"Fast",IF(Orders!J990&lt;=6,"Standard","Slow"))))))</f>
        <v>Slow</v>
      </c>
      <c r="Y990" s="1" t="n">
        <f aca="false">IF(OR(Q990="Cancelled",Q990="Returned"),0,O990)</f>
        <v>949</v>
      </c>
    </row>
    <row r="991" customFormat="false" ht="15" hidden="false" customHeight="false" outlineLevel="0" collapsed="false">
      <c r="A991" s="6" t="str">
        <f aca="false">Orders!A991</f>
        <v>O000990</v>
      </c>
      <c r="B991" s="19" t="n">
        <f aca="false">Orders!B991</f>
        <v>45891</v>
      </c>
      <c r="C991" s="6" t="str">
        <f aca="false">Orders!C991</f>
        <v>C0143</v>
      </c>
      <c r="D991" s="6" t="str">
        <f aca="false">Orders!D991</f>
        <v>P1059</v>
      </c>
      <c r="E991" s="6" t="str">
        <f aca="false">INDEX(Products!$B$2:$B$101,MATCH(D991,Products!$A$2:$A$101,0))</f>
        <v>Bath Gift Set</v>
      </c>
      <c r="F991" s="1" t="str">
        <f aca="false">INDEX(Products!$C$2:$C$101,MATCH(D991,Products!$A$2:$A$101,0))</f>
        <v>Beauty</v>
      </c>
      <c r="G991" s="6" t="n">
        <f aca="false">Orders!E991</f>
        <v>2</v>
      </c>
      <c r="H991" s="16" t="n">
        <f aca="false">INDEX(Products!$D$2:$D$101,MATCH(D991,Products!$A$2:$A$101,0))</f>
        <v>699</v>
      </c>
      <c r="I991" s="16" t="n">
        <f aca="false">INDEX(Products!$E$2:$E$101,MATCH(D991,Products!$A$2:$A$101,0))</f>
        <v>350</v>
      </c>
      <c r="J991" s="20" t="n">
        <f aca="false">Orders!F991</f>
        <v>0</v>
      </c>
      <c r="K991" s="6" t="n">
        <f aca="false">G991*H991</f>
        <v>1398</v>
      </c>
      <c r="L991" s="6" t="n">
        <f aca="false">K991*J991</f>
        <v>0</v>
      </c>
      <c r="M991" s="6" t="n">
        <f aca="false">K991-L991</f>
        <v>1398</v>
      </c>
      <c r="N991" s="6" t="n">
        <f aca="false">G991*I991</f>
        <v>700</v>
      </c>
      <c r="O991" s="6" t="n">
        <f aca="false">M991-N991</f>
        <v>698</v>
      </c>
      <c r="P991" s="21" t="n">
        <f aca="false">IFERROR(O991/M991,0)</f>
        <v>0.49928469241774</v>
      </c>
      <c r="Q991" s="6" t="str">
        <f aca="false">Orders!H991</f>
        <v>Delivered</v>
      </c>
      <c r="R991" s="1" t="str">
        <f aca="false">INDEX(Customers!$C$2:$C$301,MATCH(C991,Customers!$A$2:$A$301,0))</f>
        <v>Bengaluru</v>
      </c>
      <c r="S991" s="1" t="str">
        <f aca="false">INDEX(Customers!$E$2:$E$301,MATCH(C991,Customers!$A$2:$A$301,0))</f>
        <v>Returning</v>
      </c>
      <c r="T991" s="6" t="str">
        <f aca="false">Orders!I991</f>
        <v>Marketplace</v>
      </c>
      <c r="U991" s="1" t="str">
        <f aca="false">IF(Q991="Delivered","Completed",IF(Q991="Cancelled","Cancelled",IF(Q991="Returned","Returned","In Progress")))</f>
        <v>Completed</v>
      </c>
      <c r="V991" s="1" t="str">
        <f aca="false">IF(M991&gt;=10000,"High Value",IF(M991&gt;=5000,"Medium Value","Low Value"))</f>
        <v>Low Value</v>
      </c>
      <c r="W991" s="1" t="str">
        <f aca="false">IF(O991&gt;0,"Profitable",IF(O991=0,"Break-even","Loss"))</f>
        <v>Profitable</v>
      </c>
      <c r="X991" s="1" t="str">
        <f aca="false">IF(Q991="Cancelled","Not Applicable",IF(Q991="Processing","Pending",IF(B991="","Unknown",IF(Orders!J991="","Unknown",IF(Orders!J991&lt;=3,"Fast",IF(Orders!J991&lt;=6,"Standard","Slow"))))))</f>
        <v>Slow</v>
      </c>
      <c r="Y991" s="1" t="n">
        <f aca="false">IF(OR(Q991="Cancelled",Q991="Returned"),0,O991)</f>
        <v>698</v>
      </c>
    </row>
    <row r="992" customFormat="false" ht="23.85" hidden="false" customHeight="false" outlineLevel="0" collapsed="false">
      <c r="A992" s="6" t="str">
        <f aca="false">Orders!A992</f>
        <v>O000991</v>
      </c>
      <c r="B992" s="19" t="n">
        <f aca="false">Orders!B992</f>
        <v>45825</v>
      </c>
      <c r="C992" s="6" t="str">
        <f aca="false">Orders!C992</f>
        <v>C0100</v>
      </c>
      <c r="D992" s="6" t="str">
        <f aca="false">Orders!D992</f>
        <v>P1099</v>
      </c>
      <c r="E992" s="6" t="str">
        <f aca="false">INDEX(Products!$B$2:$B$101,MATCH(D992,Products!$A$2:$A$101,0))</f>
        <v>Sandwich Maker</v>
      </c>
      <c r="F992" s="1" t="str">
        <f aca="false">INDEX(Products!$C$2:$C$101,MATCH(D992,Products!$A$2:$A$101,0))</f>
        <v>Appliances</v>
      </c>
      <c r="G992" s="6" t="n">
        <f aca="false">Orders!E992</f>
        <v>3</v>
      </c>
      <c r="H992" s="16" t="n">
        <f aca="false">INDEX(Products!$D$2:$D$101,MATCH(D992,Products!$A$2:$A$101,0))</f>
        <v>1299</v>
      </c>
      <c r="I992" s="16" t="n">
        <f aca="false">INDEX(Products!$E$2:$E$101,MATCH(D992,Products!$A$2:$A$101,0))</f>
        <v>750</v>
      </c>
      <c r="J992" s="20" t="n">
        <f aca="false">Orders!F992</f>
        <v>0.15</v>
      </c>
      <c r="K992" s="6" t="n">
        <f aca="false">G992*H992</f>
        <v>3897</v>
      </c>
      <c r="L992" s="6" t="n">
        <f aca="false">K992*J992</f>
        <v>584.55</v>
      </c>
      <c r="M992" s="6" t="n">
        <f aca="false">K992-L992</f>
        <v>3312.45</v>
      </c>
      <c r="N992" s="6" t="n">
        <f aca="false">G992*I992</f>
        <v>2250</v>
      </c>
      <c r="O992" s="6" t="n">
        <f aca="false">M992-N992</f>
        <v>1062.45</v>
      </c>
      <c r="P992" s="21" t="n">
        <f aca="false">IFERROR(O992/M992,0)</f>
        <v>0.320744464067382</v>
      </c>
      <c r="Q992" s="6" t="str">
        <f aca="false">Orders!H992</f>
        <v>Returned</v>
      </c>
      <c r="R992" s="1" t="str">
        <f aca="false">INDEX(Customers!$C$2:$C$301,MATCH(C992,Customers!$A$2:$A$301,0))</f>
        <v>Visakhapatnam</v>
      </c>
      <c r="S992" s="1" t="str">
        <f aca="false">INDEX(Customers!$E$2:$E$301,MATCH(C992,Customers!$A$2:$A$301,0))</f>
        <v>New</v>
      </c>
      <c r="T992" s="6" t="str">
        <f aca="false">Orders!I992</f>
        <v>Mobile App</v>
      </c>
      <c r="U992" s="1" t="str">
        <f aca="false">IF(Q992="Delivered","Completed",IF(Q992="Cancelled","Cancelled",IF(Q992="Returned","Returned","In Progress")))</f>
        <v>Returned</v>
      </c>
      <c r="V992" s="1" t="str">
        <f aca="false">IF(M992&gt;=10000,"High Value",IF(M992&gt;=5000,"Medium Value","Low Value"))</f>
        <v>Low Value</v>
      </c>
      <c r="W992" s="1" t="str">
        <f aca="false">IF(O992&gt;0,"Profitable",IF(O992=0,"Break-even","Loss"))</f>
        <v>Profitable</v>
      </c>
      <c r="X992" s="1" t="str">
        <f aca="false">IF(Q992="Cancelled","Not Applicable",IF(Q992="Processing","Pending",IF(B992="","Unknown",IF(Orders!J992="","Unknown",IF(Orders!J992&lt;=3,"Fast",IF(Orders!J992&lt;=6,"Standard","Slow"))))))</f>
        <v>Slow</v>
      </c>
      <c r="Y992" s="1" t="n">
        <f aca="false">IF(OR(Q992="Cancelled",Q992="Returned"),0,O992)</f>
        <v>0</v>
      </c>
    </row>
    <row r="993" customFormat="false" ht="15" hidden="false" customHeight="false" outlineLevel="0" collapsed="false">
      <c r="A993" s="6" t="str">
        <f aca="false">Orders!A993</f>
        <v>O000992</v>
      </c>
      <c r="B993" s="19" t="n">
        <f aca="false">Orders!B993</f>
        <v>45751</v>
      </c>
      <c r="C993" s="6" t="str">
        <f aca="false">Orders!C993</f>
        <v>C0251</v>
      </c>
      <c r="D993" s="6" t="str">
        <f aca="false">Orders!D993</f>
        <v>P1010</v>
      </c>
      <c r="E993" s="6" t="str">
        <f aca="false">INDEX(Products!$B$2:$B$101,MATCH(D993,Products!$A$2:$A$101,0))</f>
        <v>Webcam</v>
      </c>
      <c r="F993" s="1" t="str">
        <f aca="false">INDEX(Products!$C$2:$C$101,MATCH(D993,Products!$A$2:$A$101,0))</f>
        <v>Electronics</v>
      </c>
      <c r="G993" s="6" t="n">
        <f aca="false">Orders!E993</f>
        <v>1</v>
      </c>
      <c r="H993" s="16" t="n">
        <f aca="false">INDEX(Products!$D$2:$D$101,MATCH(D993,Products!$A$2:$A$101,0))</f>
        <v>1799</v>
      </c>
      <c r="I993" s="16" t="n">
        <f aca="false">INDEX(Products!$E$2:$E$101,MATCH(D993,Products!$A$2:$A$101,0))</f>
        <v>1050</v>
      </c>
      <c r="J993" s="20" t="n">
        <f aca="false">Orders!F993</f>
        <v>0</v>
      </c>
      <c r="K993" s="6" t="n">
        <f aca="false">G993*H993</f>
        <v>1799</v>
      </c>
      <c r="L993" s="6" t="n">
        <f aca="false">K993*J993</f>
        <v>0</v>
      </c>
      <c r="M993" s="6" t="n">
        <f aca="false">K993-L993</f>
        <v>1799</v>
      </c>
      <c r="N993" s="6" t="n">
        <f aca="false">G993*I993</f>
        <v>1050</v>
      </c>
      <c r="O993" s="6" t="n">
        <f aca="false">M993-N993</f>
        <v>749</v>
      </c>
      <c r="P993" s="21" t="n">
        <f aca="false">IFERROR(O993/M993,0)</f>
        <v>0.416342412451362</v>
      </c>
      <c r="Q993" s="6" t="str">
        <f aca="false">Orders!H993</f>
        <v>Delivered</v>
      </c>
      <c r="R993" s="1" t="str">
        <f aca="false">INDEX(Customers!$C$2:$C$301,MATCH(C993,Customers!$A$2:$A$301,0))</f>
        <v>Gurugram</v>
      </c>
      <c r="S993" s="1" t="str">
        <f aca="false">INDEX(Customers!$E$2:$E$301,MATCH(C993,Customers!$A$2:$A$301,0))</f>
        <v>Returning</v>
      </c>
      <c r="T993" s="6" t="str">
        <f aca="false">Orders!I993</f>
        <v>Website</v>
      </c>
      <c r="U993" s="1" t="str">
        <f aca="false">IF(Q993="Delivered","Completed",IF(Q993="Cancelled","Cancelled",IF(Q993="Returned","Returned","In Progress")))</f>
        <v>Completed</v>
      </c>
      <c r="V993" s="1" t="str">
        <f aca="false">IF(M993&gt;=10000,"High Value",IF(M993&gt;=5000,"Medium Value","Low Value"))</f>
        <v>Low Value</v>
      </c>
      <c r="W993" s="1" t="str">
        <f aca="false">IF(O993&gt;0,"Profitable",IF(O993=0,"Break-even","Loss"))</f>
        <v>Profitable</v>
      </c>
      <c r="X993" s="1" t="str">
        <f aca="false">IF(Q993="Cancelled","Not Applicable",IF(Q993="Processing","Pending",IF(B993="","Unknown",IF(Orders!J993="","Unknown",IF(Orders!J993&lt;=3,"Fast",IF(Orders!J993&lt;=6,"Standard","Slow"))))))</f>
        <v>Slow</v>
      </c>
      <c r="Y993" s="1" t="n">
        <f aca="false">IF(OR(Q993="Cancelled",Q993="Returned"),0,O993)</f>
        <v>749</v>
      </c>
    </row>
    <row r="994" customFormat="false" ht="15" hidden="false" customHeight="false" outlineLevel="0" collapsed="false">
      <c r="A994" s="6" t="str">
        <f aca="false">Orders!A994</f>
        <v>O000993</v>
      </c>
      <c r="B994" s="19" t="n">
        <f aca="false">Orders!B994</f>
        <v>45992</v>
      </c>
      <c r="C994" s="6" t="str">
        <f aca="false">Orders!C994</f>
        <v>C0178</v>
      </c>
      <c r="D994" s="6" t="str">
        <f aca="false">Orders!D994</f>
        <v>P1062</v>
      </c>
      <c r="E994" s="6" t="str">
        <f aca="false">INDEX(Products!$B$2:$B$101,MATCH(D994,Products!$A$2:$A$101,0))</f>
        <v>Skipping Rope</v>
      </c>
      <c r="F994" s="1" t="str">
        <f aca="false">INDEX(Products!$C$2:$C$101,MATCH(D994,Products!$A$2:$A$101,0))</f>
        <v>Sports &amp; Outdoors</v>
      </c>
      <c r="G994" s="6" t="n">
        <f aca="false">Orders!E994</f>
        <v>1</v>
      </c>
      <c r="H994" s="16" t="n">
        <f aca="false">INDEX(Products!$D$2:$D$101,MATCH(D994,Products!$A$2:$A$101,0))</f>
        <v>249</v>
      </c>
      <c r="I994" s="16" t="n">
        <f aca="false">INDEX(Products!$E$2:$E$101,MATCH(D994,Products!$A$2:$A$101,0))</f>
        <v>80</v>
      </c>
      <c r="J994" s="20" t="n">
        <f aca="false">Orders!F994</f>
        <v>0.1</v>
      </c>
      <c r="K994" s="6" t="n">
        <f aca="false">G994*H994</f>
        <v>249</v>
      </c>
      <c r="L994" s="6" t="n">
        <f aca="false">K994*J994</f>
        <v>24.9</v>
      </c>
      <c r="M994" s="6" t="n">
        <f aca="false">K994-L994</f>
        <v>224.1</v>
      </c>
      <c r="N994" s="6" t="n">
        <f aca="false">G994*I994</f>
        <v>80</v>
      </c>
      <c r="O994" s="6" t="n">
        <f aca="false">M994-N994</f>
        <v>144.1</v>
      </c>
      <c r="P994" s="21" t="n">
        <f aca="false">IFERROR(O994/M994,0)</f>
        <v>0.64301651048639</v>
      </c>
      <c r="Q994" s="6" t="str">
        <f aca="false">Orders!H994</f>
        <v>Delivered</v>
      </c>
      <c r="R994" s="1" t="str">
        <f aca="false">INDEX(Customers!$C$2:$C$301,MATCH(C994,Customers!$A$2:$A$301,0))</f>
        <v>Nagpur</v>
      </c>
      <c r="S994" s="1" t="str">
        <f aca="false">INDEX(Customers!$E$2:$E$301,MATCH(C994,Customers!$A$2:$A$301,0))</f>
        <v>VIP</v>
      </c>
      <c r="T994" s="6" t="str">
        <f aca="false">Orders!I994</f>
        <v>Website</v>
      </c>
      <c r="U994" s="1" t="str">
        <f aca="false">IF(Q994="Delivered","Completed",IF(Q994="Cancelled","Cancelled",IF(Q994="Returned","Returned","In Progress")))</f>
        <v>Completed</v>
      </c>
      <c r="V994" s="1" t="str">
        <f aca="false">IF(M994&gt;=10000,"High Value",IF(M994&gt;=5000,"Medium Value","Low Value"))</f>
        <v>Low Value</v>
      </c>
      <c r="W994" s="1" t="str">
        <f aca="false">IF(O994&gt;0,"Profitable",IF(O994=0,"Break-even","Loss"))</f>
        <v>Profitable</v>
      </c>
      <c r="X994" s="1" t="str">
        <f aca="false">IF(Q994="Cancelled","Not Applicable",IF(Q994="Processing","Pending",IF(B994="","Unknown",IF(Orders!J994="","Unknown",IF(Orders!J994&lt;=3,"Fast",IF(Orders!J994&lt;=6,"Standard","Slow"))))))</f>
        <v>Standard</v>
      </c>
      <c r="Y994" s="1" t="n">
        <f aca="false">IF(OR(Q994="Cancelled",Q994="Returned"),0,O994)</f>
        <v>144.1</v>
      </c>
    </row>
    <row r="995" customFormat="false" ht="15" hidden="false" customHeight="false" outlineLevel="0" collapsed="false">
      <c r="A995" s="6" t="str">
        <f aca="false">Orders!A995</f>
        <v>O000994</v>
      </c>
      <c r="B995" s="19" t="n">
        <f aca="false">Orders!B995</f>
        <v>45909</v>
      </c>
      <c r="C995" s="6" t="str">
        <f aca="false">Orders!C995</f>
        <v>C0297</v>
      </c>
      <c r="D995" s="6" t="str">
        <f aca="false">Orders!D995</f>
        <v>P1039</v>
      </c>
      <c r="E995" s="6" t="str">
        <f aca="false">INDEX(Products!$B$2:$B$101,MATCH(D995,Products!$A$2:$A$101,0))</f>
        <v>Wall Clock</v>
      </c>
      <c r="F995" s="1" t="str">
        <f aca="false">INDEX(Products!$C$2:$C$101,MATCH(D995,Products!$A$2:$A$101,0))</f>
        <v>Home &amp; Kitchen</v>
      </c>
      <c r="G995" s="6" t="n">
        <f aca="false">Orders!E995</f>
        <v>1</v>
      </c>
      <c r="H995" s="16" t="n">
        <f aca="false">INDEX(Products!$D$2:$D$101,MATCH(D995,Products!$A$2:$A$101,0))</f>
        <v>699</v>
      </c>
      <c r="I995" s="16" t="n">
        <f aca="false">INDEX(Products!$E$2:$E$101,MATCH(D995,Products!$A$2:$A$101,0))</f>
        <v>300</v>
      </c>
      <c r="J995" s="20" t="n">
        <f aca="false">Orders!F995</f>
        <v>0.05</v>
      </c>
      <c r="K995" s="6" t="n">
        <f aca="false">G995*H995</f>
        <v>699</v>
      </c>
      <c r="L995" s="6" t="n">
        <f aca="false">K995*J995</f>
        <v>34.95</v>
      </c>
      <c r="M995" s="6" t="n">
        <f aca="false">K995-L995</f>
        <v>664.05</v>
      </c>
      <c r="N995" s="6" t="n">
        <f aca="false">G995*I995</f>
        <v>300</v>
      </c>
      <c r="O995" s="6" t="n">
        <f aca="false">M995-N995</f>
        <v>364.05</v>
      </c>
      <c r="P995" s="21" t="n">
        <f aca="false">IFERROR(O995/M995,0)</f>
        <v>0.548226790151344</v>
      </c>
      <c r="Q995" s="6" t="str">
        <f aca="false">Orders!H995</f>
        <v>Delivered</v>
      </c>
      <c r="R995" s="1" t="str">
        <f aca="false">INDEX(Customers!$C$2:$C$301,MATCH(C995,Customers!$A$2:$A$301,0))</f>
        <v>Surat</v>
      </c>
      <c r="S995" s="1" t="str">
        <f aca="false">INDEX(Customers!$E$2:$E$301,MATCH(C995,Customers!$A$2:$A$301,0))</f>
        <v>New</v>
      </c>
      <c r="T995" s="6" t="str">
        <f aca="false">Orders!I995</f>
        <v>Website</v>
      </c>
      <c r="U995" s="1" t="str">
        <f aca="false">IF(Q995="Delivered","Completed",IF(Q995="Cancelled","Cancelled",IF(Q995="Returned","Returned","In Progress")))</f>
        <v>Completed</v>
      </c>
      <c r="V995" s="1" t="str">
        <f aca="false">IF(M995&gt;=10000,"High Value",IF(M995&gt;=5000,"Medium Value","Low Value"))</f>
        <v>Low Value</v>
      </c>
      <c r="W995" s="1" t="str">
        <f aca="false">IF(O995&gt;0,"Profitable",IF(O995=0,"Break-even","Loss"))</f>
        <v>Profitable</v>
      </c>
      <c r="X995" s="1" t="str">
        <f aca="false">IF(Q995="Cancelled","Not Applicable",IF(Q995="Processing","Pending",IF(B995="","Unknown",IF(Orders!J995="","Unknown",IF(Orders!J995&lt;=3,"Fast",IF(Orders!J995&lt;=6,"Standard","Slow"))))))</f>
        <v>Fast</v>
      </c>
      <c r="Y995" s="1" t="n">
        <f aca="false">IF(OR(Q995="Cancelled",Q995="Returned"),0,O995)</f>
        <v>364.05</v>
      </c>
    </row>
    <row r="996" customFormat="false" ht="15" hidden="false" customHeight="false" outlineLevel="0" collapsed="false">
      <c r="A996" s="6" t="str">
        <f aca="false">Orders!A996</f>
        <v>O000995</v>
      </c>
      <c r="B996" s="19" t="n">
        <f aca="false">Orders!B996</f>
        <v>45780</v>
      </c>
      <c r="C996" s="6" t="str">
        <f aca="false">Orders!C996</f>
        <v>C0058</v>
      </c>
      <c r="D996" s="6" t="str">
        <f aca="false">Orders!D996</f>
        <v>P1006</v>
      </c>
      <c r="E996" s="6" t="str">
        <f aca="false">INDEX(Products!$B$2:$B$101,MATCH(D996,Products!$A$2:$A$101,0))</f>
        <v>Wireless Mouse</v>
      </c>
      <c r="F996" s="1" t="str">
        <f aca="false">INDEX(Products!$C$2:$C$101,MATCH(D996,Products!$A$2:$A$101,0))</f>
        <v>Electronics</v>
      </c>
      <c r="G996" s="6" t="n">
        <f aca="false">Orders!E996</f>
        <v>4</v>
      </c>
      <c r="H996" s="16" t="n">
        <f aca="false">INDEX(Products!$D$2:$D$101,MATCH(D996,Products!$A$2:$A$101,0))</f>
        <v>699</v>
      </c>
      <c r="I996" s="16" t="n">
        <f aca="false">INDEX(Products!$E$2:$E$101,MATCH(D996,Products!$A$2:$A$101,0))</f>
        <v>300</v>
      </c>
      <c r="J996" s="20" t="n">
        <f aca="false">Orders!F996</f>
        <v>0</v>
      </c>
      <c r="K996" s="6" t="n">
        <f aca="false">G996*H996</f>
        <v>2796</v>
      </c>
      <c r="L996" s="6" t="n">
        <f aca="false">K996*J996</f>
        <v>0</v>
      </c>
      <c r="M996" s="6" t="n">
        <f aca="false">K996-L996</f>
        <v>2796</v>
      </c>
      <c r="N996" s="6" t="n">
        <f aca="false">G996*I996</f>
        <v>1200</v>
      </c>
      <c r="O996" s="6" t="n">
        <f aca="false">M996-N996</f>
        <v>1596</v>
      </c>
      <c r="P996" s="21" t="n">
        <f aca="false">IFERROR(O996/M996,0)</f>
        <v>0.570815450643777</v>
      </c>
      <c r="Q996" s="6" t="str">
        <f aca="false">Orders!H996</f>
        <v>Delivered</v>
      </c>
      <c r="R996" s="1" t="str">
        <f aca="false">INDEX(Customers!$C$2:$C$301,MATCH(C996,Customers!$A$2:$A$301,0))</f>
        <v>Nagpur</v>
      </c>
      <c r="S996" s="1" t="str">
        <f aca="false">INDEX(Customers!$E$2:$E$301,MATCH(C996,Customers!$A$2:$A$301,0))</f>
        <v>New</v>
      </c>
      <c r="T996" s="6" t="str">
        <f aca="false">Orders!I996</f>
        <v>Website</v>
      </c>
      <c r="U996" s="1" t="str">
        <f aca="false">IF(Q996="Delivered","Completed",IF(Q996="Cancelled","Cancelled",IF(Q996="Returned","Returned","In Progress")))</f>
        <v>Completed</v>
      </c>
      <c r="V996" s="1" t="str">
        <f aca="false">IF(M996&gt;=10000,"High Value",IF(M996&gt;=5000,"Medium Value","Low Value"))</f>
        <v>Low Value</v>
      </c>
      <c r="W996" s="1" t="str">
        <f aca="false">IF(O996&gt;0,"Profitable",IF(O996=0,"Break-even","Loss"))</f>
        <v>Profitable</v>
      </c>
      <c r="X996" s="1" t="str">
        <f aca="false">IF(Q996="Cancelled","Not Applicable",IF(Q996="Processing","Pending",IF(B996="","Unknown",IF(Orders!J996="","Unknown",IF(Orders!J996&lt;=3,"Fast",IF(Orders!J996&lt;=6,"Standard","Slow"))))))</f>
        <v>Slow</v>
      </c>
      <c r="Y996" s="1" t="n">
        <f aca="false">IF(OR(Q996="Cancelled",Q996="Returned"),0,O996)</f>
        <v>1596</v>
      </c>
    </row>
    <row r="997" customFormat="false" ht="15" hidden="false" customHeight="false" outlineLevel="0" collapsed="false">
      <c r="A997" s="6" t="str">
        <f aca="false">Orders!A997</f>
        <v>O000996</v>
      </c>
      <c r="B997" s="19" t="n">
        <f aca="false">Orders!B997</f>
        <v>45733</v>
      </c>
      <c r="C997" s="6" t="str">
        <f aca="false">Orders!C997</f>
        <v>C0189</v>
      </c>
      <c r="D997" s="6" t="str">
        <f aca="false">Orders!D997</f>
        <v>P1097</v>
      </c>
      <c r="E997" s="6" t="str">
        <f aca="false">INDEX(Products!$B$2:$B$101,MATCH(D997,Products!$A$2:$A$101,0))</f>
        <v>Vacuum Cleaner</v>
      </c>
      <c r="F997" s="1" t="str">
        <f aca="false">INDEX(Products!$C$2:$C$101,MATCH(D997,Products!$A$2:$A$101,0))</f>
        <v>Appliances</v>
      </c>
      <c r="G997" s="6" t="n">
        <f aca="false">Orders!E997</f>
        <v>1</v>
      </c>
      <c r="H997" s="16" t="n">
        <f aca="false">INDEX(Products!$D$2:$D$101,MATCH(D997,Products!$A$2:$A$101,0))</f>
        <v>3499</v>
      </c>
      <c r="I997" s="16" t="n">
        <f aca="false">INDEX(Products!$E$2:$E$101,MATCH(D997,Products!$A$2:$A$101,0))</f>
        <v>2400</v>
      </c>
      <c r="J997" s="20" t="n">
        <f aca="false">Orders!F997</f>
        <v>0.2</v>
      </c>
      <c r="K997" s="6" t="n">
        <f aca="false">G997*H997</f>
        <v>3499</v>
      </c>
      <c r="L997" s="6" t="n">
        <f aca="false">K997*J997</f>
        <v>699.8</v>
      </c>
      <c r="M997" s="6" t="n">
        <f aca="false">K997-L997</f>
        <v>2799.2</v>
      </c>
      <c r="N997" s="6" t="n">
        <f aca="false">G997*I997</f>
        <v>2400</v>
      </c>
      <c r="O997" s="6" t="n">
        <f aca="false">M997-N997</f>
        <v>399.2</v>
      </c>
      <c r="P997" s="21" t="n">
        <f aca="false">IFERROR(O997/M997,0)</f>
        <v>0.142612174907116</v>
      </c>
      <c r="Q997" s="6" t="str">
        <f aca="false">Orders!H997</f>
        <v>Delivered</v>
      </c>
      <c r="R997" s="1" t="str">
        <f aca="false">INDEX(Customers!$C$2:$C$301,MATCH(C997,Customers!$A$2:$A$301,0))</f>
        <v>Ahmedabad</v>
      </c>
      <c r="S997" s="1" t="str">
        <f aca="false">INDEX(Customers!$E$2:$E$301,MATCH(C997,Customers!$A$2:$A$301,0))</f>
        <v>New</v>
      </c>
      <c r="T997" s="6" t="str">
        <f aca="false">Orders!I997</f>
        <v>Marketplace</v>
      </c>
      <c r="U997" s="1" t="str">
        <f aca="false">IF(Q997="Delivered","Completed",IF(Q997="Cancelled","Cancelled",IF(Q997="Returned","Returned","In Progress")))</f>
        <v>Completed</v>
      </c>
      <c r="V997" s="1" t="str">
        <f aca="false">IF(M997&gt;=10000,"High Value",IF(M997&gt;=5000,"Medium Value","Low Value"))</f>
        <v>Low Value</v>
      </c>
      <c r="W997" s="1" t="str">
        <f aca="false">IF(O997&gt;0,"Profitable",IF(O997=0,"Break-even","Loss"))</f>
        <v>Profitable</v>
      </c>
      <c r="X997" s="1" t="str">
        <f aca="false">IF(Q997="Cancelled","Not Applicable",IF(Q997="Processing","Pending",IF(B997="","Unknown",IF(Orders!J997="","Unknown",IF(Orders!J997&lt;=3,"Fast",IF(Orders!J997&lt;=6,"Standard","Slow"))))))</f>
        <v>Fast</v>
      </c>
      <c r="Y997" s="1" t="n">
        <f aca="false">IF(OR(Q997="Cancelled",Q997="Returned"),0,O997)</f>
        <v>399.2</v>
      </c>
    </row>
    <row r="998" customFormat="false" ht="15" hidden="false" customHeight="false" outlineLevel="0" collapsed="false">
      <c r="A998" s="6" t="str">
        <f aca="false">Orders!A998</f>
        <v>O000997</v>
      </c>
      <c r="B998" s="19" t="n">
        <f aca="false">Orders!B998</f>
        <v>45882</v>
      </c>
      <c r="C998" s="6" t="str">
        <f aca="false">Orders!C998</f>
        <v>C0102</v>
      </c>
      <c r="D998" s="6" t="str">
        <f aca="false">Orders!D998</f>
        <v>P1056</v>
      </c>
      <c r="E998" s="6" t="str">
        <f aca="false">INDEX(Products!$B$2:$B$101,MATCH(D998,Products!$A$2:$A$101,0))</f>
        <v>Hair Dryer</v>
      </c>
      <c r="F998" s="1" t="str">
        <f aca="false">INDEX(Products!$C$2:$C$101,MATCH(D998,Products!$A$2:$A$101,0))</f>
        <v>Beauty</v>
      </c>
      <c r="G998" s="6" t="n">
        <f aca="false">Orders!E998</f>
        <v>2</v>
      </c>
      <c r="H998" s="16" t="n">
        <f aca="false">INDEX(Products!$D$2:$D$101,MATCH(D998,Products!$A$2:$A$101,0))</f>
        <v>1299</v>
      </c>
      <c r="I998" s="16" t="n">
        <f aca="false">INDEX(Products!$E$2:$E$101,MATCH(D998,Products!$A$2:$A$101,0))</f>
        <v>750</v>
      </c>
      <c r="J998" s="20" t="n">
        <f aca="false">Orders!F998</f>
        <v>0.2</v>
      </c>
      <c r="K998" s="6" t="n">
        <f aca="false">G998*H998</f>
        <v>2598</v>
      </c>
      <c r="L998" s="6" t="n">
        <f aca="false">K998*J998</f>
        <v>519.6</v>
      </c>
      <c r="M998" s="6" t="n">
        <f aca="false">K998-L998</f>
        <v>2078.4</v>
      </c>
      <c r="N998" s="6" t="n">
        <f aca="false">G998*I998</f>
        <v>1500</v>
      </c>
      <c r="O998" s="6" t="n">
        <f aca="false">M998-N998</f>
        <v>578.4</v>
      </c>
      <c r="P998" s="21" t="n">
        <f aca="false">IFERROR(O998/M998,0)</f>
        <v>0.278290993071594</v>
      </c>
      <c r="Q998" s="6" t="str">
        <f aca="false">Orders!H998</f>
        <v>Delivered</v>
      </c>
      <c r="R998" s="1" t="str">
        <f aca="false">INDEX(Customers!$C$2:$C$301,MATCH(C998,Customers!$A$2:$A$301,0))</f>
        <v>Mumbai</v>
      </c>
      <c r="S998" s="1" t="str">
        <f aca="false">INDEX(Customers!$E$2:$E$301,MATCH(C998,Customers!$A$2:$A$301,0))</f>
        <v>Returning</v>
      </c>
      <c r="T998" s="6" t="str">
        <f aca="false">Orders!I998</f>
        <v>Mobile App</v>
      </c>
      <c r="U998" s="1" t="str">
        <f aca="false">IF(Q998="Delivered","Completed",IF(Q998="Cancelled","Cancelled",IF(Q998="Returned","Returned","In Progress")))</f>
        <v>Completed</v>
      </c>
      <c r="V998" s="1" t="str">
        <f aca="false">IF(M998&gt;=10000,"High Value",IF(M998&gt;=5000,"Medium Value","Low Value"))</f>
        <v>Low Value</v>
      </c>
      <c r="W998" s="1" t="str">
        <f aca="false">IF(O998&gt;0,"Profitable",IF(O998=0,"Break-even","Loss"))</f>
        <v>Profitable</v>
      </c>
      <c r="X998" s="1" t="str">
        <f aca="false">IF(Q998="Cancelled","Not Applicable",IF(Q998="Processing","Pending",IF(B998="","Unknown",IF(Orders!J998="","Unknown",IF(Orders!J998&lt;=3,"Fast",IF(Orders!J998&lt;=6,"Standard","Slow"))))))</f>
        <v>Standard</v>
      </c>
      <c r="Y998" s="1" t="n">
        <f aca="false">IF(OR(Q998="Cancelled",Q998="Returned"),0,O998)</f>
        <v>578.4</v>
      </c>
    </row>
    <row r="999" customFormat="false" ht="15" hidden="false" customHeight="false" outlineLevel="0" collapsed="false">
      <c r="A999" s="6" t="str">
        <f aca="false">Orders!A999</f>
        <v>O000998</v>
      </c>
      <c r="B999" s="19" t="n">
        <f aca="false">Orders!B999</f>
        <v>45670</v>
      </c>
      <c r="C999" s="6" t="str">
        <f aca="false">Orders!C999</f>
        <v>C0030</v>
      </c>
      <c r="D999" s="6" t="str">
        <f aca="false">Orders!D999</f>
        <v>P1078</v>
      </c>
      <c r="E999" s="6" t="str">
        <f aca="false">INDEX(Products!$B$2:$B$101,MATCH(D999,Products!$A$2:$A$101,0))</f>
        <v>Sketchbook</v>
      </c>
      <c r="F999" s="1" t="str">
        <f aca="false">INDEX(Products!$C$2:$C$101,MATCH(D999,Products!$A$2:$A$101,0))</f>
        <v>Books &amp; Stationery</v>
      </c>
      <c r="G999" s="6" t="n">
        <f aca="false">Orders!E999</f>
        <v>1</v>
      </c>
      <c r="H999" s="16" t="n">
        <f aca="false">INDEX(Products!$D$2:$D$101,MATCH(D999,Products!$A$2:$A$101,0))</f>
        <v>249</v>
      </c>
      <c r="I999" s="16" t="n">
        <f aca="false">INDEX(Products!$E$2:$E$101,MATCH(D999,Products!$A$2:$A$101,0))</f>
        <v>90</v>
      </c>
      <c r="J999" s="20" t="n">
        <f aca="false">Orders!F999</f>
        <v>0.2</v>
      </c>
      <c r="K999" s="6" t="n">
        <f aca="false">G999*H999</f>
        <v>249</v>
      </c>
      <c r="L999" s="6" t="n">
        <f aca="false">K999*J999</f>
        <v>49.8</v>
      </c>
      <c r="M999" s="6" t="n">
        <f aca="false">K999-L999</f>
        <v>199.2</v>
      </c>
      <c r="N999" s="6" t="n">
        <f aca="false">G999*I999</f>
        <v>90</v>
      </c>
      <c r="O999" s="6" t="n">
        <f aca="false">M999-N999</f>
        <v>109.2</v>
      </c>
      <c r="P999" s="21" t="n">
        <f aca="false">IFERROR(O999/M999,0)</f>
        <v>0.548192771084337</v>
      </c>
      <c r="Q999" s="6" t="str">
        <f aca="false">Orders!H999</f>
        <v>Returned</v>
      </c>
      <c r="R999" s="1" t="str">
        <f aca="false">INDEX(Customers!$C$2:$C$301,MATCH(C999,Customers!$A$2:$A$301,0))</f>
        <v>Lucknow</v>
      </c>
      <c r="S999" s="1" t="str">
        <f aca="false">INDEX(Customers!$E$2:$E$301,MATCH(C999,Customers!$A$2:$A$301,0))</f>
        <v>Returning</v>
      </c>
      <c r="T999" s="6" t="str">
        <f aca="false">Orders!I999</f>
        <v>Marketplace</v>
      </c>
      <c r="U999" s="1" t="str">
        <f aca="false">IF(Q999="Delivered","Completed",IF(Q999="Cancelled","Cancelled",IF(Q999="Returned","Returned","In Progress")))</f>
        <v>Returned</v>
      </c>
      <c r="V999" s="1" t="str">
        <f aca="false">IF(M999&gt;=10000,"High Value",IF(M999&gt;=5000,"Medium Value","Low Value"))</f>
        <v>Low Value</v>
      </c>
      <c r="W999" s="1" t="str">
        <f aca="false">IF(O999&gt;0,"Profitable",IF(O999=0,"Break-even","Loss"))</f>
        <v>Profitable</v>
      </c>
      <c r="X999" s="1" t="str">
        <f aca="false">IF(Q999="Cancelled","Not Applicable",IF(Q999="Processing","Pending",IF(B999="","Unknown",IF(Orders!J999="","Unknown",IF(Orders!J999&lt;=3,"Fast",IF(Orders!J999&lt;=6,"Standard","Slow"))))))</f>
        <v>Fast</v>
      </c>
      <c r="Y999" s="1" t="n">
        <f aca="false">IF(OR(Q999="Cancelled",Q999="Returned"),0,O999)</f>
        <v>0</v>
      </c>
    </row>
    <row r="1000" customFormat="false" ht="23.85" hidden="false" customHeight="false" outlineLevel="0" collapsed="false">
      <c r="A1000" s="6" t="str">
        <f aca="false">Orders!A1000</f>
        <v>O000999</v>
      </c>
      <c r="B1000" s="19" t="n">
        <f aca="false">Orders!B1000</f>
        <v>45880</v>
      </c>
      <c r="C1000" s="6" t="str">
        <f aca="false">Orders!C1000</f>
        <v>C0123</v>
      </c>
      <c r="D1000" s="6" t="str">
        <f aca="false">Orders!D1000</f>
        <v>P1070</v>
      </c>
      <c r="E1000" s="6" t="str">
        <f aca="false">INDEX(Products!$B$2:$B$101,MATCH(D1000,Products!$A$2:$A$101,0))</f>
        <v>Knee Support Pair</v>
      </c>
      <c r="F1000" s="1" t="str">
        <f aca="false">INDEX(Products!$C$2:$C$101,MATCH(D1000,Products!$A$2:$A$101,0))</f>
        <v>Sports &amp; Outdoors</v>
      </c>
      <c r="G1000" s="6" t="n">
        <f aca="false">Orders!E1000</f>
        <v>2</v>
      </c>
      <c r="H1000" s="16" t="n">
        <f aca="false">INDEX(Products!$D$2:$D$101,MATCH(D1000,Products!$A$2:$A$101,0))</f>
        <v>449</v>
      </c>
      <c r="I1000" s="16" t="n">
        <f aca="false">INDEX(Products!$E$2:$E$101,MATCH(D1000,Products!$A$2:$A$101,0))</f>
        <v>180</v>
      </c>
      <c r="J1000" s="20" t="n">
        <f aca="false">Orders!F1000</f>
        <v>0.25</v>
      </c>
      <c r="K1000" s="6" t="n">
        <f aca="false">G1000*H1000</f>
        <v>898</v>
      </c>
      <c r="L1000" s="6" t="n">
        <f aca="false">K1000*J1000</f>
        <v>224.5</v>
      </c>
      <c r="M1000" s="6" t="n">
        <f aca="false">K1000-L1000</f>
        <v>673.5</v>
      </c>
      <c r="N1000" s="6" t="n">
        <f aca="false">G1000*I1000</f>
        <v>360</v>
      </c>
      <c r="O1000" s="6" t="n">
        <f aca="false">M1000-N1000</f>
        <v>313.5</v>
      </c>
      <c r="P1000" s="21" t="n">
        <f aca="false">IFERROR(O1000/M1000,0)</f>
        <v>0.465478841870824</v>
      </c>
      <c r="Q1000" s="6" t="str">
        <f aca="false">Orders!H1000</f>
        <v>Shipped</v>
      </c>
      <c r="R1000" s="1" t="str">
        <f aca="false">INDEX(Customers!$C$2:$C$301,MATCH(C1000,Customers!$A$2:$A$301,0))</f>
        <v>Bengaluru</v>
      </c>
      <c r="S1000" s="1" t="str">
        <f aca="false">INDEX(Customers!$E$2:$E$301,MATCH(C1000,Customers!$A$2:$A$301,0))</f>
        <v>Returning</v>
      </c>
      <c r="T1000" s="6" t="str">
        <f aca="false">Orders!I1000</f>
        <v>Marketplace</v>
      </c>
      <c r="U1000" s="1" t="str">
        <f aca="false">IF(Q1000="Delivered","Completed",IF(Q1000="Cancelled","Cancelled",IF(Q1000="Returned","Returned","In Progress")))</f>
        <v>In Progress</v>
      </c>
      <c r="V1000" s="1" t="str">
        <f aca="false">IF(M1000&gt;=10000,"High Value",IF(M1000&gt;=5000,"Medium Value","Low Value"))</f>
        <v>Low Value</v>
      </c>
      <c r="W1000" s="1" t="str">
        <f aca="false">IF(O1000&gt;0,"Profitable",IF(O1000=0,"Break-even","Loss"))</f>
        <v>Profitable</v>
      </c>
      <c r="X1000" s="1" t="str">
        <f aca="false">IF(Q1000="Cancelled","Not Applicable",IF(Q1000="Processing","Pending",IF(B1000="","Unknown",IF(Orders!J1000="","Unknown",IF(Orders!J1000&lt;=3,"Fast",IF(Orders!J1000&lt;=6,"Standard","Slow"))))))</f>
        <v>Slow</v>
      </c>
      <c r="Y1000" s="1" t="n">
        <f aca="false">IF(OR(Q1000="Cancelled",Q1000="Returned"),0,O1000)</f>
        <v>313.5</v>
      </c>
    </row>
    <row r="1001" customFormat="false" ht="15" hidden="false" customHeight="false" outlineLevel="0" collapsed="false">
      <c r="A1001" s="6" t="str">
        <f aca="false">Orders!A1001</f>
        <v>O001000</v>
      </c>
      <c r="B1001" s="19" t="n">
        <f aca="false">Orders!B1001</f>
        <v>45702</v>
      </c>
      <c r="C1001" s="6" t="str">
        <f aca="false">Orders!C1001</f>
        <v>C0104</v>
      </c>
      <c r="D1001" s="6" t="str">
        <f aca="false">Orders!D1001</f>
        <v>P1010</v>
      </c>
      <c r="E1001" s="6" t="str">
        <f aca="false">INDEX(Products!$B$2:$B$101,MATCH(D1001,Products!$A$2:$A$101,0))</f>
        <v>Webcam</v>
      </c>
      <c r="F1001" s="1" t="str">
        <f aca="false">INDEX(Products!$C$2:$C$101,MATCH(D1001,Products!$A$2:$A$101,0))</f>
        <v>Electronics</v>
      </c>
      <c r="G1001" s="6" t="n">
        <f aca="false">Orders!E1001</f>
        <v>3</v>
      </c>
      <c r="H1001" s="16" t="n">
        <f aca="false">INDEX(Products!$D$2:$D$101,MATCH(D1001,Products!$A$2:$A$101,0))</f>
        <v>1799</v>
      </c>
      <c r="I1001" s="16" t="n">
        <f aca="false">INDEX(Products!$E$2:$E$101,MATCH(D1001,Products!$A$2:$A$101,0))</f>
        <v>1050</v>
      </c>
      <c r="J1001" s="20" t="n">
        <f aca="false">Orders!F1001</f>
        <v>0.1</v>
      </c>
      <c r="K1001" s="6" t="n">
        <f aca="false">G1001*H1001</f>
        <v>5397</v>
      </c>
      <c r="L1001" s="6" t="n">
        <f aca="false">K1001*J1001</f>
        <v>539.7</v>
      </c>
      <c r="M1001" s="6" t="n">
        <f aca="false">K1001-L1001</f>
        <v>4857.3</v>
      </c>
      <c r="N1001" s="6" t="n">
        <f aca="false">G1001*I1001</f>
        <v>3150</v>
      </c>
      <c r="O1001" s="6" t="n">
        <f aca="false">M1001-N1001</f>
        <v>1707.3</v>
      </c>
      <c r="P1001" s="21" t="n">
        <f aca="false">IFERROR(O1001/M1001,0)</f>
        <v>0.351491569390402</v>
      </c>
      <c r="Q1001" s="6" t="str">
        <f aca="false">Orders!H1001</f>
        <v>Processing</v>
      </c>
      <c r="R1001" s="1" t="str">
        <f aca="false">INDEX(Customers!$C$2:$C$301,MATCH(C1001,Customers!$A$2:$A$301,0))</f>
        <v>Hyderabad</v>
      </c>
      <c r="S1001" s="1" t="str">
        <f aca="false">INDEX(Customers!$E$2:$E$301,MATCH(C1001,Customers!$A$2:$A$301,0))</f>
        <v>New</v>
      </c>
      <c r="T1001" s="6" t="str">
        <f aca="false">Orders!I1001</f>
        <v>Marketplace</v>
      </c>
      <c r="U1001" s="1" t="str">
        <f aca="false">IF(Q1001="Delivered","Completed",IF(Q1001="Cancelled","Cancelled",IF(Q1001="Returned","Returned","In Progress")))</f>
        <v>In Progress</v>
      </c>
      <c r="V1001" s="1" t="str">
        <f aca="false">IF(M1001&gt;=10000,"High Value",IF(M1001&gt;=5000,"Medium Value","Low Value"))</f>
        <v>Low Value</v>
      </c>
      <c r="W1001" s="1" t="str">
        <f aca="false">IF(O1001&gt;0,"Profitable",IF(O1001=0,"Break-even","Loss"))</f>
        <v>Profitable</v>
      </c>
      <c r="X1001" s="1" t="str">
        <f aca="false">IF(Q1001="Cancelled","Not Applicable",IF(Q1001="Processing","Pending",IF(B1001="","Unknown",IF(Orders!J1001="","Unknown",IF(Orders!J1001&lt;=3,"Fast",IF(Orders!J1001&lt;=6,"Standard","Slow"))))))</f>
        <v>Pending</v>
      </c>
      <c r="Y1001" s="1" t="n">
        <f aca="false">IF(OR(Q1001="Cancelled",Q1001="Returned"),0,O1001)</f>
        <v>1707.3</v>
      </c>
    </row>
    <row r="1002" customFormat="false" ht="15" hidden="false" customHeight="false" outlineLevel="0" collapsed="false">
      <c r="A1002" s="6" t="str">
        <f aca="false">Orders!A1002</f>
        <v>O001001</v>
      </c>
      <c r="B1002" s="19" t="n">
        <f aca="false">Orders!B1002</f>
        <v>45662</v>
      </c>
      <c r="C1002" s="6" t="str">
        <f aca="false">Orders!C1002</f>
        <v>C0013</v>
      </c>
      <c r="D1002" s="6" t="str">
        <f aca="false">Orders!D1002</f>
        <v>P1032</v>
      </c>
      <c r="E1002" s="6" t="str">
        <f aca="false">INDEX(Products!$B$2:$B$101,MATCH(D1002,Products!$A$2:$A$101,0))</f>
        <v>Water Bottle</v>
      </c>
      <c r="F1002" s="1" t="str">
        <f aca="false">INDEX(Products!$C$2:$C$101,MATCH(D1002,Products!$A$2:$A$101,0))</f>
        <v>Home &amp; Kitchen</v>
      </c>
      <c r="G1002" s="6" t="n">
        <f aca="false">Orders!E1002</f>
        <v>1</v>
      </c>
      <c r="H1002" s="16" t="n">
        <f aca="false">INDEX(Products!$D$2:$D$101,MATCH(D1002,Products!$A$2:$A$101,0))</f>
        <v>399</v>
      </c>
      <c r="I1002" s="16" t="n">
        <f aca="false">INDEX(Products!$E$2:$E$101,MATCH(D1002,Products!$A$2:$A$101,0))</f>
        <v>150</v>
      </c>
      <c r="J1002" s="20" t="n">
        <f aca="false">Orders!F1002</f>
        <v>0.1</v>
      </c>
      <c r="K1002" s="6" t="n">
        <f aca="false">G1002*H1002</f>
        <v>399</v>
      </c>
      <c r="L1002" s="6" t="n">
        <f aca="false">K1002*J1002</f>
        <v>39.9</v>
      </c>
      <c r="M1002" s="6" t="n">
        <f aca="false">K1002-L1002</f>
        <v>359.1</v>
      </c>
      <c r="N1002" s="6" t="n">
        <f aca="false">G1002*I1002</f>
        <v>150</v>
      </c>
      <c r="O1002" s="6" t="n">
        <f aca="false">M1002-N1002</f>
        <v>209.1</v>
      </c>
      <c r="P1002" s="21" t="n">
        <f aca="false">IFERROR(O1002/M1002,0)</f>
        <v>0.582289055973267</v>
      </c>
      <c r="Q1002" s="6" t="str">
        <f aca="false">Orders!H1002</f>
        <v>Delivered</v>
      </c>
      <c r="R1002" s="1" t="str">
        <f aca="false">INDEX(Customers!$C$2:$C$301,MATCH(C1002,Customers!$A$2:$A$301,0))</f>
        <v>Kochi</v>
      </c>
      <c r="S1002" s="1" t="str">
        <f aca="false">INDEX(Customers!$E$2:$E$301,MATCH(C1002,Customers!$A$2:$A$301,0))</f>
        <v>Returning</v>
      </c>
      <c r="T1002" s="6" t="str">
        <f aca="false">Orders!I1002</f>
        <v>Marketplace</v>
      </c>
      <c r="U1002" s="1" t="str">
        <f aca="false">IF(Q1002="Delivered","Completed",IF(Q1002="Cancelled","Cancelled",IF(Q1002="Returned","Returned","In Progress")))</f>
        <v>Completed</v>
      </c>
      <c r="V1002" s="1" t="str">
        <f aca="false">IF(M1002&gt;=10000,"High Value",IF(M1002&gt;=5000,"Medium Value","Low Value"))</f>
        <v>Low Value</v>
      </c>
      <c r="W1002" s="1" t="str">
        <f aca="false">IF(O1002&gt;0,"Profitable",IF(O1002=0,"Break-even","Loss"))</f>
        <v>Profitable</v>
      </c>
      <c r="X1002" s="1" t="str">
        <f aca="false">IF(Q1002="Cancelled","Not Applicable",IF(Q1002="Processing","Pending",IF(B1002="","Unknown",IF(Orders!J1002="","Unknown",IF(Orders!J1002&lt;=3,"Fast",IF(Orders!J1002&lt;=6,"Standard","Slow"))))))</f>
        <v>Standard</v>
      </c>
      <c r="Y1002" s="1" t="n">
        <f aca="false">IF(OR(Q1002="Cancelled",Q1002="Returned"),0,O1002)</f>
        <v>209.1</v>
      </c>
    </row>
    <row r="1003" customFormat="false" ht="15" hidden="false" customHeight="false" outlineLevel="0" collapsed="false">
      <c r="A1003" s="6" t="str">
        <f aca="false">Orders!A1003</f>
        <v>O001002</v>
      </c>
      <c r="B1003" s="19" t="n">
        <f aca="false">Orders!B1003</f>
        <v>45685</v>
      </c>
      <c r="C1003" s="6" t="str">
        <f aca="false">Orders!C1003</f>
        <v>C0094</v>
      </c>
      <c r="D1003" s="6" t="str">
        <f aca="false">Orders!D1003</f>
        <v>P1098</v>
      </c>
      <c r="E1003" s="6" t="str">
        <f aca="false">INDEX(Products!$B$2:$B$101,MATCH(D1003,Products!$A$2:$A$101,0))</f>
        <v>Steam Iron</v>
      </c>
      <c r="F1003" s="1" t="str">
        <f aca="false">INDEX(Products!$C$2:$C$101,MATCH(D1003,Products!$A$2:$A$101,0))</f>
        <v>Appliances</v>
      </c>
      <c r="G1003" s="6" t="n">
        <f aca="false">Orders!E1003</f>
        <v>1</v>
      </c>
      <c r="H1003" s="16" t="n">
        <f aca="false">INDEX(Products!$D$2:$D$101,MATCH(D1003,Products!$A$2:$A$101,0))</f>
        <v>999</v>
      </c>
      <c r="I1003" s="16" t="n">
        <f aca="false">INDEX(Products!$E$2:$E$101,MATCH(D1003,Products!$A$2:$A$101,0))</f>
        <v>550</v>
      </c>
      <c r="J1003" s="20" t="n">
        <f aca="false">Orders!F1003</f>
        <v>0</v>
      </c>
      <c r="K1003" s="6" t="n">
        <f aca="false">G1003*H1003</f>
        <v>999</v>
      </c>
      <c r="L1003" s="6" t="n">
        <f aca="false">K1003*J1003</f>
        <v>0</v>
      </c>
      <c r="M1003" s="6" t="n">
        <f aca="false">K1003-L1003</f>
        <v>999</v>
      </c>
      <c r="N1003" s="6" t="n">
        <f aca="false">G1003*I1003</f>
        <v>550</v>
      </c>
      <c r="O1003" s="6" t="n">
        <f aca="false">M1003-N1003</f>
        <v>449</v>
      </c>
      <c r="P1003" s="21" t="n">
        <f aca="false">IFERROR(O1003/M1003,0)</f>
        <v>0.449449449449449</v>
      </c>
      <c r="Q1003" s="6" t="str">
        <f aca="false">Orders!H1003</f>
        <v>Delivered</v>
      </c>
      <c r="R1003" s="1" t="str">
        <f aca="false">INDEX(Customers!$C$2:$C$301,MATCH(C1003,Customers!$A$2:$A$301,0))</f>
        <v>Indore</v>
      </c>
      <c r="S1003" s="1" t="str">
        <f aca="false">INDEX(Customers!$E$2:$E$301,MATCH(C1003,Customers!$A$2:$A$301,0))</f>
        <v>VIP</v>
      </c>
      <c r="T1003" s="6" t="str">
        <f aca="false">Orders!I1003</f>
        <v>Mobile App</v>
      </c>
      <c r="U1003" s="1" t="str">
        <f aca="false">IF(Q1003="Delivered","Completed",IF(Q1003="Cancelled","Cancelled",IF(Q1003="Returned","Returned","In Progress")))</f>
        <v>Completed</v>
      </c>
      <c r="V1003" s="1" t="str">
        <f aca="false">IF(M1003&gt;=10000,"High Value",IF(M1003&gt;=5000,"Medium Value","Low Value"))</f>
        <v>Low Value</v>
      </c>
      <c r="W1003" s="1" t="str">
        <f aca="false">IF(O1003&gt;0,"Profitable",IF(O1003=0,"Break-even","Loss"))</f>
        <v>Profitable</v>
      </c>
      <c r="X1003" s="1" t="str">
        <f aca="false">IF(Q1003="Cancelled","Not Applicable",IF(Q1003="Processing","Pending",IF(B1003="","Unknown",IF(Orders!J1003="","Unknown",IF(Orders!J1003&lt;=3,"Fast",IF(Orders!J1003&lt;=6,"Standard","Slow"))))))</f>
        <v>Fast</v>
      </c>
      <c r="Y1003" s="1" t="n">
        <f aca="false">IF(OR(Q1003="Cancelled",Q1003="Returned"),0,O1003)</f>
        <v>449</v>
      </c>
    </row>
    <row r="1004" customFormat="false" ht="15" hidden="false" customHeight="false" outlineLevel="0" collapsed="false">
      <c r="A1004" s="6" t="str">
        <f aca="false">Orders!A1004</f>
        <v>O001003</v>
      </c>
      <c r="B1004" s="19" t="n">
        <f aca="false">Orders!B1004</f>
        <v>45955</v>
      </c>
      <c r="C1004" s="6" t="str">
        <f aca="false">Orders!C1004</f>
        <v>C0185</v>
      </c>
      <c r="D1004" s="6" t="str">
        <f aca="false">Orders!D1004</f>
        <v>P1067</v>
      </c>
      <c r="E1004" s="6" t="str">
        <f aca="false">INDEX(Products!$B$2:$B$101,MATCH(D1004,Products!$A$2:$A$101,0))</f>
        <v>Camping Torch</v>
      </c>
      <c r="F1004" s="1" t="str">
        <f aca="false">INDEX(Products!$C$2:$C$101,MATCH(D1004,Products!$A$2:$A$101,0))</f>
        <v>Sports &amp; Outdoors</v>
      </c>
      <c r="G1004" s="6" t="n">
        <f aca="false">Orders!E1004</f>
        <v>2</v>
      </c>
      <c r="H1004" s="16" t="n">
        <f aca="false">INDEX(Products!$D$2:$D$101,MATCH(D1004,Products!$A$2:$A$101,0))</f>
        <v>599</v>
      </c>
      <c r="I1004" s="16" t="n">
        <f aca="false">INDEX(Products!$E$2:$E$101,MATCH(D1004,Products!$A$2:$A$101,0))</f>
        <v>250</v>
      </c>
      <c r="J1004" s="20" t="n">
        <f aca="false">Orders!F1004</f>
        <v>0.15</v>
      </c>
      <c r="K1004" s="6" t="n">
        <f aca="false">G1004*H1004</f>
        <v>1198</v>
      </c>
      <c r="L1004" s="6" t="n">
        <f aca="false">K1004*J1004</f>
        <v>179.7</v>
      </c>
      <c r="M1004" s="6" t="n">
        <f aca="false">K1004-L1004</f>
        <v>1018.3</v>
      </c>
      <c r="N1004" s="6" t="n">
        <f aca="false">G1004*I1004</f>
        <v>500</v>
      </c>
      <c r="O1004" s="6" t="n">
        <f aca="false">M1004-N1004</f>
        <v>518.3</v>
      </c>
      <c r="P1004" s="21" t="n">
        <f aca="false">IFERROR(O1004/M1004,0)</f>
        <v>0.508985564175587</v>
      </c>
      <c r="Q1004" s="6" t="str">
        <f aca="false">Orders!H1004</f>
        <v>Processing</v>
      </c>
      <c r="R1004" s="1" t="str">
        <f aca="false">INDEX(Customers!$C$2:$C$301,MATCH(C1004,Customers!$A$2:$A$301,0))</f>
        <v>Chennai</v>
      </c>
      <c r="S1004" s="1" t="str">
        <f aca="false">INDEX(Customers!$E$2:$E$301,MATCH(C1004,Customers!$A$2:$A$301,0))</f>
        <v>New</v>
      </c>
      <c r="T1004" s="6" t="str">
        <f aca="false">Orders!I1004</f>
        <v>Mobile App</v>
      </c>
      <c r="U1004" s="1" t="str">
        <f aca="false">IF(Q1004="Delivered","Completed",IF(Q1004="Cancelled","Cancelled",IF(Q1004="Returned","Returned","In Progress")))</f>
        <v>In Progress</v>
      </c>
      <c r="V1004" s="1" t="str">
        <f aca="false">IF(M1004&gt;=10000,"High Value",IF(M1004&gt;=5000,"Medium Value","Low Value"))</f>
        <v>Low Value</v>
      </c>
      <c r="W1004" s="1" t="str">
        <f aca="false">IF(O1004&gt;0,"Profitable",IF(O1004=0,"Break-even","Loss"))</f>
        <v>Profitable</v>
      </c>
      <c r="X1004" s="1" t="str">
        <f aca="false">IF(Q1004="Cancelled","Not Applicable",IF(Q1004="Processing","Pending",IF(B1004="","Unknown",IF(Orders!J1004="","Unknown",IF(Orders!J1004&lt;=3,"Fast",IF(Orders!J1004&lt;=6,"Standard","Slow"))))))</f>
        <v>Pending</v>
      </c>
      <c r="Y1004" s="1" t="n">
        <f aca="false">IF(OR(Q1004="Cancelled",Q1004="Returned"),0,O1004)</f>
        <v>518.3</v>
      </c>
    </row>
    <row r="1005" customFormat="false" ht="15" hidden="false" customHeight="false" outlineLevel="0" collapsed="false">
      <c r="A1005" s="6" t="str">
        <f aca="false">Orders!A1005</f>
        <v>O001004</v>
      </c>
      <c r="B1005" s="19" t="n">
        <f aca="false">Orders!B1005</f>
        <v>45803</v>
      </c>
      <c r="C1005" s="6" t="str">
        <f aca="false">Orders!C1005</f>
        <v>C0117</v>
      </c>
      <c r="D1005" s="6" t="str">
        <f aca="false">Orders!D1005</f>
        <v>P1026</v>
      </c>
      <c r="E1005" s="6" t="str">
        <f aca="false">INDEX(Products!$B$2:$B$101,MATCH(D1005,Products!$A$2:$A$101,0))</f>
        <v>Sunglasses</v>
      </c>
      <c r="F1005" s="1" t="str">
        <f aca="false">INDEX(Products!$C$2:$C$101,MATCH(D1005,Products!$A$2:$A$101,0))</f>
        <v>Fashion</v>
      </c>
      <c r="G1005" s="6" t="n">
        <f aca="false">Orders!E1005</f>
        <v>1</v>
      </c>
      <c r="H1005" s="16" t="n">
        <f aca="false">INDEX(Products!$D$2:$D$101,MATCH(D1005,Products!$A$2:$A$101,0))</f>
        <v>799</v>
      </c>
      <c r="I1005" s="16" t="n">
        <f aca="false">INDEX(Products!$E$2:$E$101,MATCH(D1005,Products!$A$2:$A$101,0))</f>
        <v>300</v>
      </c>
      <c r="J1005" s="20" t="n">
        <f aca="false">Orders!F1005</f>
        <v>0.05</v>
      </c>
      <c r="K1005" s="6" t="n">
        <f aca="false">G1005*H1005</f>
        <v>799</v>
      </c>
      <c r="L1005" s="6" t="n">
        <f aca="false">K1005*J1005</f>
        <v>39.95</v>
      </c>
      <c r="M1005" s="6" t="n">
        <f aca="false">K1005-L1005</f>
        <v>759.05</v>
      </c>
      <c r="N1005" s="6" t="n">
        <f aca="false">G1005*I1005</f>
        <v>300</v>
      </c>
      <c r="O1005" s="6" t="n">
        <f aca="false">M1005-N1005</f>
        <v>459.05</v>
      </c>
      <c r="P1005" s="21" t="n">
        <f aca="false">IFERROR(O1005/M1005,0)</f>
        <v>0.604769119293854</v>
      </c>
      <c r="Q1005" s="6" t="str">
        <f aca="false">Orders!H1005</f>
        <v>Delivered</v>
      </c>
      <c r="R1005" s="1" t="str">
        <f aca="false">INDEX(Customers!$C$2:$C$301,MATCH(C1005,Customers!$A$2:$A$301,0))</f>
        <v>Surat</v>
      </c>
      <c r="S1005" s="1" t="str">
        <f aca="false">INDEX(Customers!$E$2:$E$301,MATCH(C1005,Customers!$A$2:$A$301,0))</f>
        <v>Returning</v>
      </c>
      <c r="T1005" s="6" t="str">
        <f aca="false">Orders!I1005</f>
        <v>Mobile App</v>
      </c>
      <c r="U1005" s="1" t="str">
        <f aca="false">IF(Q1005="Delivered","Completed",IF(Q1005="Cancelled","Cancelled",IF(Q1005="Returned","Returned","In Progress")))</f>
        <v>Completed</v>
      </c>
      <c r="V1005" s="1" t="str">
        <f aca="false">IF(M1005&gt;=10000,"High Value",IF(M1005&gt;=5000,"Medium Value","Low Value"))</f>
        <v>Low Value</v>
      </c>
      <c r="W1005" s="1" t="str">
        <f aca="false">IF(O1005&gt;0,"Profitable",IF(O1005=0,"Break-even","Loss"))</f>
        <v>Profitable</v>
      </c>
      <c r="X1005" s="1" t="str">
        <f aca="false">IF(Q1005="Cancelled","Not Applicable",IF(Q1005="Processing","Pending",IF(B1005="","Unknown",IF(Orders!J1005="","Unknown",IF(Orders!J1005&lt;=3,"Fast",IF(Orders!J1005&lt;=6,"Standard","Slow"))))))</f>
        <v>Slow</v>
      </c>
      <c r="Y1005" s="1" t="n">
        <f aca="false">IF(OR(Q1005="Cancelled",Q1005="Returned"),0,O1005)</f>
        <v>459.05</v>
      </c>
    </row>
    <row r="1006" customFormat="false" ht="15" hidden="false" customHeight="false" outlineLevel="0" collapsed="false">
      <c r="A1006" s="6" t="str">
        <f aca="false">Orders!A1006</f>
        <v>O001005</v>
      </c>
      <c r="B1006" s="19" t="n">
        <f aca="false">Orders!B1006</f>
        <v>45761</v>
      </c>
      <c r="C1006" s="6" t="str">
        <f aca="false">Orders!C1006</f>
        <v>C0232</v>
      </c>
      <c r="D1006" s="6" t="str">
        <f aca="false">Orders!D1006</f>
        <v>P1018</v>
      </c>
      <c r="E1006" s="6" t="str">
        <f aca="false">INDEX(Products!$B$2:$B$101,MATCH(D1006,Products!$A$2:$A$101,0))</f>
        <v>Cotton Shirt</v>
      </c>
      <c r="F1006" s="1" t="str">
        <f aca="false">INDEX(Products!$C$2:$C$101,MATCH(D1006,Products!$A$2:$A$101,0))</f>
        <v>Fashion</v>
      </c>
      <c r="G1006" s="6" t="n">
        <f aca="false">Orders!E1006</f>
        <v>2</v>
      </c>
      <c r="H1006" s="16" t="n">
        <f aca="false">INDEX(Products!$D$2:$D$101,MATCH(D1006,Products!$A$2:$A$101,0))</f>
        <v>899</v>
      </c>
      <c r="I1006" s="16" t="n">
        <f aca="false">INDEX(Products!$E$2:$E$101,MATCH(D1006,Products!$A$2:$A$101,0))</f>
        <v>420</v>
      </c>
      <c r="J1006" s="20" t="n">
        <f aca="false">Orders!F1006</f>
        <v>0</v>
      </c>
      <c r="K1006" s="6" t="n">
        <f aca="false">G1006*H1006</f>
        <v>1798</v>
      </c>
      <c r="L1006" s="6" t="n">
        <f aca="false">K1006*J1006</f>
        <v>0</v>
      </c>
      <c r="M1006" s="6" t="n">
        <f aca="false">K1006-L1006</f>
        <v>1798</v>
      </c>
      <c r="N1006" s="6" t="n">
        <f aca="false">G1006*I1006</f>
        <v>840</v>
      </c>
      <c r="O1006" s="6" t="n">
        <f aca="false">M1006-N1006</f>
        <v>958</v>
      </c>
      <c r="P1006" s="21" t="n">
        <f aca="false">IFERROR(O1006/M1006,0)</f>
        <v>0.532814238042269</v>
      </c>
      <c r="Q1006" s="6" t="str">
        <f aca="false">Orders!H1006</f>
        <v>Delivered</v>
      </c>
      <c r="R1006" s="1" t="str">
        <f aca="false">INDEX(Customers!$C$2:$C$301,MATCH(C1006,Customers!$A$2:$A$301,0))</f>
        <v>Noida</v>
      </c>
      <c r="S1006" s="1" t="str">
        <f aca="false">INDEX(Customers!$E$2:$E$301,MATCH(C1006,Customers!$A$2:$A$301,0))</f>
        <v>Returning</v>
      </c>
      <c r="T1006" s="6" t="str">
        <f aca="false">Orders!I1006</f>
        <v>Website</v>
      </c>
      <c r="U1006" s="1" t="str">
        <f aca="false">IF(Q1006="Delivered","Completed",IF(Q1006="Cancelled","Cancelled",IF(Q1006="Returned","Returned","In Progress")))</f>
        <v>Completed</v>
      </c>
      <c r="V1006" s="1" t="str">
        <f aca="false">IF(M1006&gt;=10000,"High Value",IF(M1006&gt;=5000,"Medium Value","Low Value"))</f>
        <v>Low Value</v>
      </c>
      <c r="W1006" s="1" t="str">
        <f aca="false">IF(O1006&gt;0,"Profitable",IF(O1006=0,"Break-even","Loss"))</f>
        <v>Profitable</v>
      </c>
      <c r="X1006" s="1" t="str">
        <f aca="false">IF(Q1006="Cancelled","Not Applicable",IF(Q1006="Processing","Pending",IF(B1006="","Unknown",IF(Orders!J1006="","Unknown",IF(Orders!J1006&lt;=3,"Fast",IF(Orders!J1006&lt;=6,"Standard","Slow"))))))</f>
        <v>Fast</v>
      </c>
      <c r="Y1006" s="1" t="n">
        <f aca="false">IF(OR(Q1006="Cancelled",Q1006="Returned"),0,O1006)</f>
        <v>958</v>
      </c>
    </row>
    <row r="1007" customFormat="false" ht="15" hidden="false" customHeight="false" outlineLevel="0" collapsed="false">
      <c r="A1007" s="6" t="str">
        <f aca="false">Orders!A1007</f>
        <v>O001006</v>
      </c>
      <c r="B1007" s="19" t="n">
        <f aca="false">Orders!B1007</f>
        <v>45808</v>
      </c>
      <c r="C1007" s="6" t="str">
        <f aca="false">Orders!C1007</f>
        <v>C0228</v>
      </c>
      <c r="D1007" s="6" t="str">
        <f aca="false">Orders!D1007</f>
        <v>P1009</v>
      </c>
      <c r="E1007" s="6" t="str">
        <f aca="false">INDEX(Products!$B$2:$B$101,MATCH(D1007,Products!$A$2:$A$101,0))</f>
        <v>Laptop Sleeve</v>
      </c>
      <c r="F1007" s="1" t="str">
        <f aca="false">INDEX(Products!$C$2:$C$101,MATCH(D1007,Products!$A$2:$A$101,0))</f>
        <v>Electronics</v>
      </c>
      <c r="G1007" s="6" t="n">
        <f aca="false">Orders!E1007</f>
        <v>1</v>
      </c>
      <c r="H1007" s="16" t="n">
        <f aca="false">INDEX(Products!$D$2:$D$101,MATCH(D1007,Products!$A$2:$A$101,0))</f>
        <v>799</v>
      </c>
      <c r="I1007" s="16" t="n">
        <f aca="false">INDEX(Products!$E$2:$E$101,MATCH(D1007,Products!$A$2:$A$101,0))</f>
        <v>350</v>
      </c>
      <c r="J1007" s="20" t="n">
        <f aca="false">Orders!F1007</f>
        <v>0.15</v>
      </c>
      <c r="K1007" s="6" t="n">
        <f aca="false">G1007*H1007</f>
        <v>799</v>
      </c>
      <c r="L1007" s="6" t="n">
        <f aca="false">K1007*J1007</f>
        <v>119.85</v>
      </c>
      <c r="M1007" s="6" t="n">
        <f aca="false">K1007-L1007</f>
        <v>679.15</v>
      </c>
      <c r="N1007" s="6" t="n">
        <f aca="false">G1007*I1007</f>
        <v>350</v>
      </c>
      <c r="O1007" s="6" t="n">
        <f aca="false">M1007-N1007</f>
        <v>329.15</v>
      </c>
      <c r="P1007" s="21" t="n">
        <f aca="false">IFERROR(O1007/M1007,0)</f>
        <v>0.484649930059633</v>
      </c>
      <c r="Q1007" s="6" t="str">
        <f aca="false">Orders!H1007</f>
        <v>Processing</v>
      </c>
      <c r="R1007" s="1" t="str">
        <f aca="false">INDEX(Customers!$C$2:$C$301,MATCH(C1007,Customers!$A$2:$A$301,0))</f>
        <v>Jaipur</v>
      </c>
      <c r="S1007" s="1" t="str">
        <f aca="false">INDEX(Customers!$E$2:$E$301,MATCH(C1007,Customers!$A$2:$A$301,0))</f>
        <v>Returning</v>
      </c>
      <c r="T1007" s="6" t="str">
        <f aca="false">Orders!I1007</f>
        <v>Website</v>
      </c>
      <c r="U1007" s="1" t="str">
        <f aca="false">IF(Q1007="Delivered","Completed",IF(Q1007="Cancelled","Cancelled",IF(Q1007="Returned","Returned","In Progress")))</f>
        <v>In Progress</v>
      </c>
      <c r="V1007" s="1" t="str">
        <f aca="false">IF(M1007&gt;=10000,"High Value",IF(M1007&gt;=5000,"Medium Value","Low Value"))</f>
        <v>Low Value</v>
      </c>
      <c r="W1007" s="1" t="str">
        <f aca="false">IF(O1007&gt;0,"Profitable",IF(O1007=0,"Break-even","Loss"))</f>
        <v>Profitable</v>
      </c>
      <c r="X1007" s="1" t="str">
        <f aca="false">IF(Q1007="Cancelled","Not Applicable",IF(Q1007="Processing","Pending",IF(B1007="","Unknown",IF(Orders!J1007="","Unknown",IF(Orders!J1007&lt;=3,"Fast",IF(Orders!J1007&lt;=6,"Standard","Slow"))))))</f>
        <v>Pending</v>
      </c>
      <c r="Y1007" s="1" t="n">
        <f aca="false">IF(OR(Q1007="Cancelled",Q1007="Returned"),0,O1007)</f>
        <v>329.15</v>
      </c>
    </row>
    <row r="1008" customFormat="false" ht="15" hidden="false" customHeight="false" outlineLevel="0" collapsed="false">
      <c r="A1008" s="6" t="str">
        <f aca="false">Orders!A1008</f>
        <v>O001007</v>
      </c>
      <c r="B1008" s="19" t="n">
        <f aca="false">Orders!B1008</f>
        <v>45828</v>
      </c>
      <c r="C1008" s="6" t="str">
        <f aca="false">Orders!C1008</f>
        <v>C0222</v>
      </c>
      <c r="D1008" s="6" t="str">
        <f aca="false">Orders!D1008</f>
        <v>P1042</v>
      </c>
      <c r="E1008" s="6" t="str">
        <f aca="false">INDEX(Products!$B$2:$B$101,MATCH(D1008,Products!$A$2:$A$101,0))</f>
        <v>Bath Towel Set</v>
      </c>
      <c r="F1008" s="1" t="str">
        <f aca="false">INDEX(Products!$C$2:$C$101,MATCH(D1008,Products!$A$2:$A$101,0))</f>
        <v>Home &amp; Kitchen</v>
      </c>
      <c r="G1008" s="6" t="n">
        <f aca="false">Orders!E1008</f>
        <v>2</v>
      </c>
      <c r="H1008" s="16" t="n">
        <f aca="false">INDEX(Products!$D$2:$D$101,MATCH(D1008,Products!$A$2:$A$101,0))</f>
        <v>799</v>
      </c>
      <c r="I1008" s="16" t="n">
        <f aca="false">INDEX(Products!$E$2:$E$101,MATCH(D1008,Products!$A$2:$A$101,0))</f>
        <v>360</v>
      </c>
      <c r="J1008" s="20" t="n">
        <f aca="false">Orders!F1008</f>
        <v>0.15</v>
      </c>
      <c r="K1008" s="6" t="n">
        <f aca="false">G1008*H1008</f>
        <v>1598</v>
      </c>
      <c r="L1008" s="6" t="n">
        <f aca="false">K1008*J1008</f>
        <v>239.7</v>
      </c>
      <c r="M1008" s="6" t="n">
        <f aca="false">K1008-L1008</f>
        <v>1358.3</v>
      </c>
      <c r="N1008" s="6" t="n">
        <f aca="false">G1008*I1008</f>
        <v>720</v>
      </c>
      <c r="O1008" s="6" t="n">
        <f aca="false">M1008-N1008</f>
        <v>638.3</v>
      </c>
      <c r="P1008" s="21" t="n">
        <f aca="false">IFERROR(O1008/M1008,0)</f>
        <v>0.469925642347051</v>
      </c>
      <c r="Q1008" s="6" t="str">
        <f aca="false">Orders!H1008</f>
        <v>Delivered</v>
      </c>
      <c r="R1008" s="1" t="str">
        <f aca="false">INDEX(Customers!$C$2:$C$301,MATCH(C1008,Customers!$A$2:$A$301,0))</f>
        <v>Mumbai</v>
      </c>
      <c r="S1008" s="1" t="str">
        <f aca="false">INDEX(Customers!$E$2:$E$301,MATCH(C1008,Customers!$A$2:$A$301,0))</f>
        <v>Returning</v>
      </c>
      <c r="T1008" s="6" t="str">
        <f aca="false">Orders!I1008</f>
        <v>Website</v>
      </c>
      <c r="U1008" s="1" t="str">
        <f aca="false">IF(Q1008="Delivered","Completed",IF(Q1008="Cancelled","Cancelled",IF(Q1008="Returned","Returned","In Progress")))</f>
        <v>Completed</v>
      </c>
      <c r="V1008" s="1" t="str">
        <f aca="false">IF(M1008&gt;=10000,"High Value",IF(M1008&gt;=5000,"Medium Value","Low Value"))</f>
        <v>Low Value</v>
      </c>
      <c r="W1008" s="1" t="str">
        <f aca="false">IF(O1008&gt;0,"Profitable",IF(O1008=0,"Break-even","Loss"))</f>
        <v>Profitable</v>
      </c>
      <c r="X1008" s="1" t="str">
        <f aca="false">IF(Q1008="Cancelled","Not Applicable",IF(Q1008="Processing","Pending",IF(B1008="","Unknown",IF(Orders!J1008="","Unknown",IF(Orders!J1008&lt;=3,"Fast",IF(Orders!J1008&lt;=6,"Standard","Slow"))))))</f>
        <v>Slow</v>
      </c>
      <c r="Y1008" s="1" t="n">
        <f aca="false">IF(OR(Q1008="Cancelled",Q1008="Returned"),0,O1008)</f>
        <v>638.3</v>
      </c>
    </row>
    <row r="1009" customFormat="false" ht="15" hidden="false" customHeight="false" outlineLevel="0" collapsed="false">
      <c r="A1009" s="6" t="str">
        <f aca="false">Orders!A1009</f>
        <v>O001008</v>
      </c>
      <c r="B1009" s="19" t="n">
        <f aca="false">Orders!B1009</f>
        <v>45714</v>
      </c>
      <c r="C1009" s="6" t="str">
        <f aca="false">Orders!C1009</f>
        <v>C0001</v>
      </c>
      <c r="D1009" s="6" t="str">
        <f aca="false">Orders!D1009</f>
        <v>P1050</v>
      </c>
      <c r="E1009" s="6" t="str">
        <f aca="false">INDEX(Products!$B$2:$B$101,MATCH(D1009,Products!$A$2:$A$101,0))</f>
        <v>Hair Serum</v>
      </c>
      <c r="F1009" s="1" t="str">
        <f aca="false">INDEX(Products!$C$2:$C$101,MATCH(D1009,Products!$A$2:$A$101,0))</f>
        <v>Beauty</v>
      </c>
      <c r="G1009" s="6" t="n">
        <f aca="false">Orders!E1009</f>
        <v>1</v>
      </c>
      <c r="H1009" s="16" t="n">
        <f aca="false">INDEX(Products!$D$2:$D$101,MATCH(D1009,Products!$A$2:$A$101,0))</f>
        <v>449</v>
      </c>
      <c r="I1009" s="16" t="n">
        <f aca="false">INDEX(Products!$E$2:$E$101,MATCH(D1009,Products!$A$2:$A$101,0))</f>
        <v>190</v>
      </c>
      <c r="J1009" s="20" t="n">
        <f aca="false">Orders!F1009</f>
        <v>0.2</v>
      </c>
      <c r="K1009" s="6" t="n">
        <f aca="false">G1009*H1009</f>
        <v>449</v>
      </c>
      <c r="L1009" s="6" t="n">
        <f aca="false">K1009*J1009</f>
        <v>89.8</v>
      </c>
      <c r="M1009" s="6" t="n">
        <f aca="false">K1009-L1009</f>
        <v>359.2</v>
      </c>
      <c r="N1009" s="6" t="n">
        <f aca="false">G1009*I1009</f>
        <v>190</v>
      </c>
      <c r="O1009" s="6" t="n">
        <f aca="false">M1009-N1009</f>
        <v>169.2</v>
      </c>
      <c r="P1009" s="21" t="n">
        <f aca="false">IFERROR(O1009/M1009,0)</f>
        <v>0.471046770601336</v>
      </c>
      <c r="Q1009" s="6" t="str">
        <f aca="false">Orders!H1009</f>
        <v>Delivered</v>
      </c>
      <c r="R1009" s="1" t="str">
        <f aca="false">INDEX(Customers!$C$2:$C$301,MATCH(C1009,Customers!$A$2:$A$301,0))</f>
        <v>Delhi</v>
      </c>
      <c r="S1009" s="1" t="str">
        <f aca="false">INDEX(Customers!$E$2:$E$301,MATCH(C1009,Customers!$A$2:$A$301,0))</f>
        <v>Returning</v>
      </c>
      <c r="T1009" s="6" t="str">
        <f aca="false">Orders!I1009</f>
        <v>Mobile App</v>
      </c>
      <c r="U1009" s="1" t="str">
        <f aca="false">IF(Q1009="Delivered","Completed",IF(Q1009="Cancelled","Cancelled",IF(Q1009="Returned","Returned","In Progress")))</f>
        <v>Completed</v>
      </c>
      <c r="V1009" s="1" t="str">
        <f aca="false">IF(M1009&gt;=10000,"High Value",IF(M1009&gt;=5000,"Medium Value","Low Value"))</f>
        <v>Low Value</v>
      </c>
      <c r="W1009" s="1" t="str">
        <f aca="false">IF(O1009&gt;0,"Profitable",IF(O1009=0,"Break-even","Loss"))</f>
        <v>Profitable</v>
      </c>
      <c r="X1009" s="1" t="str">
        <f aca="false">IF(Q1009="Cancelled","Not Applicable",IF(Q1009="Processing","Pending",IF(B1009="","Unknown",IF(Orders!J1009="","Unknown",IF(Orders!J1009&lt;=3,"Fast",IF(Orders!J1009&lt;=6,"Standard","Slow"))))))</f>
        <v>Slow</v>
      </c>
      <c r="Y1009" s="1" t="n">
        <f aca="false">IF(OR(Q1009="Cancelled",Q1009="Returned"),0,O1009)</f>
        <v>169.2</v>
      </c>
    </row>
    <row r="1010" customFormat="false" ht="15" hidden="false" customHeight="false" outlineLevel="0" collapsed="false">
      <c r="A1010" s="6" t="str">
        <f aca="false">Orders!A1010</f>
        <v>O001009</v>
      </c>
      <c r="B1010" s="19" t="n">
        <f aca="false">Orders!B1010</f>
        <v>45884</v>
      </c>
      <c r="C1010" s="6" t="str">
        <f aca="false">Orders!C1010</f>
        <v>C0270</v>
      </c>
      <c r="D1010" s="6" t="str">
        <f aca="false">Orders!D1010</f>
        <v>P1084</v>
      </c>
      <c r="E1010" s="6" t="str">
        <f aca="false">INDEX(Products!$B$2:$B$101,MATCH(D1010,Products!$A$2:$A$101,0))</f>
        <v>Whiteboard</v>
      </c>
      <c r="F1010" s="1" t="str">
        <f aca="false">INDEX(Products!$C$2:$C$101,MATCH(D1010,Products!$A$2:$A$101,0))</f>
        <v>Books &amp; Stationery</v>
      </c>
      <c r="G1010" s="6" t="n">
        <f aca="false">Orders!E1010</f>
        <v>3</v>
      </c>
      <c r="H1010" s="16" t="n">
        <f aca="false">INDEX(Products!$D$2:$D$101,MATCH(D1010,Products!$A$2:$A$101,0))</f>
        <v>799</v>
      </c>
      <c r="I1010" s="16" t="n">
        <f aca="false">INDEX(Products!$E$2:$E$101,MATCH(D1010,Products!$A$2:$A$101,0))</f>
        <v>420</v>
      </c>
      <c r="J1010" s="20" t="n">
        <f aca="false">Orders!F1010</f>
        <v>0.1</v>
      </c>
      <c r="K1010" s="6" t="n">
        <f aca="false">G1010*H1010</f>
        <v>2397</v>
      </c>
      <c r="L1010" s="6" t="n">
        <f aca="false">K1010*J1010</f>
        <v>239.7</v>
      </c>
      <c r="M1010" s="6" t="n">
        <f aca="false">K1010-L1010</f>
        <v>2157.3</v>
      </c>
      <c r="N1010" s="6" t="n">
        <f aca="false">G1010*I1010</f>
        <v>1260</v>
      </c>
      <c r="O1010" s="6" t="n">
        <f aca="false">M1010-N1010</f>
        <v>897.3</v>
      </c>
      <c r="P1010" s="21" t="n">
        <f aca="false">IFERROR(O1010/M1010,0)</f>
        <v>0.415936587400918</v>
      </c>
      <c r="Q1010" s="6" t="str">
        <f aca="false">Orders!H1010</f>
        <v>Cancelled</v>
      </c>
      <c r="R1010" s="1" t="str">
        <f aca="false">INDEX(Customers!$C$2:$C$301,MATCH(C1010,Customers!$A$2:$A$301,0))</f>
        <v>Lucknow</v>
      </c>
      <c r="S1010" s="1" t="str">
        <f aca="false">INDEX(Customers!$E$2:$E$301,MATCH(C1010,Customers!$A$2:$A$301,0))</f>
        <v>Returning</v>
      </c>
      <c r="T1010" s="6" t="str">
        <f aca="false">Orders!I1010</f>
        <v>Website</v>
      </c>
      <c r="U1010" s="1" t="str">
        <f aca="false">IF(Q1010="Delivered","Completed",IF(Q1010="Cancelled","Cancelled",IF(Q1010="Returned","Returned","In Progress")))</f>
        <v>Cancelled</v>
      </c>
      <c r="V1010" s="1" t="str">
        <f aca="false">IF(M1010&gt;=10000,"High Value",IF(M1010&gt;=5000,"Medium Value","Low Value"))</f>
        <v>Low Value</v>
      </c>
      <c r="W1010" s="1" t="str">
        <f aca="false">IF(O1010&gt;0,"Profitable",IF(O1010=0,"Break-even","Loss"))</f>
        <v>Profitable</v>
      </c>
      <c r="X1010" s="1" t="str">
        <f aca="false">IF(Q1010="Cancelled","Not Applicable",IF(Q1010="Processing","Pending",IF(B1010="","Unknown",IF(Orders!J1010="","Unknown",IF(Orders!J1010&lt;=3,"Fast",IF(Orders!J1010&lt;=6,"Standard","Slow"))))))</f>
        <v>Not Applicable</v>
      </c>
      <c r="Y1010" s="1" t="n">
        <f aca="false">IF(OR(Q1010="Cancelled",Q1010="Returned"),0,O1010)</f>
        <v>0</v>
      </c>
    </row>
    <row r="1011" customFormat="false" ht="15" hidden="false" customHeight="false" outlineLevel="0" collapsed="false">
      <c r="A1011" s="6" t="str">
        <f aca="false">Orders!A1011</f>
        <v>O001010</v>
      </c>
      <c r="B1011" s="19" t="n">
        <f aca="false">Orders!B1011</f>
        <v>45865</v>
      </c>
      <c r="C1011" s="6" t="str">
        <f aca="false">Orders!C1011</f>
        <v>C0155</v>
      </c>
      <c r="D1011" s="6" t="str">
        <f aca="false">Orders!D1011</f>
        <v>P1100</v>
      </c>
      <c r="E1011" s="6" t="str">
        <f aca="false">INDEX(Products!$B$2:$B$101,MATCH(D1011,Products!$A$2:$A$101,0))</f>
        <v>Coffee Maker</v>
      </c>
      <c r="F1011" s="1" t="str">
        <f aca="false">INDEX(Products!$C$2:$C$101,MATCH(D1011,Products!$A$2:$A$101,0))</f>
        <v>Appliances</v>
      </c>
      <c r="G1011" s="6" t="n">
        <f aca="false">Orders!E1011</f>
        <v>1</v>
      </c>
      <c r="H1011" s="16" t="n">
        <f aca="false">INDEX(Products!$D$2:$D$101,MATCH(D1011,Products!$A$2:$A$101,0))</f>
        <v>2499</v>
      </c>
      <c r="I1011" s="16" t="n">
        <f aca="false">INDEX(Products!$E$2:$E$101,MATCH(D1011,Products!$A$2:$A$101,0))</f>
        <v>1600</v>
      </c>
      <c r="J1011" s="20" t="n">
        <f aca="false">Orders!F1011</f>
        <v>0.15</v>
      </c>
      <c r="K1011" s="6" t="n">
        <f aca="false">G1011*H1011</f>
        <v>2499</v>
      </c>
      <c r="L1011" s="6" t="n">
        <f aca="false">K1011*J1011</f>
        <v>374.85</v>
      </c>
      <c r="M1011" s="6" t="n">
        <f aca="false">K1011-L1011</f>
        <v>2124.15</v>
      </c>
      <c r="N1011" s="6" t="n">
        <f aca="false">G1011*I1011</f>
        <v>1600</v>
      </c>
      <c r="O1011" s="6" t="n">
        <f aca="false">M1011-N1011</f>
        <v>524.15</v>
      </c>
      <c r="P1011" s="21" t="n">
        <f aca="false">IFERROR(O1011/M1011,0)</f>
        <v>0.246757526540028</v>
      </c>
      <c r="Q1011" s="6" t="str">
        <f aca="false">Orders!H1011</f>
        <v>Delivered</v>
      </c>
      <c r="R1011" s="1" t="str">
        <f aca="false">INDEX(Customers!$C$2:$C$301,MATCH(C1011,Customers!$A$2:$A$301,0))</f>
        <v>Bhopal</v>
      </c>
      <c r="S1011" s="1" t="str">
        <f aca="false">INDEX(Customers!$E$2:$E$301,MATCH(C1011,Customers!$A$2:$A$301,0))</f>
        <v>Returning</v>
      </c>
      <c r="T1011" s="6" t="str">
        <f aca="false">Orders!I1011</f>
        <v>Mobile App</v>
      </c>
      <c r="U1011" s="1" t="str">
        <f aca="false">IF(Q1011="Delivered","Completed",IF(Q1011="Cancelled","Cancelled",IF(Q1011="Returned","Returned","In Progress")))</f>
        <v>Completed</v>
      </c>
      <c r="V1011" s="1" t="str">
        <f aca="false">IF(M1011&gt;=10000,"High Value",IF(M1011&gt;=5000,"Medium Value","Low Value"))</f>
        <v>Low Value</v>
      </c>
      <c r="W1011" s="1" t="str">
        <f aca="false">IF(O1011&gt;0,"Profitable",IF(O1011=0,"Break-even","Loss"))</f>
        <v>Profitable</v>
      </c>
      <c r="X1011" s="1" t="str">
        <f aca="false">IF(Q1011="Cancelled","Not Applicable",IF(Q1011="Processing","Pending",IF(B1011="","Unknown",IF(Orders!J1011="","Unknown",IF(Orders!J1011&lt;=3,"Fast",IF(Orders!J1011&lt;=6,"Standard","Slow"))))))</f>
        <v>Standard</v>
      </c>
      <c r="Y1011" s="1" t="n">
        <f aca="false">IF(OR(Q1011="Cancelled",Q1011="Returned"),0,O1011)</f>
        <v>524.15</v>
      </c>
    </row>
    <row r="1012" customFormat="false" ht="15" hidden="false" customHeight="false" outlineLevel="0" collapsed="false">
      <c r="A1012" s="6" t="str">
        <f aca="false">Orders!A1012</f>
        <v>O001011</v>
      </c>
      <c r="B1012" s="19" t="n">
        <f aca="false">Orders!B1012</f>
        <v>45659</v>
      </c>
      <c r="C1012" s="6" t="str">
        <f aca="false">Orders!C1012</f>
        <v>C0257</v>
      </c>
      <c r="D1012" s="6" t="str">
        <f aca="false">Orders!D1012</f>
        <v>P1088</v>
      </c>
      <c r="E1012" s="6" t="str">
        <f aca="false">INDEX(Products!$B$2:$B$101,MATCH(D1012,Products!$A$2:$A$101,0))</f>
        <v>Electric Kettle</v>
      </c>
      <c r="F1012" s="1" t="str">
        <f aca="false">INDEX(Products!$C$2:$C$101,MATCH(D1012,Products!$A$2:$A$101,0))</f>
        <v>Appliances</v>
      </c>
      <c r="G1012" s="6" t="n">
        <f aca="false">Orders!E1012</f>
        <v>1</v>
      </c>
      <c r="H1012" s="16" t="n">
        <f aca="false">INDEX(Products!$D$2:$D$101,MATCH(D1012,Products!$A$2:$A$101,0))</f>
        <v>1299</v>
      </c>
      <c r="I1012" s="16" t="n">
        <f aca="false">INDEX(Products!$E$2:$E$101,MATCH(D1012,Products!$A$2:$A$101,0))</f>
        <v>750</v>
      </c>
      <c r="J1012" s="20" t="n">
        <f aca="false">Orders!F1012</f>
        <v>0.1</v>
      </c>
      <c r="K1012" s="6" t="n">
        <f aca="false">G1012*H1012</f>
        <v>1299</v>
      </c>
      <c r="L1012" s="6" t="n">
        <f aca="false">K1012*J1012</f>
        <v>129.9</v>
      </c>
      <c r="M1012" s="6" t="n">
        <f aca="false">K1012-L1012</f>
        <v>1169.1</v>
      </c>
      <c r="N1012" s="6" t="n">
        <f aca="false">G1012*I1012</f>
        <v>750</v>
      </c>
      <c r="O1012" s="6" t="n">
        <f aca="false">M1012-N1012</f>
        <v>419.1</v>
      </c>
      <c r="P1012" s="21" t="n">
        <f aca="false">IFERROR(O1012/M1012,0)</f>
        <v>0.358480882730305</v>
      </c>
      <c r="Q1012" s="6" t="str">
        <f aca="false">Orders!H1012</f>
        <v>Delivered</v>
      </c>
      <c r="R1012" s="1" t="str">
        <f aca="false">INDEX(Customers!$C$2:$C$301,MATCH(C1012,Customers!$A$2:$A$301,0))</f>
        <v>Surat</v>
      </c>
      <c r="S1012" s="1" t="str">
        <f aca="false">INDEX(Customers!$E$2:$E$301,MATCH(C1012,Customers!$A$2:$A$301,0))</f>
        <v>New</v>
      </c>
      <c r="T1012" s="6" t="str">
        <f aca="false">Orders!I1012</f>
        <v>Marketplace</v>
      </c>
      <c r="U1012" s="1" t="str">
        <f aca="false">IF(Q1012="Delivered","Completed",IF(Q1012="Cancelled","Cancelled",IF(Q1012="Returned","Returned","In Progress")))</f>
        <v>Completed</v>
      </c>
      <c r="V1012" s="1" t="str">
        <f aca="false">IF(M1012&gt;=10000,"High Value",IF(M1012&gt;=5000,"Medium Value","Low Value"))</f>
        <v>Low Value</v>
      </c>
      <c r="W1012" s="1" t="str">
        <f aca="false">IF(O1012&gt;0,"Profitable",IF(O1012=0,"Break-even","Loss"))</f>
        <v>Profitable</v>
      </c>
      <c r="X1012" s="1" t="str">
        <f aca="false">IF(Q1012="Cancelled","Not Applicable",IF(Q1012="Processing","Pending",IF(B1012="","Unknown",IF(Orders!J1012="","Unknown",IF(Orders!J1012&lt;=3,"Fast",IF(Orders!J1012&lt;=6,"Standard","Slow"))))))</f>
        <v>Standard</v>
      </c>
      <c r="Y1012" s="1" t="n">
        <f aca="false">IF(OR(Q1012="Cancelled",Q1012="Returned"),0,O1012)</f>
        <v>419.1</v>
      </c>
    </row>
    <row r="1013" customFormat="false" ht="23.85" hidden="false" customHeight="false" outlineLevel="0" collapsed="false">
      <c r="A1013" s="6" t="str">
        <f aca="false">Orders!A1013</f>
        <v>O001012</v>
      </c>
      <c r="B1013" s="19" t="n">
        <f aca="false">Orders!B1013</f>
        <v>45768</v>
      </c>
      <c r="C1013" s="6" t="str">
        <f aca="false">Orders!C1013</f>
        <v>C0084</v>
      </c>
      <c r="D1013" s="6" t="str">
        <f aca="false">Orders!D1013</f>
        <v>P1072</v>
      </c>
      <c r="E1013" s="6" t="str">
        <f aca="false">INDEX(Products!$B$2:$B$101,MATCH(D1013,Products!$A$2:$A$101,0))</f>
        <v>Tennis Balls Pack</v>
      </c>
      <c r="F1013" s="1" t="str">
        <f aca="false">INDEX(Products!$C$2:$C$101,MATCH(D1013,Products!$A$2:$A$101,0))</f>
        <v>Sports &amp; Outdoors</v>
      </c>
      <c r="G1013" s="6" t="n">
        <f aca="false">Orders!E1013</f>
        <v>1</v>
      </c>
      <c r="H1013" s="16" t="n">
        <f aca="false">INDEX(Products!$D$2:$D$101,MATCH(D1013,Products!$A$2:$A$101,0))</f>
        <v>399</v>
      </c>
      <c r="I1013" s="16" t="n">
        <f aca="false">INDEX(Products!$E$2:$E$101,MATCH(D1013,Products!$A$2:$A$101,0))</f>
        <v>160</v>
      </c>
      <c r="J1013" s="20" t="n">
        <f aca="false">Orders!F1013</f>
        <v>0.05</v>
      </c>
      <c r="K1013" s="6" t="n">
        <f aca="false">G1013*H1013</f>
        <v>399</v>
      </c>
      <c r="L1013" s="6" t="n">
        <f aca="false">K1013*J1013</f>
        <v>19.95</v>
      </c>
      <c r="M1013" s="6" t="n">
        <f aca="false">K1013-L1013</f>
        <v>379.05</v>
      </c>
      <c r="N1013" s="6" t="n">
        <f aca="false">G1013*I1013</f>
        <v>160</v>
      </c>
      <c r="O1013" s="6" t="n">
        <f aca="false">M1013-N1013</f>
        <v>219.05</v>
      </c>
      <c r="P1013" s="21" t="n">
        <f aca="false">IFERROR(O1013/M1013,0)</f>
        <v>0.577892098667722</v>
      </c>
      <c r="Q1013" s="6" t="str">
        <f aca="false">Orders!H1013</f>
        <v>Delivered</v>
      </c>
      <c r="R1013" s="1" t="str">
        <f aca="false">INDEX(Customers!$C$2:$C$301,MATCH(C1013,Customers!$A$2:$A$301,0))</f>
        <v>Hyderabad</v>
      </c>
      <c r="S1013" s="1" t="str">
        <f aca="false">INDEX(Customers!$E$2:$E$301,MATCH(C1013,Customers!$A$2:$A$301,0))</f>
        <v>Returning</v>
      </c>
      <c r="T1013" s="6" t="str">
        <f aca="false">Orders!I1013</f>
        <v>Mobile App</v>
      </c>
      <c r="U1013" s="1" t="str">
        <f aca="false">IF(Q1013="Delivered","Completed",IF(Q1013="Cancelled","Cancelled",IF(Q1013="Returned","Returned","In Progress")))</f>
        <v>Completed</v>
      </c>
      <c r="V1013" s="1" t="str">
        <f aca="false">IF(M1013&gt;=10000,"High Value",IF(M1013&gt;=5000,"Medium Value","Low Value"))</f>
        <v>Low Value</v>
      </c>
      <c r="W1013" s="1" t="str">
        <f aca="false">IF(O1013&gt;0,"Profitable",IF(O1013=0,"Break-even","Loss"))</f>
        <v>Profitable</v>
      </c>
      <c r="X1013" s="1" t="str">
        <f aca="false">IF(Q1013="Cancelled","Not Applicable",IF(Q1013="Processing","Pending",IF(B1013="","Unknown",IF(Orders!J1013="","Unknown",IF(Orders!J1013&lt;=3,"Fast",IF(Orders!J1013&lt;=6,"Standard","Slow"))))))</f>
        <v>Slow</v>
      </c>
      <c r="Y1013" s="1" t="n">
        <f aca="false">IF(OR(Q1013="Cancelled",Q1013="Returned"),0,O1013)</f>
        <v>219.05</v>
      </c>
    </row>
    <row r="1014" customFormat="false" ht="15" hidden="false" customHeight="false" outlineLevel="0" collapsed="false">
      <c r="A1014" s="6" t="str">
        <f aca="false">Orders!A1014</f>
        <v>O001013</v>
      </c>
      <c r="B1014" s="19" t="n">
        <f aca="false">Orders!B1014</f>
        <v>45903</v>
      </c>
      <c r="C1014" s="6" t="str">
        <f aca="false">Orders!C1014</f>
        <v>C0069</v>
      </c>
      <c r="D1014" s="6" t="str">
        <f aca="false">Orders!D1014</f>
        <v>P1014</v>
      </c>
      <c r="E1014" s="6" t="str">
        <f aca="false">INDEX(Products!$B$2:$B$101,MATCH(D1014,Products!$A$2:$A$101,0))</f>
        <v>HDMI Cable</v>
      </c>
      <c r="F1014" s="1" t="str">
        <f aca="false">INDEX(Products!$C$2:$C$101,MATCH(D1014,Products!$A$2:$A$101,0))</f>
        <v>Electronics</v>
      </c>
      <c r="G1014" s="6" t="n">
        <f aca="false">Orders!E1014</f>
        <v>2</v>
      </c>
      <c r="H1014" s="16" t="n">
        <f aca="false">INDEX(Products!$D$2:$D$101,MATCH(D1014,Products!$A$2:$A$101,0))</f>
        <v>449</v>
      </c>
      <c r="I1014" s="16" t="n">
        <f aca="false">INDEX(Products!$E$2:$E$101,MATCH(D1014,Products!$A$2:$A$101,0))</f>
        <v>180</v>
      </c>
      <c r="J1014" s="20" t="n">
        <f aca="false">Orders!F1014</f>
        <v>0.2</v>
      </c>
      <c r="K1014" s="6" t="n">
        <f aca="false">G1014*H1014</f>
        <v>898</v>
      </c>
      <c r="L1014" s="6" t="n">
        <f aca="false">K1014*J1014</f>
        <v>179.6</v>
      </c>
      <c r="M1014" s="6" t="n">
        <f aca="false">K1014-L1014</f>
        <v>718.4</v>
      </c>
      <c r="N1014" s="6" t="n">
        <f aca="false">G1014*I1014</f>
        <v>360</v>
      </c>
      <c r="O1014" s="6" t="n">
        <f aca="false">M1014-N1014</f>
        <v>358.4</v>
      </c>
      <c r="P1014" s="21" t="n">
        <f aca="false">IFERROR(O1014/M1014,0)</f>
        <v>0.498886414253898</v>
      </c>
      <c r="Q1014" s="6" t="str">
        <f aca="false">Orders!H1014</f>
        <v>Delivered</v>
      </c>
      <c r="R1014" s="1" t="str">
        <f aca="false">INDEX(Customers!$C$2:$C$301,MATCH(C1014,Customers!$A$2:$A$301,0))</f>
        <v>Ahmedabad</v>
      </c>
      <c r="S1014" s="1" t="str">
        <f aca="false">INDEX(Customers!$E$2:$E$301,MATCH(C1014,Customers!$A$2:$A$301,0))</f>
        <v>New</v>
      </c>
      <c r="T1014" s="6" t="str">
        <f aca="false">Orders!I1014</f>
        <v>Mobile App</v>
      </c>
      <c r="U1014" s="1" t="str">
        <f aca="false">IF(Q1014="Delivered","Completed",IF(Q1014="Cancelled","Cancelled",IF(Q1014="Returned","Returned","In Progress")))</f>
        <v>Completed</v>
      </c>
      <c r="V1014" s="1" t="str">
        <f aca="false">IF(M1014&gt;=10000,"High Value",IF(M1014&gt;=5000,"Medium Value","Low Value"))</f>
        <v>Low Value</v>
      </c>
      <c r="W1014" s="1" t="str">
        <f aca="false">IF(O1014&gt;0,"Profitable",IF(O1014=0,"Break-even","Loss"))</f>
        <v>Profitable</v>
      </c>
      <c r="X1014" s="1" t="str">
        <f aca="false">IF(Q1014="Cancelled","Not Applicable",IF(Q1014="Processing","Pending",IF(B1014="","Unknown",IF(Orders!J1014="","Unknown",IF(Orders!J1014&lt;=3,"Fast",IF(Orders!J1014&lt;=6,"Standard","Slow"))))))</f>
        <v>Slow</v>
      </c>
      <c r="Y1014" s="1" t="n">
        <f aca="false">IF(OR(Q1014="Cancelled",Q1014="Returned"),0,O1014)</f>
        <v>358.4</v>
      </c>
    </row>
    <row r="1015" customFormat="false" ht="15" hidden="false" customHeight="false" outlineLevel="0" collapsed="false">
      <c r="A1015" s="6" t="str">
        <f aca="false">Orders!A1015</f>
        <v>O001014</v>
      </c>
      <c r="B1015" s="19" t="n">
        <f aca="false">Orders!B1015</f>
        <v>45778</v>
      </c>
      <c r="C1015" s="6" t="str">
        <f aca="false">Orders!C1015</f>
        <v>C0142</v>
      </c>
      <c r="D1015" s="6" t="str">
        <f aca="false">Orders!D1015</f>
        <v>P1045</v>
      </c>
      <c r="E1015" s="6" t="str">
        <f aca="false">INDEX(Products!$B$2:$B$101,MATCH(D1015,Products!$A$2:$A$101,0))</f>
        <v>Lunch Box</v>
      </c>
      <c r="F1015" s="1" t="str">
        <f aca="false">INDEX(Products!$C$2:$C$101,MATCH(D1015,Products!$A$2:$A$101,0))</f>
        <v>Home &amp; Kitchen</v>
      </c>
      <c r="G1015" s="6" t="n">
        <f aca="false">Orders!E1015</f>
        <v>1</v>
      </c>
      <c r="H1015" s="16" t="n">
        <f aca="false">INDEX(Products!$D$2:$D$101,MATCH(D1015,Products!$A$2:$A$101,0))</f>
        <v>449</v>
      </c>
      <c r="I1015" s="16" t="n">
        <f aca="false">INDEX(Products!$E$2:$E$101,MATCH(D1015,Products!$A$2:$A$101,0))</f>
        <v>180</v>
      </c>
      <c r="J1015" s="20" t="n">
        <f aca="false">Orders!F1015</f>
        <v>0.2</v>
      </c>
      <c r="K1015" s="6" t="n">
        <f aca="false">G1015*H1015</f>
        <v>449</v>
      </c>
      <c r="L1015" s="6" t="n">
        <f aca="false">K1015*J1015</f>
        <v>89.8</v>
      </c>
      <c r="M1015" s="6" t="n">
        <f aca="false">K1015-L1015</f>
        <v>359.2</v>
      </c>
      <c r="N1015" s="6" t="n">
        <f aca="false">G1015*I1015</f>
        <v>180</v>
      </c>
      <c r="O1015" s="6" t="n">
        <f aca="false">M1015-N1015</f>
        <v>179.2</v>
      </c>
      <c r="P1015" s="21" t="n">
        <f aca="false">IFERROR(O1015/M1015,0)</f>
        <v>0.498886414253898</v>
      </c>
      <c r="Q1015" s="6" t="str">
        <f aca="false">Orders!H1015</f>
        <v>Delivered</v>
      </c>
      <c r="R1015" s="1" t="str">
        <f aca="false">INDEX(Customers!$C$2:$C$301,MATCH(C1015,Customers!$A$2:$A$301,0))</f>
        <v>Mumbai</v>
      </c>
      <c r="S1015" s="1" t="str">
        <f aca="false">INDEX(Customers!$E$2:$E$301,MATCH(C1015,Customers!$A$2:$A$301,0))</f>
        <v>VIP</v>
      </c>
      <c r="T1015" s="6" t="str">
        <f aca="false">Orders!I1015</f>
        <v>Marketplace</v>
      </c>
      <c r="U1015" s="1" t="str">
        <f aca="false">IF(Q1015="Delivered","Completed",IF(Q1015="Cancelled","Cancelled",IF(Q1015="Returned","Returned","In Progress")))</f>
        <v>Completed</v>
      </c>
      <c r="V1015" s="1" t="str">
        <f aca="false">IF(M1015&gt;=10000,"High Value",IF(M1015&gt;=5000,"Medium Value","Low Value"))</f>
        <v>Low Value</v>
      </c>
      <c r="W1015" s="1" t="str">
        <f aca="false">IF(O1015&gt;0,"Profitable",IF(O1015=0,"Break-even","Loss"))</f>
        <v>Profitable</v>
      </c>
      <c r="X1015" s="1" t="str">
        <f aca="false">IF(Q1015="Cancelled","Not Applicable",IF(Q1015="Processing","Pending",IF(B1015="","Unknown",IF(Orders!J1015="","Unknown",IF(Orders!J1015&lt;=3,"Fast",IF(Orders!J1015&lt;=6,"Standard","Slow"))))))</f>
        <v>Fast</v>
      </c>
      <c r="Y1015" s="1" t="n">
        <f aca="false">IF(OR(Q1015="Cancelled",Q1015="Returned"),0,O1015)</f>
        <v>179.2</v>
      </c>
    </row>
    <row r="1016" customFormat="false" ht="15" hidden="false" customHeight="false" outlineLevel="0" collapsed="false">
      <c r="A1016" s="6" t="str">
        <f aca="false">Orders!A1016</f>
        <v>O001015</v>
      </c>
      <c r="B1016" s="19" t="n">
        <f aca="false">Orders!B1016</f>
        <v>45929</v>
      </c>
      <c r="C1016" s="6" t="str">
        <f aca="false">Orders!C1016</f>
        <v>C0213</v>
      </c>
      <c r="D1016" s="6" t="str">
        <f aca="false">Orders!D1016</f>
        <v>P1010</v>
      </c>
      <c r="E1016" s="6" t="str">
        <f aca="false">INDEX(Products!$B$2:$B$101,MATCH(D1016,Products!$A$2:$A$101,0))</f>
        <v>Webcam</v>
      </c>
      <c r="F1016" s="1" t="str">
        <f aca="false">INDEX(Products!$C$2:$C$101,MATCH(D1016,Products!$A$2:$A$101,0))</f>
        <v>Electronics</v>
      </c>
      <c r="G1016" s="6" t="n">
        <f aca="false">Orders!E1016</f>
        <v>3</v>
      </c>
      <c r="H1016" s="16" t="n">
        <f aca="false">INDEX(Products!$D$2:$D$101,MATCH(D1016,Products!$A$2:$A$101,0))</f>
        <v>1799</v>
      </c>
      <c r="I1016" s="16" t="n">
        <f aca="false">INDEX(Products!$E$2:$E$101,MATCH(D1016,Products!$A$2:$A$101,0))</f>
        <v>1050</v>
      </c>
      <c r="J1016" s="20" t="n">
        <f aca="false">Orders!F1016</f>
        <v>0</v>
      </c>
      <c r="K1016" s="6" t="n">
        <f aca="false">G1016*H1016</f>
        <v>5397</v>
      </c>
      <c r="L1016" s="6" t="n">
        <f aca="false">K1016*J1016</f>
        <v>0</v>
      </c>
      <c r="M1016" s="6" t="n">
        <f aca="false">K1016-L1016</f>
        <v>5397</v>
      </c>
      <c r="N1016" s="6" t="n">
        <f aca="false">G1016*I1016</f>
        <v>3150</v>
      </c>
      <c r="O1016" s="6" t="n">
        <f aca="false">M1016-N1016</f>
        <v>2247</v>
      </c>
      <c r="P1016" s="21" t="n">
        <f aca="false">IFERROR(O1016/M1016,0)</f>
        <v>0.416342412451362</v>
      </c>
      <c r="Q1016" s="6" t="str">
        <f aca="false">Orders!H1016</f>
        <v>Cancelled</v>
      </c>
      <c r="R1016" s="1" t="str">
        <f aca="false">INDEX(Customers!$C$2:$C$301,MATCH(C1016,Customers!$A$2:$A$301,0))</f>
        <v>Kochi</v>
      </c>
      <c r="S1016" s="1" t="str">
        <f aca="false">INDEX(Customers!$E$2:$E$301,MATCH(C1016,Customers!$A$2:$A$301,0))</f>
        <v>New</v>
      </c>
      <c r="T1016" s="6" t="str">
        <f aca="false">Orders!I1016</f>
        <v>Marketplace</v>
      </c>
      <c r="U1016" s="1" t="str">
        <f aca="false">IF(Q1016="Delivered","Completed",IF(Q1016="Cancelled","Cancelled",IF(Q1016="Returned","Returned","In Progress")))</f>
        <v>Cancelled</v>
      </c>
      <c r="V1016" s="1" t="str">
        <f aca="false">IF(M1016&gt;=10000,"High Value",IF(M1016&gt;=5000,"Medium Value","Low Value"))</f>
        <v>Medium Value</v>
      </c>
      <c r="W1016" s="1" t="str">
        <f aca="false">IF(O1016&gt;0,"Profitable",IF(O1016=0,"Break-even","Loss"))</f>
        <v>Profitable</v>
      </c>
      <c r="X1016" s="1" t="str">
        <f aca="false">IF(Q1016="Cancelled","Not Applicable",IF(Q1016="Processing","Pending",IF(B1016="","Unknown",IF(Orders!J1016="","Unknown",IF(Orders!J1016&lt;=3,"Fast",IF(Orders!J1016&lt;=6,"Standard","Slow"))))))</f>
        <v>Not Applicable</v>
      </c>
      <c r="Y1016" s="1" t="n">
        <f aca="false">IF(OR(Q1016="Cancelled",Q1016="Returned"),0,O1016)</f>
        <v>0</v>
      </c>
    </row>
    <row r="1017" customFormat="false" ht="15" hidden="false" customHeight="false" outlineLevel="0" collapsed="false">
      <c r="A1017" s="6" t="str">
        <f aca="false">Orders!A1017</f>
        <v>O001016</v>
      </c>
      <c r="B1017" s="19" t="n">
        <f aca="false">Orders!B1017</f>
        <v>45898</v>
      </c>
      <c r="C1017" s="6" t="str">
        <f aca="false">Orders!C1017</f>
        <v>C0154</v>
      </c>
      <c r="D1017" s="6" t="str">
        <f aca="false">Orders!D1017</f>
        <v>P1097</v>
      </c>
      <c r="E1017" s="6" t="str">
        <f aca="false">INDEX(Products!$B$2:$B$101,MATCH(D1017,Products!$A$2:$A$101,0))</f>
        <v>Vacuum Cleaner</v>
      </c>
      <c r="F1017" s="1" t="str">
        <f aca="false">INDEX(Products!$C$2:$C$101,MATCH(D1017,Products!$A$2:$A$101,0))</f>
        <v>Appliances</v>
      </c>
      <c r="G1017" s="6" t="n">
        <f aca="false">Orders!E1017</f>
        <v>1</v>
      </c>
      <c r="H1017" s="16" t="n">
        <f aca="false">INDEX(Products!$D$2:$D$101,MATCH(D1017,Products!$A$2:$A$101,0))</f>
        <v>3499</v>
      </c>
      <c r="I1017" s="16" t="n">
        <f aca="false">INDEX(Products!$E$2:$E$101,MATCH(D1017,Products!$A$2:$A$101,0))</f>
        <v>2400</v>
      </c>
      <c r="J1017" s="20" t="n">
        <f aca="false">Orders!F1017</f>
        <v>0</v>
      </c>
      <c r="K1017" s="6" t="n">
        <f aca="false">G1017*H1017</f>
        <v>3499</v>
      </c>
      <c r="L1017" s="6" t="n">
        <f aca="false">K1017*J1017</f>
        <v>0</v>
      </c>
      <c r="M1017" s="6" t="n">
        <f aca="false">K1017-L1017</f>
        <v>3499</v>
      </c>
      <c r="N1017" s="6" t="n">
        <f aca="false">G1017*I1017</f>
        <v>2400</v>
      </c>
      <c r="O1017" s="6" t="n">
        <f aca="false">M1017-N1017</f>
        <v>1099</v>
      </c>
      <c r="P1017" s="21" t="n">
        <f aca="false">IFERROR(O1017/M1017,0)</f>
        <v>0.314089739925693</v>
      </c>
      <c r="Q1017" s="6" t="str">
        <f aca="false">Orders!H1017</f>
        <v>Delivered</v>
      </c>
      <c r="R1017" s="1" t="str">
        <f aca="false">INDEX(Customers!$C$2:$C$301,MATCH(C1017,Customers!$A$2:$A$301,0))</f>
        <v>Indore</v>
      </c>
      <c r="S1017" s="1" t="str">
        <f aca="false">INDEX(Customers!$E$2:$E$301,MATCH(C1017,Customers!$A$2:$A$301,0))</f>
        <v>Returning</v>
      </c>
      <c r="T1017" s="6" t="str">
        <f aca="false">Orders!I1017</f>
        <v>Mobile App</v>
      </c>
      <c r="U1017" s="1" t="str">
        <f aca="false">IF(Q1017="Delivered","Completed",IF(Q1017="Cancelled","Cancelled",IF(Q1017="Returned","Returned","In Progress")))</f>
        <v>Completed</v>
      </c>
      <c r="V1017" s="1" t="str">
        <f aca="false">IF(M1017&gt;=10000,"High Value",IF(M1017&gt;=5000,"Medium Value","Low Value"))</f>
        <v>Low Value</v>
      </c>
      <c r="W1017" s="1" t="str">
        <f aca="false">IF(O1017&gt;0,"Profitable",IF(O1017=0,"Break-even","Loss"))</f>
        <v>Profitable</v>
      </c>
      <c r="X1017" s="1" t="str">
        <f aca="false">IF(Q1017="Cancelled","Not Applicable",IF(Q1017="Processing","Pending",IF(B1017="","Unknown",IF(Orders!J1017="","Unknown",IF(Orders!J1017&lt;=3,"Fast",IF(Orders!J1017&lt;=6,"Standard","Slow"))))))</f>
        <v>Standard</v>
      </c>
      <c r="Y1017" s="1" t="n">
        <f aca="false">IF(OR(Q1017="Cancelled",Q1017="Returned"),0,O1017)</f>
        <v>1099</v>
      </c>
    </row>
    <row r="1018" customFormat="false" ht="15" hidden="false" customHeight="false" outlineLevel="0" collapsed="false">
      <c r="A1018" s="6" t="str">
        <f aca="false">Orders!A1018</f>
        <v>O001017</v>
      </c>
      <c r="B1018" s="19" t="n">
        <f aca="false">Orders!B1018</f>
        <v>45734</v>
      </c>
      <c r="C1018" s="6" t="str">
        <f aca="false">Orders!C1018</f>
        <v>C0239</v>
      </c>
      <c r="D1018" s="6" t="str">
        <f aca="false">Orders!D1018</f>
        <v>P1095</v>
      </c>
      <c r="E1018" s="6" t="str">
        <f aca="false">INDEX(Products!$B$2:$B$101,MATCH(D1018,Products!$A$2:$A$101,0))</f>
        <v>Table Fan</v>
      </c>
      <c r="F1018" s="1" t="str">
        <f aca="false">INDEX(Products!$C$2:$C$101,MATCH(D1018,Products!$A$2:$A$101,0))</f>
        <v>Appliances</v>
      </c>
      <c r="G1018" s="6" t="n">
        <f aca="false">Orders!E1018</f>
        <v>2</v>
      </c>
      <c r="H1018" s="16" t="n">
        <f aca="false">INDEX(Products!$D$2:$D$101,MATCH(D1018,Products!$A$2:$A$101,0))</f>
        <v>1599</v>
      </c>
      <c r="I1018" s="16" t="n">
        <f aca="false">INDEX(Products!$E$2:$E$101,MATCH(D1018,Products!$A$2:$A$101,0))</f>
        <v>950</v>
      </c>
      <c r="J1018" s="20" t="n">
        <f aca="false">Orders!F1018</f>
        <v>0.25</v>
      </c>
      <c r="K1018" s="6" t="n">
        <f aca="false">G1018*H1018</f>
        <v>3198</v>
      </c>
      <c r="L1018" s="6" t="n">
        <f aca="false">K1018*J1018</f>
        <v>799.5</v>
      </c>
      <c r="M1018" s="6" t="n">
        <f aca="false">K1018-L1018</f>
        <v>2398.5</v>
      </c>
      <c r="N1018" s="6" t="n">
        <f aca="false">G1018*I1018</f>
        <v>1900</v>
      </c>
      <c r="O1018" s="6" t="n">
        <f aca="false">M1018-N1018</f>
        <v>498.5</v>
      </c>
      <c r="P1018" s="21" t="n">
        <f aca="false">IFERROR(O1018/M1018,0)</f>
        <v>0.207838232228476</v>
      </c>
      <c r="Q1018" s="6" t="str">
        <f aca="false">Orders!H1018</f>
        <v>Delivered</v>
      </c>
      <c r="R1018" s="1" t="str">
        <f aca="false">INDEX(Customers!$C$2:$C$301,MATCH(C1018,Customers!$A$2:$A$301,0))</f>
        <v>Coimbatore</v>
      </c>
      <c r="S1018" s="1" t="str">
        <f aca="false">INDEX(Customers!$E$2:$E$301,MATCH(C1018,Customers!$A$2:$A$301,0))</f>
        <v>New</v>
      </c>
      <c r="T1018" s="6" t="str">
        <f aca="false">Orders!I1018</f>
        <v>Website</v>
      </c>
      <c r="U1018" s="1" t="str">
        <f aca="false">IF(Q1018="Delivered","Completed",IF(Q1018="Cancelled","Cancelled",IF(Q1018="Returned","Returned","In Progress")))</f>
        <v>Completed</v>
      </c>
      <c r="V1018" s="1" t="str">
        <f aca="false">IF(M1018&gt;=10000,"High Value",IF(M1018&gt;=5000,"Medium Value","Low Value"))</f>
        <v>Low Value</v>
      </c>
      <c r="W1018" s="1" t="str">
        <f aca="false">IF(O1018&gt;0,"Profitable",IF(O1018=0,"Break-even","Loss"))</f>
        <v>Profitable</v>
      </c>
      <c r="X1018" s="1" t="str">
        <f aca="false">IF(Q1018="Cancelled","Not Applicable",IF(Q1018="Processing","Pending",IF(B1018="","Unknown",IF(Orders!J1018="","Unknown",IF(Orders!J1018&lt;=3,"Fast",IF(Orders!J1018&lt;=6,"Standard","Slow"))))))</f>
        <v>Slow</v>
      </c>
      <c r="Y1018" s="1" t="n">
        <f aca="false">IF(OR(Q1018="Cancelled",Q1018="Returned"),0,O1018)</f>
        <v>498.5</v>
      </c>
    </row>
    <row r="1019" customFormat="false" ht="15" hidden="false" customHeight="false" outlineLevel="0" collapsed="false">
      <c r="A1019" s="6" t="str">
        <f aca="false">Orders!A1019</f>
        <v>O001018</v>
      </c>
      <c r="B1019" s="19" t="n">
        <f aca="false">Orders!B1019</f>
        <v>45682</v>
      </c>
      <c r="C1019" s="6" t="str">
        <f aca="false">Orders!C1019</f>
        <v>C0090</v>
      </c>
      <c r="D1019" s="6" t="str">
        <f aca="false">Orders!D1019</f>
        <v>P1048</v>
      </c>
      <c r="E1019" s="6" t="str">
        <f aca="false">INDEX(Products!$B$2:$B$101,MATCH(D1019,Products!$A$2:$A$101,0))</f>
        <v>Shampoo</v>
      </c>
      <c r="F1019" s="1" t="str">
        <f aca="false">INDEX(Products!$C$2:$C$101,MATCH(D1019,Products!$A$2:$A$101,0))</f>
        <v>Beauty</v>
      </c>
      <c r="G1019" s="6" t="n">
        <f aca="false">Orders!E1019</f>
        <v>1</v>
      </c>
      <c r="H1019" s="16" t="n">
        <f aca="false">INDEX(Products!$D$2:$D$101,MATCH(D1019,Products!$A$2:$A$101,0))</f>
        <v>349</v>
      </c>
      <c r="I1019" s="16" t="n">
        <f aca="false">INDEX(Products!$E$2:$E$101,MATCH(D1019,Products!$A$2:$A$101,0))</f>
        <v>150</v>
      </c>
      <c r="J1019" s="20" t="n">
        <f aca="false">Orders!F1019</f>
        <v>0.05</v>
      </c>
      <c r="K1019" s="6" t="n">
        <f aca="false">G1019*H1019</f>
        <v>349</v>
      </c>
      <c r="L1019" s="6" t="n">
        <f aca="false">K1019*J1019</f>
        <v>17.45</v>
      </c>
      <c r="M1019" s="6" t="n">
        <f aca="false">K1019-L1019</f>
        <v>331.55</v>
      </c>
      <c r="N1019" s="6" t="n">
        <f aca="false">G1019*I1019</f>
        <v>150</v>
      </c>
      <c r="O1019" s="6" t="n">
        <f aca="false">M1019-N1019</f>
        <v>181.55</v>
      </c>
      <c r="P1019" s="21" t="n">
        <f aca="false">IFERROR(O1019/M1019,0)</f>
        <v>0.547579550595687</v>
      </c>
      <c r="Q1019" s="6" t="str">
        <f aca="false">Orders!H1019</f>
        <v>Delivered</v>
      </c>
      <c r="R1019" s="1" t="str">
        <f aca="false">INDEX(Customers!$C$2:$C$301,MATCH(C1019,Customers!$A$2:$A$301,0))</f>
        <v>Lucknow</v>
      </c>
      <c r="S1019" s="1" t="str">
        <f aca="false">INDEX(Customers!$E$2:$E$301,MATCH(C1019,Customers!$A$2:$A$301,0))</f>
        <v>New</v>
      </c>
      <c r="T1019" s="6" t="str">
        <f aca="false">Orders!I1019</f>
        <v>Mobile App</v>
      </c>
      <c r="U1019" s="1" t="str">
        <f aca="false">IF(Q1019="Delivered","Completed",IF(Q1019="Cancelled","Cancelled",IF(Q1019="Returned","Returned","In Progress")))</f>
        <v>Completed</v>
      </c>
      <c r="V1019" s="1" t="str">
        <f aca="false">IF(M1019&gt;=10000,"High Value",IF(M1019&gt;=5000,"Medium Value","Low Value"))</f>
        <v>Low Value</v>
      </c>
      <c r="W1019" s="1" t="str">
        <f aca="false">IF(O1019&gt;0,"Profitable",IF(O1019=0,"Break-even","Loss"))</f>
        <v>Profitable</v>
      </c>
      <c r="X1019" s="1" t="str">
        <f aca="false">IF(Q1019="Cancelled","Not Applicable",IF(Q1019="Processing","Pending",IF(B1019="","Unknown",IF(Orders!J1019="","Unknown",IF(Orders!J1019&lt;=3,"Fast",IF(Orders!J1019&lt;=6,"Standard","Slow"))))))</f>
        <v>Standard</v>
      </c>
      <c r="Y1019" s="1" t="n">
        <f aca="false">IF(OR(Q1019="Cancelled",Q1019="Returned"),0,O1019)</f>
        <v>181.55</v>
      </c>
    </row>
    <row r="1020" customFormat="false" ht="15" hidden="false" customHeight="false" outlineLevel="0" collapsed="false">
      <c r="A1020" s="6" t="str">
        <f aca="false">Orders!A1020</f>
        <v>O001019</v>
      </c>
      <c r="B1020" s="19" t="n">
        <f aca="false">Orders!B1020</f>
        <v>45667</v>
      </c>
      <c r="C1020" s="6" t="str">
        <f aca="false">Orders!C1020</f>
        <v>C0254</v>
      </c>
      <c r="D1020" s="6" t="str">
        <f aca="false">Orders!D1020</f>
        <v>P1037</v>
      </c>
      <c r="E1020" s="6" t="str">
        <f aca="false">INDEX(Products!$B$2:$B$101,MATCH(D1020,Products!$A$2:$A$101,0))</f>
        <v>Pillow Pair</v>
      </c>
      <c r="F1020" s="1" t="str">
        <f aca="false">INDEX(Products!$C$2:$C$101,MATCH(D1020,Products!$A$2:$A$101,0))</f>
        <v>Home &amp; Kitchen</v>
      </c>
      <c r="G1020" s="6" t="n">
        <f aca="false">Orders!E1020</f>
        <v>2</v>
      </c>
      <c r="H1020" s="16" t="n">
        <f aca="false">INDEX(Products!$D$2:$D$101,MATCH(D1020,Products!$A$2:$A$101,0))</f>
        <v>799</v>
      </c>
      <c r="I1020" s="16" t="n">
        <f aca="false">INDEX(Products!$E$2:$E$101,MATCH(D1020,Products!$A$2:$A$101,0))</f>
        <v>350</v>
      </c>
      <c r="J1020" s="20" t="n">
        <f aca="false">Orders!F1020</f>
        <v>0</v>
      </c>
      <c r="K1020" s="6" t="n">
        <f aca="false">G1020*H1020</f>
        <v>1598</v>
      </c>
      <c r="L1020" s="6" t="n">
        <f aca="false">K1020*J1020</f>
        <v>0</v>
      </c>
      <c r="M1020" s="6" t="n">
        <f aca="false">K1020-L1020</f>
        <v>1598</v>
      </c>
      <c r="N1020" s="6" t="n">
        <f aca="false">G1020*I1020</f>
        <v>700</v>
      </c>
      <c r="O1020" s="6" t="n">
        <f aca="false">M1020-N1020</f>
        <v>898</v>
      </c>
      <c r="P1020" s="21" t="n">
        <f aca="false">IFERROR(O1020/M1020,0)</f>
        <v>0.561952440550688</v>
      </c>
      <c r="Q1020" s="6" t="str">
        <f aca="false">Orders!H1020</f>
        <v>Shipped</v>
      </c>
      <c r="R1020" s="1" t="str">
        <f aca="false">INDEX(Customers!$C$2:$C$301,MATCH(C1020,Customers!$A$2:$A$301,0))</f>
        <v>Indore</v>
      </c>
      <c r="S1020" s="1" t="str">
        <f aca="false">INDEX(Customers!$E$2:$E$301,MATCH(C1020,Customers!$A$2:$A$301,0))</f>
        <v>Returning</v>
      </c>
      <c r="T1020" s="6" t="str">
        <f aca="false">Orders!I1020</f>
        <v>Mobile App</v>
      </c>
      <c r="U1020" s="1" t="str">
        <f aca="false">IF(Q1020="Delivered","Completed",IF(Q1020="Cancelled","Cancelled",IF(Q1020="Returned","Returned","In Progress")))</f>
        <v>In Progress</v>
      </c>
      <c r="V1020" s="1" t="str">
        <f aca="false">IF(M1020&gt;=10000,"High Value",IF(M1020&gt;=5000,"Medium Value","Low Value"))</f>
        <v>Low Value</v>
      </c>
      <c r="W1020" s="1" t="str">
        <f aca="false">IF(O1020&gt;0,"Profitable",IF(O1020=0,"Break-even","Loss"))</f>
        <v>Profitable</v>
      </c>
      <c r="X1020" s="1" t="str">
        <f aca="false">IF(Q1020="Cancelled","Not Applicable",IF(Q1020="Processing","Pending",IF(B1020="","Unknown",IF(Orders!J1020="","Unknown",IF(Orders!J1020&lt;=3,"Fast",IF(Orders!J1020&lt;=6,"Standard","Slow"))))))</f>
        <v>Fast</v>
      </c>
      <c r="Y1020" s="1" t="n">
        <f aca="false">IF(OR(Q1020="Cancelled",Q1020="Returned"),0,O1020)</f>
        <v>898</v>
      </c>
    </row>
    <row r="1021" customFormat="false" ht="23.85" hidden="false" customHeight="false" outlineLevel="0" collapsed="false">
      <c r="A1021" s="6" t="str">
        <f aca="false">Orders!A1021</f>
        <v>O001020</v>
      </c>
      <c r="B1021" s="19" t="n">
        <f aca="false">Orders!B1021</f>
        <v>45728</v>
      </c>
      <c r="C1021" s="6" t="str">
        <f aca="false">Orders!C1021</f>
        <v>C0023</v>
      </c>
      <c r="D1021" s="6" t="str">
        <f aca="false">Orders!D1021</f>
        <v>P1070</v>
      </c>
      <c r="E1021" s="6" t="str">
        <f aca="false">INDEX(Products!$B$2:$B$101,MATCH(D1021,Products!$A$2:$A$101,0))</f>
        <v>Knee Support Pair</v>
      </c>
      <c r="F1021" s="1" t="str">
        <f aca="false">INDEX(Products!$C$2:$C$101,MATCH(D1021,Products!$A$2:$A$101,0))</f>
        <v>Sports &amp; Outdoors</v>
      </c>
      <c r="G1021" s="6" t="n">
        <f aca="false">Orders!E1021</f>
        <v>1</v>
      </c>
      <c r="H1021" s="16" t="n">
        <f aca="false">INDEX(Products!$D$2:$D$101,MATCH(D1021,Products!$A$2:$A$101,0))</f>
        <v>449</v>
      </c>
      <c r="I1021" s="16" t="n">
        <f aca="false">INDEX(Products!$E$2:$E$101,MATCH(D1021,Products!$A$2:$A$101,0))</f>
        <v>180</v>
      </c>
      <c r="J1021" s="20" t="n">
        <f aca="false">Orders!F1021</f>
        <v>0.25</v>
      </c>
      <c r="K1021" s="6" t="n">
        <f aca="false">G1021*H1021</f>
        <v>449</v>
      </c>
      <c r="L1021" s="6" t="n">
        <f aca="false">K1021*J1021</f>
        <v>112.25</v>
      </c>
      <c r="M1021" s="6" t="n">
        <f aca="false">K1021-L1021</f>
        <v>336.75</v>
      </c>
      <c r="N1021" s="6" t="n">
        <f aca="false">G1021*I1021</f>
        <v>180</v>
      </c>
      <c r="O1021" s="6" t="n">
        <f aca="false">M1021-N1021</f>
        <v>156.75</v>
      </c>
      <c r="P1021" s="21" t="n">
        <f aca="false">IFERROR(O1021/M1021,0)</f>
        <v>0.465478841870824</v>
      </c>
      <c r="Q1021" s="6" t="str">
        <f aca="false">Orders!H1021</f>
        <v>Processing</v>
      </c>
      <c r="R1021" s="1" t="str">
        <f aca="false">INDEX(Customers!$C$2:$C$301,MATCH(C1021,Customers!$A$2:$A$301,0))</f>
        <v>Bengaluru</v>
      </c>
      <c r="S1021" s="1" t="str">
        <f aca="false">INDEX(Customers!$E$2:$E$301,MATCH(C1021,Customers!$A$2:$A$301,0))</f>
        <v>Returning</v>
      </c>
      <c r="T1021" s="6" t="str">
        <f aca="false">Orders!I1021</f>
        <v>Mobile App</v>
      </c>
      <c r="U1021" s="1" t="str">
        <f aca="false">IF(Q1021="Delivered","Completed",IF(Q1021="Cancelled","Cancelled",IF(Q1021="Returned","Returned","In Progress")))</f>
        <v>In Progress</v>
      </c>
      <c r="V1021" s="1" t="str">
        <f aca="false">IF(M1021&gt;=10000,"High Value",IF(M1021&gt;=5000,"Medium Value","Low Value"))</f>
        <v>Low Value</v>
      </c>
      <c r="W1021" s="1" t="str">
        <f aca="false">IF(O1021&gt;0,"Profitable",IF(O1021=0,"Break-even","Loss"))</f>
        <v>Profitable</v>
      </c>
      <c r="X1021" s="1" t="str">
        <f aca="false">IF(Q1021="Cancelled","Not Applicable",IF(Q1021="Processing","Pending",IF(B1021="","Unknown",IF(Orders!J1021="","Unknown",IF(Orders!J1021&lt;=3,"Fast",IF(Orders!J1021&lt;=6,"Standard","Slow"))))))</f>
        <v>Pending</v>
      </c>
      <c r="Y1021" s="1" t="n">
        <f aca="false">IF(OR(Q1021="Cancelled",Q1021="Returned"),0,O1021)</f>
        <v>156.75</v>
      </c>
    </row>
    <row r="1022" customFormat="false" ht="15" hidden="false" customHeight="false" outlineLevel="0" collapsed="false">
      <c r="A1022" s="6" t="str">
        <f aca="false">Orders!A1022</f>
        <v>O001021</v>
      </c>
      <c r="B1022" s="19" t="n">
        <f aca="false">Orders!B1022</f>
        <v>45709</v>
      </c>
      <c r="C1022" s="6" t="str">
        <f aca="false">Orders!C1022</f>
        <v>C0128</v>
      </c>
      <c r="D1022" s="6" t="str">
        <f aca="false">Orders!D1022</f>
        <v>P1032</v>
      </c>
      <c r="E1022" s="6" t="str">
        <f aca="false">INDEX(Products!$B$2:$B$101,MATCH(D1022,Products!$A$2:$A$101,0))</f>
        <v>Water Bottle</v>
      </c>
      <c r="F1022" s="1" t="str">
        <f aca="false">INDEX(Products!$C$2:$C$101,MATCH(D1022,Products!$A$2:$A$101,0))</f>
        <v>Home &amp; Kitchen</v>
      </c>
      <c r="G1022" s="6" t="n">
        <f aca="false">Orders!E1022</f>
        <v>2</v>
      </c>
      <c r="H1022" s="16" t="n">
        <f aca="false">INDEX(Products!$D$2:$D$101,MATCH(D1022,Products!$A$2:$A$101,0))</f>
        <v>399</v>
      </c>
      <c r="I1022" s="16" t="n">
        <f aca="false">INDEX(Products!$E$2:$E$101,MATCH(D1022,Products!$A$2:$A$101,0))</f>
        <v>150</v>
      </c>
      <c r="J1022" s="20" t="n">
        <f aca="false">Orders!F1022</f>
        <v>0.1</v>
      </c>
      <c r="K1022" s="6" t="n">
        <f aca="false">G1022*H1022</f>
        <v>798</v>
      </c>
      <c r="L1022" s="6" t="n">
        <f aca="false">K1022*J1022</f>
        <v>79.8</v>
      </c>
      <c r="M1022" s="6" t="n">
        <f aca="false">K1022-L1022</f>
        <v>718.2</v>
      </c>
      <c r="N1022" s="6" t="n">
        <f aca="false">G1022*I1022</f>
        <v>300</v>
      </c>
      <c r="O1022" s="6" t="n">
        <f aca="false">M1022-N1022</f>
        <v>418.2</v>
      </c>
      <c r="P1022" s="21" t="n">
        <f aca="false">IFERROR(O1022/M1022,0)</f>
        <v>0.582289055973267</v>
      </c>
      <c r="Q1022" s="6" t="str">
        <f aca="false">Orders!H1022</f>
        <v>Delivered</v>
      </c>
      <c r="R1022" s="1" t="str">
        <f aca="false">INDEX(Customers!$C$2:$C$301,MATCH(C1022,Customers!$A$2:$A$301,0))</f>
        <v>Jaipur</v>
      </c>
      <c r="S1022" s="1" t="str">
        <f aca="false">INDEX(Customers!$E$2:$E$301,MATCH(C1022,Customers!$A$2:$A$301,0))</f>
        <v>Returning</v>
      </c>
      <c r="T1022" s="6" t="str">
        <f aca="false">Orders!I1022</f>
        <v>Mobile App</v>
      </c>
      <c r="U1022" s="1" t="str">
        <f aca="false">IF(Q1022="Delivered","Completed",IF(Q1022="Cancelled","Cancelled",IF(Q1022="Returned","Returned","In Progress")))</f>
        <v>Completed</v>
      </c>
      <c r="V1022" s="1" t="str">
        <f aca="false">IF(M1022&gt;=10000,"High Value",IF(M1022&gt;=5000,"Medium Value","Low Value"))</f>
        <v>Low Value</v>
      </c>
      <c r="W1022" s="1" t="str">
        <f aca="false">IF(O1022&gt;0,"Profitable",IF(O1022=0,"Break-even","Loss"))</f>
        <v>Profitable</v>
      </c>
      <c r="X1022" s="1" t="str">
        <f aca="false">IF(Q1022="Cancelled","Not Applicable",IF(Q1022="Processing","Pending",IF(B1022="","Unknown",IF(Orders!J1022="","Unknown",IF(Orders!J1022&lt;=3,"Fast",IF(Orders!J1022&lt;=6,"Standard","Slow"))))))</f>
        <v>Fast</v>
      </c>
      <c r="Y1022" s="1" t="n">
        <f aca="false">IF(OR(Q1022="Cancelled",Q1022="Returned"),0,O1022)</f>
        <v>418.2</v>
      </c>
    </row>
    <row r="1023" customFormat="false" ht="15" hidden="false" customHeight="false" outlineLevel="0" collapsed="false">
      <c r="A1023" s="6" t="str">
        <f aca="false">Orders!A1023</f>
        <v>O001022</v>
      </c>
      <c r="B1023" s="19" t="n">
        <f aca="false">Orders!B1023</f>
        <v>45902</v>
      </c>
      <c r="C1023" s="6" t="str">
        <f aca="false">Orders!C1023</f>
        <v>C0148</v>
      </c>
      <c r="D1023" s="6" t="str">
        <f aca="false">Orders!D1023</f>
        <v>P1021</v>
      </c>
      <c r="E1023" s="6" t="str">
        <f aca="false">INDEX(Products!$B$2:$B$101,MATCH(D1023,Products!$A$2:$A$101,0))</f>
        <v>Handbag</v>
      </c>
      <c r="F1023" s="1" t="str">
        <f aca="false">INDEX(Products!$C$2:$C$101,MATCH(D1023,Products!$A$2:$A$101,0))</f>
        <v>Fashion</v>
      </c>
      <c r="G1023" s="6" t="n">
        <f aca="false">Orders!E1023</f>
        <v>1</v>
      </c>
      <c r="H1023" s="16" t="n">
        <f aca="false">INDEX(Products!$D$2:$D$101,MATCH(D1023,Products!$A$2:$A$101,0))</f>
        <v>1499</v>
      </c>
      <c r="I1023" s="16" t="n">
        <f aca="false">INDEX(Products!$E$2:$E$101,MATCH(D1023,Products!$A$2:$A$101,0))</f>
        <v>700</v>
      </c>
      <c r="J1023" s="20" t="n">
        <f aca="false">Orders!F1023</f>
        <v>0.2</v>
      </c>
      <c r="K1023" s="6" t="n">
        <f aca="false">G1023*H1023</f>
        <v>1499</v>
      </c>
      <c r="L1023" s="6" t="n">
        <f aca="false">K1023*J1023</f>
        <v>299.8</v>
      </c>
      <c r="M1023" s="6" t="n">
        <f aca="false">K1023-L1023</f>
        <v>1199.2</v>
      </c>
      <c r="N1023" s="6" t="n">
        <f aca="false">G1023*I1023</f>
        <v>700</v>
      </c>
      <c r="O1023" s="6" t="n">
        <f aca="false">M1023-N1023</f>
        <v>499.2</v>
      </c>
      <c r="P1023" s="21" t="n">
        <f aca="false">IFERROR(O1023/M1023,0)</f>
        <v>0.416277518345564</v>
      </c>
      <c r="Q1023" s="6" t="str">
        <f aca="false">Orders!H1023</f>
        <v>Processing</v>
      </c>
      <c r="R1023" s="1" t="str">
        <f aca="false">INDEX(Customers!$C$2:$C$301,MATCH(C1023,Customers!$A$2:$A$301,0))</f>
        <v>Jaipur</v>
      </c>
      <c r="S1023" s="1" t="str">
        <f aca="false">INDEX(Customers!$E$2:$E$301,MATCH(C1023,Customers!$A$2:$A$301,0))</f>
        <v>Returning</v>
      </c>
      <c r="T1023" s="6" t="str">
        <f aca="false">Orders!I1023</f>
        <v>Website</v>
      </c>
      <c r="U1023" s="1" t="str">
        <f aca="false">IF(Q1023="Delivered","Completed",IF(Q1023="Cancelled","Cancelled",IF(Q1023="Returned","Returned","In Progress")))</f>
        <v>In Progress</v>
      </c>
      <c r="V1023" s="1" t="str">
        <f aca="false">IF(M1023&gt;=10000,"High Value",IF(M1023&gt;=5000,"Medium Value","Low Value"))</f>
        <v>Low Value</v>
      </c>
      <c r="W1023" s="1" t="str">
        <f aca="false">IF(O1023&gt;0,"Profitable",IF(O1023=0,"Break-even","Loss"))</f>
        <v>Profitable</v>
      </c>
      <c r="X1023" s="1" t="str">
        <f aca="false">IF(Q1023="Cancelled","Not Applicable",IF(Q1023="Processing","Pending",IF(B1023="","Unknown",IF(Orders!J1023="","Unknown",IF(Orders!J1023&lt;=3,"Fast",IF(Orders!J1023&lt;=6,"Standard","Slow"))))))</f>
        <v>Pending</v>
      </c>
      <c r="Y1023" s="1" t="n">
        <f aca="false">IF(OR(Q1023="Cancelled",Q1023="Returned"),0,O1023)</f>
        <v>499.2</v>
      </c>
    </row>
    <row r="1024" customFormat="false" ht="23.85" hidden="false" customHeight="false" outlineLevel="0" collapsed="false">
      <c r="A1024" s="6" t="str">
        <f aca="false">Orders!A1024</f>
        <v>O001023</v>
      </c>
      <c r="B1024" s="19" t="n">
        <f aca="false">Orders!B1024</f>
        <v>45941</v>
      </c>
      <c r="C1024" s="6" t="str">
        <f aca="false">Orders!C1024</f>
        <v>C0145</v>
      </c>
      <c r="D1024" s="6" t="str">
        <f aca="false">Orders!D1024</f>
        <v>P1046</v>
      </c>
      <c r="E1024" s="6" t="str">
        <f aca="false">INDEX(Products!$B$2:$B$101,MATCH(D1024,Products!$A$2:$A$101,0))</f>
        <v>Face Moisturizer</v>
      </c>
      <c r="F1024" s="1" t="str">
        <f aca="false">INDEX(Products!$C$2:$C$101,MATCH(D1024,Products!$A$2:$A$101,0))</f>
        <v>Beauty</v>
      </c>
      <c r="G1024" s="6" t="n">
        <f aca="false">Orders!E1024</f>
        <v>2</v>
      </c>
      <c r="H1024" s="16" t="n">
        <f aca="false">INDEX(Products!$D$2:$D$101,MATCH(D1024,Products!$A$2:$A$101,0))</f>
        <v>499</v>
      </c>
      <c r="I1024" s="16" t="n">
        <f aca="false">INDEX(Products!$E$2:$E$101,MATCH(D1024,Products!$A$2:$A$101,0))</f>
        <v>220</v>
      </c>
      <c r="J1024" s="20" t="n">
        <f aca="false">Orders!F1024</f>
        <v>0.05</v>
      </c>
      <c r="K1024" s="6" t="n">
        <f aca="false">G1024*H1024</f>
        <v>998</v>
      </c>
      <c r="L1024" s="6" t="n">
        <f aca="false">K1024*J1024</f>
        <v>49.9</v>
      </c>
      <c r="M1024" s="6" t="n">
        <f aca="false">K1024-L1024</f>
        <v>948.1</v>
      </c>
      <c r="N1024" s="6" t="n">
        <f aca="false">G1024*I1024</f>
        <v>440</v>
      </c>
      <c r="O1024" s="6" t="n">
        <f aca="false">M1024-N1024</f>
        <v>508.1</v>
      </c>
      <c r="P1024" s="21" t="n">
        <f aca="false">IFERROR(O1024/M1024,0)</f>
        <v>0.535913933129417</v>
      </c>
      <c r="Q1024" s="6" t="str">
        <f aca="false">Orders!H1024</f>
        <v>Delivered</v>
      </c>
      <c r="R1024" s="1" t="str">
        <f aca="false">INDEX(Customers!$C$2:$C$301,MATCH(C1024,Customers!$A$2:$A$301,0))</f>
        <v>Chennai</v>
      </c>
      <c r="S1024" s="1" t="str">
        <f aca="false">INDEX(Customers!$E$2:$E$301,MATCH(C1024,Customers!$A$2:$A$301,0))</f>
        <v>New</v>
      </c>
      <c r="T1024" s="6" t="str">
        <f aca="false">Orders!I1024</f>
        <v>Mobile App</v>
      </c>
      <c r="U1024" s="1" t="str">
        <f aca="false">IF(Q1024="Delivered","Completed",IF(Q1024="Cancelled","Cancelled",IF(Q1024="Returned","Returned","In Progress")))</f>
        <v>Completed</v>
      </c>
      <c r="V1024" s="1" t="str">
        <f aca="false">IF(M1024&gt;=10000,"High Value",IF(M1024&gt;=5000,"Medium Value","Low Value"))</f>
        <v>Low Value</v>
      </c>
      <c r="W1024" s="1" t="str">
        <f aca="false">IF(O1024&gt;0,"Profitable",IF(O1024=0,"Break-even","Loss"))</f>
        <v>Profitable</v>
      </c>
      <c r="X1024" s="1" t="str">
        <f aca="false">IF(Q1024="Cancelled","Not Applicable",IF(Q1024="Processing","Pending",IF(B1024="","Unknown",IF(Orders!J1024="","Unknown",IF(Orders!J1024&lt;=3,"Fast",IF(Orders!J1024&lt;=6,"Standard","Slow"))))))</f>
        <v>Fast</v>
      </c>
      <c r="Y1024" s="1" t="n">
        <f aca="false">IF(OR(Q1024="Cancelled",Q1024="Returned"),0,O1024)</f>
        <v>508.1</v>
      </c>
    </row>
    <row r="1025" customFormat="false" ht="15" hidden="false" customHeight="false" outlineLevel="0" collapsed="false">
      <c r="A1025" s="6" t="str">
        <f aca="false">Orders!A1025</f>
        <v>O001024</v>
      </c>
      <c r="B1025" s="19" t="n">
        <f aca="false">Orders!B1025</f>
        <v>45864</v>
      </c>
      <c r="C1025" s="6" t="str">
        <f aca="false">Orders!C1025</f>
        <v>C0179</v>
      </c>
      <c r="D1025" s="6" t="str">
        <f aca="false">Orders!D1025</f>
        <v>P1067</v>
      </c>
      <c r="E1025" s="6" t="str">
        <f aca="false">INDEX(Products!$B$2:$B$101,MATCH(D1025,Products!$A$2:$A$101,0))</f>
        <v>Camping Torch</v>
      </c>
      <c r="F1025" s="1" t="str">
        <f aca="false">INDEX(Products!$C$2:$C$101,MATCH(D1025,Products!$A$2:$A$101,0))</f>
        <v>Sports &amp; Outdoors</v>
      </c>
      <c r="G1025" s="6" t="n">
        <f aca="false">Orders!E1025</f>
        <v>1</v>
      </c>
      <c r="H1025" s="16" t="n">
        <f aca="false">INDEX(Products!$D$2:$D$101,MATCH(D1025,Products!$A$2:$A$101,0))</f>
        <v>599</v>
      </c>
      <c r="I1025" s="16" t="n">
        <f aca="false">INDEX(Products!$E$2:$E$101,MATCH(D1025,Products!$A$2:$A$101,0))</f>
        <v>250</v>
      </c>
      <c r="J1025" s="20" t="n">
        <f aca="false">Orders!F1025</f>
        <v>0.05</v>
      </c>
      <c r="K1025" s="6" t="n">
        <f aca="false">G1025*H1025</f>
        <v>599</v>
      </c>
      <c r="L1025" s="6" t="n">
        <f aca="false">K1025*J1025</f>
        <v>29.95</v>
      </c>
      <c r="M1025" s="6" t="n">
        <f aca="false">K1025-L1025</f>
        <v>569.05</v>
      </c>
      <c r="N1025" s="6" t="n">
        <f aca="false">G1025*I1025</f>
        <v>250</v>
      </c>
      <c r="O1025" s="6" t="n">
        <f aca="false">M1025-N1025</f>
        <v>319.05</v>
      </c>
      <c r="P1025" s="21" t="n">
        <f aca="false">IFERROR(O1025/M1025,0)</f>
        <v>0.560671294262367</v>
      </c>
      <c r="Q1025" s="6" t="str">
        <f aca="false">Orders!H1025</f>
        <v>Delivered</v>
      </c>
      <c r="R1025" s="1" t="str">
        <f aca="false">INDEX(Customers!$C$2:$C$301,MATCH(C1025,Customers!$A$2:$A$301,0))</f>
        <v>Coimbatore</v>
      </c>
      <c r="S1025" s="1" t="str">
        <f aca="false">INDEX(Customers!$E$2:$E$301,MATCH(C1025,Customers!$A$2:$A$301,0))</f>
        <v>New</v>
      </c>
      <c r="T1025" s="6" t="str">
        <f aca="false">Orders!I1025</f>
        <v>Marketplace</v>
      </c>
      <c r="U1025" s="1" t="str">
        <f aca="false">IF(Q1025="Delivered","Completed",IF(Q1025="Cancelled","Cancelled",IF(Q1025="Returned","Returned","In Progress")))</f>
        <v>Completed</v>
      </c>
      <c r="V1025" s="1" t="str">
        <f aca="false">IF(M1025&gt;=10000,"High Value",IF(M1025&gt;=5000,"Medium Value","Low Value"))</f>
        <v>Low Value</v>
      </c>
      <c r="W1025" s="1" t="str">
        <f aca="false">IF(O1025&gt;0,"Profitable",IF(O1025=0,"Break-even","Loss"))</f>
        <v>Profitable</v>
      </c>
      <c r="X1025" s="1" t="str">
        <f aca="false">IF(Q1025="Cancelled","Not Applicable",IF(Q1025="Processing","Pending",IF(B1025="","Unknown",IF(Orders!J1025="","Unknown",IF(Orders!J1025&lt;=3,"Fast",IF(Orders!J1025&lt;=6,"Standard","Slow"))))))</f>
        <v>Standard</v>
      </c>
      <c r="Y1025" s="1" t="n">
        <f aca="false">IF(OR(Q1025="Cancelled",Q1025="Returned"),0,O1025)</f>
        <v>319.05</v>
      </c>
    </row>
    <row r="1026" customFormat="false" ht="15" hidden="false" customHeight="false" outlineLevel="0" collapsed="false">
      <c r="A1026" s="6" t="str">
        <f aca="false">Orders!A1026</f>
        <v>O001025</v>
      </c>
      <c r="B1026" s="19" t="n">
        <f aca="false">Orders!B1026</f>
        <v>45964</v>
      </c>
      <c r="C1026" s="6" t="str">
        <f aca="false">Orders!C1026</f>
        <v>C0265</v>
      </c>
      <c r="D1026" s="6" t="str">
        <f aca="false">Orders!D1026</f>
        <v>P1055</v>
      </c>
      <c r="E1026" s="6" t="str">
        <f aca="false">INDEX(Products!$B$2:$B$101,MATCH(D1026,Products!$A$2:$A$101,0))</f>
        <v>Perfume</v>
      </c>
      <c r="F1026" s="1" t="str">
        <f aca="false">INDEX(Products!$C$2:$C$101,MATCH(D1026,Products!$A$2:$A$101,0))</f>
        <v>Beauty</v>
      </c>
      <c r="G1026" s="6" t="n">
        <f aca="false">Orders!E1026</f>
        <v>1</v>
      </c>
      <c r="H1026" s="16" t="n">
        <f aca="false">INDEX(Products!$D$2:$D$101,MATCH(D1026,Products!$A$2:$A$101,0))</f>
        <v>999</v>
      </c>
      <c r="I1026" s="16" t="n">
        <f aca="false">INDEX(Products!$E$2:$E$101,MATCH(D1026,Products!$A$2:$A$101,0))</f>
        <v>500</v>
      </c>
      <c r="J1026" s="20" t="n">
        <f aca="false">Orders!F1026</f>
        <v>0.15</v>
      </c>
      <c r="K1026" s="6" t="n">
        <f aca="false">G1026*H1026</f>
        <v>999</v>
      </c>
      <c r="L1026" s="6" t="n">
        <f aca="false">K1026*J1026</f>
        <v>149.85</v>
      </c>
      <c r="M1026" s="6" t="n">
        <f aca="false">K1026-L1026</f>
        <v>849.15</v>
      </c>
      <c r="N1026" s="6" t="n">
        <f aca="false">G1026*I1026</f>
        <v>500</v>
      </c>
      <c r="O1026" s="6" t="n">
        <f aca="false">M1026-N1026</f>
        <v>349.15</v>
      </c>
      <c r="P1026" s="21" t="n">
        <f aca="false">IFERROR(O1026/M1026,0)</f>
        <v>0.411175881764117</v>
      </c>
      <c r="Q1026" s="6" t="str">
        <f aca="false">Orders!H1026</f>
        <v>Delivered</v>
      </c>
      <c r="R1026" s="1" t="str">
        <f aca="false">INDEX(Customers!$C$2:$C$301,MATCH(C1026,Customers!$A$2:$A$301,0))</f>
        <v>Chennai</v>
      </c>
      <c r="S1026" s="1" t="str">
        <f aca="false">INDEX(Customers!$E$2:$E$301,MATCH(C1026,Customers!$A$2:$A$301,0))</f>
        <v>VIP</v>
      </c>
      <c r="T1026" s="6" t="str">
        <f aca="false">Orders!I1026</f>
        <v>Mobile App</v>
      </c>
      <c r="U1026" s="1" t="str">
        <f aca="false">IF(Q1026="Delivered","Completed",IF(Q1026="Cancelled","Cancelled",IF(Q1026="Returned","Returned","In Progress")))</f>
        <v>Completed</v>
      </c>
      <c r="V1026" s="1" t="str">
        <f aca="false">IF(M1026&gt;=10000,"High Value",IF(M1026&gt;=5000,"Medium Value","Low Value"))</f>
        <v>Low Value</v>
      </c>
      <c r="W1026" s="1" t="str">
        <f aca="false">IF(O1026&gt;0,"Profitable",IF(O1026=0,"Break-even","Loss"))</f>
        <v>Profitable</v>
      </c>
      <c r="X1026" s="1" t="str">
        <f aca="false">IF(Q1026="Cancelled","Not Applicable",IF(Q1026="Processing","Pending",IF(B1026="","Unknown",IF(Orders!J1026="","Unknown",IF(Orders!J1026&lt;=3,"Fast",IF(Orders!J1026&lt;=6,"Standard","Slow"))))))</f>
        <v>Fast</v>
      </c>
      <c r="Y1026" s="1" t="n">
        <f aca="false">IF(OR(Q1026="Cancelled",Q1026="Returned"),0,O1026)</f>
        <v>349.15</v>
      </c>
    </row>
    <row r="1027" customFormat="false" ht="15" hidden="false" customHeight="false" outlineLevel="0" collapsed="false">
      <c r="A1027" s="6" t="str">
        <f aca="false">Orders!A1027</f>
        <v>O001026</v>
      </c>
      <c r="B1027" s="19" t="n">
        <f aca="false">Orders!B1027</f>
        <v>45682</v>
      </c>
      <c r="C1027" s="6" t="str">
        <f aca="false">Orders!C1027</f>
        <v>C0047</v>
      </c>
      <c r="D1027" s="6" t="str">
        <f aca="false">Orders!D1027</f>
        <v>P1043</v>
      </c>
      <c r="E1027" s="6" t="str">
        <f aca="false">INDEX(Products!$B$2:$B$101,MATCH(D1027,Products!$A$2:$A$101,0))</f>
        <v>Kitchen Rack</v>
      </c>
      <c r="F1027" s="1" t="str">
        <f aca="false">INDEX(Products!$C$2:$C$101,MATCH(D1027,Products!$A$2:$A$101,0))</f>
        <v>Home &amp; Kitchen</v>
      </c>
      <c r="G1027" s="6" t="n">
        <f aca="false">Orders!E1027</f>
        <v>2</v>
      </c>
      <c r="H1027" s="16" t="n">
        <f aca="false">INDEX(Products!$D$2:$D$101,MATCH(D1027,Products!$A$2:$A$101,0))</f>
        <v>1299</v>
      </c>
      <c r="I1027" s="16" t="n">
        <f aca="false">INDEX(Products!$E$2:$E$101,MATCH(D1027,Products!$A$2:$A$101,0))</f>
        <v>700</v>
      </c>
      <c r="J1027" s="20" t="n">
        <f aca="false">Orders!F1027</f>
        <v>0</v>
      </c>
      <c r="K1027" s="6" t="n">
        <f aca="false">G1027*H1027</f>
        <v>2598</v>
      </c>
      <c r="L1027" s="6" t="n">
        <f aca="false">K1027*J1027</f>
        <v>0</v>
      </c>
      <c r="M1027" s="6" t="n">
        <f aca="false">K1027-L1027</f>
        <v>2598</v>
      </c>
      <c r="N1027" s="6" t="n">
        <f aca="false">G1027*I1027</f>
        <v>1400</v>
      </c>
      <c r="O1027" s="6" t="n">
        <f aca="false">M1027-N1027</f>
        <v>1198</v>
      </c>
      <c r="P1027" s="21" t="n">
        <f aca="false">IFERROR(O1027/M1027,0)</f>
        <v>0.461123941493457</v>
      </c>
      <c r="Q1027" s="6" t="str">
        <f aca="false">Orders!H1027</f>
        <v>Cancelled</v>
      </c>
      <c r="R1027" s="1" t="str">
        <f aca="false">INDEX(Customers!$C$2:$C$301,MATCH(C1027,Customers!$A$2:$A$301,0))</f>
        <v>Pune</v>
      </c>
      <c r="S1027" s="1" t="str">
        <f aca="false">INDEX(Customers!$E$2:$E$301,MATCH(C1027,Customers!$A$2:$A$301,0))</f>
        <v>VIP</v>
      </c>
      <c r="T1027" s="6" t="str">
        <f aca="false">Orders!I1027</f>
        <v>Website</v>
      </c>
      <c r="U1027" s="1" t="str">
        <f aca="false">IF(Q1027="Delivered","Completed",IF(Q1027="Cancelled","Cancelled",IF(Q1027="Returned","Returned","In Progress")))</f>
        <v>Cancelled</v>
      </c>
      <c r="V1027" s="1" t="str">
        <f aca="false">IF(M1027&gt;=10000,"High Value",IF(M1027&gt;=5000,"Medium Value","Low Value"))</f>
        <v>Low Value</v>
      </c>
      <c r="W1027" s="1" t="str">
        <f aca="false">IF(O1027&gt;0,"Profitable",IF(O1027=0,"Break-even","Loss"))</f>
        <v>Profitable</v>
      </c>
      <c r="X1027" s="1" t="str">
        <f aca="false">IF(Q1027="Cancelled","Not Applicable",IF(Q1027="Processing","Pending",IF(B1027="","Unknown",IF(Orders!J1027="","Unknown",IF(Orders!J1027&lt;=3,"Fast",IF(Orders!J1027&lt;=6,"Standard","Slow"))))))</f>
        <v>Not Applicable</v>
      </c>
      <c r="Y1027" s="1" t="n">
        <f aca="false">IF(OR(Q1027="Cancelled",Q1027="Returned"),0,O1027)</f>
        <v>0</v>
      </c>
    </row>
    <row r="1028" customFormat="false" ht="15" hidden="false" customHeight="false" outlineLevel="0" collapsed="false">
      <c r="A1028" s="6" t="str">
        <f aca="false">Orders!A1028</f>
        <v>O001027</v>
      </c>
      <c r="B1028" s="19" t="n">
        <f aca="false">Orders!B1028</f>
        <v>45913</v>
      </c>
      <c r="C1028" s="6" t="str">
        <f aca="false">Orders!C1028</f>
        <v>C0119</v>
      </c>
      <c r="D1028" s="6" t="str">
        <f aca="false">Orders!D1028</f>
        <v>P1054</v>
      </c>
      <c r="E1028" s="6" t="str">
        <f aca="false">INDEX(Products!$B$2:$B$101,MATCH(D1028,Products!$A$2:$A$101,0))</f>
        <v>Face Mask Pack</v>
      </c>
      <c r="F1028" s="1" t="str">
        <f aca="false">INDEX(Products!$C$2:$C$101,MATCH(D1028,Products!$A$2:$A$101,0))</f>
        <v>Beauty</v>
      </c>
      <c r="G1028" s="6" t="n">
        <f aca="false">Orders!E1028</f>
        <v>4</v>
      </c>
      <c r="H1028" s="16" t="n">
        <f aca="false">INDEX(Products!$D$2:$D$101,MATCH(D1028,Products!$A$2:$A$101,0))</f>
        <v>299</v>
      </c>
      <c r="I1028" s="16" t="n">
        <f aca="false">INDEX(Products!$E$2:$E$101,MATCH(D1028,Products!$A$2:$A$101,0))</f>
        <v>110</v>
      </c>
      <c r="J1028" s="20" t="n">
        <f aca="false">Orders!F1028</f>
        <v>0.05</v>
      </c>
      <c r="K1028" s="6" t="n">
        <f aca="false">G1028*H1028</f>
        <v>1196</v>
      </c>
      <c r="L1028" s="6" t="n">
        <f aca="false">K1028*J1028</f>
        <v>59.8</v>
      </c>
      <c r="M1028" s="6" t="n">
        <f aca="false">K1028-L1028</f>
        <v>1136.2</v>
      </c>
      <c r="N1028" s="6" t="n">
        <f aca="false">G1028*I1028</f>
        <v>440</v>
      </c>
      <c r="O1028" s="6" t="n">
        <f aca="false">M1028-N1028</f>
        <v>696.2</v>
      </c>
      <c r="P1028" s="21" t="n">
        <f aca="false">IFERROR(O1028/M1028,0)</f>
        <v>0.612744235169864</v>
      </c>
      <c r="Q1028" s="6" t="str">
        <f aca="false">Orders!H1028</f>
        <v>Delivered</v>
      </c>
      <c r="R1028" s="1" t="str">
        <f aca="false">INDEX(Customers!$C$2:$C$301,MATCH(C1028,Customers!$A$2:$A$301,0))</f>
        <v>Coimbatore</v>
      </c>
      <c r="S1028" s="1" t="str">
        <f aca="false">INDEX(Customers!$E$2:$E$301,MATCH(C1028,Customers!$A$2:$A$301,0))</f>
        <v>VIP</v>
      </c>
      <c r="T1028" s="6" t="str">
        <f aca="false">Orders!I1028</f>
        <v>Mobile App</v>
      </c>
      <c r="U1028" s="1" t="str">
        <f aca="false">IF(Q1028="Delivered","Completed",IF(Q1028="Cancelled","Cancelled",IF(Q1028="Returned","Returned","In Progress")))</f>
        <v>Completed</v>
      </c>
      <c r="V1028" s="1" t="str">
        <f aca="false">IF(M1028&gt;=10000,"High Value",IF(M1028&gt;=5000,"Medium Value","Low Value"))</f>
        <v>Low Value</v>
      </c>
      <c r="W1028" s="1" t="str">
        <f aca="false">IF(O1028&gt;0,"Profitable",IF(O1028=0,"Break-even","Loss"))</f>
        <v>Profitable</v>
      </c>
      <c r="X1028" s="1" t="str">
        <f aca="false">IF(Q1028="Cancelled","Not Applicable",IF(Q1028="Processing","Pending",IF(B1028="","Unknown",IF(Orders!J1028="","Unknown",IF(Orders!J1028&lt;=3,"Fast",IF(Orders!J1028&lt;=6,"Standard","Slow"))))))</f>
        <v>Fast</v>
      </c>
      <c r="Y1028" s="1" t="n">
        <f aca="false">IF(OR(Q1028="Cancelled",Q1028="Returned"),0,O1028)</f>
        <v>696.2</v>
      </c>
    </row>
    <row r="1029" customFormat="false" ht="23.85" hidden="false" customHeight="false" outlineLevel="0" collapsed="false">
      <c r="A1029" s="6" t="str">
        <f aca="false">Orders!A1029</f>
        <v>O001028</v>
      </c>
      <c r="B1029" s="19" t="n">
        <f aca="false">Orders!B1029</f>
        <v>45968</v>
      </c>
      <c r="C1029" s="6" t="str">
        <f aca="false">Orders!C1029</f>
        <v>C0065</v>
      </c>
      <c r="D1029" s="6" t="str">
        <f aca="false">Orders!D1029</f>
        <v>P1081</v>
      </c>
      <c r="E1029" s="6" t="str">
        <f aca="false">INDEX(Products!$B$2:$B$101,MATCH(D1029,Products!$A$2:$A$101,0))</f>
        <v>Sticky Notes Pack</v>
      </c>
      <c r="F1029" s="1" t="str">
        <f aca="false">INDEX(Products!$C$2:$C$101,MATCH(D1029,Products!$A$2:$A$101,0))</f>
        <v>Books &amp; Stationery</v>
      </c>
      <c r="G1029" s="6" t="n">
        <f aca="false">Orders!E1029</f>
        <v>1</v>
      </c>
      <c r="H1029" s="16" t="n">
        <f aca="false">INDEX(Products!$D$2:$D$101,MATCH(D1029,Products!$A$2:$A$101,0))</f>
        <v>149</v>
      </c>
      <c r="I1029" s="16" t="n">
        <f aca="false">INDEX(Products!$E$2:$E$101,MATCH(D1029,Products!$A$2:$A$101,0))</f>
        <v>45</v>
      </c>
      <c r="J1029" s="20" t="n">
        <f aca="false">Orders!F1029</f>
        <v>0.1</v>
      </c>
      <c r="K1029" s="6" t="n">
        <f aca="false">G1029*H1029</f>
        <v>149</v>
      </c>
      <c r="L1029" s="6" t="n">
        <f aca="false">K1029*J1029</f>
        <v>14.9</v>
      </c>
      <c r="M1029" s="6" t="n">
        <f aca="false">K1029-L1029</f>
        <v>134.1</v>
      </c>
      <c r="N1029" s="6" t="n">
        <f aca="false">G1029*I1029</f>
        <v>45</v>
      </c>
      <c r="O1029" s="6" t="n">
        <f aca="false">M1029-N1029</f>
        <v>89.1</v>
      </c>
      <c r="P1029" s="21" t="n">
        <f aca="false">IFERROR(O1029/M1029,0)</f>
        <v>0.664429530201342</v>
      </c>
      <c r="Q1029" s="6" t="str">
        <f aca="false">Orders!H1029</f>
        <v>Shipped</v>
      </c>
      <c r="R1029" s="1" t="str">
        <f aca="false">INDEX(Customers!$C$2:$C$301,MATCH(C1029,Customers!$A$2:$A$301,0))</f>
        <v>Chennai</v>
      </c>
      <c r="S1029" s="1" t="str">
        <f aca="false">INDEX(Customers!$E$2:$E$301,MATCH(C1029,Customers!$A$2:$A$301,0))</f>
        <v>Returning</v>
      </c>
      <c r="T1029" s="6" t="str">
        <f aca="false">Orders!I1029</f>
        <v>Website</v>
      </c>
      <c r="U1029" s="1" t="str">
        <f aca="false">IF(Q1029="Delivered","Completed",IF(Q1029="Cancelled","Cancelled",IF(Q1029="Returned","Returned","In Progress")))</f>
        <v>In Progress</v>
      </c>
      <c r="V1029" s="1" t="str">
        <f aca="false">IF(M1029&gt;=10000,"High Value",IF(M1029&gt;=5000,"Medium Value","Low Value"))</f>
        <v>Low Value</v>
      </c>
      <c r="W1029" s="1" t="str">
        <f aca="false">IF(O1029&gt;0,"Profitable",IF(O1029=0,"Break-even","Loss"))</f>
        <v>Profitable</v>
      </c>
      <c r="X1029" s="1" t="str">
        <f aca="false">IF(Q1029="Cancelled","Not Applicable",IF(Q1029="Processing","Pending",IF(B1029="","Unknown",IF(Orders!J1029="","Unknown",IF(Orders!J1029&lt;=3,"Fast",IF(Orders!J1029&lt;=6,"Standard","Slow"))))))</f>
        <v>Slow</v>
      </c>
      <c r="Y1029" s="1" t="n">
        <f aca="false">IF(OR(Q1029="Cancelled",Q1029="Returned"),0,O1029)</f>
        <v>89.1</v>
      </c>
    </row>
    <row r="1030" customFormat="false" ht="15" hidden="false" customHeight="false" outlineLevel="0" collapsed="false">
      <c r="A1030" s="6" t="str">
        <f aca="false">Orders!A1030</f>
        <v>O001029</v>
      </c>
      <c r="B1030" s="19" t="n">
        <f aca="false">Orders!B1030</f>
        <v>45837</v>
      </c>
      <c r="C1030" s="6" t="str">
        <f aca="false">Orders!C1030</f>
        <v>C0062</v>
      </c>
      <c r="D1030" s="6" t="str">
        <f aca="false">Orders!D1030</f>
        <v>P1044</v>
      </c>
      <c r="E1030" s="6" t="str">
        <f aca="false">INDEX(Products!$B$2:$B$101,MATCH(D1030,Products!$A$2:$A$101,0))</f>
        <v>Doormat</v>
      </c>
      <c r="F1030" s="1" t="str">
        <f aca="false">INDEX(Products!$C$2:$C$101,MATCH(D1030,Products!$A$2:$A$101,0))</f>
        <v>Home &amp; Kitchen</v>
      </c>
      <c r="G1030" s="6" t="n">
        <f aca="false">Orders!E1030</f>
        <v>2</v>
      </c>
      <c r="H1030" s="16" t="n">
        <f aca="false">INDEX(Products!$D$2:$D$101,MATCH(D1030,Products!$A$2:$A$101,0))</f>
        <v>299</v>
      </c>
      <c r="I1030" s="16" t="n">
        <f aca="false">INDEX(Products!$E$2:$E$101,MATCH(D1030,Products!$A$2:$A$101,0))</f>
        <v>100</v>
      </c>
      <c r="J1030" s="20" t="n">
        <f aca="false">Orders!F1030</f>
        <v>0.1</v>
      </c>
      <c r="K1030" s="6" t="n">
        <f aca="false">G1030*H1030</f>
        <v>598</v>
      </c>
      <c r="L1030" s="6" t="n">
        <f aca="false">K1030*J1030</f>
        <v>59.8</v>
      </c>
      <c r="M1030" s="6" t="n">
        <f aca="false">K1030-L1030</f>
        <v>538.2</v>
      </c>
      <c r="N1030" s="6" t="n">
        <f aca="false">G1030*I1030</f>
        <v>200</v>
      </c>
      <c r="O1030" s="6" t="n">
        <f aca="false">M1030-N1030</f>
        <v>338.2</v>
      </c>
      <c r="P1030" s="21" t="n">
        <f aca="false">IFERROR(O1030/M1030,0)</f>
        <v>0.628390932738759</v>
      </c>
      <c r="Q1030" s="6" t="str">
        <f aca="false">Orders!H1030</f>
        <v>Delivered</v>
      </c>
      <c r="R1030" s="1" t="str">
        <f aca="false">INDEX(Customers!$C$2:$C$301,MATCH(C1030,Customers!$A$2:$A$301,0))</f>
        <v>Mumbai</v>
      </c>
      <c r="S1030" s="1" t="str">
        <f aca="false">INDEX(Customers!$E$2:$E$301,MATCH(C1030,Customers!$A$2:$A$301,0))</f>
        <v>VIP</v>
      </c>
      <c r="T1030" s="6" t="str">
        <f aca="false">Orders!I1030</f>
        <v>Marketplace</v>
      </c>
      <c r="U1030" s="1" t="str">
        <f aca="false">IF(Q1030="Delivered","Completed",IF(Q1030="Cancelled","Cancelled",IF(Q1030="Returned","Returned","In Progress")))</f>
        <v>Completed</v>
      </c>
      <c r="V1030" s="1" t="str">
        <f aca="false">IF(M1030&gt;=10000,"High Value",IF(M1030&gt;=5000,"Medium Value","Low Value"))</f>
        <v>Low Value</v>
      </c>
      <c r="W1030" s="1" t="str">
        <f aca="false">IF(O1030&gt;0,"Profitable",IF(O1030=0,"Break-even","Loss"))</f>
        <v>Profitable</v>
      </c>
      <c r="X1030" s="1" t="str">
        <f aca="false">IF(Q1030="Cancelled","Not Applicable",IF(Q1030="Processing","Pending",IF(B1030="","Unknown",IF(Orders!J1030="","Unknown",IF(Orders!J1030&lt;=3,"Fast",IF(Orders!J1030&lt;=6,"Standard","Slow"))))))</f>
        <v>Fast</v>
      </c>
      <c r="Y1030" s="1" t="n">
        <f aca="false">IF(OR(Q1030="Cancelled",Q1030="Returned"),0,O1030)</f>
        <v>338.2</v>
      </c>
    </row>
    <row r="1031" customFormat="false" ht="23.85" hidden="false" customHeight="false" outlineLevel="0" collapsed="false">
      <c r="A1031" s="6" t="str">
        <f aca="false">Orders!A1031</f>
        <v>O001030</v>
      </c>
      <c r="B1031" s="19" t="n">
        <f aca="false">Orders!B1031</f>
        <v>45826</v>
      </c>
      <c r="C1031" s="6" t="str">
        <f aca="false">Orders!C1031</f>
        <v>C0043</v>
      </c>
      <c r="D1031" s="6" t="str">
        <f aca="false">Orders!D1031</f>
        <v>P1002</v>
      </c>
      <c r="E1031" s="6" t="str">
        <f aca="false">INDEX(Products!$B$2:$B$101,MATCH(D1031,Products!$A$2:$A$101,0))</f>
        <v>Bluetooth Speaker</v>
      </c>
      <c r="F1031" s="1" t="str">
        <f aca="false">INDEX(Products!$C$2:$C$101,MATCH(D1031,Products!$A$2:$A$101,0))</f>
        <v>Electronics</v>
      </c>
      <c r="G1031" s="6" t="n">
        <f aca="false">Orders!E1031</f>
        <v>1</v>
      </c>
      <c r="H1031" s="16" t="n">
        <f aca="false">INDEX(Products!$D$2:$D$101,MATCH(D1031,Products!$A$2:$A$101,0))</f>
        <v>1499</v>
      </c>
      <c r="I1031" s="16" t="n">
        <f aca="false">INDEX(Products!$E$2:$E$101,MATCH(D1031,Products!$A$2:$A$101,0))</f>
        <v>850</v>
      </c>
      <c r="J1031" s="20" t="n">
        <f aca="false">Orders!F1031</f>
        <v>0.15</v>
      </c>
      <c r="K1031" s="6" t="n">
        <f aca="false">G1031*H1031</f>
        <v>1499</v>
      </c>
      <c r="L1031" s="6" t="n">
        <f aca="false">K1031*J1031</f>
        <v>224.85</v>
      </c>
      <c r="M1031" s="6" t="n">
        <f aca="false">K1031-L1031</f>
        <v>1274.15</v>
      </c>
      <c r="N1031" s="6" t="n">
        <f aca="false">G1031*I1031</f>
        <v>850</v>
      </c>
      <c r="O1031" s="6" t="n">
        <f aca="false">M1031-N1031</f>
        <v>424.15</v>
      </c>
      <c r="P1031" s="21" t="n">
        <f aca="false">IFERROR(O1031/M1031,0)</f>
        <v>0.33288859239493</v>
      </c>
      <c r="Q1031" s="6" t="str">
        <f aca="false">Orders!H1031</f>
        <v>Delivered</v>
      </c>
      <c r="R1031" s="1" t="str">
        <f aca="false">INDEX(Customers!$C$2:$C$301,MATCH(C1031,Customers!$A$2:$A$301,0))</f>
        <v>Bengaluru</v>
      </c>
      <c r="S1031" s="1" t="str">
        <f aca="false">INDEX(Customers!$E$2:$E$301,MATCH(C1031,Customers!$A$2:$A$301,0))</f>
        <v>New</v>
      </c>
      <c r="T1031" s="6" t="str">
        <f aca="false">Orders!I1031</f>
        <v>Mobile App</v>
      </c>
      <c r="U1031" s="1" t="str">
        <f aca="false">IF(Q1031="Delivered","Completed",IF(Q1031="Cancelled","Cancelled",IF(Q1031="Returned","Returned","In Progress")))</f>
        <v>Completed</v>
      </c>
      <c r="V1031" s="1" t="str">
        <f aca="false">IF(M1031&gt;=10000,"High Value",IF(M1031&gt;=5000,"Medium Value","Low Value"))</f>
        <v>Low Value</v>
      </c>
      <c r="W1031" s="1" t="str">
        <f aca="false">IF(O1031&gt;0,"Profitable",IF(O1031=0,"Break-even","Loss"))</f>
        <v>Profitable</v>
      </c>
      <c r="X1031" s="1" t="str">
        <f aca="false">IF(Q1031="Cancelled","Not Applicable",IF(Q1031="Processing","Pending",IF(B1031="","Unknown",IF(Orders!J1031="","Unknown",IF(Orders!J1031&lt;=3,"Fast",IF(Orders!J1031&lt;=6,"Standard","Slow"))))))</f>
        <v>Standard</v>
      </c>
      <c r="Y1031" s="1" t="n">
        <f aca="false">IF(OR(Q1031="Cancelled",Q1031="Returned"),0,O1031)</f>
        <v>424.15</v>
      </c>
    </row>
    <row r="1032" customFormat="false" ht="23.85" hidden="false" customHeight="false" outlineLevel="0" collapsed="false">
      <c r="A1032" s="6" t="str">
        <f aca="false">Orders!A1032</f>
        <v>O001031</v>
      </c>
      <c r="B1032" s="19" t="n">
        <f aca="false">Orders!B1032</f>
        <v>45752</v>
      </c>
      <c r="C1032" s="6" t="str">
        <f aca="false">Orders!C1032</f>
        <v>C0218</v>
      </c>
      <c r="D1032" s="6" t="str">
        <f aca="false">Orders!D1032</f>
        <v>P1069</v>
      </c>
      <c r="E1032" s="6" t="str">
        <f aca="false">INDEX(Products!$B$2:$B$101,MATCH(D1032,Products!$A$2:$A$101,0))</f>
        <v>Sports Duffel Bag</v>
      </c>
      <c r="F1032" s="1" t="str">
        <f aca="false">INDEX(Products!$C$2:$C$101,MATCH(D1032,Products!$A$2:$A$101,0))</f>
        <v>Sports &amp; Outdoors</v>
      </c>
      <c r="G1032" s="6" t="n">
        <f aca="false">Orders!E1032</f>
        <v>2</v>
      </c>
      <c r="H1032" s="16" t="n">
        <f aca="false">INDEX(Products!$D$2:$D$101,MATCH(D1032,Products!$A$2:$A$101,0))</f>
        <v>999</v>
      </c>
      <c r="I1032" s="16" t="n">
        <f aca="false">INDEX(Products!$E$2:$E$101,MATCH(D1032,Products!$A$2:$A$101,0))</f>
        <v>500</v>
      </c>
      <c r="J1032" s="20" t="n">
        <f aca="false">Orders!F1032</f>
        <v>0.05</v>
      </c>
      <c r="K1032" s="6" t="n">
        <f aca="false">G1032*H1032</f>
        <v>1998</v>
      </c>
      <c r="L1032" s="6" t="n">
        <f aca="false">K1032*J1032</f>
        <v>99.9</v>
      </c>
      <c r="M1032" s="6" t="n">
        <f aca="false">K1032-L1032</f>
        <v>1898.1</v>
      </c>
      <c r="N1032" s="6" t="n">
        <f aca="false">G1032*I1032</f>
        <v>1000</v>
      </c>
      <c r="O1032" s="6" t="n">
        <f aca="false">M1032-N1032</f>
        <v>898.1</v>
      </c>
      <c r="P1032" s="21" t="n">
        <f aca="false">IFERROR(O1032/M1032,0)</f>
        <v>0.47315736789421</v>
      </c>
      <c r="Q1032" s="6" t="str">
        <f aca="false">Orders!H1032</f>
        <v>Delivered</v>
      </c>
      <c r="R1032" s="1" t="str">
        <f aca="false">INDEX(Customers!$C$2:$C$301,MATCH(C1032,Customers!$A$2:$A$301,0))</f>
        <v>Nagpur</v>
      </c>
      <c r="S1032" s="1" t="str">
        <f aca="false">INDEX(Customers!$E$2:$E$301,MATCH(C1032,Customers!$A$2:$A$301,0))</f>
        <v>VIP</v>
      </c>
      <c r="T1032" s="6" t="str">
        <f aca="false">Orders!I1032</f>
        <v>Mobile App</v>
      </c>
      <c r="U1032" s="1" t="str">
        <f aca="false">IF(Q1032="Delivered","Completed",IF(Q1032="Cancelled","Cancelled",IF(Q1032="Returned","Returned","In Progress")))</f>
        <v>Completed</v>
      </c>
      <c r="V1032" s="1" t="str">
        <f aca="false">IF(M1032&gt;=10000,"High Value",IF(M1032&gt;=5000,"Medium Value","Low Value"))</f>
        <v>Low Value</v>
      </c>
      <c r="W1032" s="1" t="str">
        <f aca="false">IF(O1032&gt;0,"Profitable",IF(O1032=0,"Break-even","Loss"))</f>
        <v>Profitable</v>
      </c>
      <c r="X1032" s="1" t="str">
        <f aca="false">IF(Q1032="Cancelled","Not Applicable",IF(Q1032="Processing","Pending",IF(B1032="","Unknown",IF(Orders!J1032="","Unknown",IF(Orders!J1032&lt;=3,"Fast",IF(Orders!J1032&lt;=6,"Standard","Slow"))))))</f>
        <v>Standard</v>
      </c>
      <c r="Y1032" s="1" t="n">
        <f aca="false">IF(OR(Q1032="Cancelled",Q1032="Returned"),0,O1032)</f>
        <v>898.1</v>
      </c>
    </row>
    <row r="1033" customFormat="false" ht="15" hidden="false" customHeight="false" outlineLevel="0" collapsed="false">
      <c r="A1033" s="6" t="str">
        <f aca="false">Orders!A1033</f>
        <v>O001032</v>
      </c>
      <c r="B1033" s="19" t="n">
        <f aca="false">Orders!B1033</f>
        <v>45867</v>
      </c>
      <c r="C1033" s="6" t="str">
        <f aca="false">Orders!C1033</f>
        <v>C0160</v>
      </c>
      <c r="D1033" s="6" t="str">
        <f aca="false">Orders!D1033</f>
        <v>P1043</v>
      </c>
      <c r="E1033" s="6" t="str">
        <f aca="false">INDEX(Products!$B$2:$B$101,MATCH(D1033,Products!$A$2:$A$101,0))</f>
        <v>Kitchen Rack</v>
      </c>
      <c r="F1033" s="1" t="str">
        <f aca="false">INDEX(Products!$C$2:$C$101,MATCH(D1033,Products!$A$2:$A$101,0))</f>
        <v>Home &amp; Kitchen</v>
      </c>
      <c r="G1033" s="6" t="n">
        <f aca="false">Orders!E1033</f>
        <v>1</v>
      </c>
      <c r="H1033" s="16" t="n">
        <f aca="false">INDEX(Products!$D$2:$D$101,MATCH(D1033,Products!$A$2:$A$101,0))</f>
        <v>1299</v>
      </c>
      <c r="I1033" s="16" t="n">
        <f aca="false">INDEX(Products!$E$2:$E$101,MATCH(D1033,Products!$A$2:$A$101,0))</f>
        <v>700</v>
      </c>
      <c r="J1033" s="20" t="n">
        <f aca="false">Orders!F1033</f>
        <v>0</v>
      </c>
      <c r="K1033" s="6" t="n">
        <f aca="false">G1033*H1033</f>
        <v>1299</v>
      </c>
      <c r="L1033" s="6" t="n">
        <f aca="false">K1033*J1033</f>
        <v>0</v>
      </c>
      <c r="M1033" s="6" t="n">
        <f aca="false">K1033-L1033</f>
        <v>1299</v>
      </c>
      <c r="N1033" s="6" t="n">
        <f aca="false">G1033*I1033</f>
        <v>700</v>
      </c>
      <c r="O1033" s="6" t="n">
        <f aca="false">M1033-N1033</f>
        <v>599</v>
      </c>
      <c r="P1033" s="21" t="n">
        <f aca="false">IFERROR(O1033/M1033,0)</f>
        <v>0.461123941493457</v>
      </c>
      <c r="Q1033" s="6" t="str">
        <f aca="false">Orders!H1033</f>
        <v>Delivered</v>
      </c>
      <c r="R1033" s="1" t="str">
        <f aca="false">INDEX(Customers!$C$2:$C$301,MATCH(C1033,Customers!$A$2:$A$301,0))</f>
        <v>Visakhapatnam</v>
      </c>
      <c r="S1033" s="1" t="str">
        <f aca="false">INDEX(Customers!$E$2:$E$301,MATCH(C1033,Customers!$A$2:$A$301,0))</f>
        <v>New</v>
      </c>
      <c r="T1033" s="6" t="str">
        <f aca="false">Orders!I1033</f>
        <v>Marketplace</v>
      </c>
      <c r="U1033" s="1" t="str">
        <f aca="false">IF(Q1033="Delivered","Completed",IF(Q1033="Cancelled","Cancelled",IF(Q1033="Returned","Returned","In Progress")))</f>
        <v>Completed</v>
      </c>
      <c r="V1033" s="1" t="str">
        <f aca="false">IF(M1033&gt;=10000,"High Value",IF(M1033&gt;=5000,"Medium Value","Low Value"))</f>
        <v>Low Value</v>
      </c>
      <c r="W1033" s="1" t="str">
        <f aca="false">IF(O1033&gt;0,"Profitable",IF(O1033=0,"Break-even","Loss"))</f>
        <v>Profitable</v>
      </c>
      <c r="X1033" s="1" t="str">
        <f aca="false">IF(Q1033="Cancelled","Not Applicable",IF(Q1033="Processing","Pending",IF(B1033="","Unknown",IF(Orders!J1033="","Unknown",IF(Orders!J1033&lt;=3,"Fast",IF(Orders!J1033&lt;=6,"Standard","Slow"))))))</f>
        <v>Fast</v>
      </c>
      <c r="Y1033" s="1" t="n">
        <f aca="false">IF(OR(Q1033="Cancelled",Q1033="Returned"),0,O1033)</f>
        <v>599</v>
      </c>
    </row>
    <row r="1034" customFormat="false" ht="15" hidden="false" customHeight="false" outlineLevel="0" collapsed="false">
      <c r="A1034" s="6" t="str">
        <f aca="false">Orders!A1034</f>
        <v>O001033</v>
      </c>
      <c r="B1034" s="19" t="n">
        <f aca="false">Orders!B1034</f>
        <v>45758</v>
      </c>
      <c r="C1034" s="6" t="str">
        <f aca="false">Orders!C1034</f>
        <v>C0235</v>
      </c>
      <c r="D1034" s="6" t="str">
        <f aca="false">Orders!D1034</f>
        <v>P1067</v>
      </c>
      <c r="E1034" s="6" t="str">
        <f aca="false">INDEX(Products!$B$2:$B$101,MATCH(D1034,Products!$A$2:$A$101,0))</f>
        <v>Camping Torch</v>
      </c>
      <c r="F1034" s="1" t="str">
        <f aca="false">INDEX(Products!$C$2:$C$101,MATCH(D1034,Products!$A$2:$A$101,0))</f>
        <v>Sports &amp; Outdoors</v>
      </c>
      <c r="G1034" s="6" t="n">
        <f aca="false">Orders!E1034</f>
        <v>4</v>
      </c>
      <c r="H1034" s="16" t="n">
        <f aca="false">INDEX(Products!$D$2:$D$101,MATCH(D1034,Products!$A$2:$A$101,0))</f>
        <v>599</v>
      </c>
      <c r="I1034" s="16" t="n">
        <f aca="false">INDEX(Products!$E$2:$E$101,MATCH(D1034,Products!$A$2:$A$101,0))</f>
        <v>250</v>
      </c>
      <c r="J1034" s="20" t="n">
        <f aca="false">Orders!F1034</f>
        <v>0.15</v>
      </c>
      <c r="K1034" s="6" t="n">
        <f aca="false">G1034*H1034</f>
        <v>2396</v>
      </c>
      <c r="L1034" s="6" t="n">
        <f aca="false">K1034*J1034</f>
        <v>359.4</v>
      </c>
      <c r="M1034" s="6" t="n">
        <f aca="false">K1034-L1034</f>
        <v>2036.6</v>
      </c>
      <c r="N1034" s="6" t="n">
        <f aca="false">G1034*I1034</f>
        <v>1000</v>
      </c>
      <c r="O1034" s="6" t="n">
        <f aca="false">M1034-N1034</f>
        <v>1036.6</v>
      </c>
      <c r="P1034" s="21" t="n">
        <f aca="false">IFERROR(O1034/M1034,0)</f>
        <v>0.508985564175587</v>
      </c>
      <c r="Q1034" s="6" t="str">
        <f aca="false">Orders!H1034</f>
        <v>Delivered</v>
      </c>
      <c r="R1034" s="1" t="str">
        <f aca="false">INDEX(Customers!$C$2:$C$301,MATCH(C1034,Customers!$A$2:$A$301,0))</f>
        <v>Bhopal</v>
      </c>
      <c r="S1034" s="1" t="str">
        <f aca="false">INDEX(Customers!$E$2:$E$301,MATCH(C1034,Customers!$A$2:$A$301,0))</f>
        <v>New</v>
      </c>
      <c r="T1034" s="6" t="str">
        <f aca="false">Orders!I1034</f>
        <v>Mobile App</v>
      </c>
      <c r="U1034" s="1" t="str">
        <f aca="false">IF(Q1034="Delivered","Completed",IF(Q1034="Cancelled","Cancelled",IF(Q1034="Returned","Returned","In Progress")))</f>
        <v>Completed</v>
      </c>
      <c r="V1034" s="1" t="str">
        <f aca="false">IF(M1034&gt;=10000,"High Value",IF(M1034&gt;=5000,"Medium Value","Low Value"))</f>
        <v>Low Value</v>
      </c>
      <c r="W1034" s="1" t="str">
        <f aca="false">IF(O1034&gt;0,"Profitable",IF(O1034=0,"Break-even","Loss"))</f>
        <v>Profitable</v>
      </c>
      <c r="X1034" s="1" t="str">
        <f aca="false">IF(Q1034="Cancelled","Not Applicable",IF(Q1034="Processing","Pending",IF(B1034="","Unknown",IF(Orders!J1034="","Unknown",IF(Orders!J1034&lt;=3,"Fast",IF(Orders!J1034&lt;=6,"Standard","Slow"))))))</f>
        <v>Standard</v>
      </c>
      <c r="Y1034" s="1" t="n">
        <f aca="false">IF(OR(Q1034="Cancelled",Q1034="Returned"),0,O1034)</f>
        <v>1036.6</v>
      </c>
    </row>
    <row r="1035" customFormat="false" ht="15" hidden="false" customHeight="false" outlineLevel="0" collapsed="false">
      <c r="A1035" s="6" t="str">
        <f aca="false">Orders!A1035</f>
        <v>O001034</v>
      </c>
      <c r="B1035" s="19" t="n">
        <f aca="false">Orders!B1035</f>
        <v>45670</v>
      </c>
      <c r="C1035" s="6" t="str">
        <f aca="false">Orders!C1035</f>
        <v>C0233</v>
      </c>
      <c r="D1035" s="6" t="str">
        <f aca="false">Orders!D1035</f>
        <v>P1100</v>
      </c>
      <c r="E1035" s="6" t="str">
        <f aca="false">INDEX(Products!$B$2:$B$101,MATCH(D1035,Products!$A$2:$A$101,0))</f>
        <v>Coffee Maker</v>
      </c>
      <c r="F1035" s="1" t="str">
        <f aca="false">INDEX(Products!$C$2:$C$101,MATCH(D1035,Products!$A$2:$A$101,0))</f>
        <v>Appliances</v>
      </c>
      <c r="G1035" s="6" t="n">
        <f aca="false">Orders!E1035</f>
        <v>1</v>
      </c>
      <c r="H1035" s="16" t="n">
        <f aca="false">INDEX(Products!$D$2:$D$101,MATCH(D1035,Products!$A$2:$A$101,0))</f>
        <v>2499</v>
      </c>
      <c r="I1035" s="16" t="n">
        <f aca="false">INDEX(Products!$E$2:$E$101,MATCH(D1035,Products!$A$2:$A$101,0))</f>
        <v>1600</v>
      </c>
      <c r="J1035" s="20" t="n">
        <f aca="false">Orders!F1035</f>
        <v>0.2</v>
      </c>
      <c r="K1035" s="6" t="n">
        <f aca="false">G1035*H1035</f>
        <v>2499</v>
      </c>
      <c r="L1035" s="6" t="n">
        <f aca="false">K1035*J1035</f>
        <v>499.8</v>
      </c>
      <c r="M1035" s="6" t="n">
        <f aca="false">K1035-L1035</f>
        <v>1999.2</v>
      </c>
      <c r="N1035" s="6" t="n">
        <f aca="false">G1035*I1035</f>
        <v>1600</v>
      </c>
      <c r="O1035" s="6" t="n">
        <f aca="false">M1035-N1035</f>
        <v>399.2</v>
      </c>
      <c r="P1035" s="21" t="n">
        <f aca="false">IFERROR(O1035/M1035,0)</f>
        <v>0.19967987194878</v>
      </c>
      <c r="Q1035" s="6" t="str">
        <f aca="false">Orders!H1035</f>
        <v>Delivered</v>
      </c>
      <c r="R1035" s="1" t="str">
        <f aca="false">INDEX(Customers!$C$2:$C$301,MATCH(C1035,Customers!$A$2:$A$301,0))</f>
        <v>Kochi</v>
      </c>
      <c r="S1035" s="1" t="str">
        <f aca="false">INDEX(Customers!$E$2:$E$301,MATCH(C1035,Customers!$A$2:$A$301,0))</f>
        <v>New</v>
      </c>
      <c r="T1035" s="6" t="str">
        <f aca="false">Orders!I1035</f>
        <v>Marketplace</v>
      </c>
      <c r="U1035" s="1" t="str">
        <f aca="false">IF(Q1035="Delivered","Completed",IF(Q1035="Cancelled","Cancelled",IF(Q1035="Returned","Returned","In Progress")))</f>
        <v>Completed</v>
      </c>
      <c r="V1035" s="1" t="str">
        <f aca="false">IF(M1035&gt;=10000,"High Value",IF(M1035&gt;=5000,"Medium Value","Low Value"))</f>
        <v>Low Value</v>
      </c>
      <c r="W1035" s="1" t="str">
        <f aca="false">IF(O1035&gt;0,"Profitable",IF(O1035=0,"Break-even","Loss"))</f>
        <v>Profitable</v>
      </c>
      <c r="X1035" s="1" t="str">
        <f aca="false">IF(Q1035="Cancelled","Not Applicable",IF(Q1035="Processing","Pending",IF(B1035="","Unknown",IF(Orders!J1035="","Unknown",IF(Orders!J1035&lt;=3,"Fast",IF(Orders!J1035&lt;=6,"Standard","Slow"))))))</f>
        <v>Standard</v>
      </c>
      <c r="Y1035" s="1" t="n">
        <f aca="false">IF(OR(Q1035="Cancelled",Q1035="Returned"),0,O1035)</f>
        <v>399.2</v>
      </c>
    </row>
    <row r="1036" customFormat="false" ht="23.85" hidden="false" customHeight="false" outlineLevel="0" collapsed="false">
      <c r="A1036" s="6" t="str">
        <f aca="false">Orders!A1036</f>
        <v>O001035</v>
      </c>
      <c r="B1036" s="19" t="n">
        <f aca="false">Orders!B1036</f>
        <v>45815</v>
      </c>
      <c r="C1036" s="6" t="str">
        <f aca="false">Orders!C1036</f>
        <v>C0295</v>
      </c>
      <c r="D1036" s="6" t="str">
        <f aca="false">Orders!D1036</f>
        <v>P1047</v>
      </c>
      <c r="E1036" s="6" t="str">
        <f aca="false">INDEX(Products!$B$2:$B$101,MATCH(D1036,Products!$A$2:$A$101,0))</f>
        <v>Sunscreen Lotion</v>
      </c>
      <c r="F1036" s="1" t="str">
        <f aca="false">INDEX(Products!$C$2:$C$101,MATCH(D1036,Products!$A$2:$A$101,0))</f>
        <v>Beauty</v>
      </c>
      <c r="G1036" s="6" t="n">
        <f aca="false">Orders!E1036</f>
        <v>1</v>
      </c>
      <c r="H1036" s="16" t="n">
        <f aca="false">INDEX(Products!$D$2:$D$101,MATCH(D1036,Products!$A$2:$A$101,0))</f>
        <v>399</v>
      </c>
      <c r="I1036" s="16" t="n">
        <f aca="false">INDEX(Products!$E$2:$E$101,MATCH(D1036,Products!$A$2:$A$101,0))</f>
        <v>170</v>
      </c>
      <c r="J1036" s="20" t="n">
        <f aca="false">Orders!F1036</f>
        <v>0.2</v>
      </c>
      <c r="K1036" s="6" t="n">
        <f aca="false">G1036*H1036</f>
        <v>399</v>
      </c>
      <c r="L1036" s="6" t="n">
        <f aca="false">K1036*J1036</f>
        <v>79.8</v>
      </c>
      <c r="M1036" s="6" t="n">
        <f aca="false">K1036-L1036</f>
        <v>319.2</v>
      </c>
      <c r="N1036" s="6" t="n">
        <f aca="false">G1036*I1036</f>
        <v>170</v>
      </c>
      <c r="O1036" s="6" t="n">
        <f aca="false">M1036-N1036</f>
        <v>149.2</v>
      </c>
      <c r="P1036" s="21" t="n">
        <f aca="false">IFERROR(O1036/M1036,0)</f>
        <v>0.467418546365915</v>
      </c>
      <c r="Q1036" s="6" t="str">
        <f aca="false">Orders!H1036</f>
        <v>Delivered</v>
      </c>
      <c r="R1036" s="1" t="str">
        <f aca="false">INDEX(Customers!$C$2:$C$301,MATCH(C1036,Customers!$A$2:$A$301,0))</f>
        <v>Bhopal</v>
      </c>
      <c r="S1036" s="1" t="str">
        <f aca="false">INDEX(Customers!$E$2:$E$301,MATCH(C1036,Customers!$A$2:$A$301,0))</f>
        <v>Returning</v>
      </c>
      <c r="T1036" s="6" t="str">
        <f aca="false">Orders!I1036</f>
        <v>Marketplace</v>
      </c>
      <c r="U1036" s="1" t="str">
        <f aca="false">IF(Q1036="Delivered","Completed",IF(Q1036="Cancelled","Cancelled",IF(Q1036="Returned","Returned","In Progress")))</f>
        <v>Completed</v>
      </c>
      <c r="V1036" s="1" t="str">
        <f aca="false">IF(M1036&gt;=10000,"High Value",IF(M1036&gt;=5000,"Medium Value","Low Value"))</f>
        <v>Low Value</v>
      </c>
      <c r="W1036" s="1" t="str">
        <f aca="false">IF(O1036&gt;0,"Profitable",IF(O1036=0,"Break-even","Loss"))</f>
        <v>Profitable</v>
      </c>
      <c r="X1036" s="1" t="str">
        <f aca="false">IF(Q1036="Cancelled","Not Applicable",IF(Q1036="Processing","Pending",IF(B1036="","Unknown",IF(Orders!J1036="","Unknown",IF(Orders!J1036&lt;=3,"Fast",IF(Orders!J1036&lt;=6,"Standard","Slow"))))))</f>
        <v>Fast</v>
      </c>
      <c r="Y1036" s="1" t="n">
        <f aca="false">IF(OR(Q1036="Cancelled",Q1036="Returned"),0,O1036)</f>
        <v>149.2</v>
      </c>
    </row>
    <row r="1037" customFormat="false" ht="15" hidden="false" customHeight="false" outlineLevel="0" collapsed="false">
      <c r="A1037" s="6" t="str">
        <f aca="false">Orders!A1037</f>
        <v>O001036</v>
      </c>
      <c r="B1037" s="19" t="n">
        <f aca="false">Orders!B1037</f>
        <v>45986</v>
      </c>
      <c r="C1037" s="6" t="str">
        <f aca="false">Orders!C1037</f>
        <v>C0251</v>
      </c>
      <c r="D1037" s="6" t="str">
        <f aca="false">Orders!D1037</f>
        <v>P1003</v>
      </c>
      <c r="E1037" s="6" t="str">
        <f aca="false">INDEX(Products!$B$2:$B$101,MATCH(D1037,Products!$A$2:$A$101,0))</f>
        <v>Smart Watch</v>
      </c>
      <c r="F1037" s="1" t="str">
        <f aca="false">INDEX(Products!$C$2:$C$101,MATCH(D1037,Products!$A$2:$A$101,0))</f>
        <v>Electronics</v>
      </c>
      <c r="G1037" s="6" t="n">
        <f aca="false">Orders!E1037</f>
        <v>2</v>
      </c>
      <c r="H1037" s="16" t="n">
        <f aca="false">INDEX(Products!$D$2:$D$101,MATCH(D1037,Products!$A$2:$A$101,0))</f>
        <v>2499</v>
      </c>
      <c r="I1037" s="16" t="n">
        <f aca="false">INDEX(Products!$E$2:$E$101,MATCH(D1037,Products!$A$2:$A$101,0))</f>
        <v>1450</v>
      </c>
      <c r="J1037" s="20" t="n">
        <f aca="false">Orders!F1037</f>
        <v>0</v>
      </c>
      <c r="K1037" s="6" t="n">
        <f aca="false">G1037*H1037</f>
        <v>4998</v>
      </c>
      <c r="L1037" s="6" t="n">
        <f aca="false">K1037*J1037</f>
        <v>0</v>
      </c>
      <c r="M1037" s="6" t="n">
        <f aca="false">K1037-L1037</f>
        <v>4998</v>
      </c>
      <c r="N1037" s="6" t="n">
        <f aca="false">G1037*I1037</f>
        <v>2900</v>
      </c>
      <c r="O1037" s="6" t="n">
        <f aca="false">M1037-N1037</f>
        <v>2098</v>
      </c>
      <c r="P1037" s="21" t="n">
        <f aca="false">IFERROR(O1037/M1037,0)</f>
        <v>0.419767907162865</v>
      </c>
      <c r="Q1037" s="6" t="str">
        <f aca="false">Orders!H1037</f>
        <v>Cancelled</v>
      </c>
      <c r="R1037" s="1" t="str">
        <f aca="false">INDEX(Customers!$C$2:$C$301,MATCH(C1037,Customers!$A$2:$A$301,0))</f>
        <v>Gurugram</v>
      </c>
      <c r="S1037" s="1" t="str">
        <f aca="false">INDEX(Customers!$E$2:$E$301,MATCH(C1037,Customers!$A$2:$A$301,0))</f>
        <v>Returning</v>
      </c>
      <c r="T1037" s="6" t="str">
        <f aca="false">Orders!I1037</f>
        <v>Marketplace</v>
      </c>
      <c r="U1037" s="1" t="str">
        <f aca="false">IF(Q1037="Delivered","Completed",IF(Q1037="Cancelled","Cancelled",IF(Q1037="Returned","Returned","In Progress")))</f>
        <v>Cancelled</v>
      </c>
      <c r="V1037" s="1" t="str">
        <f aca="false">IF(M1037&gt;=10000,"High Value",IF(M1037&gt;=5000,"Medium Value","Low Value"))</f>
        <v>Low Value</v>
      </c>
      <c r="W1037" s="1" t="str">
        <f aca="false">IF(O1037&gt;0,"Profitable",IF(O1037=0,"Break-even","Loss"))</f>
        <v>Profitable</v>
      </c>
      <c r="X1037" s="1" t="str">
        <f aca="false">IF(Q1037="Cancelled","Not Applicable",IF(Q1037="Processing","Pending",IF(B1037="","Unknown",IF(Orders!J1037="","Unknown",IF(Orders!J1037&lt;=3,"Fast",IF(Orders!J1037&lt;=6,"Standard","Slow"))))))</f>
        <v>Not Applicable</v>
      </c>
      <c r="Y1037" s="1" t="n">
        <f aca="false">IF(OR(Q1037="Cancelled",Q1037="Returned"),0,O1037)</f>
        <v>0</v>
      </c>
    </row>
    <row r="1038" customFormat="false" ht="15" hidden="false" customHeight="false" outlineLevel="0" collapsed="false">
      <c r="A1038" s="6" t="str">
        <f aca="false">Orders!A1038</f>
        <v>O001037</v>
      </c>
      <c r="B1038" s="19" t="n">
        <f aca="false">Orders!B1038</f>
        <v>45676</v>
      </c>
      <c r="C1038" s="6" t="str">
        <f aca="false">Orders!C1038</f>
        <v>C0165</v>
      </c>
      <c r="D1038" s="6" t="str">
        <f aca="false">Orders!D1038</f>
        <v>P1087</v>
      </c>
      <c r="E1038" s="6" t="str">
        <f aca="false">INDEX(Products!$B$2:$B$101,MATCH(D1038,Products!$A$2:$A$101,0))</f>
        <v>Book Stand</v>
      </c>
      <c r="F1038" s="1" t="str">
        <f aca="false">INDEX(Products!$C$2:$C$101,MATCH(D1038,Products!$A$2:$A$101,0))</f>
        <v>Books &amp; Stationery</v>
      </c>
      <c r="G1038" s="6" t="n">
        <f aca="false">Orders!E1038</f>
        <v>4</v>
      </c>
      <c r="H1038" s="16" t="n">
        <f aca="false">INDEX(Products!$D$2:$D$101,MATCH(D1038,Products!$A$2:$A$101,0))</f>
        <v>449</v>
      </c>
      <c r="I1038" s="16" t="n">
        <f aca="false">INDEX(Products!$E$2:$E$101,MATCH(D1038,Products!$A$2:$A$101,0))</f>
        <v>200</v>
      </c>
      <c r="J1038" s="20" t="n">
        <f aca="false">Orders!F1038</f>
        <v>0.25</v>
      </c>
      <c r="K1038" s="6" t="n">
        <f aca="false">G1038*H1038</f>
        <v>1796</v>
      </c>
      <c r="L1038" s="6" t="n">
        <f aca="false">K1038*J1038</f>
        <v>449</v>
      </c>
      <c r="M1038" s="6" t="n">
        <f aca="false">K1038-L1038</f>
        <v>1347</v>
      </c>
      <c r="N1038" s="6" t="n">
        <f aca="false">G1038*I1038</f>
        <v>800</v>
      </c>
      <c r="O1038" s="6" t="n">
        <f aca="false">M1038-N1038</f>
        <v>547</v>
      </c>
      <c r="P1038" s="21" t="n">
        <f aca="false">IFERROR(O1038/M1038,0)</f>
        <v>0.406087602078693</v>
      </c>
      <c r="Q1038" s="6" t="str">
        <f aca="false">Orders!H1038</f>
        <v>Delivered</v>
      </c>
      <c r="R1038" s="1" t="str">
        <f aca="false">INDEX(Customers!$C$2:$C$301,MATCH(C1038,Customers!$A$2:$A$301,0))</f>
        <v>Chennai</v>
      </c>
      <c r="S1038" s="1" t="str">
        <f aca="false">INDEX(Customers!$E$2:$E$301,MATCH(C1038,Customers!$A$2:$A$301,0))</f>
        <v>Returning</v>
      </c>
      <c r="T1038" s="6" t="str">
        <f aca="false">Orders!I1038</f>
        <v>Website</v>
      </c>
      <c r="U1038" s="1" t="str">
        <f aca="false">IF(Q1038="Delivered","Completed",IF(Q1038="Cancelled","Cancelled",IF(Q1038="Returned","Returned","In Progress")))</f>
        <v>Completed</v>
      </c>
      <c r="V1038" s="1" t="str">
        <f aca="false">IF(M1038&gt;=10000,"High Value",IF(M1038&gt;=5000,"Medium Value","Low Value"))</f>
        <v>Low Value</v>
      </c>
      <c r="W1038" s="1" t="str">
        <f aca="false">IF(O1038&gt;0,"Profitable",IF(O1038=0,"Break-even","Loss"))</f>
        <v>Profitable</v>
      </c>
      <c r="X1038" s="1" t="str">
        <f aca="false">IF(Q1038="Cancelled","Not Applicable",IF(Q1038="Processing","Pending",IF(B1038="","Unknown",IF(Orders!J1038="","Unknown",IF(Orders!J1038&lt;=3,"Fast",IF(Orders!J1038&lt;=6,"Standard","Slow"))))))</f>
        <v>Slow</v>
      </c>
      <c r="Y1038" s="1" t="n">
        <f aca="false">IF(OR(Q1038="Cancelled",Q1038="Returned"),0,O1038)</f>
        <v>547</v>
      </c>
    </row>
    <row r="1039" customFormat="false" ht="15" hidden="false" customHeight="false" outlineLevel="0" collapsed="false">
      <c r="A1039" s="6" t="str">
        <f aca="false">Orders!A1039</f>
        <v>O001038</v>
      </c>
      <c r="B1039" s="19" t="n">
        <f aca="false">Orders!B1039</f>
        <v>45842</v>
      </c>
      <c r="C1039" s="6" t="str">
        <f aca="false">Orders!C1039</f>
        <v>C0239</v>
      </c>
      <c r="D1039" s="6" t="str">
        <f aca="false">Orders!D1039</f>
        <v>P1014</v>
      </c>
      <c r="E1039" s="6" t="str">
        <f aca="false">INDEX(Products!$B$2:$B$101,MATCH(D1039,Products!$A$2:$A$101,0))</f>
        <v>HDMI Cable</v>
      </c>
      <c r="F1039" s="1" t="str">
        <f aca="false">INDEX(Products!$C$2:$C$101,MATCH(D1039,Products!$A$2:$A$101,0))</f>
        <v>Electronics</v>
      </c>
      <c r="G1039" s="6" t="n">
        <f aca="false">Orders!E1039</f>
        <v>1</v>
      </c>
      <c r="H1039" s="16" t="n">
        <f aca="false">INDEX(Products!$D$2:$D$101,MATCH(D1039,Products!$A$2:$A$101,0))</f>
        <v>449</v>
      </c>
      <c r="I1039" s="16" t="n">
        <f aca="false">INDEX(Products!$E$2:$E$101,MATCH(D1039,Products!$A$2:$A$101,0))</f>
        <v>180</v>
      </c>
      <c r="J1039" s="20" t="n">
        <f aca="false">Orders!F1039</f>
        <v>0.05</v>
      </c>
      <c r="K1039" s="6" t="n">
        <f aca="false">G1039*H1039</f>
        <v>449</v>
      </c>
      <c r="L1039" s="6" t="n">
        <f aca="false">K1039*J1039</f>
        <v>22.45</v>
      </c>
      <c r="M1039" s="6" t="n">
        <f aca="false">K1039-L1039</f>
        <v>426.55</v>
      </c>
      <c r="N1039" s="6" t="n">
        <f aca="false">G1039*I1039</f>
        <v>180</v>
      </c>
      <c r="O1039" s="6" t="n">
        <f aca="false">M1039-N1039</f>
        <v>246.55</v>
      </c>
      <c r="P1039" s="21" t="n">
        <f aca="false">IFERROR(O1039/M1039,0)</f>
        <v>0.578009612003282</v>
      </c>
      <c r="Q1039" s="6" t="str">
        <f aca="false">Orders!H1039</f>
        <v>Delivered</v>
      </c>
      <c r="R1039" s="1" t="str">
        <f aca="false">INDEX(Customers!$C$2:$C$301,MATCH(C1039,Customers!$A$2:$A$301,0))</f>
        <v>Coimbatore</v>
      </c>
      <c r="S1039" s="1" t="str">
        <f aca="false">INDEX(Customers!$E$2:$E$301,MATCH(C1039,Customers!$A$2:$A$301,0))</f>
        <v>New</v>
      </c>
      <c r="T1039" s="6" t="str">
        <f aca="false">Orders!I1039</f>
        <v>Mobile App</v>
      </c>
      <c r="U1039" s="1" t="str">
        <f aca="false">IF(Q1039="Delivered","Completed",IF(Q1039="Cancelled","Cancelled",IF(Q1039="Returned","Returned","In Progress")))</f>
        <v>Completed</v>
      </c>
      <c r="V1039" s="1" t="str">
        <f aca="false">IF(M1039&gt;=10000,"High Value",IF(M1039&gt;=5000,"Medium Value","Low Value"))</f>
        <v>Low Value</v>
      </c>
      <c r="W1039" s="1" t="str">
        <f aca="false">IF(O1039&gt;0,"Profitable",IF(O1039=0,"Break-even","Loss"))</f>
        <v>Profitable</v>
      </c>
      <c r="X1039" s="1" t="str">
        <f aca="false">IF(Q1039="Cancelled","Not Applicable",IF(Q1039="Processing","Pending",IF(B1039="","Unknown",IF(Orders!J1039="","Unknown",IF(Orders!J1039&lt;=3,"Fast",IF(Orders!J1039&lt;=6,"Standard","Slow"))))))</f>
        <v>Standard</v>
      </c>
      <c r="Y1039" s="1" t="n">
        <f aca="false">IF(OR(Q1039="Cancelled",Q1039="Returned"),0,O1039)</f>
        <v>246.55</v>
      </c>
    </row>
    <row r="1040" customFormat="false" ht="15" hidden="false" customHeight="false" outlineLevel="0" collapsed="false">
      <c r="A1040" s="6" t="str">
        <f aca="false">Orders!A1040</f>
        <v>O001039</v>
      </c>
      <c r="B1040" s="19" t="n">
        <f aca="false">Orders!B1040</f>
        <v>45827</v>
      </c>
      <c r="C1040" s="6" t="str">
        <f aca="false">Orders!C1040</f>
        <v>C0073</v>
      </c>
      <c r="D1040" s="6" t="str">
        <f aca="false">Orders!D1040</f>
        <v>P1082</v>
      </c>
      <c r="E1040" s="6" t="str">
        <f aca="false">INDEX(Products!$B$2:$B$101,MATCH(D1040,Products!$A$2:$A$101,0))</f>
        <v>File Folder Set</v>
      </c>
      <c r="F1040" s="1" t="str">
        <f aca="false">INDEX(Products!$C$2:$C$101,MATCH(D1040,Products!$A$2:$A$101,0))</f>
        <v>Books &amp; Stationery</v>
      </c>
      <c r="G1040" s="6" t="n">
        <f aca="false">Orders!E1040</f>
        <v>2</v>
      </c>
      <c r="H1040" s="16" t="n">
        <f aca="false">INDEX(Products!$D$2:$D$101,MATCH(D1040,Products!$A$2:$A$101,0))</f>
        <v>249</v>
      </c>
      <c r="I1040" s="16" t="n">
        <f aca="false">INDEX(Products!$E$2:$E$101,MATCH(D1040,Products!$A$2:$A$101,0))</f>
        <v>90</v>
      </c>
      <c r="J1040" s="20" t="n">
        <f aca="false">Orders!F1040</f>
        <v>0</v>
      </c>
      <c r="K1040" s="6" t="n">
        <f aca="false">G1040*H1040</f>
        <v>498</v>
      </c>
      <c r="L1040" s="6" t="n">
        <f aca="false">K1040*J1040</f>
        <v>0</v>
      </c>
      <c r="M1040" s="6" t="n">
        <f aca="false">K1040-L1040</f>
        <v>498</v>
      </c>
      <c r="N1040" s="6" t="n">
        <f aca="false">G1040*I1040</f>
        <v>180</v>
      </c>
      <c r="O1040" s="6" t="n">
        <f aca="false">M1040-N1040</f>
        <v>318</v>
      </c>
      <c r="P1040" s="21" t="n">
        <f aca="false">IFERROR(O1040/M1040,0)</f>
        <v>0.63855421686747</v>
      </c>
      <c r="Q1040" s="6" t="str">
        <f aca="false">Orders!H1040</f>
        <v>Delivered</v>
      </c>
      <c r="R1040" s="1" t="str">
        <f aca="false">INDEX(Customers!$C$2:$C$301,MATCH(C1040,Customers!$A$2:$A$301,0))</f>
        <v>Kochi</v>
      </c>
      <c r="S1040" s="1" t="str">
        <f aca="false">INDEX(Customers!$E$2:$E$301,MATCH(C1040,Customers!$A$2:$A$301,0))</f>
        <v>Returning</v>
      </c>
      <c r="T1040" s="6" t="str">
        <f aca="false">Orders!I1040</f>
        <v>Mobile App</v>
      </c>
      <c r="U1040" s="1" t="str">
        <f aca="false">IF(Q1040="Delivered","Completed",IF(Q1040="Cancelled","Cancelled",IF(Q1040="Returned","Returned","In Progress")))</f>
        <v>Completed</v>
      </c>
      <c r="V1040" s="1" t="str">
        <f aca="false">IF(M1040&gt;=10000,"High Value",IF(M1040&gt;=5000,"Medium Value","Low Value"))</f>
        <v>Low Value</v>
      </c>
      <c r="W1040" s="1" t="str">
        <f aca="false">IF(O1040&gt;0,"Profitable",IF(O1040=0,"Break-even","Loss"))</f>
        <v>Profitable</v>
      </c>
      <c r="X1040" s="1" t="str">
        <f aca="false">IF(Q1040="Cancelled","Not Applicable",IF(Q1040="Processing","Pending",IF(B1040="","Unknown",IF(Orders!J1040="","Unknown",IF(Orders!J1040&lt;=3,"Fast",IF(Orders!J1040&lt;=6,"Standard","Slow"))))))</f>
        <v>Slow</v>
      </c>
      <c r="Y1040" s="1" t="n">
        <f aca="false">IF(OR(Q1040="Cancelled",Q1040="Returned"),0,O1040)</f>
        <v>318</v>
      </c>
    </row>
    <row r="1041" customFormat="false" ht="15" hidden="false" customHeight="false" outlineLevel="0" collapsed="false">
      <c r="A1041" s="6" t="str">
        <f aca="false">Orders!A1041</f>
        <v>O001040</v>
      </c>
      <c r="B1041" s="19" t="n">
        <f aca="false">Orders!B1041</f>
        <v>45914</v>
      </c>
      <c r="C1041" s="6" t="str">
        <f aca="false">Orders!C1041</f>
        <v>C0286</v>
      </c>
      <c r="D1041" s="6" t="str">
        <f aca="false">Orders!D1041</f>
        <v>P1068</v>
      </c>
      <c r="E1041" s="6" t="str">
        <f aca="false">INDEX(Products!$B$2:$B$101,MATCH(D1041,Products!$A$2:$A$101,0))</f>
        <v>Cycling Bottle</v>
      </c>
      <c r="F1041" s="1" t="str">
        <f aca="false">INDEX(Products!$C$2:$C$101,MATCH(D1041,Products!$A$2:$A$101,0))</f>
        <v>Sports &amp; Outdoors</v>
      </c>
      <c r="G1041" s="6" t="n">
        <f aca="false">Orders!E1041</f>
        <v>1</v>
      </c>
      <c r="H1041" s="16" t="n">
        <f aca="false">INDEX(Products!$D$2:$D$101,MATCH(D1041,Products!$A$2:$A$101,0))</f>
        <v>349</v>
      </c>
      <c r="I1041" s="16" t="n">
        <f aca="false">INDEX(Products!$E$2:$E$101,MATCH(D1041,Products!$A$2:$A$101,0))</f>
        <v>120</v>
      </c>
      <c r="J1041" s="20" t="n">
        <f aca="false">Orders!F1041</f>
        <v>0.1</v>
      </c>
      <c r="K1041" s="6" t="n">
        <f aca="false">G1041*H1041</f>
        <v>349</v>
      </c>
      <c r="L1041" s="6" t="n">
        <f aca="false">K1041*J1041</f>
        <v>34.9</v>
      </c>
      <c r="M1041" s="6" t="n">
        <f aca="false">K1041-L1041</f>
        <v>314.1</v>
      </c>
      <c r="N1041" s="6" t="n">
        <f aca="false">G1041*I1041</f>
        <v>120</v>
      </c>
      <c r="O1041" s="6" t="n">
        <f aca="false">M1041-N1041</f>
        <v>194.1</v>
      </c>
      <c r="P1041" s="21" t="n">
        <f aca="false">IFERROR(O1041/M1041,0)</f>
        <v>0.617956064947469</v>
      </c>
      <c r="Q1041" s="6" t="str">
        <f aca="false">Orders!H1041</f>
        <v>Delivered</v>
      </c>
      <c r="R1041" s="1" t="str">
        <f aca="false">INDEX(Customers!$C$2:$C$301,MATCH(C1041,Customers!$A$2:$A$301,0))</f>
        <v>Kolkata</v>
      </c>
      <c r="S1041" s="1" t="str">
        <f aca="false">INDEX(Customers!$E$2:$E$301,MATCH(C1041,Customers!$A$2:$A$301,0))</f>
        <v>New</v>
      </c>
      <c r="T1041" s="6" t="str">
        <f aca="false">Orders!I1041</f>
        <v>Marketplace</v>
      </c>
      <c r="U1041" s="1" t="str">
        <f aca="false">IF(Q1041="Delivered","Completed",IF(Q1041="Cancelled","Cancelled",IF(Q1041="Returned","Returned","In Progress")))</f>
        <v>Completed</v>
      </c>
      <c r="V1041" s="1" t="str">
        <f aca="false">IF(M1041&gt;=10000,"High Value",IF(M1041&gt;=5000,"Medium Value","Low Value"))</f>
        <v>Low Value</v>
      </c>
      <c r="W1041" s="1" t="str">
        <f aca="false">IF(O1041&gt;0,"Profitable",IF(O1041=0,"Break-even","Loss"))</f>
        <v>Profitable</v>
      </c>
      <c r="X1041" s="1" t="str">
        <f aca="false">IF(Q1041="Cancelled","Not Applicable",IF(Q1041="Processing","Pending",IF(B1041="","Unknown",IF(Orders!J1041="","Unknown",IF(Orders!J1041&lt;=3,"Fast",IF(Orders!J1041&lt;=6,"Standard","Slow"))))))</f>
        <v>Fast</v>
      </c>
      <c r="Y1041" s="1" t="n">
        <f aca="false">IF(OR(Q1041="Cancelled",Q1041="Returned"),0,O1041)</f>
        <v>194.1</v>
      </c>
    </row>
    <row r="1042" customFormat="false" ht="15" hidden="false" customHeight="false" outlineLevel="0" collapsed="false">
      <c r="A1042" s="6" t="str">
        <f aca="false">Orders!A1042</f>
        <v>O001041</v>
      </c>
      <c r="B1042" s="19" t="n">
        <f aca="false">Orders!B1042</f>
        <v>45943</v>
      </c>
      <c r="C1042" s="6" t="str">
        <f aca="false">Orders!C1042</f>
        <v>C0173</v>
      </c>
      <c r="D1042" s="6" t="str">
        <f aca="false">Orders!D1042</f>
        <v>P1019</v>
      </c>
      <c r="E1042" s="6" t="str">
        <f aca="false">INDEX(Products!$B$2:$B$101,MATCH(D1042,Products!$A$2:$A$101,0))</f>
        <v>Running Shoes</v>
      </c>
      <c r="F1042" s="1" t="str">
        <f aca="false">INDEX(Products!$C$2:$C$101,MATCH(D1042,Products!$A$2:$A$101,0))</f>
        <v>Fashion</v>
      </c>
      <c r="G1042" s="6" t="n">
        <f aca="false">Orders!E1042</f>
        <v>1</v>
      </c>
      <c r="H1042" s="16" t="n">
        <f aca="false">INDEX(Products!$D$2:$D$101,MATCH(D1042,Products!$A$2:$A$101,0))</f>
        <v>1999</v>
      </c>
      <c r="I1042" s="16" t="n">
        <f aca="false">INDEX(Products!$E$2:$E$101,MATCH(D1042,Products!$A$2:$A$101,0))</f>
        <v>1100</v>
      </c>
      <c r="J1042" s="20" t="n">
        <f aca="false">Orders!F1042</f>
        <v>0.25</v>
      </c>
      <c r="K1042" s="6" t="n">
        <f aca="false">G1042*H1042</f>
        <v>1999</v>
      </c>
      <c r="L1042" s="6" t="n">
        <f aca="false">K1042*J1042</f>
        <v>499.75</v>
      </c>
      <c r="M1042" s="6" t="n">
        <f aca="false">K1042-L1042</f>
        <v>1499.25</v>
      </c>
      <c r="N1042" s="6" t="n">
        <f aca="false">G1042*I1042</f>
        <v>1100</v>
      </c>
      <c r="O1042" s="6" t="n">
        <f aca="false">M1042-N1042</f>
        <v>399.25</v>
      </c>
      <c r="P1042" s="21" t="n">
        <f aca="false">IFERROR(O1042/M1042,0)</f>
        <v>0.266299816574954</v>
      </c>
      <c r="Q1042" s="6" t="str">
        <f aca="false">Orders!H1042</f>
        <v>Returned</v>
      </c>
      <c r="R1042" s="1" t="str">
        <f aca="false">INDEX(Customers!$C$2:$C$301,MATCH(C1042,Customers!$A$2:$A$301,0))</f>
        <v>Kochi</v>
      </c>
      <c r="S1042" s="1" t="str">
        <f aca="false">INDEX(Customers!$E$2:$E$301,MATCH(C1042,Customers!$A$2:$A$301,0))</f>
        <v>New</v>
      </c>
      <c r="T1042" s="6" t="str">
        <f aca="false">Orders!I1042</f>
        <v>Mobile App</v>
      </c>
      <c r="U1042" s="1" t="str">
        <f aca="false">IF(Q1042="Delivered","Completed",IF(Q1042="Cancelled","Cancelled",IF(Q1042="Returned","Returned","In Progress")))</f>
        <v>Returned</v>
      </c>
      <c r="V1042" s="1" t="str">
        <f aca="false">IF(M1042&gt;=10000,"High Value",IF(M1042&gt;=5000,"Medium Value","Low Value"))</f>
        <v>Low Value</v>
      </c>
      <c r="W1042" s="1" t="str">
        <f aca="false">IF(O1042&gt;0,"Profitable",IF(O1042=0,"Break-even","Loss"))</f>
        <v>Profitable</v>
      </c>
      <c r="X1042" s="1" t="str">
        <f aca="false">IF(Q1042="Cancelled","Not Applicable",IF(Q1042="Processing","Pending",IF(B1042="","Unknown",IF(Orders!J1042="","Unknown",IF(Orders!J1042&lt;=3,"Fast",IF(Orders!J1042&lt;=6,"Standard","Slow"))))))</f>
        <v>Slow</v>
      </c>
      <c r="Y1042" s="1" t="n">
        <f aca="false">IF(OR(Q1042="Cancelled",Q1042="Returned"),0,O1042)</f>
        <v>0</v>
      </c>
    </row>
    <row r="1043" customFormat="false" ht="15" hidden="false" customHeight="false" outlineLevel="0" collapsed="false">
      <c r="A1043" s="6" t="str">
        <f aca="false">Orders!A1043</f>
        <v>O001042</v>
      </c>
      <c r="B1043" s="19" t="n">
        <f aca="false">Orders!B1043</f>
        <v>45953</v>
      </c>
      <c r="C1043" s="6" t="str">
        <f aca="false">Orders!C1043</f>
        <v>C0154</v>
      </c>
      <c r="D1043" s="6" t="str">
        <f aca="false">Orders!D1043</f>
        <v>P1034</v>
      </c>
      <c r="E1043" s="6" t="str">
        <f aca="false">INDEX(Products!$B$2:$B$101,MATCH(D1043,Products!$A$2:$A$101,0))</f>
        <v>Table Lamp</v>
      </c>
      <c r="F1043" s="1" t="str">
        <f aca="false">INDEX(Products!$C$2:$C$101,MATCH(D1043,Products!$A$2:$A$101,0))</f>
        <v>Home &amp; Kitchen</v>
      </c>
      <c r="G1043" s="6" t="n">
        <f aca="false">Orders!E1043</f>
        <v>4</v>
      </c>
      <c r="H1043" s="16" t="n">
        <f aca="false">INDEX(Products!$D$2:$D$101,MATCH(D1043,Products!$A$2:$A$101,0))</f>
        <v>899</v>
      </c>
      <c r="I1043" s="16" t="n">
        <f aca="false">INDEX(Products!$E$2:$E$101,MATCH(D1043,Products!$A$2:$A$101,0))</f>
        <v>420</v>
      </c>
      <c r="J1043" s="20" t="n">
        <f aca="false">Orders!F1043</f>
        <v>0</v>
      </c>
      <c r="K1043" s="6" t="n">
        <f aca="false">G1043*H1043</f>
        <v>3596</v>
      </c>
      <c r="L1043" s="6" t="n">
        <f aca="false">K1043*J1043</f>
        <v>0</v>
      </c>
      <c r="M1043" s="6" t="n">
        <f aca="false">K1043-L1043</f>
        <v>3596</v>
      </c>
      <c r="N1043" s="6" t="n">
        <f aca="false">G1043*I1043</f>
        <v>1680</v>
      </c>
      <c r="O1043" s="6" t="n">
        <f aca="false">M1043-N1043</f>
        <v>1916</v>
      </c>
      <c r="P1043" s="21" t="n">
        <f aca="false">IFERROR(O1043/M1043,0)</f>
        <v>0.532814238042269</v>
      </c>
      <c r="Q1043" s="6" t="str">
        <f aca="false">Orders!H1043</f>
        <v>Delivered</v>
      </c>
      <c r="R1043" s="1" t="str">
        <f aca="false">INDEX(Customers!$C$2:$C$301,MATCH(C1043,Customers!$A$2:$A$301,0))</f>
        <v>Indore</v>
      </c>
      <c r="S1043" s="1" t="str">
        <f aca="false">INDEX(Customers!$E$2:$E$301,MATCH(C1043,Customers!$A$2:$A$301,0))</f>
        <v>Returning</v>
      </c>
      <c r="T1043" s="6" t="str">
        <f aca="false">Orders!I1043</f>
        <v>Marketplace</v>
      </c>
      <c r="U1043" s="1" t="str">
        <f aca="false">IF(Q1043="Delivered","Completed",IF(Q1043="Cancelled","Cancelled",IF(Q1043="Returned","Returned","In Progress")))</f>
        <v>Completed</v>
      </c>
      <c r="V1043" s="1" t="str">
        <f aca="false">IF(M1043&gt;=10000,"High Value",IF(M1043&gt;=5000,"Medium Value","Low Value"))</f>
        <v>Low Value</v>
      </c>
      <c r="W1043" s="1" t="str">
        <f aca="false">IF(O1043&gt;0,"Profitable",IF(O1043=0,"Break-even","Loss"))</f>
        <v>Profitable</v>
      </c>
      <c r="X1043" s="1" t="str">
        <f aca="false">IF(Q1043="Cancelled","Not Applicable",IF(Q1043="Processing","Pending",IF(B1043="","Unknown",IF(Orders!J1043="","Unknown",IF(Orders!J1043&lt;=3,"Fast",IF(Orders!J1043&lt;=6,"Standard","Slow"))))))</f>
        <v>Standard</v>
      </c>
      <c r="Y1043" s="1" t="n">
        <f aca="false">IF(OR(Q1043="Cancelled",Q1043="Returned"),0,O1043)</f>
        <v>1916</v>
      </c>
    </row>
    <row r="1044" customFormat="false" ht="23.85" hidden="false" customHeight="false" outlineLevel="0" collapsed="false">
      <c r="A1044" s="6" t="str">
        <f aca="false">Orders!A1044</f>
        <v>O001043</v>
      </c>
      <c r="B1044" s="19" t="n">
        <f aca="false">Orders!B1044</f>
        <v>45865</v>
      </c>
      <c r="C1044" s="6" t="str">
        <f aca="false">Orders!C1044</f>
        <v>C0166</v>
      </c>
      <c r="D1044" s="6" t="str">
        <f aca="false">Orders!D1044</f>
        <v>P1072</v>
      </c>
      <c r="E1044" s="6" t="str">
        <f aca="false">INDEX(Products!$B$2:$B$101,MATCH(D1044,Products!$A$2:$A$101,0))</f>
        <v>Tennis Balls Pack</v>
      </c>
      <c r="F1044" s="1" t="str">
        <f aca="false">INDEX(Products!$C$2:$C$101,MATCH(D1044,Products!$A$2:$A$101,0))</f>
        <v>Sports &amp; Outdoors</v>
      </c>
      <c r="G1044" s="6" t="n">
        <f aca="false">Orders!E1044</f>
        <v>1</v>
      </c>
      <c r="H1044" s="16" t="n">
        <f aca="false">INDEX(Products!$D$2:$D$101,MATCH(D1044,Products!$A$2:$A$101,0))</f>
        <v>399</v>
      </c>
      <c r="I1044" s="16" t="n">
        <f aca="false">INDEX(Products!$E$2:$E$101,MATCH(D1044,Products!$A$2:$A$101,0))</f>
        <v>160</v>
      </c>
      <c r="J1044" s="20" t="n">
        <f aca="false">Orders!F1044</f>
        <v>0</v>
      </c>
      <c r="K1044" s="6" t="n">
        <f aca="false">G1044*H1044</f>
        <v>399</v>
      </c>
      <c r="L1044" s="6" t="n">
        <f aca="false">K1044*J1044</f>
        <v>0</v>
      </c>
      <c r="M1044" s="6" t="n">
        <f aca="false">K1044-L1044</f>
        <v>399</v>
      </c>
      <c r="N1044" s="6" t="n">
        <f aca="false">G1044*I1044</f>
        <v>160</v>
      </c>
      <c r="O1044" s="6" t="n">
        <f aca="false">M1044-N1044</f>
        <v>239</v>
      </c>
      <c r="P1044" s="21" t="n">
        <f aca="false">IFERROR(O1044/M1044,0)</f>
        <v>0.598997493734336</v>
      </c>
      <c r="Q1044" s="6" t="str">
        <f aca="false">Orders!H1044</f>
        <v>Returned</v>
      </c>
      <c r="R1044" s="1" t="str">
        <f aca="false">INDEX(Customers!$C$2:$C$301,MATCH(C1044,Customers!$A$2:$A$301,0))</f>
        <v>Kolkata</v>
      </c>
      <c r="S1044" s="1" t="str">
        <f aca="false">INDEX(Customers!$E$2:$E$301,MATCH(C1044,Customers!$A$2:$A$301,0))</f>
        <v>New</v>
      </c>
      <c r="T1044" s="6" t="str">
        <f aca="false">Orders!I1044</f>
        <v>Marketplace</v>
      </c>
      <c r="U1044" s="1" t="str">
        <f aca="false">IF(Q1044="Delivered","Completed",IF(Q1044="Cancelled","Cancelled",IF(Q1044="Returned","Returned","In Progress")))</f>
        <v>Returned</v>
      </c>
      <c r="V1044" s="1" t="str">
        <f aca="false">IF(M1044&gt;=10000,"High Value",IF(M1044&gt;=5000,"Medium Value","Low Value"))</f>
        <v>Low Value</v>
      </c>
      <c r="W1044" s="1" t="str">
        <f aca="false">IF(O1044&gt;0,"Profitable",IF(O1044=0,"Break-even","Loss"))</f>
        <v>Profitable</v>
      </c>
      <c r="X1044" s="1" t="str">
        <f aca="false">IF(Q1044="Cancelled","Not Applicable",IF(Q1044="Processing","Pending",IF(B1044="","Unknown",IF(Orders!J1044="","Unknown",IF(Orders!J1044&lt;=3,"Fast",IF(Orders!J1044&lt;=6,"Standard","Slow"))))))</f>
        <v>Fast</v>
      </c>
      <c r="Y1044" s="1" t="n">
        <f aca="false">IF(OR(Q1044="Cancelled",Q1044="Returned"),0,O1044)</f>
        <v>0</v>
      </c>
    </row>
    <row r="1045" customFormat="false" ht="15" hidden="false" customHeight="false" outlineLevel="0" collapsed="false">
      <c r="A1045" s="6" t="str">
        <f aca="false">Orders!A1045</f>
        <v>O001044</v>
      </c>
      <c r="B1045" s="19" t="n">
        <f aca="false">Orders!B1045</f>
        <v>45821</v>
      </c>
      <c r="C1045" s="6" t="str">
        <f aca="false">Orders!C1045</f>
        <v>C0039</v>
      </c>
      <c r="D1045" s="6" t="str">
        <f aca="false">Orders!D1045</f>
        <v>P1013</v>
      </c>
      <c r="E1045" s="6" t="str">
        <f aca="false">INDEX(Products!$B$2:$B$101,MATCH(D1045,Products!$A$2:$A$101,0))</f>
        <v>Memory Card</v>
      </c>
      <c r="F1045" s="1" t="str">
        <f aca="false">INDEX(Products!$C$2:$C$101,MATCH(D1045,Products!$A$2:$A$101,0))</f>
        <v>Electronics</v>
      </c>
      <c r="G1045" s="6" t="n">
        <f aca="false">Orders!E1045</f>
        <v>1</v>
      </c>
      <c r="H1045" s="16" t="n">
        <f aca="false">INDEX(Products!$D$2:$D$101,MATCH(D1045,Products!$A$2:$A$101,0))</f>
        <v>699</v>
      </c>
      <c r="I1045" s="16" t="n">
        <f aca="false">INDEX(Products!$E$2:$E$101,MATCH(D1045,Products!$A$2:$A$101,0))</f>
        <v>400</v>
      </c>
      <c r="J1045" s="20" t="n">
        <f aca="false">Orders!F1045</f>
        <v>0.15</v>
      </c>
      <c r="K1045" s="6" t="n">
        <f aca="false">G1045*H1045</f>
        <v>699</v>
      </c>
      <c r="L1045" s="6" t="n">
        <f aca="false">K1045*J1045</f>
        <v>104.85</v>
      </c>
      <c r="M1045" s="6" t="n">
        <f aca="false">K1045-L1045</f>
        <v>594.15</v>
      </c>
      <c r="N1045" s="6" t="n">
        <f aca="false">G1045*I1045</f>
        <v>400</v>
      </c>
      <c r="O1045" s="6" t="n">
        <f aca="false">M1045-N1045</f>
        <v>194.15</v>
      </c>
      <c r="P1045" s="21" t="n">
        <f aca="false">IFERROR(O1045/M1045,0)</f>
        <v>0.326769334343179</v>
      </c>
      <c r="Q1045" s="6" t="str">
        <f aca="false">Orders!H1045</f>
        <v>Delivered</v>
      </c>
      <c r="R1045" s="1" t="str">
        <f aca="false">INDEX(Customers!$C$2:$C$301,MATCH(C1045,Customers!$A$2:$A$301,0))</f>
        <v>Coimbatore</v>
      </c>
      <c r="S1045" s="1" t="str">
        <f aca="false">INDEX(Customers!$E$2:$E$301,MATCH(C1045,Customers!$A$2:$A$301,0))</f>
        <v>Returning</v>
      </c>
      <c r="T1045" s="6" t="str">
        <f aca="false">Orders!I1045</f>
        <v>Mobile App</v>
      </c>
      <c r="U1045" s="1" t="str">
        <f aca="false">IF(Q1045="Delivered","Completed",IF(Q1045="Cancelled","Cancelled",IF(Q1045="Returned","Returned","In Progress")))</f>
        <v>Completed</v>
      </c>
      <c r="V1045" s="1" t="str">
        <f aca="false">IF(M1045&gt;=10000,"High Value",IF(M1045&gt;=5000,"Medium Value","Low Value"))</f>
        <v>Low Value</v>
      </c>
      <c r="W1045" s="1" t="str">
        <f aca="false">IF(O1045&gt;0,"Profitable",IF(O1045=0,"Break-even","Loss"))</f>
        <v>Profitable</v>
      </c>
      <c r="X1045" s="1" t="str">
        <f aca="false">IF(Q1045="Cancelled","Not Applicable",IF(Q1045="Processing","Pending",IF(B1045="","Unknown",IF(Orders!J1045="","Unknown",IF(Orders!J1045&lt;=3,"Fast",IF(Orders!J1045&lt;=6,"Standard","Slow"))))))</f>
        <v>Slow</v>
      </c>
      <c r="Y1045" s="1" t="n">
        <f aca="false">IF(OR(Q1045="Cancelled",Q1045="Returned"),0,O1045)</f>
        <v>194.15</v>
      </c>
    </row>
    <row r="1046" customFormat="false" ht="15" hidden="false" customHeight="false" outlineLevel="0" collapsed="false">
      <c r="A1046" s="6" t="str">
        <f aca="false">Orders!A1046</f>
        <v>O001045</v>
      </c>
      <c r="B1046" s="19" t="n">
        <f aca="false">Orders!B1046</f>
        <v>45824</v>
      </c>
      <c r="C1046" s="6" t="str">
        <f aca="false">Orders!C1046</f>
        <v>C0080</v>
      </c>
      <c r="D1046" s="6" t="str">
        <f aca="false">Orders!D1046</f>
        <v>P1088</v>
      </c>
      <c r="E1046" s="6" t="str">
        <f aca="false">INDEX(Products!$B$2:$B$101,MATCH(D1046,Products!$A$2:$A$101,0))</f>
        <v>Electric Kettle</v>
      </c>
      <c r="F1046" s="1" t="str">
        <f aca="false">INDEX(Products!$C$2:$C$101,MATCH(D1046,Products!$A$2:$A$101,0))</f>
        <v>Appliances</v>
      </c>
      <c r="G1046" s="6" t="n">
        <f aca="false">Orders!E1046</f>
        <v>3</v>
      </c>
      <c r="H1046" s="16" t="n">
        <f aca="false">INDEX(Products!$D$2:$D$101,MATCH(D1046,Products!$A$2:$A$101,0))</f>
        <v>1299</v>
      </c>
      <c r="I1046" s="16" t="n">
        <f aca="false">INDEX(Products!$E$2:$E$101,MATCH(D1046,Products!$A$2:$A$101,0))</f>
        <v>750</v>
      </c>
      <c r="J1046" s="20" t="n">
        <f aca="false">Orders!F1046</f>
        <v>0.25</v>
      </c>
      <c r="K1046" s="6" t="n">
        <f aca="false">G1046*H1046</f>
        <v>3897</v>
      </c>
      <c r="L1046" s="6" t="n">
        <f aca="false">K1046*J1046</f>
        <v>974.25</v>
      </c>
      <c r="M1046" s="6" t="n">
        <f aca="false">K1046-L1046</f>
        <v>2922.75</v>
      </c>
      <c r="N1046" s="6" t="n">
        <f aca="false">G1046*I1046</f>
        <v>2250</v>
      </c>
      <c r="O1046" s="6" t="n">
        <f aca="false">M1046-N1046</f>
        <v>672.75</v>
      </c>
      <c r="P1046" s="21" t="n">
        <f aca="false">IFERROR(O1046/M1046,0)</f>
        <v>0.230177059276366</v>
      </c>
      <c r="Q1046" s="6" t="str">
        <f aca="false">Orders!H1046</f>
        <v>Delivered</v>
      </c>
      <c r="R1046" s="1" t="str">
        <f aca="false">INDEX(Customers!$C$2:$C$301,MATCH(C1046,Customers!$A$2:$A$301,0))</f>
        <v>Visakhapatnam</v>
      </c>
      <c r="S1046" s="1" t="str">
        <f aca="false">INDEX(Customers!$E$2:$E$301,MATCH(C1046,Customers!$A$2:$A$301,0))</f>
        <v>New</v>
      </c>
      <c r="T1046" s="6" t="str">
        <f aca="false">Orders!I1046</f>
        <v>Website</v>
      </c>
      <c r="U1046" s="1" t="str">
        <f aca="false">IF(Q1046="Delivered","Completed",IF(Q1046="Cancelled","Cancelled",IF(Q1046="Returned","Returned","In Progress")))</f>
        <v>Completed</v>
      </c>
      <c r="V1046" s="1" t="str">
        <f aca="false">IF(M1046&gt;=10000,"High Value",IF(M1046&gt;=5000,"Medium Value","Low Value"))</f>
        <v>Low Value</v>
      </c>
      <c r="W1046" s="1" t="str">
        <f aca="false">IF(O1046&gt;0,"Profitable",IF(O1046=0,"Break-even","Loss"))</f>
        <v>Profitable</v>
      </c>
      <c r="X1046" s="1" t="str">
        <f aca="false">IF(Q1046="Cancelled","Not Applicable",IF(Q1046="Processing","Pending",IF(B1046="","Unknown",IF(Orders!J1046="","Unknown",IF(Orders!J1046&lt;=3,"Fast",IF(Orders!J1046&lt;=6,"Standard","Slow"))))))</f>
        <v>Standard</v>
      </c>
      <c r="Y1046" s="1" t="n">
        <f aca="false">IF(OR(Q1046="Cancelled",Q1046="Returned"),0,O1046)</f>
        <v>672.75</v>
      </c>
    </row>
    <row r="1047" customFormat="false" ht="15" hidden="false" customHeight="false" outlineLevel="0" collapsed="false">
      <c r="A1047" s="6" t="str">
        <f aca="false">Orders!A1047</f>
        <v>O001046</v>
      </c>
      <c r="B1047" s="19" t="n">
        <f aca="false">Orders!B1047</f>
        <v>45963</v>
      </c>
      <c r="C1047" s="6" t="str">
        <f aca="false">Orders!C1047</f>
        <v>C0114</v>
      </c>
      <c r="D1047" s="6" t="str">
        <f aca="false">Orders!D1047</f>
        <v>P1018</v>
      </c>
      <c r="E1047" s="6" t="str">
        <f aca="false">INDEX(Products!$B$2:$B$101,MATCH(D1047,Products!$A$2:$A$101,0))</f>
        <v>Cotton Shirt</v>
      </c>
      <c r="F1047" s="1" t="str">
        <f aca="false">INDEX(Products!$C$2:$C$101,MATCH(D1047,Products!$A$2:$A$101,0))</f>
        <v>Fashion</v>
      </c>
      <c r="G1047" s="6" t="n">
        <f aca="false">Orders!E1047</f>
        <v>3</v>
      </c>
      <c r="H1047" s="16" t="n">
        <f aca="false">INDEX(Products!$D$2:$D$101,MATCH(D1047,Products!$A$2:$A$101,0))</f>
        <v>899</v>
      </c>
      <c r="I1047" s="16" t="n">
        <f aca="false">INDEX(Products!$E$2:$E$101,MATCH(D1047,Products!$A$2:$A$101,0))</f>
        <v>420</v>
      </c>
      <c r="J1047" s="20" t="n">
        <f aca="false">Orders!F1047</f>
        <v>0.05</v>
      </c>
      <c r="K1047" s="6" t="n">
        <f aca="false">G1047*H1047</f>
        <v>2697</v>
      </c>
      <c r="L1047" s="6" t="n">
        <f aca="false">K1047*J1047</f>
        <v>134.85</v>
      </c>
      <c r="M1047" s="6" t="n">
        <f aca="false">K1047-L1047</f>
        <v>2562.15</v>
      </c>
      <c r="N1047" s="6" t="n">
        <f aca="false">G1047*I1047</f>
        <v>1260</v>
      </c>
      <c r="O1047" s="6" t="n">
        <f aca="false">M1047-N1047</f>
        <v>1302.15</v>
      </c>
      <c r="P1047" s="21" t="n">
        <f aca="false">IFERROR(O1047/M1047,0)</f>
        <v>0.508225513728704</v>
      </c>
      <c r="Q1047" s="6" t="str">
        <f aca="false">Orders!H1047</f>
        <v>Delivered</v>
      </c>
      <c r="R1047" s="1" t="str">
        <f aca="false">INDEX(Customers!$C$2:$C$301,MATCH(C1047,Customers!$A$2:$A$301,0))</f>
        <v>Indore</v>
      </c>
      <c r="S1047" s="1" t="str">
        <f aca="false">INDEX(Customers!$E$2:$E$301,MATCH(C1047,Customers!$A$2:$A$301,0))</f>
        <v>VIP</v>
      </c>
      <c r="T1047" s="6" t="str">
        <f aca="false">Orders!I1047</f>
        <v>Marketplace</v>
      </c>
      <c r="U1047" s="1" t="str">
        <f aca="false">IF(Q1047="Delivered","Completed",IF(Q1047="Cancelled","Cancelled",IF(Q1047="Returned","Returned","In Progress")))</f>
        <v>Completed</v>
      </c>
      <c r="V1047" s="1" t="str">
        <f aca="false">IF(M1047&gt;=10000,"High Value",IF(M1047&gt;=5000,"Medium Value","Low Value"))</f>
        <v>Low Value</v>
      </c>
      <c r="W1047" s="1" t="str">
        <f aca="false">IF(O1047&gt;0,"Profitable",IF(O1047=0,"Break-even","Loss"))</f>
        <v>Profitable</v>
      </c>
      <c r="X1047" s="1" t="str">
        <f aca="false">IF(Q1047="Cancelled","Not Applicable",IF(Q1047="Processing","Pending",IF(B1047="","Unknown",IF(Orders!J1047="","Unknown",IF(Orders!J1047&lt;=3,"Fast",IF(Orders!J1047&lt;=6,"Standard","Slow"))))))</f>
        <v>Standard</v>
      </c>
      <c r="Y1047" s="1" t="n">
        <f aca="false">IF(OR(Q1047="Cancelled",Q1047="Returned"),0,O1047)</f>
        <v>1302.15</v>
      </c>
    </row>
    <row r="1048" customFormat="false" ht="23.85" hidden="false" customHeight="false" outlineLevel="0" collapsed="false">
      <c r="A1048" s="6" t="str">
        <f aca="false">Orders!A1048</f>
        <v>O001047</v>
      </c>
      <c r="B1048" s="19" t="n">
        <f aca="false">Orders!B1048</f>
        <v>45886</v>
      </c>
      <c r="C1048" s="6" t="str">
        <f aca="false">Orders!C1048</f>
        <v>C0225</v>
      </c>
      <c r="D1048" s="6" t="str">
        <f aca="false">Orders!D1048</f>
        <v>P1047</v>
      </c>
      <c r="E1048" s="6" t="str">
        <f aca="false">INDEX(Products!$B$2:$B$101,MATCH(D1048,Products!$A$2:$A$101,0))</f>
        <v>Sunscreen Lotion</v>
      </c>
      <c r="F1048" s="1" t="str">
        <f aca="false">INDEX(Products!$C$2:$C$101,MATCH(D1048,Products!$A$2:$A$101,0))</f>
        <v>Beauty</v>
      </c>
      <c r="G1048" s="6" t="n">
        <f aca="false">Orders!E1048</f>
        <v>1</v>
      </c>
      <c r="H1048" s="16" t="n">
        <f aca="false">INDEX(Products!$D$2:$D$101,MATCH(D1048,Products!$A$2:$A$101,0))</f>
        <v>399</v>
      </c>
      <c r="I1048" s="16" t="n">
        <f aca="false">INDEX(Products!$E$2:$E$101,MATCH(D1048,Products!$A$2:$A$101,0))</f>
        <v>170</v>
      </c>
      <c r="J1048" s="20" t="n">
        <f aca="false">Orders!F1048</f>
        <v>0.15</v>
      </c>
      <c r="K1048" s="6" t="n">
        <f aca="false">G1048*H1048</f>
        <v>399</v>
      </c>
      <c r="L1048" s="6" t="n">
        <f aca="false">K1048*J1048</f>
        <v>59.85</v>
      </c>
      <c r="M1048" s="6" t="n">
        <f aca="false">K1048-L1048</f>
        <v>339.15</v>
      </c>
      <c r="N1048" s="6" t="n">
        <f aca="false">G1048*I1048</f>
        <v>170</v>
      </c>
      <c r="O1048" s="6" t="n">
        <f aca="false">M1048-N1048</f>
        <v>169.15</v>
      </c>
      <c r="P1048" s="21" t="n">
        <f aca="false">IFERROR(O1048/M1048,0)</f>
        <v>0.49874686716792</v>
      </c>
      <c r="Q1048" s="6" t="str">
        <f aca="false">Orders!H1048</f>
        <v>Delivered</v>
      </c>
      <c r="R1048" s="1" t="str">
        <f aca="false">INDEX(Customers!$C$2:$C$301,MATCH(C1048,Customers!$A$2:$A$301,0))</f>
        <v>Chennai</v>
      </c>
      <c r="S1048" s="1" t="str">
        <f aca="false">INDEX(Customers!$E$2:$E$301,MATCH(C1048,Customers!$A$2:$A$301,0))</f>
        <v>Returning</v>
      </c>
      <c r="T1048" s="6" t="str">
        <f aca="false">Orders!I1048</f>
        <v>Website</v>
      </c>
      <c r="U1048" s="1" t="str">
        <f aca="false">IF(Q1048="Delivered","Completed",IF(Q1048="Cancelled","Cancelled",IF(Q1048="Returned","Returned","In Progress")))</f>
        <v>Completed</v>
      </c>
      <c r="V1048" s="1" t="str">
        <f aca="false">IF(M1048&gt;=10000,"High Value",IF(M1048&gt;=5000,"Medium Value","Low Value"))</f>
        <v>Low Value</v>
      </c>
      <c r="W1048" s="1" t="str">
        <f aca="false">IF(O1048&gt;0,"Profitable",IF(O1048=0,"Break-even","Loss"))</f>
        <v>Profitable</v>
      </c>
      <c r="X1048" s="1" t="str">
        <f aca="false">IF(Q1048="Cancelled","Not Applicable",IF(Q1048="Processing","Pending",IF(B1048="","Unknown",IF(Orders!J1048="","Unknown",IF(Orders!J1048&lt;=3,"Fast",IF(Orders!J1048&lt;=6,"Standard","Slow"))))))</f>
        <v>Fast</v>
      </c>
      <c r="Y1048" s="1" t="n">
        <f aca="false">IF(OR(Q1048="Cancelled",Q1048="Returned"),0,O1048)</f>
        <v>169.15</v>
      </c>
    </row>
    <row r="1049" customFormat="false" ht="15" hidden="false" customHeight="false" outlineLevel="0" collapsed="false">
      <c r="A1049" s="6" t="str">
        <f aca="false">Orders!A1049</f>
        <v>O001048</v>
      </c>
      <c r="B1049" s="19" t="n">
        <f aca="false">Orders!B1049</f>
        <v>45878</v>
      </c>
      <c r="C1049" s="6" t="str">
        <f aca="false">Orders!C1049</f>
        <v>C0110</v>
      </c>
      <c r="D1049" s="6" t="str">
        <f aca="false">Orders!D1049</f>
        <v>P1021</v>
      </c>
      <c r="E1049" s="6" t="str">
        <f aca="false">INDEX(Products!$B$2:$B$101,MATCH(D1049,Products!$A$2:$A$101,0))</f>
        <v>Handbag</v>
      </c>
      <c r="F1049" s="1" t="str">
        <f aca="false">INDEX(Products!$C$2:$C$101,MATCH(D1049,Products!$A$2:$A$101,0))</f>
        <v>Fashion</v>
      </c>
      <c r="G1049" s="6" t="n">
        <f aca="false">Orders!E1049</f>
        <v>2</v>
      </c>
      <c r="H1049" s="16" t="n">
        <f aca="false">INDEX(Products!$D$2:$D$101,MATCH(D1049,Products!$A$2:$A$101,0))</f>
        <v>1499</v>
      </c>
      <c r="I1049" s="16" t="n">
        <f aca="false">INDEX(Products!$E$2:$E$101,MATCH(D1049,Products!$A$2:$A$101,0))</f>
        <v>700</v>
      </c>
      <c r="J1049" s="20" t="n">
        <f aca="false">Orders!F1049</f>
        <v>0.1</v>
      </c>
      <c r="K1049" s="6" t="n">
        <f aca="false">G1049*H1049</f>
        <v>2998</v>
      </c>
      <c r="L1049" s="6" t="n">
        <f aca="false">K1049*J1049</f>
        <v>299.8</v>
      </c>
      <c r="M1049" s="6" t="n">
        <f aca="false">K1049-L1049</f>
        <v>2698.2</v>
      </c>
      <c r="N1049" s="6" t="n">
        <f aca="false">G1049*I1049</f>
        <v>1400</v>
      </c>
      <c r="O1049" s="6" t="n">
        <f aca="false">M1049-N1049</f>
        <v>1298.2</v>
      </c>
      <c r="P1049" s="21" t="n">
        <f aca="false">IFERROR(O1049/M1049,0)</f>
        <v>0.481135571862723</v>
      </c>
      <c r="Q1049" s="6" t="str">
        <f aca="false">Orders!H1049</f>
        <v>Processing</v>
      </c>
      <c r="R1049" s="1" t="str">
        <f aca="false">INDEX(Customers!$C$2:$C$301,MATCH(C1049,Customers!$A$2:$A$301,0))</f>
        <v>Lucknow</v>
      </c>
      <c r="S1049" s="1" t="str">
        <f aca="false">INDEX(Customers!$E$2:$E$301,MATCH(C1049,Customers!$A$2:$A$301,0))</f>
        <v>New</v>
      </c>
      <c r="T1049" s="6" t="str">
        <f aca="false">Orders!I1049</f>
        <v>Mobile App</v>
      </c>
      <c r="U1049" s="1" t="str">
        <f aca="false">IF(Q1049="Delivered","Completed",IF(Q1049="Cancelled","Cancelled",IF(Q1049="Returned","Returned","In Progress")))</f>
        <v>In Progress</v>
      </c>
      <c r="V1049" s="1" t="str">
        <f aca="false">IF(M1049&gt;=10000,"High Value",IF(M1049&gt;=5000,"Medium Value","Low Value"))</f>
        <v>Low Value</v>
      </c>
      <c r="W1049" s="1" t="str">
        <f aca="false">IF(O1049&gt;0,"Profitable",IF(O1049=0,"Break-even","Loss"))</f>
        <v>Profitable</v>
      </c>
      <c r="X1049" s="1" t="str">
        <f aca="false">IF(Q1049="Cancelled","Not Applicable",IF(Q1049="Processing","Pending",IF(B1049="","Unknown",IF(Orders!J1049="","Unknown",IF(Orders!J1049&lt;=3,"Fast",IF(Orders!J1049&lt;=6,"Standard","Slow"))))))</f>
        <v>Pending</v>
      </c>
      <c r="Y1049" s="1" t="n">
        <f aca="false">IF(OR(Q1049="Cancelled",Q1049="Returned"),0,O1049)</f>
        <v>1298.2</v>
      </c>
    </row>
    <row r="1050" customFormat="false" ht="15" hidden="false" customHeight="false" outlineLevel="0" collapsed="false">
      <c r="A1050" s="6" t="str">
        <f aca="false">Orders!A1050</f>
        <v>O001049</v>
      </c>
      <c r="B1050" s="19" t="n">
        <f aca="false">Orders!B1050</f>
        <v>45739</v>
      </c>
      <c r="C1050" s="6" t="str">
        <f aca="false">Orders!C1050</f>
        <v>C0176</v>
      </c>
      <c r="D1050" s="6" t="str">
        <f aca="false">Orders!D1050</f>
        <v>P1038</v>
      </c>
      <c r="E1050" s="6" t="str">
        <f aca="false">INDEX(Products!$B$2:$B$101,MATCH(D1050,Products!$A$2:$A$101,0))</f>
        <v>Laundry Basket</v>
      </c>
      <c r="F1050" s="1" t="str">
        <f aca="false">INDEX(Products!$C$2:$C$101,MATCH(D1050,Products!$A$2:$A$101,0))</f>
        <v>Home &amp; Kitchen</v>
      </c>
      <c r="G1050" s="6" t="n">
        <f aca="false">Orders!E1050</f>
        <v>1</v>
      </c>
      <c r="H1050" s="16" t="n">
        <f aca="false">INDEX(Products!$D$2:$D$101,MATCH(D1050,Products!$A$2:$A$101,0))</f>
        <v>599</v>
      </c>
      <c r="I1050" s="16" t="n">
        <f aca="false">INDEX(Products!$E$2:$E$101,MATCH(D1050,Products!$A$2:$A$101,0))</f>
        <v>260</v>
      </c>
      <c r="J1050" s="20" t="n">
        <f aca="false">Orders!F1050</f>
        <v>0.15</v>
      </c>
      <c r="K1050" s="6" t="n">
        <f aca="false">G1050*H1050</f>
        <v>599</v>
      </c>
      <c r="L1050" s="6" t="n">
        <f aca="false">K1050*J1050</f>
        <v>89.85</v>
      </c>
      <c r="M1050" s="6" t="n">
        <f aca="false">K1050-L1050</f>
        <v>509.15</v>
      </c>
      <c r="N1050" s="6" t="n">
        <f aca="false">G1050*I1050</f>
        <v>260</v>
      </c>
      <c r="O1050" s="6" t="n">
        <f aca="false">M1050-N1050</f>
        <v>249.15</v>
      </c>
      <c r="P1050" s="21" t="n">
        <f aca="false">IFERROR(O1050/M1050,0)</f>
        <v>0.48934498674261</v>
      </c>
      <c r="Q1050" s="6" t="str">
        <f aca="false">Orders!H1050</f>
        <v>Returned</v>
      </c>
      <c r="R1050" s="1" t="str">
        <f aca="false">INDEX(Customers!$C$2:$C$301,MATCH(C1050,Customers!$A$2:$A$301,0))</f>
        <v>Chandigarh</v>
      </c>
      <c r="S1050" s="1" t="str">
        <f aca="false">INDEX(Customers!$E$2:$E$301,MATCH(C1050,Customers!$A$2:$A$301,0))</f>
        <v>New</v>
      </c>
      <c r="T1050" s="6" t="str">
        <f aca="false">Orders!I1050</f>
        <v>Website</v>
      </c>
      <c r="U1050" s="1" t="str">
        <f aca="false">IF(Q1050="Delivered","Completed",IF(Q1050="Cancelled","Cancelled",IF(Q1050="Returned","Returned","In Progress")))</f>
        <v>Returned</v>
      </c>
      <c r="V1050" s="1" t="str">
        <f aca="false">IF(M1050&gt;=10000,"High Value",IF(M1050&gt;=5000,"Medium Value","Low Value"))</f>
        <v>Low Value</v>
      </c>
      <c r="W1050" s="1" t="str">
        <f aca="false">IF(O1050&gt;0,"Profitable",IF(O1050=0,"Break-even","Loss"))</f>
        <v>Profitable</v>
      </c>
      <c r="X1050" s="1" t="str">
        <f aca="false">IF(Q1050="Cancelled","Not Applicable",IF(Q1050="Processing","Pending",IF(B1050="","Unknown",IF(Orders!J1050="","Unknown",IF(Orders!J1050&lt;=3,"Fast",IF(Orders!J1050&lt;=6,"Standard","Slow"))))))</f>
        <v>Fast</v>
      </c>
      <c r="Y1050" s="1" t="n">
        <f aca="false">IF(OR(Q1050="Cancelled",Q1050="Returned"),0,O1050)</f>
        <v>0</v>
      </c>
    </row>
    <row r="1051" customFormat="false" ht="15" hidden="false" customHeight="false" outlineLevel="0" collapsed="false">
      <c r="A1051" s="6" t="str">
        <f aca="false">Orders!A1051</f>
        <v>O001050</v>
      </c>
      <c r="B1051" s="19" t="n">
        <f aca="false">Orders!B1051</f>
        <v>45942</v>
      </c>
      <c r="C1051" s="6" t="str">
        <f aca="false">Orders!C1051</f>
        <v>C0205</v>
      </c>
      <c r="D1051" s="6" t="str">
        <f aca="false">Orders!D1051</f>
        <v>P1055</v>
      </c>
      <c r="E1051" s="6" t="str">
        <f aca="false">INDEX(Products!$B$2:$B$101,MATCH(D1051,Products!$A$2:$A$101,0))</f>
        <v>Perfume</v>
      </c>
      <c r="F1051" s="1" t="str">
        <f aca="false">INDEX(Products!$C$2:$C$101,MATCH(D1051,Products!$A$2:$A$101,0))</f>
        <v>Beauty</v>
      </c>
      <c r="G1051" s="6" t="n">
        <f aca="false">Orders!E1051</f>
        <v>1</v>
      </c>
      <c r="H1051" s="16" t="n">
        <f aca="false">INDEX(Products!$D$2:$D$101,MATCH(D1051,Products!$A$2:$A$101,0))</f>
        <v>999</v>
      </c>
      <c r="I1051" s="16" t="n">
        <f aca="false">INDEX(Products!$E$2:$E$101,MATCH(D1051,Products!$A$2:$A$101,0))</f>
        <v>500</v>
      </c>
      <c r="J1051" s="20" t="n">
        <f aca="false">Orders!F1051</f>
        <v>0</v>
      </c>
      <c r="K1051" s="6" t="n">
        <f aca="false">G1051*H1051</f>
        <v>999</v>
      </c>
      <c r="L1051" s="6" t="n">
        <f aca="false">K1051*J1051</f>
        <v>0</v>
      </c>
      <c r="M1051" s="6" t="n">
        <f aca="false">K1051-L1051</f>
        <v>999</v>
      </c>
      <c r="N1051" s="6" t="n">
        <f aca="false">G1051*I1051</f>
        <v>500</v>
      </c>
      <c r="O1051" s="6" t="n">
        <f aca="false">M1051-N1051</f>
        <v>499</v>
      </c>
      <c r="P1051" s="21" t="n">
        <f aca="false">IFERROR(O1051/M1051,0)</f>
        <v>0.4994994994995</v>
      </c>
      <c r="Q1051" s="6" t="str">
        <f aca="false">Orders!H1051</f>
        <v>Cancelled</v>
      </c>
      <c r="R1051" s="1" t="str">
        <f aca="false">INDEX(Customers!$C$2:$C$301,MATCH(C1051,Customers!$A$2:$A$301,0))</f>
        <v>Chennai</v>
      </c>
      <c r="S1051" s="1" t="str">
        <f aca="false">INDEX(Customers!$E$2:$E$301,MATCH(C1051,Customers!$A$2:$A$301,0))</f>
        <v>Returning</v>
      </c>
      <c r="T1051" s="6" t="str">
        <f aca="false">Orders!I1051</f>
        <v>Website</v>
      </c>
      <c r="U1051" s="1" t="str">
        <f aca="false">IF(Q1051="Delivered","Completed",IF(Q1051="Cancelled","Cancelled",IF(Q1051="Returned","Returned","In Progress")))</f>
        <v>Cancelled</v>
      </c>
      <c r="V1051" s="1" t="str">
        <f aca="false">IF(M1051&gt;=10000,"High Value",IF(M1051&gt;=5000,"Medium Value","Low Value"))</f>
        <v>Low Value</v>
      </c>
      <c r="W1051" s="1" t="str">
        <f aca="false">IF(O1051&gt;0,"Profitable",IF(O1051=0,"Break-even","Loss"))</f>
        <v>Profitable</v>
      </c>
      <c r="X1051" s="1" t="str">
        <f aca="false">IF(Q1051="Cancelled","Not Applicable",IF(Q1051="Processing","Pending",IF(B1051="","Unknown",IF(Orders!J1051="","Unknown",IF(Orders!J1051&lt;=3,"Fast",IF(Orders!J1051&lt;=6,"Standard","Slow"))))))</f>
        <v>Not Applicable</v>
      </c>
      <c r="Y1051" s="1" t="n">
        <f aca="false">IF(OR(Q1051="Cancelled",Q1051="Returned"),0,O1051)</f>
        <v>0</v>
      </c>
    </row>
    <row r="1052" customFormat="false" ht="15" hidden="false" customHeight="false" outlineLevel="0" collapsed="false">
      <c r="A1052" s="6" t="str">
        <f aca="false">Orders!A1052</f>
        <v>O001051</v>
      </c>
      <c r="B1052" s="19" t="n">
        <f aca="false">Orders!B1052</f>
        <v>45868</v>
      </c>
      <c r="C1052" s="6" t="str">
        <f aca="false">Orders!C1052</f>
        <v>C0032</v>
      </c>
      <c r="D1052" s="6" t="str">
        <f aca="false">Orders!D1052</f>
        <v>P1091</v>
      </c>
      <c r="E1052" s="6" t="str">
        <f aca="false">INDEX(Products!$B$2:$B$101,MATCH(D1052,Products!$A$2:$A$101,0))</f>
        <v>Rice Cooker</v>
      </c>
      <c r="F1052" s="1" t="str">
        <f aca="false">INDEX(Products!$C$2:$C$101,MATCH(D1052,Products!$A$2:$A$101,0))</f>
        <v>Appliances</v>
      </c>
      <c r="G1052" s="6" t="n">
        <f aca="false">Orders!E1052</f>
        <v>1</v>
      </c>
      <c r="H1052" s="16" t="n">
        <f aca="false">INDEX(Products!$D$2:$D$101,MATCH(D1052,Products!$A$2:$A$101,0))</f>
        <v>1999</v>
      </c>
      <c r="I1052" s="16" t="n">
        <f aca="false">INDEX(Products!$E$2:$E$101,MATCH(D1052,Products!$A$2:$A$101,0))</f>
        <v>1200</v>
      </c>
      <c r="J1052" s="20" t="n">
        <f aca="false">Orders!F1052</f>
        <v>0.15</v>
      </c>
      <c r="K1052" s="6" t="n">
        <f aca="false">G1052*H1052</f>
        <v>1999</v>
      </c>
      <c r="L1052" s="6" t="n">
        <f aca="false">K1052*J1052</f>
        <v>299.85</v>
      </c>
      <c r="M1052" s="6" t="n">
        <f aca="false">K1052-L1052</f>
        <v>1699.15</v>
      </c>
      <c r="N1052" s="6" t="n">
        <f aca="false">G1052*I1052</f>
        <v>1200</v>
      </c>
      <c r="O1052" s="6" t="n">
        <f aca="false">M1052-N1052</f>
        <v>499.15</v>
      </c>
      <c r="P1052" s="21" t="n">
        <f aca="false">IFERROR(O1052/M1052,0)</f>
        <v>0.293764529323485</v>
      </c>
      <c r="Q1052" s="6" t="str">
        <f aca="false">Orders!H1052</f>
        <v>Delivered</v>
      </c>
      <c r="R1052" s="1" t="str">
        <f aca="false">INDEX(Customers!$C$2:$C$301,MATCH(C1052,Customers!$A$2:$A$301,0))</f>
        <v>Noida</v>
      </c>
      <c r="S1052" s="1" t="str">
        <f aca="false">INDEX(Customers!$E$2:$E$301,MATCH(C1052,Customers!$A$2:$A$301,0))</f>
        <v>Returning</v>
      </c>
      <c r="T1052" s="6" t="str">
        <f aca="false">Orders!I1052</f>
        <v>Website</v>
      </c>
      <c r="U1052" s="1" t="str">
        <f aca="false">IF(Q1052="Delivered","Completed",IF(Q1052="Cancelled","Cancelled",IF(Q1052="Returned","Returned","In Progress")))</f>
        <v>Completed</v>
      </c>
      <c r="V1052" s="1" t="str">
        <f aca="false">IF(M1052&gt;=10000,"High Value",IF(M1052&gt;=5000,"Medium Value","Low Value"))</f>
        <v>Low Value</v>
      </c>
      <c r="W1052" s="1" t="str">
        <f aca="false">IF(O1052&gt;0,"Profitable",IF(O1052=0,"Break-even","Loss"))</f>
        <v>Profitable</v>
      </c>
      <c r="X1052" s="1" t="str">
        <f aca="false">IF(Q1052="Cancelled","Not Applicable",IF(Q1052="Processing","Pending",IF(B1052="","Unknown",IF(Orders!J1052="","Unknown",IF(Orders!J1052&lt;=3,"Fast",IF(Orders!J1052&lt;=6,"Standard","Slow"))))))</f>
        <v>Standard</v>
      </c>
      <c r="Y1052" s="1" t="n">
        <f aca="false">IF(OR(Q1052="Cancelled",Q1052="Returned"),0,O1052)</f>
        <v>499.15</v>
      </c>
    </row>
    <row r="1053" customFormat="false" ht="15" hidden="false" customHeight="false" outlineLevel="0" collapsed="false">
      <c r="A1053" s="6" t="str">
        <f aca="false">Orders!A1053</f>
        <v>O001052</v>
      </c>
      <c r="B1053" s="19" t="n">
        <f aca="false">Orders!B1053</f>
        <v>45826</v>
      </c>
      <c r="C1053" s="6" t="str">
        <f aca="false">Orders!C1053</f>
        <v>C0221</v>
      </c>
      <c r="D1053" s="6" t="str">
        <f aca="false">Orders!D1053</f>
        <v>P1066</v>
      </c>
      <c r="E1053" s="6" t="str">
        <f aca="false">INDEX(Products!$B$2:$B$101,MATCH(D1053,Products!$A$2:$A$101,0))</f>
        <v>Gym Gloves</v>
      </c>
      <c r="F1053" s="1" t="str">
        <f aca="false">INDEX(Products!$C$2:$C$101,MATCH(D1053,Products!$A$2:$A$101,0))</f>
        <v>Sports &amp; Outdoors</v>
      </c>
      <c r="G1053" s="6" t="n">
        <f aca="false">Orders!E1053</f>
        <v>4</v>
      </c>
      <c r="H1053" s="16" t="n">
        <f aca="false">INDEX(Products!$D$2:$D$101,MATCH(D1053,Products!$A$2:$A$101,0))</f>
        <v>499</v>
      </c>
      <c r="I1053" s="16" t="n">
        <f aca="false">INDEX(Products!$E$2:$E$101,MATCH(D1053,Products!$A$2:$A$101,0))</f>
        <v>200</v>
      </c>
      <c r="J1053" s="20" t="n">
        <f aca="false">Orders!F1053</f>
        <v>0.15</v>
      </c>
      <c r="K1053" s="6" t="n">
        <f aca="false">G1053*H1053</f>
        <v>1996</v>
      </c>
      <c r="L1053" s="6" t="n">
        <f aca="false">K1053*J1053</f>
        <v>299.4</v>
      </c>
      <c r="M1053" s="6" t="n">
        <f aca="false">K1053-L1053</f>
        <v>1696.6</v>
      </c>
      <c r="N1053" s="6" t="n">
        <f aca="false">G1053*I1053</f>
        <v>800</v>
      </c>
      <c r="O1053" s="6" t="n">
        <f aca="false">M1053-N1053</f>
        <v>896.6</v>
      </c>
      <c r="P1053" s="21" t="n">
        <f aca="false">IFERROR(O1053/M1053,0)</f>
        <v>0.528468702110103</v>
      </c>
      <c r="Q1053" s="6" t="str">
        <f aca="false">Orders!H1053</f>
        <v>Delivered</v>
      </c>
      <c r="R1053" s="1" t="str">
        <f aca="false">INDEX(Customers!$C$2:$C$301,MATCH(C1053,Customers!$A$2:$A$301,0))</f>
        <v>Delhi</v>
      </c>
      <c r="S1053" s="1" t="str">
        <f aca="false">INDEX(Customers!$E$2:$E$301,MATCH(C1053,Customers!$A$2:$A$301,0))</f>
        <v>New</v>
      </c>
      <c r="T1053" s="6" t="str">
        <f aca="false">Orders!I1053</f>
        <v>Mobile App</v>
      </c>
      <c r="U1053" s="1" t="str">
        <f aca="false">IF(Q1053="Delivered","Completed",IF(Q1053="Cancelled","Cancelled",IF(Q1053="Returned","Returned","In Progress")))</f>
        <v>Completed</v>
      </c>
      <c r="V1053" s="1" t="str">
        <f aca="false">IF(M1053&gt;=10000,"High Value",IF(M1053&gt;=5000,"Medium Value","Low Value"))</f>
        <v>Low Value</v>
      </c>
      <c r="W1053" s="1" t="str">
        <f aca="false">IF(O1053&gt;0,"Profitable",IF(O1053=0,"Break-even","Loss"))</f>
        <v>Profitable</v>
      </c>
      <c r="X1053" s="1" t="str">
        <f aca="false">IF(Q1053="Cancelled","Not Applicable",IF(Q1053="Processing","Pending",IF(B1053="","Unknown",IF(Orders!J1053="","Unknown",IF(Orders!J1053&lt;=3,"Fast",IF(Orders!J1053&lt;=6,"Standard","Slow"))))))</f>
        <v>Fast</v>
      </c>
      <c r="Y1053" s="1" t="n">
        <f aca="false">IF(OR(Q1053="Cancelled",Q1053="Returned"),0,O1053)</f>
        <v>896.6</v>
      </c>
    </row>
    <row r="1054" customFormat="false" ht="15" hidden="false" customHeight="false" outlineLevel="0" collapsed="false">
      <c r="A1054" s="6" t="str">
        <f aca="false">Orders!A1054</f>
        <v>O001053</v>
      </c>
      <c r="B1054" s="19" t="n">
        <f aca="false">Orders!B1054</f>
        <v>45718</v>
      </c>
      <c r="C1054" s="6" t="str">
        <f aca="false">Orders!C1054</f>
        <v>C0255</v>
      </c>
      <c r="D1054" s="6" t="str">
        <f aca="false">Orders!D1054</f>
        <v>P1021</v>
      </c>
      <c r="E1054" s="6" t="str">
        <f aca="false">INDEX(Products!$B$2:$B$101,MATCH(D1054,Products!$A$2:$A$101,0))</f>
        <v>Handbag</v>
      </c>
      <c r="F1054" s="1" t="str">
        <f aca="false">INDEX(Products!$C$2:$C$101,MATCH(D1054,Products!$A$2:$A$101,0))</f>
        <v>Fashion</v>
      </c>
      <c r="G1054" s="6" t="n">
        <f aca="false">Orders!E1054</f>
        <v>1</v>
      </c>
      <c r="H1054" s="16" t="n">
        <f aca="false">INDEX(Products!$D$2:$D$101,MATCH(D1054,Products!$A$2:$A$101,0))</f>
        <v>1499</v>
      </c>
      <c r="I1054" s="16" t="n">
        <f aca="false">INDEX(Products!$E$2:$E$101,MATCH(D1054,Products!$A$2:$A$101,0))</f>
        <v>700</v>
      </c>
      <c r="J1054" s="20" t="n">
        <f aca="false">Orders!F1054</f>
        <v>0.05</v>
      </c>
      <c r="K1054" s="6" t="n">
        <f aca="false">G1054*H1054</f>
        <v>1499</v>
      </c>
      <c r="L1054" s="6" t="n">
        <f aca="false">K1054*J1054</f>
        <v>74.95</v>
      </c>
      <c r="M1054" s="6" t="n">
        <f aca="false">K1054-L1054</f>
        <v>1424.05</v>
      </c>
      <c r="N1054" s="6" t="n">
        <f aca="false">G1054*I1054</f>
        <v>700</v>
      </c>
      <c r="O1054" s="6" t="n">
        <f aca="false">M1054-N1054</f>
        <v>724.05</v>
      </c>
      <c r="P1054" s="21" t="n">
        <f aca="false">IFERROR(O1054/M1054,0)</f>
        <v>0.508444225975212</v>
      </c>
      <c r="Q1054" s="6" t="str">
        <f aca="false">Orders!H1054</f>
        <v>Delivered</v>
      </c>
      <c r="R1054" s="1" t="str">
        <f aca="false">INDEX(Customers!$C$2:$C$301,MATCH(C1054,Customers!$A$2:$A$301,0))</f>
        <v>Bhopal</v>
      </c>
      <c r="S1054" s="1" t="str">
        <f aca="false">INDEX(Customers!$E$2:$E$301,MATCH(C1054,Customers!$A$2:$A$301,0))</f>
        <v>Returning</v>
      </c>
      <c r="T1054" s="6" t="str">
        <f aca="false">Orders!I1054</f>
        <v>Mobile App</v>
      </c>
      <c r="U1054" s="1" t="str">
        <f aca="false">IF(Q1054="Delivered","Completed",IF(Q1054="Cancelled","Cancelled",IF(Q1054="Returned","Returned","In Progress")))</f>
        <v>Completed</v>
      </c>
      <c r="V1054" s="1" t="str">
        <f aca="false">IF(M1054&gt;=10000,"High Value",IF(M1054&gt;=5000,"Medium Value","Low Value"))</f>
        <v>Low Value</v>
      </c>
      <c r="W1054" s="1" t="str">
        <f aca="false">IF(O1054&gt;0,"Profitable",IF(O1054=0,"Break-even","Loss"))</f>
        <v>Profitable</v>
      </c>
      <c r="X1054" s="1" t="str">
        <f aca="false">IF(Q1054="Cancelled","Not Applicable",IF(Q1054="Processing","Pending",IF(B1054="","Unknown",IF(Orders!J1054="","Unknown",IF(Orders!J1054&lt;=3,"Fast",IF(Orders!J1054&lt;=6,"Standard","Slow"))))))</f>
        <v>Fast</v>
      </c>
      <c r="Y1054" s="1" t="n">
        <f aca="false">IF(OR(Q1054="Cancelled",Q1054="Returned"),0,O1054)</f>
        <v>724.05</v>
      </c>
    </row>
    <row r="1055" customFormat="false" ht="15" hidden="false" customHeight="false" outlineLevel="0" collapsed="false">
      <c r="A1055" s="6" t="str">
        <f aca="false">Orders!A1055</f>
        <v>O001054</v>
      </c>
      <c r="B1055" s="19" t="n">
        <f aca="false">Orders!B1055</f>
        <v>45680</v>
      </c>
      <c r="C1055" s="6" t="str">
        <f aca="false">Orders!C1055</f>
        <v>C0276</v>
      </c>
      <c r="D1055" s="6" t="str">
        <f aca="false">Orders!D1055</f>
        <v>P1085</v>
      </c>
      <c r="E1055" s="6" t="str">
        <f aca="false">INDEX(Products!$B$2:$B$101,MATCH(D1055,Products!$A$2:$A$101,0))</f>
        <v>Marker Set</v>
      </c>
      <c r="F1055" s="1" t="str">
        <f aca="false">INDEX(Products!$C$2:$C$101,MATCH(D1055,Products!$A$2:$A$101,0))</f>
        <v>Books &amp; Stationery</v>
      </c>
      <c r="G1055" s="6" t="n">
        <f aca="false">Orders!E1055</f>
        <v>1</v>
      </c>
      <c r="H1055" s="16" t="n">
        <f aca="false">INDEX(Products!$D$2:$D$101,MATCH(D1055,Products!$A$2:$A$101,0))</f>
        <v>299</v>
      </c>
      <c r="I1055" s="16" t="n">
        <f aca="false">INDEX(Products!$E$2:$E$101,MATCH(D1055,Products!$A$2:$A$101,0))</f>
        <v>110</v>
      </c>
      <c r="J1055" s="20" t="n">
        <f aca="false">Orders!F1055</f>
        <v>0.1</v>
      </c>
      <c r="K1055" s="6" t="n">
        <f aca="false">G1055*H1055</f>
        <v>299</v>
      </c>
      <c r="L1055" s="6" t="n">
        <f aca="false">K1055*J1055</f>
        <v>29.9</v>
      </c>
      <c r="M1055" s="6" t="n">
        <f aca="false">K1055-L1055</f>
        <v>269.1</v>
      </c>
      <c r="N1055" s="6" t="n">
        <f aca="false">G1055*I1055</f>
        <v>110</v>
      </c>
      <c r="O1055" s="6" t="n">
        <f aca="false">M1055-N1055</f>
        <v>159.1</v>
      </c>
      <c r="P1055" s="21" t="n">
        <f aca="false">IFERROR(O1055/M1055,0)</f>
        <v>0.591230026012635</v>
      </c>
      <c r="Q1055" s="6" t="str">
        <f aca="false">Orders!H1055</f>
        <v>Cancelled</v>
      </c>
      <c r="R1055" s="1" t="str">
        <f aca="false">INDEX(Customers!$C$2:$C$301,MATCH(C1055,Customers!$A$2:$A$301,0))</f>
        <v>Chandigarh</v>
      </c>
      <c r="S1055" s="1" t="str">
        <f aca="false">INDEX(Customers!$E$2:$E$301,MATCH(C1055,Customers!$A$2:$A$301,0))</f>
        <v>New</v>
      </c>
      <c r="T1055" s="6" t="str">
        <f aca="false">Orders!I1055</f>
        <v>Marketplace</v>
      </c>
      <c r="U1055" s="1" t="str">
        <f aca="false">IF(Q1055="Delivered","Completed",IF(Q1055="Cancelled","Cancelled",IF(Q1055="Returned","Returned","In Progress")))</f>
        <v>Cancelled</v>
      </c>
      <c r="V1055" s="1" t="str">
        <f aca="false">IF(M1055&gt;=10000,"High Value",IF(M1055&gt;=5000,"Medium Value","Low Value"))</f>
        <v>Low Value</v>
      </c>
      <c r="W1055" s="1" t="str">
        <f aca="false">IF(O1055&gt;0,"Profitable",IF(O1055=0,"Break-even","Loss"))</f>
        <v>Profitable</v>
      </c>
      <c r="X1055" s="1" t="str">
        <f aca="false">IF(Q1055="Cancelled","Not Applicable",IF(Q1055="Processing","Pending",IF(B1055="","Unknown",IF(Orders!J1055="","Unknown",IF(Orders!J1055&lt;=3,"Fast",IF(Orders!J1055&lt;=6,"Standard","Slow"))))))</f>
        <v>Not Applicable</v>
      </c>
      <c r="Y1055" s="1" t="n">
        <f aca="false">IF(OR(Q1055="Cancelled",Q1055="Returned"),0,O1055)</f>
        <v>0</v>
      </c>
    </row>
    <row r="1056" customFormat="false" ht="15" hidden="false" customHeight="false" outlineLevel="0" collapsed="false">
      <c r="A1056" s="6" t="str">
        <f aca="false">Orders!A1056</f>
        <v>O001055</v>
      </c>
      <c r="B1056" s="19" t="n">
        <f aca="false">Orders!B1056</f>
        <v>45851</v>
      </c>
      <c r="C1056" s="6" t="str">
        <f aca="false">Orders!C1056</f>
        <v>C0029</v>
      </c>
      <c r="D1056" s="6" t="str">
        <f aca="false">Orders!D1056</f>
        <v>P1077</v>
      </c>
      <c r="E1056" s="6" t="str">
        <f aca="false">INDEX(Products!$B$2:$B$101,MATCH(D1056,Products!$A$2:$A$101,0))</f>
        <v>Planner</v>
      </c>
      <c r="F1056" s="1" t="str">
        <f aca="false">INDEX(Products!$C$2:$C$101,MATCH(D1056,Products!$A$2:$A$101,0))</f>
        <v>Books &amp; Stationery</v>
      </c>
      <c r="G1056" s="6" t="n">
        <f aca="false">Orders!E1056</f>
        <v>1</v>
      </c>
      <c r="H1056" s="16" t="n">
        <f aca="false">INDEX(Products!$D$2:$D$101,MATCH(D1056,Products!$A$2:$A$101,0))</f>
        <v>349</v>
      </c>
      <c r="I1056" s="16" t="n">
        <f aca="false">INDEX(Products!$E$2:$E$101,MATCH(D1056,Products!$A$2:$A$101,0))</f>
        <v>130</v>
      </c>
      <c r="J1056" s="20" t="n">
        <f aca="false">Orders!F1056</f>
        <v>0.15</v>
      </c>
      <c r="K1056" s="6" t="n">
        <f aca="false">G1056*H1056</f>
        <v>349</v>
      </c>
      <c r="L1056" s="6" t="n">
        <f aca="false">K1056*J1056</f>
        <v>52.35</v>
      </c>
      <c r="M1056" s="6" t="n">
        <f aca="false">K1056-L1056</f>
        <v>296.65</v>
      </c>
      <c r="N1056" s="6" t="n">
        <f aca="false">G1056*I1056</f>
        <v>130</v>
      </c>
      <c r="O1056" s="6" t="n">
        <f aca="false">M1056-N1056</f>
        <v>166.65</v>
      </c>
      <c r="P1056" s="21" t="n">
        <f aca="false">IFERROR(O1056/M1056,0)</f>
        <v>0.561773133322097</v>
      </c>
      <c r="Q1056" s="6" t="str">
        <f aca="false">Orders!H1056</f>
        <v>Delivered</v>
      </c>
      <c r="R1056" s="1" t="str">
        <f aca="false">INDEX(Customers!$C$2:$C$301,MATCH(C1056,Customers!$A$2:$A$301,0))</f>
        <v>Ahmedabad</v>
      </c>
      <c r="S1056" s="1" t="str">
        <f aca="false">INDEX(Customers!$E$2:$E$301,MATCH(C1056,Customers!$A$2:$A$301,0))</f>
        <v>Returning</v>
      </c>
      <c r="T1056" s="6" t="str">
        <f aca="false">Orders!I1056</f>
        <v>Website</v>
      </c>
      <c r="U1056" s="1" t="str">
        <f aca="false">IF(Q1056="Delivered","Completed",IF(Q1056="Cancelled","Cancelled",IF(Q1056="Returned","Returned","In Progress")))</f>
        <v>Completed</v>
      </c>
      <c r="V1056" s="1" t="str">
        <f aca="false">IF(M1056&gt;=10000,"High Value",IF(M1056&gt;=5000,"Medium Value","Low Value"))</f>
        <v>Low Value</v>
      </c>
      <c r="W1056" s="1" t="str">
        <f aca="false">IF(O1056&gt;0,"Profitable",IF(O1056=0,"Break-even","Loss"))</f>
        <v>Profitable</v>
      </c>
      <c r="X1056" s="1" t="str">
        <f aca="false">IF(Q1056="Cancelled","Not Applicable",IF(Q1056="Processing","Pending",IF(B1056="","Unknown",IF(Orders!J1056="","Unknown",IF(Orders!J1056&lt;=3,"Fast",IF(Orders!J1056&lt;=6,"Standard","Slow"))))))</f>
        <v>Slow</v>
      </c>
      <c r="Y1056" s="1" t="n">
        <f aca="false">IF(OR(Q1056="Cancelled",Q1056="Returned"),0,O1056)</f>
        <v>166.65</v>
      </c>
    </row>
    <row r="1057" customFormat="false" ht="23.85" hidden="false" customHeight="false" outlineLevel="0" collapsed="false">
      <c r="A1057" s="6" t="str">
        <f aca="false">Orders!A1057</f>
        <v>O001056</v>
      </c>
      <c r="B1057" s="19" t="n">
        <f aca="false">Orders!B1057</f>
        <v>45694</v>
      </c>
      <c r="C1057" s="6" t="str">
        <f aca="false">Orders!C1057</f>
        <v>C0199</v>
      </c>
      <c r="D1057" s="6" t="str">
        <f aca="false">Orders!D1057</f>
        <v>P1047</v>
      </c>
      <c r="E1057" s="6" t="str">
        <f aca="false">INDEX(Products!$B$2:$B$101,MATCH(D1057,Products!$A$2:$A$101,0))</f>
        <v>Sunscreen Lotion</v>
      </c>
      <c r="F1057" s="1" t="str">
        <f aca="false">INDEX(Products!$C$2:$C$101,MATCH(D1057,Products!$A$2:$A$101,0))</f>
        <v>Beauty</v>
      </c>
      <c r="G1057" s="6" t="n">
        <f aca="false">Orders!E1057</f>
        <v>1</v>
      </c>
      <c r="H1057" s="16" t="n">
        <f aca="false">INDEX(Products!$D$2:$D$101,MATCH(D1057,Products!$A$2:$A$101,0))</f>
        <v>399</v>
      </c>
      <c r="I1057" s="16" t="n">
        <f aca="false">INDEX(Products!$E$2:$E$101,MATCH(D1057,Products!$A$2:$A$101,0))</f>
        <v>170</v>
      </c>
      <c r="J1057" s="20" t="n">
        <f aca="false">Orders!F1057</f>
        <v>0.05</v>
      </c>
      <c r="K1057" s="6" t="n">
        <f aca="false">G1057*H1057</f>
        <v>399</v>
      </c>
      <c r="L1057" s="6" t="n">
        <f aca="false">K1057*J1057</f>
        <v>19.95</v>
      </c>
      <c r="M1057" s="6" t="n">
        <f aca="false">K1057-L1057</f>
        <v>379.05</v>
      </c>
      <c r="N1057" s="6" t="n">
        <f aca="false">G1057*I1057</f>
        <v>170</v>
      </c>
      <c r="O1057" s="6" t="n">
        <f aca="false">M1057-N1057</f>
        <v>209.05</v>
      </c>
      <c r="P1057" s="21" t="n">
        <f aca="false">IFERROR(O1057/M1057,0)</f>
        <v>0.551510354834455</v>
      </c>
      <c r="Q1057" s="6" t="str">
        <f aca="false">Orders!H1057</f>
        <v>Delivered</v>
      </c>
      <c r="R1057" s="1" t="str">
        <f aca="false">INDEX(Customers!$C$2:$C$301,MATCH(C1057,Customers!$A$2:$A$301,0))</f>
        <v>Coimbatore</v>
      </c>
      <c r="S1057" s="1" t="str">
        <f aca="false">INDEX(Customers!$E$2:$E$301,MATCH(C1057,Customers!$A$2:$A$301,0))</f>
        <v>Returning</v>
      </c>
      <c r="T1057" s="6" t="str">
        <f aca="false">Orders!I1057</f>
        <v>Mobile App</v>
      </c>
      <c r="U1057" s="1" t="str">
        <f aca="false">IF(Q1057="Delivered","Completed",IF(Q1057="Cancelled","Cancelled",IF(Q1057="Returned","Returned","In Progress")))</f>
        <v>Completed</v>
      </c>
      <c r="V1057" s="1" t="str">
        <f aca="false">IF(M1057&gt;=10000,"High Value",IF(M1057&gt;=5000,"Medium Value","Low Value"))</f>
        <v>Low Value</v>
      </c>
      <c r="W1057" s="1" t="str">
        <f aca="false">IF(O1057&gt;0,"Profitable",IF(O1057=0,"Break-even","Loss"))</f>
        <v>Profitable</v>
      </c>
      <c r="X1057" s="1" t="str">
        <f aca="false">IF(Q1057="Cancelled","Not Applicable",IF(Q1057="Processing","Pending",IF(B1057="","Unknown",IF(Orders!J1057="","Unknown",IF(Orders!J1057&lt;=3,"Fast",IF(Orders!J1057&lt;=6,"Standard","Slow"))))))</f>
        <v>Standard</v>
      </c>
      <c r="Y1057" s="1" t="n">
        <f aca="false">IF(OR(Q1057="Cancelled",Q1057="Returned"),0,O1057)</f>
        <v>209.05</v>
      </c>
    </row>
    <row r="1058" customFormat="false" ht="15" hidden="false" customHeight="false" outlineLevel="0" collapsed="false">
      <c r="A1058" s="6" t="str">
        <f aca="false">Orders!A1058</f>
        <v>O001057</v>
      </c>
      <c r="B1058" s="19" t="n">
        <f aca="false">Orders!B1058</f>
        <v>45797</v>
      </c>
      <c r="C1058" s="6" t="str">
        <f aca="false">Orders!C1058</f>
        <v>C0117</v>
      </c>
      <c r="D1058" s="6" t="str">
        <f aca="false">Orders!D1058</f>
        <v>P1017</v>
      </c>
      <c r="E1058" s="6" t="str">
        <f aca="false">INDEX(Products!$B$2:$B$101,MATCH(D1058,Products!$A$2:$A$101,0))</f>
        <v>Denim Jeans</v>
      </c>
      <c r="F1058" s="1" t="str">
        <f aca="false">INDEX(Products!$C$2:$C$101,MATCH(D1058,Products!$A$2:$A$101,0))</f>
        <v>Fashion</v>
      </c>
      <c r="G1058" s="6" t="n">
        <f aca="false">Orders!E1058</f>
        <v>3</v>
      </c>
      <c r="H1058" s="16" t="n">
        <f aca="false">INDEX(Products!$D$2:$D$101,MATCH(D1058,Products!$A$2:$A$101,0))</f>
        <v>1299</v>
      </c>
      <c r="I1058" s="16" t="n">
        <f aca="false">INDEX(Products!$E$2:$E$101,MATCH(D1058,Products!$A$2:$A$101,0))</f>
        <v>650</v>
      </c>
      <c r="J1058" s="20" t="n">
        <f aca="false">Orders!F1058</f>
        <v>0</v>
      </c>
      <c r="K1058" s="6" t="n">
        <f aca="false">G1058*H1058</f>
        <v>3897</v>
      </c>
      <c r="L1058" s="6" t="n">
        <f aca="false">K1058*J1058</f>
        <v>0</v>
      </c>
      <c r="M1058" s="6" t="n">
        <f aca="false">K1058-L1058</f>
        <v>3897</v>
      </c>
      <c r="N1058" s="6" t="n">
        <f aca="false">G1058*I1058</f>
        <v>1950</v>
      </c>
      <c r="O1058" s="6" t="n">
        <f aca="false">M1058-N1058</f>
        <v>1947</v>
      </c>
      <c r="P1058" s="21" t="n">
        <f aca="false">IFERROR(O1058/M1058,0)</f>
        <v>0.499615088529638</v>
      </c>
      <c r="Q1058" s="6" t="str">
        <f aca="false">Orders!H1058</f>
        <v>Delivered</v>
      </c>
      <c r="R1058" s="1" t="str">
        <f aca="false">INDEX(Customers!$C$2:$C$301,MATCH(C1058,Customers!$A$2:$A$301,0))</f>
        <v>Surat</v>
      </c>
      <c r="S1058" s="1" t="str">
        <f aca="false">INDEX(Customers!$E$2:$E$301,MATCH(C1058,Customers!$A$2:$A$301,0))</f>
        <v>Returning</v>
      </c>
      <c r="T1058" s="6" t="str">
        <f aca="false">Orders!I1058</f>
        <v>Marketplace</v>
      </c>
      <c r="U1058" s="1" t="str">
        <f aca="false">IF(Q1058="Delivered","Completed",IF(Q1058="Cancelled","Cancelled",IF(Q1058="Returned","Returned","In Progress")))</f>
        <v>Completed</v>
      </c>
      <c r="V1058" s="1" t="str">
        <f aca="false">IF(M1058&gt;=10000,"High Value",IF(M1058&gt;=5000,"Medium Value","Low Value"))</f>
        <v>Low Value</v>
      </c>
      <c r="W1058" s="1" t="str">
        <f aca="false">IF(O1058&gt;0,"Profitable",IF(O1058=0,"Break-even","Loss"))</f>
        <v>Profitable</v>
      </c>
      <c r="X1058" s="1" t="str">
        <f aca="false">IF(Q1058="Cancelled","Not Applicable",IF(Q1058="Processing","Pending",IF(B1058="","Unknown",IF(Orders!J1058="","Unknown",IF(Orders!J1058&lt;=3,"Fast",IF(Orders!J1058&lt;=6,"Standard","Slow"))))))</f>
        <v>Standard</v>
      </c>
      <c r="Y1058" s="1" t="n">
        <f aca="false">IF(OR(Q1058="Cancelled",Q1058="Returned"),0,O1058)</f>
        <v>1947</v>
      </c>
    </row>
    <row r="1059" customFormat="false" ht="15" hidden="false" customHeight="false" outlineLevel="0" collapsed="false">
      <c r="A1059" s="6" t="str">
        <f aca="false">Orders!A1059</f>
        <v>O001058</v>
      </c>
      <c r="B1059" s="19" t="n">
        <f aca="false">Orders!B1059</f>
        <v>45928</v>
      </c>
      <c r="C1059" s="6" t="str">
        <f aca="false">Orders!C1059</f>
        <v>C0267</v>
      </c>
      <c r="D1059" s="6" t="str">
        <f aca="false">Orders!D1059</f>
        <v>P1086</v>
      </c>
      <c r="E1059" s="6" t="str">
        <f aca="false">INDEX(Products!$B$2:$B$101,MATCH(D1059,Products!$A$2:$A$101,0))</f>
        <v>Geometry Box</v>
      </c>
      <c r="F1059" s="1" t="str">
        <f aca="false">INDEX(Products!$C$2:$C$101,MATCH(D1059,Products!$A$2:$A$101,0))</f>
        <v>Books &amp; Stationery</v>
      </c>
      <c r="G1059" s="6" t="n">
        <f aca="false">Orders!E1059</f>
        <v>4</v>
      </c>
      <c r="H1059" s="16" t="n">
        <f aca="false">INDEX(Products!$D$2:$D$101,MATCH(D1059,Products!$A$2:$A$101,0))</f>
        <v>199</v>
      </c>
      <c r="I1059" s="16" t="n">
        <f aca="false">INDEX(Products!$E$2:$E$101,MATCH(D1059,Products!$A$2:$A$101,0))</f>
        <v>70</v>
      </c>
      <c r="J1059" s="20" t="n">
        <f aca="false">Orders!F1059</f>
        <v>0.05</v>
      </c>
      <c r="K1059" s="6" t="n">
        <f aca="false">G1059*H1059</f>
        <v>796</v>
      </c>
      <c r="L1059" s="6" t="n">
        <f aca="false">K1059*J1059</f>
        <v>39.8</v>
      </c>
      <c r="M1059" s="6" t="n">
        <f aca="false">K1059-L1059</f>
        <v>756.2</v>
      </c>
      <c r="N1059" s="6" t="n">
        <f aca="false">G1059*I1059</f>
        <v>280</v>
      </c>
      <c r="O1059" s="6" t="n">
        <f aca="false">M1059-N1059</f>
        <v>476.2</v>
      </c>
      <c r="P1059" s="21" t="n">
        <f aca="false">IFERROR(O1059/M1059,0)</f>
        <v>0.629727585294896</v>
      </c>
      <c r="Q1059" s="6" t="str">
        <f aca="false">Orders!H1059</f>
        <v>Processing</v>
      </c>
      <c r="R1059" s="1" t="str">
        <f aca="false">INDEX(Customers!$C$2:$C$301,MATCH(C1059,Customers!$A$2:$A$301,0))</f>
        <v>Pune</v>
      </c>
      <c r="S1059" s="1" t="str">
        <f aca="false">INDEX(Customers!$E$2:$E$301,MATCH(C1059,Customers!$A$2:$A$301,0))</f>
        <v>Returning</v>
      </c>
      <c r="T1059" s="6" t="str">
        <f aca="false">Orders!I1059</f>
        <v>Website</v>
      </c>
      <c r="U1059" s="1" t="str">
        <f aca="false">IF(Q1059="Delivered","Completed",IF(Q1059="Cancelled","Cancelled",IF(Q1059="Returned","Returned","In Progress")))</f>
        <v>In Progress</v>
      </c>
      <c r="V1059" s="1" t="str">
        <f aca="false">IF(M1059&gt;=10000,"High Value",IF(M1059&gt;=5000,"Medium Value","Low Value"))</f>
        <v>Low Value</v>
      </c>
      <c r="W1059" s="1" t="str">
        <f aca="false">IF(O1059&gt;0,"Profitable",IF(O1059=0,"Break-even","Loss"))</f>
        <v>Profitable</v>
      </c>
      <c r="X1059" s="1" t="str">
        <f aca="false">IF(Q1059="Cancelled","Not Applicable",IF(Q1059="Processing","Pending",IF(B1059="","Unknown",IF(Orders!J1059="","Unknown",IF(Orders!J1059&lt;=3,"Fast",IF(Orders!J1059&lt;=6,"Standard","Slow"))))))</f>
        <v>Pending</v>
      </c>
      <c r="Y1059" s="1" t="n">
        <f aca="false">IF(OR(Q1059="Cancelled",Q1059="Returned"),0,O1059)</f>
        <v>476.2</v>
      </c>
    </row>
    <row r="1060" customFormat="false" ht="15" hidden="false" customHeight="false" outlineLevel="0" collapsed="false">
      <c r="A1060" s="6" t="str">
        <f aca="false">Orders!A1060</f>
        <v>O001059</v>
      </c>
      <c r="B1060" s="19" t="n">
        <f aca="false">Orders!B1060</f>
        <v>45797</v>
      </c>
      <c r="C1060" s="6" t="str">
        <f aca="false">Orders!C1060</f>
        <v>C0230</v>
      </c>
      <c r="D1060" s="6" t="str">
        <f aca="false">Orders!D1060</f>
        <v>P1042</v>
      </c>
      <c r="E1060" s="6" t="str">
        <f aca="false">INDEX(Products!$B$2:$B$101,MATCH(D1060,Products!$A$2:$A$101,0))</f>
        <v>Bath Towel Set</v>
      </c>
      <c r="F1060" s="1" t="str">
        <f aca="false">INDEX(Products!$C$2:$C$101,MATCH(D1060,Products!$A$2:$A$101,0))</f>
        <v>Home &amp; Kitchen</v>
      </c>
      <c r="G1060" s="6" t="n">
        <f aca="false">Orders!E1060</f>
        <v>2</v>
      </c>
      <c r="H1060" s="16" t="n">
        <f aca="false">INDEX(Products!$D$2:$D$101,MATCH(D1060,Products!$A$2:$A$101,0))</f>
        <v>799</v>
      </c>
      <c r="I1060" s="16" t="n">
        <f aca="false">INDEX(Products!$E$2:$E$101,MATCH(D1060,Products!$A$2:$A$101,0))</f>
        <v>360</v>
      </c>
      <c r="J1060" s="20" t="n">
        <f aca="false">Orders!F1060</f>
        <v>0.1</v>
      </c>
      <c r="K1060" s="6" t="n">
        <f aca="false">G1060*H1060</f>
        <v>1598</v>
      </c>
      <c r="L1060" s="6" t="n">
        <f aca="false">K1060*J1060</f>
        <v>159.8</v>
      </c>
      <c r="M1060" s="6" t="n">
        <f aca="false">K1060-L1060</f>
        <v>1438.2</v>
      </c>
      <c r="N1060" s="6" t="n">
        <f aca="false">G1060*I1060</f>
        <v>720</v>
      </c>
      <c r="O1060" s="6" t="n">
        <f aca="false">M1060-N1060</f>
        <v>718.2</v>
      </c>
      <c r="P1060" s="21" t="n">
        <f aca="false">IFERROR(O1060/M1060,0)</f>
        <v>0.499374217772215</v>
      </c>
      <c r="Q1060" s="6" t="str">
        <f aca="false">Orders!H1060</f>
        <v>Delivered</v>
      </c>
      <c r="R1060" s="1" t="str">
        <f aca="false">INDEX(Customers!$C$2:$C$301,MATCH(C1060,Customers!$A$2:$A$301,0))</f>
        <v>Lucknow</v>
      </c>
      <c r="S1060" s="1" t="str">
        <f aca="false">INDEX(Customers!$E$2:$E$301,MATCH(C1060,Customers!$A$2:$A$301,0))</f>
        <v>New</v>
      </c>
      <c r="T1060" s="6" t="str">
        <f aca="false">Orders!I1060</f>
        <v>Website</v>
      </c>
      <c r="U1060" s="1" t="str">
        <f aca="false">IF(Q1060="Delivered","Completed",IF(Q1060="Cancelled","Cancelled",IF(Q1060="Returned","Returned","In Progress")))</f>
        <v>Completed</v>
      </c>
      <c r="V1060" s="1" t="str">
        <f aca="false">IF(M1060&gt;=10000,"High Value",IF(M1060&gt;=5000,"Medium Value","Low Value"))</f>
        <v>Low Value</v>
      </c>
      <c r="W1060" s="1" t="str">
        <f aca="false">IF(O1060&gt;0,"Profitable",IF(O1060=0,"Break-even","Loss"))</f>
        <v>Profitable</v>
      </c>
      <c r="X1060" s="1" t="str">
        <f aca="false">IF(Q1060="Cancelled","Not Applicable",IF(Q1060="Processing","Pending",IF(B1060="","Unknown",IF(Orders!J1060="","Unknown",IF(Orders!J1060&lt;=3,"Fast",IF(Orders!J1060&lt;=6,"Standard","Slow"))))))</f>
        <v>Standard</v>
      </c>
      <c r="Y1060" s="1" t="n">
        <f aca="false">IF(OR(Q1060="Cancelled",Q1060="Returned"),0,O1060)</f>
        <v>718.2</v>
      </c>
    </row>
    <row r="1061" customFormat="false" ht="15" hidden="false" customHeight="false" outlineLevel="0" collapsed="false">
      <c r="A1061" s="6" t="str">
        <f aca="false">Orders!A1061</f>
        <v>O001060</v>
      </c>
      <c r="B1061" s="19" t="n">
        <f aca="false">Orders!B1061</f>
        <v>45833</v>
      </c>
      <c r="C1061" s="6" t="str">
        <f aca="false">Orders!C1061</f>
        <v>C0240</v>
      </c>
      <c r="D1061" s="6" t="str">
        <f aca="false">Orders!D1061</f>
        <v>P1036</v>
      </c>
      <c r="E1061" s="6" t="str">
        <f aca="false">INDEX(Products!$B$2:$B$101,MATCH(D1061,Products!$A$2:$A$101,0))</f>
        <v>Dinner Set</v>
      </c>
      <c r="F1061" s="1" t="str">
        <f aca="false">INDEX(Products!$C$2:$C$101,MATCH(D1061,Products!$A$2:$A$101,0))</f>
        <v>Home &amp; Kitchen</v>
      </c>
      <c r="G1061" s="6" t="n">
        <f aca="false">Orders!E1061</f>
        <v>3</v>
      </c>
      <c r="H1061" s="16" t="n">
        <f aca="false">INDEX(Products!$D$2:$D$101,MATCH(D1061,Products!$A$2:$A$101,0))</f>
        <v>1499</v>
      </c>
      <c r="I1061" s="16" t="n">
        <f aca="false">INDEX(Products!$E$2:$E$101,MATCH(D1061,Products!$A$2:$A$101,0))</f>
        <v>800</v>
      </c>
      <c r="J1061" s="20" t="n">
        <f aca="false">Orders!F1061</f>
        <v>0.05</v>
      </c>
      <c r="K1061" s="6" t="n">
        <f aca="false">G1061*H1061</f>
        <v>4497</v>
      </c>
      <c r="L1061" s="6" t="n">
        <f aca="false">K1061*J1061</f>
        <v>224.85</v>
      </c>
      <c r="M1061" s="6" t="n">
        <f aca="false">K1061-L1061</f>
        <v>4272.15</v>
      </c>
      <c r="N1061" s="6" t="n">
        <f aca="false">G1061*I1061</f>
        <v>2400</v>
      </c>
      <c r="O1061" s="6" t="n">
        <f aca="false">M1061-N1061</f>
        <v>1872.15</v>
      </c>
      <c r="P1061" s="21" t="n">
        <f aca="false">IFERROR(O1061/M1061,0)</f>
        <v>0.438221972543099</v>
      </c>
      <c r="Q1061" s="6" t="str">
        <f aca="false">Orders!H1061</f>
        <v>Delivered</v>
      </c>
      <c r="R1061" s="1" t="str">
        <f aca="false">INDEX(Customers!$C$2:$C$301,MATCH(C1061,Customers!$A$2:$A$301,0))</f>
        <v>Visakhapatnam</v>
      </c>
      <c r="S1061" s="1" t="str">
        <f aca="false">INDEX(Customers!$E$2:$E$301,MATCH(C1061,Customers!$A$2:$A$301,0))</f>
        <v>Returning</v>
      </c>
      <c r="T1061" s="6" t="str">
        <f aca="false">Orders!I1061</f>
        <v>Website</v>
      </c>
      <c r="U1061" s="1" t="str">
        <f aca="false">IF(Q1061="Delivered","Completed",IF(Q1061="Cancelled","Cancelled",IF(Q1061="Returned","Returned","In Progress")))</f>
        <v>Completed</v>
      </c>
      <c r="V1061" s="1" t="str">
        <f aca="false">IF(M1061&gt;=10000,"High Value",IF(M1061&gt;=5000,"Medium Value","Low Value"))</f>
        <v>Low Value</v>
      </c>
      <c r="W1061" s="1" t="str">
        <f aca="false">IF(O1061&gt;0,"Profitable",IF(O1061=0,"Break-even","Loss"))</f>
        <v>Profitable</v>
      </c>
      <c r="X1061" s="1" t="str">
        <f aca="false">IF(Q1061="Cancelled","Not Applicable",IF(Q1061="Processing","Pending",IF(B1061="","Unknown",IF(Orders!J1061="","Unknown",IF(Orders!J1061&lt;=3,"Fast",IF(Orders!J1061&lt;=6,"Standard","Slow"))))))</f>
        <v>Fast</v>
      </c>
      <c r="Y1061" s="1" t="n">
        <f aca="false">IF(OR(Q1061="Cancelled",Q1061="Returned"),0,O1061)</f>
        <v>1872.15</v>
      </c>
    </row>
    <row r="1062" customFormat="false" ht="15" hidden="false" customHeight="false" outlineLevel="0" collapsed="false">
      <c r="A1062" s="6" t="str">
        <f aca="false">Orders!A1062</f>
        <v>O001061</v>
      </c>
      <c r="B1062" s="19" t="n">
        <f aca="false">Orders!B1062</f>
        <v>45843</v>
      </c>
      <c r="C1062" s="6" t="str">
        <f aca="false">Orders!C1062</f>
        <v>C0038</v>
      </c>
      <c r="D1062" s="6" t="str">
        <f aca="false">Orders!D1062</f>
        <v>P1016</v>
      </c>
      <c r="E1062" s="6" t="str">
        <f aca="false">INDEX(Products!$B$2:$B$101,MATCH(D1062,Products!$A$2:$A$101,0))</f>
        <v>Casual T-Shirt</v>
      </c>
      <c r="F1062" s="1" t="str">
        <f aca="false">INDEX(Products!$C$2:$C$101,MATCH(D1062,Products!$A$2:$A$101,0))</f>
        <v>Fashion</v>
      </c>
      <c r="G1062" s="6" t="n">
        <f aca="false">Orders!E1062</f>
        <v>5</v>
      </c>
      <c r="H1062" s="16" t="n">
        <f aca="false">INDEX(Products!$D$2:$D$101,MATCH(D1062,Products!$A$2:$A$101,0))</f>
        <v>499</v>
      </c>
      <c r="I1062" s="16" t="n">
        <f aca="false">INDEX(Products!$E$2:$E$101,MATCH(D1062,Products!$A$2:$A$101,0))</f>
        <v>220</v>
      </c>
      <c r="J1062" s="20" t="n">
        <f aca="false">Orders!F1062</f>
        <v>0.05</v>
      </c>
      <c r="K1062" s="6" t="n">
        <f aca="false">G1062*H1062</f>
        <v>2495</v>
      </c>
      <c r="L1062" s="6" t="n">
        <f aca="false">K1062*J1062</f>
        <v>124.75</v>
      </c>
      <c r="M1062" s="6" t="n">
        <f aca="false">K1062-L1062</f>
        <v>2370.25</v>
      </c>
      <c r="N1062" s="6" t="n">
        <f aca="false">G1062*I1062</f>
        <v>1100</v>
      </c>
      <c r="O1062" s="6" t="n">
        <f aca="false">M1062-N1062</f>
        <v>1270.25</v>
      </c>
      <c r="P1062" s="21" t="n">
        <f aca="false">IFERROR(O1062/M1062,0)</f>
        <v>0.535913933129417</v>
      </c>
      <c r="Q1062" s="6" t="str">
        <f aca="false">Orders!H1062</f>
        <v>Delivered</v>
      </c>
      <c r="R1062" s="1" t="str">
        <f aca="false">INDEX(Customers!$C$2:$C$301,MATCH(C1062,Customers!$A$2:$A$301,0))</f>
        <v>Nagpur</v>
      </c>
      <c r="S1062" s="1" t="str">
        <f aca="false">INDEX(Customers!$E$2:$E$301,MATCH(C1062,Customers!$A$2:$A$301,0))</f>
        <v>Returning</v>
      </c>
      <c r="T1062" s="6" t="str">
        <f aca="false">Orders!I1062</f>
        <v>Mobile App</v>
      </c>
      <c r="U1062" s="1" t="str">
        <f aca="false">IF(Q1062="Delivered","Completed",IF(Q1062="Cancelled","Cancelled",IF(Q1062="Returned","Returned","In Progress")))</f>
        <v>Completed</v>
      </c>
      <c r="V1062" s="1" t="str">
        <f aca="false">IF(M1062&gt;=10000,"High Value",IF(M1062&gt;=5000,"Medium Value","Low Value"))</f>
        <v>Low Value</v>
      </c>
      <c r="W1062" s="1" t="str">
        <f aca="false">IF(O1062&gt;0,"Profitable",IF(O1062=0,"Break-even","Loss"))</f>
        <v>Profitable</v>
      </c>
      <c r="X1062" s="1" t="str">
        <f aca="false">IF(Q1062="Cancelled","Not Applicable",IF(Q1062="Processing","Pending",IF(B1062="","Unknown",IF(Orders!J1062="","Unknown",IF(Orders!J1062&lt;=3,"Fast",IF(Orders!J1062&lt;=6,"Standard","Slow"))))))</f>
        <v>Slow</v>
      </c>
      <c r="Y1062" s="1" t="n">
        <f aca="false">IF(OR(Q1062="Cancelled",Q1062="Returned"),0,O1062)</f>
        <v>1270.25</v>
      </c>
    </row>
    <row r="1063" customFormat="false" ht="15" hidden="false" customHeight="false" outlineLevel="0" collapsed="false">
      <c r="A1063" s="6" t="str">
        <f aca="false">Orders!A1063</f>
        <v>O001062</v>
      </c>
      <c r="B1063" s="19" t="n">
        <f aca="false">Orders!B1063</f>
        <v>45811</v>
      </c>
      <c r="C1063" s="6" t="str">
        <f aca="false">Orders!C1063</f>
        <v>C0029</v>
      </c>
      <c r="D1063" s="6" t="str">
        <f aca="false">Orders!D1063</f>
        <v>P1025</v>
      </c>
      <c r="E1063" s="6" t="str">
        <f aca="false">INDEX(Products!$B$2:$B$101,MATCH(D1063,Products!$A$2:$A$101,0))</f>
        <v>Hoodie</v>
      </c>
      <c r="F1063" s="1" t="str">
        <f aca="false">INDEX(Products!$C$2:$C$101,MATCH(D1063,Products!$A$2:$A$101,0))</f>
        <v>Fashion</v>
      </c>
      <c r="G1063" s="6" t="n">
        <f aca="false">Orders!E1063</f>
        <v>1</v>
      </c>
      <c r="H1063" s="16" t="n">
        <f aca="false">INDEX(Products!$D$2:$D$101,MATCH(D1063,Products!$A$2:$A$101,0))</f>
        <v>1399</v>
      </c>
      <c r="I1063" s="16" t="n">
        <f aca="false">INDEX(Products!$E$2:$E$101,MATCH(D1063,Products!$A$2:$A$101,0))</f>
        <v>720</v>
      </c>
      <c r="J1063" s="20" t="n">
        <f aca="false">Orders!F1063</f>
        <v>0.05</v>
      </c>
      <c r="K1063" s="6" t="n">
        <f aca="false">G1063*H1063</f>
        <v>1399</v>
      </c>
      <c r="L1063" s="6" t="n">
        <f aca="false">K1063*J1063</f>
        <v>69.95</v>
      </c>
      <c r="M1063" s="6" t="n">
        <f aca="false">K1063-L1063</f>
        <v>1329.05</v>
      </c>
      <c r="N1063" s="6" t="n">
        <f aca="false">G1063*I1063</f>
        <v>720</v>
      </c>
      <c r="O1063" s="6" t="n">
        <f aca="false">M1063-N1063</f>
        <v>609.05</v>
      </c>
      <c r="P1063" s="21" t="n">
        <f aca="false">IFERROR(O1063/M1063,0)</f>
        <v>0.458259659155036</v>
      </c>
      <c r="Q1063" s="6" t="str">
        <f aca="false">Orders!H1063</f>
        <v>Delivered</v>
      </c>
      <c r="R1063" s="1" t="str">
        <f aca="false">INDEX(Customers!$C$2:$C$301,MATCH(C1063,Customers!$A$2:$A$301,0))</f>
        <v>Ahmedabad</v>
      </c>
      <c r="S1063" s="1" t="str">
        <f aca="false">INDEX(Customers!$E$2:$E$301,MATCH(C1063,Customers!$A$2:$A$301,0))</f>
        <v>Returning</v>
      </c>
      <c r="T1063" s="6" t="str">
        <f aca="false">Orders!I1063</f>
        <v>Marketplace</v>
      </c>
      <c r="U1063" s="1" t="str">
        <f aca="false">IF(Q1063="Delivered","Completed",IF(Q1063="Cancelled","Cancelled",IF(Q1063="Returned","Returned","In Progress")))</f>
        <v>Completed</v>
      </c>
      <c r="V1063" s="1" t="str">
        <f aca="false">IF(M1063&gt;=10000,"High Value",IF(M1063&gt;=5000,"Medium Value","Low Value"))</f>
        <v>Low Value</v>
      </c>
      <c r="W1063" s="1" t="str">
        <f aca="false">IF(O1063&gt;0,"Profitable",IF(O1063=0,"Break-even","Loss"))</f>
        <v>Profitable</v>
      </c>
      <c r="X1063" s="1" t="str">
        <f aca="false">IF(Q1063="Cancelled","Not Applicable",IF(Q1063="Processing","Pending",IF(B1063="","Unknown",IF(Orders!J1063="","Unknown",IF(Orders!J1063&lt;=3,"Fast",IF(Orders!J1063&lt;=6,"Standard","Slow"))))))</f>
        <v>Standard</v>
      </c>
      <c r="Y1063" s="1" t="n">
        <f aca="false">IF(OR(Q1063="Cancelled",Q1063="Returned"),0,O1063)</f>
        <v>609.05</v>
      </c>
    </row>
    <row r="1064" customFormat="false" ht="23.85" hidden="false" customHeight="false" outlineLevel="0" collapsed="false">
      <c r="A1064" s="6" t="str">
        <f aca="false">Orders!A1064</f>
        <v>O001063</v>
      </c>
      <c r="B1064" s="19" t="n">
        <f aca="false">Orders!B1064</f>
        <v>45825</v>
      </c>
      <c r="C1064" s="6" t="str">
        <f aca="false">Orders!C1064</f>
        <v>C0151</v>
      </c>
      <c r="D1064" s="6" t="str">
        <f aca="false">Orders!D1064</f>
        <v>P1070</v>
      </c>
      <c r="E1064" s="6" t="str">
        <f aca="false">INDEX(Products!$B$2:$B$101,MATCH(D1064,Products!$A$2:$A$101,0))</f>
        <v>Knee Support Pair</v>
      </c>
      <c r="F1064" s="1" t="str">
        <f aca="false">INDEX(Products!$C$2:$C$101,MATCH(D1064,Products!$A$2:$A$101,0))</f>
        <v>Sports &amp; Outdoors</v>
      </c>
      <c r="G1064" s="6" t="n">
        <f aca="false">Orders!E1064</f>
        <v>5</v>
      </c>
      <c r="H1064" s="16" t="n">
        <f aca="false">INDEX(Products!$D$2:$D$101,MATCH(D1064,Products!$A$2:$A$101,0))</f>
        <v>449</v>
      </c>
      <c r="I1064" s="16" t="n">
        <f aca="false">INDEX(Products!$E$2:$E$101,MATCH(D1064,Products!$A$2:$A$101,0))</f>
        <v>180</v>
      </c>
      <c r="J1064" s="20" t="n">
        <f aca="false">Orders!F1064</f>
        <v>0.1</v>
      </c>
      <c r="K1064" s="6" t="n">
        <f aca="false">G1064*H1064</f>
        <v>2245</v>
      </c>
      <c r="L1064" s="6" t="n">
        <f aca="false">K1064*J1064</f>
        <v>224.5</v>
      </c>
      <c r="M1064" s="6" t="n">
        <f aca="false">K1064-L1064</f>
        <v>2020.5</v>
      </c>
      <c r="N1064" s="6" t="n">
        <f aca="false">G1064*I1064</f>
        <v>900</v>
      </c>
      <c r="O1064" s="6" t="n">
        <f aca="false">M1064-N1064</f>
        <v>1120.5</v>
      </c>
      <c r="P1064" s="21" t="n">
        <f aca="false">IFERROR(O1064/M1064,0)</f>
        <v>0.55456570155902</v>
      </c>
      <c r="Q1064" s="6" t="str">
        <f aca="false">Orders!H1064</f>
        <v>Delivered</v>
      </c>
      <c r="R1064" s="1" t="str">
        <f aca="false">INDEX(Customers!$C$2:$C$301,MATCH(C1064,Customers!$A$2:$A$301,0))</f>
        <v>Gurugram</v>
      </c>
      <c r="S1064" s="1" t="str">
        <f aca="false">INDEX(Customers!$E$2:$E$301,MATCH(C1064,Customers!$A$2:$A$301,0))</f>
        <v>New</v>
      </c>
      <c r="T1064" s="6" t="str">
        <f aca="false">Orders!I1064</f>
        <v>Mobile App</v>
      </c>
      <c r="U1064" s="1" t="str">
        <f aca="false">IF(Q1064="Delivered","Completed",IF(Q1064="Cancelled","Cancelled",IF(Q1064="Returned","Returned","In Progress")))</f>
        <v>Completed</v>
      </c>
      <c r="V1064" s="1" t="str">
        <f aca="false">IF(M1064&gt;=10000,"High Value",IF(M1064&gt;=5000,"Medium Value","Low Value"))</f>
        <v>Low Value</v>
      </c>
      <c r="W1064" s="1" t="str">
        <f aca="false">IF(O1064&gt;0,"Profitable",IF(O1064=0,"Break-even","Loss"))</f>
        <v>Profitable</v>
      </c>
      <c r="X1064" s="1" t="str">
        <f aca="false">IF(Q1064="Cancelled","Not Applicable",IF(Q1064="Processing","Pending",IF(B1064="","Unknown",IF(Orders!J1064="","Unknown",IF(Orders!J1064&lt;=3,"Fast",IF(Orders!J1064&lt;=6,"Standard","Slow"))))))</f>
        <v>Slow</v>
      </c>
      <c r="Y1064" s="1" t="n">
        <f aca="false">IF(OR(Q1064="Cancelled",Q1064="Returned"),0,O1064)</f>
        <v>1120.5</v>
      </c>
    </row>
    <row r="1065" customFormat="false" ht="15" hidden="false" customHeight="false" outlineLevel="0" collapsed="false">
      <c r="A1065" s="6" t="str">
        <f aca="false">Orders!A1065</f>
        <v>O001064</v>
      </c>
      <c r="B1065" s="19" t="n">
        <f aca="false">Orders!B1065</f>
        <v>45807</v>
      </c>
      <c r="C1065" s="6" t="str">
        <f aca="false">Orders!C1065</f>
        <v>C0137</v>
      </c>
      <c r="D1065" s="6" t="str">
        <f aca="false">Orders!D1065</f>
        <v>P1059</v>
      </c>
      <c r="E1065" s="6" t="str">
        <f aca="false">INDEX(Products!$B$2:$B$101,MATCH(D1065,Products!$A$2:$A$101,0))</f>
        <v>Bath Gift Set</v>
      </c>
      <c r="F1065" s="1" t="str">
        <f aca="false">INDEX(Products!$C$2:$C$101,MATCH(D1065,Products!$A$2:$A$101,0))</f>
        <v>Beauty</v>
      </c>
      <c r="G1065" s="6" t="n">
        <f aca="false">Orders!E1065</f>
        <v>1</v>
      </c>
      <c r="H1065" s="16" t="n">
        <f aca="false">INDEX(Products!$D$2:$D$101,MATCH(D1065,Products!$A$2:$A$101,0))</f>
        <v>699</v>
      </c>
      <c r="I1065" s="16" t="n">
        <f aca="false">INDEX(Products!$E$2:$E$101,MATCH(D1065,Products!$A$2:$A$101,0))</f>
        <v>350</v>
      </c>
      <c r="J1065" s="20" t="n">
        <f aca="false">Orders!F1065</f>
        <v>0.25</v>
      </c>
      <c r="K1065" s="6" t="n">
        <f aca="false">G1065*H1065</f>
        <v>699</v>
      </c>
      <c r="L1065" s="6" t="n">
        <f aca="false">K1065*J1065</f>
        <v>174.75</v>
      </c>
      <c r="M1065" s="6" t="n">
        <f aca="false">K1065-L1065</f>
        <v>524.25</v>
      </c>
      <c r="N1065" s="6" t="n">
        <f aca="false">G1065*I1065</f>
        <v>350</v>
      </c>
      <c r="O1065" s="6" t="n">
        <f aca="false">M1065-N1065</f>
        <v>174.25</v>
      </c>
      <c r="P1065" s="21" t="n">
        <f aca="false">IFERROR(O1065/M1065,0)</f>
        <v>0.33237958989032</v>
      </c>
      <c r="Q1065" s="6" t="str">
        <f aca="false">Orders!H1065</f>
        <v>Delivered</v>
      </c>
      <c r="R1065" s="1" t="str">
        <f aca="false">INDEX(Customers!$C$2:$C$301,MATCH(C1065,Customers!$A$2:$A$301,0))</f>
        <v>Surat</v>
      </c>
      <c r="S1065" s="1" t="str">
        <f aca="false">INDEX(Customers!$E$2:$E$301,MATCH(C1065,Customers!$A$2:$A$301,0))</f>
        <v>New</v>
      </c>
      <c r="T1065" s="6" t="str">
        <f aca="false">Orders!I1065</f>
        <v>Mobile App</v>
      </c>
      <c r="U1065" s="1" t="str">
        <f aca="false">IF(Q1065="Delivered","Completed",IF(Q1065="Cancelled","Cancelled",IF(Q1065="Returned","Returned","In Progress")))</f>
        <v>Completed</v>
      </c>
      <c r="V1065" s="1" t="str">
        <f aca="false">IF(M1065&gt;=10000,"High Value",IF(M1065&gt;=5000,"Medium Value","Low Value"))</f>
        <v>Low Value</v>
      </c>
      <c r="W1065" s="1" t="str">
        <f aca="false">IF(O1065&gt;0,"Profitable",IF(O1065=0,"Break-even","Loss"))</f>
        <v>Profitable</v>
      </c>
      <c r="X1065" s="1" t="str">
        <f aca="false">IF(Q1065="Cancelled","Not Applicable",IF(Q1065="Processing","Pending",IF(B1065="","Unknown",IF(Orders!J1065="","Unknown",IF(Orders!J1065&lt;=3,"Fast",IF(Orders!J1065&lt;=6,"Standard","Slow"))))))</f>
        <v>Fast</v>
      </c>
      <c r="Y1065" s="1" t="n">
        <f aca="false">IF(OR(Q1065="Cancelled",Q1065="Returned"),0,O1065)</f>
        <v>174.25</v>
      </c>
    </row>
    <row r="1066" customFormat="false" ht="15" hidden="false" customHeight="false" outlineLevel="0" collapsed="false">
      <c r="A1066" s="6" t="str">
        <f aca="false">Orders!A1066</f>
        <v>O001065</v>
      </c>
      <c r="B1066" s="19" t="n">
        <f aca="false">Orders!B1066</f>
        <v>45658</v>
      </c>
      <c r="C1066" s="6" t="str">
        <f aca="false">Orders!C1066</f>
        <v>C0113</v>
      </c>
      <c r="D1066" s="6" t="str">
        <f aca="false">Orders!D1066</f>
        <v>P1014</v>
      </c>
      <c r="E1066" s="6" t="str">
        <f aca="false">INDEX(Products!$B$2:$B$101,MATCH(D1066,Products!$A$2:$A$101,0))</f>
        <v>HDMI Cable</v>
      </c>
      <c r="F1066" s="1" t="str">
        <f aca="false">INDEX(Products!$C$2:$C$101,MATCH(D1066,Products!$A$2:$A$101,0))</f>
        <v>Electronics</v>
      </c>
      <c r="G1066" s="6" t="n">
        <f aca="false">Orders!E1066</f>
        <v>1</v>
      </c>
      <c r="H1066" s="16" t="n">
        <f aca="false">INDEX(Products!$D$2:$D$101,MATCH(D1066,Products!$A$2:$A$101,0))</f>
        <v>449</v>
      </c>
      <c r="I1066" s="16" t="n">
        <f aca="false">INDEX(Products!$E$2:$E$101,MATCH(D1066,Products!$A$2:$A$101,0))</f>
        <v>180</v>
      </c>
      <c r="J1066" s="20" t="n">
        <f aca="false">Orders!F1066</f>
        <v>0</v>
      </c>
      <c r="K1066" s="6" t="n">
        <f aca="false">G1066*H1066</f>
        <v>449</v>
      </c>
      <c r="L1066" s="6" t="n">
        <f aca="false">K1066*J1066</f>
        <v>0</v>
      </c>
      <c r="M1066" s="6" t="n">
        <f aca="false">K1066-L1066</f>
        <v>449</v>
      </c>
      <c r="N1066" s="6" t="n">
        <f aca="false">G1066*I1066</f>
        <v>180</v>
      </c>
      <c r="O1066" s="6" t="n">
        <f aca="false">M1066-N1066</f>
        <v>269</v>
      </c>
      <c r="P1066" s="21" t="n">
        <f aca="false">IFERROR(O1066/M1066,0)</f>
        <v>0.599109131403118</v>
      </c>
      <c r="Q1066" s="6" t="str">
        <f aca="false">Orders!H1066</f>
        <v>Delivered</v>
      </c>
      <c r="R1066" s="1" t="str">
        <f aca="false">INDEX(Customers!$C$2:$C$301,MATCH(C1066,Customers!$A$2:$A$301,0))</f>
        <v>Kochi</v>
      </c>
      <c r="S1066" s="1" t="str">
        <f aca="false">INDEX(Customers!$E$2:$E$301,MATCH(C1066,Customers!$A$2:$A$301,0))</f>
        <v>New</v>
      </c>
      <c r="T1066" s="6" t="str">
        <f aca="false">Orders!I1066</f>
        <v>Marketplace</v>
      </c>
      <c r="U1066" s="1" t="str">
        <f aca="false">IF(Q1066="Delivered","Completed",IF(Q1066="Cancelled","Cancelled",IF(Q1066="Returned","Returned","In Progress")))</f>
        <v>Completed</v>
      </c>
      <c r="V1066" s="1" t="str">
        <f aca="false">IF(M1066&gt;=10000,"High Value",IF(M1066&gt;=5000,"Medium Value","Low Value"))</f>
        <v>Low Value</v>
      </c>
      <c r="W1066" s="1" t="str">
        <f aca="false">IF(O1066&gt;0,"Profitable",IF(O1066=0,"Break-even","Loss"))</f>
        <v>Profitable</v>
      </c>
      <c r="X1066" s="1" t="str">
        <f aca="false">IF(Q1066="Cancelled","Not Applicable",IF(Q1066="Processing","Pending",IF(B1066="","Unknown",IF(Orders!J1066="","Unknown",IF(Orders!J1066&lt;=3,"Fast",IF(Orders!J1066&lt;=6,"Standard","Slow"))))))</f>
        <v>Standard</v>
      </c>
      <c r="Y1066" s="1" t="n">
        <f aca="false">IF(OR(Q1066="Cancelled",Q1066="Returned"),0,O1066)</f>
        <v>269</v>
      </c>
    </row>
    <row r="1067" customFormat="false" ht="15" hidden="false" customHeight="false" outlineLevel="0" collapsed="false">
      <c r="A1067" s="6" t="str">
        <f aca="false">Orders!A1067</f>
        <v>O001066</v>
      </c>
      <c r="B1067" s="19" t="n">
        <f aca="false">Orders!B1067</f>
        <v>45676</v>
      </c>
      <c r="C1067" s="6" t="str">
        <f aca="false">Orders!C1067</f>
        <v>C0167</v>
      </c>
      <c r="D1067" s="6" t="str">
        <f aca="false">Orders!D1067</f>
        <v>P1063</v>
      </c>
      <c r="E1067" s="6" t="str">
        <f aca="false">INDEX(Products!$B$2:$B$101,MATCH(D1067,Products!$A$2:$A$101,0))</f>
        <v>Cricket Bat</v>
      </c>
      <c r="F1067" s="1" t="str">
        <f aca="false">INDEX(Products!$C$2:$C$101,MATCH(D1067,Products!$A$2:$A$101,0))</f>
        <v>Sports &amp; Outdoors</v>
      </c>
      <c r="G1067" s="6" t="n">
        <f aca="false">Orders!E1067</f>
        <v>2</v>
      </c>
      <c r="H1067" s="16" t="n">
        <f aca="false">INDEX(Products!$D$2:$D$101,MATCH(D1067,Products!$A$2:$A$101,0))</f>
        <v>1499</v>
      </c>
      <c r="I1067" s="16" t="n">
        <f aca="false">INDEX(Products!$E$2:$E$101,MATCH(D1067,Products!$A$2:$A$101,0))</f>
        <v>800</v>
      </c>
      <c r="J1067" s="20" t="n">
        <f aca="false">Orders!F1067</f>
        <v>0.15</v>
      </c>
      <c r="K1067" s="6" t="n">
        <f aca="false">G1067*H1067</f>
        <v>2998</v>
      </c>
      <c r="L1067" s="6" t="n">
        <f aca="false">K1067*J1067</f>
        <v>449.7</v>
      </c>
      <c r="M1067" s="6" t="n">
        <f aca="false">K1067-L1067</f>
        <v>2548.3</v>
      </c>
      <c r="N1067" s="6" t="n">
        <f aca="false">G1067*I1067</f>
        <v>1600</v>
      </c>
      <c r="O1067" s="6" t="n">
        <f aca="false">M1067-N1067</f>
        <v>948.3</v>
      </c>
      <c r="P1067" s="21" t="n">
        <f aca="false">IFERROR(O1067/M1067,0)</f>
        <v>0.372130439901111</v>
      </c>
      <c r="Q1067" s="6" t="str">
        <f aca="false">Orders!H1067</f>
        <v>Shipped</v>
      </c>
      <c r="R1067" s="1" t="str">
        <f aca="false">INDEX(Customers!$C$2:$C$301,MATCH(C1067,Customers!$A$2:$A$301,0))</f>
        <v>Pune</v>
      </c>
      <c r="S1067" s="1" t="str">
        <f aca="false">INDEX(Customers!$E$2:$E$301,MATCH(C1067,Customers!$A$2:$A$301,0))</f>
        <v>Returning</v>
      </c>
      <c r="T1067" s="6" t="str">
        <f aca="false">Orders!I1067</f>
        <v>Marketplace</v>
      </c>
      <c r="U1067" s="1" t="str">
        <f aca="false">IF(Q1067="Delivered","Completed",IF(Q1067="Cancelled","Cancelled",IF(Q1067="Returned","Returned","In Progress")))</f>
        <v>In Progress</v>
      </c>
      <c r="V1067" s="1" t="str">
        <f aca="false">IF(M1067&gt;=10000,"High Value",IF(M1067&gt;=5000,"Medium Value","Low Value"))</f>
        <v>Low Value</v>
      </c>
      <c r="W1067" s="1" t="str">
        <f aca="false">IF(O1067&gt;0,"Profitable",IF(O1067=0,"Break-even","Loss"))</f>
        <v>Profitable</v>
      </c>
      <c r="X1067" s="1" t="str">
        <f aca="false">IF(Q1067="Cancelled","Not Applicable",IF(Q1067="Processing","Pending",IF(B1067="","Unknown",IF(Orders!J1067="","Unknown",IF(Orders!J1067&lt;=3,"Fast",IF(Orders!J1067&lt;=6,"Standard","Slow"))))))</f>
        <v>Slow</v>
      </c>
      <c r="Y1067" s="1" t="n">
        <f aca="false">IF(OR(Q1067="Cancelled",Q1067="Returned"),0,O1067)</f>
        <v>948.3</v>
      </c>
    </row>
    <row r="1068" customFormat="false" ht="15" hidden="false" customHeight="false" outlineLevel="0" collapsed="false">
      <c r="A1068" s="6" t="str">
        <f aca="false">Orders!A1068</f>
        <v>O001067</v>
      </c>
      <c r="B1068" s="19" t="n">
        <f aca="false">Orders!B1068</f>
        <v>46007</v>
      </c>
      <c r="C1068" s="6" t="str">
        <f aca="false">Orders!C1068</f>
        <v>C0088</v>
      </c>
      <c r="D1068" s="6" t="str">
        <f aca="false">Orders!D1068</f>
        <v>P1040</v>
      </c>
      <c r="E1068" s="6" t="str">
        <f aca="false">INDEX(Products!$B$2:$B$101,MATCH(D1068,Products!$A$2:$A$101,0))</f>
        <v>Curtain Set</v>
      </c>
      <c r="F1068" s="1" t="str">
        <f aca="false">INDEX(Products!$C$2:$C$101,MATCH(D1068,Products!$A$2:$A$101,0))</f>
        <v>Home &amp; Kitchen</v>
      </c>
      <c r="G1068" s="6" t="n">
        <f aca="false">Orders!E1068</f>
        <v>2</v>
      </c>
      <c r="H1068" s="16" t="n">
        <f aca="false">INDEX(Products!$D$2:$D$101,MATCH(D1068,Products!$A$2:$A$101,0))</f>
        <v>1099</v>
      </c>
      <c r="I1068" s="16" t="n">
        <f aca="false">INDEX(Products!$E$2:$E$101,MATCH(D1068,Products!$A$2:$A$101,0))</f>
        <v>550</v>
      </c>
      <c r="J1068" s="20" t="n">
        <f aca="false">Orders!F1068</f>
        <v>0.1</v>
      </c>
      <c r="K1068" s="6" t="n">
        <f aca="false">G1068*H1068</f>
        <v>2198</v>
      </c>
      <c r="L1068" s="6" t="n">
        <f aca="false">K1068*J1068</f>
        <v>219.8</v>
      </c>
      <c r="M1068" s="6" t="n">
        <f aca="false">K1068-L1068</f>
        <v>1978.2</v>
      </c>
      <c r="N1068" s="6" t="n">
        <f aca="false">G1068*I1068</f>
        <v>1100</v>
      </c>
      <c r="O1068" s="6" t="n">
        <f aca="false">M1068-N1068</f>
        <v>878.2</v>
      </c>
      <c r="P1068" s="21" t="n">
        <f aca="false">IFERROR(O1068/M1068,0)</f>
        <v>0.443938934384794</v>
      </c>
      <c r="Q1068" s="6" t="str">
        <f aca="false">Orders!H1068</f>
        <v>Delivered</v>
      </c>
      <c r="R1068" s="1" t="str">
        <f aca="false">INDEX(Customers!$C$2:$C$301,MATCH(C1068,Customers!$A$2:$A$301,0))</f>
        <v>Jaipur</v>
      </c>
      <c r="S1068" s="1" t="str">
        <f aca="false">INDEX(Customers!$E$2:$E$301,MATCH(C1068,Customers!$A$2:$A$301,0))</f>
        <v>Returning</v>
      </c>
      <c r="T1068" s="6" t="str">
        <f aca="false">Orders!I1068</f>
        <v>Mobile App</v>
      </c>
      <c r="U1068" s="1" t="str">
        <f aca="false">IF(Q1068="Delivered","Completed",IF(Q1068="Cancelled","Cancelled",IF(Q1068="Returned","Returned","In Progress")))</f>
        <v>Completed</v>
      </c>
      <c r="V1068" s="1" t="str">
        <f aca="false">IF(M1068&gt;=10000,"High Value",IF(M1068&gt;=5000,"Medium Value","Low Value"))</f>
        <v>Low Value</v>
      </c>
      <c r="W1068" s="1" t="str">
        <f aca="false">IF(O1068&gt;0,"Profitable",IF(O1068=0,"Break-even","Loss"))</f>
        <v>Profitable</v>
      </c>
      <c r="X1068" s="1" t="str">
        <f aca="false">IF(Q1068="Cancelled","Not Applicable",IF(Q1068="Processing","Pending",IF(B1068="","Unknown",IF(Orders!J1068="","Unknown",IF(Orders!J1068&lt;=3,"Fast",IF(Orders!J1068&lt;=6,"Standard","Slow"))))))</f>
        <v>Fast</v>
      </c>
      <c r="Y1068" s="1" t="n">
        <f aca="false">IF(OR(Q1068="Cancelled",Q1068="Returned"),0,O1068)</f>
        <v>878.2</v>
      </c>
    </row>
    <row r="1069" customFormat="false" ht="15" hidden="false" customHeight="false" outlineLevel="0" collapsed="false">
      <c r="A1069" s="6" t="str">
        <f aca="false">Orders!A1069</f>
        <v>O001068</v>
      </c>
      <c r="B1069" s="19" t="n">
        <f aca="false">Orders!B1069</f>
        <v>45767</v>
      </c>
      <c r="C1069" s="6" t="str">
        <f aca="false">Orders!C1069</f>
        <v>C0111</v>
      </c>
      <c r="D1069" s="6" t="str">
        <f aca="false">Orders!D1069</f>
        <v>P1056</v>
      </c>
      <c r="E1069" s="6" t="str">
        <f aca="false">INDEX(Products!$B$2:$B$101,MATCH(D1069,Products!$A$2:$A$101,0))</f>
        <v>Hair Dryer</v>
      </c>
      <c r="F1069" s="1" t="str">
        <f aca="false">INDEX(Products!$C$2:$C$101,MATCH(D1069,Products!$A$2:$A$101,0))</f>
        <v>Beauty</v>
      </c>
      <c r="G1069" s="6" t="n">
        <f aca="false">Orders!E1069</f>
        <v>3</v>
      </c>
      <c r="H1069" s="16" t="n">
        <f aca="false">INDEX(Products!$D$2:$D$101,MATCH(D1069,Products!$A$2:$A$101,0))</f>
        <v>1299</v>
      </c>
      <c r="I1069" s="16" t="n">
        <f aca="false">INDEX(Products!$E$2:$E$101,MATCH(D1069,Products!$A$2:$A$101,0))</f>
        <v>750</v>
      </c>
      <c r="J1069" s="20" t="n">
        <f aca="false">Orders!F1069</f>
        <v>0.05</v>
      </c>
      <c r="K1069" s="6" t="n">
        <f aca="false">G1069*H1069</f>
        <v>3897</v>
      </c>
      <c r="L1069" s="6" t="n">
        <f aca="false">K1069*J1069</f>
        <v>194.85</v>
      </c>
      <c r="M1069" s="6" t="n">
        <f aca="false">K1069-L1069</f>
        <v>3702.15</v>
      </c>
      <c r="N1069" s="6" t="n">
        <f aca="false">G1069*I1069</f>
        <v>2250</v>
      </c>
      <c r="O1069" s="6" t="n">
        <f aca="false">M1069-N1069</f>
        <v>1452.15</v>
      </c>
      <c r="P1069" s="21" t="n">
        <f aca="false">IFERROR(O1069/M1069,0)</f>
        <v>0.392245046797131</v>
      </c>
      <c r="Q1069" s="6" t="str">
        <f aca="false">Orders!H1069</f>
        <v>Delivered</v>
      </c>
      <c r="R1069" s="1" t="str">
        <f aca="false">INDEX(Customers!$C$2:$C$301,MATCH(C1069,Customers!$A$2:$A$301,0))</f>
        <v>Gurugram</v>
      </c>
      <c r="S1069" s="1" t="str">
        <f aca="false">INDEX(Customers!$E$2:$E$301,MATCH(C1069,Customers!$A$2:$A$301,0))</f>
        <v>Returning</v>
      </c>
      <c r="T1069" s="6" t="str">
        <f aca="false">Orders!I1069</f>
        <v>Mobile App</v>
      </c>
      <c r="U1069" s="1" t="str">
        <f aca="false">IF(Q1069="Delivered","Completed",IF(Q1069="Cancelled","Cancelled",IF(Q1069="Returned","Returned","In Progress")))</f>
        <v>Completed</v>
      </c>
      <c r="V1069" s="1" t="str">
        <f aca="false">IF(M1069&gt;=10000,"High Value",IF(M1069&gt;=5000,"Medium Value","Low Value"))</f>
        <v>Low Value</v>
      </c>
      <c r="W1069" s="1" t="str">
        <f aca="false">IF(O1069&gt;0,"Profitable",IF(O1069=0,"Break-even","Loss"))</f>
        <v>Profitable</v>
      </c>
      <c r="X1069" s="1" t="str">
        <f aca="false">IF(Q1069="Cancelled","Not Applicable",IF(Q1069="Processing","Pending",IF(B1069="","Unknown",IF(Orders!J1069="","Unknown",IF(Orders!J1069&lt;=3,"Fast",IF(Orders!J1069&lt;=6,"Standard","Slow"))))))</f>
        <v>Standard</v>
      </c>
      <c r="Y1069" s="1" t="n">
        <f aca="false">IF(OR(Q1069="Cancelled",Q1069="Returned"),0,O1069)</f>
        <v>1452.15</v>
      </c>
    </row>
    <row r="1070" customFormat="false" ht="15" hidden="false" customHeight="false" outlineLevel="0" collapsed="false">
      <c r="A1070" s="6" t="str">
        <f aca="false">Orders!A1070</f>
        <v>O001069</v>
      </c>
      <c r="B1070" s="19" t="n">
        <f aca="false">Orders!B1070</f>
        <v>45968</v>
      </c>
      <c r="C1070" s="6" t="str">
        <f aca="false">Orders!C1070</f>
        <v>C0208</v>
      </c>
      <c r="D1070" s="6" t="str">
        <f aca="false">Orders!D1070</f>
        <v>P1050</v>
      </c>
      <c r="E1070" s="6" t="str">
        <f aca="false">INDEX(Products!$B$2:$B$101,MATCH(D1070,Products!$A$2:$A$101,0))</f>
        <v>Hair Serum</v>
      </c>
      <c r="F1070" s="1" t="str">
        <f aca="false">INDEX(Products!$C$2:$C$101,MATCH(D1070,Products!$A$2:$A$101,0))</f>
        <v>Beauty</v>
      </c>
      <c r="G1070" s="6" t="n">
        <f aca="false">Orders!E1070</f>
        <v>3</v>
      </c>
      <c r="H1070" s="16" t="n">
        <f aca="false">INDEX(Products!$D$2:$D$101,MATCH(D1070,Products!$A$2:$A$101,0))</f>
        <v>449</v>
      </c>
      <c r="I1070" s="16" t="n">
        <f aca="false">INDEX(Products!$E$2:$E$101,MATCH(D1070,Products!$A$2:$A$101,0))</f>
        <v>190</v>
      </c>
      <c r="J1070" s="20" t="n">
        <f aca="false">Orders!F1070</f>
        <v>0</v>
      </c>
      <c r="K1070" s="6" t="n">
        <f aca="false">G1070*H1070</f>
        <v>1347</v>
      </c>
      <c r="L1070" s="6" t="n">
        <f aca="false">K1070*J1070</f>
        <v>0</v>
      </c>
      <c r="M1070" s="6" t="n">
        <f aca="false">K1070-L1070</f>
        <v>1347</v>
      </c>
      <c r="N1070" s="6" t="n">
        <f aca="false">G1070*I1070</f>
        <v>570</v>
      </c>
      <c r="O1070" s="6" t="n">
        <f aca="false">M1070-N1070</f>
        <v>777</v>
      </c>
      <c r="P1070" s="21" t="n">
        <f aca="false">IFERROR(O1070/M1070,0)</f>
        <v>0.576837416481069</v>
      </c>
      <c r="Q1070" s="6" t="str">
        <f aca="false">Orders!H1070</f>
        <v>Returned</v>
      </c>
      <c r="R1070" s="1" t="str">
        <f aca="false">INDEX(Customers!$C$2:$C$301,MATCH(C1070,Customers!$A$2:$A$301,0))</f>
        <v>Jaipur</v>
      </c>
      <c r="S1070" s="1" t="str">
        <f aca="false">INDEX(Customers!$E$2:$E$301,MATCH(C1070,Customers!$A$2:$A$301,0))</f>
        <v>Returning</v>
      </c>
      <c r="T1070" s="6" t="str">
        <f aca="false">Orders!I1070</f>
        <v>Mobile App</v>
      </c>
      <c r="U1070" s="1" t="str">
        <f aca="false">IF(Q1070="Delivered","Completed",IF(Q1070="Cancelled","Cancelled",IF(Q1070="Returned","Returned","In Progress")))</f>
        <v>Returned</v>
      </c>
      <c r="V1070" s="1" t="str">
        <f aca="false">IF(M1070&gt;=10000,"High Value",IF(M1070&gt;=5000,"Medium Value","Low Value"))</f>
        <v>Low Value</v>
      </c>
      <c r="W1070" s="1" t="str">
        <f aca="false">IF(O1070&gt;0,"Profitable",IF(O1070=0,"Break-even","Loss"))</f>
        <v>Profitable</v>
      </c>
      <c r="X1070" s="1" t="str">
        <f aca="false">IF(Q1070="Cancelled","Not Applicable",IF(Q1070="Processing","Pending",IF(B1070="","Unknown",IF(Orders!J1070="","Unknown",IF(Orders!J1070&lt;=3,"Fast",IF(Orders!J1070&lt;=6,"Standard","Slow"))))))</f>
        <v>Fast</v>
      </c>
      <c r="Y1070" s="1" t="n">
        <f aca="false">IF(OR(Q1070="Cancelled",Q1070="Returned"),0,O1070)</f>
        <v>0</v>
      </c>
    </row>
    <row r="1071" customFormat="false" ht="15" hidden="false" customHeight="false" outlineLevel="0" collapsed="false">
      <c r="A1071" s="6" t="str">
        <f aca="false">Orders!A1071</f>
        <v>O001070</v>
      </c>
      <c r="B1071" s="19" t="n">
        <f aca="false">Orders!B1071</f>
        <v>45919</v>
      </c>
      <c r="C1071" s="6" t="str">
        <f aca="false">Orders!C1071</f>
        <v>C0157</v>
      </c>
      <c r="D1071" s="6" t="str">
        <f aca="false">Orders!D1071</f>
        <v>P1044</v>
      </c>
      <c r="E1071" s="6" t="str">
        <f aca="false">INDEX(Products!$B$2:$B$101,MATCH(D1071,Products!$A$2:$A$101,0))</f>
        <v>Doormat</v>
      </c>
      <c r="F1071" s="1" t="str">
        <f aca="false">INDEX(Products!$C$2:$C$101,MATCH(D1071,Products!$A$2:$A$101,0))</f>
        <v>Home &amp; Kitchen</v>
      </c>
      <c r="G1071" s="6" t="n">
        <f aca="false">Orders!E1071</f>
        <v>2</v>
      </c>
      <c r="H1071" s="16" t="n">
        <f aca="false">INDEX(Products!$D$2:$D$101,MATCH(D1071,Products!$A$2:$A$101,0))</f>
        <v>299</v>
      </c>
      <c r="I1071" s="16" t="n">
        <f aca="false">INDEX(Products!$E$2:$E$101,MATCH(D1071,Products!$A$2:$A$101,0))</f>
        <v>100</v>
      </c>
      <c r="J1071" s="20" t="n">
        <f aca="false">Orders!F1071</f>
        <v>0.05</v>
      </c>
      <c r="K1071" s="6" t="n">
        <f aca="false">G1071*H1071</f>
        <v>598</v>
      </c>
      <c r="L1071" s="6" t="n">
        <f aca="false">K1071*J1071</f>
        <v>29.9</v>
      </c>
      <c r="M1071" s="6" t="n">
        <f aca="false">K1071-L1071</f>
        <v>568.1</v>
      </c>
      <c r="N1071" s="6" t="n">
        <f aca="false">G1071*I1071</f>
        <v>200</v>
      </c>
      <c r="O1071" s="6" t="n">
        <f aca="false">M1071-N1071</f>
        <v>368.1</v>
      </c>
      <c r="P1071" s="21" t="n">
        <f aca="false">IFERROR(O1071/M1071,0)</f>
        <v>0.647949304699877</v>
      </c>
      <c r="Q1071" s="6" t="str">
        <f aca="false">Orders!H1071</f>
        <v>Delivered</v>
      </c>
      <c r="R1071" s="1" t="str">
        <f aca="false">INDEX(Customers!$C$2:$C$301,MATCH(C1071,Customers!$A$2:$A$301,0))</f>
        <v>Surat</v>
      </c>
      <c r="S1071" s="1" t="str">
        <f aca="false">INDEX(Customers!$E$2:$E$301,MATCH(C1071,Customers!$A$2:$A$301,0))</f>
        <v>VIP</v>
      </c>
      <c r="T1071" s="6" t="str">
        <f aca="false">Orders!I1071</f>
        <v>Marketplace</v>
      </c>
      <c r="U1071" s="1" t="str">
        <f aca="false">IF(Q1071="Delivered","Completed",IF(Q1071="Cancelled","Cancelled",IF(Q1071="Returned","Returned","In Progress")))</f>
        <v>Completed</v>
      </c>
      <c r="V1071" s="1" t="str">
        <f aca="false">IF(M1071&gt;=10000,"High Value",IF(M1071&gt;=5000,"Medium Value","Low Value"))</f>
        <v>Low Value</v>
      </c>
      <c r="W1071" s="1" t="str">
        <f aca="false">IF(O1071&gt;0,"Profitable",IF(O1071=0,"Break-even","Loss"))</f>
        <v>Profitable</v>
      </c>
      <c r="X1071" s="1" t="str">
        <f aca="false">IF(Q1071="Cancelled","Not Applicable",IF(Q1071="Processing","Pending",IF(B1071="","Unknown",IF(Orders!J1071="","Unknown",IF(Orders!J1071&lt;=3,"Fast",IF(Orders!J1071&lt;=6,"Standard","Slow"))))))</f>
        <v>Standard</v>
      </c>
      <c r="Y1071" s="1" t="n">
        <f aca="false">IF(OR(Q1071="Cancelled",Q1071="Returned"),0,O1071)</f>
        <v>368.1</v>
      </c>
    </row>
    <row r="1072" customFormat="false" ht="15" hidden="false" customHeight="false" outlineLevel="0" collapsed="false">
      <c r="A1072" s="6" t="str">
        <f aca="false">Orders!A1072</f>
        <v>O001071</v>
      </c>
      <c r="B1072" s="19" t="n">
        <f aca="false">Orders!B1072</f>
        <v>45742</v>
      </c>
      <c r="C1072" s="6" t="str">
        <f aca="false">Orders!C1072</f>
        <v>C0290</v>
      </c>
      <c r="D1072" s="6" t="str">
        <f aca="false">Orders!D1072</f>
        <v>P1055</v>
      </c>
      <c r="E1072" s="6" t="str">
        <f aca="false">INDEX(Products!$B$2:$B$101,MATCH(D1072,Products!$A$2:$A$101,0))</f>
        <v>Perfume</v>
      </c>
      <c r="F1072" s="1" t="str">
        <f aca="false">INDEX(Products!$C$2:$C$101,MATCH(D1072,Products!$A$2:$A$101,0))</f>
        <v>Beauty</v>
      </c>
      <c r="G1072" s="6" t="n">
        <f aca="false">Orders!E1072</f>
        <v>2</v>
      </c>
      <c r="H1072" s="16" t="n">
        <f aca="false">INDEX(Products!$D$2:$D$101,MATCH(D1072,Products!$A$2:$A$101,0))</f>
        <v>999</v>
      </c>
      <c r="I1072" s="16" t="n">
        <f aca="false">INDEX(Products!$E$2:$E$101,MATCH(D1072,Products!$A$2:$A$101,0))</f>
        <v>500</v>
      </c>
      <c r="J1072" s="20" t="n">
        <f aca="false">Orders!F1072</f>
        <v>0.05</v>
      </c>
      <c r="K1072" s="6" t="n">
        <f aca="false">G1072*H1072</f>
        <v>1998</v>
      </c>
      <c r="L1072" s="6" t="n">
        <f aca="false">K1072*J1072</f>
        <v>99.9</v>
      </c>
      <c r="M1072" s="6" t="n">
        <f aca="false">K1072-L1072</f>
        <v>1898.1</v>
      </c>
      <c r="N1072" s="6" t="n">
        <f aca="false">G1072*I1072</f>
        <v>1000</v>
      </c>
      <c r="O1072" s="6" t="n">
        <f aca="false">M1072-N1072</f>
        <v>898.1</v>
      </c>
      <c r="P1072" s="21" t="n">
        <f aca="false">IFERROR(O1072/M1072,0)</f>
        <v>0.47315736789421</v>
      </c>
      <c r="Q1072" s="6" t="str">
        <f aca="false">Orders!H1072</f>
        <v>Shipped</v>
      </c>
      <c r="R1072" s="1" t="str">
        <f aca="false">INDEX(Customers!$C$2:$C$301,MATCH(C1072,Customers!$A$2:$A$301,0))</f>
        <v>Lucknow</v>
      </c>
      <c r="S1072" s="1" t="str">
        <f aca="false">INDEX(Customers!$E$2:$E$301,MATCH(C1072,Customers!$A$2:$A$301,0))</f>
        <v>Returning</v>
      </c>
      <c r="T1072" s="6" t="str">
        <f aca="false">Orders!I1072</f>
        <v>Mobile App</v>
      </c>
      <c r="U1072" s="1" t="str">
        <f aca="false">IF(Q1072="Delivered","Completed",IF(Q1072="Cancelled","Cancelled",IF(Q1072="Returned","Returned","In Progress")))</f>
        <v>In Progress</v>
      </c>
      <c r="V1072" s="1" t="str">
        <f aca="false">IF(M1072&gt;=10000,"High Value",IF(M1072&gt;=5000,"Medium Value","Low Value"))</f>
        <v>Low Value</v>
      </c>
      <c r="W1072" s="1" t="str">
        <f aca="false">IF(O1072&gt;0,"Profitable",IF(O1072=0,"Break-even","Loss"))</f>
        <v>Profitable</v>
      </c>
      <c r="X1072" s="1" t="str">
        <f aca="false">IF(Q1072="Cancelled","Not Applicable",IF(Q1072="Processing","Pending",IF(B1072="","Unknown",IF(Orders!J1072="","Unknown",IF(Orders!J1072&lt;=3,"Fast",IF(Orders!J1072&lt;=6,"Standard","Slow"))))))</f>
        <v>Fast</v>
      </c>
      <c r="Y1072" s="1" t="n">
        <f aca="false">IF(OR(Q1072="Cancelled",Q1072="Returned"),0,O1072)</f>
        <v>898.1</v>
      </c>
    </row>
    <row r="1073" customFormat="false" ht="15" hidden="false" customHeight="false" outlineLevel="0" collapsed="false">
      <c r="A1073" s="6" t="str">
        <f aca="false">Orders!A1073</f>
        <v>O001072</v>
      </c>
      <c r="B1073" s="19" t="n">
        <f aca="false">Orders!B1073</f>
        <v>45849</v>
      </c>
      <c r="C1073" s="6" t="str">
        <f aca="false">Orders!C1073</f>
        <v>C0164</v>
      </c>
      <c r="D1073" s="6" t="str">
        <f aca="false">Orders!D1073</f>
        <v>P1055</v>
      </c>
      <c r="E1073" s="6" t="str">
        <f aca="false">INDEX(Products!$B$2:$B$101,MATCH(D1073,Products!$A$2:$A$101,0))</f>
        <v>Perfume</v>
      </c>
      <c r="F1073" s="1" t="str">
        <f aca="false">INDEX(Products!$C$2:$C$101,MATCH(D1073,Products!$A$2:$A$101,0))</f>
        <v>Beauty</v>
      </c>
      <c r="G1073" s="6" t="n">
        <f aca="false">Orders!E1073</f>
        <v>1</v>
      </c>
      <c r="H1073" s="16" t="n">
        <f aca="false">INDEX(Products!$D$2:$D$101,MATCH(D1073,Products!$A$2:$A$101,0))</f>
        <v>999</v>
      </c>
      <c r="I1073" s="16" t="n">
        <f aca="false">INDEX(Products!$E$2:$E$101,MATCH(D1073,Products!$A$2:$A$101,0))</f>
        <v>500</v>
      </c>
      <c r="J1073" s="20" t="n">
        <f aca="false">Orders!F1073</f>
        <v>0.1</v>
      </c>
      <c r="K1073" s="6" t="n">
        <f aca="false">G1073*H1073</f>
        <v>999</v>
      </c>
      <c r="L1073" s="6" t="n">
        <f aca="false">K1073*J1073</f>
        <v>99.9</v>
      </c>
      <c r="M1073" s="6" t="n">
        <f aca="false">K1073-L1073</f>
        <v>899.1</v>
      </c>
      <c r="N1073" s="6" t="n">
        <f aca="false">G1073*I1073</f>
        <v>500</v>
      </c>
      <c r="O1073" s="6" t="n">
        <f aca="false">M1073-N1073</f>
        <v>399.1</v>
      </c>
      <c r="P1073" s="21" t="n">
        <f aca="false">IFERROR(O1073/M1073,0)</f>
        <v>0.443888332777222</v>
      </c>
      <c r="Q1073" s="6" t="str">
        <f aca="false">Orders!H1073</f>
        <v>Delivered</v>
      </c>
      <c r="R1073" s="1" t="str">
        <f aca="false">INDEX(Customers!$C$2:$C$301,MATCH(C1073,Customers!$A$2:$A$301,0))</f>
        <v>Hyderabad</v>
      </c>
      <c r="S1073" s="1" t="str">
        <f aca="false">INDEX(Customers!$E$2:$E$301,MATCH(C1073,Customers!$A$2:$A$301,0))</f>
        <v>Returning</v>
      </c>
      <c r="T1073" s="6" t="str">
        <f aca="false">Orders!I1073</f>
        <v>Website</v>
      </c>
      <c r="U1073" s="1" t="str">
        <f aca="false">IF(Q1073="Delivered","Completed",IF(Q1073="Cancelled","Cancelled",IF(Q1073="Returned","Returned","In Progress")))</f>
        <v>Completed</v>
      </c>
      <c r="V1073" s="1" t="str">
        <f aca="false">IF(M1073&gt;=10000,"High Value",IF(M1073&gt;=5000,"Medium Value","Low Value"))</f>
        <v>Low Value</v>
      </c>
      <c r="W1073" s="1" t="str">
        <f aca="false">IF(O1073&gt;0,"Profitable",IF(O1073=0,"Break-even","Loss"))</f>
        <v>Profitable</v>
      </c>
      <c r="X1073" s="1" t="str">
        <f aca="false">IF(Q1073="Cancelled","Not Applicable",IF(Q1073="Processing","Pending",IF(B1073="","Unknown",IF(Orders!J1073="","Unknown",IF(Orders!J1073&lt;=3,"Fast",IF(Orders!J1073&lt;=6,"Standard","Slow"))))))</f>
        <v>Fast</v>
      </c>
      <c r="Y1073" s="1" t="n">
        <f aca="false">IF(OR(Q1073="Cancelled",Q1073="Returned"),0,O1073)</f>
        <v>399.1</v>
      </c>
    </row>
    <row r="1074" customFormat="false" ht="15" hidden="false" customHeight="false" outlineLevel="0" collapsed="false">
      <c r="A1074" s="6" t="str">
        <f aca="false">Orders!A1074</f>
        <v>O001073</v>
      </c>
      <c r="B1074" s="19" t="n">
        <f aca="false">Orders!B1074</f>
        <v>45705</v>
      </c>
      <c r="C1074" s="6" t="str">
        <f aca="false">Orders!C1074</f>
        <v>C0267</v>
      </c>
      <c r="D1074" s="6" t="str">
        <f aca="false">Orders!D1074</f>
        <v>P1018</v>
      </c>
      <c r="E1074" s="6" t="str">
        <f aca="false">INDEX(Products!$B$2:$B$101,MATCH(D1074,Products!$A$2:$A$101,0))</f>
        <v>Cotton Shirt</v>
      </c>
      <c r="F1074" s="1" t="str">
        <f aca="false">INDEX(Products!$C$2:$C$101,MATCH(D1074,Products!$A$2:$A$101,0))</f>
        <v>Fashion</v>
      </c>
      <c r="G1074" s="6" t="n">
        <f aca="false">Orders!E1074</f>
        <v>1</v>
      </c>
      <c r="H1074" s="16" t="n">
        <f aca="false">INDEX(Products!$D$2:$D$101,MATCH(D1074,Products!$A$2:$A$101,0))</f>
        <v>899</v>
      </c>
      <c r="I1074" s="16" t="n">
        <f aca="false">INDEX(Products!$E$2:$E$101,MATCH(D1074,Products!$A$2:$A$101,0))</f>
        <v>420</v>
      </c>
      <c r="J1074" s="20" t="n">
        <f aca="false">Orders!F1074</f>
        <v>0</v>
      </c>
      <c r="K1074" s="6" t="n">
        <f aca="false">G1074*H1074</f>
        <v>899</v>
      </c>
      <c r="L1074" s="6" t="n">
        <f aca="false">K1074*J1074</f>
        <v>0</v>
      </c>
      <c r="M1074" s="6" t="n">
        <f aca="false">K1074-L1074</f>
        <v>899</v>
      </c>
      <c r="N1074" s="6" t="n">
        <f aca="false">G1074*I1074</f>
        <v>420</v>
      </c>
      <c r="O1074" s="6" t="n">
        <f aca="false">M1074-N1074</f>
        <v>479</v>
      </c>
      <c r="P1074" s="21" t="n">
        <f aca="false">IFERROR(O1074/M1074,0)</f>
        <v>0.532814238042269</v>
      </c>
      <c r="Q1074" s="6" t="str">
        <f aca="false">Orders!H1074</f>
        <v>Cancelled</v>
      </c>
      <c r="R1074" s="1" t="str">
        <f aca="false">INDEX(Customers!$C$2:$C$301,MATCH(C1074,Customers!$A$2:$A$301,0))</f>
        <v>Pune</v>
      </c>
      <c r="S1074" s="1" t="str">
        <f aca="false">INDEX(Customers!$E$2:$E$301,MATCH(C1074,Customers!$A$2:$A$301,0))</f>
        <v>Returning</v>
      </c>
      <c r="T1074" s="6" t="str">
        <f aca="false">Orders!I1074</f>
        <v>Marketplace</v>
      </c>
      <c r="U1074" s="1" t="str">
        <f aca="false">IF(Q1074="Delivered","Completed",IF(Q1074="Cancelled","Cancelled",IF(Q1074="Returned","Returned","In Progress")))</f>
        <v>Cancelled</v>
      </c>
      <c r="V1074" s="1" t="str">
        <f aca="false">IF(M1074&gt;=10000,"High Value",IF(M1074&gt;=5000,"Medium Value","Low Value"))</f>
        <v>Low Value</v>
      </c>
      <c r="W1074" s="1" t="str">
        <f aca="false">IF(O1074&gt;0,"Profitable",IF(O1074=0,"Break-even","Loss"))</f>
        <v>Profitable</v>
      </c>
      <c r="X1074" s="1" t="str">
        <f aca="false">IF(Q1074="Cancelled","Not Applicable",IF(Q1074="Processing","Pending",IF(B1074="","Unknown",IF(Orders!J1074="","Unknown",IF(Orders!J1074&lt;=3,"Fast",IF(Orders!J1074&lt;=6,"Standard","Slow"))))))</f>
        <v>Not Applicable</v>
      </c>
      <c r="Y1074" s="1" t="n">
        <f aca="false">IF(OR(Q1074="Cancelled",Q1074="Returned"),0,O1074)</f>
        <v>0</v>
      </c>
    </row>
    <row r="1075" customFormat="false" ht="15" hidden="false" customHeight="false" outlineLevel="0" collapsed="false">
      <c r="A1075" s="6" t="str">
        <f aca="false">Orders!A1075</f>
        <v>O001074</v>
      </c>
      <c r="B1075" s="19" t="n">
        <f aca="false">Orders!B1075</f>
        <v>45755</v>
      </c>
      <c r="C1075" s="6" t="str">
        <f aca="false">Orders!C1075</f>
        <v>C0248</v>
      </c>
      <c r="D1075" s="6" t="str">
        <f aca="false">Orders!D1075</f>
        <v>P1034</v>
      </c>
      <c r="E1075" s="6" t="str">
        <f aca="false">INDEX(Products!$B$2:$B$101,MATCH(D1075,Products!$A$2:$A$101,0))</f>
        <v>Table Lamp</v>
      </c>
      <c r="F1075" s="1" t="str">
        <f aca="false">INDEX(Products!$C$2:$C$101,MATCH(D1075,Products!$A$2:$A$101,0))</f>
        <v>Home &amp; Kitchen</v>
      </c>
      <c r="G1075" s="6" t="n">
        <f aca="false">Orders!E1075</f>
        <v>2</v>
      </c>
      <c r="H1075" s="16" t="n">
        <f aca="false">INDEX(Products!$D$2:$D$101,MATCH(D1075,Products!$A$2:$A$101,0))</f>
        <v>899</v>
      </c>
      <c r="I1075" s="16" t="n">
        <f aca="false">INDEX(Products!$E$2:$E$101,MATCH(D1075,Products!$A$2:$A$101,0))</f>
        <v>420</v>
      </c>
      <c r="J1075" s="20" t="n">
        <f aca="false">Orders!F1075</f>
        <v>0.15</v>
      </c>
      <c r="K1075" s="6" t="n">
        <f aca="false">G1075*H1075</f>
        <v>1798</v>
      </c>
      <c r="L1075" s="6" t="n">
        <f aca="false">K1075*J1075</f>
        <v>269.7</v>
      </c>
      <c r="M1075" s="6" t="n">
        <f aca="false">K1075-L1075</f>
        <v>1528.3</v>
      </c>
      <c r="N1075" s="6" t="n">
        <f aca="false">G1075*I1075</f>
        <v>840</v>
      </c>
      <c r="O1075" s="6" t="n">
        <f aca="false">M1075-N1075</f>
        <v>688.3</v>
      </c>
      <c r="P1075" s="21" t="n">
        <f aca="false">IFERROR(O1075/M1075,0)</f>
        <v>0.450369691814434</v>
      </c>
      <c r="Q1075" s="6" t="str">
        <f aca="false">Orders!H1075</f>
        <v>Delivered</v>
      </c>
      <c r="R1075" s="1" t="str">
        <f aca="false">INDEX(Customers!$C$2:$C$301,MATCH(C1075,Customers!$A$2:$A$301,0))</f>
        <v>Jaipur</v>
      </c>
      <c r="S1075" s="1" t="str">
        <f aca="false">INDEX(Customers!$E$2:$E$301,MATCH(C1075,Customers!$A$2:$A$301,0))</f>
        <v>Returning</v>
      </c>
      <c r="T1075" s="6" t="str">
        <f aca="false">Orders!I1075</f>
        <v>Marketplace</v>
      </c>
      <c r="U1075" s="1" t="str">
        <f aca="false">IF(Q1075="Delivered","Completed",IF(Q1075="Cancelled","Cancelled",IF(Q1075="Returned","Returned","In Progress")))</f>
        <v>Completed</v>
      </c>
      <c r="V1075" s="1" t="str">
        <f aca="false">IF(M1075&gt;=10000,"High Value",IF(M1075&gt;=5000,"Medium Value","Low Value"))</f>
        <v>Low Value</v>
      </c>
      <c r="W1075" s="1" t="str">
        <f aca="false">IF(O1075&gt;0,"Profitable",IF(O1075=0,"Break-even","Loss"))</f>
        <v>Profitable</v>
      </c>
      <c r="X1075" s="1" t="str">
        <f aca="false">IF(Q1075="Cancelled","Not Applicable",IF(Q1075="Processing","Pending",IF(B1075="","Unknown",IF(Orders!J1075="","Unknown",IF(Orders!J1075&lt;=3,"Fast",IF(Orders!J1075&lt;=6,"Standard","Slow"))))))</f>
        <v>Slow</v>
      </c>
      <c r="Y1075" s="1" t="n">
        <f aca="false">IF(OR(Q1075="Cancelled",Q1075="Returned"),0,O1075)</f>
        <v>688.3</v>
      </c>
    </row>
    <row r="1076" customFormat="false" ht="15" hidden="false" customHeight="false" outlineLevel="0" collapsed="false">
      <c r="A1076" s="6" t="str">
        <f aca="false">Orders!A1076</f>
        <v>O001075</v>
      </c>
      <c r="B1076" s="19" t="n">
        <f aca="false">Orders!B1076</f>
        <v>46005</v>
      </c>
      <c r="C1076" s="6" t="str">
        <f aca="false">Orders!C1076</f>
        <v>C0015</v>
      </c>
      <c r="D1076" s="6" t="str">
        <f aca="false">Orders!D1076</f>
        <v>P1063</v>
      </c>
      <c r="E1076" s="6" t="str">
        <f aca="false">INDEX(Products!$B$2:$B$101,MATCH(D1076,Products!$A$2:$A$101,0))</f>
        <v>Cricket Bat</v>
      </c>
      <c r="F1076" s="1" t="str">
        <f aca="false">INDEX(Products!$C$2:$C$101,MATCH(D1076,Products!$A$2:$A$101,0))</f>
        <v>Sports &amp; Outdoors</v>
      </c>
      <c r="G1076" s="6" t="n">
        <f aca="false">Orders!E1076</f>
        <v>1</v>
      </c>
      <c r="H1076" s="16" t="n">
        <f aca="false">INDEX(Products!$D$2:$D$101,MATCH(D1076,Products!$A$2:$A$101,0))</f>
        <v>1499</v>
      </c>
      <c r="I1076" s="16" t="n">
        <f aca="false">INDEX(Products!$E$2:$E$101,MATCH(D1076,Products!$A$2:$A$101,0))</f>
        <v>800</v>
      </c>
      <c r="J1076" s="20" t="n">
        <f aca="false">Orders!F1076</f>
        <v>0.15</v>
      </c>
      <c r="K1076" s="6" t="n">
        <f aca="false">G1076*H1076</f>
        <v>1499</v>
      </c>
      <c r="L1076" s="6" t="n">
        <f aca="false">K1076*J1076</f>
        <v>224.85</v>
      </c>
      <c r="M1076" s="6" t="n">
        <f aca="false">K1076-L1076</f>
        <v>1274.15</v>
      </c>
      <c r="N1076" s="6" t="n">
        <f aca="false">G1076*I1076</f>
        <v>800</v>
      </c>
      <c r="O1076" s="6" t="n">
        <f aca="false">M1076-N1076</f>
        <v>474.15</v>
      </c>
      <c r="P1076" s="21" t="n">
        <f aca="false">IFERROR(O1076/M1076,0)</f>
        <v>0.372130439901111</v>
      </c>
      <c r="Q1076" s="6" t="str">
        <f aca="false">Orders!H1076</f>
        <v>Delivered</v>
      </c>
      <c r="R1076" s="1" t="str">
        <f aca="false">INDEX(Customers!$C$2:$C$301,MATCH(C1076,Customers!$A$2:$A$301,0))</f>
        <v>Bhopal</v>
      </c>
      <c r="S1076" s="1" t="str">
        <f aca="false">INDEX(Customers!$E$2:$E$301,MATCH(C1076,Customers!$A$2:$A$301,0))</f>
        <v>Returning</v>
      </c>
      <c r="T1076" s="6" t="str">
        <f aca="false">Orders!I1076</f>
        <v>Mobile App</v>
      </c>
      <c r="U1076" s="1" t="str">
        <f aca="false">IF(Q1076="Delivered","Completed",IF(Q1076="Cancelled","Cancelled",IF(Q1076="Returned","Returned","In Progress")))</f>
        <v>Completed</v>
      </c>
      <c r="V1076" s="1" t="str">
        <f aca="false">IF(M1076&gt;=10000,"High Value",IF(M1076&gt;=5000,"Medium Value","Low Value"))</f>
        <v>Low Value</v>
      </c>
      <c r="W1076" s="1" t="str">
        <f aca="false">IF(O1076&gt;0,"Profitable",IF(O1076=0,"Break-even","Loss"))</f>
        <v>Profitable</v>
      </c>
      <c r="X1076" s="1" t="str">
        <f aca="false">IF(Q1076="Cancelled","Not Applicable",IF(Q1076="Processing","Pending",IF(B1076="","Unknown",IF(Orders!J1076="","Unknown",IF(Orders!J1076&lt;=3,"Fast",IF(Orders!J1076&lt;=6,"Standard","Slow"))))))</f>
        <v>Slow</v>
      </c>
      <c r="Y1076" s="1" t="n">
        <f aca="false">IF(OR(Q1076="Cancelled",Q1076="Returned"),0,O1076)</f>
        <v>474.15</v>
      </c>
    </row>
    <row r="1077" customFormat="false" ht="15" hidden="false" customHeight="false" outlineLevel="0" collapsed="false">
      <c r="A1077" s="6" t="str">
        <f aca="false">Orders!A1077</f>
        <v>O001076</v>
      </c>
      <c r="B1077" s="19" t="n">
        <f aca="false">Orders!B1077</f>
        <v>45856</v>
      </c>
      <c r="C1077" s="6" t="str">
        <f aca="false">Orders!C1077</f>
        <v>C0062</v>
      </c>
      <c r="D1077" s="6" t="str">
        <f aca="false">Orders!D1077</f>
        <v>P1089</v>
      </c>
      <c r="E1077" s="6" t="str">
        <f aca="false">INDEX(Products!$B$2:$B$101,MATCH(D1077,Products!$A$2:$A$101,0))</f>
        <v>Mixer Grinder</v>
      </c>
      <c r="F1077" s="1" t="str">
        <f aca="false">INDEX(Products!$C$2:$C$101,MATCH(D1077,Products!$A$2:$A$101,0))</f>
        <v>Appliances</v>
      </c>
      <c r="G1077" s="6" t="n">
        <f aca="false">Orders!E1077</f>
        <v>1</v>
      </c>
      <c r="H1077" s="16" t="n">
        <f aca="false">INDEX(Products!$D$2:$D$101,MATCH(D1077,Products!$A$2:$A$101,0))</f>
        <v>2499</v>
      </c>
      <c r="I1077" s="16" t="n">
        <f aca="false">INDEX(Products!$E$2:$E$101,MATCH(D1077,Products!$A$2:$A$101,0))</f>
        <v>1550</v>
      </c>
      <c r="J1077" s="20" t="n">
        <f aca="false">Orders!F1077</f>
        <v>0.05</v>
      </c>
      <c r="K1077" s="6" t="n">
        <f aca="false">G1077*H1077</f>
        <v>2499</v>
      </c>
      <c r="L1077" s="6" t="n">
        <f aca="false">K1077*J1077</f>
        <v>124.95</v>
      </c>
      <c r="M1077" s="6" t="n">
        <f aca="false">K1077-L1077</f>
        <v>2374.05</v>
      </c>
      <c r="N1077" s="6" t="n">
        <f aca="false">G1077*I1077</f>
        <v>1550</v>
      </c>
      <c r="O1077" s="6" t="n">
        <f aca="false">M1077-N1077</f>
        <v>824.05</v>
      </c>
      <c r="P1077" s="21" t="n">
        <f aca="false">IFERROR(O1077/M1077,0)</f>
        <v>0.347107263958215</v>
      </c>
      <c r="Q1077" s="6" t="str">
        <f aca="false">Orders!H1077</f>
        <v>Delivered</v>
      </c>
      <c r="R1077" s="1" t="str">
        <f aca="false">INDEX(Customers!$C$2:$C$301,MATCH(C1077,Customers!$A$2:$A$301,0))</f>
        <v>Mumbai</v>
      </c>
      <c r="S1077" s="1" t="str">
        <f aca="false">INDEX(Customers!$E$2:$E$301,MATCH(C1077,Customers!$A$2:$A$301,0))</f>
        <v>VIP</v>
      </c>
      <c r="T1077" s="6" t="str">
        <f aca="false">Orders!I1077</f>
        <v>Website</v>
      </c>
      <c r="U1077" s="1" t="str">
        <f aca="false">IF(Q1077="Delivered","Completed",IF(Q1077="Cancelled","Cancelled",IF(Q1077="Returned","Returned","In Progress")))</f>
        <v>Completed</v>
      </c>
      <c r="V1077" s="1" t="str">
        <f aca="false">IF(M1077&gt;=10000,"High Value",IF(M1077&gt;=5000,"Medium Value","Low Value"))</f>
        <v>Low Value</v>
      </c>
      <c r="W1077" s="1" t="str">
        <f aca="false">IF(O1077&gt;0,"Profitable",IF(O1077=0,"Break-even","Loss"))</f>
        <v>Profitable</v>
      </c>
      <c r="X1077" s="1" t="str">
        <f aca="false">IF(Q1077="Cancelled","Not Applicable",IF(Q1077="Processing","Pending",IF(B1077="","Unknown",IF(Orders!J1077="","Unknown",IF(Orders!J1077&lt;=3,"Fast",IF(Orders!J1077&lt;=6,"Standard","Slow"))))))</f>
        <v>Standard</v>
      </c>
      <c r="Y1077" s="1" t="n">
        <f aca="false">IF(OR(Q1077="Cancelled",Q1077="Returned"),0,O1077)</f>
        <v>824.05</v>
      </c>
    </row>
    <row r="1078" customFormat="false" ht="23.85" hidden="false" customHeight="false" outlineLevel="0" collapsed="false">
      <c r="A1078" s="6" t="str">
        <f aca="false">Orders!A1078</f>
        <v>O001077</v>
      </c>
      <c r="B1078" s="19" t="n">
        <f aca="false">Orders!B1078</f>
        <v>45766</v>
      </c>
      <c r="C1078" s="6" t="str">
        <f aca="false">Orders!C1078</f>
        <v>C0195</v>
      </c>
      <c r="D1078" s="6" t="str">
        <f aca="false">Orders!D1078</f>
        <v>P1069</v>
      </c>
      <c r="E1078" s="6" t="str">
        <f aca="false">INDEX(Products!$B$2:$B$101,MATCH(D1078,Products!$A$2:$A$101,0))</f>
        <v>Sports Duffel Bag</v>
      </c>
      <c r="F1078" s="1" t="str">
        <f aca="false">INDEX(Products!$C$2:$C$101,MATCH(D1078,Products!$A$2:$A$101,0))</f>
        <v>Sports &amp; Outdoors</v>
      </c>
      <c r="G1078" s="6" t="n">
        <f aca="false">Orders!E1078</f>
        <v>1</v>
      </c>
      <c r="H1078" s="16" t="n">
        <f aca="false">INDEX(Products!$D$2:$D$101,MATCH(D1078,Products!$A$2:$A$101,0))</f>
        <v>999</v>
      </c>
      <c r="I1078" s="16" t="n">
        <f aca="false">INDEX(Products!$E$2:$E$101,MATCH(D1078,Products!$A$2:$A$101,0))</f>
        <v>500</v>
      </c>
      <c r="J1078" s="20" t="n">
        <f aca="false">Orders!F1078</f>
        <v>0.1</v>
      </c>
      <c r="K1078" s="6" t="n">
        <f aca="false">G1078*H1078</f>
        <v>999</v>
      </c>
      <c r="L1078" s="6" t="n">
        <f aca="false">K1078*J1078</f>
        <v>99.9</v>
      </c>
      <c r="M1078" s="6" t="n">
        <f aca="false">K1078-L1078</f>
        <v>899.1</v>
      </c>
      <c r="N1078" s="6" t="n">
        <f aca="false">G1078*I1078</f>
        <v>500</v>
      </c>
      <c r="O1078" s="6" t="n">
        <f aca="false">M1078-N1078</f>
        <v>399.1</v>
      </c>
      <c r="P1078" s="21" t="n">
        <f aca="false">IFERROR(O1078/M1078,0)</f>
        <v>0.443888332777222</v>
      </c>
      <c r="Q1078" s="6" t="str">
        <f aca="false">Orders!H1078</f>
        <v>Returned</v>
      </c>
      <c r="R1078" s="1" t="str">
        <f aca="false">INDEX(Customers!$C$2:$C$301,MATCH(C1078,Customers!$A$2:$A$301,0))</f>
        <v>Bhopal</v>
      </c>
      <c r="S1078" s="1" t="str">
        <f aca="false">INDEX(Customers!$E$2:$E$301,MATCH(C1078,Customers!$A$2:$A$301,0))</f>
        <v>Returning</v>
      </c>
      <c r="T1078" s="6" t="str">
        <f aca="false">Orders!I1078</f>
        <v>Mobile App</v>
      </c>
      <c r="U1078" s="1" t="str">
        <f aca="false">IF(Q1078="Delivered","Completed",IF(Q1078="Cancelled","Cancelled",IF(Q1078="Returned","Returned","In Progress")))</f>
        <v>Returned</v>
      </c>
      <c r="V1078" s="1" t="str">
        <f aca="false">IF(M1078&gt;=10000,"High Value",IF(M1078&gt;=5000,"Medium Value","Low Value"))</f>
        <v>Low Value</v>
      </c>
      <c r="W1078" s="1" t="str">
        <f aca="false">IF(O1078&gt;0,"Profitable",IF(O1078=0,"Break-even","Loss"))</f>
        <v>Profitable</v>
      </c>
      <c r="X1078" s="1" t="str">
        <f aca="false">IF(Q1078="Cancelled","Not Applicable",IF(Q1078="Processing","Pending",IF(B1078="","Unknown",IF(Orders!J1078="","Unknown",IF(Orders!J1078&lt;=3,"Fast",IF(Orders!J1078&lt;=6,"Standard","Slow"))))))</f>
        <v>Slow</v>
      </c>
      <c r="Y1078" s="1" t="n">
        <f aca="false">IF(OR(Q1078="Cancelled",Q1078="Returned"),0,O1078)</f>
        <v>0</v>
      </c>
    </row>
    <row r="1079" customFormat="false" ht="15" hidden="false" customHeight="false" outlineLevel="0" collapsed="false">
      <c r="A1079" s="6" t="str">
        <f aca="false">Orders!A1079</f>
        <v>O001078</v>
      </c>
      <c r="B1079" s="19" t="n">
        <f aca="false">Orders!B1079</f>
        <v>45975</v>
      </c>
      <c r="C1079" s="6" t="str">
        <f aca="false">Orders!C1079</f>
        <v>C0015</v>
      </c>
      <c r="D1079" s="6" t="str">
        <f aca="false">Orders!D1079</f>
        <v>P1059</v>
      </c>
      <c r="E1079" s="6" t="str">
        <f aca="false">INDEX(Products!$B$2:$B$101,MATCH(D1079,Products!$A$2:$A$101,0))</f>
        <v>Bath Gift Set</v>
      </c>
      <c r="F1079" s="1" t="str">
        <f aca="false">INDEX(Products!$C$2:$C$101,MATCH(D1079,Products!$A$2:$A$101,0))</f>
        <v>Beauty</v>
      </c>
      <c r="G1079" s="6" t="n">
        <f aca="false">Orders!E1079</f>
        <v>1</v>
      </c>
      <c r="H1079" s="16" t="n">
        <f aca="false">INDEX(Products!$D$2:$D$101,MATCH(D1079,Products!$A$2:$A$101,0))</f>
        <v>699</v>
      </c>
      <c r="I1079" s="16" t="n">
        <f aca="false">INDEX(Products!$E$2:$E$101,MATCH(D1079,Products!$A$2:$A$101,0))</f>
        <v>350</v>
      </c>
      <c r="J1079" s="20" t="n">
        <f aca="false">Orders!F1079</f>
        <v>0.15</v>
      </c>
      <c r="K1079" s="6" t="n">
        <f aca="false">G1079*H1079</f>
        <v>699</v>
      </c>
      <c r="L1079" s="6" t="n">
        <f aca="false">K1079*J1079</f>
        <v>104.85</v>
      </c>
      <c r="M1079" s="6" t="n">
        <f aca="false">K1079-L1079</f>
        <v>594.15</v>
      </c>
      <c r="N1079" s="6" t="n">
        <f aca="false">G1079*I1079</f>
        <v>350</v>
      </c>
      <c r="O1079" s="6" t="n">
        <f aca="false">M1079-N1079</f>
        <v>244.15</v>
      </c>
      <c r="P1079" s="21" t="n">
        <f aca="false">IFERROR(O1079/M1079,0)</f>
        <v>0.410923167550282</v>
      </c>
      <c r="Q1079" s="6" t="str">
        <f aca="false">Orders!H1079</f>
        <v>Cancelled</v>
      </c>
      <c r="R1079" s="1" t="str">
        <f aca="false">INDEX(Customers!$C$2:$C$301,MATCH(C1079,Customers!$A$2:$A$301,0))</f>
        <v>Bhopal</v>
      </c>
      <c r="S1079" s="1" t="str">
        <f aca="false">INDEX(Customers!$E$2:$E$301,MATCH(C1079,Customers!$A$2:$A$301,0))</f>
        <v>Returning</v>
      </c>
      <c r="T1079" s="6" t="str">
        <f aca="false">Orders!I1079</f>
        <v>Marketplace</v>
      </c>
      <c r="U1079" s="1" t="str">
        <f aca="false">IF(Q1079="Delivered","Completed",IF(Q1079="Cancelled","Cancelled",IF(Q1079="Returned","Returned","In Progress")))</f>
        <v>Cancelled</v>
      </c>
      <c r="V1079" s="1" t="str">
        <f aca="false">IF(M1079&gt;=10000,"High Value",IF(M1079&gt;=5000,"Medium Value","Low Value"))</f>
        <v>Low Value</v>
      </c>
      <c r="W1079" s="1" t="str">
        <f aca="false">IF(O1079&gt;0,"Profitable",IF(O1079=0,"Break-even","Loss"))</f>
        <v>Profitable</v>
      </c>
      <c r="X1079" s="1" t="str">
        <f aca="false">IF(Q1079="Cancelled","Not Applicable",IF(Q1079="Processing","Pending",IF(B1079="","Unknown",IF(Orders!J1079="","Unknown",IF(Orders!J1079&lt;=3,"Fast",IF(Orders!J1079&lt;=6,"Standard","Slow"))))))</f>
        <v>Not Applicable</v>
      </c>
      <c r="Y1079" s="1" t="n">
        <f aca="false">IF(OR(Q1079="Cancelled",Q1079="Returned"),0,O1079)</f>
        <v>0</v>
      </c>
    </row>
    <row r="1080" customFormat="false" ht="23.85" hidden="false" customHeight="false" outlineLevel="0" collapsed="false">
      <c r="A1080" s="6" t="str">
        <f aca="false">Orders!A1080</f>
        <v>O001079</v>
      </c>
      <c r="B1080" s="19" t="n">
        <f aca="false">Orders!B1080</f>
        <v>45925</v>
      </c>
      <c r="C1080" s="6" t="str">
        <f aca="false">Orders!C1080</f>
        <v>C0014</v>
      </c>
      <c r="D1080" s="6" t="str">
        <f aca="false">Orders!D1080</f>
        <v>P1065</v>
      </c>
      <c r="E1080" s="6" t="str">
        <f aca="false">INDEX(Products!$B$2:$B$101,MATCH(D1080,Products!$A$2:$A$101,0))</f>
        <v>Badminton Racket</v>
      </c>
      <c r="F1080" s="1" t="str">
        <f aca="false">INDEX(Products!$C$2:$C$101,MATCH(D1080,Products!$A$2:$A$101,0))</f>
        <v>Sports &amp; Outdoors</v>
      </c>
      <c r="G1080" s="6" t="n">
        <f aca="false">Orders!E1080</f>
        <v>1</v>
      </c>
      <c r="H1080" s="16" t="n">
        <f aca="false">INDEX(Products!$D$2:$D$101,MATCH(D1080,Products!$A$2:$A$101,0))</f>
        <v>999</v>
      </c>
      <c r="I1080" s="16" t="n">
        <f aca="false">INDEX(Products!$E$2:$E$101,MATCH(D1080,Products!$A$2:$A$101,0))</f>
        <v>520</v>
      </c>
      <c r="J1080" s="20" t="n">
        <f aca="false">Orders!F1080</f>
        <v>0.1</v>
      </c>
      <c r="K1080" s="6" t="n">
        <f aca="false">G1080*H1080</f>
        <v>999</v>
      </c>
      <c r="L1080" s="6" t="n">
        <f aca="false">K1080*J1080</f>
        <v>99.9</v>
      </c>
      <c r="M1080" s="6" t="n">
        <f aca="false">K1080-L1080</f>
        <v>899.1</v>
      </c>
      <c r="N1080" s="6" t="n">
        <f aca="false">G1080*I1080</f>
        <v>520</v>
      </c>
      <c r="O1080" s="6" t="n">
        <f aca="false">M1080-N1080</f>
        <v>379.1</v>
      </c>
      <c r="P1080" s="21" t="n">
        <f aca="false">IFERROR(O1080/M1080,0)</f>
        <v>0.421643866088311</v>
      </c>
      <c r="Q1080" s="6" t="str">
        <f aca="false">Orders!H1080</f>
        <v>Shipped</v>
      </c>
      <c r="R1080" s="1" t="str">
        <f aca="false">INDEX(Customers!$C$2:$C$301,MATCH(C1080,Customers!$A$2:$A$301,0))</f>
        <v>Indore</v>
      </c>
      <c r="S1080" s="1" t="str">
        <f aca="false">INDEX(Customers!$E$2:$E$301,MATCH(C1080,Customers!$A$2:$A$301,0))</f>
        <v>Returning</v>
      </c>
      <c r="T1080" s="6" t="str">
        <f aca="false">Orders!I1080</f>
        <v>Marketplace</v>
      </c>
      <c r="U1080" s="1" t="str">
        <f aca="false">IF(Q1080="Delivered","Completed",IF(Q1080="Cancelled","Cancelled",IF(Q1080="Returned","Returned","In Progress")))</f>
        <v>In Progress</v>
      </c>
      <c r="V1080" s="1" t="str">
        <f aca="false">IF(M1080&gt;=10000,"High Value",IF(M1080&gt;=5000,"Medium Value","Low Value"))</f>
        <v>Low Value</v>
      </c>
      <c r="W1080" s="1" t="str">
        <f aca="false">IF(O1080&gt;0,"Profitable",IF(O1080=0,"Break-even","Loss"))</f>
        <v>Profitable</v>
      </c>
      <c r="X1080" s="1" t="str">
        <f aca="false">IF(Q1080="Cancelled","Not Applicable",IF(Q1080="Processing","Pending",IF(B1080="","Unknown",IF(Orders!J1080="","Unknown",IF(Orders!J1080&lt;=3,"Fast",IF(Orders!J1080&lt;=6,"Standard","Slow"))))))</f>
        <v>Fast</v>
      </c>
      <c r="Y1080" s="1" t="n">
        <f aca="false">IF(OR(Q1080="Cancelled",Q1080="Returned"),0,O1080)</f>
        <v>379.1</v>
      </c>
    </row>
    <row r="1081" customFormat="false" ht="15" hidden="false" customHeight="false" outlineLevel="0" collapsed="false">
      <c r="A1081" s="6" t="str">
        <f aca="false">Orders!A1081</f>
        <v>O001080</v>
      </c>
      <c r="B1081" s="19" t="n">
        <f aca="false">Orders!B1081</f>
        <v>45881</v>
      </c>
      <c r="C1081" s="6" t="str">
        <f aca="false">Orders!C1081</f>
        <v>C0286</v>
      </c>
      <c r="D1081" s="6" t="str">
        <f aca="false">Orders!D1081</f>
        <v>P1082</v>
      </c>
      <c r="E1081" s="6" t="str">
        <f aca="false">INDEX(Products!$B$2:$B$101,MATCH(D1081,Products!$A$2:$A$101,0))</f>
        <v>File Folder Set</v>
      </c>
      <c r="F1081" s="1" t="str">
        <f aca="false">INDEX(Products!$C$2:$C$101,MATCH(D1081,Products!$A$2:$A$101,0))</f>
        <v>Books &amp; Stationery</v>
      </c>
      <c r="G1081" s="6" t="n">
        <f aca="false">Orders!E1081</f>
        <v>1</v>
      </c>
      <c r="H1081" s="16" t="n">
        <f aca="false">INDEX(Products!$D$2:$D$101,MATCH(D1081,Products!$A$2:$A$101,0))</f>
        <v>249</v>
      </c>
      <c r="I1081" s="16" t="n">
        <f aca="false">INDEX(Products!$E$2:$E$101,MATCH(D1081,Products!$A$2:$A$101,0))</f>
        <v>90</v>
      </c>
      <c r="J1081" s="20" t="n">
        <f aca="false">Orders!F1081</f>
        <v>0.05</v>
      </c>
      <c r="K1081" s="6" t="n">
        <f aca="false">G1081*H1081</f>
        <v>249</v>
      </c>
      <c r="L1081" s="6" t="n">
        <f aca="false">K1081*J1081</f>
        <v>12.45</v>
      </c>
      <c r="M1081" s="6" t="n">
        <f aca="false">K1081-L1081</f>
        <v>236.55</v>
      </c>
      <c r="N1081" s="6" t="n">
        <f aca="false">G1081*I1081</f>
        <v>90</v>
      </c>
      <c r="O1081" s="6" t="n">
        <f aca="false">M1081-N1081</f>
        <v>146.55</v>
      </c>
      <c r="P1081" s="21" t="n">
        <f aca="false">IFERROR(O1081/M1081,0)</f>
        <v>0.619530754597337</v>
      </c>
      <c r="Q1081" s="6" t="str">
        <f aca="false">Orders!H1081</f>
        <v>Delivered</v>
      </c>
      <c r="R1081" s="1" t="str">
        <f aca="false">INDEX(Customers!$C$2:$C$301,MATCH(C1081,Customers!$A$2:$A$301,0))</f>
        <v>Kolkata</v>
      </c>
      <c r="S1081" s="1" t="str">
        <f aca="false">INDEX(Customers!$E$2:$E$301,MATCH(C1081,Customers!$A$2:$A$301,0))</f>
        <v>New</v>
      </c>
      <c r="T1081" s="6" t="str">
        <f aca="false">Orders!I1081</f>
        <v>Website</v>
      </c>
      <c r="U1081" s="1" t="str">
        <f aca="false">IF(Q1081="Delivered","Completed",IF(Q1081="Cancelled","Cancelled",IF(Q1081="Returned","Returned","In Progress")))</f>
        <v>Completed</v>
      </c>
      <c r="V1081" s="1" t="str">
        <f aca="false">IF(M1081&gt;=10000,"High Value",IF(M1081&gt;=5000,"Medium Value","Low Value"))</f>
        <v>Low Value</v>
      </c>
      <c r="W1081" s="1" t="str">
        <f aca="false">IF(O1081&gt;0,"Profitable",IF(O1081=0,"Break-even","Loss"))</f>
        <v>Profitable</v>
      </c>
      <c r="X1081" s="1" t="str">
        <f aca="false">IF(Q1081="Cancelled","Not Applicable",IF(Q1081="Processing","Pending",IF(B1081="","Unknown",IF(Orders!J1081="","Unknown",IF(Orders!J1081&lt;=3,"Fast",IF(Orders!J1081&lt;=6,"Standard","Slow"))))))</f>
        <v>Fast</v>
      </c>
      <c r="Y1081" s="1" t="n">
        <f aca="false">IF(OR(Q1081="Cancelled",Q1081="Returned"),0,O1081)</f>
        <v>146.55</v>
      </c>
    </row>
    <row r="1082" customFormat="false" ht="15" hidden="false" customHeight="false" outlineLevel="0" collapsed="false">
      <c r="A1082" s="6" t="str">
        <f aca="false">Orders!A1082</f>
        <v>O001081</v>
      </c>
      <c r="B1082" s="19" t="n">
        <f aca="false">Orders!B1082</f>
        <v>45774</v>
      </c>
      <c r="C1082" s="6" t="str">
        <f aca="false">Orders!C1082</f>
        <v>C0181</v>
      </c>
      <c r="D1082" s="6" t="str">
        <f aca="false">Orders!D1082</f>
        <v>P1007</v>
      </c>
      <c r="E1082" s="6" t="str">
        <f aca="false">INDEX(Products!$B$2:$B$101,MATCH(D1082,Products!$A$2:$A$101,0))</f>
        <v>Keyboard</v>
      </c>
      <c r="F1082" s="1" t="str">
        <f aca="false">INDEX(Products!$C$2:$C$101,MATCH(D1082,Products!$A$2:$A$101,0))</f>
        <v>Electronics</v>
      </c>
      <c r="G1082" s="6" t="n">
        <f aca="false">Orders!E1082</f>
        <v>3</v>
      </c>
      <c r="H1082" s="16" t="n">
        <f aca="false">INDEX(Products!$D$2:$D$101,MATCH(D1082,Products!$A$2:$A$101,0))</f>
        <v>999</v>
      </c>
      <c r="I1082" s="16" t="n">
        <f aca="false">INDEX(Products!$E$2:$E$101,MATCH(D1082,Products!$A$2:$A$101,0))</f>
        <v>480</v>
      </c>
      <c r="J1082" s="20" t="n">
        <f aca="false">Orders!F1082</f>
        <v>0.05</v>
      </c>
      <c r="K1082" s="6" t="n">
        <f aca="false">G1082*H1082</f>
        <v>2997</v>
      </c>
      <c r="L1082" s="6" t="n">
        <f aca="false">K1082*J1082</f>
        <v>149.85</v>
      </c>
      <c r="M1082" s="6" t="n">
        <f aca="false">K1082-L1082</f>
        <v>2847.15</v>
      </c>
      <c r="N1082" s="6" t="n">
        <f aca="false">G1082*I1082</f>
        <v>1440</v>
      </c>
      <c r="O1082" s="6" t="n">
        <f aca="false">M1082-N1082</f>
        <v>1407.15</v>
      </c>
      <c r="P1082" s="21" t="n">
        <f aca="false">IFERROR(O1082/M1082,0)</f>
        <v>0.494231073178442</v>
      </c>
      <c r="Q1082" s="6" t="str">
        <f aca="false">Orders!H1082</f>
        <v>Delivered</v>
      </c>
      <c r="R1082" s="1" t="str">
        <f aca="false">INDEX(Customers!$C$2:$C$301,MATCH(C1082,Customers!$A$2:$A$301,0))</f>
        <v>Delhi</v>
      </c>
      <c r="S1082" s="1" t="str">
        <f aca="false">INDEX(Customers!$E$2:$E$301,MATCH(C1082,Customers!$A$2:$A$301,0))</f>
        <v>New</v>
      </c>
      <c r="T1082" s="6" t="str">
        <f aca="false">Orders!I1082</f>
        <v>Website</v>
      </c>
      <c r="U1082" s="1" t="str">
        <f aca="false">IF(Q1082="Delivered","Completed",IF(Q1082="Cancelled","Cancelled",IF(Q1082="Returned","Returned","In Progress")))</f>
        <v>Completed</v>
      </c>
      <c r="V1082" s="1" t="str">
        <f aca="false">IF(M1082&gt;=10000,"High Value",IF(M1082&gt;=5000,"Medium Value","Low Value"))</f>
        <v>Low Value</v>
      </c>
      <c r="W1082" s="1" t="str">
        <f aca="false">IF(O1082&gt;0,"Profitable",IF(O1082=0,"Break-even","Loss"))</f>
        <v>Profitable</v>
      </c>
      <c r="X1082" s="1" t="str">
        <f aca="false">IF(Q1082="Cancelled","Not Applicable",IF(Q1082="Processing","Pending",IF(B1082="","Unknown",IF(Orders!J1082="","Unknown",IF(Orders!J1082&lt;=3,"Fast",IF(Orders!J1082&lt;=6,"Standard","Slow"))))))</f>
        <v>Standard</v>
      </c>
      <c r="Y1082" s="1" t="n">
        <f aca="false">IF(OR(Q1082="Cancelled",Q1082="Returned"),0,O1082)</f>
        <v>1407.15</v>
      </c>
    </row>
    <row r="1083" customFormat="false" ht="15" hidden="false" customHeight="false" outlineLevel="0" collapsed="false">
      <c r="A1083" s="6" t="str">
        <f aca="false">Orders!A1083</f>
        <v>O001082</v>
      </c>
      <c r="B1083" s="19" t="n">
        <f aca="false">Orders!B1083</f>
        <v>45854</v>
      </c>
      <c r="C1083" s="6" t="str">
        <f aca="false">Orders!C1083</f>
        <v>C0291</v>
      </c>
      <c r="D1083" s="6" t="str">
        <f aca="false">Orders!D1083</f>
        <v>P1074</v>
      </c>
      <c r="E1083" s="6" t="str">
        <f aca="false">INDEX(Products!$B$2:$B$101,MATCH(D1083,Products!$A$2:$A$101,0))</f>
        <v>Notebook Pack</v>
      </c>
      <c r="F1083" s="1" t="str">
        <f aca="false">INDEX(Products!$C$2:$C$101,MATCH(D1083,Products!$A$2:$A$101,0))</f>
        <v>Books &amp; Stationery</v>
      </c>
      <c r="G1083" s="6" t="n">
        <f aca="false">Orders!E1083</f>
        <v>1</v>
      </c>
      <c r="H1083" s="16" t="n">
        <f aca="false">INDEX(Products!$D$2:$D$101,MATCH(D1083,Products!$A$2:$A$101,0))</f>
        <v>299</v>
      </c>
      <c r="I1083" s="16" t="n">
        <f aca="false">INDEX(Products!$E$2:$E$101,MATCH(D1083,Products!$A$2:$A$101,0))</f>
        <v>110</v>
      </c>
      <c r="J1083" s="20" t="n">
        <f aca="false">Orders!F1083</f>
        <v>0.15</v>
      </c>
      <c r="K1083" s="6" t="n">
        <f aca="false">G1083*H1083</f>
        <v>299</v>
      </c>
      <c r="L1083" s="6" t="n">
        <f aca="false">K1083*J1083</f>
        <v>44.85</v>
      </c>
      <c r="M1083" s="6" t="n">
        <f aca="false">K1083-L1083</f>
        <v>254.15</v>
      </c>
      <c r="N1083" s="6" t="n">
        <f aca="false">G1083*I1083</f>
        <v>110</v>
      </c>
      <c r="O1083" s="6" t="n">
        <f aca="false">M1083-N1083</f>
        <v>144.15</v>
      </c>
      <c r="P1083" s="21" t="n">
        <f aca="false">IFERROR(O1083/M1083,0)</f>
        <v>0.567184733425143</v>
      </c>
      <c r="Q1083" s="6" t="str">
        <f aca="false">Orders!H1083</f>
        <v>Delivered</v>
      </c>
      <c r="R1083" s="1" t="str">
        <f aca="false">INDEX(Customers!$C$2:$C$301,MATCH(C1083,Customers!$A$2:$A$301,0))</f>
        <v>Gurugram</v>
      </c>
      <c r="S1083" s="1" t="str">
        <f aca="false">INDEX(Customers!$E$2:$E$301,MATCH(C1083,Customers!$A$2:$A$301,0))</f>
        <v>Returning</v>
      </c>
      <c r="T1083" s="6" t="str">
        <f aca="false">Orders!I1083</f>
        <v>Mobile App</v>
      </c>
      <c r="U1083" s="1" t="str">
        <f aca="false">IF(Q1083="Delivered","Completed",IF(Q1083="Cancelled","Cancelled",IF(Q1083="Returned","Returned","In Progress")))</f>
        <v>Completed</v>
      </c>
      <c r="V1083" s="1" t="str">
        <f aca="false">IF(M1083&gt;=10000,"High Value",IF(M1083&gt;=5000,"Medium Value","Low Value"))</f>
        <v>Low Value</v>
      </c>
      <c r="W1083" s="1" t="str">
        <f aca="false">IF(O1083&gt;0,"Profitable",IF(O1083=0,"Break-even","Loss"))</f>
        <v>Profitable</v>
      </c>
      <c r="X1083" s="1" t="str">
        <f aca="false">IF(Q1083="Cancelled","Not Applicable",IF(Q1083="Processing","Pending",IF(B1083="","Unknown",IF(Orders!J1083="","Unknown",IF(Orders!J1083&lt;=3,"Fast",IF(Orders!J1083&lt;=6,"Standard","Slow"))))))</f>
        <v>Standard</v>
      </c>
      <c r="Y1083" s="1" t="n">
        <f aca="false">IF(OR(Q1083="Cancelled",Q1083="Returned"),0,O1083)</f>
        <v>144.15</v>
      </c>
    </row>
    <row r="1084" customFormat="false" ht="15" hidden="false" customHeight="false" outlineLevel="0" collapsed="false">
      <c r="A1084" s="6" t="str">
        <f aca="false">Orders!A1084</f>
        <v>O001083</v>
      </c>
      <c r="B1084" s="19" t="n">
        <f aca="false">Orders!B1084</f>
        <v>45865</v>
      </c>
      <c r="C1084" s="6" t="str">
        <f aca="false">Orders!C1084</f>
        <v>C0023</v>
      </c>
      <c r="D1084" s="6" t="str">
        <f aca="false">Orders!D1084</f>
        <v>P1018</v>
      </c>
      <c r="E1084" s="6" t="str">
        <f aca="false">INDEX(Products!$B$2:$B$101,MATCH(D1084,Products!$A$2:$A$101,0))</f>
        <v>Cotton Shirt</v>
      </c>
      <c r="F1084" s="1" t="str">
        <f aca="false">INDEX(Products!$C$2:$C$101,MATCH(D1084,Products!$A$2:$A$101,0))</f>
        <v>Fashion</v>
      </c>
      <c r="G1084" s="6" t="n">
        <f aca="false">Orders!E1084</f>
        <v>5</v>
      </c>
      <c r="H1084" s="16" t="n">
        <f aca="false">INDEX(Products!$D$2:$D$101,MATCH(D1084,Products!$A$2:$A$101,0))</f>
        <v>899</v>
      </c>
      <c r="I1084" s="16" t="n">
        <f aca="false">INDEX(Products!$E$2:$E$101,MATCH(D1084,Products!$A$2:$A$101,0))</f>
        <v>420</v>
      </c>
      <c r="J1084" s="20" t="n">
        <f aca="false">Orders!F1084</f>
        <v>0.2</v>
      </c>
      <c r="K1084" s="6" t="n">
        <f aca="false">G1084*H1084</f>
        <v>4495</v>
      </c>
      <c r="L1084" s="6" t="n">
        <f aca="false">K1084*J1084</f>
        <v>899</v>
      </c>
      <c r="M1084" s="6" t="n">
        <f aca="false">K1084-L1084</f>
        <v>3596</v>
      </c>
      <c r="N1084" s="6" t="n">
        <f aca="false">G1084*I1084</f>
        <v>2100</v>
      </c>
      <c r="O1084" s="6" t="n">
        <f aca="false">M1084-N1084</f>
        <v>1496</v>
      </c>
      <c r="P1084" s="21" t="n">
        <f aca="false">IFERROR(O1084/M1084,0)</f>
        <v>0.416017797552836</v>
      </c>
      <c r="Q1084" s="6" t="str">
        <f aca="false">Orders!H1084</f>
        <v>Delivered</v>
      </c>
      <c r="R1084" s="1" t="str">
        <f aca="false">INDEX(Customers!$C$2:$C$301,MATCH(C1084,Customers!$A$2:$A$301,0))</f>
        <v>Bengaluru</v>
      </c>
      <c r="S1084" s="1" t="str">
        <f aca="false">INDEX(Customers!$E$2:$E$301,MATCH(C1084,Customers!$A$2:$A$301,0))</f>
        <v>Returning</v>
      </c>
      <c r="T1084" s="6" t="str">
        <f aca="false">Orders!I1084</f>
        <v>Marketplace</v>
      </c>
      <c r="U1084" s="1" t="str">
        <f aca="false">IF(Q1084="Delivered","Completed",IF(Q1084="Cancelled","Cancelled",IF(Q1084="Returned","Returned","In Progress")))</f>
        <v>Completed</v>
      </c>
      <c r="V1084" s="1" t="str">
        <f aca="false">IF(M1084&gt;=10000,"High Value",IF(M1084&gt;=5000,"Medium Value","Low Value"))</f>
        <v>Low Value</v>
      </c>
      <c r="W1084" s="1" t="str">
        <f aca="false">IF(O1084&gt;0,"Profitable",IF(O1084=0,"Break-even","Loss"))</f>
        <v>Profitable</v>
      </c>
      <c r="X1084" s="1" t="str">
        <f aca="false">IF(Q1084="Cancelled","Not Applicable",IF(Q1084="Processing","Pending",IF(B1084="","Unknown",IF(Orders!J1084="","Unknown",IF(Orders!J1084&lt;=3,"Fast",IF(Orders!J1084&lt;=6,"Standard","Slow"))))))</f>
        <v>Standard</v>
      </c>
      <c r="Y1084" s="1" t="n">
        <f aca="false">IF(OR(Q1084="Cancelled",Q1084="Returned"),0,O1084)</f>
        <v>1496</v>
      </c>
    </row>
    <row r="1085" customFormat="false" ht="15" hidden="false" customHeight="false" outlineLevel="0" collapsed="false">
      <c r="A1085" s="6" t="str">
        <f aca="false">Orders!A1085</f>
        <v>O001084</v>
      </c>
      <c r="B1085" s="19" t="n">
        <f aca="false">Orders!B1085</f>
        <v>46021</v>
      </c>
      <c r="C1085" s="6" t="str">
        <f aca="false">Orders!C1085</f>
        <v>C0071</v>
      </c>
      <c r="D1085" s="6" t="str">
        <f aca="false">Orders!D1085</f>
        <v>P1016</v>
      </c>
      <c r="E1085" s="6" t="str">
        <f aca="false">INDEX(Products!$B$2:$B$101,MATCH(D1085,Products!$A$2:$A$101,0))</f>
        <v>Casual T-Shirt</v>
      </c>
      <c r="F1085" s="1" t="str">
        <f aca="false">INDEX(Products!$C$2:$C$101,MATCH(D1085,Products!$A$2:$A$101,0))</f>
        <v>Fashion</v>
      </c>
      <c r="G1085" s="6" t="n">
        <f aca="false">Orders!E1085</f>
        <v>1</v>
      </c>
      <c r="H1085" s="16" t="n">
        <f aca="false">INDEX(Products!$D$2:$D$101,MATCH(D1085,Products!$A$2:$A$101,0))</f>
        <v>499</v>
      </c>
      <c r="I1085" s="16" t="n">
        <f aca="false">INDEX(Products!$E$2:$E$101,MATCH(D1085,Products!$A$2:$A$101,0))</f>
        <v>220</v>
      </c>
      <c r="J1085" s="20" t="n">
        <f aca="false">Orders!F1085</f>
        <v>0.05</v>
      </c>
      <c r="K1085" s="6" t="n">
        <f aca="false">G1085*H1085</f>
        <v>499</v>
      </c>
      <c r="L1085" s="6" t="n">
        <f aca="false">K1085*J1085</f>
        <v>24.95</v>
      </c>
      <c r="M1085" s="6" t="n">
        <f aca="false">K1085-L1085</f>
        <v>474.05</v>
      </c>
      <c r="N1085" s="6" t="n">
        <f aca="false">G1085*I1085</f>
        <v>220</v>
      </c>
      <c r="O1085" s="6" t="n">
        <f aca="false">M1085-N1085</f>
        <v>254.05</v>
      </c>
      <c r="P1085" s="21" t="n">
        <f aca="false">IFERROR(O1085/M1085,0)</f>
        <v>0.535913933129417</v>
      </c>
      <c r="Q1085" s="6" t="str">
        <f aca="false">Orders!H1085</f>
        <v>Delivered</v>
      </c>
      <c r="R1085" s="1" t="str">
        <f aca="false">INDEX(Customers!$C$2:$C$301,MATCH(C1085,Customers!$A$2:$A$301,0))</f>
        <v>Gurugram</v>
      </c>
      <c r="S1085" s="1" t="str">
        <f aca="false">INDEX(Customers!$E$2:$E$301,MATCH(C1085,Customers!$A$2:$A$301,0))</f>
        <v>VIP</v>
      </c>
      <c r="T1085" s="6" t="str">
        <f aca="false">Orders!I1085</f>
        <v>Marketplace</v>
      </c>
      <c r="U1085" s="1" t="str">
        <f aca="false">IF(Q1085="Delivered","Completed",IF(Q1085="Cancelled","Cancelled",IF(Q1085="Returned","Returned","In Progress")))</f>
        <v>Completed</v>
      </c>
      <c r="V1085" s="1" t="str">
        <f aca="false">IF(M1085&gt;=10000,"High Value",IF(M1085&gt;=5000,"Medium Value","Low Value"))</f>
        <v>Low Value</v>
      </c>
      <c r="W1085" s="1" t="str">
        <f aca="false">IF(O1085&gt;0,"Profitable",IF(O1085=0,"Break-even","Loss"))</f>
        <v>Profitable</v>
      </c>
      <c r="X1085" s="1" t="str">
        <f aca="false">IF(Q1085="Cancelled","Not Applicable",IF(Q1085="Processing","Pending",IF(B1085="","Unknown",IF(Orders!J1085="","Unknown",IF(Orders!J1085&lt;=3,"Fast",IF(Orders!J1085&lt;=6,"Standard","Slow"))))))</f>
        <v>Slow</v>
      </c>
      <c r="Y1085" s="1" t="n">
        <f aca="false">IF(OR(Q1085="Cancelled",Q1085="Returned"),0,O1085)</f>
        <v>254.05</v>
      </c>
    </row>
    <row r="1086" customFormat="false" ht="15" hidden="false" customHeight="false" outlineLevel="0" collapsed="false">
      <c r="A1086" s="6" t="str">
        <f aca="false">Orders!A1086</f>
        <v>O001085</v>
      </c>
      <c r="B1086" s="19" t="n">
        <f aca="false">Orders!B1086</f>
        <v>45826</v>
      </c>
      <c r="C1086" s="6" t="str">
        <f aca="false">Orders!C1086</f>
        <v>C0003</v>
      </c>
      <c r="D1086" s="6" t="str">
        <f aca="false">Orders!D1086</f>
        <v>P1042</v>
      </c>
      <c r="E1086" s="6" t="str">
        <f aca="false">INDEX(Products!$B$2:$B$101,MATCH(D1086,Products!$A$2:$A$101,0))</f>
        <v>Bath Towel Set</v>
      </c>
      <c r="F1086" s="1" t="str">
        <f aca="false">INDEX(Products!$C$2:$C$101,MATCH(D1086,Products!$A$2:$A$101,0))</f>
        <v>Home &amp; Kitchen</v>
      </c>
      <c r="G1086" s="6" t="n">
        <f aca="false">Orders!E1086</f>
        <v>3</v>
      </c>
      <c r="H1086" s="16" t="n">
        <f aca="false">INDEX(Products!$D$2:$D$101,MATCH(D1086,Products!$A$2:$A$101,0))</f>
        <v>799</v>
      </c>
      <c r="I1086" s="16" t="n">
        <f aca="false">INDEX(Products!$E$2:$E$101,MATCH(D1086,Products!$A$2:$A$101,0))</f>
        <v>360</v>
      </c>
      <c r="J1086" s="20" t="n">
        <f aca="false">Orders!F1086</f>
        <v>0.05</v>
      </c>
      <c r="K1086" s="6" t="n">
        <f aca="false">G1086*H1086</f>
        <v>2397</v>
      </c>
      <c r="L1086" s="6" t="n">
        <f aca="false">K1086*J1086</f>
        <v>119.85</v>
      </c>
      <c r="M1086" s="6" t="n">
        <f aca="false">K1086-L1086</f>
        <v>2277.15</v>
      </c>
      <c r="N1086" s="6" t="n">
        <f aca="false">G1086*I1086</f>
        <v>1080</v>
      </c>
      <c r="O1086" s="6" t="n">
        <f aca="false">M1086-N1086</f>
        <v>1197.15</v>
      </c>
      <c r="P1086" s="21" t="n">
        <f aca="false">IFERROR(O1086/M1086,0)</f>
        <v>0.525722943152625</v>
      </c>
      <c r="Q1086" s="6" t="str">
        <f aca="false">Orders!H1086</f>
        <v>Delivered</v>
      </c>
      <c r="R1086" s="1" t="str">
        <f aca="false">INDEX(Customers!$C$2:$C$301,MATCH(C1086,Customers!$A$2:$A$301,0))</f>
        <v>Bengaluru</v>
      </c>
      <c r="S1086" s="1" t="str">
        <f aca="false">INDEX(Customers!$E$2:$E$301,MATCH(C1086,Customers!$A$2:$A$301,0))</f>
        <v>Returning</v>
      </c>
      <c r="T1086" s="6" t="str">
        <f aca="false">Orders!I1086</f>
        <v>Marketplace</v>
      </c>
      <c r="U1086" s="1" t="str">
        <f aca="false">IF(Q1086="Delivered","Completed",IF(Q1086="Cancelled","Cancelled",IF(Q1086="Returned","Returned","In Progress")))</f>
        <v>Completed</v>
      </c>
      <c r="V1086" s="1" t="str">
        <f aca="false">IF(M1086&gt;=10000,"High Value",IF(M1086&gt;=5000,"Medium Value","Low Value"))</f>
        <v>Low Value</v>
      </c>
      <c r="W1086" s="1" t="str">
        <f aca="false">IF(O1086&gt;0,"Profitable",IF(O1086=0,"Break-even","Loss"))</f>
        <v>Profitable</v>
      </c>
      <c r="X1086" s="1" t="str">
        <f aca="false">IF(Q1086="Cancelled","Not Applicable",IF(Q1086="Processing","Pending",IF(B1086="","Unknown",IF(Orders!J1086="","Unknown",IF(Orders!J1086&lt;=3,"Fast",IF(Orders!J1086&lt;=6,"Standard","Slow"))))))</f>
        <v>Fast</v>
      </c>
      <c r="Y1086" s="1" t="n">
        <f aca="false">IF(OR(Q1086="Cancelled",Q1086="Returned"),0,O1086)</f>
        <v>1197.15</v>
      </c>
    </row>
    <row r="1087" customFormat="false" ht="23.85" hidden="false" customHeight="false" outlineLevel="0" collapsed="false">
      <c r="A1087" s="6" t="str">
        <f aca="false">Orders!A1087</f>
        <v>O001086</v>
      </c>
      <c r="B1087" s="19" t="n">
        <f aca="false">Orders!B1087</f>
        <v>45808</v>
      </c>
      <c r="C1087" s="6" t="str">
        <f aca="false">Orders!C1087</f>
        <v>C0159</v>
      </c>
      <c r="D1087" s="6" t="str">
        <f aca="false">Orders!D1087</f>
        <v>P1099</v>
      </c>
      <c r="E1087" s="6" t="str">
        <f aca="false">INDEX(Products!$B$2:$B$101,MATCH(D1087,Products!$A$2:$A$101,0))</f>
        <v>Sandwich Maker</v>
      </c>
      <c r="F1087" s="1" t="str">
        <f aca="false">INDEX(Products!$C$2:$C$101,MATCH(D1087,Products!$A$2:$A$101,0))</f>
        <v>Appliances</v>
      </c>
      <c r="G1087" s="6" t="n">
        <f aca="false">Orders!E1087</f>
        <v>2</v>
      </c>
      <c r="H1087" s="16" t="n">
        <f aca="false">INDEX(Products!$D$2:$D$101,MATCH(D1087,Products!$A$2:$A$101,0))</f>
        <v>1299</v>
      </c>
      <c r="I1087" s="16" t="n">
        <f aca="false">INDEX(Products!$E$2:$E$101,MATCH(D1087,Products!$A$2:$A$101,0))</f>
        <v>750</v>
      </c>
      <c r="J1087" s="20" t="n">
        <f aca="false">Orders!F1087</f>
        <v>0</v>
      </c>
      <c r="K1087" s="6" t="n">
        <f aca="false">G1087*H1087</f>
        <v>2598</v>
      </c>
      <c r="L1087" s="6" t="n">
        <f aca="false">K1087*J1087</f>
        <v>0</v>
      </c>
      <c r="M1087" s="6" t="n">
        <f aca="false">K1087-L1087</f>
        <v>2598</v>
      </c>
      <c r="N1087" s="6" t="n">
        <f aca="false">G1087*I1087</f>
        <v>1500</v>
      </c>
      <c r="O1087" s="6" t="n">
        <f aca="false">M1087-N1087</f>
        <v>1098</v>
      </c>
      <c r="P1087" s="21" t="n">
        <f aca="false">IFERROR(O1087/M1087,0)</f>
        <v>0.422632794457275</v>
      </c>
      <c r="Q1087" s="6" t="str">
        <f aca="false">Orders!H1087</f>
        <v>Processing</v>
      </c>
      <c r="R1087" s="1" t="str">
        <f aca="false">INDEX(Customers!$C$2:$C$301,MATCH(C1087,Customers!$A$2:$A$301,0))</f>
        <v>Coimbatore</v>
      </c>
      <c r="S1087" s="1" t="str">
        <f aca="false">INDEX(Customers!$E$2:$E$301,MATCH(C1087,Customers!$A$2:$A$301,0))</f>
        <v>New</v>
      </c>
      <c r="T1087" s="6" t="str">
        <f aca="false">Orders!I1087</f>
        <v>Marketplace</v>
      </c>
      <c r="U1087" s="1" t="str">
        <f aca="false">IF(Q1087="Delivered","Completed",IF(Q1087="Cancelled","Cancelled",IF(Q1087="Returned","Returned","In Progress")))</f>
        <v>In Progress</v>
      </c>
      <c r="V1087" s="1" t="str">
        <f aca="false">IF(M1087&gt;=10000,"High Value",IF(M1087&gt;=5000,"Medium Value","Low Value"))</f>
        <v>Low Value</v>
      </c>
      <c r="W1087" s="1" t="str">
        <f aca="false">IF(O1087&gt;0,"Profitable",IF(O1087=0,"Break-even","Loss"))</f>
        <v>Profitable</v>
      </c>
      <c r="X1087" s="1" t="str">
        <f aca="false">IF(Q1087="Cancelled","Not Applicable",IF(Q1087="Processing","Pending",IF(B1087="","Unknown",IF(Orders!J1087="","Unknown",IF(Orders!J1087&lt;=3,"Fast",IF(Orders!J1087&lt;=6,"Standard","Slow"))))))</f>
        <v>Pending</v>
      </c>
      <c r="Y1087" s="1" t="n">
        <f aca="false">IF(OR(Q1087="Cancelled",Q1087="Returned"),0,O1087)</f>
        <v>1098</v>
      </c>
    </row>
    <row r="1088" customFormat="false" ht="23.85" hidden="false" customHeight="false" outlineLevel="0" collapsed="false">
      <c r="A1088" s="6" t="str">
        <f aca="false">Orders!A1088</f>
        <v>O001087</v>
      </c>
      <c r="B1088" s="19" t="n">
        <f aca="false">Orders!B1088</f>
        <v>45726</v>
      </c>
      <c r="C1088" s="6" t="str">
        <f aca="false">Orders!C1088</f>
        <v>C0186</v>
      </c>
      <c r="D1088" s="6" t="str">
        <f aca="false">Orders!D1088</f>
        <v>P1046</v>
      </c>
      <c r="E1088" s="6" t="str">
        <f aca="false">INDEX(Products!$B$2:$B$101,MATCH(D1088,Products!$A$2:$A$101,0))</f>
        <v>Face Moisturizer</v>
      </c>
      <c r="F1088" s="1" t="str">
        <f aca="false">INDEX(Products!$C$2:$C$101,MATCH(D1088,Products!$A$2:$A$101,0))</f>
        <v>Beauty</v>
      </c>
      <c r="G1088" s="6" t="n">
        <f aca="false">Orders!E1088</f>
        <v>3</v>
      </c>
      <c r="H1088" s="16" t="n">
        <f aca="false">INDEX(Products!$D$2:$D$101,MATCH(D1088,Products!$A$2:$A$101,0))</f>
        <v>499</v>
      </c>
      <c r="I1088" s="16" t="n">
        <f aca="false">INDEX(Products!$E$2:$E$101,MATCH(D1088,Products!$A$2:$A$101,0))</f>
        <v>220</v>
      </c>
      <c r="J1088" s="20" t="n">
        <f aca="false">Orders!F1088</f>
        <v>0.1</v>
      </c>
      <c r="K1088" s="6" t="n">
        <f aca="false">G1088*H1088</f>
        <v>1497</v>
      </c>
      <c r="L1088" s="6" t="n">
        <f aca="false">K1088*J1088</f>
        <v>149.7</v>
      </c>
      <c r="M1088" s="6" t="n">
        <f aca="false">K1088-L1088</f>
        <v>1347.3</v>
      </c>
      <c r="N1088" s="6" t="n">
        <f aca="false">G1088*I1088</f>
        <v>660</v>
      </c>
      <c r="O1088" s="6" t="n">
        <f aca="false">M1088-N1088</f>
        <v>687.3</v>
      </c>
      <c r="P1088" s="21" t="n">
        <f aca="false">IFERROR(O1088/M1088,0)</f>
        <v>0.510131373858829</v>
      </c>
      <c r="Q1088" s="6" t="str">
        <f aca="false">Orders!H1088</f>
        <v>Delivered</v>
      </c>
      <c r="R1088" s="1" t="str">
        <f aca="false">INDEX(Customers!$C$2:$C$301,MATCH(C1088,Customers!$A$2:$A$301,0))</f>
        <v>Kolkata</v>
      </c>
      <c r="S1088" s="1" t="str">
        <f aca="false">INDEX(Customers!$E$2:$E$301,MATCH(C1088,Customers!$A$2:$A$301,0))</f>
        <v>New</v>
      </c>
      <c r="T1088" s="6" t="str">
        <f aca="false">Orders!I1088</f>
        <v>Mobile App</v>
      </c>
      <c r="U1088" s="1" t="str">
        <f aca="false">IF(Q1088="Delivered","Completed",IF(Q1088="Cancelled","Cancelled",IF(Q1088="Returned","Returned","In Progress")))</f>
        <v>Completed</v>
      </c>
      <c r="V1088" s="1" t="str">
        <f aca="false">IF(M1088&gt;=10000,"High Value",IF(M1088&gt;=5000,"Medium Value","Low Value"))</f>
        <v>Low Value</v>
      </c>
      <c r="W1088" s="1" t="str">
        <f aca="false">IF(O1088&gt;0,"Profitable",IF(O1088=0,"Break-even","Loss"))</f>
        <v>Profitable</v>
      </c>
      <c r="X1088" s="1" t="str">
        <f aca="false">IF(Q1088="Cancelled","Not Applicable",IF(Q1088="Processing","Pending",IF(B1088="","Unknown",IF(Orders!J1088="","Unknown",IF(Orders!J1088&lt;=3,"Fast",IF(Orders!J1088&lt;=6,"Standard","Slow"))))))</f>
        <v>Standard</v>
      </c>
      <c r="Y1088" s="1" t="n">
        <f aca="false">IF(OR(Q1088="Cancelled",Q1088="Returned"),0,O1088)</f>
        <v>687.3</v>
      </c>
    </row>
    <row r="1089" customFormat="false" ht="15" hidden="false" customHeight="false" outlineLevel="0" collapsed="false">
      <c r="A1089" s="6" t="str">
        <f aca="false">Orders!A1089</f>
        <v>O001088</v>
      </c>
      <c r="B1089" s="19" t="n">
        <f aca="false">Orders!B1089</f>
        <v>45709</v>
      </c>
      <c r="C1089" s="6" t="str">
        <f aca="false">Orders!C1089</f>
        <v>C0120</v>
      </c>
      <c r="D1089" s="6" t="str">
        <f aca="false">Orders!D1089</f>
        <v>P1043</v>
      </c>
      <c r="E1089" s="6" t="str">
        <f aca="false">INDEX(Products!$B$2:$B$101,MATCH(D1089,Products!$A$2:$A$101,0))</f>
        <v>Kitchen Rack</v>
      </c>
      <c r="F1089" s="1" t="str">
        <f aca="false">INDEX(Products!$C$2:$C$101,MATCH(D1089,Products!$A$2:$A$101,0))</f>
        <v>Home &amp; Kitchen</v>
      </c>
      <c r="G1089" s="6" t="n">
        <f aca="false">Orders!E1089</f>
        <v>2</v>
      </c>
      <c r="H1089" s="16" t="n">
        <f aca="false">INDEX(Products!$D$2:$D$101,MATCH(D1089,Products!$A$2:$A$101,0))</f>
        <v>1299</v>
      </c>
      <c r="I1089" s="16" t="n">
        <f aca="false">INDEX(Products!$E$2:$E$101,MATCH(D1089,Products!$A$2:$A$101,0))</f>
        <v>700</v>
      </c>
      <c r="J1089" s="20" t="n">
        <f aca="false">Orders!F1089</f>
        <v>0.15</v>
      </c>
      <c r="K1089" s="6" t="n">
        <f aca="false">G1089*H1089</f>
        <v>2598</v>
      </c>
      <c r="L1089" s="6" t="n">
        <f aca="false">K1089*J1089</f>
        <v>389.7</v>
      </c>
      <c r="M1089" s="6" t="n">
        <f aca="false">K1089-L1089</f>
        <v>2208.3</v>
      </c>
      <c r="N1089" s="6" t="n">
        <f aca="false">G1089*I1089</f>
        <v>1400</v>
      </c>
      <c r="O1089" s="6" t="n">
        <f aca="false">M1089-N1089</f>
        <v>808.3</v>
      </c>
      <c r="P1089" s="21" t="n">
        <f aca="false">IFERROR(O1089/M1089,0)</f>
        <v>0.36602816646289</v>
      </c>
      <c r="Q1089" s="6" t="str">
        <f aca="false">Orders!H1089</f>
        <v>Delivered</v>
      </c>
      <c r="R1089" s="1" t="str">
        <f aca="false">INDEX(Customers!$C$2:$C$301,MATCH(C1089,Customers!$A$2:$A$301,0))</f>
        <v>Visakhapatnam</v>
      </c>
      <c r="S1089" s="1" t="str">
        <f aca="false">INDEX(Customers!$E$2:$E$301,MATCH(C1089,Customers!$A$2:$A$301,0))</f>
        <v>Returning</v>
      </c>
      <c r="T1089" s="6" t="str">
        <f aca="false">Orders!I1089</f>
        <v>Marketplace</v>
      </c>
      <c r="U1089" s="1" t="str">
        <f aca="false">IF(Q1089="Delivered","Completed",IF(Q1089="Cancelled","Cancelled",IF(Q1089="Returned","Returned","In Progress")))</f>
        <v>Completed</v>
      </c>
      <c r="V1089" s="1" t="str">
        <f aca="false">IF(M1089&gt;=10000,"High Value",IF(M1089&gt;=5000,"Medium Value","Low Value"))</f>
        <v>Low Value</v>
      </c>
      <c r="W1089" s="1" t="str">
        <f aca="false">IF(O1089&gt;0,"Profitable",IF(O1089=0,"Break-even","Loss"))</f>
        <v>Profitable</v>
      </c>
      <c r="X1089" s="1" t="str">
        <f aca="false">IF(Q1089="Cancelled","Not Applicable",IF(Q1089="Processing","Pending",IF(B1089="","Unknown",IF(Orders!J1089="","Unknown",IF(Orders!J1089&lt;=3,"Fast",IF(Orders!J1089&lt;=6,"Standard","Slow"))))))</f>
        <v>Fast</v>
      </c>
      <c r="Y1089" s="1" t="n">
        <f aca="false">IF(OR(Q1089="Cancelled",Q1089="Returned"),0,O1089)</f>
        <v>808.3</v>
      </c>
    </row>
    <row r="1090" customFormat="false" ht="15" hidden="false" customHeight="false" outlineLevel="0" collapsed="false">
      <c r="A1090" s="6" t="str">
        <f aca="false">Orders!A1090</f>
        <v>O001089</v>
      </c>
      <c r="B1090" s="19" t="n">
        <f aca="false">Orders!B1090</f>
        <v>45711</v>
      </c>
      <c r="C1090" s="6" t="str">
        <f aca="false">Orders!C1090</f>
        <v>C0027</v>
      </c>
      <c r="D1090" s="6" t="str">
        <f aca="false">Orders!D1090</f>
        <v>P1010</v>
      </c>
      <c r="E1090" s="6" t="str">
        <f aca="false">INDEX(Products!$B$2:$B$101,MATCH(D1090,Products!$A$2:$A$101,0))</f>
        <v>Webcam</v>
      </c>
      <c r="F1090" s="1" t="str">
        <f aca="false">INDEX(Products!$C$2:$C$101,MATCH(D1090,Products!$A$2:$A$101,0))</f>
        <v>Electronics</v>
      </c>
      <c r="G1090" s="6" t="n">
        <f aca="false">Orders!E1090</f>
        <v>1</v>
      </c>
      <c r="H1090" s="16" t="n">
        <f aca="false">INDEX(Products!$D$2:$D$101,MATCH(D1090,Products!$A$2:$A$101,0))</f>
        <v>1799</v>
      </c>
      <c r="I1090" s="16" t="n">
        <f aca="false">INDEX(Products!$E$2:$E$101,MATCH(D1090,Products!$A$2:$A$101,0))</f>
        <v>1050</v>
      </c>
      <c r="J1090" s="20" t="n">
        <f aca="false">Orders!F1090</f>
        <v>0.15</v>
      </c>
      <c r="K1090" s="6" t="n">
        <f aca="false">G1090*H1090</f>
        <v>1799</v>
      </c>
      <c r="L1090" s="6" t="n">
        <f aca="false">K1090*J1090</f>
        <v>269.85</v>
      </c>
      <c r="M1090" s="6" t="n">
        <f aca="false">K1090-L1090</f>
        <v>1529.15</v>
      </c>
      <c r="N1090" s="6" t="n">
        <f aca="false">G1090*I1090</f>
        <v>1050</v>
      </c>
      <c r="O1090" s="6" t="n">
        <f aca="false">M1090-N1090</f>
        <v>479.15</v>
      </c>
      <c r="P1090" s="21" t="n">
        <f aca="false">IFERROR(O1090/M1090,0)</f>
        <v>0.313344014648661</v>
      </c>
      <c r="Q1090" s="6" t="str">
        <f aca="false">Orders!H1090</f>
        <v>Delivered</v>
      </c>
      <c r="R1090" s="1" t="str">
        <f aca="false">INDEX(Customers!$C$2:$C$301,MATCH(C1090,Customers!$A$2:$A$301,0))</f>
        <v>Pune</v>
      </c>
      <c r="S1090" s="1" t="str">
        <f aca="false">INDEX(Customers!$E$2:$E$301,MATCH(C1090,Customers!$A$2:$A$301,0))</f>
        <v>Returning</v>
      </c>
      <c r="T1090" s="6" t="str">
        <f aca="false">Orders!I1090</f>
        <v>Marketplace</v>
      </c>
      <c r="U1090" s="1" t="str">
        <f aca="false">IF(Q1090="Delivered","Completed",IF(Q1090="Cancelled","Cancelled",IF(Q1090="Returned","Returned","In Progress")))</f>
        <v>Completed</v>
      </c>
      <c r="V1090" s="1" t="str">
        <f aca="false">IF(M1090&gt;=10000,"High Value",IF(M1090&gt;=5000,"Medium Value","Low Value"))</f>
        <v>Low Value</v>
      </c>
      <c r="W1090" s="1" t="str">
        <f aca="false">IF(O1090&gt;0,"Profitable",IF(O1090=0,"Break-even","Loss"))</f>
        <v>Profitable</v>
      </c>
      <c r="X1090" s="1" t="str">
        <f aca="false">IF(Q1090="Cancelled","Not Applicable",IF(Q1090="Processing","Pending",IF(B1090="","Unknown",IF(Orders!J1090="","Unknown",IF(Orders!J1090&lt;=3,"Fast",IF(Orders!J1090&lt;=6,"Standard","Slow"))))))</f>
        <v>Standard</v>
      </c>
      <c r="Y1090" s="1" t="n">
        <f aca="false">IF(OR(Q1090="Cancelled",Q1090="Returned"),0,O1090)</f>
        <v>479.15</v>
      </c>
    </row>
    <row r="1091" customFormat="false" ht="15" hidden="false" customHeight="false" outlineLevel="0" collapsed="false">
      <c r="A1091" s="6" t="str">
        <f aca="false">Orders!A1091</f>
        <v>O001090</v>
      </c>
      <c r="B1091" s="19" t="n">
        <f aca="false">Orders!B1091</f>
        <v>45784</v>
      </c>
      <c r="C1091" s="6" t="str">
        <f aca="false">Orders!C1091</f>
        <v>C0094</v>
      </c>
      <c r="D1091" s="6" t="str">
        <f aca="false">Orders!D1091</f>
        <v>P1077</v>
      </c>
      <c r="E1091" s="6" t="str">
        <f aca="false">INDEX(Products!$B$2:$B$101,MATCH(D1091,Products!$A$2:$A$101,0))</f>
        <v>Planner</v>
      </c>
      <c r="F1091" s="1" t="str">
        <f aca="false">INDEX(Products!$C$2:$C$101,MATCH(D1091,Products!$A$2:$A$101,0))</f>
        <v>Books &amp; Stationery</v>
      </c>
      <c r="G1091" s="6" t="n">
        <f aca="false">Orders!E1091</f>
        <v>3</v>
      </c>
      <c r="H1091" s="16" t="n">
        <f aca="false">INDEX(Products!$D$2:$D$101,MATCH(D1091,Products!$A$2:$A$101,0))</f>
        <v>349</v>
      </c>
      <c r="I1091" s="16" t="n">
        <f aca="false">INDEX(Products!$E$2:$E$101,MATCH(D1091,Products!$A$2:$A$101,0))</f>
        <v>130</v>
      </c>
      <c r="J1091" s="20" t="n">
        <f aca="false">Orders!F1091</f>
        <v>0.2</v>
      </c>
      <c r="K1091" s="6" t="n">
        <f aca="false">G1091*H1091</f>
        <v>1047</v>
      </c>
      <c r="L1091" s="6" t="n">
        <f aca="false">K1091*J1091</f>
        <v>209.4</v>
      </c>
      <c r="M1091" s="6" t="n">
        <f aca="false">K1091-L1091</f>
        <v>837.6</v>
      </c>
      <c r="N1091" s="6" t="n">
        <f aca="false">G1091*I1091</f>
        <v>390</v>
      </c>
      <c r="O1091" s="6" t="n">
        <f aca="false">M1091-N1091</f>
        <v>447.6</v>
      </c>
      <c r="P1091" s="21" t="n">
        <f aca="false">IFERROR(O1091/M1091,0)</f>
        <v>0.534383954154728</v>
      </c>
      <c r="Q1091" s="6" t="str">
        <f aca="false">Orders!H1091</f>
        <v>Delivered</v>
      </c>
      <c r="R1091" s="1" t="str">
        <f aca="false">INDEX(Customers!$C$2:$C$301,MATCH(C1091,Customers!$A$2:$A$301,0))</f>
        <v>Indore</v>
      </c>
      <c r="S1091" s="1" t="str">
        <f aca="false">INDEX(Customers!$E$2:$E$301,MATCH(C1091,Customers!$A$2:$A$301,0))</f>
        <v>VIP</v>
      </c>
      <c r="T1091" s="6" t="str">
        <f aca="false">Orders!I1091</f>
        <v>Website</v>
      </c>
      <c r="U1091" s="1" t="str">
        <f aca="false">IF(Q1091="Delivered","Completed",IF(Q1091="Cancelled","Cancelled",IF(Q1091="Returned","Returned","In Progress")))</f>
        <v>Completed</v>
      </c>
      <c r="V1091" s="1" t="str">
        <f aca="false">IF(M1091&gt;=10000,"High Value",IF(M1091&gt;=5000,"Medium Value","Low Value"))</f>
        <v>Low Value</v>
      </c>
      <c r="W1091" s="1" t="str">
        <f aca="false">IF(O1091&gt;0,"Profitable",IF(O1091=0,"Break-even","Loss"))</f>
        <v>Profitable</v>
      </c>
      <c r="X1091" s="1" t="str">
        <f aca="false">IF(Q1091="Cancelled","Not Applicable",IF(Q1091="Processing","Pending",IF(B1091="","Unknown",IF(Orders!J1091="","Unknown",IF(Orders!J1091&lt;=3,"Fast",IF(Orders!J1091&lt;=6,"Standard","Slow"))))))</f>
        <v>Standard</v>
      </c>
      <c r="Y1091" s="1" t="n">
        <f aca="false">IF(OR(Q1091="Cancelled",Q1091="Returned"),0,O1091)</f>
        <v>447.6</v>
      </c>
    </row>
    <row r="1092" customFormat="false" ht="15" hidden="false" customHeight="false" outlineLevel="0" collapsed="false">
      <c r="A1092" s="6" t="str">
        <f aca="false">Orders!A1092</f>
        <v>O001091</v>
      </c>
      <c r="B1092" s="19" t="n">
        <f aca="false">Orders!B1092</f>
        <v>45993</v>
      </c>
      <c r="C1092" s="6" t="str">
        <f aca="false">Orders!C1092</f>
        <v>C0053</v>
      </c>
      <c r="D1092" s="6" t="str">
        <f aca="false">Orders!D1092</f>
        <v>P1075</v>
      </c>
      <c r="E1092" s="6" t="str">
        <f aca="false">INDEX(Products!$B$2:$B$101,MATCH(D1092,Products!$A$2:$A$101,0))</f>
        <v>Ball Pen Set</v>
      </c>
      <c r="F1092" s="1" t="str">
        <f aca="false">INDEX(Products!$C$2:$C$101,MATCH(D1092,Products!$A$2:$A$101,0))</f>
        <v>Books &amp; Stationery</v>
      </c>
      <c r="G1092" s="6" t="n">
        <f aca="false">Orders!E1092</f>
        <v>3</v>
      </c>
      <c r="H1092" s="16" t="n">
        <f aca="false">INDEX(Products!$D$2:$D$101,MATCH(D1092,Products!$A$2:$A$101,0))</f>
        <v>199</v>
      </c>
      <c r="I1092" s="16" t="n">
        <f aca="false">INDEX(Products!$E$2:$E$101,MATCH(D1092,Products!$A$2:$A$101,0))</f>
        <v>65</v>
      </c>
      <c r="J1092" s="20" t="n">
        <f aca="false">Orders!F1092</f>
        <v>0.25</v>
      </c>
      <c r="K1092" s="6" t="n">
        <f aca="false">G1092*H1092</f>
        <v>597</v>
      </c>
      <c r="L1092" s="6" t="n">
        <f aca="false">K1092*J1092</f>
        <v>149.25</v>
      </c>
      <c r="M1092" s="6" t="n">
        <f aca="false">K1092-L1092</f>
        <v>447.75</v>
      </c>
      <c r="N1092" s="6" t="n">
        <f aca="false">G1092*I1092</f>
        <v>195</v>
      </c>
      <c r="O1092" s="6" t="n">
        <f aca="false">M1092-N1092</f>
        <v>252.75</v>
      </c>
      <c r="P1092" s="21" t="n">
        <f aca="false">IFERROR(O1092/M1092,0)</f>
        <v>0.564489112227806</v>
      </c>
      <c r="Q1092" s="6" t="str">
        <f aca="false">Orders!H1092</f>
        <v>Delivered</v>
      </c>
      <c r="R1092" s="1" t="str">
        <f aca="false">INDEX(Customers!$C$2:$C$301,MATCH(C1092,Customers!$A$2:$A$301,0))</f>
        <v>Kochi</v>
      </c>
      <c r="S1092" s="1" t="str">
        <f aca="false">INDEX(Customers!$E$2:$E$301,MATCH(C1092,Customers!$A$2:$A$301,0))</f>
        <v>Returning</v>
      </c>
      <c r="T1092" s="6" t="str">
        <f aca="false">Orders!I1092</f>
        <v>Mobile App</v>
      </c>
      <c r="U1092" s="1" t="str">
        <f aca="false">IF(Q1092="Delivered","Completed",IF(Q1092="Cancelled","Cancelled",IF(Q1092="Returned","Returned","In Progress")))</f>
        <v>Completed</v>
      </c>
      <c r="V1092" s="1" t="str">
        <f aca="false">IF(M1092&gt;=10000,"High Value",IF(M1092&gt;=5000,"Medium Value","Low Value"))</f>
        <v>Low Value</v>
      </c>
      <c r="W1092" s="1" t="str">
        <f aca="false">IF(O1092&gt;0,"Profitable",IF(O1092=0,"Break-even","Loss"))</f>
        <v>Profitable</v>
      </c>
      <c r="X1092" s="1" t="str">
        <f aca="false">IF(Q1092="Cancelled","Not Applicable",IF(Q1092="Processing","Pending",IF(B1092="","Unknown",IF(Orders!J1092="","Unknown",IF(Orders!J1092&lt;=3,"Fast",IF(Orders!J1092&lt;=6,"Standard","Slow"))))))</f>
        <v>Fast</v>
      </c>
      <c r="Y1092" s="1" t="n">
        <f aca="false">IF(OR(Q1092="Cancelled",Q1092="Returned"),0,O1092)</f>
        <v>252.75</v>
      </c>
    </row>
    <row r="1093" customFormat="false" ht="15" hidden="false" customHeight="false" outlineLevel="0" collapsed="false">
      <c r="A1093" s="6" t="str">
        <f aca="false">Orders!A1093</f>
        <v>O001092</v>
      </c>
      <c r="B1093" s="19" t="n">
        <f aca="false">Orders!B1093</f>
        <v>45696</v>
      </c>
      <c r="C1093" s="6" t="str">
        <f aca="false">Orders!C1093</f>
        <v>C0267</v>
      </c>
      <c r="D1093" s="6" t="str">
        <f aca="false">Orders!D1093</f>
        <v>P1045</v>
      </c>
      <c r="E1093" s="6" t="str">
        <f aca="false">INDEX(Products!$B$2:$B$101,MATCH(D1093,Products!$A$2:$A$101,0))</f>
        <v>Lunch Box</v>
      </c>
      <c r="F1093" s="1" t="str">
        <f aca="false">INDEX(Products!$C$2:$C$101,MATCH(D1093,Products!$A$2:$A$101,0))</f>
        <v>Home &amp; Kitchen</v>
      </c>
      <c r="G1093" s="6" t="n">
        <f aca="false">Orders!E1093</f>
        <v>1</v>
      </c>
      <c r="H1093" s="16" t="n">
        <f aca="false">INDEX(Products!$D$2:$D$101,MATCH(D1093,Products!$A$2:$A$101,0))</f>
        <v>449</v>
      </c>
      <c r="I1093" s="16" t="n">
        <f aca="false">INDEX(Products!$E$2:$E$101,MATCH(D1093,Products!$A$2:$A$101,0))</f>
        <v>180</v>
      </c>
      <c r="J1093" s="20" t="n">
        <f aca="false">Orders!F1093</f>
        <v>0.1</v>
      </c>
      <c r="K1093" s="6" t="n">
        <f aca="false">G1093*H1093</f>
        <v>449</v>
      </c>
      <c r="L1093" s="6" t="n">
        <f aca="false">K1093*J1093</f>
        <v>44.9</v>
      </c>
      <c r="M1093" s="6" t="n">
        <f aca="false">K1093-L1093</f>
        <v>404.1</v>
      </c>
      <c r="N1093" s="6" t="n">
        <f aca="false">G1093*I1093</f>
        <v>180</v>
      </c>
      <c r="O1093" s="6" t="n">
        <f aca="false">M1093-N1093</f>
        <v>224.1</v>
      </c>
      <c r="P1093" s="21" t="n">
        <f aca="false">IFERROR(O1093/M1093,0)</f>
        <v>0.55456570155902</v>
      </c>
      <c r="Q1093" s="6" t="str">
        <f aca="false">Orders!H1093</f>
        <v>Delivered</v>
      </c>
      <c r="R1093" s="1" t="str">
        <f aca="false">INDEX(Customers!$C$2:$C$301,MATCH(C1093,Customers!$A$2:$A$301,0))</f>
        <v>Pune</v>
      </c>
      <c r="S1093" s="1" t="str">
        <f aca="false">INDEX(Customers!$E$2:$E$301,MATCH(C1093,Customers!$A$2:$A$301,0))</f>
        <v>Returning</v>
      </c>
      <c r="T1093" s="6" t="str">
        <f aca="false">Orders!I1093</f>
        <v>Marketplace</v>
      </c>
      <c r="U1093" s="1" t="str">
        <f aca="false">IF(Q1093="Delivered","Completed",IF(Q1093="Cancelled","Cancelled",IF(Q1093="Returned","Returned","In Progress")))</f>
        <v>Completed</v>
      </c>
      <c r="V1093" s="1" t="str">
        <f aca="false">IF(M1093&gt;=10000,"High Value",IF(M1093&gt;=5000,"Medium Value","Low Value"))</f>
        <v>Low Value</v>
      </c>
      <c r="W1093" s="1" t="str">
        <f aca="false">IF(O1093&gt;0,"Profitable",IF(O1093=0,"Break-even","Loss"))</f>
        <v>Profitable</v>
      </c>
      <c r="X1093" s="1" t="str">
        <f aca="false">IF(Q1093="Cancelled","Not Applicable",IF(Q1093="Processing","Pending",IF(B1093="","Unknown",IF(Orders!J1093="","Unknown",IF(Orders!J1093&lt;=3,"Fast",IF(Orders!J1093&lt;=6,"Standard","Slow"))))))</f>
        <v>Standard</v>
      </c>
      <c r="Y1093" s="1" t="n">
        <f aca="false">IF(OR(Q1093="Cancelled",Q1093="Returned"),0,O1093)</f>
        <v>224.1</v>
      </c>
    </row>
    <row r="1094" customFormat="false" ht="23.85" hidden="false" customHeight="false" outlineLevel="0" collapsed="false">
      <c r="A1094" s="6" t="str">
        <f aca="false">Orders!A1094</f>
        <v>O001093</v>
      </c>
      <c r="B1094" s="19" t="n">
        <f aca="false">Orders!B1094</f>
        <v>45946</v>
      </c>
      <c r="C1094" s="6" t="str">
        <f aca="false">Orders!C1094</f>
        <v>C0124</v>
      </c>
      <c r="D1094" s="6" t="str">
        <f aca="false">Orders!D1094</f>
        <v>P1065</v>
      </c>
      <c r="E1094" s="6" t="str">
        <f aca="false">INDEX(Products!$B$2:$B$101,MATCH(D1094,Products!$A$2:$A$101,0))</f>
        <v>Badminton Racket</v>
      </c>
      <c r="F1094" s="1" t="str">
        <f aca="false">INDEX(Products!$C$2:$C$101,MATCH(D1094,Products!$A$2:$A$101,0))</f>
        <v>Sports &amp; Outdoors</v>
      </c>
      <c r="G1094" s="6" t="n">
        <f aca="false">Orders!E1094</f>
        <v>2</v>
      </c>
      <c r="H1094" s="16" t="n">
        <f aca="false">INDEX(Products!$D$2:$D$101,MATCH(D1094,Products!$A$2:$A$101,0))</f>
        <v>999</v>
      </c>
      <c r="I1094" s="16" t="n">
        <f aca="false">INDEX(Products!$E$2:$E$101,MATCH(D1094,Products!$A$2:$A$101,0))</f>
        <v>520</v>
      </c>
      <c r="J1094" s="20" t="n">
        <f aca="false">Orders!F1094</f>
        <v>0.2</v>
      </c>
      <c r="K1094" s="6" t="n">
        <f aca="false">G1094*H1094</f>
        <v>1998</v>
      </c>
      <c r="L1094" s="6" t="n">
        <f aca="false">K1094*J1094</f>
        <v>399.6</v>
      </c>
      <c r="M1094" s="6" t="n">
        <f aca="false">K1094-L1094</f>
        <v>1598.4</v>
      </c>
      <c r="N1094" s="6" t="n">
        <f aca="false">G1094*I1094</f>
        <v>1040</v>
      </c>
      <c r="O1094" s="6" t="n">
        <f aca="false">M1094-N1094</f>
        <v>558.4</v>
      </c>
      <c r="P1094" s="21" t="n">
        <f aca="false">IFERROR(O1094/M1094,0)</f>
        <v>0.349349349349349</v>
      </c>
      <c r="Q1094" s="6" t="str">
        <f aca="false">Orders!H1094</f>
        <v>Delivered</v>
      </c>
      <c r="R1094" s="1" t="str">
        <f aca="false">INDEX(Customers!$C$2:$C$301,MATCH(C1094,Customers!$A$2:$A$301,0))</f>
        <v>Hyderabad</v>
      </c>
      <c r="S1094" s="1" t="str">
        <f aca="false">INDEX(Customers!$E$2:$E$301,MATCH(C1094,Customers!$A$2:$A$301,0))</f>
        <v>Returning</v>
      </c>
      <c r="T1094" s="6" t="str">
        <f aca="false">Orders!I1094</f>
        <v>Mobile App</v>
      </c>
      <c r="U1094" s="1" t="str">
        <f aca="false">IF(Q1094="Delivered","Completed",IF(Q1094="Cancelled","Cancelled",IF(Q1094="Returned","Returned","In Progress")))</f>
        <v>Completed</v>
      </c>
      <c r="V1094" s="1" t="str">
        <f aca="false">IF(M1094&gt;=10000,"High Value",IF(M1094&gt;=5000,"Medium Value","Low Value"))</f>
        <v>Low Value</v>
      </c>
      <c r="W1094" s="1" t="str">
        <f aca="false">IF(O1094&gt;0,"Profitable",IF(O1094=0,"Break-even","Loss"))</f>
        <v>Profitable</v>
      </c>
      <c r="X1094" s="1" t="str">
        <f aca="false">IF(Q1094="Cancelled","Not Applicable",IF(Q1094="Processing","Pending",IF(B1094="","Unknown",IF(Orders!J1094="","Unknown",IF(Orders!J1094&lt;=3,"Fast",IF(Orders!J1094&lt;=6,"Standard","Slow"))))))</f>
        <v>Standard</v>
      </c>
      <c r="Y1094" s="1" t="n">
        <f aca="false">IF(OR(Q1094="Cancelled",Q1094="Returned"),0,O1094)</f>
        <v>558.4</v>
      </c>
    </row>
    <row r="1095" customFormat="false" ht="23.85" hidden="false" customHeight="false" outlineLevel="0" collapsed="false">
      <c r="A1095" s="6" t="str">
        <f aca="false">Orders!A1095</f>
        <v>O001094</v>
      </c>
      <c r="B1095" s="19" t="n">
        <f aca="false">Orders!B1095</f>
        <v>45715</v>
      </c>
      <c r="C1095" s="6" t="str">
        <f aca="false">Orders!C1095</f>
        <v>C0099</v>
      </c>
      <c r="D1095" s="6" t="str">
        <f aca="false">Orders!D1095</f>
        <v>P1002</v>
      </c>
      <c r="E1095" s="6" t="str">
        <f aca="false">INDEX(Products!$B$2:$B$101,MATCH(D1095,Products!$A$2:$A$101,0))</f>
        <v>Bluetooth Speaker</v>
      </c>
      <c r="F1095" s="1" t="str">
        <f aca="false">INDEX(Products!$C$2:$C$101,MATCH(D1095,Products!$A$2:$A$101,0))</f>
        <v>Electronics</v>
      </c>
      <c r="G1095" s="6" t="n">
        <f aca="false">Orders!E1095</f>
        <v>1</v>
      </c>
      <c r="H1095" s="16" t="n">
        <f aca="false">INDEX(Products!$D$2:$D$101,MATCH(D1095,Products!$A$2:$A$101,0))</f>
        <v>1499</v>
      </c>
      <c r="I1095" s="16" t="n">
        <f aca="false">INDEX(Products!$E$2:$E$101,MATCH(D1095,Products!$A$2:$A$101,0))</f>
        <v>850</v>
      </c>
      <c r="J1095" s="20" t="n">
        <f aca="false">Orders!F1095</f>
        <v>0.05</v>
      </c>
      <c r="K1095" s="6" t="n">
        <f aca="false">G1095*H1095</f>
        <v>1499</v>
      </c>
      <c r="L1095" s="6" t="n">
        <f aca="false">K1095*J1095</f>
        <v>74.95</v>
      </c>
      <c r="M1095" s="6" t="n">
        <f aca="false">K1095-L1095</f>
        <v>1424.05</v>
      </c>
      <c r="N1095" s="6" t="n">
        <f aca="false">G1095*I1095</f>
        <v>850</v>
      </c>
      <c r="O1095" s="6" t="n">
        <f aca="false">M1095-N1095</f>
        <v>574.05</v>
      </c>
      <c r="P1095" s="21" t="n">
        <f aca="false">IFERROR(O1095/M1095,0)</f>
        <v>0.403110845827043</v>
      </c>
      <c r="Q1095" s="6" t="str">
        <f aca="false">Orders!H1095</f>
        <v>Delivered</v>
      </c>
      <c r="R1095" s="1" t="str">
        <f aca="false">INDEX(Customers!$C$2:$C$301,MATCH(C1095,Customers!$A$2:$A$301,0))</f>
        <v>Coimbatore</v>
      </c>
      <c r="S1095" s="1" t="str">
        <f aca="false">INDEX(Customers!$E$2:$E$301,MATCH(C1095,Customers!$A$2:$A$301,0))</f>
        <v>VIP</v>
      </c>
      <c r="T1095" s="6" t="str">
        <f aca="false">Orders!I1095</f>
        <v>Mobile App</v>
      </c>
      <c r="U1095" s="1" t="str">
        <f aca="false">IF(Q1095="Delivered","Completed",IF(Q1095="Cancelled","Cancelled",IF(Q1095="Returned","Returned","In Progress")))</f>
        <v>Completed</v>
      </c>
      <c r="V1095" s="1" t="str">
        <f aca="false">IF(M1095&gt;=10000,"High Value",IF(M1095&gt;=5000,"Medium Value","Low Value"))</f>
        <v>Low Value</v>
      </c>
      <c r="W1095" s="1" t="str">
        <f aca="false">IF(O1095&gt;0,"Profitable",IF(O1095=0,"Break-even","Loss"))</f>
        <v>Profitable</v>
      </c>
      <c r="X1095" s="1" t="str">
        <f aca="false">IF(Q1095="Cancelled","Not Applicable",IF(Q1095="Processing","Pending",IF(B1095="","Unknown",IF(Orders!J1095="","Unknown",IF(Orders!J1095&lt;=3,"Fast",IF(Orders!J1095&lt;=6,"Standard","Slow"))))))</f>
        <v>Fast</v>
      </c>
      <c r="Y1095" s="1" t="n">
        <f aca="false">IF(OR(Q1095="Cancelled",Q1095="Returned"),0,O1095)</f>
        <v>574.05</v>
      </c>
    </row>
    <row r="1096" customFormat="false" ht="15" hidden="false" customHeight="false" outlineLevel="0" collapsed="false">
      <c r="A1096" s="6" t="str">
        <f aca="false">Orders!A1096</f>
        <v>O001095</v>
      </c>
      <c r="B1096" s="19" t="n">
        <f aca="false">Orders!B1096</f>
        <v>45773</v>
      </c>
      <c r="C1096" s="6" t="str">
        <f aca="false">Orders!C1096</f>
        <v>C0186</v>
      </c>
      <c r="D1096" s="6" t="str">
        <f aca="false">Orders!D1096</f>
        <v>P1040</v>
      </c>
      <c r="E1096" s="6" t="str">
        <f aca="false">INDEX(Products!$B$2:$B$101,MATCH(D1096,Products!$A$2:$A$101,0))</f>
        <v>Curtain Set</v>
      </c>
      <c r="F1096" s="1" t="str">
        <f aca="false">INDEX(Products!$C$2:$C$101,MATCH(D1096,Products!$A$2:$A$101,0))</f>
        <v>Home &amp; Kitchen</v>
      </c>
      <c r="G1096" s="6" t="n">
        <f aca="false">Orders!E1096</f>
        <v>1</v>
      </c>
      <c r="H1096" s="16" t="n">
        <f aca="false">INDEX(Products!$D$2:$D$101,MATCH(D1096,Products!$A$2:$A$101,0))</f>
        <v>1099</v>
      </c>
      <c r="I1096" s="16" t="n">
        <f aca="false">INDEX(Products!$E$2:$E$101,MATCH(D1096,Products!$A$2:$A$101,0))</f>
        <v>550</v>
      </c>
      <c r="J1096" s="20" t="n">
        <f aca="false">Orders!F1096</f>
        <v>0.2</v>
      </c>
      <c r="K1096" s="6" t="n">
        <f aca="false">G1096*H1096</f>
        <v>1099</v>
      </c>
      <c r="L1096" s="6" t="n">
        <f aca="false">K1096*J1096</f>
        <v>219.8</v>
      </c>
      <c r="M1096" s="6" t="n">
        <f aca="false">K1096-L1096</f>
        <v>879.2</v>
      </c>
      <c r="N1096" s="6" t="n">
        <f aca="false">G1096*I1096</f>
        <v>550</v>
      </c>
      <c r="O1096" s="6" t="n">
        <f aca="false">M1096-N1096</f>
        <v>329.2</v>
      </c>
      <c r="P1096" s="21" t="n">
        <f aca="false">IFERROR(O1096/M1096,0)</f>
        <v>0.374431301182894</v>
      </c>
      <c r="Q1096" s="6" t="str">
        <f aca="false">Orders!H1096</f>
        <v>Delivered</v>
      </c>
      <c r="R1096" s="1" t="str">
        <f aca="false">INDEX(Customers!$C$2:$C$301,MATCH(C1096,Customers!$A$2:$A$301,0))</f>
        <v>Kolkata</v>
      </c>
      <c r="S1096" s="1" t="str">
        <f aca="false">INDEX(Customers!$E$2:$E$301,MATCH(C1096,Customers!$A$2:$A$301,0))</f>
        <v>New</v>
      </c>
      <c r="T1096" s="6" t="str">
        <f aca="false">Orders!I1096</f>
        <v>Mobile App</v>
      </c>
      <c r="U1096" s="1" t="str">
        <f aca="false">IF(Q1096="Delivered","Completed",IF(Q1096="Cancelled","Cancelled",IF(Q1096="Returned","Returned","In Progress")))</f>
        <v>Completed</v>
      </c>
      <c r="V1096" s="1" t="str">
        <f aca="false">IF(M1096&gt;=10000,"High Value",IF(M1096&gt;=5000,"Medium Value","Low Value"))</f>
        <v>Low Value</v>
      </c>
      <c r="W1096" s="1" t="str">
        <f aca="false">IF(O1096&gt;0,"Profitable",IF(O1096=0,"Break-even","Loss"))</f>
        <v>Profitable</v>
      </c>
      <c r="X1096" s="1" t="str">
        <f aca="false">IF(Q1096="Cancelled","Not Applicable",IF(Q1096="Processing","Pending",IF(B1096="","Unknown",IF(Orders!J1096="","Unknown",IF(Orders!J1096&lt;=3,"Fast",IF(Orders!J1096&lt;=6,"Standard","Slow"))))))</f>
        <v>Fast</v>
      </c>
      <c r="Y1096" s="1" t="n">
        <f aca="false">IF(OR(Q1096="Cancelled",Q1096="Returned"),0,O1096)</f>
        <v>329.2</v>
      </c>
    </row>
    <row r="1097" customFormat="false" ht="15" hidden="false" customHeight="false" outlineLevel="0" collapsed="false">
      <c r="A1097" s="6" t="str">
        <f aca="false">Orders!A1097</f>
        <v>O001096</v>
      </c>
      <c r="B1097" s="19" t="n">
        <f aca="false">Orders!B1097</f>
        <v>45826</v>
      </c>
      <c r="C1097" s="6" t="str">
        <f aca="false">Orders!C1097</f>
        <v>C0166</v>
      </c>
      <c r="D1097" s="6" t="str">
        <f aca="false">Orders!D1097</f>
        <v>P1049</v>
      </c>
      <c r="E1097" s="6" t="str">
        <f aca="false">INDEX(Products!$B$2:$B$101,MATCH(D1097,Products!$A$2:$A$101,0))</f>
        <v>Face Cleanser</v>
      </c>
      <c r="F1097" s="1" t="str">
        <f aca="false">INDEX(Products!$C$2:$C$101,MATCH(D1097,Products!$A$2:$A$101,0))</f>
        <v>Beauty</v>
      </c>
      <c r="G1097" s="6" t="n">
        <f aca="false">Orders!E1097</f>
        <v>2</v>
      </c>
      <c r="H1097" s="16" t="n">
        <f aca="false">INDEX(Products!$D$2:$D$101,MATCH(D1097,Products!$A$2:$A$101,0))</f>
        <v>299</v>
      </c>
      <c r="I1097" s="16" t="n">
        <f aca="false">INDEX(Products!$E$2:$E$101,MATCH(D1097,Products!$A$2:$A$101,0))</f>
        <v>120</v>
      </c>
      <c r="J1097" s="20" t="n">
        <f aca="false">Orders!F1097</f>
        <v>0</v>
      </c>
      <c r="K1097" s="6" t="n">
        <f aca="false">G1097*H1097</f>
        <v>598</v>
      </c>
      <c r="L1097" s="6" t="n">
        <f aca="false">K1097*J1097</f>
        <v>0</v>
      </c>
      <c r="M1097" s="6" t="n">
        <f aca="false">K1097-L1097</f>
        <v>598</v>
      </c>
      <c r="N1097" s="6" t="n">
        <f aca="false">G1097*I1097</f>
        <v>240</v>
      </c>
      <c r="O1097" s="6" t="n">
        <f aca="false">M1097-N1097</f>
        <v>358</v>
      </c>
      <c r="P1097" s="21" t="n">
        <f aca="false">IFERROR(O1097/M1097,0)</f>
        <v>0.59866220735786</v>
      </c>
      <c r="Q1097" s="6" t="str">
        <f aca="false">Orders!H1097</f>
        <v>Delivered</v>
      </c>
      <c r="R1097" s="1" t="str">
        <f aca="false">INDEX(Customers!$C$2:$C$301,MATCH(C1097,Customers!$A$2:$A$301,0))</f>
        <v>Kolkata</v>
      </c>
      <c r="S1097" s="1" t="str">
        <f aca="false">INDEX(Customers!$E$2:$E$301,MATCH(C1097,Customers!$A$2:$A$301,0))</f>
        <v>New</v>
      </c>
      <c r="T1097" s="6" t="str">
        <f aca="false">Orders!I1097</f>
        <v>Mobile App</v>
      </c>
      <c r="U1097" s="1" t="str">
        <f aca="false">IF(Q1097="Delivered","Completed",IF(Q1097="Cancelled","Cancelled",IF(Q1097="Returned","Returned","In Progress")))</f>
        <v>Completed</v>
      </c>
      <c r="V1097" s="1" t="str">
        <f aca="false">IF(M1097&gt;=10000,"High Value",IF(M1097&gt;=5000,"Medium Value","Low Value"))</f>
        <v>Low Value</v>
      </c>
      <c r="W1097" s="1" t="str">
        <f aca="false">IF(O1097&gt;0,"Profitable",IF(O1097=0,"Break-even","Loss"))</f>
        <v>Profitable</v>
      </c>
      <c r="X1097" s="1" t="str">
        <f aca="false">IF(Q1097="Cancelled","Not Applicable",IF(Q1097="Processing","Pending",IF(B1097="","Unknown",IF(Orders!J1097="","Unknown",IF(Orders!J1097&lt;=3,"Fast",IF(Orders!J1097&lt;=6,"Standard","Slow"))))))</f>
        <v>Standard</v>
      </c>
      <c r="Y1097" s="1" t="n">
        <f aca="false">IF(OR(Q1097="Cancelled",Q1097="Returned"),0,O1097)</f>
        <v>358</v>
      </c>
    </row>
    <row r="1098" customFormat="false" ht="23.85" hidden="false" customHeight="false" outlineLevel="0" collapsed="false">
      <c r="A1098" s="6" t="str">
        <f aca="false">Orders!A1098</f>
        <v>O001097</v>
      </c>
      <c r="B1098" s="19" t="n">
        <f aca="false">Orders!B1098</f>
        <v>45746</v>
      </c>
      <c r="C1098" s="6" t="str">
        <f aca="false">Orders!C1098</f>
        <v>C0142</v>
      </c>
      <c r="D1098" s="6" t="str">
        <f aca="false">Orders!D1098</f>
        <v>P1012</v>
      </c>
      <c r="E1098" s="6" t="str">
        <f aca="false">INDEX(Products!$B$2:$B$101,MATCH(D1098,Products!$A$2:$A$101,0))</f>
        <v>Charging Adapter</v>
      </c>
      <c r="F1098" s="1" t="str">
        <f aca="false">INDEX(Products!$C$2:$C$101,MATCH(D1098,Products!$A$2:$A$101,0))</f>
        <v>Electronics</v>
      </c>
      <c r="G1098" s="6" t="n">
        <f aca="false">Orders!E1098</f>
        <v>2</v>
      </c>
      <c r="H1098" s="16" t="n">
        <f aca="false">INDEX(Products!$D$2:$D$101,MATCH(D1098,Products!$A$2:$A$101,0))</f>
        <v>599</v>
      </c>
      <c r="I1098" s="16" t="n">
        <f aca="false">INDEX(Products!$E$2:$E$101,MATCH(D1098,Products!$A$2:$A$101,0))</f>
        <v>260</v>
      </c>
      <c r="J1098" s="20" t="n">
        <f aca="false">Orders!F1098</f>
        <v>0.1</v>
      </c>
      <c r="K1098" s="6" t="n">
        <f aca="false">G1098*H1098</f>
        <v>1198</v>
      </c>
      <c r="L1098" s="6" t="n">
        <f aca="false">K1098*J1098</f>
        <v>119.8</v>
      </c>
      <c r="M1098" s="6" t="n">
        <f aca="false">K1098-L1098</f>
        <v>1078.2</v>
      </c>
      <c r="N1098" s="6" t="n">
        <f aca="false">G1098*I1098</f>
        <v>520</v>
      </c>
      <c r="O1098" s="6" t="n">
        <f aca="false">M1098-N1098</f>
        <v>558.2</v>
      </c>
      <c r="P1098" s="21" t="n">
        <f aca="false">IFERROR(O1098/M1098,0)</f>
        <v>0.517714709701354</v>
      </c>
      <c r="Q1098" s="6" t="str">
        <f aca="false">Orders!H1098</f>
        <v>Delivered</v>
      </c>
      <c r="R1098" s="1" t="str">
        <f aca="false">INDEX(Customers!$C$2:$C$301,MATCH(C1098,Customers!$A$2:$A$301,0))</f>
        <v>Mumbai</v>
      </c>
      <c r="S1098" s="1" t="str">
        <f aca="false">INDEX(Customers!$E$2:$E$301,MATCH(C1098,Customers!$A$2:$A$301,0))</f>
        <v>VIP</v>
      </c>
      <c r="T1098" s="6" t="str">
        <f aca="false">Orders!I1098</f>
        <v>Marketplace</v>
      </c>
      <c r="U1098" s="1" t="str">
        <f aca="false">IF(Q1098="Delivered","Completed",IF(Q1098="Cancelled","Cancelled",IF(Q1098="Returned","Returned","In Progress")))</f>
        <v>Completed</v>
      </c>
      <c r="V1098" s="1" t="str">
        <f aca="false">IF(M1098&gt;=10000,"High Value",IF(M1098&gt;=5000,"Medium Value","Low Value"))</f>
        <v>Low Value</v>
      </c>
      <c r="W1098" s="1" t="str">
        <f aca="false">IF(O1098&gt;0,"Profitable",IF(O1098=0,"Break-even","Loss"))</f>
        <v>Profitable</v>
      </c>
      <c r="X1098" s="1" t="str">
        <f aca="false">IF(Q1098="Cancelled","Not Applicable",IF(Q1098="Processing","Pending",IF(B1098="","Unknown",IF(Orders!J1098="","Unknown",IF(Orders!J1098&lt;=3,"Fast",IF(Orders!J1098&lt;=6,"Standard","Slow"))))))</f>
        <v>Standard</v>
      </c>
      <c r="Y1098" s="1" t="n">
        <f aca="false">IF(OR(Q1098="Cancelled",Q1098="Returned"),0,O1098)</f>
        <v>558.2</v>
      </c>
    </row>
    <row r="1099" customFormat="false" ht="15" hidden="false" customHeight="false" outlineLevel="0" collapsed="false">
      <c r="A1099" s="6" t="str">
        <f aca="false">Orders!A1099</f>
        <v>O001098</v>
      </c>
      <c r="B1099" s="19" t="n">
        <f aca="false">Orders!B1099</f>
        <v>45824</v>
      </c>
      <c r="C1099" s="6" t="str">
        <f aca="false">Orders!C1099</f>
        <v>C0173</v>
      </c>
      <c r="D1099" s="6" t="str">
        <f aca="false">Orders!D1099</f>
        <v>P1026</v>
      </c>
      <c r="E1099" s="6" t="str">
        <f aca="false">INDEX(Products!$B$2:$B$101,MATCH(D1099,Products!$A$2:$A$101,0))</f>
        <v>Sunglasses</v>
      </c>
      <c r="F1099" s="1" t="str">
        <f aca="false">INDEX(Products!$C$2:$C$101,MATCH(D1099,Products!$A$2:$A$101,0))</f>
        <v>Fashion</v>
      </c>
      <c r="G1099" s="6" t="n">
        <f aca="false">Orders!E1099</f>
        <v>1</v>
      </c>
      <c r="H1099" s="16" t="n">
        <f aca="false">INDEX(Products!$D$2:$D$101,MATCH(D1099,Products!$A$2:$A$101,0))</f>
        <v>799</v>
      </c>
      <c r="I1099" s="16" t="n">
        <f aca="false">INDEX(Products!$E$2:$E$101,MATCH(D1099,Products!$A$2:$A$101,0))</f>
        <v>300</v>
      </c>
      <c r="J1099" s="20" t="n">
        <f aca="false">Orders!F1099</f>
        <v>0.1</v>
      </c>
      <c r="K1099" s="6" t="n">
        <f aca="false">G1099*H1099</f>
        <v>799</v>
      </c>
      <c r="L1099" s="6" t="n">
        <f aca="false">K1099*J1099</f>
        <v>79.9</v>
      </c>
      <c r="M1099" s="6" t="n">
        <f aca="false">K1099-L1099</f>
        <v>719.1</v>
      </c>
      <c r="N1099" s="6" t="n">
        <f aca="false">G1099*I1099</f>
        <v>300</v>
      </c>
      <c r="O1099" s="6" t="n">
        <f aca="false">M1099-N1099</f>
        <v>419.1</v>
      </c>
      <c r="P1099" s="21" t="n">
        <f aca="false">IFERROR(O1099/M1099,0)</f>
        <v>0.582811848143513</v>
      </c>
      <c r="Q1099" s="6" t="str">
        <f aca="false">Orders!H1099</f>
        <v>Cancelled</v>
      </c>
      <c r="R1099" s="1" t="str">
        <f aca="false">INDEX(Customers!$C$2:$C$301,MATCH(C1099,Customers!$A$2:$A$301,0))</f>
        <v>Kochi</v>
      </c>
      <c r="S1099" s="1" t="str">
        <f aca="false">INDEX(Customers!$E$2:$E$301,MATCH(C1099,Customers!$A$2:$A$301,0))</f>
        <v>New</v>
      </c>
      <c r="T1099" s="6" t="str">
        <f aca="false">Orders!I1099</f>
        <v>Marketplace</v>
      </c>
      <c r="U1099" s="1" t="str">
        <f aca="false">IF(Q1099="Delivered","Completed",IF(Q1099="Cancelled","Cancelled",IF(Q1099="Returned","Returned","In Progress")))</f>
        <v>Cancelled</v>
      </c>
      <c r="V1099" s="1" t="str">
        <f aca="false">IF(M1099&gt;=10000,"High Value",IF(M1099&gt;=5000,"Medium Value","Low Value"))</f>
        <v>Low Value</v>
      </c>
      <c r="W1099" s="1" t="str">
        <f aca="false">IF(O1099&gt;0,"Profitable",IF(O1099=0,"Break-even","Loss"))</f>
        <v>Profitable</v>
      </c>
      <c r="X1099" s="1" t="str">
        <f aca="false">IF(Q1099="Cancelled","Not Applicable",IF(Q1099="Processing","Pending",IF(B1099="","Unknown",IF(Orders!J1099="","Unknown",IF(Orders!J1099&lt;=3,"Fast",IF(Orders!J1099&lt;=6,"Standard","Slow"))))))</f>
        <v>Not Applicable</v>
      </c>
      <c r="Y1099" s="1" t="n">
        <f aca="false">IF(OR(Q1099="Cancelled",Q1099="Returned"),0,O1099)</f>
        <v>0</v>
      </c>
    </row>
    <row r="1100" customFormat="false" ht="15" hidden="false" customHeight="false" outlineLevel="0" collapsed="false">
      <c r="A1100" s="6" t="str">
        <f aca="false">Orders!A1100</f>
        <v>O001099</v>
      </c>
      <c r="B1100" s="19" t="n">
        <f aca="false">Orders!B1100</f>
        <v>45979</v>
      </c>
      <c r="C1100" s="6" t="str">
        <f aca="false">Orders!C1100</f>
        <v>C0134</v>
      </c>
      <c r="D1100" s="6" t="str">
        <f aca="false">Orders!D1100</f>
        <v>P1009</v>
      </c>
      <c r="E1100" s="6" t="str">
        <f aca="false">INDEX(Products!$B$2:$B$101,MATCH(D1100,Products!$A$2:$A$101,0))</f>
        <v>Laptop Sleeve</v>
      </c>
      <c r="F1100" s="1" t="str">
        <f aca="false">INDEX(Products!$C$2:$C$101,MATCH(D1100,Products!$A$2:$A$101,0))</f>
        <v>Electronics</v>
      </c>
      <c r="G1100" s="6" t="n">
        <f aca="false">Orders!E1100</f>
        <v>1</v>
      </c>
      <c r="H1100" s="16" t="n">
        <f aca="false">INDEX(Products!$D$2:$D$101,MATCH(D1100,Products!$A$2:$A$101,0))</f>
        <v>799</v>
      </c>
      <c r="I1100" s="16" t="n">
        <f aca="false">INDEX(Products!$E$2:$E$101,MATCH(D1100,Products!$A$2:$A$101,0))</f>
        <v>350</v>
      </c>
      <c r="J1100" s="20" t="n">
        <f aca="false">Orders!F1100</f>
        <v>0.15</v>
      </c>
      <c r="K1100" s="6" t="n">
        <f aca="false">G1100*H1100</f>
        <v>799</v>
      </c>
      <c r="L1100" s="6" t="n">
        <f aca="false">K1100*J1100</f>
        <v>119.85</v>
      </c>
      <c r="M1100" s="6" t="n">
        <f aca="false">K1100-L1100</f>
        <v>679.15</v>
      </c>
      <c r="N1100" s="6" t="n">
        <f aca="false">G1100*I1100</f>
        <v>350</v>
      </c>
      <c r="O1100" s="6" t="n">
        <f aca="false">M1100-N1100</f>
        <v>329.15</v>
      </c>
      <c r="P1100" s="21" t="n">
        <f aca="false">IFERROR(O1100/M1100,0)</f>
        <v>0.484649930059633</v>
      </c>
      <c r="Q1100" s="6" t="str">
        <f aca="false">Orders!H1100</f>
        <v>Delivered</v>
      </c>
      <c r="R1100" s="1" t="str">
        <f aca="false">INDEX(Customers!$C$2:$C$301,MATCH(C1100,Customers!$A$2:$A$301,0))</f>
        <v>Indore</v>
      </c>
      <c r="S1100" s="1" t="str">
        <f aca="false">INDEX(Customers!$E$2:$E$301,MATCH(C1100,Customers!$A$2:$A$301,0))</f>
        <v>New</v>
      </c>
      <c r="T1100" s="6" t="str">
        <f aca="false">Orders!I1100</f>
        <v>Marketplace</v>
      </c>
      <c r="U1100" s="1" t="str">
        <f aca="false">IF(Q1100="Delivered","Completed",IF(Q1100="Cancelled","Cancelled",IF(Q1100="Returned","Returned","In Progress")))</f>
        <v>Completed</v>
      </c>
      <c r="V1100" s="1" t="str">
        <f aca="false">IF(M1100&gt;=10000,"High Value",IF(M1100&gt;=5000,"Medium Value","Low Value"))</f>
        <v>Low Value</v>
      </c>
      <c r="W1100" s="1" t="str">
        <f aca="false">IF(O1100&gt;0,"Profitable",IF(O1100=0,"Break-even","Loss"))</f>
        <v>Profitable</v>
      </c>
      <c r="X1100" s="1" t="str">
        <f aca="false">IF(Q1100="Cancelled","Not Applicable",IF(Q1100="Processing","Pending",IF(B1100="","Unknown",IF(Orders!J1100="","Unknown",IF(Orders!J1100&lt;=3,"Fast",IF(Orders!J1100&lt;=6,"Standard","Slow"))))))</f>
        <v>Standard</v>
      </c>
      <c r="Y1100" s="1" t="n">
        <f aca="false">IF(OR(Q1100="Cancelled",Q1100="Returned"),0,O1100)</f>
        <v>329.15</v>
      </c>
    </row>
    <row r="1101" customFormat="false" ht="15" hidden="false" customHeight="false" outlineLevel="0" collapsed="false">
      <c r="A1101" s="6" t="str">
        <f aca="false">Orders!A1101</f>
        <v>O001100</v>
      </c>
      <c r="B1101" s="19" t="n">
        <f aca="false">Orders!B1101</f>
        <v>45695</v>
      </c>
      <c r="C1101" s="6" t="str">
        <f aca="false">Orders!C1101</f>
        <v>C0253</v>
      </c>
      <c r="D1101" s="6" t="str">
        <f aca="false">Orders!D1101</f>
        <v>P1039</v>
      </c>
      <c r="E1101" s="6" t="str">
        <f aca="false">INDEX(Products!$B$2:$B$101,MATCH(D1101,Products!$A$2:$A$101,0))</f>
        <v>Wall Clock</v>
      </c>
      <c r="F1101" s="1" t="str">
        <f aca="false">INDEX(Products!$C$2:$C$101,MATCH(D1101,Products!$A$2:$A$101,0))</f>
        <v>Home &amp; Kitchen</v>
      </c>
      <c r="G1101" s="6" t="n">
        <f aca="false">Orders!E1101</f>
        <v>1</v>
      </c>
      <c r="H1101" s="16" t="n">
        <f aca="false">INDEX(Products!$D$2:$D$101,MATCH(D1101,Products!$A$2:$A$101,0))</f>
        <v>699</v>
      </c>
      <c r="I1101" s="16" t="n">
        <f aca="false">INDEX(Products!$E$2:$E$101,MATCH(D1101,Products!$A$2:$A$101,0))</f>
        <v>300</v>
      </c>
      <c r="J1101" s="20" t="n">
        <f aca="false">Orders!F1101</f>
        <v>0.05</v>
      </c>
      <c r="K1101" s="6" t="n">
        <f aca="false">G1101*H1101</f>
        <v>699</v>
      </c>
      <c r="L1101" s="6" t="n">
        <f aca="false">K1101*J1101</f>
        <v>34.95</v>
      </c>
      <c r="M1101" s="6" t="n">
        <f aca="false">K1101-L1101</f>
        <v>664.05</v>
      </c>
      <c r="N1101" s="6" t="n">
        <f aca="false">G1101*I1101</f>
        <v>300</v>
      </c>
      <c r="O1101" s="6" t="n">
        <f aca="false">M1101-N1101</f>
        <v>364.05</v>
      </c>
      <c r="P1101" s="21" t="n">
        <f aca="false">IFERROR(O1101/M1101,0)</f>
        <v>0.548226790151344</v>
      </c>
      <c r="Q1101" s="6" t="str">
        <f aca="false">Orders!H1101</f>
        <v>Delivered</v>
      </c>
      <c r="R1101" s="1" t="str">
        <f aca="false">INDEX(Customers!$C$2:$C$301,MATCH(C1101,Customers!$A$2:$A$301,0))</f>
        <v>Kochi</v>
      </c>
      <c r="S1101" s="1" t="str">
        <f aca="false">INDEX(Customers!$E$2:$E$301,MATCH(C1101,Customers!$A$2:$A$301,0))</f>
        <v>New</v>
      </c>
      <c r="T1101" s="6" t="str">
        <f aca="false">Orders!I1101</f>
        <v>Mobile App</v>
      </c>
      <c r="U1101" s="1" t="str">
        <f aca="false">IF(Q1101="Delivered","Completed",IF(Q1101="Cancelled","Cancelled",IF(Q1101="Returned","Returned","In Progress")))</f>
        <v>Completed</v>
      </c>
      <c r="V1101" s="1" t="str">
        <f aca="false">IF(M1101&gt;=10000,"High Value",IF(M1101&gt;=5000,"Medium Value","Low Value"))</f>
        <v>Low Value</v>
      </c>
      <c r="W1101" s="1" t="str">
        <f aca="false">IF(O1101&gt;0,"Profitable",IF(O1101=0,"Break-even","Loss"))</f>
        <v>Profitable</v>
      </c>
      <c r="X1101" s="1" t="str">
        <f aca="false">IF(Q1101="Cancelled","Not Applicable",IF(Q1101="Processing","Pending",IF(B1101="","Unknown",IF(Orders!J1101="","Unknown",IF(Orders!J1101&lt;=3,"Fast",IF(Orders!J1101&lt;=6,"Standard","Slow"))))))</f>
        <v>Slow</v>
      </c>
      <c r="Y1101" s="1" t="n">
        <f aca="false">IF(OR(Q1101="Cancelled",Q1101="Returned"),0,O1101)</f>
        <v>364.05</v>
      </c>
    </row>
    <row r="1102" customFormat="false" ht="15" hidden="false" customHeight="false" outlineLevel="0" collapsed="false">
      <c r="A1102" s="6" t="str">
        <f aca="false">Orders!A1102</f>
        <v>O001101</v>
      </c>
      <c r="B1102" s="19" t="n">
        <f aca="false">Orders!B1102</f>
        <v>45956</v>
      </c>
      <c r="C1102" s="6" t="str">
        <f aca="false">Orders!C1102</f>
        <v>C0183</v>
      </c>
      <c r="D1102" s="6" t="str">
        <f aca="false">Orders!D1102</f>
        <v>P1063</v>
      </c>
      <c r="E1102" s="6" t="str">
        <f aca="false">INDEX(Products!$B$2:$B$101,MATCH(D1102,Products!$A$2:$A$101,0))</f>
        <v>Cricket Bat</v>
      </c>
      <c r="F1102" s="1" t="str">
        <f aca="false">INDEX(Products!$C$2:$C$101,MATCH(D1102,Products!$A$2:$A$101,0))</f>
        <v>Sports &amp; Outdoors</v>
      </c>
      <c r="G1102" s="6" t="n">
        <f aca="false">Orders!E1102</f>
        <v>2</v>
      </c>
      <c r="H1102" s="16" t="n">
        <f aca="false">INDEX(Products!$D$2:$D$101,MATCH(D1102,Products!$A$2:$A$101,0))</f>
        <v>1499</v>
      </c>
      <c r="I1102" s="16" t="n">
        <f aca="false">INDEX(Products!$E$2:$E$101,MATCH(D1102,Products!$A$2:$A$101,0))</f>
        <v>800</v>
      </c>
      <c r="J1102" s="20" t="n">
        <f aca="false">Orders!F1102</f>
        <v>0.1</v>
      </c>
      <c r="K1102" s="6" t="n">
        <f aca="false">G1102*H1102</f>
        <v>2998</v>
      </c>
      <c r="L1102" s="6" t="n">
        <f aca="false">K1102*J1102</f>
        <v>299.8</v>
      </c>
      <c r="M1102" s="6" t="n">
        <f aca="false">K1102-L1102</f>
        <v>2698.2</v>
      </c>
      <c r="N1102" s="6" t="n">
        <f aca="false">G1102*I1102</f>
        <v>1600</v>
      </c>
      <c r="O1102" s="6" t="n">
        <f aca="false">M1102-N1102</f>
        <v>1098.2</v>
      </c>
      <c r="P1102" s="21" t="n">
        <f aca="false">IFERROR(O1102/M1102,0)</f>
        <v>0.407012082128827</v>
      </c>
      <c r="Q1102" s="6" t="str">
        <f aca="false">Orders!H1102</f>
        <v>Delivered</v>
      </c>
      <c r="R1102" s="1" t="str">
        <f aca="false">INDEX(Customers!$C$2:$C$301,MATCH(C1102,Customers!$A$2:$A$301,0))</f>
        <v>Bengaluru</v>
      </c>
      <c r="S1102" s="1" t="str">
        <f aca="false">INDEX(Customers!$E$2:$E$301,MATCH(C1102,Customers!$A$2:$A$301,0))</f>
        <v>New</v>
      </c>
      <c r="T1102" s="6" t="str">
        <f aca="false">Orders!I1102</f>
        <v>Website</v>
      </c>
      <c r="U1102" s="1" t="str">
        <f aca="false">IF(Q1102="Delivered","Completed",IF(Q1102="Cancelled","Cancelled",IF(Q1102="Returned","Returned","In Progress")))</f>
        <v>Completed</v>
      </c>
      <c r="V1102" s="1" t="str">
        <f aca="false">IF(M1102&gt;=10000,"High Value",IF(M1102&gt;=5000,"Medium Value","Low Value"))</f>
        <v>Low Value</v>
      </c>
      <c r="W1102" s="1" t="str">
        <f aca="false">IF(O1102&gt;0,"Profitable",IF(O1102=0,"Break-even","Loss"))</f>
        <v>Profitable</v>
      </c>
      <c r="X1102" s="1" t="str">
        <f aca="false">IF(Q1102="Cancelled","Not Applicable",IF(Q1102="Processing","Pending",IF(B1102="","Unknown",IF(Orders!J1102="","Unknown",IF(Orders!J1102&lt;=3,"Fast",IF(Orders!J1102&lt;=6,"Standard","Slow"))))))</f>
        <v>Fast</v>
      </c>
      <c r="Y1102" s="1" t="n">
        <f aca="false">IF(OR(Q1102="Cancelled",Q1102="Returned"),0,O1102)</f>
        <v>1098.2</v>
      </c>
    </row>
    <row r="1103" customFormat="false" ht="15" hidden="false" customHeight="false" outlineLevel="0" collapsed="false">
      <c r="A1103" s="6" t="str">
        <f aca="false">Orders!A1103</f>
        <v>O001102</v>
      </c>
      <c r="B1103" s="19" t="n">
        <f aca="false">Orders!B1103</f>
        <v>45853</v>
      </c>
      <c r="C1103" s="6" t="str">
        <f aca="false">Orders!C1103</f>
        <v>C0020</v>
      </c>
      <c r="D1103" s="6" t="str">
        <f aca="false">Orders!D1103</f>
        <v>P1082</v>
      </c>
      <c r="E1103" s="6" t="str">
        <f aca="false">INDEX(Products!$B$2:$B$101,MATCH(D1103,Products!$A$2:$A$101,0))</f>
        <v>File Folder Set</v>
      </c>
      <c r="F1103" s="1" t="str">
        <f aca="false">INDEX(Products!$C$2:$C$101,MATCH(D1103,Products!$A$2:$A$101,0))</f>
        <v>Books &amp; Stationery</v>
      </c>
      <c r="G1103" s="6" t="n">
        <f aca="false">Orders!E1103</f>
        <v>4</v>
      </c>
      <c r="H1103" s="16" t="n">
        <f aca="false">INDEX(Products!$D$2:$D$101,MATCH(D1103,Products!$A$2:$A$101,0))</f>
        <v>249</v>
      </c>
      <c r="I1103" s="16" t="n">
        <f aca="false">INDEX(Products!$E$2:$E$101,MATCH(D1103,Products!$A$2:$A$101,0))</f>
        <v>90</v>
      </c>
      <c r="J1103" s="20" t="n">
        <f aca="false">Orders!F1103</f>
        <v>0.1</v>
      </c>
      <c r="K1103" s="6" t="n">
        <f aca="false">G1103*H1103</f>
        <v>996</v>
      </c>
      <c r="L1103" s="6" t="n">
        <f aca="false">K1103*J1103</f>
        <v>99.6</v>
      </c>
      <c r="M1103" s="6" t="n">
        <f aca="false">K1103-L1103</f>
        <v>896.4</v>
      </c>
      <c r="N1103" s="6" t="n">
        <f aca="false">G1103*I1103</f>
        <v>360</v>
      </c>
      <c r="O1103" s="6" t="n">
        <f aca="false">M1103-N1103</f>
        <v>536.4</v>
      </c>
      <c r="P1103" s="21" t="n">
        <f aca="false">IFERROR(O1103/M1103,0)</f>
        <v>0.598393574297189</v>
      </c>
      <c r="Q1103" s="6" t="str">
        <f aca="false">Orders!H1103</f>
        <v>Delivered</v>
      </c>
      <c r="R1103" s="1" t="str">
        <f aca="false">INDEX(Customers!$C$2:$C$301,MATCH(C1103,Customers!$A$2:$A$301,0))</f>
        <v>Visakhapatnam</v>
      </c>
      <c r="S1103" s="1" t="str">
        <f aca="false">INDEX(Customers!$E$2:$E$301,MATCH(C1103,Customers!$A$2:$A$301,0))</f>
        <v>Returning</v>
      </c>
      <c r="T1103" s="6" t="str">
        <f aca="false">Orders!I1103</f>
        <v>Mobile App</v>
      </c>
      <c r="U1103" s="1" t="str">
        <f aca="false">IF(Q1103="Delivered","Completed",IF(Q1103="Cancelled","Cancelled",IF(Q1103="Returned","Returned","In Progress")))</f>
        <v>Completed</v>
      </c>
      <c r="V1103" s="1" t="str">
        <f aca="false">IF(M1103&gt;=10000,"High Value",IF(M1103&gt;=5000,"Medium Value","Low Value"))</f>
        <v>Low Value</v>
      </c>
      <c r="W1103" s="1" t="str">
        <f aca="false">IF(O1103&gt;0,"Profitable",IF(O1103=0,"Break-even","Loss"))</f>
        <v>Profitable</v>
      </c>
      <c r="X1103" s="1" t="str">
        <f aca="false">IF(Q1103="Cancelled","Not Applicable",IF(Q1103="Processing","Pending",IF(B1103="","Unknown",IF(Orders!J1103="","Unknown",IF(Orders!J1103&lt;=3,"Fast",IF(Orders!J1103&lt;=6,"Standard","Slow"))))))</f>
        <v>Standard</v>
      </c>
      <c r="Y1103" s="1" t="n">
        <f aca="false">IF(OR(Q1103="Cancelled",Q1103="Returned"),0,O1103)</f>
        <v>536.4</v>
      </c>
    </row>
    <row r="1104" customFormat="false" ht="15" hidden="false" customHeight="false" outlineLevel="0" collapsed="false">
      <c r="A1104" s="6" t="str">
        <f aca="false">Orders!A1104</f>
        <v>O001103</v>
      </c>
      <c r="B1104" s="19" t="n">
        <f aca="false">Orders!B1104</f>
        <v>45985</v>
      </c>
      <c r="C1104" s="6" t="str">
        <f aca="false">Orders!C1104</f>
        <v>C0183</v>
      </c>
      <c r="D1104" s="6" t="str">
        <f aca="false">Orders!D1104</f>
        <v>P1098</v>
      </c>
      <c r="E1104" s="6" t="str">
        <f aca="false">INDEX(Products!$B$2:$B$101,MATCH(D1104,Products!$A$2:$A$101,0))</f>
        <v>Steam Iron</v>
      </c>
      <c r="F1104" s="1" t="str">
        <f aca="false">INDEX(Products!$C$2:$C$101,MATCH(D1104,Products!$A$2:$A$101,0))</f>
        <v>Appliances</v>
      </c>
      <c r="G1104" s="6" t="n">
        <f aca="false">Orders!E1104</f>
        <v>1</v>
      </c>
      <c r="H1104" s="16" t="n">
        <f aca="false">INDEX(Products!$D$2:$D$101,MATCH(D1104,Products!$A$2:$A$101,0))</f>
        <v>999</v>
      </c>
      <c r="I1104" s="16" t="n">
        <f aca="false">INDEX(Products!$E$2:$E$101,MATCH(D1104,Products!$A$2:$A$101,0))</f>
        <v>550</v>
      </c>
      <c r="J1104" s="20" t="n">
        <f aca="false">Orders!F1104</f>
        <v>0.05</v>
      </c>
      <c r="K1104" s="6" t="n">
        <f aca="false">G1104*H1104</f>
        <v>999</v>
      </c>
      <c r="L1104" s="6" t="n">
        <f aca="false">K1104*J1104</f>
        <v>49.95</v>
      </c>
      <c r="M1104" s="6" t="n">
        <f aca="false">K1104-L1104</f>
        <v>949.05</v>
      </c>
      <c r="N1104" s="6" t="n">
        <f aca="false">G1104*I1104</f>
        <v>550</v>
      </c>
      <c r="O1104" s="6" t="n">
        <f aca="false">M1104-N1104</f>
        <v>399.05</v>
      </c>
      <c r="P1104" s="21" t="n">
        <f aca="false">IFERROR(O1104/M1104,0)</f>
        <v>0.420473104683631</v>
      </c>
      <c r="Q1104" s="6" t="str">
        <f aca="false">Orders!H1104</f>
        <v>Delivered</v>
      </c>
      <c r="R1104" s="1" t="str">
        <f aca="false">INDEX(Customers!$C$2:$C$301,MATCH(C1104,Customers!$A$2:$A$301,0))</f>
        <v>Bengaluru</v>
      </c>
      <c r="S1104" s="1" t="str">
        <f aca="false">INDEX(Customers!$E$2:$E$301,MATCH(C1104,Customers!$A$2:$A$301,0))</f>
        <v>New</v>
      </c>
      <c r="T1104" s="6" t="str">
        <f aca="false">Orders!I1104</f>
        <v>Mobile App</v>
      </c>
      <c r="U1104" s="1" t="str">
        <f aca="false">IF(Q1104="Delivered","Completed",IF(Q1104="Cancelled","Cancelled",IF(Q1104="Returned","Returned","In Progress")))</f>
        <v>Completed</v>
      </c>
      <c r="V1104" s="1" t="str">
        <f aca="false">IF(M1104&gt;=10000,"High Value",IF(M1104&gt;=5000,"Medium Value","Low Value"))</f>
        <v>Low Value</v>
      </c>
      <c r="W1104" s="1" t="str">
        <f aca="false">IF(O1104&gt;0,"Profitable",IF(O1104=0,"Break-even","Loss"))</f>
        <v>Profitable</v>
      </c>
      <c r="X1104" s="1" t="str">
        <f aca="false">IF(Q1104="Cancelled","Not Applicable",IF(Q1104="Processing","Pending",IF(B1104="","Unknown",IF(Orders!J1104="","Unknown",IF(Orders!J1104&lt;=3,"Fast",IF(Orders!J1104&lt;=6,"Standard","Slow"))))))</f>
        <v>Slow</v>
      </c>
      <c r="Y1104" s="1" t="n">
        <f aca="false">IF(OR(Q1104="Cancelled",Q1104="Returned"),0,O1104)</f>
        <v>399.05</v>
      </c>
    </row>
    <row r="1105" customFormat="false" ht="15" hidden="false" customHeight="false" outlineLevel="0" collapsed="false">
      <c r="A1105" s="6" t="str">
        <f aca="false">Orders!A1105</f>
        <v>O001104</v>
      </c>
      <c r="B1105" s="19" t="n">
        <f aca="false">Orders!B1105</f>
        <v>45871</v>
      </c>
      <c r="C1105" s="6" t="str">
        <f aca="false">Orders!C1105</f>
        <v>C0153</v>
      </c>
      <c r="D1105" s="6" t="str">
        <f aca="false">Orders!D1105</f>
        <v>P1042</v>
      </c>
      <c r="E1105" s="6" t="str">
        <f aca="false">INDEX(Products!$B$2:$B$101,MATCH(D1105,Products!$A$2:$A$101,0))</f>
        <v>Bath Towel Set</v>
      </c>
      <c r="F1105" s="1" t="str">
        <f aca="false">INDEX(Products!$C$2:$C$101,MATCH(D1105,Products!$A$2:$A$101,0))</f>
        <v>Home &amp; Kitchen</v>
      </c>
      <c r="G1105" s="6" t="n">
        <f aca="false">Orders!E1105</f>
        <v>3</v>
      </c>
      <c r="H1105" s="16" t="n">
        <f aca="false">INDEX(Products!$D$2:$D$101,MATCH(D1105,Products!$A$2:$A$101,0))</f>
        <v>799</v>
      </c>
      <c r="I1105" s="16" t="n">
        <f aca="false">INDEX(Products!$E$2:$E$101,MATCH(D1105,Products!$A$2:$A$101,0))</f>
        <v>360</v>
      </c>
      <c r="J1105" s="20" t="n">
        <f aca="false">Orders!F1105</f>
        <v>0.25</v>
      </c>
      <c r="K1105" s="6" t="n">
        <f aca="false">G1105*H1105</f>
        <v>2397</v>
      </c>
      <c r="L1105" s="6" t="n">
        <f aca="false">K1105*J1105</f>
        <v>599.25</v>
      </c>
      <c r="M1105" s="6" t="n">
        <f aca="false">K1105-L1105</f>
        <v>1797.75</v>
      </c>
      <c r="N1105" s="6" t="n">
        <f aca="false">G1105*I1105</f>
        <v>1080</v>
      </c>
      <c r="O1105" s="6" t="n">
        <f aca="false">M1105-N1105</f>
        <v>717.75</v>
      </c>
      <c r="P1105" s="21" t="n">
        <f aca="false">IFERROR(O1105/M1105,0)</f>
        <v>0.399249061326658</v>
      </c>
      <c r="Q1105" s="6" t="str">
        <f aca="false">Orders!H1105</f>
        <v>Delivered</v>
      </c>
      <c r="R1105" s="1" t="str">
        <f aca="false">INDEX(Customers!$C$2:$C$301,MATCH(C1105,Customers!$A$2:$A$301,0))</f>
        <v>Kochi</v>
      </c>
      <c r="S1105" s="1" t="str">
        <f aca="false">INDEX(Customers!$E$2:$E$301,MATCH(C1105,Customers!$A$2:$A$301,0))</f>
        <v>Returning</v>
      </c>
      <c r="T1105" s="6" t="str">
        <f aca="false">Orders!I1105</f>
        <v>Mobile App</v>
      </c>
      <c r="U1105" s="1" t="str">
        <f aca="false">IF(Q1105="Delivered","Completed",IF(Q1105="Cancelled","Cancelled",IF(Q1105="Returned","Returned","In Progress")))</f>
        <v>Completed</v>
      </c>
      <c r="V1105" s="1" t="str">
        <f aca="false">IF(M1105&gt;=10000,"High Value",IF(M1105&gt;=5000,"Medium Value","Low Value"))</f>
        <v>Low Value</v>
      </c>
      <c r="W1105" s="1" t="str">
        <f aca="false">IF(O1105&gt;0,"Profitable",IF(O1105=0,"Break-even","Loss"))</f>
        <v>Profitable</v>
      </c>
      <c r="X1105" s="1" t="str">
        <f aca="false">IF(Q1105="Cancelled","Not Applicable",IF(Q1105="Processing","Pending",IF(B1105="","Unknown",IF(Orders!J1105="","Unknown",IF(Orders!J1105&lt;=3,"Fast",IF(Orders!J1105&lt;=6,"Standard","Slow"))))))</f>
        <v>Slow</v>
      </c>
      <c r="Y1105" s="1" t="n">
        <f aca="false">IF(OR(Q1105="Cancelled",Q1105="Returned"),0,O1105)</f>
        <v>717.75</v>
      </c>
    </row>
    <row r="1106" customFormat="false" ht="15" hidden="false" customHeight="false" outlineLevel="0" collapsed="false">
      <c r="A1106" s="6" t="str">
        <f aca="false">Orders!A1106</f>
        <v>O001105</v>
      </c>
      <c r="B1106" s="19" t="n">
        <f aca="false">Orders!B1106</f>
        <v>45686</v>
      </c>
      <c r="C1106" s="6" t="str">
        <f aca="false">Orders!C1106</f>
        <v>C0260</v>
      </c>
      <c r="D1106" s="6" t="str">
        <f aca="false">Orders!D1106</f>
        <v>P1079</v>
      </c>
      <c r="E1106" s="6" t="str">
        <f aca="false">INDEX(Products!$B$2:$B$101,MATCH(D1106,Products!$A$2:$A$101,0))</f>
        <v>Art Supply Kit</v>
      </c>
      <c r="F1106" s="1" t="str">
        <f aca="false">INDEX(Products!$C$2:$C$101,MATCH(D1106,Products!$A$2:$A$101,0))</f>
        <v>Books &amp; Stationery</v>
      </c>
      <c r="G1106" s="6" t="n">
        <f aca="false">Orders!E1106</f>
        <v>2</v>
      </c>
      <c r="H1106" s="16" t="n">
        <f aca="false">INDEX(Products!$D$2:$D$101,MATCH(D1106,Products!$A$2:$A$101,0))</f>
        <v>699</v>
      </c>
      <c r="I1106" s="16" t="n">
        <f aca="false">INDEX(Products!$E$2:$E$101,MATCH(D1106,Products!$A$2:$A$101,0))</f>
        <v>350</v>
      </c>
      <c r="J1106" s="20" t="n">
        <f aca="false">Orders!F1106</f>
        <v>0.05</v>
      </c>
      <c r="K1106" s="6" t="n">
        <f aca="false">G1106*H1106</f>
        <v>1398</v>
      </c>
      <c r="L1106" s="6" t="n">
        <f aca="false">K1106*J1106</f>
        <v>69.9</v>
      </c>
      <c r="M1106" s="6" t="n">
        <f aca="false">K1106-L1106</f>
        <v>1328.1</v>
      </c>
      <c r="N1106" s="6" t="n">
        <f aca="false">G1106*I1106</f>
        <v>700</v>
      </c>
      <c r="O1106" s="6" t="n">
        <f aca="false">M1106-N1106</f>
        <v>628.1</v>
      </c>
      <c r="P1106" s="21" t="n">
        <f aca="false">IFERROR(O1106/M1106,0)</f>
        <v>0.472931255176568</v>
      </c>
      <c r="Q1106" s="6" t="str">
        <f aca="false">Orders!H1106</f>
        <v>Delivered</v>
      </c>
      <c r="R1106" s="1" t="str">
        <f aca="false">INDEX(Customers!$C$2:$C$301,MATCH(C1106,Customers!$A$2:$A$301,0))</f>
        <v>Visakhapatnam</v>
      </c>
      <c r="S1106" s="1" t="str">
        <f aca="false">INDEX(Customers!$E$2:$E$301,MATCH(C1106,Customers!$A$2:$A$301,0))</f>
        <v>Returning</v>
      </c>
      <c r="T1106" s="6" t="str">
        <f aca="false">Orders!I1106</f>
        <v>Marketplace</v>
      </c>
      <c r="U1106" s="1" t="str">
        <f aca="false">IF(Q1106="Delivered","Completed",IF(Q1106="Cancelled","Cancelled",IF(Q1106="Returned","Returned","In Progress")))</f>
        <v>Completed</v>
      </c>
      <c r="V1106" s="1" t="str">
        <f aca="false">IF(M1106&gt;=10000,"High Value",IF(M1106&gt;=5000,"Medium Value","Low Value"))</f>
        <v>Low Value</v>
      </c>
      <c r="W1106" s="1" t="str">
        <f aca="false">IF(O1106&gt;0,"Profitable",IF(O1106=0,"Break-even","Loss"))</f>
        <v>Profitable</v>
      </c>
      <c r="X1106" s="1" t="str">
        <f aca="false">IF(Q1106="Cancelled","Not Applicable",IF(Q1106="Processing","Pending",IF(B1106="","Unknown",IF(Orders!J1106="","Unknown",IF(Orders!J1106&lt;=3,"Fast",IF(Orders!J1106&lt;=6,"Standard","Slow"))))))</f>
        <v>Standard</v>
      </c>
      <c r="Y1106" s="1" t="n">
        <f aca="false">IF(OR(Q1106="Cancelled",Q1106="Returned"),0,O1106)</f>
        <v>628.1</v>
      </c>
    </row>
    <row r="1107" customFormat="false" ht="15" hidden="false" customHeight="false" outlineLevel="0" collapsed="false">
      <c r="A1107" s="6" t="str">
        <f aca="false">Orders!A1107</f>
        <v>O001106</v>
      </c>
      <c r="B1107" s="19" t="n">
        <f aca="false">Orders!B1107</f>
        <v>45669</v>
      </c>
      <c r="C1107" s="6" t="str">
        <f aca="false">Orders!C1107</f>
        <v>C0117</v>
      </c>
      <c r="D1107" s="6" t="str">
        <f aca="false">Orders!D1107</f>
        <v>P1017</v>
      </c>
      <c r="E1107" s="6" t="str">
        <f aca="false">INDEX(Products!$B$2:$B$101,MATCH(D1107,Products!$A$2:$A$101,0))</f>
        <v>Denim Jeans</v>
      </c>
      <c r="F1107" s="1" t="str">
        <f aca="false">INDEX(Products!$C$2:$C$101,MATCH(D1107,Products!$A$2:$A$101,0))</f>
        <v>Fashion</v>
      </c>
      <c r="G1107" s="6" t="n">
        <f aca="false">Orders!E1107</f>
        <v>1</v>
      </c>
      <c r="H1107" s="16" t="n">
        <f aca="false">INDEX(Products!$D$2:$D$101,MATCH(D1107,Products!$A$2:$A$101,0))</f>
        <v>1299</v>
      </c>
      <c r="I1107" s="16" t="n">
        <f aca="false">INDEX(Products!$E$2:$E$101,MATCH(D1107,Products!$A$2:$A$101,0))</f>
        <v>650</v>
      </c>
      <c r="J1107" s="20" t="n">
        <f aca="false">Orders!F1107</f>
        <v>0.1</v>
      </c>
      <c r="K1107" s="6" t="n">
        <f aca="false">G1107*H1107</f>
        <v>1299</v>
      </c>
      <c r="L1107" s="6" t="n">
        <f aca="false">K1107*J1107</f>
        <v>129.9</v>
      </c>
      <c r="M1107" s="6" t="n">
        <f aca="false">K1107-L1107</f>
        <v>1169.1</v>
      </c>
      <c r="N1107" s="6" t="n">
        <f aca="false">G1107*I1107</f>
        <v>650</v>
      </c>
      <c r="O1107" s="6" t="n">
        <f aca="false">M1107-N1107</f>
        <v>519.1</v>
      </c>
      <c r="P1107" s="21" t="n">
        <f aca="false">IFERROR(O1107/M1107,0)</f>
        <v>0.444016765032931</v>
      </c>
      <c r="Q1107" s="6" t="str">
        <f aca="false">Orders!H1107</f>
        <v>Delivered</v>
      </c>
      <c r="R1107" s="1" t="str">
        <f aca="false">INDEX(Customers!$C$2:$C$301,MATCH(C1107,Customers!$A$2:$A$301,0))</f>
        <v>Surat</v>
      </c>
      <c r="S1107" s="1" t="str">
        <f aca="false">INDEX(Customers!$E$2:$E$301,MATCH(C1107,Customers!$A$2:$A$301,0))</f>
        <v>Returning</v>
      </c>
      <c r="T1107" s="6" t="str">
        <f aca="false">Orders!I1107</f>
        <v>Website</v>
      </c>
      <c r="U1107" s="1" t="str">
        <f aca="false">IF(Q1107="Delivered","Completed",IF(Q1107="Cancelled","Cancelled",IF(Q1107="Returned","Returned","In Progress")))</f>
        <v>Completed</v>
      </c>
      <c r="V1107" s="1" t="str">
        <f aca="false">IF(M1107&gt;=10000,"High Value",IF(M1107&gt;=5000,"Medium Value","Low Value"))</f>
        <v>Low Value</v>
      </c>
      <c r="W1107" s="1" t="str">
        <f aca="false">IF(O1107&gt;0,"Profitable",IF(O1107=0,"Break-even","Loss"))</f>
        <v>Profitable</v>
      </c>
      <c r="X1107" s="1" t="str">
        <f aca="false">IF(Q1107="Cancelled","Not Applicable",IF(Q1107="Processing","Pending",IF(B1107="","Unknown",IF(Orders!J1107="","Unknown",IF(Orders!J1107&lt;=3,"Fast",IF(Orders!J1107&lt;=6,"Standard","Slow"))))))</f>
        <v>Slow</v>
      </c>
      <c r="Y1107" s="1" t="n">
        <f aca="false">IF(OR(Q1107="Cancelled",Q1107="Returned"),0,O1107)</f>
        <v>519.1</v>
      </c>
    </row>
    <row r="1108" customFormat="false" ht="15" hidden="false" customHeight="false" outlineLevel="0" collapsed="false">
      <c r="A1108" s="6" t="str">
        <f aca="false">Orders!A1108</f>
        <v>O001107</v>
      </c>
      <c r="B1108" s="19" t="n">
        <f aca="false">Orders!B1108</f>
        <v>45867</v>
      </c>
      <c r="C1108" s="6" t="str">
        <f aca="false">Orders!C1108</f>
        <v>C0238</v>
      </c>
      <c r="D1108" s="6" t="str">
        <f aca="false">Orders!D1108</f>
        <v>P1039</v>
      </c>
      <c r="E1108" s="6" t="str">
        <f aca="false">INDEX(Products!$B$2:$B$101,MATCH(D1108,Products!$A$2:$A$101,0))</f>
        <v>Wall Clock</v>
      </c>
      <c r="F1108" s="1" t="str">
        <f aca="false">INDEX(Products!$C$2:$C$101,MATCH(D1108,Products!$A$2:$A$101,0))</f>
        <v>Home &amp; Kitchen</v>
      </c>
      <c r="G1108" s="6" t="n">
        <f aca="false">Orders!E1108</f>
        <v>2</v>
      </c>
      <c r="H1108" s="16" t="n">
        <f aca="false">INDEX(Products!$D$2:$D$101,MATCH(D1108,Products!$A$2:$A$101,0))</f>
        <v>699</v>
      </c>
      <c r="I1108" s="16" t="n">
        <f aca="false">INDEX(Products!$E$2:$E$101,MATCH(D1108,Products!$A$2:$A$101,0))</f>
        <v>300</v>
      </c>
      <c r="J1108" s="20" t="n">
        <f aca="false">Orders!F1108</f>
        <v>0.25</v>
      </c>
      <c r="K1108" s="6" t="n">
        <f aca="false">G1108*H1108</f>
        <v>1398</v>
      </c>
      <c r="L1108" s="6" t="n">
        <f aca="false">K1108*J1108</f>
        <v>349.5</v>
      </c>
      <c r="M1108" s="6" t="n">
        <f aca="false">K1108-L1108</f>
        <v>1048.5</v>
      </c>
      <c r="N1108" s="6" t="n">
        <f aca="false">G1108*I1108</f>
        <v>600</v>
      </c>
      <c r="O1108" s="6" t="n">
        <f aca="false">M1108-N1108</f>
        <v>448.5</v>
      </c>
      <c r="P1108" s="21" t="n">
        <f aca="false">IFERROR(O1108/M1108,0)</f>
        <v>0.427753934191702</v>
      </c>
      <c r="Q1108" s="6" t="str">
        <f aca="false">Orders!H1108</f>
        <v>Delivered</v>
      </c>
      <c r="R1108" s="1" t="str">
        <f aca="false">INDEX(Customers!$C$2:$C$301,MATCH(C1108,Customers!$A$2:$A$301,0))</f>
        <v>Nagpur</v>
      </c>
      <c r="S1108" s="1" t="str">
        <f aca="false">INDEX(Customers!$E$2:$E$301,MATCH(C1108,Customers!$A$2:$A$301,0))</f>
        <v>Returning</v>
      </c>
      <c r="T1108" s="6" t="str">
        <f aca="false">Orders!I1108</f>
        <v>Mobile App</v>
      </c>
      <c r="U1108" s="1" t="str">
        <f aca="false">IF(Q1108="Delivered","Completed",IF(Q1108="Cancelled","Cancelled",IF(Q1108="Returned","Returned","In Progress")))</f>
        <v>Completed</v>
      </c>
      <c r="V1108" s="1" t="str">
        <f aca="false">IF(M1108&gt;=10000,"High Value",IF(M1108&gt;=5000,"Medium Value","Low Value"))</f>
        <v>Low Value</v>
      </c>
      <c r="W1108" s="1" t="str">
        <f aca="false">IF(O1108&gt;0,"Profitable",IF(O1108=0,"Break-even","Loss"))</f>
        <v>Profitable</v>
      </c>
      <c r="X1108" s="1" t="str">
        <f aca="false">IF(Q1108="Cancelled","Not Applicable",IF(Q1108="Processing","Pending",IF(B1108="","Unknown",IF(Orders!J1108="","Unknown",IF(Orders!J1108&lt;=3,"Fast",IF(Orders!J1108&lt;=6,"Standard","Slow"))))))</f>
        <v>Standard</v>
      </c>
      <c r="Y1108" s="1" t="n">
        <f aca="false">IF(OR(Q1108="Cancelled",Q1108="Returned"),0,O1108)</f>
        <v>448.5</v>
      </c>
    </row>
    <row r="1109" customFormat="false" ht="15" hidden="false" customHeight="false" outlineLevel="0" collapsed="false">
      <c r="A1109" s="6" t="str">
        <f aca="false">Orders!A1109</f>
        <v>O001108</v>
      </c>
      <c r="B1109" s="19" t="n">
        <f aca="false">Orders!B1109</f>
        <v>45810</v>
      </c>
      <c r="C1109" s="6" t="str">
        <f aca="false">Orders!C1109</f>
        <v>C0186</v>
      </c>
      <c r="D1109" s="6" t="str">
        <f aca="false">Orders!D1109</f>
        <v>P1058</v>
      </c>
      <c r="E1109" s="6" t="str">
        <f aca="false">INDEX(Products!$B$2:$B$101,MATCH(D1109,Products!$A$2:$A$101,0))</f>
        <v>Nail Care Kit</v>
      </c>
      <c r="F1109" s="1" t="str">
        <f aca="false">INDEX(Products!$C$2:$C$101,MATCH(D1109,Products!$A$2:$A$101,0))</f>
        <v>Beauty</v>
      </c>
      <c r="G1109" s="6" t="n">
        <f aca="false">Orders!E1109</f>
        <v>1</v>
      </c>
      <c r="H1109" s="16" t="n">
        <f aca="false">INDEX(Products!$D$2:$D$101,MATCH(D1109,Products!$A$2:$A$101,0))</f>
        <v>399</v>
      </c>
      <c r="I1109" s="16" t="n">
        <f aca="false">INDEX(Products!$E$2:$E$101,MATCH(D1109,Products!$A$2:$A$101,0))</f>
        <v>170</v>
      </c>
      <c r="J1109" s="20" t="n">
        <f aca="false">Orders!F1109</f>
        <v>0</v>
      </c>
      <c r="K1109" s="6" t="n">
        <f aca="false">G1109*H1109</f>
        <v>399</v>
      </c>
      <c r="L1109" s="6" t="n">
        <f aca="false">K1109*J1109</f>
        <v>0</v>
      </c>
      <c r="M1109" s="6" t="n">
        <f aca="false">K1109-L1109</f>
        <v>399</v>
      </c>
      <c r="N1109" s="6" t="n">
        <f aca="false">G1109*I1109</f>
        <v>170</v>
      </c>
      <c r="O1109" s="6" t="n">
        <f aca="false">M1109-N1109</f>
        <v>229</v>
      </c>
      <c r="P1109" s="21" t="n">
        <f aca="false">IFERROR(O1109/M1109,0)</f>
        <v>0.573934837092732</v>
      </c>
      <c r="Q1109" s="6" t="str">
        <f aca="false">Orders!H1109</f>
        <v>Delivered</v>
      </c>
      <c r="R1109" s="1" t="str">
        <f aca="false">INDEX(Customers!$C$2:$C$301,MATCH(C1109,Customers!$A$2:$A$301,0))</f>
        <v>Kolkata</v>
      </c>
      <c r="S1109" s="1" t="str">
        <f aca="false">INDEX(Customers!$E$2:$E$301,MATCH(C1109,Customers!$A$2:$A$301,0))</f>
        <v>New</v>
      </c>
      <c r="T1109" s="6" t="str">
        <f aca="false">Orders!I1109</f>
        <v>Website</v>
      </c>
      <c r="U1109" s="1" t="str">
        <f aca="false">IF(Q1109="Delivered","Completed",IF(Q1109="Cancelled","Cancelled",IF(Q1109="Returned","Returned","In Progress")))</f>
        <v>Completed</v>
      </c>
      <c r="V1109" s="1" t="str">
        <f aca="false">IF(M1109&gt;=10000,"High Value",IF(M1109&gt;=5000,"Medium Value","Low Value"))</f>
        <v>Low Value</v>
      </c>
      <c r="W1109" s="1" t="str">
        <f aca="false">IF(O1109&gt;0,"Profitable",IF(O1109=0,"Break-even","Loss"))</f>
        <v>Profitable</v>
      </c>
      <c r="X1109" s="1" t="str">
        <f aca="false">IF(Q1109="Cancelled","Not Applicable",IF(Q1109="Processing","Pending",IF(B1109="","Unknown",IF(Orders!J1109="","Unknown",IF(Orders!J1109&lt;=3,"Fast",IF(Orders!J1109&lt;=6,"Standard","Slow"))))))</f>
        <v>Fast</v>
      </c>
      <c r="Y1109" s="1" t="n">
        <f aca="false">IF(OR(Q1109="Cancelled",Q1109="Returned"),0,O1109)</f>
        <v>229</v>
      </c>
    </row>
    <row r="1110" customFormat="false" ht="15" hidden="false" customHeight="false" outlineLevel="0" collapsed="false">
      <c r="A1110" s="6" t="str">
        <f aca="false">Orders!A1110</f>
        <v>O001109</v>
      </c>
      <c r="B1110" s="19" t="n">
        <f aca="false">Orders!B1110</f>
        <v>45891</v>
      </c>
      <c r="C1110" s="6" t="str">
        <f aca="false">Orders!C1110</f>
        <v>C0178</v>
      </c>
      <c r="D1110" s="6" t="str">
        <f aca="false">Orders!D1110</f>
        <v>P1049</v>
      </c>
      <c r="E1110" s="6" t="str">
        <f aca="false">INDEX(Products!$B$2:$B$101,MATCH(D1110,Products!$A$2:$A$101,0))</f>
        <v>Face Cleanser</v>
      </c>
      <c r="F1110" s="1" t="str">
        <f aca="false">INDEX(Products!$C$2:$C$101,MATCH(D1110,Products!$A$2:$A$101,0))</f>
        <v>Beauty</v>
      </c>
      <c r="G1110" s="6" t="n">
        <f aca="false">Orders!E1110</f>
        <v>1</v>
      </c>
      <c r="H1110" s="16" t="n">
        <f aca="false">INDEX(Products!$D$2:$D$101,MATCH(D1110,Products!$A$2:$A$101,0))</f>
        <v>299</v>
      </c>
      <c r="I1110" s="16" t="n">
        <f aca="false">INDEX(Products!$E$2:$E$101,MATCH(D1110,Products!$A$2:$A$101,0))</f>
        <v>120</v>
      </c>
      <c r="J1110" s="20" t="n">
        <f aca="false">Orders!F1110</f>
        <v>0.15</v>
      </c>
      <c r="K1110" s="6" t="n">
        <f aca="false">G1110*H1110</f>
        <v>299</v>
      </c>
      <c r="L1110" s="6" t="n">
        <f aca="false">K1110*J1110</f>
        <v>44.85</v>
      </c>
      <c r="M1110" s="6" t="n">
        <f aca="false">K1110-L1110</f>
        <v>254.15</v>
      </c>
      <c r="N1110" s="6" t="n">
        <f aca="false">G1110*I1110</f>
        <v>120</v>
      </c>
      <c r="O1110" s="6" t="n">
        <f aca="false">M1110-N1110</f>
        <v>134.15</v>
      </c>
      <c r="P1110" s="21" t="n">
        <f aca="false">IFERROR(O1110/M1110,0)</f>
        <v>0.527837891009247</v>
      </c>
      <c r="Q1110" s="6" t="str">
        <f aca="false">Orders!H1110</f>
        <v>Shipped</v>
      </c>
      <c r="R1110" s="1" t="str">
        <f aca="false">INDEX(Customers!$C$2:$C$301,MATCH(C1110,Customers!$A$2:$A$301,0))</f>
        <v>Nagpur</v>
      </c>
      <c r="S1110" s="1" t="str">
        <f aca="false">INDEX(Customers!$E$2:$E$301,MATCH(C1110,Customers!$A$2:$A$301,0))</f>
        <v>VIP</v>
      </c>
      <c r="T1110" s="6" t="str">
        <f aca="false">Orders!I1110</f>
        <v>Mobile App</v>
      </c>
      <c r="U1110" s="1" t="str">
        <f aca="false">IF(Q1110="Delivered","Completed",IF(Q1110="Cancelled","Cancelled",IF(Q1110="Returned","Returned","In Progress")))</f>
        <v>In Progress</v>
      </c>
      <c r="V1110" s="1" t="str">
        <f aca="false">IF(M1110&gt;=10000,"High Value",IF(M1110&gt;=5000,"Medium Value","Low Value"))</f>
        <v>Low Value</v>
      </c>
      <c r="W1110" s="1" t="str">
        <f aca="false">IF(O1110&gt;0,"Profitable",IF(O1110=0,"Break-even","Loss"))</f>
        <v>Profitable</v>
      </c>
      <c r="X1110" s="1" t="str">
        <f aca="false">IF(Q1110="Cancelled","Not Applicable",IF(Q1110="Processing","Pending",IF(B1110="","Unknown",IF(Orders!J1110="","Unknown",IF(Orders!J1110&lt;=3,"Fast",IF(Orders!J1110&lt;=6,"Standard","Slow"))))))</f>
        <v>Slow</v>
      </c>
      <c r="Y1110" s="1" t="n">
        <f aca="false">IF(OR(Q1110="Cancelled",Q1110="Returned"),0,O1110)</f>
        <v>134.15</v>
      </c>
    </row>
    <row r="1111" customFormat="false" ht="15" hidden="false" customHeight="false" outlineLevel="0" collapsed="false">
      <c r="A1111" s="6" t="str">
        <f aca="false">Orders!A1111</f>
        <v>O001110</v>
      </c>
      <c r="B1111" s="19" t="n">
        <f aca="false">Orders!B1111</f>
        <v>45717</v>
      </c>
      <c r="C1111" s="6" t="str">
        <f aca="false">Orders!C1111</f>
        <v>C0106</v>
      </c>
      <c r="D1111" s="6" t="str">
        <f aca="false">Orders!D1111</f>
        <v>P1005</v>
      </c>
      <c r="E1111" s="6" t="str">
        <f aca="false">INDEX(Products!$B$2:$B$101,MATCH(D1111,Products!$A$2:$A$101,0))</f>
        <v>Power Bank</v>
      </c>
      <c r="F1111" s="1" t="str">
        <f aca="false">INDEX(Products!$C$2:$C$101,MATCH(D1111,Products!$A$2:$A$101,0))</f>
        <v>Electronics</v>
      </c>
      <c r="G1111" s="6" t="n">
        <f aca="false">Orders!E1111</f>
        <v>1</v>
      </c>
      <c r="H1111" s="16" t="n">
        <f aca="false">INDEX(Products!$D$2:$D$101,MATCH(D1111,Products!$A$2:$A$101,0))</f>
        <v>1199</v>
      </c>
      <c r="I1111" s="16" t="n">
        <f aca="false">INDEX(Products!$E$2:$E$101,MATCH(D1111,Products!$A$2:$A$101,0))</f>
        <v>650</v>
      </c>
      <c r="J1111" s="20" t="n">
        <f aca="false">Orders!F1111</f>
        <v>0.05</v>
      </c>
      <c r="K1111" s="6" t="n">
        <f aca="false">G1111*H1111</f>
        <v>1199</v>
      </c>
      <c r="L1111" s="6" t="n">
        <f aca="false">K1111*J1111</f>
        <v>59.95</v>
      </c>
      <c r="M1111" s="6" t="n">
        <f aca="false">K1111-L1111</f>
        <v>1139.05</v>
      </c>
      <c r="N1111" s="6" t="n">
        <f aca="false">G1111*I1111</f>
        <v>650</v>
      </c>
      <c r="O1111" s="6" t="n">
        <f aca="false">M1111-N1111</f>
        <v>489.05</v>
      </c>
      <c r="P1111" s="21" t="n">
        <f aca="false">IFERROR(O1111/M1111,0)</f>
        <v>0.429349018919275</v>
      </c>
      <c r="Q1111" s="6" t="str">
        <f aca="false">Orders!H1111</f>
        <v>Delivered</v>
      </c>
      <c r="R1111" s="1" t="str">
        <f aca="false">INDEX(Customers!$C$2:$C$301,MATCH(C1111,Customers!$A$2:$A$301,0))</f>
        <v>Kolkata</v>
      </c>
      <c r="S1111" s="1" t="str">
        <f aca="false">INDEX(Customers!$E$2:$E$301,MATCH(C1111,Customers!$A$2:$A$301,0))</f>
        <v>New</v>
      </c>
      <c r="T1111" s="6" t="str">
        <f aca="false">Orders!I1111</f>
        <v>Marketplace</v>
      </c>
      <c r="U1111" s="1" t="str">
        <f aca="false">IF(Q1111="Delivered","Completed",IF(Q1111="Cancelled","Cancelled",IF(Q1111="Returned","Returned","In Progress")))</f>
        <v>Completed</v>
      </c>
      <c r="V1111" s="1" t="str">
        <f aca="false">IF(M1111&gt;=10000,"High Value",IF(M1111&gt;=5000,"Medium Value","Low Value"))</f>
        <v>Low Value</v>
      </c>
      <c r="W1111" s="1" t="str">
        <f aca="false">IF(O1111&gt;0,"Profitable",IF(O1111=0,"Break-even","Loss"))</f>
        <v>Profitable</v>
      </c>
      <c r="X1111" s="1" t="str">
        <f aca="false">IF(Q1111="Cancelled","Not Applicable",IF(Q1111="Processing","Pending",IF(B1111="","Unknown",IF(Orders!J1111="","Unknown",IF(Orders!J1111&lt;=3,"Fast",IF(Orders!J1111&lt;=6,"Standard","Slow"))))))</f>
        <v>Fast</v>
      </c>
      <c r="Y1111" s="1" t="n">
        <f aca="false">IF(OR(Q1111="Cancelled",Q1111="Returned"),0,O1111)</f>
        <v>489.05</v>
      </c>
    </row>
    <row r="1112" customFormat="false" ht="15" hidden="false" customHeight="false" outlineLevel="0" collapsed="false">
      <c r="A1112" s="6" t="str">
        <f aca="false">Orders!A1112</f>
        <v>O001111</v>
      </c>
      <c r="B1112" s="19" t="n">
        <f aca="false">Orders!B1112</f>
        <v>45722</v>
      </c>
      <c r="C1112" s="6" t="str">
        <f aca="false">Orders!C1112</f>
        <v>C0006</v>
      </c>
      <c r="D1112" s="6" t="str">
        <f aca="false">Orders!D1112</f>
        <v>P1086</v>
      </c>
      <c r="E1112" s="6" t="str">
        <f aca="false">INDEX(Products!$B$2:$B$101,MATCH(D1112,Products!$A$2:$A$101,0))</f>
        <v>Geometry Box</v>
      </c>
      <c r="F1112" s="1" t="str">
        <f aca="false">INDEX(Products!$C$2:$C$101,MATCH(D1112,Products!$A$2:$A$101,0))</f>
        <v>Books &amp; Stationery</v>
      </c>
      <c r="G1112" s="6" t="n">
        <f aca="false">Orders!E1112</f>
        <v>1</v>
      </c>
      <c r="H1112" s="16" t="n">
        <f aca="false">INDEX(Products!$D$2:$D$101,MATCH(D1112,Products!$A$2:$A$101,0))</f>
        <v>199</v>
      </c>
      <c r="I1112" s="16" t="n">
        <f aca="false">INDEX(Products!$E$2:$E$101,MATCH(D1112,Products!$A$2:$A$101,0))</f>
        <v>70</v>
      </c>
      <c r="J1112" s="20" t="n">
        <f aca="false">Orders!F1112</f>
        <v>0</v>
      </c>
      <c r="K1112" s="6" t="n">
        <f aca="false">G1112*H1112</f>
        <v>199</v>
      </c>
      <c r="L1112" s="6" t="n">
        <f aca="false">K1112*J1112</f>
        <v>0</v>
      </c>
      <c r="M1112" s="6" t="n">
        <f aca="false">K1112-L1112</f>
        <v>199</v>
      </c>
      <c r="N1112" s="6" t="n">
        <f aca="false">G1112*I1112</f>
        <v>70</v>
      </c>
      <c r="O1112" s="6" t="n">
        <f aca="false">M1112-N1112</f>
        <v>129</v>
      </c>
      <c r="P1112" s="21" t="n">
        <f aca="false">IFERROR(O1112/M1112,0)</f>
        <v>0.648241206030151</v>
      </c>
      <c r="Q1112" s="6" t="str">
        <f aca="false">Orders!H1112</f>
        <v>Delivered</v>
      </c>
      <c r="R1112" s="1" t="str">
        <f aca="false">INDEX(Customers!$C$2:$C$301,MATCH(C1112,Customers!$A$2:$A$301,0))</f>
        <v>Kolkata</v>
      </c>
      <c r="S1112" s="1" t="str">
        <f aca="false">INDEX(Customers!$E$2:$E$301,MATCH(C1112,Customers!$A$2:$A$301,0))</f>
        <v>Returning</v>
      </c>
      <c r="T1112" s="6" t="str">
        <f aca="false">Orders!I1112</f>
        <v>Mobile App</v>
      </c>
      <c r="U1112" s="1" t="str">
        <f aca="false">IF(Q1112="Delivered","Completed",IF(Q1112="Cancelled","Cancelled",IF(Q1112="Returned","Returned","In Progress")))</f>
        <v>Completed</v>
      </c>
      <c r="V1112" s="1" t="str">
        <f aca="false">IF(M1112&gt;=10000,"High Value",IF(M1112&gt;=5000,"Medium Value","Low Value"))</f>
        <v>Low Value</v>
      </c>
      <c r="W1112" s="1" t="str">
        <f aca="false">IF(O1112&gt;0,"Profitable",IF(O1112=0,"Break-even","Loss"))</f>
        <v>Profitable</v>
      </c>
      <c r="X1112" s="1" t="str">
        <f aca="false">IF(Q1112="Cancelled","Not Applicable",IF(Q1112="Processing","Pending",IF(B1112="","Unknown",IF(Orders!J1112="","Unknown",IF(Orders!J1112&lt;=3,"Fast",IF(Orders!J1112&lt;=6,"Standard","Slow"))))))</f>
        <v>Slow</v>
      </c>
      <c r="Y1112" s="1" t="n">
        <f aca="false">IF(OR(Q1112="Cancelled",Q1112="Returned"),0,O1112)</f>
        <v>129</v>
      </c>
    </row>
    <row r="1113" customFormat="false" ht="23.85" hidden="false" customHeight="false" outlineLevel="0" collapsed="false">
      <c r="A1113" s="6" t="str">
        <f aca="false">Orders!A1113</f>
        <v>O001112</v>
      </c>
      <c r="B1113" s="19" t="n">
        <f aca="false">Orders!B1113</f>
        <v>45822</v>
      </c>
      <c r="C1113" s="6" t="str">
        <f aca="false">Orders!C1113</f>
        <v>C0103</v>
      </c>
      <c r="D1113" s="6" t="str">
        <f aca="false">Orders!D1113</f>
        <v>P1081</v>
      </c>
      <c r="E1113" s="6" t="str">
        <f aca="false">INDEX(Products!$B$2:$B$101,MATCH(D1113,Products!$A$2:$A$101,0))</f>
        <v>Sticky Notes Pack</v>
      </c>
      <c r="F1113" s="1" t="str">
        <f aca="false">INDEX(Products!$C$2:$C$101,MATCH(D1113,Products!$A$2:$A$101,0))</f>
        <v>Books &amp; Stationery</v>
      </c>
      <c r="G1113" s="6" t="n">
        <f aca="false">Orders!E1113</f>
        <v>1</v>
      </c>
      <c r="H1113" s="16" t="n">
        <f aca="false">INDEX(Products!$D$2:$D$101,MATCH(D1113,Products!$A$2:$A$101,0))</f>
        <v>149</v>
      </c>
      <c r="I1113" s="16" t="n">
        <f aca="false">INDEX(Products!$E$2:$E$101,MATCH(D1113,Products!$A$2:$A$101,0))</f>
        <v>45</v>
      </c>
      <c r="J1113" s="20" t="n">
        <f aca="false">Orders!F1113</f>
        <v>0.05</v>
      </c>
      <c r="K1113" s="6" t="n">
        <f aca="false">G1113*H1113</f>
        <v>149</v>
      </c>
      <c r="L1113" s="6" t="n">
        <f aca="false">K1113*J1113</f>
        <v>7.45</v>
      </c>
      <c r="M1113" s="6" t="n">
        <f aca="false">K1113-L1113</f>
        <v>141.55</v>
      </c>
      <c r="N1113" s="6" t="n">
        <f aca="false">G1113*I1113</f>
        <v>45</v>
      </c>
      <c r="O1113" s="6" t="n">
        <f aca="false">M1113-N1113</f>
        <v>96.55</v>
      </c>
      <c r="P1113" s="21" t="n">
        <f aca="false">IFERROR(O1113/M1113,0)</f>
        <v>0.682091133874956</v>
      </c>
      <c r="Q1113" s="6" t="str">
        <f aca="false">Orders!H1113</f>
        <v>Processing</v>
      </c>
      <c r="R1113" s="1" t="str">
        <f aca="false">INDEX(Customers!$C$2:$C$301,MATCH(C1113,Customers!$A$2:$A$301,0))</f>
        <v>Bengaluru</v>
      </c>
      <c r="S1113" s="1" t="str">
        <f aca="false">INDEX(Customers!$E$2:$E$301,MATCH(C1113,Customers!$A$2:$A$301,0))</f>
        <v>Returning</v>
      </c>
      <c r="T1113" s="6" t="str">
        <f aca="false">Orders!I1113</f>
        <v>Website</v>
      </c>
      <c r="U1113" s="1" t="str">
        <f aca="false">IF(Q1113="Delivered","Completed",IF(Q1113="Cancelled","Cancelled",IF(Q1113="Returned","Returned","In Progress")))</f>
        <v>In Progress</v>
      </c>
      <c r="V1113" s="1" t="str">
        <f aca="false">IF(M1113&gt;=10000,"High Value",IF(M1113&gt;=5000,"Medium Value","Low Value"))</f>
        <v>Low Value</v>
      </c>
      <c r="W1113" s="1" t="str">
        <f aca="false">IF(O1113&gt;0,"Profitable",IF(O1113=0,"Break-even","Loss"))</f>
        <v>Profitable</v>
      </c>
      <c r="X1113" s="1" t="str">
        <f aca="false">IF(Q1113="Cancelled","Not Applicable",IF(Q1113="Processing","Pending",IF(B1113="","Unknown",IF(Orders!J1113="","Unknown",IF(Orders!J1113&lt;=3,"Fast",IF(Orders!J1113&lt;=6,"Standard","Slow"))))))</f>
        <v>Pending</v>
      </c>
      <c r="Y1113" s="1" t="n">
        <f aca="false">IF(OR(Q1113="Cancelled",Q1113="Returned"),0,O1113)</f>
        <v>96.55</v>
      </c>
    </row>
    <row r="1114" customFormat="false" ht="15" hidden="false" customHeight="false" outlineLevel="0" collapsed="false">
      <c r="A1114" s="6" t="str">
        <f aca="false">Orders!A1114</f>
        <v>O001113</v>
      </c>
      <c r="B1114" s="19" t="n">
        <f aca="false">Orders!B1114</f>
        <v>45885</v>
      </c>
      <c r="C1114" s="6" t="str">
        <f aca="false">Orders!C1114</f>
        <v>C0196</v>
      </c>
      <c r="D1114" s="6" t="str">
        <f aca="false">Orders!D1114</f>
        <v>P1056</v>
      </c>
      <c r="E1114" s="6" t="str">
        <f aca="false">INDEX(Products!$B$2:$B$101,MATCH(D1114,Products!$A$2:$A$101,0))</f>
        <v>Hair Dryer</v>
      </c>
      <c r="F1114" s="1" t="str">
        <f aca="false">INDEX(Products!$C$2:$C$101,MATCH(D1114,Products!$A$2:$A$101,0))</f>
        <v>Beauty</v>
      </c>
      <c r="G1114" s="6" t="n">
        <f aca="false">Orders!E1114</f>
        <v>1</v>
      </c>
      <c r="H1114" s="16" t="n">
        <f aca="false">INDEX(Products!$D$2:$D$101,MATCH(D1114,Products!$A$2:$A$101,0))</f>
        <v>1299</v>
      </c>
      <c r="I1114" s="16" t="n">
        <f aca="false">INDEX(Products!$E$2:$E$101,MATCH(D1114,Products!$A$2:$A$101,0))</f>
        <v>750</v>
      </c>
      <c r="J1114" s="20" t="n">
        <f aca="false">Orders!F1114</f>
        <v>0.1</v>
      </c>
      <c r="K1114" s="6" t="n">
        <f aca="false">G1114*H1114</f>
        <v>1299</v>
      </c>
      <c r="L1114" s="6" t="n">
        <f aca="false">K1114*J1114</f>
        <v>129.9</v>
      </c>
      <c r="M1114" s="6" t="n">
        <f aca="false">K1114-L1114</f>
        <v>1169.1</v>
      </c>
      <c r="N1114" s="6" t="n">
        <f aca="false">G1114*I1114</f>
        <v>750</v>
      </c>
      <c r="O1114" s="6" t="n">
        <f aca="false">M1114-N1114</f>
        <v>419.1</v>
      </c>
      <c r="P1114" s="21" t="n">
        <f aca="false">IFERROR(O1114/M1114,0)</f>
        <v>0.358480882730305</v>
      </c>
      <c r="Q1114" s="6" t="str">
        <f aca="false">Orders!H1114</f>
        <v>Delivered</v>
      </c>
      <c r="R1114" s="1" t="str">
        <f aca="false">INDEX(Customers!$C$2:$C$301,MATCH(C1114,Customers!$A$2:$A$301,0))</f>
        <v>Chandigarh</v>
      </c>
      <c r="S1114" s="1" t="str">
        <f aca="false">INDEX(Customers!$E$2:$E$301,MATCH(C1114,Customers!$A$2:$A$301,0))</f>
        <v>Returning</v>
      </c>
      <c r="T1114" s="6" t="str">
        <f aca="false">Orders!I1114</f>
        <v>Mobile App</v>
      </c>
      <c r="U1114" s="1" t="str">
        <f aca="false">IF(Q1114="Delivered","Completed",IF(Q1114="Cancelled","Cancelled",IF(Q1114="Returned","Returned","In Progress")))</f>
        <v>Completed</v>
      </c>
      <c r="V1114" s="1" t="str">
        <f aca="false">IF(M1114&gt;=10000,"High Value",IF(M1114&gt;=5000,"Medium Value","Low Value"))</f>
        <v>Low Value</v>
      </c>
      <c r="W1114" s="1" t="str">
        <f aca="false">IF(O1114&gt;0,"Profitable",IF(O1114=0,"Break-even","Loss"))</f>
        <v>Profitable</v>
      </c>
      <c r="X1114" s="1" t="str">
        <f aca="false">IF(Q1114="Cancelled","Not Applicable",IF(Q1114="Processing","Pending",IF(B1114="","Unknown",IF(Orders!J1114="","Unknown",IF(Orders!J1114&lt;=3,"Fast",IF(Orders!J1114&lt;=6,"Standard","Slow"))))))</f>
        <v>Standard</v>
      </c>
      <c r="Y1114" s="1" t="n">
        <f aca="false">IF(OR(Q1114="Cancelled",Q1114="Returned"),0,O1114)</f>
        <v>419.1</v>
      </c>
    </row>
    <row r="1115" customFormat="false" ht="15" hidden="false" customHeight="false" outlineLevel="0" collapsed="false">
      <c r="A1115" s="6" t="str">
        <f aca="false">Orders!A1115</f>
        <v>O001114</v>
      </c>
      <c r="B1115" s="19" t="n">
        <f aca="false">Orders!B1115</f>
        <v>45836</v>
      </c>
      <c r="C1115" s="6" t="str">
        <f aca="false">Orders!C1115</f>
        <v>C0198</v>
      </c>
      <c r="D1115" s="6" t="str">
        <f aca="false">Orders!D1115</f>
        <v>P1009</v>
      </c>
      <c r="E1115" s="6" t="str">
        <f aca="false">INDEX(Products!$B$2:$B$101,MATCH(D1115,Products!$A$2:$A$101,0))</f>
        <v>Laptop Sleeve</v>
      </c>
      <c r="F1115" s="1" t="str">
        <f aca="false">INDEX(Products!$C$2:$C$101,MATCH(D1115,Products!$A$2:$A$101,0))</f>
        <v>Electronics</v>
      </c>
      <c r="G1115" s="6" t="n">
        <f aca="false">Orders!E1115</f>
        <v>2</v>
      </c>
      <c r="H1115" s="16" t="n">
        <f aca="false">INDEX(Products!$D$2:$D$101,MATCH(D1115,Products!$A$2:$A$101,0))</f>
        <v>799</v>
      </c>
      <c r="I1115" s="16" t="n">
        <f aca="false">INDEX(Products!$E$2:$E$101,MATCH(D1115,Products!$A$2:$A$101,0))</f>
        <v>350</v>
      </c>
      <c r="J1115" s="20" t="n">
        <f aca="false">Orders!F1115</f>
        <v>0.05</v>
      </c>
      <c r="K1115" s="6" t="n">
        <f aca="false">G1115*H1115</f>
        <v>1598</v>
      </c>
      <c r="L1115" s="6" t="n">
        <f aca="false">K1115*J1115</f>
        <v>79.9</v>
      </c>
      <c r="M1115" s="6" t="n">
        <f aca="false">K1115-L1115</f>
        <v>1518.1</v>
      </c>
      <c r="N1115" s="6" t="n">
        <f aca="false">G1115*I1115</f>
        <v>700</v>
      </c>
      <c r="O1115" s="6" t="n">
        <f aca="false">M1115-N1115</f>
        <v>818.1</v>
      </c>
      <c r="P1115" s="21" t="n">
        <f aca="false">IFERROR(O1115/M1115,0)</f>
        <v>0.53889730584283</v>
      </c>
      <c r="Q1115" s="6" t="str">
        <f aca="false">Orders!H1115</f>
        <v>Cancelled</v>
      </c>
      <c r="R1115" s="1" t="str">
        <f aca="false">INDEX(Customers!$C$2:$C$301,MATCH(C1115,Customers!$A$2:$A$301,0))</f>
        <v>Nagpur</v>
      </c>
      <c r="S1115" s="1" t="str">
        <f aca="false">INDEX(Customers!$E$2:$E$301,MATCH(C1115,Customers!$A$2:$A$301,0))</f>
        <v>Returning</v>
      </c>
      <c r="T1115" s="6" t="str">
        <f aca="false">Orders!I1115</f>
        <v>Mobile App</v>
      </c>
      <c r="U1115" s="1" t="str">
        <f aca="false">IF(Q1115="Delivered","Completed",IF(Q1115="Cancelled","Cancelled",IF(Q1115="Returned","Returned","In Progress")))</f>
        <v>Cancelled</v>
      </c>
      <c r="V1115" s="1" t="str">
        <f aca="false">IF(M1115&gt;=10000,"High Value",IF(M1115&gt;=5000,"Medium Value","Low Value"))</f>
        <v>Low Value</v>
      </c>
      <c r="W1115" s="1" t="str">
        <f aca="false">IF(O1115&gt;0,"Profitable",IF(O1115=0,"Break-even","Loss"))</f>
        <v>Profitable</v>
      </c>
      <c r="X1115" s="1" t="str">
        <f aca="false">IF(Q1115="Cancelled","Not Applicable",IF(Q1115="Processing","Pending",IF(B1115="","Unknown",IF(Orders!J1115="","Unknown",IF(Orders!J1115&lt;=3,"Fast",IF(Orders!J1115&lt;=6,"Standard","Slow"))))))</f>
        <v>Not Applicable</v>
      </c>
      <c r="Y1115" s="1" t="n">
        <f aca="false">IF(OR(Q1115="Cancelled",Q1115="Returned"),0,O1115)</f>
        <v>0</v>
      </c>
    </row>
    <row r="1116" customFormat="false" ht="15" hidden="false" customHeight="false" outlineLevel="0" collapsed="false">
      <c r="A1116" s="6" t="str">
        <f aca="false">Orders!A1116</f>
        <v>O001115</v>
      </c>
      <c r="B1116" s="19" t="n">
        <f aca="false">Orders!B1116</f>
        <v>45862</v>
      </c>
      <c r="C1116" s="6" t="str">
        <f aca="false">Orders!C1116</f>
        <v>C0036</v>
      </c>
      <c r="D1116" s="6" t="str">
        <f aca="false">Orders!D1116</f>
        <v>P1066</v>
      </c>
      <c r="E1116" s="6" t="str">
        <f aca="false">INDEX(Products!$B$2:$B$101,MATCH(D1116,Products!$A$2:$A$101,0))</f>
        <v>Gym Gloves</v>
      </c>
      <c r="F1116" s="1" t="str">
        <f aca="false">INDEX(Products!$C$2:$C$101,MATCH(D1116,Products!$A$2:$A$101,0))</f>
        <v>Sports &amp; Outdoors</v>
      </c>
      <c r="G1116" s="6" t="n">
        <f aca="false">Orders!E1116</f>
        <v>1</v>
      </c>
      <c r="H1116" s="16" t="n">
        <f aca="false">INDEX(Products!$D$2:$D$101,MATCH(D1116,Products!$A$2:$A$101,0))</f>
        <v>499</v>
      </c>
      <c r="I1116" s="16" t="n">
        <f aca="false">INDEX(Products!$E$2:$E$101,MATCH(D1116,Products!$A$2:$A$101,0))</f>
        <v>200</v>
      </c>
      <c r="J1116" s="20" t="n">
        <f aca="false">Orders!F1116</f>
        <v>0.05</v>
      </c>
      <c r="K1116" s="6" t="n">
        <f aca="false">G1116*H1116</f>
        <v>499</v>
      </c>
      <c r="L1116" s="6" t="n">
        <f aca="false">K1116*J1116</f>
        <v>24.95</v>
      </c>
      <c r="M1116" s="6" t="n">
        <f aca="false">K1116-L1116</f>
        <v>474.05</v>
      </c>
      <c r="N1116" s="6" t="n">
        <f aca="false">G1116*I1116</f>
        <v>200</v>
      </c>
      <c r="O1116" s="6" t="n">
        <f aca="false">M1116-N1116</f>
        <v>274.05</v>
      </c>
      <c r="P1116" s="21" t="n">
        <f aca="false">IFERROR(O1116/M1116,0)</f>
        <v>0.578103575572197</v>
      </c>
      <c r="Q1116" s="6" t="str">
        <f aca="false">Orders!H1116</f>
        <v>Shipped</v>
      </c>
      <c r="R1116" s="1" t="str">
        <f aca="false">INDEX(Customers!$C$2:$C$301,MATCH(C1116,Customers!$A$2:$A$301,0))</f>
        <v>Chandigarh</v>
      </c>
      <c r="S1116" s="1" t="str">
        <f aca="false">INDEX(Customers!$E$2:$E$301,MATCH(C1116,Customers!$A$2:$A$301,0))</f>
        <v>New</v>
      </c>
      <c r="T1116" s="6" t="str">
        <f aca="false">Orders!I1116</f>
        <v>Mobile App</v>
      </c>
      <c r="U1116" s="1" t="str">
        <f aca="false">IF(Q1116="Delivered","Completed",IF(Q1116="Cancelled","Cancelled",IF(Q1116="Returned","Returned","In Progress")))</f>
        <v>In Progress</v>
      </c>
      <c r="V1116" s="1" t="str">
        <f aca="false">IF(M1116&gt;=10000,"High Value",IF(M1116&gt;=5000,"Medium Value","Low Value"))</f>
        <v>Low Value</v>
      </c>
      <c r="W1116" s="1" t="str">
        <f aca="false">IF(O1116&gt;0,"Profitable",IF(O1116=0,"Break-even","Loss"))</f>
        <v>Profitable</v>
      </c>
      <c r="X1116" s="1" t="str">
        <f aca="false">IF(Q1116="Cancelled","Not Applicable",IF(Q1116="Processing","Pending",IF(B1116="","Unknown",IF(Orders!J1116="","Unknown",IF(Orders!J1116&lt;=3,"Fast",IF(Orders!J1116&lt;=6,"Standard","Slow"))))))</f>
        <v>Slow</v>
      </c>
      <c r="Y1116" s="1" t="n">
        <f aca="false">IF(OR(Q1116="Cancelled",Q1116="Returned"),0,O1116)</f>
        <v>274.05</v>
      </c>
    </row>
    <row r="1117" customFormat="false" ht="15" hidden="false" customHeight="false" outlineLevel="0" collapsed="false">
      <c r="A1117" s="6" t="str">
        <f aca="false">Orders!A1117</f>
        <v>O001116</v>
      </c>
      <c r="B1117" s="19" t="n">
        <f aca="false">Orders!B1117</f>
        <v>45856</v>
      </c>
      <c r="C1117" s="6" t="str">
        <f aca="false">Orders!C1117</f>
        <v>C0271</v>
      </c>
      <c r="D1117" s="6" t="str">
        <f aca="false">Orders!D1117</f>
        <v>P1074</v>
      </c>
      <c r="E1117" s="6" t="str">
        <f aca="false">INDEX(Products!$B$2:$B$101,MATCH(D1117,Products!$A$2:$A$101,0))</f>
        <v>Notebook Pack</v>
      </c>
      <c r="F1117" s="1" t="str">
        <f aca="false">INDEX(Products!$C$2:$C$101,MATCH(D1117,Products!$A$2:$A$101,0))</f>
        <v>Books &amp; Stationery</v>
      </c>
      <c r="G1117" s="6" t="n">
        <f aca="false">Orders!E1117</f>
        <v>2</v>
      </c>
      <c r="H1117" s="16" t="n">
        <f aca="false">INDEX(Products!$D$2:$D$101,MATCH(D1117,Products!$A$2:$A$101,0))</f>
        <v>299</v>
      </c>
      <c r="I1117" s="16" t="n">
        <f aca="false">INDEX(Products!$E$2:$E$101,MATCH(D1117,Products!$A$2:$A$101,0))</f>
        <v>110</v>
      </c>
      <c r="J1117" s="20" t="n">
        <f aca="false">Orders!F1117</f>
        <v>0.05</v>
      </c>
      <c r="K1117" s="6" t="n">
        <f aca="false">G1117*H1117</f>
        <v>598</v>
      </c>
      <c r="L1117" s="6" t="n">
        <f aca="false">K1117*J1117</f>
        <v>29.9</v>
      </c>
      <c r="M1117" s="6" t="n">
        <f aca="false">K1117-L1117</f>
        <v>568.1</v>
      </c>
      <c r="N1117" s="6" t="n">
        <f aca="false">G1117*I1117</f>
        <v>220</v>
      </c>
      <c r="O1117" s="6" t="n">
        <f aca="false">M1117-N1117</f>
        <v>348.1</v>
      </c>
      <c r="P1117" s="21" t="n">
        <f aca="false">IFERROR(O1117/M1117,0)</f>
        <v>0.612744235169864</v>
      </c>
      <c r="Q1117" s="6" t="str">
        <f aca="false">Orders!H1117</f>
        <v>Delivered</v>
      </c>
      <c r="R1117" s="1" t="str">
        <f aca="false">INDEX(Customers!$C$2:$C$301,MATCH(C1117,Customers!$A$2:$A$301,0))</f>
        <v>Gurugram</v>
      </c>
      <c r="S1117" s="1" t="str">
        <f aca="false">INDEX(Customers!$E$2:$E$301,MATCH(C1117,Customers!$A$2:$A$301,0))</f>
        <v>New</v>
      </c>
      <c r="T1117" s="6" t="str">
        <f aca="false">Orders!I1117</f>
        <v>Marketplace</v>
      </c>
      <c r="U1117" s="1" t="str">
        <f aca="false">IF(Q1117="Delivered","Completed",IF(Q1117="Cancelled","Cancelled",IF(Q1117="Returned","Returned","In Progress")))</f>
        <v>Completed</v>
      </c>
      <c r="V1117" s="1" t="str">
        <f aca="false">IF(M1117&gt;=10000,"High Value",IF(M1117&gt;=5000,"Medium Value","Low Value"))</f>
        <v>Low Value</v>
      </c>
      <c r="W1117" s="1" t="str">
        <f aca="false">IF(O1117&gt;0,"Profitable",IF(O1117=0,"Break-even","Loss"))</f>
        <v>Profitable</v>
      </c>
      <c r="X1117" s="1" t="str">
        <f aca="false">IF(Q1117="Cancelled","Not Applicable",IF(Q1117="Processing","Pending",IF(B1117="","Unknown",IF(Orders!J1117="","Unknown",IF(Orders!J1117&lt;=3,"Fast",IF(Orders!J1117&lt;=6,"Standard","Slow"))))))</f>
        <v>Standard</v>
      </c>
      <c r="Y1117" s="1" t="n">
        <f aca="false">IF(OR(Q1117="Cancelled",Q1117="Returned"),0,O1117)</f>
        <v>348.1</v>
      </c>
    </row>
    <row r="1118" customFormat="false" ht="23.85" hidden="false" customHeight="false" outlineLevel="0" collapsed="false">
      <c r="A1118" s="6" t="str">
        <f aca="false">Orders!A1118</f>
        <v>O001117</v>
      </c>
      <c r="B1118" s="19" t="n">
        <f aca="false">Orders!B1118</f>
        <v>45717</v>
      </c>
      <c r="C1118" s="6" t="str">
        <f aca="false">Orders!C1118</f>
        <v>C0050</v>
      </c>
      <c r="D1118" s="6" t="str">
        <f aca="false">Orders!D1118</f>
        <v>P1061</v>
      </c>
      <c r="E1118" s="6" t="str">
        <f aca="false">INDEX(Products!$B$2:$B$101,MATCH(D1118,Products!$A$2:$A$101,0))</f>
        <v>Resistance Bands</v>
      </c>
      <c r="F1118" s="1" t="str">
        <f aca="false">INDEX(Products!$C$2:$C$101,MATCH(D1118,Products!$A$2:$A$101,0))</f>
        <v>Sports &amp; Outdoors</v>
      </c>
      <c r="G1118" s="6" t="n">
        <f aca="false">Orders!E1118</f>
        <v>4</v>
      </c>
      <c r="H1118" s="16" t="n">
        <f aca="false">INDEX(Products!$D$2:$D$101,MATCH(D1118,Products!$A$2:$A$101,0))</f>
        <v>399</v>
      </c>
      <c r="I1118" s="16" t="n">
        <f aca="false">INDEX(Products!$E$2:$E$101,MATCH(D1118,Products!$A$2:$A$101,0))</f>
        <v>150</v>
      </c>
      <c r="J1118" s="20" t="n">
        <f aca="false">Orders!F1118</f>
        <v>0.1</v>
      </c>
      <c r="K1118" s="6" t="n">
        <f aca="false">G1118*H1118</f>
        <v>1596</v>
      </c>
      <c r="L1118" s="6" t="n">
        <f aca="false">K1118*J1118</f>
        <v>159.6</v>
      </c>
      <c r="M1118" s="6" t="n">
        <f aca="false">K1118-L1118</f>
        <v>1436.4</v>
      </c>
      <c r="N1118" s="6" t="n">
        <f aca="false">G1118*I1118</f>
        <v>600</v>
      </c>
      <c r="O1118" s="6" t="n">
        <f aca="false">M1118-N1118</f>
        <v>836.4</v>
      </c>
      <c r="P1118" s="21" t="n">
        <f aca="false">IFERROR(O1118/M1118,0)</f>
        <v>0.582289055973267</v>
      </c>
      <c r="Q1118" s="6" t="str">
        <f aca="false">Orders!H1118</f>
        <v>Processing</v>
      </c>
      <c r="R1118" s="1" t="str">
        <f aca="false">INDEX(Customers!$C$2:$C$301,MATCH(C1118,Customers!$A$2:$A$301,0))</f>
        <v>Lucknow</v>
      </c>
      <c r="S1118" s="1" t="str">
        <f aca="false">INDEX(Customers!$E$2:$E$301,MATCH(C1118,Customers!$A$2:$A$301,0))</f>
        <v>New</v>
      </c>
      <c r="T1118" s="6" t="str">
        <f aca="false">Orders!I1118</f>
        <v>Marketplace</v>
      </c>
      <c r="U1118" s="1" t="str">
        <f aca="false">IF(Q1118="Delivered","Completed",IF(Q1118="Cancelled","Cancelled",IF(Q1118="Returned","Returned","In Progress")))</f>
        <v>In Progress</v>
      </c>
      <c r="V1118" s="1" t="str">
        <f aca="false">IF(M1118&gt;=10000,"High Value",IF(M1118&gt;=5000,"Medium Value","Low Value"))</f>
        <v>Low Value</v>
      </c>
      <c r="W1118" s="1" t="str">
        <f aca="false">IF(O1118&gt;0,"Profitable",IF(O1118=0,"Break-even","Loss"))</f>
        <v>Profitable</v>
      </c>
      <c r="X1118" s="1" t="str">
        <f aca="false">IF(Q1118="Cancelled","Not Applicable",IF(Q1118="Processing","Pending",IF(B1118="","Unknown",IF(Orders!J1118="","Unknown",IF(Orders!J1118&lt;=3,"Fast",IF(Orders!J1118&lt;=6,"Standard","Slow"))))))</f>
        <v>Pending</v>
      </c>
      <c r="Y1118" s="1" t="n">
        <f aca="false">IF(OR(Q1118="Cancelled",Q1118="Returned"),0,O1118)</f>
        <v>836.4</v>
      </c>
    </row>
    <row r="1119" customFormat="false" ht="15" hidden="false" customHeight="false" outlineLevel="0" collapsed="false">
      <c r="A1119" s="6" t="str">
        <f aca="false">Orders!A1119</f>
        <v>O001118</v>
      </c>
      <c r="B1119" s="19" t="n">
        <f aca="false">Orders!B1119</f>
        <v>45835</v>
      </c>
      <c r="C1119" s="6" t="str">
        <f aca="false">Orders!C1119</f>
        <v>C0051</v>
      </c>
      <c r="D1119" s="6" t="str">
        <f aca="false">Orders!D1119</f>
        <v>P1078</v>
      </c>
      <c r="E1119" s="6" t="str">
        <f aca="false">INDEX(Products!$B$2:$B$101,MATCH(D1119,Products!$A$2:$A$101,0))</f>
        <v>Sketchbook</v>
      </c>
      <c r="F1119" s="1" t="str">
        <f aca="false">INDEX(Products!$C$2:$C$101,MATCH(D1119,Products!$A$2:$A$101,0))</f>
        <v>Books &amp; Stationery</v>
      </c>
      <c r="G1119" s="6" t="n">
        <f aca="false">Orders!E1119</f>
        <v>1</v>
      </c>
      <c r="H1119" s="16" t="n">
        <f aca="false">INDEX(Products!$D$2:$D$101,MATCH(D1119,Products!$A$2:$A$101,0))</f>
        <v>249</v>
      </c>
      <c r="I1119" s="16" t="n">
        <f aca="false">INDEX(Products!$E$2:$E$101,MATCH(D1119,Products!$A$2:$A$101,0))</f>
        <v>90</v>
      </c>
      <c r="J1119" s="20" t="n">
        <f aca="false">Orders!F1119</f>
        <v>0.05</v>
      </c>
      <c r="K1119" s="6" t="n">
        <f aca="false">G1119*H1119</f>
        <v>249</v>
      </c>
      <c r="L1119" s="6" t="n">
        <f aca="false">K1119*J1119</f>
        <v>12.45</v>
      </c>
      <c r="M1119" s="6" t="n">
        <f aca="false">K1119-L1119</f>
        <v>236.55</v>
      </c>
      <c r="N1119" s="6" t="n">
        <f aca="false">G1119*I1119</f>
        <v>90</v>
      </c>
      <c r="O1119" s="6" t="n">
        <f aca="false">M1119-N1119</f>
        <v>146.55</v>
      </c>
      <c r="P1119" s="21" t="n">
        <f aca="false">IFERROR(O1119/M1119,0)</f>
        <v>0.619530754597337</v>
      </c>
      <c r="Q1119" s="6" t="str">
        <f aca="false">Orders!H1119</f>
        <v>Delivered</v>
      </c>
      <c r="R1119" s="1" t="str">
        <f aca="false">INDEX(Customers!$C$2:$C$301,MATCH(C1119,Customers!$A$2:$A$301,0))</f>
        <v>Gurugram</v>
      </c>
      <c r="S1119" s="1" t="str">
        <f aca="false">INDEX(Customers!$E$2:$E$301,MATCH(C1119,Customers!$A$2:$A$301,0))</f>
        <v>VIP</v>
      </c>
      <c r="T1119" s="6" t="str">
        <f aca="false">Orders!I1119</f>
        <v>Mobile App</v>
      </c>
      <c r="U1119" s="1" t="str">
        <f aca="false">IF(Q1119="Delivered","Completed",IF(Q1119="Cancelled","Cancelled",IF(Q1119="Returned","Returned","In Progress")))</f>
        <v>Completed</v>
      </c>
      <c r="V1119" s="1" t="str">
        <f aca="false">IF(M1119&gt;=10000,"High Value",IF(M1119&gt;=5000,"Medium Value","Low Value"))</f>
        <v>Low Value</v>
      </c>
      <c r="W1119" s="1" t="str">
        <f aca="false">IF(O1119&gt;0,"Profitable",IF(O1119=0,"Break-even","Loss"))</f>
        <v>Profitable</v>
      </c>
      <c r="X1119" s="1" t="str">
        <f aca="false">IF(Q1119="Cancelled","Not Applicable",IF(Q1119="Processing","Pending",IF(B1119="","Unknown",IF(Orders!J1119="","Unknown",IF(Orders!J1119&lt;=3,"Fast",IF(Orders!J1119&lt;=6,"Standard","Slow"))))))</f>
        <v>Slow</v>
      </c>
      <c r="Y1119" s="1" t="n">
        <f aca="false">IF(OR(Q1119="Cancelled",Q1119="Returned"),0,O1119)</f>
        <v>146.55</v>
      </c>
    </row>
    <row r="1120" customFormat="false" ht="23.85" hidden="false" customHeight="false" outlineLevel="0" collapsed="false">
      <c r="A1120" s="6" t="str">
        <f aca="false">Orders!A1120</f>
        <v>O001119</v>
      </c>
      <c r="B1120" s="19" t="n">
        <f aca="false">Orders!B1120</f>
        <v>45891</v>
      </c>
      <c r="C1120" s="6" t="str">
        <f aca="false">Orders!C1120</f>
        <v>C0224</v>
      </c>
      <c r="D1120" s="6" t="str">
        <f aca="false">Orders!D1120</f>
        <v>P1031</v>
      </c>
      <c r="E1120" s="6" t="str">
        <f aca="false">INDEX(Products!$B$2:$B$101,MATCH(D1120,Products!$A$2:$A$101,0))</f>
        <v>Storage Container Set</v>
      </c>
      <c r="F1120" s="1" t="str">
        <f aca="false">INDEX(Products!$C$2:$C$101,MATCH(D1120,Products!$A$2:$A$101,0))</f>
        <v>Home &amp; Kitchen</v>
      </c>
      <c r="G1120" s="6" t="n">
        <f aca="false">Orders!E1120</f>
        <v>1</v>
      </c>
      <c r="H1120" s="16" t="n">
        <f aca="false">INDEX(Products!$D$2:$D$101,MATCH(D1120,Products!$A$2:$A$101,0))</f>
        <v>699</v>
      </c>
      <c r="I1120" s="16" t="n">
        <f aca="false">INDEX(Products!$E$2:$E$101,MATCH(D1120,Products!$A$2:$A$101,0))</f>
        <v>300</v>
      </c>
      <c r="J1120" s="20" t="n">
        <f aca="false">Orders!F1120</f>
        <v>0.1</v>
      </c>
      <c r="K1120" s="6" t="n">
        <f aca="false">G1120*H1120</f>
        <v>699</v>
      </c>
      <c r="L1120" s="6" t="n">
        <f aca="false">K1120*J1120</f>
        <v>69.9</v>
      </c>
      <c r="M1120" s="6" t="n">
        <f aca="false">K1120-L1120</f>
        <v>629.1</v>
      </c>
      <c r="N1120" s="6" t="n">
        <f aca="false">G1120*I1120</f>
        <v>300</v>
      </c>
      <c r="O1120" s="6" t="n">
        <f aca="false">M1120-N1120</f>
        <v>329.1</v>
      </c>
      <c r="P1120" s="21" t="n">
        <f aca="false">IFERROR(O1120/M1120,0)</f>
        <v>0.523128278493085</v>
      </c>
      <c r="Q1120" s="6" t="str">
        <f aca="false">Orders!H1120</f>
        <v>Delivered</v>
      </c>
      <c r="R1120" s="1" t="str">
        <f aca="false">INDEX(Customers!$C$2:$C$301,MATCH(C1120,Customers!$A$2:$A$301,0))</f>
        <v>Hyderabad</v>
      </c>
      <c r="S1120" s="1" t="str">
        <f aca="false">INDEX(Customers!$E$2:$E$301,MATCH(C1120,Customers!$A$2:$A$301,0))</f>
        <v>Returning</v>
      </c>
      <c r="T1120" s="6" t="str">
        <f aca="false">Orders!I1120</f>
        <v>Mobile App</v>
      </c>
      <c r="U1120" s="1" t="str">
        <f aca="false">IF(Q1120="Delivered","Completed",IF(Q1120="Cancelled","Cancelled",IF(Q1120="Returned","Returned","In Progress")))</f>
        <v>Completed</v>
      </c>
      <c r="V1120" s="1" t="str">
        <f aca="false">IF(M1120&gt;=10000,"High Value",IF(M1120&gt;=5000,"Medium Value","Low Value"))</f>
        <v>Low Value</v>
      </c>
      <c r="W1120" s="1" t="str">
        <f aca="false">IF(O1120&gt;0,"Profitable",IF(O1120=0,"Break-even","Loss"))</f>
        <v>Profitable</v>
      </c>
      <c r="X1120" s="1" t="str">
        <f aca="false">IF(Q1120="Cancelled","Not Applicable",IF(Q1120="Processing","Pending",IF(B1120="","Unknown",IF(Orders!J1120="","Unknown",IF(Orders!J1120&lt;=3,"Fast",IF(Orders!J1120&lt;=6,"Standard","Slow"))))))</f>
        <v>Fast</v>
      </c>
      <c r="Y1120" s="1" t="n">
        <f aca="false">IF(OR(Q1120="Cancelled",Q1120="Returned"),0,O1120)</f>
        <v>329.1</v>
      </c>
    </row>
    <row r="1121" customFormat="false" ht="15" hidden="false" customHeight="false" outlineLevel="0" collapsed="false">
      <c r="A1121" s="6" t="str">
        <f aca="false">Orders!A1121</f>
        <v>O001120</v>
      </c>
      <c r="B1121" s="19" t="n">
        <f aca="false">Orders!B1121</f>
        <v>45665</v>
      </c>
      <c r="C1121" s="6" t="str">
        <f aca="false">Orders!C1121</f>
        <v>C0250</v>
      </c>
      <c r="D1121" s="6" t="str">
        <f aca="false">Orders!D1121</f>
        <v>P1036</v>
      </c>
      <c r="E1121" s="6" t="str">
        <f aca="false">INDEX(Products!$B$2:$B$101,MATCH(D1121,Products!$A$2:$A$101,0))</f>
        <v>Dinner Set</v>
      </c>
      <c r="F1121" s="1" t="str">
        <f aca="false">INDEX(Products!$C$2:$C$101,MATCH(D1121,Products!$A$2:$A$101,0))</f>
        <v>Home &amp; Kitchen</v>
      </c>
      <c r="G1121" s="6" t="n">
        <f aca="false">Orders!E1121</f>
        <v>2</v>
      </c>
      <c r="H1121" s="16" t="n">
        <f aca="false">INDEX(Products!$D$2:$D$101,MATCH(D1121,Products!$A$2:$A$101,0))</f>
        <v>1499</v>
      </c>
      <c r="I1121" s="16" t="n">
        <f aca="false">INDEX(Products!$E$2:$E$101,MATCH(D1121,Products!$A$2:$A$101,0))</f>
        <v>800</v>
      </c>
      <c r="J1121" s="20" t="n">
        <f aca="false">Orders!F1121</f>
        <v>0.1</v>
      </c>
      <c r="K1121" s="6" t="n">
        <f aca="false">G1121*H1121</f>
        <v>2998</v>
      </c>
      <c r="L1121" s="6" t="n">
        <f aca="false">K1121*J1121</f>
        <v>299.8</v>
      </c>
      <c r="M1121" s="6" t="n">
        <f aca="false">K1121-L1121</f>
        <v>2698.2</v>
      </c>
      <c r="N1121" s="6" t="n">
        <f aca="false">G1121*I1121</f>
        <v>1600</v>
      </c>
      <c r="O1121" s="6" t="n">
        <f aca="false">M1121-N1121</f>
        <v>1098.2</v>
      </c>
      <c r="P1121" s="21" t="n">
        <f aca="false">IFERROR(O1121/M1121,0)</f>
        <v>0.407012082128827</v>
      </c>
      <c r="Q1121" s="6" t="str">
        <f aca="false">Orders!H1121</f>
        <v>Delivered</v>
      </c>
      <c r="R1121" s="1" t="str">
        <f aca="false">INDEX(Customers!$C$2:$C$301,MATCH(C1121,Customers!$A$2:$A$301,0))</f>
        <v>Lucknow</v>
      </c>
      <c r="S1121" s="1" t="str">
        <f aca="false">INDEX(Customers!$E$2:$E$301,MATCH(C1121,Customers!$A$2:$A$301,0))</f>
        <v>Returning</v>
      </c>
      <c r="T1121" s="6" t="str">
        <f aca="false">Orders!I1121</f>
        <v>Marketplace</v>
      </c>
      <c r="U1121" s="1" t="str">
        <f aca="false">IF(Q1121="Delivered","Completed",IF(Q1121="Cancelled","Cancelled",IF(Q1121="Returned","Returned","In Progress")))</f>
        <v>Completed</v>
      </c>
      <c r="V1121" s="1" t="str">
        <f aca="false">IF(M1121&gt;=10000,"High Value",IF(M1121&gt;=5000,"Medium Value","Low Value"))</f>
        <v>Low Value</v>
      </c>
      <c r="W1121" s="1" t="str">
        <f aca="false">IF(O1121&gt;0,"Profitable",IF(O1121=0,"Break-even","Loss"))</f>
        <v>Profitable</v>
      </c>
      <c r="X1121" s="1" t="str">
        <f aca="false">IF(Q1121="Cancelled","Not Applicable",IF(Q1121="Processing","Pending",IF(B1121="","Unknown",IF(Orders!J1121="","Unknown",IF(Orders!J1121&lt;=3,"Fast",IF(Orders!J1121&lt;=6,"Standard","Slow"))))))</f>
        <v>Slow</v>
      </c>
      <c r="Y1121" s="1" t="n">
        <f aca="false">IF(OR(Q1121="Cancelled",Q1121="Returned"),0,O1121)</f>
        <v>1098.2</v>
      </c>
    </row>
    <row r="1122" customFormat="false" ht="15" hidden="false" customHeight="false" outlineLevel="0" collapsed="false">
      <c r="A1122" s="6" t="str">
        <f aca="false">Orders!A1122</f>
        <v>O001121</v>
      </c>
      <c r="B1122" s="19" t="n">
        <f aca="false">Orders!B1122</f>
        <v>45912</v>
      </c>
      <c r="C1122" s="6" t="str">
        <f aca="false">Orders!C1122</f>
        <v>C0149</v>
      </c>
      <c r="D1122" s="6" t="str">
        <f aca="false">Orders!D1122</f>
        <v>P1095</v>
      </c>
      <c r="E1122" s="6" t="str">
        <f aca="false">INDEX(Products!$B$2:$B$101,MATCH(D1122,Products!$A$2:$A$101,0))</f>
        <v>Table Fan</v>
      </c>
      <c r="F1122" s="1" t="str">
        <f aca="false">INDEX(Products!$C$2:$C$101,MATCH(D1122,Products!$A$2:$A$101,0))</f>
        <v>Appliances</v>
      </c>
      <c r="G1122" s="6" t="n">
        <f aca="false">Orders!E1122</f>
        <v>2</v>
      </c>
      <c r="H1122" s="16" t="n">
        <f aca="false">INDEX(Products!$D$2:$D$101,MATCH(D1122,Products!$A$2:$A$101,0))</f>
        <v>1599</v>
      </c>
      <c r="I1122" s="16" t="n">
        <f aca="false">INDEX(Products!$E$2:$E$101,MATCH(D1122,Products!$A$2:$A$101,0))</f>
        <v>950</v>
      </c>
      <c r="J1122" s="20" t="n">
        <f aca="false">Orders!F1122</f>
        <v>0.1</v>
      </c>
      <c r="K1122" s="6" t="n">
        <f aca="false">G1122*H1122</f>
        <v>3198</v>
      </c>
      <c r="L1122" s="6" t="n">
        <f aca="false">K1122*J1122</f>
        <v>319.8</v>
      </c>
      <c r="M1122" s="6" t="n">
        <f aca="false">K1122-L1122</f>
        <v>2878.2</v>
      </c>
      <c r="N1122" s="6" t="n">
        <f aca="false">G1122*I1122</f>
        <v>1900</v>
      </c>
      <c r="O1122" s="6" t="n">
        <f aca="false">M1122-N1122</f>
        <v>978.2</v>
      </c>
      <c r="P1122" s="21" t="n">
        <f aca="false">IFERROR(O1122/M1122,0)</f>
        <v>0.33986519352373</v>
      </c>
      <c r="Q1122" s="6" t="str">
        <f aca="false">Orders!H1122</f>
        <v>Delivered</v>
      </c>
      <c r="R1122" s="1" t="str">
        <f aca="false">INDEX(Customers!$C$2:$C$301,MATCH(C1122,Customers!$A$2:$A$301,0))</f>
        <v>Ahmedabad</v>
      </c>
      <c r="S1122" s="1" t="str">
        <f aca="false">INDEX(Customers!$E$2:$E$301,MATCH(C1122,Customers!$A$2:$A$301,0))</f>
        <v>VIP</v>
      </c>
      <c r="T1122" s="6" t="str">
        <f aca="false">Orders!I1122</f>
        <v>Mobile App</v>
      </c>
      <c r="U1122" s="1" t="str">
        <f aca="false">IF(Q1122="Delivered","Completed",IF(Q1122="Cancelled","Cancelled",IF(Q1122="Returned","Returned","In Progress")))</f>
        <v>Completed</v>
      </c>
      <c r="V1122" s="1" t="str">
        <f aca="false">IF(M1122&gt;=10000,"High Value",IF(M1122&gt;=5000,"Medium Value","Low Value"))</f>
        <v>Low Value</v>
      </c>
      <c r="W1122" s="1" t="str">
        <f aca="false">IF(O1122&gt;0,"Profitable",IF(O1122=0,"Break-even","Loss"))</f>
        <v>Profitable</v>
      </c>
      <c r="X1122" s="1" t="str">
        <f aca="false">IF(Q1122="Cancelled","Not Applicable",IF(Q1122="Processing","Pending",IF(B1122="","Unknown",IF(Orders!J1122="","Unknown",IF(Orders!J1122&lt;=3,"Fast",IF(Orders!J1122&lt;=6,"Standard","Slow"))))))</f>
        <v>Fast</v>
      </c>
      <c r="Y1122" s="1" t="n">
        <f aca="false">IF(OR(Q1122="Cancelled",Q1122="Returned"),0,O1122)</f>
        <v>978.2</v>
      </c>
    </row>
    <row r="1123" customFormat="false" ht="23.85" hidden="false" customHeight="false" outlineLevel="0" collapsed="false">
      <c r="A1123" s="6" t="str">
        <f aca="false">Orders!A1123</f>
        <v>O001122</v>
      </c>
      <c r="B1123" s="19" t="n">
        <f aca="false">Orders!B1123</f>
        <v>45731</v>
      </c>
      <c r="C1123" s="6" t="str">
        <f aca="false">Orders!C1123</f>
        <v>C0279</v>
      </c>
      <c r="D1123" s="6" t="str">
        <f aca="false">Orders!D1123</f>
        <v>P1053</v>
      </c>
      <c r="E1123" s="6" t="str">
        <f aca="false">INDEX(Products!$B$2:$B$101,MATCH(D1123,Products!$A$2:$A$101,0))</f>
        <v>Makeup Brush Set</v>
      </c>
      <c r="F1123" s="1" t="str">
        <f aca="false">INDEX(Products!$C$2:$C$101,MATCH(D1123,Products!$A$2:$A$101,0))</f>
        <v>Beauty</v>
      </c>
      <c r="G1123" s="6" t="n">
        <f aca="false">Orders!E1123</f>
        <v>2</v>
      </c>
      <c r="H1123" s="16" t="n">
        <f aca="false">INDEX(Products!$D$2:$D$101,MATCH(D1123,Products!$A$2:$A$101,0))</f>
        <v>599</v>
      </c>
      <c r="I1123" s="16" t="n">
        <f aca="false">INDEX(Products!$E$2:$E$101,MATCH(D1123,Products!$A$2:$A$101,0))</f>
        <v>250</v>
      </c>
      <c r="J1123" s="20" t="n">
        <f aca="false">Orders!F1123</f>
        <v>0.1</v>
      </c>
      <c r="K1123" s="6" t="n">
        <f aca="false">G1123*H1123</f>
        <v>1198</v>
      </c>
      <c r="L1123" s="6" t="n">
        <f aca="false">K1123*J1123</f>
        <v>119.8</v>
      </c>
      <c r="M1123" s="6" t="n">
        <f aca="false">K1123-L1123</f>
        <v>1078.2</v>
      </c>
      <c r="N1123" s="6" t="n">
        <f aca="false">G1123*I1123</f>
        <v>500</v>
      </c>
      <c r="O1123" s="6" t="n">
        <f aca="false">M1123-N1123</f>
        <v>578.2</v>
      </c>
      <c r="P1123" s="21" t="n">
        <f aca="false">IFERROR(O1123/M1123,0)</f>
        <v>0.53626414394361</v>
      </c>
      <c r="Q1123" s="6" t="str">
        <f aca="false">Orders!H1123</f>
        <v>Delivered</v>
      </c>
      <c r="R1123" s="1" t="str">
        <f aca="false">INDEX(Customers!$C$2:$C$301,MATCH(C1123,Customers!$A$2:$A$301,0))</f>
        <v>Coimbatore</v>
      </c>
      <c r="S1123" s="1" t="str">
        <f aca="false">INDEX(Customers!$E$2:$E$301,MATCH(C1123,Customers!$A$2:$A$301,0))</f>
        <v>Returning</v>
      </c>
      <c r="T1123" s="6" t="str">
        <f aca="false">Orders!I1123</f>
        <v>Website</v>
      </c>
      <c r="U1123" s="1" t="str">
        <f aca="false">IF(Q1123="Delivered","Completed",IF(Q1123="Cancelled","Cancelled",IF(Q1123="Returned","Returned","In Progress")))</f>
        <v>Completed</v>
      </c>
      <c r="V1123" s="1" t="str">
        <f aca="false">IF(M1123&gt;=10000,"High Value",IF(M1123&gt;=5000,"Medium Value","Low Value"))</f>
        <v>Low Value</v>
      </c>
      <c r="W1123" s="1" t="str">
        <f aca="false">IF(O1123&gt;0,"Profitable",IF(O1123=0,"Break-even","Loss"))</f>
        <v>Profitable</v>
      </c>
      <c r="X1123" s="1" t="str">
        <f aca="false">IF(Q1123="Cancelled","Not Applicable",IF(Q1123="Processing","Pending",IF(B1123="","Unknown",IF(Orders!J1123="","Unknown",IF(Orders!J1123&lt;=3,"Fast",IF(Orders!J1123&lt;=6,"Standard","Slow"))))))</f>
        <v>Standard</v>
      </c>
      <c r="Y1123" s="1" t="n">
        <f aca="false">IF(OR(Q1123="Cancelled",Q1123="Returned"),0,O1123)</f>
        <v>578.2</v>
      </c>
    </row>
    <row r="1124" customFormat="false" ht="15" hidden="false" customHeight="false" outlineLevel="0" collapsed="false">
      <c r="A1124" s="6" t="str">
        <f aca="false">Orders!A1124</f>
        <v>O001123</v>
      </c>
      <c r="B1124" s="19" t="n">
        <f aca="false">Orders!B1124</f>
        <v>45784</v>
      </c>
      <c r="C1124" s="6" t="str">
        <f aca="false">Orders!C1124</f>
        <v>C0289</v>
      </c>
      <c r="D1124" s="6" t="str">
        <f aca="false">Orders!D1124</f>
        <v>P1077</v>
      </c>
      <c r="E1124" s="6" t="str">
        <f aca="false">INDEX(Products!$B$2:$B$101,MATCH(D1124,Products!$A$2:$A$101,0))</f>
        <v>Planner</v>
      </c>
      <c r="F1124" s="1" t="str">
        <f aca="false">INDEX(Products!$C$2:$C$101,MATCH(D1124,Products!$A$2:$A$101,0))</f>
        <v>Books &amp; Stationery</v>
      </c>
      <c r="G1124" s="6" t="n">
        <f aca="false">Orders!E1124</f>
        <v>1</v>
      </c>
      <c r="H1124" s="16" t="n">
        <f aca="false">INDEX(Products!$D$2:$D$101,MATCH(D1124,Products!$A$2:$A$101,0))</f>
        <v>349</v>
      </c>
      <c r="I1124" s="16" t="n">
        <f aca="false">INDEX(Products!$E$2:$E$101,MATCH(D1124,Products!$A$2:$A$101,0))</f>
        <v>130</v>
      </c>
      <c r="J1124" s="20" t="n">
        <f aca="false">Orders!F1124</f>
        <v>0.1</v>
      </c>
      <c r="K1124" s="6" t="n">
        <f aca="false">G1124*H1124</f>
        <v>349</v>
      </c>
      <c r="L1124" s="6" t="n">
        <f aca="false">K1124*J1124</f>
        <v>34.9</v>
      </c>
      <c r="M1124" s="6" t="n">
        <f aca="false">K1124-L1124</f>
        <v>314.1</v>
      </c>
      <c r="N1124" s="6" t="n">
        <f aca="false">G1124*I1124</f>
        <v>130</v>
      </c>
      <c r="O1124" s="6" t="n">
        <f aca="false">M1124-N1124</f>
        <v>184.1</v>
      </c>
      <c r="P1124" s="21" t="n">
        <f aca="false">IFERROR(O1124/M1124,0)</f>
        <v>0.586119070359758</v>
      </c>
      <c r="Q1124" s="6" t="str">
        <f aca="false">Orders!H1124</f>
        <v>Delivered</v>
      </c>
      <c r="R1124" s="1" t="str">
        <f aca="false">INDEX(Customers!$C$2:$C$301,MATCH(C1124,Customers!$A$2:$A$301,0))</f>
        <v>Ahmedabad</v>
      </c>
      <c r="S1124" s="1" t="str">
        <f aca="false">INDEX(Customers!$E$2:$E$301,MATCH(C1124,Customers!$A$2:$A$301,0))</f>
        <v>Returning</v>
      </c>
      <c r="T1124" s="6" t="str">
        <f aca="false">Orders!I1124</f>
        <v>Mobile App</v>
      </c>
      <c r="U1124" s="1" t="str">
        <f aca="false">IF(Q1124="Delivered","Completed",IF(Q1124="Cancelled","Cancelled",IF(Q1124="Returned","Returned","In Progress")))</f>
        <v>Completed</v>
      </c>
      <c r="V1124" s="1" t="str">
        <f aca="false">IF(M1124&gt;=10000,"High Value",IF(M1124&gt;=5000,"Medium Value","Low Value"))</f>
        <v>Low Value</v>
      </c>
      <c r="W1124" s="1" t="str">
        <f aca="false">IF(O1124&gt;0,"Profitable",IF(O1124=0,"Break-even","Loss"))</f>
        <v>Profitable</v>
      </c>
      <c r="X1124" s="1" t="str">
        <f aca="false">IF(Q1124="Cancelled","Not Applicable",IF(Q1124="Processing","Pending",IF(B1124="","Unknown",IF(Orders!J1124="","Unknown",IF(Orders!J1124&lt;=3,"Fast",IF(Orders!J1124&lt;=6,"Standard","Slow"))))))</f>
        <v>Slow</v>
      </c>
      <c r="Y1124" s="1" t="n">
        <f aca="false">IF(OR(Q1124="Cancelled",Q1124="Returned"),0,O1124)</f>
        <v>184.1</v>
      </c>
    </row>
    <row r="1125" customFormat="false" ht="15" hidden="false" customHeight="false" outlineLevel="0" collapsed="false">
      <c r="A1125" s="6" t="str">
        <f aca="false">Orders!A1125</f>
        <v>O001124</v>
      </c>
      <c r="B1125" s="19" t="n">
        <f aca="false">Orders!B1125</f>
        <v>45820</v>
      </c>
      <c r="C1125" s="6" t="str">
        <f aca="false">Orders!C1125</f>
        <v>C0061</v>
      </c>
      <c r="D1125" s="6" t="str">
        <f aca="false">Orders!D1125</f>
        <v>P1005</v>
      </c>
      <c r="E1125" s="6" t="str">
        <f aca="false">INDEX(Products!$B$2:$B$101,MATCH(D1125,Products!$A$2:$A$101,0))</f>
        <v>Power Bank</v>
      </c>
      <c r="F1125" s="1" t="str">
        <f aca="false">INDEX(Products!$C$2:$C$101,MATCH(D1125,Products!$A$2:$A$101,0))</f>
        <v>Electronics</v>
      </c>
      <c r="G1125" s="6" t="n">
        <f aca="false">Orders!E1125</f>
        <v>1</v>
      </c>
      <c r="H1125" s="16" t="n">
        <f aca="false">INDEX(Products!$D$2:$D$101,MATCH(D1125,Products!$A$2:$A$101,0))</f>
        <v>1199</v>
      </c>
      <c r="I1125" s="16" t="n">
        <f aca="false">INDEX(Products!$E$2:$E$101,MATCH(D1125,Products!$A$2:$A$101,0))</f>
        <v>650</v>
      </c>
      <c r="J1125" s="20" t="n">
        <f aca="false">Orders!F1125</f>
        <v>0.05</v>
      </c>
      <c r="K1125" s="6" t="n">
        <f aca="false">G1125*H1125</f>
        <v>1199</v>
      </c>
      <c r="L1125" s="6" t="n">
        <f aca="false">K1125*J1125</f>
        <v>59.95</v>
      </c>
      <c r="M1125" s="6" t="n">
        <f aca="false">K1125-L1125</f>
        <v>1139.05</v>
      </c>
      <c r="N1125" s="6" t="n">
        <f aca="false">G1125*I1125</f>
        <v>650</v>
      </c>
      <c r="O1125" s="6" t="n">
        <f aca="false">M1125-N1125</f>
        <v>489.05</v>
      </c>
      <c r="P1125" s="21" t="n">
        <f aca="false">IFERROR(O1125/M1125,0)</f>
        <v>0.429349018919275</v>
      </c>
      <c r="Q1125" s="6" t="str">
        <f aca="false">Orders!H1125</f>
        <v>Delivered</v>
      </c>
      <c r="R1125" s="1" t="str">
        <f aca="false">INDEX(Customers!$C$2:$C$301,MATCH(C1125,Customers!$A$2:$A$301,0))</f>
        <v>Delhi</v>
      </c>
      <c r="S1125" s="1" t="str">
        <f aca="false">INDEX(Customers!$E$2:$E$301,MATCH(C1125,Customers!$A$2:$A$301,0))</f>
        <v>New</v>
      </c>
      <c r="T1125" s="6" t="str">
        <f aca="false">Orders!I1125</f>
        <v>Mobile App</v>
      </c>
      <c r="U1125" s="1" t="str">
        <f aca="false">IF(Q1125="Delivered","Completed",IF(Q1125="Cancelled","Cancelled",IF(Q1125="Returned","Returned","In Progress")))</f>
        <v>Completed</v>
      </c>
      <c r="V1125" s="1" t="str">
        <f aca="false">IF(M1125&gt;=10000,"High Value",IF(M1125&gt;=5000,"Medium Value","Low Value"))</f>
        <v>Low Value</v>
      </c>
      <c r="W1125" s="1" t="str">
        <f aca="false">IF(O1125&gt;0,"Profitable",IF(O1125=0,"Break-even","Loss"))</f>
        <v>Profitable</v>
      </c>
      <c r="X1125" s="1" t="str">
        <f aca="false">IF(Q1125="Cancelled","Not Applicable",IF(Q1125="Processing","Pending",IF(B1125="","Unknown",IF(Orders!J1125="","Unknown",IF(Orders!J1125&lt;=3,"Fast",IF(Orders!J1125&lt;=6,"Standard","Slow"))))))</f>
        <v>Standard</v>
      </c>
      <c r="Y1125" s="1" t="n">
        <f aca="false">IF(OR(Q1125="Cancelled",Q1125="Returned"),0,O1125)</f>
        <v>489.05</v>
      </c>
    </row>
    <row r="1126" customFormat="false" ht="15" hidden="false" customHeight="false" outlineLevel="0" collapsed="false">
      <c r="A1126" s="6" t="str">
        <f aca="false">Orders!A1126</f>
        <v>O001125</v>
      </c>
      <c r="B1126" s="19" t="n">
        <f aca="false">Orders!B1126</f>
        <v>45931</v>
      </c>
      <c r="C1126" s="6" t="str">
        <f aca="false">Orders!C1126</f>
        <v>C0138</v>
      </c>
      <c r="D1126" s="6" t="str">
        <f aca="false">Orders!D1126</f>
        <v>P1039</v>
      </c>
      <c r="E1126" s="6" t="str">
        <f aca="false">INDEX(Products!$B$2:$B$101,MATCH(D1126,Products!$A$2:$A$101,0))</f>
        <v>Wall Clock</v>
      </c>
      <c r="F1126" s="1" t="str">
        <f aca="false">INDEX(Products!$C$2:$C$101,MATCH(D1126,Products!$A$2:$A$101,0))</f>
        <v>Home &amp; Kitchen</v>
      </c>
      <c r="G1126" s="6" t="n">
        <f aca="false">Orders!E1126</f>
        <v>4</v>
      </c>
      <c r="H1126" s="16" t="n">
        <f aca="false">INDEX(Products!$D$2:$D$101,MATCH(D1126,Products!$A$2:$A$101,0))</f>
        <v>699</v>
      </c>
      <c r="I1126" s="16" t="n">
        <f aca="false">INDEX(Products!$E$2:$E$101,MATCH(D1126,Products!$A$2:$A$101,0))</f>
        <v>300</v>
      </c>
      <c r="J1126" s="20" t="n">
        <f aca="false">Orders!F1126</f>
        <v>0.25</v>
      </c>
      <c r="K1126" s="6" t="n">
        <f aca="false">G1126*H1126</f>
        <v>2796</v>
      </c>
      <c r="L1126" s="6" t="n">
        <f aca="false">K1126*J1126</f>
        <v>699</v>
      </c>
      <c r="M1126" s="6" t="n">
        <f aca="false">K1126-L1126</f>
        <v>2097</v>
      </c>
      <c r="N1126" s="6" t="n">
        <f aca="false">G1126*I1126</f>
        <v>1200</v>
      </c>
      <c r="O1126" s="6" t="n">
        <f aca="false">M1126-N1126</f>
        <v>897</v>
      </c>
      <c r="P1126" s="21" t="n">
        <f aca="false">IFERROR(O1126/M1126,0)</f>
        <v>0.427753934191702</v>
      </c>
      <c r="Q1126" s="6" t="str">
        <f aca="false">Orders!H1126</f>
        <v>Cancelled</v>
      </c>
      <c r="R1126" s="1" t="str">
        <f aca="false">INDEX(Customers!$C$2:$C$301,MATCH(C1126,Customers!$A$2:$A$301,0))</f>
        <v>Nagpur</v>
      </c>
      <c r="S1126" s="1" t="str">
        <f aca="false">INDEX(Customers!$E$2:$E$301,MATCH(C1126,Customers!$A$2:$A$301,0))</f>
        <v>Returning</v>
      </c>
      <c r="T1126" s="6" t="str">
        <f aca="false">Orders!I1126</f>
        <v>Website</v>
      </c>
      <c r="U1126" s="1" t="str">
        <f aca="false">IF(Q1126="Delivered","Completed",IF(Q1126="Cancelled","Cancelled",IF(Q1126="Returned","Returned","In Progress")))</f>
        <v>Cancelled</v>
      </c>
      <c r="V1126" s="1" t="str">
        <f aca="false">IF(M1126&gt;=10000,"High Value",IF(M1126&gt;=5000,"Medium Value","Low Value"))</f>
        <v>Low Value</v>
      </c>
      <c r="W1126" s="1" t="str">
        <f aca="false">IF(O1126&gt;0,"Profitable",IF(O1126=0,"Break-even","Loss"))</f>
        <v>Profitable</v>
      </c>
      <c r="X1126" s="1" t="str">
        <f aca="false">IF(Q1126="Cancelled","Not Applicable",IF(Q1126="Processing","Pending",IF(B1126="","Unknown",IF(Orders!J1126="","Unknown",IF(Orders!J1126&lt;=3,"Fast",IF(Orders!J1126&lt;=6,"Standard","Slow"))))))</f>
        <v>Not Applicable</v>
      </c>
      <c r="Y1126" s="1" t="n">
        <f aca="false">IF(OR(Q1126="Cancelled",Q1126="Returned"),0,O1126)</f>
        <v>0</v>
      </c>
    </row>
    <row r="1127" customFormat="false" ht="15" hidden="false" customHeight="false" outlineLevel="0" collapsed="false">
      <c r="A1127" s="6" t="str">
        <f aca="false">Orders!A1127</f>
        <v>O001126</v>
      </c>
      <c r="B1127" s="19" t="n">
        <f aca="false">Orders!B1127</f>
        <v>45727</v>
      </c>
      <c r="C1127" s="6" t="str">
        <f aca="false">Orders!C1127</f>
        <v>C0166</v>
      </c>
      <c r="D1127" s="6" t="str">
        <f aca="false">Orders!D1127</f>
        <v>P1057</v>
      </c>
      <c r="E1127" s="6" t="str">
        <f aca="false">INDEX(Products!$B$2:$B$101,MATCH(D1127,Products!$A$2:$A$101,0))</f>
        <v>Comb Set</v>
      </c>
      <c r="F1127" s="1" t="str">
        <f aca="false">INDEX(Products!$C$2:$C$101,MATCH(D1127,Products!$A$2:$A$101,0))</f>
        <v>Beauty</v>
      </c>
      <c r="G1127" s="6" t="n">
        <f aca="false">Orders!E1127</f>
        <v>2</v>
      </c>
      <c r="H1127" s="16" t="n">
        <f aca="false">INDEX(Products!$D$2:$D$101,MATCH(D1127,Products!$A$2:$A$101,0))</f>
        <v>199</v>
      </c>
      <c r="I1127" s="16" t="n">
        <f aca="false">INDEX(Products!$E$2:$E$101,MATCH(D1127,Products!$A$2:$A$101,0))</f>
        <v>65</v>
      </c>
      <c r="J1127" s="20" t="n">
        <f aca="false">Orders!F1127</f>
        <v>0.15</v>
      </c>
      <c r="K1127" s="6" t="n">
        <f aca="false">G1127*H1127</f>
        <v>398</v>
      </c>
      <c r="L1127" s="6" t="n">
        <f aca="false">K1127*J1127</f>
        <v>59.7</v>
      </c>
      <c r="M1127" s="6" t="n">
        <f aca="false">K1127-L1127</f>
        <v>338.3</v>
      </c>
      <c r="N1127" s="6" t="n">
        <f aca="false">G1127*I1127</f>
        <v>130</v>
      </c>
      <c r="O1127" s="6" t="n">
        <f aca="false">M1127-N1127</f>
        <v>208.3</v>
      </c>
      <c r="P1127" s="21" t="n">
        <f aca="false">IFERROR(O1127/M1127,0)</f>
        <v>0.615725687259829</v>
      </c>
      <c r="Q1127" s="6" t="str">
        <f aca="false">Orders!H1127</f>
        <v>Delivered</v>
      </c>
      <c r="R1127" s="1" t="str">
        <f aca="false">INDEX(Customers!$C$2:$C$301,MATCH(C1127,Customers!$A$2:$A$301,0))</f>
        <v>Kolkata</v>
      </c>
      <c r="S1127" s="1" t="str">
        <f aca="false">INDEX(Customers!$E$2:$E$301,MATCH(C1127,Customers!$A$2:$A$301,0))</f>
        <v>New</v>
      </c>
      <c r="T1127" s="6" t="str">
        <f aca="false">Orders!I1127</f>
        <v>Website</v>
      </c>
      <c r="U1127" s="1" t="str">
        <f aca="false">IF(Q1127="Delivered","Completed",IF(Q1127="Cancelled","Cancelled",IF(Q1127="Returned","Returned","In Progress")))</f>
        <v>Completed</v>
      </c>
      <c r="V1127" s="1" t="str">
        <f aca="false">IF(M1127&gt;=10000,"High Value",IF(M1127&gt;=5000,"Medium Value","Low Value"))</f>
        <v>Low Value</v>
      </c>
      <c r="W1127" s="1" t="str">
        <f aca="false">IF(O1127&gt;0,"Profitable",IF(O1127=0,"Break-even","Loss"))</f>
        <v>Profitable</v>
      </c>
      <c r="X1127" s="1" t="str">
        <f aca="false">IF(Q1127="Cancelled","Not Applicable",IF(Q1127="Processing","Pending",IF(B1127="","Unknown",IF(Orders!J1127="","Unknown",IF(Orders!J1127&lt;=3,"Fast",IF(Orders!J1127&lt;=6,"Standard","Slow"))))))</f>
        <v>Standard</v>
      </c>
      <c r="Y1127" s="1" t="n">
        <f aca="false">IF(OR(Q1127="Cancelled",Q1127="Returned"),0,O1127)</f>
        <v>208.3</v>
      </c>
    </row>
    <row r="1128" customFormat="false" ht="23.85" hidden="false" customHeight="false" outlineLevel="0" collapsed="false">
      <c r="A1128" s="6" t="str">
        <f aca="false">Orders!A1128</f>
        <v>O001127</v>
      </c>
      <c r="B1128" s="19" t="n">
        <f aca="false">Orders!B1128</f>
        <v>45719</v>
      </c>
      <c r="C1128" s="6" t="str">
        <f aca="false">Orders!C1128</f>
        <v>C0056</v>
      </c>
      <c r="D1128" s="6" t="str">
        <f aca="false">Orders!D1128</f>
        <v>P1041</v>
      </c>
      <c r="E1128" s="6" t="str">
        <f aca="false">INDEX(Products!$B$2:$B$101,MATCH(D1128,Products!$A$2:$A$101,0))</f>
        <v>Food Storage Jars</v>
      </c>
      <c r="F1128" s="1" t="str">
        <f aca="false">INDEX(Products!$C$2:$C$101,MATCH(D1128,Products!$A$2:$A$101,0))</f>
        <v>Home &amp; Kitchen</v>
      </c>
      <c r="G1128" s="6" t="n">
        <f aca="false">Orders!E1128</f>
        <v>3</v>
      </c>
      <c r="H1128" s="16" t="n">
        <f aca="false">INDEX(Products!$D$2:$D$101,MATCH(D1128,Products!$A$2:$A$101,0))</f>
        <v>499</v>
      </c>
      <c r="I1128" s="16" t="n">
        <f aca="false">INDEX(Products!$E$2:$E$101,MATCH(D1128,Products!$A$2:$A$101,0))</f>
        <v>220</v>
      </c>
      <c r="J1128" s="20" t="n">
        <f aca="false">Orders!F1128</f>
        <v>0.25</v>
      </c>
      <c r="K1128" s="6" t="n">
        <f aca="false">G1128*H1128</f>
        <v>1497</v>
      </c>
      <c r="L1128" s="6" t="n">
        <f aca="false">K1128*J1128</f>
        <v>374.25</v>
      </c>
      <c r="M1128" s="6" t="n">
        <f aca="false">K1128-L1128</f>
        <v>1122.75</v>
      </c>
      <c r="N1128" s="6" t="n">
        <f aca="false">G1128*I1128</f>
        <v>660</v>
      </c>
      <c r="O1128" s="6" t="n">
        <f aca="false">M1128-N1128</f>
        <v>462.75</v>
      </c>
      <c r="P1128" s="21" t="n">
        <f aca="false">IFERROR(O1128/M1128,0)</f>
        <v>0.412157648630595</v>
      </c>
      <c r="Q1128" s="6" t="str">
        <f aca="false">Orders!H1128</f>
        <v>Delivered</v>
      </c>
      <c r="R1128" s="1" t="str">
        <f aca="false">INDEX(Customers!$C$2:$C$301,MATCH(C1128,Customers!$A$2:$A$301,0))</f>
        <v>Chandigarh</v>
      </c>
      <c r="S1128" s="1" t="str">
        <f aca="false">INDEX(Customers!$E$2:$E$301,MATCH(C1128,Customers!$A$2:$A$301,0))</f>
        <v>Returning</v>
      </c>
      <c r="T1128" s="6" t="str">
        <f aca="false">Orders!I1128</f>
        <v>Website</v>
      </c>
      <c r="U1128" s="1" t="str">
        <f aca="false">IF(Q1128="Delivered","Completed",IF(Q1128="Cancelled","Cancelled",IF(Q1128="Returned","Returned","In Progress")))</f>
        <v>Completed</v>
      </c>
      <c r="V1128" s="1" t="str">
        <f aca="false">IF(M1128&gt;=10000,"High Value",IF(M1128&gt;=5000,"Medium Value","Low Value"))</f>
        <v>Low Value</v>
      </c>
      <c r="W1128" s="1" t="str">
        <f aca="false">IF(O1128&gt;0,"Profitable",IF(O1128=0,"Break-even","Loss"))</f>
        <v>Profitable</v>
      </c>
      <c r="X1128" s="1" t="str">
        <f aca="false">IF(Q1128="Cancelled","Not Applicable",IF(Q1128="Processing","Pending",IF(B1128="","Unknown",IF(Orders!J1128="","Unknown",IF(Orders!J1128&lt;=3,"Fast",IF(Orders!J1128&lt;=6,"Standard","Slow"))))))</f>
        <v>Standard</v>
      </c>
      <c r="Y1128" s="1" t="n">
        <f aca="false">IF(OR(Q1128="Cancelled",Q1128="Returned"),0,O1128)</f>
        <v>462.75</v>
      </c>
    </row>
    <row r="1129" customFormat="false" ht="15" hidden="false" customHeight="false" outlineLevel="0" collapsed="false">
      <c r="A1129" s="6" t="str">
        <f aca="false">Orders!A1129</f>
        <v>O001128</v>
      </c>
      <c r="B1129" s="19" t="n">
        <f aca="false">Orders!B1129</f>
        <v>45715</v>
      </c>
      <c r="C1129" s="6" t="str">
        <f aca="false">Orders!C1129</f>
        <v>C0296</v>
      </c>
      <c r="D1129" s="6" t="str">
        <f aca="false">Orders!D1129</f>
        <v>P1018</v>
      </c>
      <c r="E1129" s="6" t="str">
        <f aca="false">INDEX(Products!$B$2:$B$101,MATCH(D1129,Products!$A$2:$A$101,0))</f>
        <v>Cotton Shirt</v>
      </c>
      <c r="F1129" s="1" t="str">
        <f aca="false">INDEX(Products!$C$2:$C$101,MATCH(D1129,Products!$A$2:$A$101,0))</f>
        <v>Fashion</v>
      </c>
      <c r="G1129" s="6" t="n">
        <f aca="false">Orders!E1129</f>
        <v>2</v>
      </c>
      <c r="H1129" s="16" t="n">
        <f aca="false">INDEX(Products!$D$2:$D$101,MATCH(D1129,Products!$A$2:$A$101,0))</f>
        <v>899</v>
      </c>
      <c r="I1129" s="16" t="n">
        <f aca="false">INDEX(Products!$E$2:$E$101,MATCH(D1129,Products!$A$2:$A$101,0))</f>
        <v>420</v>
      </c>
      <c r="J1129" s="20" t="n">
        <f aca="false">Orders!F1129</f>
        <v>0.05</v>
      </c>
      <c r="K1129" s="6" t="n">
        <f aca="false">G1129*H1129</f>
        <v>1798</v>
      </c>
      <c r="L1129" s="6" t="n">
        <f aca="false">K1129*J1129</f>
        <v>89.9</v>
      </c>
      <c r="M1129" s="6" t="n">
        <f aca="false">K1129-L1129</f>
        <v>1708.1</v>
      </c>
      <c r="N1129" s="6" t="n">
        <f aca="false">G1129*I1129</f>
        <v>840</v>
      </c>
      <c r="O1129" s="6" t="n">
        <f aca="false">M1129-N1129</f>
        <v>868.1</v>
      </c>
      <c r="P1129" s="21" t="n">
        <f aca="false">IFERROR(O1129/M1129,0)</f>
        <v>0.508225513728704</v>
      </c>
      <c r="Q1129" s="6" t="str">
        <f aca="false">Orders!H1129</f>
        <v>Delivered</v>
      </c>
      <c r="R1129" s="1" t="str">
        <f aca="false">INDEX(Customers!$C$2:$C$301,MATCH(C1129,Customers!$A$2:$A$301,0))</f>
        <v>Chandigarh</v>
      </c>
      <c r="S1129" s="1" t="str">
        <f aca="false">INDEX(Customers!$E$2:$E$301,MATCH(C1129,Customers!$A$2:$A$301,0))</f>
        <v>New</v>
      </c>
      <c r="T1129" s="6" t="str">
        <f aca="false">Orders!I1129</f>
        <v>Marketplace</v>
      </c>
      <c r="U1129" s="1" t="str">
        <f aca="false">IF(Q1129="Delivered","Completed",IF(Q1129="Cancelled","Cancelled",IF(Q1129="Returned","Returned","In Progress")))</f>
        <v>Completed</v>
      </c>
      <c r="V1129" s="1" t="str">
        <f aca="false">IF(M1129&gt;=10000,"High Value",IF(M1129&gt;=5000,"Medium Value","Low Value"))</f>
        <v>Low Value</v>
      </c>
      <c r="W1129" s="1" t="str">
        <f aca="false">IF(O1129&gt;0,"Profitable",IF(O1129=0,"Break-even","Loss"))</f>
        <v>Profitable</v>
      </c>
      <c r="X1129" s="1" t="str">
        <f aca="false">IF(Q1129="Cancelled","Not Applicable",IF(Q1129="Processing","Pending",IF(B1129="","Unknown",IF(Orders!J1129="","Unknown",IF(Orders!J1129&lt;=3,"Fast",IF(Orders!J1129&lt;=6,"Standard","Slow"))))))</f>
        <v>Fast</v>
      </c>
      <c r="Y1129" s="1" t="n">
        <f aca="false">IF(OR(Q1129="Cancelled",Q1129="Returned"),0,O1129)</f>
        <v>868.1</v>
      </c>
    </row>
    <row r="1130" customFormat="false" ht="15" hidden="false" customHeight="false" outlineLevel="0" collapsed="false">
      <c r="A1130" s="6" t="str">
        <f aca="false">Orders!A1130</f>
        <v>O001129</v>
      </c>
      <c r="B1130" s="19" t="n">
        <f aca="false">Orders!B1130</f>
        <v>45937</v>
      </c>
      <c r="C1130" s="6" t="str">
        <f aca="false">Orders!C1130</f>
        <v>C0255</v>
      </c>
      <c r="D1130" s="6" t="str">
        <f aca="false">Orders!D1130</f>
        <v>P1062</v>
      </c>
      <c r="E1130" s="6" t="str">
        <f aca="false">INDEX(Products!$B$2:$B$101,MATCH(D1130,Products!$A$2:$A$101,0))</f>
        <v>Skipping Rope</v>
      </c>
      <c r="F1130" s="1" t="str">
        <f aca="false">INDEX(Products!$C$2:$C$101,MATCH(D1130,Products!$A$2:$A$101,0))</f>
        <v>Sports &amp; Outdoors</v>
      </c>
      <c r="G1130" s="6" t="n">
        <f aca="false">Orders!E1130</f>
        <v>2</v>
      </c>
      <c r="H1130" s="16" t="n">
        <f aca="false">INDEX(Products!$D$2:$D$101,MATCH(D1130,Products!$A$2:$A$101,0))</f>
        <v>249</v>
      </c>
      <c r="I1130" s="16" t="n">
        <f aca="false">INDEX(Products!$E$2:$E$101,MATCH(D1130,Products!$A$2:$A$101,0))</f>
        <v>80</v>
      </c>
      <c r="J1130" s="20" t="n">
        <f aca="false">Orders!F1130</f>
        <v>0.2</v>
      </c>
      <c r="K1130" s="6" t="n">
        <f aca="false">G1130*H1130</f>
        <v>498</v>
      </c>
      <c r="L1130" s="6" t="n">
        <f aca="false">K1130*J1130</f>
        <v>99.6</v>
      </c>
      <c r="M1130" s="6" t="n">
        <f aca="false">K1130-L1130</f>
        <v>398.4</v>
      </c>
      <c r="N1130" s="6" t="n">
        <f aca="false">G1130*I1130</f>
        <v>160</v>
      </c>
      <c r="O1130" s="6" t="n">
        <f aca="false">M1130-N1130</f>
        <v>238.4</v>
      </c>
      <c r="P1130" s="21" t="n">
        <f aca="false">IFERROR(O1130/M1130,0)</f>
        <v>0.598393574297189</v>
      </c>
      <c r="Q1130" s="6" t="str">
        <f aca="false">Orders!H1130</f>
        <v>Delivered</v>
      </c>
      <c r="R1130" s="1" t="str">
        <f aca="false">INDEX(Customers!$C$2:$C$301,MATCH(C1130,Customers!$A$2:$A$301,0))</f>
        <v>Bhopal</v>
      </c>
      <c r="S1130" s="1" t="str">
        <f aca="false">INDEX(Customers!$E$2:$E$301,MATCH(C1130,Customers!$A$2:$A$301,0))</f>
        <v>Returning</v>
      </c>
      <c r="T1130" s="6" t="str">
        <f aca="false">Orders!I1130</f>
        <v>Marketplace</v>
      </c>
      <c r="U1130" s="1" t="str">
        <f aca="false">IF(Q1130="Delivered","Completed",IF(Q1130="Cancelled","Cancelled",IF(Q1130="Returned","Returned","In Progress")))</f>
        <v>Completed</v>
      </c>
      <c r="V1130" s="1" t="str">
        <f aca="false">IF(M1130&gt;=10000,"High Value",IF(M1130&gt;=5000,"Medium Value","Low Value"))</f>
        <v>Low Value</v>
      </c>
      <c r="W1130" s="1" t="str">
        <f aca="false">IF(O1130&gt;0,"Profitable",IF(O1130=0,"Break-even","Loss"))</f>
        <v>Profitable</v>
      </c>
      <c r="X1130" s="1" t="str">
        <f aca="false">IF(Q1130="Cancelled","Not Applicable",IF(Q1130="Processing","Pending",IF(B1130="","Unknown",IF(Orders!J1130="","Unknown",IF(Orders!J1130&lt;=3,"Fast",IF(Orders!J1130&lt;=6,"Standard","Slow"))))))</f>
        <v>Slow</v>
      </c>
      <c r="Y1130" s="1" t="n">
        <f aca="false">IF(OR(Q1130="Cancelled",Q1130="Returned"),0,O1130)</f>
        <v>238.4</v>
      </c>
    </row>
    <row r="1131" customFormat="false" ht="23.85" hidden="false" customHeight="false" outlineLevel="0" collapsed="false">
      <c r="A1131" s="6" t="str">
        <f aca="false">Orders!A1131</f>
        <v>O001130</v>
      </c>
      <c r="B1131" s="19" t="n">
        <f aca="false">Orders!B1131</f>
        <v>45767</v>
      </c>
      <c r="C1131" s="6" t="str">
        <f aca="false">Orders!C1131</f>
        <v>C0234</v>
      </c>
      <c r="D1131" s="6" t="str">
        <f aca="false">Orders!D1131</f>
        <v>P1053</v>
      </c>
      <c r="E1131" s="6" t="str">
        <f aca="false">INDEX(Products!$B$2:$B$101,MATCH(D1131,Products!$A$2:$A$101,0))</f>
        <v>Makeup Brush Set</v>
      </c>
      <c r="F1131" s="1" t="str">
        <f aca="false">INDEX(Products!$C$2:$C$101,MATCH(D1131,Products!$A$2:$A$101,0))</f>
        <v>Beauty</v>
      </c>
      <c r="G1131" s="6" t="n">
        <f aca="false">Orders!E1131</f>
        <v>2</v>
      </c>
      <c r="H1131" s="16" t="n">
        <f aca="false">INDEX(Products!$D$2:$D$101,MATCH(D1131,Products!$A$2:$A$101,0))</f>
        <v>599</v>
      </c>
      <c r="I1131" s="16" t="n">
        <f aca="false">INDEX(Products!$E$2:$E$101,MATCH(D1131,Products!$A$2:$A$101,0))</f>
        <v>250</v>
      </c>
      <c r="J1131" s="20" t="n">
        <f aca="false">Orders!F1131</f>
        <v>0</v>
      </c>
      <c r="K1131" s="6" t="n">
        <f aca="false">G1131*H1131</f>
        <v>1198</v>
      </c>
      <c r="L1131" s="6" t="n">
        <f aca="false">K1131*J1131</f>
        <v>0</v>
      </c>
      <c r="M1131" s="6" t="n">
        <f aca="false">K1131-L1131</f>
        <v>1198</v>
      </c>
      <c r="N1131" s="6" t="n">
        <f aca="false">G1131*I1131</f>
        <v>500</v>
      </c>
      <c r="O1131" s="6" t="n">
        <f aca="false">M1131-N1131</f>
        <v>698</v>
      </c>
      <c r="P1131" s="21" t="n">
        <f aca="false">IFERROR(O1131/M1131,0)</f>
        <v>0.582637729549249</v>
      </c>
      <c r="Q1131" s="6" t="str">
        <f aca="false">Orders!H1131</f>
        <v>Delivered</v>
      </c>
      <c r="R1131" s="1" t="str">
        <f aca="false">INDEX(Customers!$C$2:$C$301,MATCH(C1131,Customers!$A$2:$A$301,0))</f>
        <v>Indore</v>
      </c>
      <c r="S1131" s="1" t="str">
        <f aca="false">INDEX(Customers!$E$2:$E$301,MATCH(C1131,Customers!$A$2:$A$301,0))</f>
        <v>New</v>
      </c>
      <c r="T1131" s="6" t="str">
        <f aca="false">Orders!I1131</f>
        <v>Marketplace</v>
      </c>
      <c r="U1131" s="1" t="str">
        <f aca="false">IF(Q1131="Delivered","Completed",IF(Q1131="Cancelled","Cancelled",IF(Q1131="Returned","Returned","In Progress")))</f>
        <v>Completed</v>
      </c>
      <c r="V1131" s="1" t="str">
        <f aca="false">IF(M1131&gt;=10000,"High Value",IF(M1131&gt;=5000,"Medium Value","Low Value"))</f>
        <v>Low Value</v>
      </c>
      <c r="W1131" s="1" t="str">
        <f aca="false">IF(O1131&gt;0,"Profitable",IF(O1131=0,"Break-even","Loss"))</f>
        <v>Profitable</v>
      </c>
      <c r="X1131" s="1" t="str">
        <f aca="false">IF(Q1131="Cancelled","Not Applicable",IF(Q1131="Processing","Pending",IF(B1131="","Unknown",IF(Orders!J1131="","Unknown",IF(Orders!J1131&lt;=3,"Fast",IF(Orders!J1131&lt;=6,"Standard","Slow"))))))</f>
        <v>Slow</v>
      </c>
      <c r="Y1131" s="1" t="n">
        <f aca="false">IF(OR(Q1131="Cancelled",Q1131="Returned"),0,O1131)</f>
        <v>698</v>
      </c>
    </row>
    <row r="1132" customFormat="false" ht="15" hidden="false" customHeight="false" outlineLevel="0" collapsed="false">
      <c r="A1132" s="6" t="str">
        <f aca="false">Orders!A1132</f>
        <v>O001131</v>
      </c>
      <c r="B1132" s="19" t="n">
        <f aca="false">Orders!B1132</f>
        <v>45713</v>
      </c>
      <c r="C1132" s="6" t="str">
        <f aca="false">Orders!C1132</f>
        <v>C0006</v>
      </c>
      <c r="D1132" s="6" t="str">
        <f aca="false">Orders!D1132</f>
        <v>P1063</v>
      </c>
      <c r="E1132" s="6" t="str">
        <f aca="false">INDEX(Products!$B$2:$B$101,MATCH(D1132,Products!$A$2:$A$101,0))</f>
        <v>Cricket Bat</v>
      </c>
      <c r="F1132" s="1" t="str">
        <f aca="false">INDEX(Products!$C$2:$C$101,MATCH(D1132,Products!$A$2:$A$101,0))</f>
        <v>Sports &amp; Outdoors</v>
      </c>
      <c r="G1132" s="6" t="n">
        <f aca="false">Orders!E1132</f>
        <v>2</v>
      </c>
      <c r="H1132" s="16" t="n">
        <f aca="false">INDEX(Products!$D$2:$D$101,MATCH(D1132,Products!$A$2:$A$101,0))</f>
        <v>1499</v>
      </c>
      <c r="I1132" s="16" t="n">
        <f aca="false">INDEX(Products!$E$2:$E$101,MATCH(D1132,Products!$A$2:$A$101,0))</f>
        <v>800</v>
      </c>
      <c r="J1132" s="20" t="n">
        <f aca="false">Orders!F1132</f>
        <v>0.05</v>
      </c>
      <c r="K1132" s="6" t="n">
        <f aca="false">G1132*H1132</f>
        <v>2998</v>
      </c>
      <c r="L1132" s="6" t="n">
        <f aca="false">K1132*J1132</f>
        <v>149.9</v>
      </c>
      <c r="M1132" s="6" t="n">
        <f aca="false">K1132-L1132</f>
        <v>2848.1</v>
      </c>
      <c r="N1132" s="6" t="n">
        <f aca="false">G1132*I1132</f>
        <v>1600</v>
      </c>
      <c r="O1132" s="6" t="n">
        <f aca="false">M1132-N1132</f>
        <v>1248.1</v>
      </c>
      <c r="P1132" s="21" t="n">
        <f aca="false">IFERROR(O1132/M1132,0)</f>
        <v>0.438221972543099</v>
      </c>
      <c r="Q1132" s="6" t="str">
        <f aca="false">Orders!H1132</f>
        <v>Delivered</v>
      </c>
      <c r="R1132" s="1" t="str">
        <f aca="false">INDEX(Customers!$C$2:$C$301,MATCH(C1132,Customers!$A$2:$A$301,0))</f>
        <v>Kolkata</v>
      </c>
      <c r="S1132" s="1" t="str">
        <f aca="false">INDEX(Customers!$E$2:$E$301,MATCH(C1132,Customers!$A$2:$A$301,0))</f>
        <v>Returning</v>
      </c>
      <c r="T1132" s="6" t="str">
        <f aca="false">Orders!I1132</f>
        <v>Mobile App</v>
      </c>
      <c r="U1132" s="1" t="str">
        <f aca="false">IF(Q1132="Delivered","Completed",IF(Q1132="Cancelled","Cancelled",IF(Q1132="Returned","Returned","In Progress")))</f>
        <v>Completed</v>
      </c>
      <c r="V1132" s="1" t="str">
        <f aca="false">IF(M1132&gt;=10000,"High Value",IF(M1132&gt;=5000,"Medium Value","Low Value"))</f>
        <v>Low Value</v>
      </c>
      <c r="W1132" s="1" t="str">
        <f aca="false">IF(O1132&gt;0,"Profitable",IF(O1132=0,"Break-even","Loss"))</f>
        <v>Profitable</v>
      </c>
      <c r="X1132" s="1" t="str">
        <f aca="false">IF(Q1132="Cancelled","Not Applicable",IF(Q1132="Processing","Pending",IF(B1132="","Unknown",IF(Orders!J1132="","Unknown",IF(Orders!J1132&lt;=3,"Fast",IF(Orders!J1132&lt;=6,"Standard","Slow"))))))</f>
        <v>Slow</v>
      </c>
      <c r="Y1132" s="1" t="n">
        <f aca="false">IF(OR(Q1132="Cancelled",Q1132="Returned"),0,O1132)</f>
        <v>1248.1</v>
      </c>
    </row>
    <row r="1133" customFormat="false" ht="15" hidden="false" customHeight="false" outlineLevel="0" collapsed="false">
      <c r="A1133" s="6" t="str">
        <f aca="false">Orders!A1133</f>
        <v>O001132</v>
      </c>
      <c r="B1133" s="19" t="n">
        <f aca="false">Orders!B1133</f>
        <v>45772</v>
      </c>
      <c r="C1133" s="6" t="str">
        <f aca="false">Orders!C1133</f>
        <v>C0061</v>
      </c>
      <c r="D1133" s="6" t="str">
        <f aca="false">Orders!D1133</f>
        <v>P1094</v>
      </c>
      <c r="E1133" s="6" t="str">
        <f aca="false">INDEX(Products!$B$2:$B$101,MATCH(D1133,Products!$A$2:$A$101,0))</f>
        <v>Room Heater</v>
      </c>
      <c r="F1133" s="1" t="str">
        <f aca="false">INDEX(Products!$C$2:$C$101,MATCH(D1133,Products!$A$2:$A$101,0))</f>
        <v>Appliances</v>
      </c>
      <c r="G1133" s="6" t="n">
        <f aca="false">Orders!E1133</f>
        <v>2</v>
      </c>
      <c r="H1133" s="16" t="n">
        <f aca="false">INDEX(Products!$D$2:$D$101,MATCH(D1133,Products!$A$2:$A$101,0))</f>
        <v>1999</v>
      </c>
      <c r="I1133" s="16" t="n">
        <f aca="false">INDEX(Products!$E$2:$E$101,MATCH(D1133,Products!$A$2:$A$101,0))</f>
        <v>1250</v>
      </c>
      <c r="J1133" s="20" t="n">
        <f aca="false">Orders!F1133</f>
        <v>0.15</v>
      </c>
      <c r="K1133" s="6" t="n">
        <f aca="false">G1133*H1133</f>
        <v>3998</v>
      </c>
      <c r="L1133" s="6" t="n">
        <f aca="false">K1133*J1133</f>
        <v>599.7</v>
      </c>
      <c r="M1133" s="6" t="n">
        <f aca="false">K1133-L1133</f>
        <v>3398.3</v>
      </c>
      <c r="N1133" s="6" t="n">
        <f aca="false">G1133*I1133</f>
        <v>2500</v>
      </c>
      <c r="O1133" s="6" t="n">
        <f aca="false">M1133-N1133</f>
        <v>898.3</v>
      </c>
      <c r="P1133" s="21" t="n">
        <f aca="false">IFERROR(O1133/M1133,0)</f>
        <v>0.264338051378631</v>
      </c>
      <c r="Q1133" s="6" t="str">
        <f aca="false">Orders!H1133</f>
        <v>Shipped</v>
      </c>
      <c r="R1133" s="1" t="str">
        <f aca="false">INDEX(Customers!$C$2:$C$301,MATCH(C1133,Customers!$A$2:$A$301,0))</f>
        <v>Delhi</v>
      </c>
      <c r="S1133" s="1" t="str">
        <f aca="false">INDEX(Customers!$E$2:$E$301,MATCH(C1133,Customers!$A$2:$A$301,0))</f>
        <v>New</v>
      </c>
      <c r="T1133" s="6" t="str">
        <f aca="false">Orders!I1133</f>
        <v>Mobile App</v>
      </c>
      <c r="U1133" s="1" t="str">
        <f aca="false">IF(Q1133="Delivered","Completed",IF(Q1133="Cancelled","Cancelled",IF(Q1133="Returned","Returned","In Progress")))</f>
        <v>In Progress</v>
      </c>
      <c r="V1133" s="1" t="str">
        <f aca="false">IF(M1133&gt;=10000,"High Value",IF(M1133&gt;=5000,"Medium Value","Low Value"))</f>
        <v>Low Value</v>
      </c>
      <c r="W1133" s="1" t="str">
        <f aca="false">IF(O1133&gt;0,"Profitable",IF(O1133=0,"Break-even","Loss"))</f>
        <v>Profitable</v>
      </c>
      <c r="X1133" s="1" t="str">
        <f aca="false">IF(Q1133="Cancelled","Not Applicable",IF(Q1133="Processing","Pending",IF(B1133="","Unknown",IF(Orders!J1133="","Unknown",IF(Orders!J1133&lt;=3,"Fast",IF(Orders!J1133&lt;=6,"Standard","Slow"))))))</f>
        <v>Slow</v>
      </c>
      <c r="Y1133" s="1" t="n">
        <f aca="false">IF(OR(Q1133="Cancelled",Q1133="Returned"),0,O1133)</f>
        <v>898.3</v>
      </c>
    </row>
    <row r="1134" customFormat="false" ht="15" hidden="false" customHeight="false" outlineLevel="0" collapsed="false">
      <c r="A1134" s="6" t="str">
        <f aca="false">Orders!A1134</f>
        <v>O001133</v>
      </c>
      <c r="B1134" s="19" t="n">
        <f aca="false">Orders!B1134</f>
        <v>45779</v>
      </c>
      <c r="C1134" s="6" t="str">
        <f aca="false">Orders!C1134</f>
        <v>C0212</v>
      </c>
      <c r="D1134" s="6" t="str">
        <f aca="false">Orders!D1134</f>
        <v>P1028</v>
      </c>
      <c r="E1134" s="6" t="str">
        <f aca="false">INDEX(Products!$B$2:$B$101,MATCH(D1134,Products!$A$2:$A$101,0))</f>
        <v>Sneakers</v>
      </c>
      <c r="F1134" s="1" t="str">
        <f aca="false">INDEX(Products!$C$2:$C$101,MATCH(D1134,Products!$A$2:$A$101,0))</f>
        <v>Fashion</v>
      </c>
      <c r="G1134" s="6" t="n">
        <f aca="false">Orders!E1134</f>
        <v>1</v>
      </c>
      <c r="H1134" s="16" t="n">
        <f aca="false">INDEX(Products!$D$2:$D$101,MATCH(D1134,Products!$A$2:$A$101,0))</f>
        <v>1799</v>
      </c>
      <c r="I1134" s="16" t="n">
        <f aca="false">INDEX(Products!$E$2:$E$101,MATCH(D1134,Products!$A$2:$A$101,0))</f>
        <v>950</v>
      </c>
      <c r="J1134" s="20" t="n">
        <f aca="false">Orders!F1134</f>
        <v>0.15</v>
      </c>
      <c r="K1134" s="6" t="n">
        <f aca="false">G1134*H1134</f>
        <v>1799</v>
      </c>
      <c r="L1134" s="6" t="n">
        <f aca="false">K1134*J1134</f>
        <v>269.85</v>
      </c>
      <c r="M1134" s="6" t="n">
        <f aca="false">K1134-L1134</f>
        <v>1529.15</v>
      </c>
      <c r="N1134" s="6" t="n">
        <f aca="false">G1134*I1134</f>
        <v>950</v>
      </c>
      <c r="O1134" s="6" t="n">
        <f aca="false">M1134-N1134</f>
        <v>579.15</v>
      </c>
      <c r="P1134" s="21" t="n">
        <f aca="false">IFERROR(O1134/M1134,0)</f>
        <v>0.37873982277736</v>
      </c>
      <c r="Q1134" s="6" t="str">
        <f aca="false">Orders!H1134</f>
        <v>Delivered</v>
      </c>
      <c r="R1134" s="1" t="str">
        <f aca="false">INDEX(Customers!$C$2:$C$301,MATCH(C1134,Customers!$A$2:$A$301,0))</f>
        <v>Noida</v>
      </c>
      <c r="S1134" s="1" t="str">
        <f aca="false">INDEX(Customers!$E$2:$E$301,MATCH(C1134,Customers!$A$2:$A$301,0))</f>
        <v>Returning</v>
      </c>
      <c r="T1134" s="6" t="str">
        <f aca="false">Orders!I1134</f>
        <v>Mobile App</v>
      </c>
      <c r="U1134" s="1" t="str">
        <f aca="false">IF(Q1134="Delivered","Completed",IF(Q1134="Cancelled","Cancelled",IF(Q1134="Returned","Returned","In Progress")))</f>
        <v>Completed</v>
      </c>
      <c r="V1134" s="1" t="str">
        <f aca="false">IF(M1134&gt;=10000,"High Value",IF(M1134&gt;=5000,"Medium Value","Low Value"))</f>
        <v>Low Value</v>
      </c>
      <c r="W1134" s="1" t="str">
        <f aca="false">IF(O1134&gt;0,"Profitable",IF(O1134=0,"Break-even","Loss"))</f>
        <v>Profitable</v>
      </c>
      <c r="X1134" s="1" t="str">
        <f aca="false">IF(Q1134="Cancelled","Not Applicable",IF(Q1134="Processing","Pending",IF(B1134="","Unknown",IF(Orders!J1134="","Unknown",IF(Orders!J1134&lt;=3,"Fast",IF(Orders!J1134&lt;=6,"Standard","Slow"))))))</f>
        <v>Standard</v>
      </c>
      <c r="Y1134" s="1" t="n">
        <f aca="false">IF(OR(Q1134="Cancelled",Q1134="Returned"),0,O1134)</f>
        <v>579.15</v>
      </c>
    </row>
    <row r="1135" customFormat="false" ht="15" hidden="false" customHeight="false" outlineLevel="0" collapsed="false">
      <c r="A1135" s="6" t="str">
        <f aca="false">Orders!A1135</f>
        <v>O001134</v>
      </c>
      <c r="B1135" s="19" t="n">
        <f aca="false">Orders!B1135</f>
        <v>45877</v>
      </c>
      <c r="C1135" s="6" t="str">
        <f aca="false">Orders!C1135</f>
        <v>C0285</v>
      </c>
      <c r="D1135" s="6" t="str">
        <f aca="false">Orders!D1135</f>
        <v>P1050</v>
      </c>
      <c r="E1135" s="6" t="str">
        <f aca="false">INDEX(Products!$B$2:$B$101,MATCH(D1135,Products!$A$2:$A$101,0))</f>
        <v>Hair Serum</v>
      </c>
      <c r="F1135" s="1" t="str">
        <f aca="false">INDEX(Products!$C$2:$C$101,MATCH(D1135,Products!$A$2:$A$101,0))</f>
        <v>Beauty</v>
      </c>
      <c r="G1135" s="6" t="n">
        <f aca="false">Orders!E1135</f>
        <v>2</v>
      </c>
      <c r="H1135" s="16" t="n">
        <f aca="false">INDEX(Products!$D$2:$D$101,MATCH(D1135,Products!$A$2:$A$101,0))</f>
        <v>449</v>
      </c>
      <c r="I1135" s="16" t="n">
        <f aca="false">INDEX(Products!$E$2:$E$101,MATCH(D1135,Products!$A$2:$A$101,0))</f>
        <v>190</v>
      </c>
      <c r="J1135" s="20" t="n">
        <f aca="false">Orders!F1135</f>
        <v>0.1</v>
      </c>
      <c r="K1135" s="6" t="n">
        <f aca="false">G1135*H1135</f>
        <v>898</v>
      </c>
      <c r="L1135" s="6" t="n">
        <f aca="false">K1135*J1135</f>
        <v>89.8</v>
      </c>
      <c r="M1135" s="6" t="n">
        <f aca="false">K1135-L1135</f>
        <v>808.2</v>
      </c>
      <c r="N1135" s="6" t="n">
        <f aca="false">G1135*I1135</f>
        <v>380</v>
      </c>
      <c r="O1135" s="6" t="n">
        <f aca="false">M1135-N1135</f>
        <v>428.2</v>
      </c>
      <c r="P1135" s="21" t="n">
        <f aca="false">IFERROR(O1135/M1135,0)</f>
        <v>0.529819351645632</v>
      </c>
      <c r="Q1135" s="6" t="str">
        <f aca="false">Orders!H1135</f>
        <v>Delivered</v>
      </c>
      <c r="R1135" s="1" t="str">
        <f aca="false">INDEX(Customers!$C$2:$C$301,MATCH(C1135,Customers!$A$2:$A$301,0))</f>
        <v>Chennai</v>
      </c>
      <c r="S1135" s="1" t="str">
        <f aca="false">INDEX(Customers!$E$2:$E$301,MATCH(C1135,Customers!$A$2:$A$301,0))</f>
        <v>New</v>
      </c>
      <c r="T1135" s="6" t="str">
        <f aca="false">Orders!I1135</f>
        <v>Mobile App</v>
      </c>
      <c r="U1135" s="1" t="str">
        <f aca="false">IF(Q1135="Delivered","Completed",IF(Q1135="Cancelled","Cancelled",IF(Q1135="Returned","Returned","In Progress")))</f>
        <v>Completed</v>
      </c>
      <c r="V1135" s="1" t="str">
        <f aca="false">IF(M1135&gt;=10000,"High Value",IF(M1135&gt;=5000,"Medium Value","Low Value"))</f>
        <v>Low Value</v>
      </c>
      <c r="W1135" s="1" t="str">
        <f aca="false">IF(O1135&gt;0,"Profitable",IF(O1135=0,"Break-even","Loss"))</f>
        <v>Profitable</v>
      </c>
      <c r="X1135" s="1" t="str">
        <f aca="false">IF(Q1135="Cancelled","Not Applicable",IF(Q1135="Processing","Pending",IF(B1135="","Unknown",IF(Orders!J1135="","Unknown",IF(Orders!J1135&lt;=3,"Fast",IF(Orders!J1135&lt;=6,"Standard","Slow"))))))</f>
        <v>Fast</v>
      </c>
      <c r="Y1135" s="1" t="n">
        <f aca="false">IF(OR(Q1135="Cancelled",Q1135="Returned"),0,O1135)</f>
        <v>428.2</v>
      </c>
    </row>
    <row r="1136" customFormat="false" ht="23.85" hidden="false" customHeight="false" outlineLevel="0" collapsed="false">
      <c r="A1136" s="6" t="str">
        <f aca="false">Orders!A1136</f>
        <v>O001135</v>
      </c>
      <c r="B1136" s="19" t="n">
        <f aca="false">Orders!B1136</f>
        <v>45674</v>
      </c>
      <c r="C1136" s="6" t="str">
        <f aca="false">Orders!C1136</f>
        <v>C0020</v>
      </c>
      <c r="D1136" s="6" t="str">
        <f aca="false">Orders!D1136</f>
        <v>P1069</v>
      </c>
      <c r="E1136" s="6" t="str">
        <f aca="false">INDEX(Products!$B$2:$B$101,MATCH(D1136,Products!$A$2:$A$101,0))</f>
        <v>Sports Duffel Bag</v>
      </c>
      <c r="F1136" s="1" t="str">
        <f aca="false">INDEX(Products!$C$2:$C$101,MATCH(D1136,Products!$A$2:$A$101,0))</f>
        <v>Sports &amp; Outdoors</v>
      </c>
      <c r="G1136" s="6" t="n">
        <f aca="false">Orders!E1136</f>
        <v>2</v>
      </c>
      <c r="H1136" s="16" t="n">
        <f aca="false">INDEX(Products!$D$2:$D$101,MATCH(D1136,Products!$A$2:$A$101,0))</f>
        <v>999</v>
      </c>
      <c r="I1136" s="16" t="n">
        <f aca="false">INDEX(Products!$E$2:$E$101,MATCH(D1136,Products!$A$2:$A$101,0))</f>
        <v>500</v>
      </c>
      <c r="J1136" s="20" t="n">
        <f aca="false">Orders!F1136</f>
        <v>0.15</v>
      </c>
      <c r="K1136" s="6" t="n">
        <f aca="false">G1136*H1136</f>
        <v>1998</v>
      </c>
      <c r="L1136" s="6" t="n">
        <f aca="false">K1136*J1136</f>
        <v>299.7</v>
      </c>
      <c r="M1136" s="6" t="n">
        <f aca="false">K1136-L1136</f>
        <v>1698.3</v>
      </c>
      <c r="N1136" s="6" t="n">
        <f aca="false">G1136*I1136</f>
        <v>1000</v>
      </c>
      <c r="O1136" s="6" t="n">
        <f aca="false">M1136-N1136</f>
        <v>698.3</v>
      </c>
      <c r="P1136" s="21" t="n">
        <f aca="false">IFERROR(O1136/M1136,0)</f>
        <v>0.411175881764117</v>
      </c>
      <c r="Q1136" s="6" t="str">
        <f aca="false">Orders!H1136</f>
        <v>Shipped</v>
      </c>
      <c r="R1136" s="1" t="str">
        <f aca="false">INDEX(Customers!$C$2:$C$301,MATCH(C1136,Customers!$A$2:$A$301,0))</f>
        <v>Visakhapatnam</v>
      </c>
      <c r="S1136" s="1" t="str">
        <f aca="false">INDEX(Customers!$E$2:$E$301,MATCH(C1136,Customers!$A$2:$A$301,0))</f>
        <v>Returning</v>
      </c>
      <c r="T1136" s="6" t="str">
        <f aca="false">Orders!I1136</f>
        <v>Mobile App</v>
      </c>
      <c r="U1136" s="1" t="str">
        <f aca="false">IF(Q1136="Delivered","Completed",IF(Q1136="Cancelled","Cancelled",IF(Q1136="Returned","Returned","In Progress")))</f>
        <v>In Progress</v>
      </c>
      <c r="V1136" s="1" t="str">
        <f aca="false">IF(M1136&gt;=10000,"High Value",IF(M1136&gt;=5000,"Medium Value","Low Value"))</f>
        <v>Low Value</v>
      </c>
      <c r="W1136" s="1" t="str">
        <f aca="false">IF(O1136&gt;0,"Profitable",IF(O1136=0,"Break-even","Loss"))</f>
        <v>Profitable</v>
      </c>
      <c r="X1136" s="1" t="str">
        <f aca="false">IF(Q1136="Cancelled","Not Applicable",IF(Q1136="Processing","Pending",IF(B1136="","Unknown",IF(Orders!J1136="","Unknown",IF(Orders!J1136&lt;=3,"Fast",IF(Orders!J1136&lt;=6,"Standard","Slow"))))))</f>
        <v>Fast</v>
      </c>
      <c r="Y1136" s="1" t="n">
        <f aca="false">IF(OR(Q1136="Cancelled",Q1136="Returned"),0,O1136)</f>
        <v>698.3</v>
      </c>
    </row>
    <row r="1137" customFormat="false" ht="15" hidden="false" customHeight="false" outlineLevel="0" collapsed="false">
      <c r="A1137" s="6" t="str">
        <f aca="false">Orders!A1137</f>
        <v>O001136</v>
      </c>
      <c r="B1137" s="19" t="n">
        <f aca="false">Orders!B1137</f>
        <v>45909</v>
      </c>
      <c r="C1137" s="6" t="str">
        <f aca="false">Orders!C1137</f>
        <v>C0190</v>
      </c>
      <c r="D1137" s="6" t="str">
        <f aca="false">Orders!D1137</f>
        <v>P1021</v>
      </c>
      <c r="E1137" s="6" t="str">
        <f aca="false">INDEX(Products!$B$2:$B$101,MATCH(D1137,Products!$A$2:$A$101,0))</f>
        <v>Handbag</v>
      </c>
      <c r="F1137" s="1" t="str">
        <f aca="false">INDEX(Products!$C$2:$C$101,MATCH(D1137,Products!$A$2:$A$101,0))</f>
        <v>Fashion</v>
      </c>
      <c r="G1137" s="6" t="n">
        <f aca="false">Orders!E1137</f>
        <v>3</v>
      </c>
      <c r="H1137" s="16" t="n">
        <f aca="false">INDEX(Products!$D$2:$D$101,MATCH(D1137,Products!$A$2:$A$101,0))</f>
        <v>1499</v>
      </c>
      <c r="I1137" s="16" t="n">
        <f aca="false">INDEX(Products!$E$2:$E$101,MATCH(D1137,Products!$A$2:$A$101,0))</f>
        <v>700</v>
      </c>
      <c r="J1137" s="20" t="n">
        <f aca="false">Orders!F1137</f>
        <v>0.15</v>
      </c>
      <c r="K1137" s="6" t="n">
        <f aca="false">G1137*H1137</f>
        <v>4497</v>
      </c>
      <c r="L1137" s="6" t="n">
        <f aca="false">K1137*J1137</f>
        <v>674.55</v>
      </c>
      <c r="M1137" s="6" t="n">
        <f aca="false">K1137-L1137</f>
        <v>3822.45</v>
      </c>
      <c r="N1137" s="6" t="n">
        <f aca="false">G1137*I1137</f>
        <v>2100</v>
      </c>
      <c r="O1137" s="6" t="n">
        <f aca="false">M1137-N1137</f>
        <v>1722.45</v>
      </c>
      <c r="P1137" s="21" t="n">
        <f aca="false">IFERROR(O1137/M1137,0)</f>
        <v>0.450614134913472</v>
      </c>
      <c r="Q1137" s="6" t="str">
        <f aca="false">Orders!H1137</f>
        <v>Delivered</v>
      </c>
      <c r="R1137" s="1" t="str">
        <f aca="false">INDEX(Customers!$C$2:$C$301,MATCH(C1137,Customers!$A$2:$A$301,0))</f>
        <v>Lucknow</v>
      </c>
      <c r="S1137" s="1" t="str">
        <f aca="false">INDEX(Customers!$E$2:$E$301,MATCH(C1137,Customers!$A$2:$A$301,0))</f>
        <v>Returning</v>
      </c>
      <c r="T1137" s="6" t="str">
        <f aca="false">Orders!I1137</f>
        <v>Mobile App</v>
      </c>
      <c r="U1137" s="1" t="str">
        <f aca="false">IF(Q1137="Delivered","Completed",IF(Q1137="Cancelled","Cancelled",IF(Q1137="Returned","Returned","In Progress")))</f>
        <v>Completed</v>
      </c>
      <c r="V1137" s="1" t="str">
        <f aca="false">IF(M1137&gt;=10000,"High Value",IF(M1137&gt;=5000,"Medium Value","Low Value"))</f>
        <v>Low Value</v>
      </c>
      <c r="W1137" s="1" t="str">
        <f aca="false">IF(O1137&gt;0,"Profitable",IF(O1137=0,"Break-even","Loss"))</f>
        <v>Profitable</v>
      </c>
      <c r="X1137" s="1" t="str">
        <f aca="false">IF(Q1137="Cancelled","Not Applicable",IF(Q1137="Processing","Pending",IF(B1137="","Unknown",IF(Orders!J1137="","Unknown",IF(Orders!J1137&lt;=3,"Fast",IF(Orders!J1137&lt;=6,"Standard","Slow"))))))</f>
        <v>Slow</v>
      </c>
      <c r="Y1137" s="1" t="n">
        <f aca="false">IF(OR(Q1137="Cancelled",Q1137="Returned"),0,O1137)</f>
        <v>1722.45</v>
      </c>
    </row>
    <row r="1138" customFormat="false" ht="15" hidden="false" customHeight="false" outlineLevel="0" collapsed="false">
      <c r="A1138" s="6" t="str">
        <f aca="false">Orders!A1138</f>
        <v>O001137</v>
      </c>
      <c r="B1138" s="19" t="n">
        <f aca="false">Orders!B1138</f>
        <v>45801</v>
      </c>
      <c r="C1138" s="6" t="str">
        <f aca="false">Orders!C1138</f>
        <v>C0002</v>
      </c>
      <c r="D1138" s="6" t="str">
        <f aca="false">Orders!D1138</f>
        <v>P1003</v>
      </c>
      <c r="E1138" s="6" t="str">
        <f aca="false">INDEX(Products!$B$2:$B$101,MATCH(D1138,Products!$A$2:$A$101,0))</f>
        <v>Smart Watch</v>
      </c>
      <c r="F1138" s="1" t="str">
        <f aca="false">INDEX(Products!$C$2:$C$101,MATCH(D1138,Products!$A$2:$A$101,0))</f>
        <v>Electronics</v>
      </c>
      <c r="G1138" s="6" t="n">
        <f aca="false">Orders!E1138</f>
        <v>1</v>
      </c>
      <c r="H1138" s="16" t="n">
        <f aca="false">INDEX(Products!$D$2:$D$101,MATCH(D1138,Products!$A$2:$A$101,0))</f>
        <v>2499</v>
      </c>
      <c r="I1138" s="16" t="n">
        <f aca="false">INDEX(Products!$E$2:$E$101,MATCH(D1138,Products!$A$2:$A$101,0))</f>
        <v>1450</v>
      </c>
      <c r="J1138" s="20" t="n">
        <f aca="false">Orders!F1138</f>
        <v>0</v>
      </c>
      <c r="K1138" s="6" t="n">
        <f aca="false">G1138*H1138</f>
        <v>2499</v>
      </c>
      <c r="L1138" s="6" t="n">
        <f aca="false">K1138*J1138</f>
        <v>0</v>
      </c>
      <c r="M1138" s="6" t="n">
        <f aca="false">K1138-L1138</f>
        <v>2499</v>
      </c>
      <c r="N1138" s="6" t="n">
        <f aca="false">G1138*I1138</f>
        <v>1450</v>
      </c>
      <c r="O1138" s="6" t="n">
        <f aca="false">M1138-N1138</f>
        <v>1049</v>
      </c>
      <c r="P1138" s="21" t="n">
        <f aca="false">IFERROR(O1138/M1138,0)</f>
        <v>0.419767907162865</v>
      </c>
      <c r="Q1138" s="6" t="str">
        <f aca="false">Orders!H1138</f>
        <v>Shipped</v>
      </c>
      <c r="R1138" s="1" t="str">
        <f aca="false">INDEX(Customers!$C$2:$C$301,MATCH(C1138,Customers!$A$2:$A$301,0))</f>
        <v>Mumbai</v>
      </c>
      <c r="S1138" s="1" t="str">
        <f aca="false">INDEX(Customers!$E$2:$E$301,MATCH(C1138,Customers!$A$2:$A$301,0))</f>
        <v>New</v>
      </c>
      <c r="T1138" s="6" t="str">
        <f aca="false">Orders!I1138</f>
        <v>Marketplace</v>
      </c>
      <c r="U1138" s="1" t="str">
        <f aca="false">IF(Q1138="Delivered","Completed",IF(Q1138="Cancelled","Cancelled",IF(Q1138="Returned","Returned","In Progress")))</f>
        <v>In Progress</v>
      </c>
      <c r="V1138" s="1" t="str">
        <f aca="false">IF(M1138&gt;=10000,"High Value",IF(M1138&gt;=5000,"Medium Value","Low Value"))</f>
        <v>Low Value</v>
      </c>
      <c r="W1138" s="1" t="str">
        <f aca="false">IF(O1138&gt;0,"Profitable",IF(O1138=0,"Break-even","Loss"))</f>
        <v>Profitable</v>
      </c>
      <c r="X1138" s="1" t="str">
        <f aca="false">IF(Q1138="Cancelled","Not Applicable",IF(Q1138="Processing","Pending",IF(B1138="","Unknown",IF(Orders!J1138="","Unknown",IF(Orders!J1138&lt;=3,"Fast",IF(Orders!J1138&lt;=6,"Standard","Slow"))))))</f>
        <v>Slow</v>
      </c>
      <c r="Y1138" s="1" t="n">
        <f aca="false">IF(OR(Q1138="Cancelled",Q1138="Returned"),0,O1138)</f>
        <v>1049</v>
      </c>
    </row>
    <row r="1139" customFormat="false" ht="15" hidden="false" customHeight="false" outlineLevel="0" collapsed="false">
      <c r="A1139" s="6" t="str">
        <f aca="false">Orders!A1139</f>
        <v>O001138</v>
      </c>
      <c r="B1139" s="19" t="n">
        <f aca="false">Orders!B1139</f>
        <v>45896</v>
      </c>
      <c r="C1139" s="6" t="str">
        <f aca="false">Orders!C1139</f>
        <v>C0251</v>
      </c>
      <c r="D1139" s="6" t="str">
        <f aca="false">Orders!D1139</f>
        <v>P1039</v>
      </c>
      <c r="E1139" s="6" t="str">
        <f aca="false">INDEX(Products!$B$2:$B$101,MATCH(D1139,Products!$A$2:$A$101,0))</f>
        <v>Wall Clock</v>
      </c>
      <c r="F1139" s="1" t="str">
        <f aca="false">INDEX(Products!$C$2:$C$101,MATCH(D1139,Products!$A$2:$A$101,0))</f>
        <v>Home &amp; Kitchen</v>
      </c>
      <c r="G1139" s="6" t="n">
        <f aca="false">Orders!E1139</f>
        <v>2</v>
      </c>
      <c r="H1139" s="16" t="n">
        <f aca="false">INDEX(Products!$D$2:$D$101,MATCH(D1139,Products!$A$2:$A$101,0))</f>
        <v>699</v>
      </c>
      <c r="I1139" s="16" t="n">
        <f aca="false">INDEX(Products!$E$2:$E$101,MATCH(D1139,Products!$A$2:$A$101,0))</f>
        <v>300</v>
      </c>
      <c r="J1139" s="20" t="n">
        <f aca="false">Orders!F1139</f>
        <v>0</v>
      </c>
      <c r="K1139" s="6" t="n">
        <f aca="false">G1139*H1139</f>
        <v>1398</v>
      </c>
      <c r="L1139" s="6" t="n">
        <f aca="false">K1139*J1139</f>
        <v>0</v>
      </c>
      <c r="M1139" s="6" t="n">
        <f aca="false">K1139-L1139</f>
        <v>1398</v>
      </c>
      <c r="N1139" s="6" t="n">
        <f aca="false">G1139*I1139</f>
        <v>600</v>
      </c>
      <c r="O1139" s="6" t="n">
        <f aca="false">M1139-N1139</f>
        <v>798</v>
      </c>
      <c r="P1139" s="21" t="n">
        <f aca="false">IFERROR(O1139/M1139,0)</f>
        <v>0.570815450643777</v>
      </c>
      <c r="Q1139" s="6" t="str">
        <f aca="false">Orders!H1139</f>
        <v>Delivered</v>
      </c>
      <c r="R1139" s="1" t="str">
        <f aca="false">INDEX(Customers!$C$2:$C$301,MATCH(C1139,Customers!$A$2:$A$301,0))</f>
        <v>Gurugram</v>
      </c>
      <c r="S1139" s="1" t="str">
        <f aca="false">INDEX(Customers!$E$2:$E$301,MATCH(C1139,Customers!$A$2:$A$301,0))</f>
        <v>Returning</v>
      </c>
      <c r="T1139" s="6" t="str">
        <f aca="false">Orders!I1139</f>
        <v>Mobile App</v>
      </c>
      <c r="U1139" s="1" t="str">
        <f aca="false">IF(Q1139="Delivered","Completed",IF(Q1139="Cancelled","Cancelled",IF(Q1139="Returned","Returned","In Progress")))</f>
        <v>Completed</v>
      </c>
      <c r="V1139" s="1" t="str">
        <f aca="false">IF(M1139&gt;=10000,"High Value",IF(M1139&gt;=5000,"Medium Value","Low Value"))</f>
        <v>Low Value</v>
      </c>
      <c r="W1139" s="1" t="str">
        <f aca="false">IF(O1139&gt;0,"Profitable",IF(O1139=0,"Break-even","Loss"))</f>
        <v>Profitable</v>
      </c>
      <c r="X1139" s="1" t="str">
        <f aca="false">IF(Q1139="Cancelled","Not Applicable",IF(Q1139="Processing","Pending",IF(B1139="","Unknown",IF(Orders!J1139="","Unknown",IF(Orders!J1139&lt;=3,"Fast",IF(Orders!J1139&lt;=6,"Standard","Slow"))))))</f>
        <v>Fast</v>
      </c>
      <c r="Y1139" s="1" t="n">
        <f aca="false">IF(OR(Q1139="Cancelled",Q1139="Returned"),0,O1139)</f>
        <v>798</v>
      </c>
    </row>
    <row r="1140" customFormat="false" ht="15" hidden="false" customHeight="false" outlineLevel="0" collapsed="false">
      <c r="A1140" s="6" t="str">
        <f aca="false">Orders!A1140</f>
        <v>O001139</v>
      </c>
      <c r="B1140" s="19" t="n">
        <f aca="false">Orders!B1140</f>
        <v>45824</v>
      </c>
      <c r="C1140" s="6" t="str">
        <f aca="false">Orders!C1140</f>
        <v>C0093</v>
      </c>
      <c r="D1140" s="6" t="str">
        <f aca="false">Orders!D1140</f>
        <v>P1057</v>
      </c>
      <c r="E1140" s="6" t="str">
        <f aca="false">INDEX(Products!$B$2:$B$101,MATCH(D1140,Products!$A$2:$A$101,0))</f>
        <v>Comb Set</v>
      </c>
      <c r="F1140" s="1" t="str">
        <f aca="false">INDEX(Products!$C$2:$C$101,MATCH(D1140,Products!$A$2:$A$101,0))</f>
        <v>Beauty</v>
      </c>
      <c r="G1140" s="6" t="n">
        <f aca="false">Orders!E1140</f>
        <v>1</v>
      </c>
      <c r="H1140" s="16" t="n">
        <f aca="false">INDEX(Products!$D$2:$D$101,MATCH(D1140,Products!$A$2:$A$101,0))</f>
        <v>199</v>
      </c>
      <c r="I1140" s="16" t="n">
        <f aca="false">INDEX(Products!$E$2:$E$101,MATCH(D1140,Products!$A$2:$A$101,0))</f>
        <v>65</v>
      </c>
      <c r="J1140" s="20" t="n">
        <f aca="false">Orders!F1140</f>
        <v>0.15</v>
      </c>
      <c r="K1140" s="6" t="n">
        <f aca="false">G1140*H1140</f>
        <v>199</v>
      </c>
      <c r="L1140" s="6" t="n">
        <f aca="false">K1140*J1140</f>
        <v>29.85</v>
      </c>
      <c r="M1140" s="6" t="n">
        <f aca="false">K1140-L1140</f>
        <v>169.15</v>
      </c>
      <c r="N1140" s="6" t="n">
        <f aca="false">G1140*I1140</f>
        <v>65</v>
      </c>
      <c r="O1140" s="6" t="n">
        <f aca="false">M1140-N1140</f>
        <v>104.15</v>
      </c>
      <c r="P1140" s="21" t="n">
        <f aca="false">IFERROR(O1140/M1140,0)</f>
        <v>0.615725687259829</v>
      </c>
      <c r="Q1140" s="6" t="str">
        <f aca="false">Orders!H1140</f>
        <v>Delivered</v>
      </c>
      <c r="R1140" s="1" t="str">
        <f aca="false">INDEX(Customers!$C$2:$C$301,MATCH(C1140,Customers!$A$2:$A$301,0))</f>
        <v>Kochi</v>
      </c>
      <c r="S1140" s="1" t="str">
        <f aca="false">INDEX(Customers!$E$2:$E$301,MATCH(C1140,Customers!$A$2:$A$301,0))</f>
        <v>Returning</v>
      </c>
      <c r="T1140" s="6" t="str">
        <f aca="false">Orders!I1140</f>
        <v>Marketplace</v>
      </c>
      <c r="U1140" s="1" t="str">
        <f aca="false">IF(Q1140="Delivered","Completed",IF(Q1140="Cancelled","Cancelled",IF(Q1140="Returned","Returned","In Progress")))</f>
        <v>Completed</v>
      </c>
      <c r="V1140" s="1" t="str">
        <f aca="false">IF(M1140&gt;=10000,"High Value",IF(M1140&gt;=5000,"Medium Value","Low Value"))</f>
        <v>Low Value</v>
      </c>
      <c r="W1140" s="1" t="str">
        <f aca="false">IF(O1140&gt;0,"Profitable",IF(O1140=0,"Break-even","Loss"))</f>
        <v>Profitable</v>
      </c>
      <c r="X1140" s="1" t="str">
        <f aca="false">IF(Q1140="Cancelled","Not Applicable",IF(Q1140="Processing","Pending",IF(B1140="","Unknown",IF(Orders!J1140="","Unknown",IF(Orders!J1140&lt;=3,"Fast",IF(Orders!J1140&lt;=6,"Standard","Slow"))))))</f>
        <v>Slow</v>
      </c>
      <c r="Y1140" s="1" t="n">
        <f aca="false">IF(OR(Q1140="Cancelled",Q1140="Returned"),0,O1140)</f>
        <v>104.15</v>
      </c>
    </row>
    <row r="1141" customFormat="false" ht="15" hidden="false" customHeight="false" outlineLevel="0" collapsed="false">
      <c r="A1141" s="6" t="str">
        <f aca="false">Orders!A1141</f>
        <v>O001140</v>
      </c>
      <c r="B1141" s="19" t="n">
        <f aca="false">Orders!B1141</f>
        <v>45666</v>
      </c>
      <c r="C1141" s="6" t="str">
        <f aca="false">Orders!C1141</f>
        <v>C0186</v>
      </c>
      <c r="D1141" s="6" t="str">
        <f aca="false">Orders!D1141</f>
        <v>P1074</v>
      </c>
      <c r="E1141" s="6" t="str">
        <f aca="false">INDEX(Products!$B$2:$B$101,MATCH(D1141,Products!$A$2:$A$101,0))</f>
        <v>Notebook Pack</v>
      </c>
      <c r="F1141" s="1" t="str">
        <f aca="false">INDEX(Products!$C$2:$C$101,MATCH(D1141,Products!$A$2:$A$101,0))</f>
        <v>Books &amp; Stationery</v>
      </c>
      <c r="G1141" s="6" t="n">
        <f aca="false">Orders!E1141</f>
        <v>1</v>
      </c>
      <c r="H1141" s="16" t="n">
        <f aca="false">INDEX(Products!$D$2:$D$101,MATCH(D1141,Products!$A$2:$A$101,0))</f>
        <v>299</v>
      </c>
      <c r="I1141" s="16" t="n">
        <f aca="false">INDEX(Products!$E$2:$E$101,MATCH(D1141,Products!$A$2:$A$101,0))</f>
        <v>110</v>
      </c>
      <c r="J1141" s="20" t="n">
        <f aca="false">Orders!F1141</f>
        <v>0.25</v>
      </c>
      <c r="K1141" s="6" t="n">
        <f aca="false">G1141*H1141</f>
        <v>299</v>
      </c>
      <c r="L1141" s="6" t="n">
        <f aca="false">K1141*J1141</f>
        <v>74.75</v>
      </c>
      <c r="M1141" s="6" t="n">
        <f aca="false">K1141-L1141</f>
        <v>224.25</v>
      </c>
      <c r="N1141" s="6" t="n">
        <f aca="false">G1141*I1141</f>
        <v>110</v>
      </c>
      <c r="O1141" s="6" t="n">
        <f aca="false">M1141-N1141</f>
        <v>114.25</v>
      </c>
      <c r="P1141" s="21" t="n">
        <f aca="false">IFERROR(O1141/M1141,0)</f>
        <v>0.509476031215162</v>
      </c>
      <c r="Q1141" s="6" t="str">
        <f aca="false">Orders!H1141</f>
        <v>Delivered</v>
      </c>
      <c r="R1141" s="1" t="str">
        <f aca="false">INDEX(Customers!$C$2:$C$301,MATCH(C1141,Customers!$A$2:$A$301,0))</f>
        <v>Kolkata</v>
      </c>
      <c r="S1141" s="1" t="str">
        <f aca="false">INDEX(Customers!$E$2:$E$301,MATCH(C1141,Customers!$A$2:$A$301,0))</f>
        <v>New</v>
      </c>
      <c r="T1141" s="6" t="str">
        <f aca="false">Orders!I1141</f>
        <v>Mobile App</v>
      </c>
      <c r="U1141" s="1" t="str">
        <f aca="false">IF(Q1141="Delivered","Completed",IF(Q1141="Cancelled","Cancelled",IF(Q1141="Returned","Returned","In Progress")))</f>
        <v>Completed</v>
      </c>
      <c r="V1141" s="1" t="str">
        <f aca="false">IF(M1141&gt;=10000,"High Value",IF(M1141&gt;=5000,"Medium Value","Low Value"))</f>
        <v>Low Value</v>
      </c>
      <c r="W1141" s="1" t="str">
        <f aca="false">IF(O1141&gt;0,"Profitable",IF(O1141=0,"Break-even","Loss"))</f>
        <v>Profitable</v>
      </c>
      <c r="X1141" s="1" t="str">
        <f aca="false">IF(Q1141="Cancelled","Not Applicable",IF(Q1141="Processing","Pending",IF(B1141="","Unknown",IF(Orders!J1141="","Unknown",IF(Orders!J1141&lt;=3,"Fast",IF(Orders!J1141&lt;=6,"Standard","Slow"))))))</f>
        <v>Standard</v>
      </c>
      <c r="Y1141" s="1" t="n">
        <f aca="false">IF(OR(Q1141="Cancelled",Q1141="Returned"),0,O1141)</f>
        <v>114.25</v>
      </c>
    </row>
    <row r="1142" customFormat="false" ht="15" hidden="false" customHeight="false" outlineLevel="0" collapsed="false">
      <c r="A1142" s="6" t="str">
        <f aca="false">Orders!A1142</f>
        <v>O001141</v>
      </c>
      <c r="B1142" s="19" t="n">
        <f aca="false">Orders!B1142</f>
        <v>46000</v>
      </c>
      <c r="C1142" s="6" t="str">
        <f aca="false">Orders!C1142</f>
        <v>C0271</v>
      </c>
      <c r="D1142" s="6" t="str">
        <f aca="false">Orders!D1142</f>
        <v>P1073</v>
      </c>
      <c r="E1142" s="6" t="str">
        <f aca="false">INDEX(Products!$B$2:$B$101,MATCH(D1142,Products!$A$2:$A$101,0))</f>
        <v>Hiking Backpack</v>
      </c>
      <c r="F1142" s="1" t="str">
        <f aca="false">INDEX(Products!$C$2:$C$101,MATCH(D1142,Products!$A$2:$A$101,0))</f>
        <v>Sports &amp; Outdoors</v>
      </c>
      <c r="G1142" s="6" t="n">
        <f aca="false">Orders!E1142</f>
        <v>1</v>
      </c>
      <c r="H1142" s="16" t="n">
        <f aca="false">INDEX(Products!$D$2:$D$101,MATCH(D1142,Products!$A$2:$A$101,0))</f>
        <v>1999</v>
      </c>
      <c r="I1142" s="16" t="n">
        <f aca="false">INDEX(Products!$E$2:$E$101,MATCH(D1142,Products!$A$2:$A$101,0))</f>
        <v>1100</v>
      </c>
      <c r="J1142" s="20" t="n">
        <f aca="false">Orders!F1142</f>
        <v>0.05</v>
      </c>
      <c r="K1142" s="6" t="n">
        <f aca="false">G1142*H1142</f>
        <v>1999</v>
      </c>
      <c r="L1142" s="6" t="n">
        <f aca="false">K1142*J1142</f>
        <v>99.95</v>
      </c>
      <c r="M1142" s="6" t="n">
        <f aca="false">K1142-L1142</f>
        <v>1899.05</v>
      </c>
      <c r="N1142" s="6" t="n">
        <f aca="false">G1142*I1142</f>
        <v>1100</v>
      </c>
      <c r="O1142" s="6" t="n">
        <f aca="false">M1142-N1142</f>
        <v>799.05</v>
      </c>
      <c r="P1142" s="21" t="n">
        <f aca="false">IFERROR(O1142/M1142,0)</f>
        <v>0.42076301308549</v>
      </c>
      <c r="Q1142" s="6" t="str">
        <f aca="false">Orders!H1142</f>
        <v>Delivered</v>
      </c>
      <c r="R1142" s="1" t="str">
        <f aca="false">INDEX(Customers!$C$2:$C$301,MATCH(C1142,Customers!$A$2:$A$301,0))</f>
        <v>Gurugram</v>
      </c>
      <c r="S1142" s="1" t="str">
        <f aca="false">INDEX(Customers!$E$2:$E$301,MATCH(C1142,Customers!$A$2:$A$301,0))</f>
        <v>New</v>
      </c>
      <c r="T1142" s="6" t="str">
        <f aca="false">Orders!I1142</f>
        <v>Website</v>
      </c>
      <c r="U1142" s="1" t="str">
        <f aca="false">IF(Q1142="Delivered","Completed",IF(Q1142="Cancelled","Cancelled",IF(Q1142="Returned","Returned","In Progress")))</f>
        <v>Completed</v>
      </c>
      <c r="V1142" s="1" t="str">
        <f aca="false">IF(M1142&gt;=10000,"High Value",IF(M1142&gt;=5000,"Medium Value","Low Value"))</f>
        <v>Low Value</v>
      </c>
      <c r="W1142" s="1" t="str">
        <f aca="false">IF(O1142&gt;0,"Profitable",IF(O1142=0,"Break-even","Loss"))</f>
        <v>Profitable</v>
      </c>
      <c r="X1142" s="1" t="str">
        <f aca="false">IF(Q1142="Cancelled","Not Applicable",IF(Q1142="Processing","Pending",IF(B1142="","Unknown",IF(Orders!J1142="","Unknown",IF(Orders!J1142&lt;=3,"Fast",IF(Orders!J1142&lt;=6,"Standard","Slow"))))))</f>
        <v>Fast</v>
      </c>
      <c r="Y1142" s="1" t="n">
        <f aca="false">IF(OR(Q1142="Cancelled",Q1142="Returned"),0,O1142)</f>
        <v>799.05</v>
      </c>
    </row>
    <row r="1143" customFormat="false" ht="15" hidden="false" customHeight="false" outlineLevel="0" collapsed="false">
      <c r="A1143" s="6" t="str">
        <f aca="false">Orders!A1143</f>
        <v>O001142</v>
      </c>
      <c r="B1143" s="19" t="n">
        <f aca="false">Orders!B1143</f>
        <v>45855</v>
      </c>
      <c r="C1143" s="6" t="str">
        <f aca="false">Orders!C1143</f>
        <v>C0153</v>
      </c>
      <c r="D1143" s="6" t="str">
        <f aca="false">Orders!D1143</f>
        <v>P1080</v>
      </c>
      <c r="E1143" s="6" t="str">
        <f aca="false">INDEX(Products!$B$2:$B$101,MATCH(D1143,Products!$A$2:$A$101,0))</f>
        <v>Calculator</v>
      </c>
      <c r="F1143" s="1" t="str">
        <f aca="false">INDEX(Products!$C$2:$C$101,MATCH(D1143,Products!$A$2:$A$101,0))</f>
        <v>Books &amp; Stationery</v>
      </c>
      <c r="G1143" s="6" t="n">
        <f aca="false">Orders!E1143</f>
        <v>1</v>
      </c>
      <c r="H1143" s="16" t="n">
        <f aca="false">INDEX(Products!$D$2:$D$101,MATCH(D1143,Products!$A$2:$A$101,0))</f>
        <v>599</v>
      </c>
      <c r="I1143" s="16" t="n">
        <f aca="false">INDEX(Products!$E$2:$E$101,MATCH(D1143,Products!$A$2:$A$101,0))</f>
        <v>300</v>
      </c>
      <c r="J1143" s="20" t="n">
        <f aca="false">Orders!F1143</f>
        <v>0</v>
      </c>
      <c r="K1143" s="6" t="n">
        <f aca="false">G1143*H1143</f>
        <v>599</v>
      </c>
      <c r="L1143" s="6" t="n">
        <f aca="false">K1143*J1143</f>
        <v>0</v>
      </c>
      <c r="M1143" s="6" t="n">
        <f aca="false">K1143-L1143</f>
        <v>599</v>
      </c>
      <c r="N1143" s="6" t="n">
        <f aca="false">G1143*I1143</f>
        <v>300</v>
      </c>
      <c r="O1143" s="6" t="n">
        <f aca="false">M1143-N1143</f>
        <v>299</v>
      </c>
      <c r="P1143" s="21" t="n">
        <f aca="false">IFERROR(O1143/M1143,0)</f>
        <v>0.499165275459099</v>
      </c>
      <c r="Q1143" s="6" t="str">
        <f aca="false">Orders!H1143</f>
        <v>Delivered</v>
      </c>
      <c r="R1143" s="1" t="str">
        <f aca="false">INDEX(Customers!$C$2:$C$301,MATCH(C1143,Customers!$A$2:$A$301,0))</f>
        <v>Kochi</v>
      </c>
      <c r="S1143" s="1" t="str">
        <f aca="false">INDEX(Customers!$E$2:$E$301,MATCH(C1143,Customers!$A$2:$A$301,0))</f>
        <v>Returning</v>
      </c>
      <c r="T1143" s="6" t="str">
        <f aca="false">Orders!I1143</f>
        <v>Website</v>
      </c>
      <c r="U1143" s="1" t="str">
        <f aca="false">IF(Q1143="Delivered","Completed",IF(Q1143="Cancelled","Cancelled",IF(Q1143="Returned","Returned","In Progress")))</f>
        <v>Completed</v>
      </c>
      <c r="V1143" s="1" t="str">
        <f aca="false">IF(M1143&gt;=10000,"High Value",IF(M1143&gt;=5000,"Medium Value","Low Value"))</f>
        <v>Low Value</v>
      </c>
      <c r="W1143" s="1" t="str">
        <f aca="false">IF(O1143&gt;0,"Profitable",IF(O1143=0,"Break-even","Loss"))</f>
        <v>Profitable</v>
      </c>
      <c r="X1143" s="1" t="str">
        <f aca="false">IF(Q1143="Cancelled","Not Applicable",IF(Q1143="Processing","Pending",IF(B1143="","Unknown",IF(Orders!J1143="","Unknown",IF(Orders!J1143&lt;=3,"Fast",IF(Orders!J1143&lt;=6,"Standard","Slow"))))))</f>
        <v>Slow</v>
      </c>
      <c r="Y1143" s="1" t="n">
        <f aca="false">IF(OR(Q1143="Cancelled",Q1143="Returned"),0,O1143)</f>
        <v>299</v>
      </c>
    </row>
    <row r="1144" customFormat="false" ht="23.85" hidden="false" customHeight="false" outlineLevel="0" collapsed="false">
      <c r="A1144" s="6" t="str">
        <f aca="false">Orders!A1144</f>
        <v>O001143</v>
      </c>
      <c r="B1144" s="19" t="n">
        <f aca="false">Orders!B1144</f>
        <v>45846</v>
      </c>
      <c r="C1144" s="6" t="str">
        <f aca="false">Orders!C1144</f>
        <v>C0221</v>
      </c>
      <c r="D1144" s="6" t="str">
        <f aca="false">Orders!D1144</f>
        <v>P1002</v>
      </c>
      <c r="E1144" s="6" t="str">
        <f aca="false">INDEX(Products!$B$2:$B$101,MATCH(D1144,Products!$A$2:$A$101,0))</f>
        <v>Bluetooth Speaker</v>
      </c>
      <c r="F1144" s="1" t="str">
        <f aca="false">INDEX(Products!$C$2:$C$101,MATCH(D1144,Products!$A$2:$A$101,0))</f>
        <v>Electronics</v>
      </c>
      <c r="G1144" s="6" t="n">
        <f aca="false">Orders!E1144</f>
        <v>1</v>
      </c>
      <c r="H1144" s="16" t="n">
        <f aca="false">INDEX(Products!$D$2:$D$101,MATCH(D1144,Products!$A$2:$A$101,0))</f>
        <v>1499</v>
      </c>
      <c r="I1144" s="16" t="n">
        <f aca="false">INDEX(Products!$E$2:$E$101,MATCH(D1144,Products!$A$2:$A$101,0))</f>
        <v>850</v>
      </c>
      <c r="J1144" s="20" t="n">
        <f aca="false">Orders!F1144</f>
        <v>0</v>
      </c>
      <c r="K1144" s="6" t="n">
        <f aca="false">G1144*H1144</f>
        <v>1499</v>
      </c>
      <c r="L1144" s="6" t="n">
        <f aca="false">K1144*J1144</f>
        <v>0</v>
      </c>
      <c r="M1144" s="6" t="n">
        <f aca="false">K1144-L1144</f>
        <v>1499</v>
      </c>
      <c r="N1144" s="6" t="n">
        <f aca="false">G1144*I1144</f>
        <v>850</v>
      </c>
      <c r="O1144" s="6" t="n">
        <f aca="false">M1144-N1144</f>
        <v>649</v>
      </c>
      <c r="P1144" s="21" t="n">
        <f aca="false">IFERROR(O1144/M1144,0)</f>
        <v>0.43295530353569</v>
      </c>
      <c r="Q1144" s="6" t="str">
        <f aca="false">Orders!H1144</f>
        <v>Shipped</v>
      </c>
      <c r="R1144" s="1" t="str">
        <f aca="false">INDEX(Customers!$C$2:$C$301,MATCH(C1144,Customers!$A$2:$A$301,0))</f>
        <v>Delhi</v>
      </c>
      <c r="S1144" s="1" t="str">
        <f aca="false">INDEX(Customers!$E$2:$E$301,MATCH(C1144,Customers!$A$2:$A$301,0))</f>
        <v>New</v>
      </c>
      <c r="T1144" s="6" t="str">
        <f aca="false">Orders!I1144</f>
        <v>Mobile App</v>
      </c>
      <c r="U1144" s="1" t="str">
        <f aca="false">IF(Q1144="Delivered","Completed",IF(Q1144="Cancelled","Cancelled",IF(Q1144="Returned","Returned","In Progress")))</f>
        <v>In Progress</v>
      </c>
      <c r="V1144" s="1" t="str">
        <f aca="false">IF(M1144&gt;=10000,"High Value",IF(M1144&gt;=5000,"Medium Value","Low Value"))</f>
        <v>Low Value</v>
      </c>
      <c r="W1144" s="1" t="str">
        <f aca="false">IF(O1144&gt;0,"Profitable",IF(O1144=0,"Break-even","Loss"))</f>
        <v>Profitable</v>
      </c>
      <c r="X1144" s="1" t="str">
        <f aca="false">IF(Q1144="Cancelled","Not Applicable",IF(Q1144="Processing","Pending",IF(B1144="","Unknown",IF(Orders!J1144="","Unknown",IF(Orders!J1144&lt;=3,"Fast",IF(Orders!J1144&lt;=6,"Standard","Slow"))))))</f>
        <v>Fast</v>
      </c>
      <c r="Y1144" s="1" t="n">
        <f aca="false">IF(OR(Q1144="Cancelled",Q1144="Returned"),0,O1144)</f>
        <v>649</v>
      </c>
    </row>
    <row r="1145" customFormat="false" ht="15" hidden="false" customHeight="false" outlineLevel="0" collapsed="false">
      <c r="A1145" s="6" t="str">
        <f aca="false">Orders!A1145</f>
        <v>O001144</v>
      </c>
      <c r="B1145" s="19" t="n">
        <f aca="false">Orders!B1145</f>
        <v>45841</v>
      </c>
      <c r="C1145" s="6" t="str">
        <f aca="false">Orders!C1145</f>
        <v>C0120</v>
      </c>
      <c r="D1145" s="6" t="str">
        <f aca="false">Orders!D1145</f>
        <v>P1039</v>
      </c>
      <c r="E1145" s="6" t="str">
        <f aca="false">INDEX(Products!$B$2:$B$101,MATCH(D1145,Products!$A$2:$A$101,0))</f>
        <v>Wall Clock</v>
      </c>
      <c r="F1145" s="1" t="str">
        <f aca="false">INDEX(Products!$C$2:$C$101,MATCH(D1145,Products!$A$2:$A$101,0))</f>
        <v>Home &amp; Kitchen</v>
      </c>
      <c r="G1145" s="6" t="n">
        <f aca="false">Orders!E1145</f>
        <v>3</v>
      </c>
      <c r="H1145" s="16" t="n">
        <f aca="false">INDEX(Products!$D$2:$D$101,MATCH(D1145,Products!$A$2:$A$101,0))</f>
        <v>699</v>
      </c>
      <c r="I1145" s="16" t="n">
        <f aca="false">INDEX(Products!$E$2:$E$101,MATCH(D1145,Products!$A$2:$A$101,0))</f>
        <v>300</v>
      </c>
      <c r="J1145" s="20" t="n">
        <f aca="false">Orders!F1145</f>
        <v>0</v>
      </c>
      <c r="K1145" s="6" t="n">
        <f aca="false">G1145*H1145</f>
        <v>2097</v>
      </c>
      <c r="L1145" s="6" t="n">
        <f aca="false">K1145*J1145</f>
        <v>0</v>
      </c>
      <c r="M1145" s="6" t="n">
        <f aca="false">K1145-L1145</f>
        <v>2097</v>
      </c>
      <c r="N1145" s="6" t="n">
        <f aca="false">G1145*I1145</f>
        <v>900</v>
      </c>
      <c r="O1145" s="6" t="n">
        <f aca="false">M1145-N1145</f>
        <v>1197</v>
      </c>
      <c r="P1145" s="21" t="n">
        <f aca="false">IFERROR(O1145/M1145,0)</f>
        <v>0.570815450643777</v>
      </c>
      <c r="Q1145" s="6" t="str">
        <f aca="false">Orders!H1145</f>
        <v>Delivered</v>
      </c>
      <c r="R1145" s="1" t="str">
        <f aca="false">INDEX(Customers!$C$2:$C$301,MATCH(C1145,Customers!$A$2:$A$301,0))</f>
        <v>Visakhapatnam</v>
      </c>
      <c r="S1145" s="1" t="str">
        <f aca="false">INDEX(Customers!$E$2:$E$301,MATCH(C1145,Customers!$A$2:$A$301,0))</f>
        <v>Returning</v>
      </c>
      <c r="T1145" s="6" t="str">
        <f aca="false">Orders!I1145</f>
        <v>Marketplace</v>
      </c>
      <c r="U1145" s="1" t="str">
        <f aca="false">IF(Q1145="Delivered","Completed",IF(Q1145="Cancelled","Cancelled",IF(Q1145="Returned","Returned","In Progress")))</f>
        <v>Completed</v>
      </c>
      <c r="V1145" s="1" t="str">
        <f aca="false">IF(M1145&gt;=10000,"High Value",IF(M1145&gt;=5000,"Medium Value","Low Value"))</f>
        <v>Low Value</v>
      </c>
      <c r="W1145" s="1" t="str">
        <f aca="false">IF(O1145&gt;0,"Profitable",IF(O1145=0,"Break-even","Loss"))</f>
        <v>Profitable</v>
      </c>
      <c r="X1145" s="1" t="str">
        <f aca="false">IF(Q1145="Cancelled","Not Applicable",IF(Q1145="Processing","Pending",IF(B1145="","Unknown",IF(Orders!J1145="","Unknown",IF(Orders!J1145&lt;=3,"Fast",IF(Orders!J1145&lt;=6,"Standard","Slow"))))))</f>
        <v>Fast</v>
      </c>
      <c r="Y1145" s="1" t="n">
        <f aca="false">IF(OR(Q1145="Cancelled",Q1145="Returned"),0,O1145)</f>
        <v>1197</v>
      </c>
    </row>
    <row r="1146" customFormat="false" ht="15" hidden="false" customHeight="false" outlineLevel="0" collapsed="false">
      <c r="A1146" s="6" t="str">
        <f aca="false">Orders!A1146</f>
        <v>O001145</v>
      </c>
      <c r="B1146" s="19" t="n">
        <f aca="false">Orders!B1146</f>
        <v>45879</v>
      </c>
      <c r="C1146" s="6" t="str">
        <f aca="false">Orders!C1146</f>
        <v>C0262</v>
      </c>
      <c r="D1146" s="6" t="str">
        <f aca="false">Orders!D1146</f>
        <v>P1044</v>
      </c>
      <c r="E1146" s="6" t="str">
        <f aca="false">INDEX(Products!$B$2:$B$101,MATCH(D1146,Products!$A$2:$A$101,0))</f>
        <v>Doormat</v>
      </c>
      <c r="F1146" s="1" t="str">
        <f aca="false">INDEX(Products!$C$2:$C$101,MATCH(D1146,Products!$A$2:$A$101,0))</f>
        <v>Home &amp; Kitchen</v>
      </c>
      <c r="G1146" s="6" t="n">
        <f aca="false">Orders!E1146</f>
        <v>3</v>
      </c>
      <c r="H1146" s="16" t="n">
        <f aca="false">INDEX(Products!$D$2:$D$101,MATCH(D1146,Products!$A$2:$A$101,0))</f>
        <v>299</v>
      </c>
      <c r="I1146" s="16" t="n">
        <f aca="false">INDEX(Products!$E$2:$E$101,MATCH(D1146,Products!$A$2:$A$101,0))</f>
        <v>100</v>
      </c>
      <c r="J1146" s="20" t="n">
        <f aca="false">Orders!F1146</f>
        <v>0.2</v>
      </c>
      <c r="K1146" s="6" t="n">
        <f aca="false">G1146*H1146</f>
        <v>897</v>
      </c>
      <c r="L1146" s="6" t="n">
        <f aca="false">K1146*J1146</f>
        <v>179.4</v>
      </c>
      <c r="M1146" s="6" t="n">
        <f aca="false">K1146-L1146</f>
        <v>717.6</v>
      </c>
      <c r="N1146" s="6" t="n">
        <f aca="false">G1146*I1146</f>
        <v>300</v>
      </c>
      <c r="O1146" s="6" t="n">
        <f aca="false">M1146-N1146</f>
        <v>417.6</v>
      </c>
      <c r="P1146" s="21" t="n">
        <f aca="false">IFERROR(O1146/M1146,0)</f>
        <v>0.581939799331104</v>
      </c>
      <c r="Q1146" s="6" t="str">
        <f aca="false">Orders!H1146</f>
        <v>Delivered</v>
      </c>
      <c r="R1146" s="1" t="str">
        <f aca="false">INDEX(Customers!$C$2:$C$301,MATCH(C1146,Customers!$A$2:$A$301,0))</f>
        <v>Mumbai</v>
      </c>
      <c r="S1146" s="1" t="str">
        <f aca="false">INDEX(Customers!$E$2:$E$301,MATCH(C1146,Customers!$A$2:$A$301,0))</f>
        <v>Returning</v>
      </c>
      <c r="T1146" s="6" t="str">
        <f aca="false">Orders!I1146</f>
        <v>Mobile App</v>
      </c>
      <c r="U1146" s="1" t="str">
        <f aca="false">IF(Q1146="Delivered","Completed",IF(Q1146="Cancelled","Cancelled",IF(Q1146="Returned","Returned","In Progress")))</f>
        <v>Completed</v>
      </c>
      <c r="V1146" s="1" t="str">
        <f aca="false">IF(M1146&gt;=10000,"High Value",IF(M1146&gt;=5000,"Medium Value","Low Value"))</f>
        <v>Low Value</v>
      </c>
      <c r="W1146" s="1" t="str">
        <f aca="false">IF(O1146&gt;0,"Profitable",IF(O1146=0,"Break-even","Loss"))</f>
        <v>Profitable</v>
      </c>
      <c r="X1146" s="1" t="str">
        <f aca="false">IF(Q1146="Cancelled","Not Applicable",IF(Q1146="Processing","Pending",IF(B1146="","Unknown",IF(Orders!J1146="","Unknown",IF(Orders!J1146&lt;=3,"Fast",IF(Orders!J1146&lt;=6,"Standard","Slow"))))))</f>
        <v>Slow</v>
      </c>
      <c r="Y1146" s="1" t="n">
        <f aca="false">IF(OR(Q1146="Cancelled",Q1146="Returned"),0,O1146)</f>
        <v>417.6</v>
      </c>
    </row>
    <row r="1147" customFormat="false" ht="15" hidden="false" customHeight="false" outlineLevel="0" collapsed="false">
      <c r="A1147" s="6" t="str">
        <f aca="false">Orders!A1147</f>
        <v>O001146</v>
      </c>
      <c r="B1147" s="19" t="n">
        <f aca="false">Orders!B1147</f>
        <v>45805</v>
      </c>
      <c r="C1147" s="6" t="str">
        <f aca="false">Orders!C1147</f>
        <v>C0243</v>
      </c>
      <c r="D1147" s="6" t="str">
        <f aca="false">Orders!D1147</f>
        <v>P1056</v>
      </c>
      <c r="E1147" s="6" t="str">
        <f aca="false">INDEX(Products!$B$2:$B$101,MATCH(D1147,Products!$A$2:$A$101,0))</f>
        <v>Hair Dryer</v>
      </c>
      <c r="F1147" s="1" t="str">
        <f aca="false">INDEX(Products!$C$2:$C$101,MATCH(D1147,Products!$A$2:$A$101,0))</f>
        <v>Beauty</v>
      </c>
      <c r="G1147" s="6" t="n">
        <f aca="false">Orders!E1147</f>
        <v>1</v>
      </c>
      <c r="H1147" s="16" t="n">
        <f aca="false">INDEX(Products!$D$2:$D$101,MATCH(D1147,Products!$A$2:$A$101,0))</f>
        <v>1299</v>
      </c>
      <c r="I1147" s="16" t="n">
        <f aca="false">INDEX(Products!$E$2:$E$101,MATCH(D1147,Products!$A$2:$A$101,0))</f>
        <v>750</v>
      </c>
      <c r="J1147" s="20" t="n">
        <f aca="false">Orders!F1147</f>
        <v>0.05</v>
      </c>
      <c r="K1147" s="6" t="n">
        <f aca="false">G1147*H1147</f>
        <v>1299</v>
      </c>
      <c r="L1147" s="6" t="n">
        <f aca="false">K1147*J1147</f>
        <v>64.95</v>
      </c>
      <c r="M1147" s="6" t="n">
        <f aca="false">K1147-L1147</f>
        <v>1234.05</v>
      </c>
      <c r="N1147" s="6" t="n">
        <f aca="false">G1147*I1147</f>
        <v>750</v>
      </c>
      <c r="O1147" s="6" t="n">
        <f aca="false">M1147-N1147</f>
        <v>484.05</v>
      </c>
      <c r="P1147" s="21" t="n">
        <f aca="false">IFERROR(O1147/M1147,0)</f>
        <v>0.392245046797131</v>
      </c>
      <c r="Q1147" s="6" t="str">
        <f aca="false">Orders!H1147</f>
        <v>Shipped</v>
      </c>
      <c r="R1147" s="1" t="str">
        <f aca="false">INDEX(Customers!$C$2:$C$301,MATCH(C1147,Customers!$A$2:$A$301,0))</f>
        <v>Bengaluru</v>
      </c>
      <c r="S1147" s="1" t="str">
        <f aca="false">INDEX(Customers!$E$2:$E$301,MATCH(C1147,Customers!$A$2:$A$301,0))</f>
        <v>New</v>
      </c>
      <c r="T1147" s="6" t="str">
        <f aca="false">Orders!I1147</f>
        <v>Mobile App</v>
      </c>
      <c r="U1147" s="1" t="str">
        <f aca="false">IF(Q1147="Delivered","Completed",IF(Q1147="Cancelled","Cancelled",IF(Q1147="Returned","Returned","In Progress")))</f>
        <v>In Progress</v>
      </c>
      <c r="V1147" s="1" t="str">
        <f aca="false">IF(M1147&gt;=10000,"High Value",IF(M1147&gt;=5000,"Medium Value","Low Value"))</f>
        <v>Low Value</v>
      </c>
      <c r="W1147" s="1" t="str">
        <f aca="false">IF(O1147&gt;0,"Profitable",IF(O1147=0,"Break-even","Loss"))</f>
        <v>Profitable</v>
      </c>
      <c r="X1147" s="1" t="str">
        <f aca="false">IF(Q1147="Cancelled","Not Applicable",IF(Q1147="Processing","Pending",IF(B1147="","Unknown",IF(Orders!J1147="","Unknown",IF(Orders!J1147&lt;=3,"Fast",IF(Orders!J1147&lt;=6,"Standard","Slow"))))))</f>
        <v>Fast</v>
      </c>
      <c r="Y1147" s="1" t="n">
        <f aca="false">IF(OR(Q1147="Cancelled",Q1147="Returned"),0,O1147)</f>
        <v>484.05</v>
      </c>
    </row>
    <row r="1148" customFormat="false" ht="15" hidden="false" customHeight="false" outlineLevel="0" collapsed="false">
      <c r="A1148" s="6" t="str">
        <f aca="false">Orders!A1148</f>
        <v>O001147</v>
      </c>
      <c r="B1148" s="19" t="n">
        <f aca="false">Orders!B1148</f>
        <v>45797</v>
      </c>
      <c r="C1148" s="6" t="str">
        <f aca="false">Orders!C1148</f>
        <v>C0247</v>
      </c>
      <c r="D1148" s="6" t="str">
        <f aca="false">Orders!D1148</f>
        <v>P1084</v>
      </c>
      <c r="E1148" s="6" t="str">
        <f aca="false">INDEX(Products!$B$2:$B$101,MATCH(D1148,Products!$A$2:$A$101,0))</f>
        <v>Whiteboard</v>
      </c>
      <c r="F1148" s="1" t="str">
        <f aca="false">INDEX(Products!$C$2:$C$101,MATCH(D1148,Products!$A$2:$A$101,0))</f>
        <v>Books &amp; Stationery</v>
      </c>
      <c r="G1148" s="6" t="n">
        <f aca="false">Orders!E1148</f>
        <v>1</v>
      </c>
      <c r="H1148" s="16" t="n">
        <f aca="false">INDEX(Products!$D$2:$D$101,MATCH(D1148,Products!$A$2:$A$101,0))</f>
        <v>799</v>
      </c>
      <c r="I1148" s="16" t="n">
        <f aca="false">INDEX(Products!$E$2:$E$101,MATCH(D1148,Products!$A$2:$A$101,0))</f>
        <v>420</v>
      </c>
      <c r="J1148" s="20" t="n">
        <f aca="false">Orders!F1148</f>
        <v>0</v>
      </c>
      <c r="K1148" s="6" t="n">
        <f aca="false">G1148*H1148</f>
        <v>799</v>
      </c>
      <c r="L1148" s="6" t="n">
        <f aca="false">K1148*J1148</f>
        <v>0</v>
      </c>
      <c r="M1148" s="6" t="n">
        <f aca="false">K1148-L1148</f>
        <v>799</v>
      </c>
      <c r="N1148" s="6" t="n">
        <f aca="false">G1148*I1148</f>
        <v>420</v>
      </c>
      <c r="O1148" s="6" t="n">
        <f aca="false">M1148-N1148</f>
        <v>379</v>
      </c>
      <c r="P1148" s="21" t="n">
        <f aca="false">IFERROR(O1148/M1148,0)</f>
        <v>0.474342928660826</v>
      </c>
      <c r="Q1148" s="6" t="str">
        <f aca="false">Orders!H1148</f>
        <v>Shipped</v>
      </c>
      <c r="R1148" s="1" t="str">
        <f aca="false">INDEX(Customers!$C$2:$C$301,MATCH(C1148,Customers!$A$2:$A$301,0))</f>
        <v>Pune</v>
      </c>
      <c r="S1148" s="1" t="str">
        <f aca="false">INDEX(Customers!$E$2:$E$301,MATCH(C1148,Customers!$A$2:$A$301,0))</f>
        <v>Returning</v>
      </c>
      <c r="T1148" s="6" t="str">
        <f aca="false">Orders!I1148</f>
        <v>Marketplace</v>
      </c>
      <c r="U1148" s="1" t="str">
        <f aca="false">IF(Q1148="Delivered","Completed",IF(Q1148="Cancelled","Cancelled",IF(Q1148="Returned","Returned","In Progress")))</f>
        <v>In Progress</v>
      </c>
      <c r="V1148" s="1" t="str">
        <f aca="false">IF(M1148&gt;=10000,"High Value",IF(M1148&gt;=5000,"Medium Value","Low Value"))</f>
        <v>Low Value</v>
      </c>
      <c r="W1148" s="1" t="str">
        <f aca="false">IF(O1148&gt;0,"Profitable",IF(O1148=0,"Break-even","Loss"))</f>
        <v>Profitable</v>
      </c>
      <c r="X1148" s="1" t="str">
        <f aca="false">IF(Q1148="Cancelled","Not Applicable",IF(Q1148="Processing","Pending",IF(B1148="","Unknown",IF(Orders!J1148="","Unknown",IF(Orders!J1148&lt;=3,"Fast",IF(Orders!J1148&lt;=6,"Standard","Slow"))))))</f>
        <v>Standard</v>
      </c>
      <c r="Y1148" s="1" t="n">
        <f aca="false">IF(OR(Q1148="Cancelled",Q1148="Returned"),0,O1148)</f>
        <v>379</v>
      </c>
    </row>
    <row r="1149" customFormat="false" ht="15" hidden="false" customHeight="false" outlineLevel="0" collapsed="false">
      <c r="A1149" s="6" t="str">
        <f aca="false">Orders!A1149</f>
        <v>O001148</v>
      </c>
      <c r="B1149" s="19" t="n">
        <f aca="false">Orders!B1149</f>
        <v>45768</v>
      </c>
      <c r="C1149" s="6" t="str">
        <f aca="false">Orders!C1149</f>
        <v>C0218</v>
      </c>
      <c r="D1149" s="6" t="str">
        <f aca="false">Orders!D1149</f>
        <v>P1018</v>
      </c>
      <c r="E1149" s="6" t="str">
        <f aca="false">INDEX(Products!$B$2:$B$101,MATCH(D1149,Products!$A$2:$A$101,0))</f>
        <v>Cotton Shirt</v>
      </c>
      <c r="F1149" s="1" t="str">
        <f aca="false">INDEX(Products!$C$2:$C$101,MATCH(D1149,Products!$A$2:$A$101,0))</f>
        <v>Fashion</v>
      </c>
      <c r="G1149" s="6" t="n">
        <f aca="false">Orders!E1149</f>
        <v>2</v>
      </c>
      <c r="H1149" s="16" t="n">
        <f aca="false">INDEX(Products!$D$2:$D$101,MATCH(D1149,Products!$A$2:$A$101,0))</f>
        <v>899</v>
      </c>
      <c r="I1149" s="16" t="n">
        <f aca="false">INDEX(Products!$E$2:$E$101,MATCH(D1149,Products!$A$2:$A$101,0))</f>
        <v>420</v>
      </c>
      <c r="J1149" s="20" t="n">
        <f aca="false">Orders!F1149</f>
        <v>0.15</v>
      </c>
      <c r="K1149" s="6" t="n">
        <f aca="false">G1149*H1149</f>
        <v>1798</v>
      </c>
      <c r="L1149" s="6" t="n">
        <f aca="false">K1149*J1149</f>
        <v>269.7</v>
      </c>
      <c r="M1149" s="6" t="n">
        <f aca="false">K1149-L1149</f>
        <v>1528.3</v>
      </c>
      <c r="N1149" s="6" t="n">
        <f aca="false">G1149*I1149</f>
        <v>840</v>
      </c>
      <c r="O1149" s="6" t="n">
        <f aca="false">M1149-N1149</f>
        <v>688.3</v>
      </c>
      <c r="P1149" s="21" t="n">
        <f aca="false">IFERROR(O1149/M1149,0)</f>
        <v>0.450369691814434</v>
      </c>
      <c r="Q1149" s="6" t="str">
        <f aca="false">Orders!H1149</f>
        <v>Delivered</v>
      </c>
      <c r="R1149" s="1" t="str">
        <f aca="false">INDEX(Customers!$C$2:$C$301,MATCH(C1149,Customers!$A$2:$A$301,0))</f>
        <v>Nagpur</v>
      </c>
      <c r="S1149" s="1" t="str">
        <f aca="false">INDEX(Customers!$E$2:$E$301,MATCH(C1149,Customers!$A$2:$A$301,0))</f>
        <v>VIP</v>
      </c>
      <c r="T1149" s="6" t="str">
        <f aca="false">Orders!I1149</f>
        <v>Mobile App</v>
      </c>
      <c r="U1149" s="1" t="str">
        <f aca="false">IF(Q1149="Delivered","Completed",IF(Q1149="Cancelled","Cancelled",IF(Q1149="Returned","Returned","In Progress")))</f>
        <v>Completed</v>
      </c>
      <c r="V1149" s="1" t="str">
        <f aca="false">IF(M1149&gt;=10000,"High Value",IF(M1149&gt;=5000,"Medium Value","Low Value"))</f>
        <v>Low Value</v>
      </c>
      <c r="W1149" s="1" t="str">
        <f aca="false">IF(O1149&gt;0,"Profitable",IF(O1149=0,"Break-even","Loss"))</f>
        <v>Profitable</v>
      </c>
      <c r="X1149" s="1" t="str">
        <f aca="false">IF(Q1149="Cancelled","Not Applicable",IF(Q1149="Processing","Pending",IF(B1149="","Unknown",IF(Orders!J1149="","Unknown",IF(Orders!J1149&lt;=3,"Fast",IF(Orders!J1149&lt;=6,"Standard","Slow"))))))</f>
        <v>Slow</v>
      </c>
      <c r="Y1149" s="1" t="n">
        <f aca="false">IF(OR(Q1149="Cancelled",Q1149="Returned"),0,O1149)</f>
        <v>688.3</v>
      </c>
    </row>
    <row r="1150" customFormat="false" ht="15" hidden="false" customHeight="false" outlineLevel="0" collapsed="false">
      <c r="A1150" s="6" t="str">
        <f aca="false">Orders!A1150</f>
        <v>O001149</v>
      </c>
      <c r="B1150" s="19" t="n">
        <f aca="false">Orders!B1150</f>
        <v>45790</v>
      </c>
      <c r="C1150" s="6" t="str">
        <f aca="false">Orders!C1150</f>
        <v>C0045</v>
      </c>
      <c r="D1150" s="6" t="str">
        <f aca="false">Orders!D1150</f>
        <v>P1025</v>
      </c>
      <c r="E1150" s="6" t="str">
        <f aca="false">INDEX(Products!$B$2:$B$101,MATCH(D1150,Products!$A$2:$A$101,0))</f>
        <v>Hoodie</v>
      </c>
      <c r="F1150" s="1" t="str">
        <f aca="false">INDEX(Products!$C$2:$C$101,MATCH(D1150,Products!$A$2:$A$101,0))</f>
        <v>Fashion</v>
      </c>
      <c r="G1150" s="6" t="n">
        <f aca="false">Orders!E1150</f>
        <v>1</v>
      </c>
      <c r="H1150" s="16" t="n">
        <f aca="false">INDEX(Products!$D$2:$D$101,MATCH(D1150,Products!$A$2:$A$101,0))</f>
        <v>1399</v>
      </c>
      <c r="I1150" s="16" t="n">
        <f aca="false">INDEX(Products!$E$2:$E$101,MATCH(D1150,Products!$A$2:$A$101,0))</f>
        <v>720</v>
      </c>
      <c r="J1150" s="20" t="n">
        <f aca="false">Orders!F1150</f>
        <v>0.1</v>
      </c>
      <c r="K1150" s="6" t="n">
        <f aca="false">G1150*H1150</f>
        <v>1399</v>
      </c>
      <c r="L1150" s="6" t="n">
        <f aca="false">K1150*J1150</f>
        <v>139.9</v>
      </c>
      <c r="M1150" s="6" t="n">
        <f aca="false">K1150-L1150</f>
        <v>1259.1</v>
      </c>
      <c r="N1150" s="6" t="n">
        <f aca="false">G1150*I1150</f>
        <v>720</v>
      </c>
      <c r="O1150" s="6" t="n">
        <f aca="false">M1150-N1150</f>
        <v>539.1</v>
      </c>
      <c r="P1150" s="21" t="n">
        <f aca="false">IFERROR(O1150/M1150,0)</f>
        <v>0.428162973552537</v>
      </c>
      <c r="Q1150" s="6" t="str">
        <f aca="false">Orders!H1150</f>
        <v>Delivered</v>
      </c>
      <c r="R1150" s="1" t="str">
        <f aca="false">INDEX(Customers!$C$2:$C$301,MATCH(C1150,Customers!$A$2:$A$301,0))</f>
        <v>Chennai</v>
      </c>
      <c r="S1150" s="1" t="str">
        <f aca="false">INDEX(Customers!$E$2:$E$301,MATCH(C1150,Customers!$A$2:$A$301,0))</f>
        <v>Returning</v>
      </c>
      <c r="T1150" s="6" t="str">
        <f aca="false">Orders!I1150</f>
        <v>Mobile App</v>
      </c>
      <c r="U1150" s="1" t="str">
        <f aca="false">IF(Q1150="Delivered","Completed",IF(Q1150="Cancelled","Cancelled",IF(Q1150="Returned","Returned","In Progress")))</f>
        <v>Completed</v>
      </c>
      <c r="V1150" s="1" t="str">
        <f aca="false">IF(M1150&gt;=10000,"High Value",IF(M1150&gt;=5000,"Medium Value","Low Value"))</f>
        <v>Low Value</v>
      </c>
      <c r="W1150" s="1" t="str">
        <f aca="false">IF(O1150&gt;0,"Profitable",IF(O1150=0,"Break-even","Loss"))</f>
        <v>Profitable</v>
      </c>
      <c r="X1150" s="1" t="str">
        <f aca="false">IF(Q1150="Cancelled","Not Applicable",IF(Q1150="Processing","Pending",IF(B1150="","Unknown",IF(Orders!J1150="","Unknown",IF(Orders!J1150&lt;=3,"Fast",IF(Orders!J1150&lt;=6,"Standard","Slow"))))))</f>
        <v>Slow</v>
      </c>
      <c r="Y1150" s="1" t="n">
        <f aca="false">IF(OR(Q1150="Cancelled",Q1150="Returned"),0,O1150)</f>
        <v>539.1</v>
      </c>
    </row>
    <row r="1151" customFormat="false" ht="15" hidden="false" customHeight="false" outlineLevel="0" collapsed="false">
      <c r="A1151" s="6" t="str">
        <f aca="false">Orders!A1151</f>
        <v>O001150</v>
      </c>
      <c r="B1151" s="19" t="n">
        <f aca="false">Orders!B1151</f>
        <v>45707</v>
      </c>
      <c r="C1151" s="6" t="str">
        <f aca="false">Orders!C1151</f>
        <v>C0110</v>
      </c>
      <c r="D1151" s="6" t="str">
        <f aca="false">Orders!D1151</f>
        <v>P1045</v>
      </c>
      <c r="E1151" s="6" t="str">
        <f aca="false">INDEX(Products!$B$2:$B$101,MATCH(D1151,Products!$A$2:$A$101,0))</f>
        <v>Lunch Box</v>
      </c>
      <c r="F1151" s="1" t="str">
        <f aca="false">INDEX(Products!$C$2:$C$101,MATCH(D1151,Products!$A$2:$A$101,0))</f>
        <v>Home &amp; Kitchen</v>
      </c>
      <c r="G1151" s="6" t="n">
        <f aca="false">Orders!E1151</f>
        <v>2</v>
      </c>
      <c r="H1151" s="16" t="n">
        <f aca="false">INDEX(Products!$D$2:$D$101,MATCH(D1151,Products!$A$2:$A$101,0))</f>
        <v>449</v>
      </c>
      <c r="I1151" s="16" t="n">
        <f aca="false">INDEX(Products!$E$2:$E$101,MATCH(D1151,Products!$A$2:$A$101,0))</f>
        <v>180</v>
      </c>
      <c r="J1151" s="20" t="n">
        <f aca="false">Orders!F1151</f>
        <v>0.25</v>
      </c>
      <c r="K1151" s="6" t="n">
        <f aca="false">G1151*H1151</f>
        <v>898</v>
      </c>
      <c r="L1151" s="6" t="n">
        <f aca="false">K1151*J1151</f>
        <v>224.5</v>
      </c>
      <c r="M1151" s="6" t="n">
        <f aca="false">K1151-L1151</f>
        <v>673.5</v>
      </c>
      <c r="N1151" s="6" t="n">
        <f aca="false">G1151*I1151</f>
        <v>360</v>
      </c>
      <c r="O1151" s="6" t="n">
        <f aca="false">M1151-N1151</f>
        <v>313.5</v>
      </c>
      <c r="P1151" s="21" t="n">
        <f aca="false">IFERROR(O1151/M1151,0)</f>
        <v>0.465478841870824</v>
      </c>
      <c r="Q1151" s="6" t="str">
        <f aca="false">Orders!H1151</f>
        <v>Shipped</v>
      </c>
      <c r="R1151" s="1" t="str">
        <f aca="false">INDEX(Customers!$C$2:$C$301,MATCH(C1151,Customers!$A$2:$A$301,0))</f>
        <v>Lucknow</v>
      </c>
      <c r="S1151" s="1" t="str">
        <f aca="false">INDEX(Customers!$E$2:$E$301,MATCH(C1151,Customers!$A$2:$A$301,0))</f>
        <v>New</v>
      </c>
      <c r="T1151" s="6" t="str">
        <f aca="false">Orders!I1151</f>
        <v>Mobile App</v>
      </c>
      <c r="U1151" s="1" t="str">
        <f aca="false">IF(Q1151="Delivered","Completed",IF(Q1151="Cancelled","Cancelled",IF(Q1151="Returned","Returned","In Progress")))</f>
        <v>In Progress</v>
      </c>
      <c r="V1151" s="1" t="str">
        <f aca="false">IF(M1151&gt;=10000,"High Value",IF(M1151&gt;=5000,"Medium Value","Low Value"))</f>
        <v>Low Value</v>
      </c>
      <c r="W1151" s="1" t="str">
        <f aca="false">IF(O1151&gt;0,"Profitable",IF(O1151=0,"Break-even","Loss"))</f>
        <v>Profitable</v>
      </c>
      <c r="X1151" s="1" t="str">
        <f aca="false">IF(Q1151="Cancelled","Not Applicable",IF(Q1151="Processing","Pending",IF(B1151="","Unknown",IF(Orders!J1151="","Unknown",IF(Orders!J1151&lt;=3,"Fast",IF(Orders!J1151&lt;=6,"Standard","Slow"))))))</f>
        <v>Standard</v>
      </c>
      <c r="Y1151" s="1" t="n">
        <f aca="false">IF(OR(Q1151="Cancelled",Q1151="Returned"),0,O1151)</f>
        <v>313.5</v>
      </c>
    </row>
    <row r="1152" customFormat="false" ht="15" hidden="false" customHeight="false" outlineLevel="0" collapsed="false">
      <c r="A1152" s="6" t="str">
        <f aca="false">Orders!A1152</f>
        <v>O001151</v>
      </c>
      <c r="B1152" s="19" t="n">
        <f aca="false">Orders!B1152</f>
        <v>45704</v>
      </c>
      <c r="C1152" s="6" t="str">
        <f aca="false">Orders!C1152</f>
        <v>C0010</v>
      </c>
      <c r="D1152" s="6" t="str">
        <f aca="false">Orders!D1152</f>
        <v>P1052</v>
      </c>
      <c r="E1152" s="6" t="str">
        <f aca="false">INDEX(Products!$B$2:$B$101,MATCH(D1152,Products!$A$2:$A$101,0))</f>
        <v>Lip Balm Set</v>
      </c>
      <c r="F1152" s="1" t="str">
        <f aca="false">INDEX(Products!$C$2:$C$101,MATCH(D1152,Products!$A$2:$A$101,0))</f>
        <v>Beauty</v>
      </c>
      <c r="G1152" s="6" t="n">
        <f aca="false">Orders!E1152</f>
        <v>1</v>
      </c>
      <c r="H1152" s="16" t="n">
        <f aca="false">INDEX(Products!$D$2:$D$101,MATCH(D1152,Products!$A$2:$A$101,0))</f>
        <v>249</v>
      </c>
      <c r="I1152" s="16" t="n">
        <f aca="false">INDEX(Products!$E$2:$E$101,MATCH(D1152,Products!$A$2:$A$101,0))</f>
        <v>90</v>
      </c>
      <c r="J1152" s="20" t="n">
        <f aca="false">Orders!F1152</f>
        <v>0</v>
      </c>
      <c r="K1152" s="6" t="n">
        <f aca="false">G1152*H1152</f>
        <v>249</v>
      </c>
      <c r="L1152" s="6" t="n">
        <f aca="false">K1152*J1152</f>
        <v>0</v>
      </c>
      <c r="M1152" s="6" t="n">
        <f aca="false">K1152-L1152</f>
        <v>249</v>
      </c>
      <c r="N1152" s="6" t="n">
        <f aca="false">G1152*I1152</f>
        <v>90</v>
      </c>
      <c r="O1152" s="6" t="n">
        <f aca="false">M1152-N1152</f>
        <v>159</v>
      </c>
      <c r="P1152" s="21" t="n">
        <f aca="false">IFERROR(O1152/M1152,0)</f>
        <v>0.63855421686747</v>
      </c>
      <c r="Q1152" s="6" t="str">
        <f aca="false">Orders!H1152</f>
        <v>Delivered</v>
      </c>
      <c r="R1152" s="1" t="str">
        <f aca="false">INDEX(Customers!$C$2:$C$301,MATCH(C1152,Customers!$A$2:$A$301,0))</f>
        <v>Lucknow</v>
      </c>
      <c r="S1152" s="1" t="str">
        <f aca="false">INDEX(Customers!$E$2:$E$301,MATCH(C1152,Customers!$A$2:$A$301,0))</f>
        <v>Returning</v>
      </c>
      <c r="T1152" s="6" t="str">
        <f aca="false">Orders!I1152</f>
        <v>Mobile App</v>
      </c>
      <c r="U1152" s="1" t="str">
        <f aca="false">IF(Q1152="Delivered","Completed",IF(Q1152="Cancelled","Cancelled",IF(Q1152="Returned","Returned","In Progress")))</f>
        <v>Completed</v>
      </c>
      <c r="V1152" s="1" t="str">
        <f aca="false">IF(M1152&gt;=10000,"High Value",IF(M1152&gt;=5000,"Medium Value","Low Value"))</f>
        <v>Low Value</v>
      </c>
      <c r="W1152" s="1" t="str">
        <f aca="false">IF(O1152&gt;0,"Profitable",IF(O1152=0,"Break-even","Loss"))</f>
        <v>Profitable</v>
      </c>
      <c r="X1152" s="1" t="str">
        <f aca="false">IF(Q1152="Cancelled","Not Applicable",IF(Q1152="Processing","Pending",IF(B1152="","Unknown",IF(Orders!J1152="","Unknown",IF(Orders!J1152&lt;=3,"Fast",IF(Orders!J1152&lt;=6,"Standard","Slow"))))))</f>
        <v>Fast</v>
      </c>
      <c r="Y1152" s="1" t="n">
        <f aca="false">IF(OR(Q1152="Cancelled",Q1152="Returned"),0,O1152)</f>
        <v>159</v>
      </c>
    </row>
    <row r="1153" customFormat="false" ht="23.85" hidden="false" customHeight="false" outlineLevel="0" collapsed="false">
      <c r="A1153" s="6" t="str">
        <f aca="false">Orders!A1153</f>
        <v>O001152</v>
      </c>
      <c r="B1153" s="19" t="n">
        <f aca="false">Orders!B1153</f>
        <v>45912</v>
      </c>
      <c r="C1153" s="6" t="str">
        <f aca="false">Orders!C1153</f>
        <v>C0213</v>
      </c>
      <c r="D1153" s="6" t="str">
        <f aca="false">Orders!D1153</f>
        <v>P1072</v>
      </c>
      <c r="E1153" s="6" t="str">
        <f aca="false">INDEX(Products!$B$2:$B$101,MATCH(D1153,Products!$A$2:$A$101,0))</f>
        <v>Tennis Balls Pack</v>
      </c>
      <c r="F1153" s="1" t="str">
        <f aca="false">INDEX(Products!$C$2:$C$101,MATCH(D1153,Products!$A$2:$A$101,0))</f>
        <v>Sports &amp; Outdoors</v>
      </c>
      <c r="G1153" s="6" t="n">
        <f aca="false">Orders!E1153</f>
        <v>1</v>
      </c>
      <c r="H1153" s="16" t="n">
        <f aca="false">INDEX(Products!$D$2:$D$101,MATCH(D1153,Products!$A$2:$A$101,0))</f>
        <v>399</v>
      </c>
      <c r="I1153" s="16" t="n">
        <f aca="false">INDEX(Products!$E$2:$E$101,MATCH(D1153,Products!$A$2:$A$101,0))</f>
        <v>160</v>
      </c>
      <c r="J1153" s="20" t="n">
        <f aca="false">Orders!F1153</f>
        <v>0.05</v>
      </c>
      <c r="K1153" s="6" t="n">
        <f aca="false">G1153*H1153</f>
        <v>399</v>
      </c>
      <c r="L1153" s="6" t="n">
        <f aca="false">K1153*J1153</f>
        <v>19.95</v>
      </c>
      <c r="M1153" s="6" t="n">
        <f aca="false">K1153-L1153</f>
        <v>379.05</v>
      </c>
      <c r="N1153" s="6" t="n">
        <f aca="false">G1153*I1153</f>
        <v>160</v>
      </c>
      <c r="O1153" s="6" t="n">
        <f aca="false">M1153-N1153</f>
        <v>219.05</v>
      </c>
      <c r="P1153" s="21" t="n">
        <f aca="false">IFERROR(O1153/M1153,0)</f>
        <v>0.577892098667722</v>
      </c>
      <c r="Q1153" s="6" t="str">
        <f aca="false">Orders!H1153</f>
        <v>Cancelled</v>
      </c>
      <c r="R1153" s="1" t="str">
        <f aca="false">INDEX(Customers!$C$2:$C$301,MATCH(C1153,Customers!$A$2:$A$301,0))</f>
        <v>Kochi</v>
      </c>
      <c r="S1153" s="1" t="str">
        <f aca="false">INDEX(Customers!$E$2:$E$301,MATCH(C1153,Customers!$A$2:$A$301,0))</f>
        <v>New</v>
      </c>
      <c r="T1153" s="6" t="str">
        <f aca="false">Orders!I1153</f>
        <v>Website</v>
      </c>
      <c r="U1153" s="1" t="str">
        <f aca="false">IF(Q1153="Delivered","Completed",IF(Q1153="Cancelled","Cancelled",IF(Q1153="Returned","Returned","In Progress")))</f>
        <v>Cancelled</v>
      </c>
      <c r="V1153" s="1" t="str">
        <f aca="false">IF(M1153&gt;=10000,"High Value",IF(M1153&gt;=5000,"Medium Value","Low Value"))</f>
        <v>Low Value</v>
      </c>
      <c r="W1153" s="1" t="str">
        <f aca="false">IF(O1153&gt;0,"Profitable",IF(O1153=0,"Break-even","Loss"))</f>
        <v>Profitable</v>
      </c>
      <c r="X1153" s="1" t="str">
        <f aca="false">IF(Q1153="Cancelled","Not Applicable",IF(Q1153="Processing","Pending",IF(B1153="","Unknown",IF(Orders!J1153="","Unknown",IF(Orders!J1153&lt;=3,"Fast",IF(Orders!J1153&lt;=6,"Standard","Slow"))))))</f>
        <v>Not Applicable</v>
      </c>
      <c r="Y1153" s="1" t="n">
        <f aca="false">IF(OR(Q1153="Cancelled",Q1153="Returned"),0,O1153)</f>
        <v>0</v>
      </c>
    </row>
    <row r="1154" customFormat="false" ht="15" hidden="false" customHeight="false" outlineLevel="0" collapsed="false">
      <c r="A1154" s="6" t="str">
        <f aca="false">Orders!A1154</f>
        <v>O001153</v>
      </c>
      <c r="B1154" s="19" t="n">
        <f aca="false">Orders!B1154</f>
        <v>45689</v>
      </c>
      <c r="C1154" s="6" t="str">
        <f aca="false">Orders!C1154</f>
        <v>C0228</v>
      </c>
      <c r="D1154" s="6" t="str">
        <f aca="false">Orders!D1154</f>
        <v>P1039</v>
      </c>
      <c r="E1154" s="6" t="str">
        <f aca="false">INDEX(Products!$B$2:$B$101,MATCH(D1154,Products!$A$2:$A$101,0))</f>
        <v>Wall Clock</v>
      </c>
      <c r="F1154" s="1" t="str">
        <f aca="false">INDEX(Products!$C$2:$C$101,MATCH(D1154,Products!$A$2:$A$101,0))</f>
        <v>Home &amp; Kitchen</v>
      </c>
      <c r="G1154" s="6" t="n">
        <f aca="false">Orders!E1154</f>
        <v>2</v>
      </c>
      <c r="H1154" s="16" t="n">
        <f aca="false">INDEX(Products!$D$2:$D$101,MATCH(D1154,Products!$A$2:$A$101,0))</f>
        <v>699</v>
      </c>
      <c r="I1154" s="16" t="n">
        <f aca="false">INDEX(Products!$E$2:$E$101,MATCH(D1154,Products!$A$2:$A$101,0))</f>
        <v>300</v>
      </c>
      <c r="J1154" s="20" t="n">
        <f aca="false">Orders!F1154</f>
        <v>0.05</v>
      </c>
      <c r="K1154" s="6" t="n">
        <f aca="false">G1154*H1154</f>
        <v>1398</v>
      </c>
      <c r="L1154" s="6" t="n">
        <f aca="false">K1154*J1154</f>
        <v>69.9</v>
      </c>
      <c r="M1154" s="6" t="n">
        <f aca="false">K1154-L1154</f>
        <v>1328.1</v>
      </c>
      <c r="N1154" s="6" t="n">
        <f aca="false">G1154*I1154</f>
        <v>600</v>
      </c>
      <c r="O1154" s="6" t="n">
        <f aca="false">M1154-N1154</f>
        <v>728.1</v>
      </c>
      <c r="P1154" s="21" t="n">
        <f aca="false">IFERROR(O1154/M1154,0)</f>
        <v>0.548226790151344</v>
      </c>
      <c r="Q1154" s="6" t="str">
        <f aca="false">Orders!H1154</f>
        <v>Delivered</v>
      </c>
      <c r="R1154" s="1" t="str">
        <f aca="false">INDEX(Customers!$C$2:$C$301,MATCH(C1154,Customers!$A$2:$A$301,0))</f>
        <v>Jaipur</v>
      </c>
      <c r="S1154" s="1" t="str">
        <f aca="false">INDEX(Customers!$E$2:$E$301,MATCH(C1154,Customers!$A$2:$A$301,0))</f>
        <v>Returning</v>
      </c>
      <c r="T1154" s="6" t="str">
        <f aca="false">Orders!I1154</f>
        <v>Mobile App</v>
      </c>
      <c r="U1154" s="1" t="str">
        <f aca="false">IF(Q1154="Delivered","Completed",IF(Q1154="Cancelled","Cancelled",IF(Q1154="Returned","Returned","In Progress")))</f>
        <v>Completed</v>
      </c>
      <c r="V1154" s="1" t="str">
        <f aca="false">IF(M1154&gt;=10000,"High Value",IF(M1154&gt;=5000,"Medium Value","Low Value"))</f>
        <v>Low Value</v>
      </c>
      <c r="W1154" s="1" t="str">
        <f aca="false">IF(O1154&gt;0,"Profitable",IF(O1154=0,"Break-even","Loss"))</f>
        <v>Profitable</v>
      </c>
      <c r="X1154" s="1" t="str">
        <f aca="false">IF(Q1154="Cancelled","Not Applicable",IF(Q1154="Processing","Pending",IF(B1154="","Unknown",IF(Orders!J1154="","Unknown",IF(Orders!J1154&lt;=3,"Fast",IF(Orders!J1154&lt;=6,"Standard","Slow"))))))</f>
        <v>Fast</v>
      </c>
      <c r="Y1154" s="1" t="n">
        <f aca="false">IF(OR(Q1154="Cancelled",Q1154="Returned"),0,O1154)</f>
        <v>728.1</v>
      </c>
    </row>
    <row r="1155" customFormat="false" ht="15" hidden="false" customHeight="false" outlineLevel="0" collapsed="false">
      <c r="A1155" s="6" t="str">
        <f aca="false">Orders!A1155</f>
        <v>O001154</v>
      </c>
      <c r="B1155" s="19" t="n">
        <f aca="false">Orders!B1155</f>
        <v>45925</v>
      </c>
      <c r="C1155" s="6" t="str">
        <f aca="false">Orders!C1155</f>
        <v>C0074</v>
      </c>
      <c r="D1155" s="6" t="str">
        <f aca="false">Orders!D1155</f>
        <v>P1060</v>
      </c>
      <c r="E1155" s="6" t="str">
        <f aca="false">INDEX(Products!$B$2:$B$101,MATCH(D1155,Products!$A$2:$A$101,0))</f>
        <v>Yoga Mat</v>
      </c>
      <c r="F1155" s="1" t="str">
        <f aca="false">INDEX(Products!$C$2:$C$101,MATCH(D1155,Products!$A$2:$A$101,0))</f>
        <v>Sports &amp; Outdoors</v>
      </c>
      <c r="G1155" s="6" t="n">
        <f aca="false">Orders!E1155</f>
        <v>1</v>
      </c>
      <c r="H1155" s="16" t="n">
        <f aca="false">INDEX(Products!$D$2:$D$101,MATCH(D1155,Products!$A$2:$A$101,0))</f>
        <v>799</v>
      </c>
      <c r="I1155" s="16" t="n">
        <f aca="false">INDEX(Products!$E$2:$E$101,MATCH(D1155,Products!$A$2:$A$101,0))</f>
        <v>350</v>
      </c>
      <c r="J1155" s="20" t="n">
        <f aca="false">Orders!F1155</f>
        <v>0.15</v>
      </c>
      <c r="K1155" s="6" t="n">
        <f aca="false">G1155*H1155</f>
        <v>799</v>
      </c>
      <c r="L1155" s="6" t="n">
        <f aca="false">K1155*J1155</f>
        <v>119.85</v>
      </c>
      <c r="M1155" s="6" t="n">
        <f aca="false">K1155-L1155</f>
        <v>679.15</v>
      </c>
      <c r="N1155" s="6" t="n">
        <f aca="false">G1155*I1155</f>
        <v>350</v>
      </c>
      <c r="O1155" s="6" t="n">
        <f aca="false">M1155-N1155</f>
        <v>329.15</v>
      </c>
      <c r="P1155" s="21" t="n">
        <f aca="false">IFERROR(O1155/M1155,0)</f>
        <v>0.484649930059633</v>
      </c>
      <c r="Q1155" s="6" t="str">
        <f aca="false">Orders!H1155</f>
        <v>Cancelled</v>
      </c>
      <c r="R1155" s="1" t="str">
        <f aca="false">INDEX(Customers!$C$2:$C$301,MATCH(C1155,Customers!$A$2:$A$301,0))</f>
        <v>Indore</v>
      </c>
      <c r="S1155" s="1" t="str">
        <f aca="false">INDEX(Customers!$E$2:$E$301,MATCH(C1155,Customers!$A$2:$A$301,0))</f>
        <v>New</v>
      </c>
      <c r="T1155" s="6" t="str">
        <f aca="false">Orders!I1155</f>
        <v>Mobile App</v>
      </c>
      <c r="U1155" s="1" t="str">
        <f aca="false">IF(Q1155="Delivered","Completed",IF(Q1155="Cancelled","Cancelled",IF(Q1155="Returned","Returned","In Progress")))</f>
        <v>Cancelled</v>
      </c>
      <c r="V1155" s="1" t="str">
        <f aca="false">IF(M1155&gt;=10000,"High Value",IF(M1155&gt;=5000,"Medium Value","Low Value"))</f>
        <v>Low Value</v>
      </c>
      <c r="W1155" s="1" t="str">
        <f aca="false">IF(O1155&gt;0,"Profitable",IF(O1155=0,"Break-even","Loss"))</f>
        <v>Profitable</v>
      </c>
      <c r="X1155" s="1" t="str">
        <f aca="false">IF(Q1155="Cancelled","Not Applicable",IF(Q1155="Processing","Pending",IF(B1155="","Unknown",IF(Orders!J1155="","Unknown",IF(Orders!J1155&lt;=3,"Fast",IF(Orders!J1155&lt;=6,"Standard","Slow"))))))</f>
        <v>Not Applicable</v>
      </c>
      <c r="Y1155" s="1" t="n">
        <f aca="false">IF(OR(Q1155="Cancelled",Q1155="Returned"),0,O1155)</f>
        <v>0</v>
      </c>
    </row>
    <row r="1156" customFormat="false" ht="23.85" hidden="false" customHeight="false" outlineLevel="0" collapsed="false">
      <c r="A1156" s="6" t="str">
        <f aca="false">Orders!A1156</f>
        <v>O001155</v>
      </c>
      <c r="B1156" s="19" t="n">
        <f aca="false">Orders!B1156</f>
        <v>45725</v>
      </c>
      <c r="C1156" s="6" t="str">
        <f aca="false">Orders!C1156</f>
        <v>C0267</v>
      </c>
      <c r="D1156" s="6" t="str">
        <f aca="false">Orders!D1156</f>
        <v>P1001</v>
      </c>
      <c r="E1156" s="6" t="str">
        <f aca="false">INDEX(Products!$B$2:$B$101,MATCH(D1156,Products!$A$2:$A$101,0))</f>
        <v>Wireless Earbuds</v>
      </c>
      <c r="F1156" s="1" t="str">
        <f aca="false">INDEX(Products!$C$2:$C$101,MATCH(D1156,Products!$A$2:$A$101,0))</f>
        <v>Electronics</v>
      </c>
      <c r="G1156" s="6" t="n">
        <f aca="false">Orders!E1156</f>
        <v>1</v>
      </c>
      <c r="H1156" s="16" t="n">
        <f aca="false">INDEX(Products!$D$2:$D$101,MATCH(D1156,Products!$A$2:$A$101,0))</f>
        <v>899</v>
      </c>
      <c r="I1156" s="16" t="n">
        <f aca="false">INDEX(Products!$E$2:$E$101,MATCH(D1156,Products!$A$2:$A$101,0))</f>
        <v>499</v>
      </c>
      <c r="J1156" s="20" t="n">
        <f aca="false">Orders!F1156</f>
        <v>0</v>
      </c>
      <c r="K1156" s="6" t="n">
        <f aca="false">G1156*H1156</f>
        <v>899</v>
      </c>
      <c r="L1156" s="6" t="n">
        <f aca="false">K1156*J1156</f>
        <v>0</v>
      </c>
      <c r="M1156" s="6" t="n">
        <f aca="false">K1156-L1156</f>
        <v>899</v>
      </c>
      <c r="N1156" s="6" t="n">
        <f aca="false">G1156*I1156</f>
        <v>499</v>
      </c>
      <c r="O1156" s="6" t="n">
        <f aca="false">M1156-N1156</f>
        <v>400</v>
      </c>
      <c r="P1156" s="21" t="n">
        <f aca="false">IFERROR(O1156/M1156,0)</f>
        <v>0.444938820912125</v>
      </c>
      <c r="Q1156" s="6" t="str">
        <f aca="false">Orders!H1156</f>
        <v>Shipped</v>
      </c>
      <c r="R1156" s="1" t="str">
        <f aca="false">INDEX(Customers!$C$2:$C$301,MATCH(C1156,Customers!$A$2:$A$301,0))</f>
        <v>Pune</v>
      </c>
      <c r="S1156" s="1" t="str">
        <f aca="false">INDEX(Customers!$E$2:$E$301,MATCH(C1156,Customers!$A$2:$A$301,0))</f>
        <v>Returning</v>
      </c>
      <c r="T1156" s="6" t="str">
        <f aca="false">Orders!I1156</f>
        <v>Mobile App</v>
      </c>
      <c r="U1156" s="1" t="str">
        <f aca="false">IF(Q1156="Delivered","Completed",IF(Q1156="Cancelled","Cancelled",IF(Q1156="Returned","Returned","In Progress")))</f>
        <v>In Progress</v>
      </c>
      <c r="V1156" s="1" t="str">
        <f aca="false">IF(M1156&gt;=10000,"High Value",IF(M1156&gt;=5000,"Medium Value","Low Value"))</f>
        <v>Low Value</v>
      </c>
      <c r="W1156" s="1" t="str">
        <f aca="false">IF(O1156&gt;0,"Profitable",IF(O1156=0,"Break-even","Loss"))</f>
        <v>Profitable</v>
      </c>
      <c r="X1156" s="1" t="str">
        <f aca="false">IF(Q1156="Cancelled","Not Applicable",IF(Q1156="Processing","Pending",IF(B1156="","Unknown",IF(Orders!J1156="","Unknown",IF(Orders!J1156&lt;=3,"Fast",IF(Orders!J1156&lt;=6,"Standard","Slow"))))))</f>
        <v>Standard</v>
      </c>
      <c r="Y1156" s="1" t="n">
        <f aca="false">IF(OR(Q1156="Cancelled",Q1156="Returned"),0,O1156)</f>
        <v>400</v>
      </c>
    </row>
    <row r="1157" customFormat="false" ht="15" hidden="false" customHeight="false" outlineLevel="0" collapsed="false">
      <c r="A1157" s="6" t="str">
        <f aca="false">Orders!A1157</f>
        <v>O001156</v>
      </c>
      <c r="B1157" s="19" t="n">
        <f aca="false">Orders!B1157</f>
        <v>45907</v>
      </c>
      <c r="C1157" s="6" t="str">
        <f aca="false">Orders!C1157</f>
        <v>C0026</v>
      </c>
      <c r="D1157" s="6" t="str">
        <f aca="false">Orders!D1157</f>
        <v>P1023</v>
      </c>
      <c r="E1157" s="6" t="str">
        <f aca="false">INDEX(Products!$B$2:$B$101,MATCH(D1157,Products!$A$2:$A$101,0))</f>
        <v>Sports Cap</v>
      </c>
      <c r="F1157" s="1" t="str">
        <f aca="false">INDEX(Products!$C$2:$C$101,MATCH(D1157,Products!$A$2:$A$101,0))</f>
        <v>Fashion</v>
      </c>
      <c r="G1157" s="6" t="n">
        <f aca="false">Orders!E1157</f>
        <v>2</v>
      </c>
      <c r="H1157" s="16" t="n">
        <f aca="false">INDEX(Products!$D$2:$D$101,MATCH(D1157,Products!$A$2:$A$101,0))</f>
        <v>349</v>
      </c>
      <c r="I1157" s="16" t="n">
        <f aca="false">INDEX(Products!$E$2:$E$101,MATCH(D1157,Products!$A$2:$A$101,0))</f>
        <v>120</v>
      </c>
      <c r="J1157" s="20" t="n">
        <f aca="false">Orders!F1157</f>
        <v>0</v>
      </c>
      <c r="K1157" s="6" t="n">
        <f aca="false">G1157*H1157</f>
        <v>698</v>
      </c>
      <c r="L1157" s="6" t="n">
        <f aca="false">K1157*J1157</f>
        <v>0</v>
      </c>
      <c r="M1157" s="6" t="n">
        <f aca="false">K1157-L1157</f>
        <v>698</v>
      </c>
      <c r="N1157" s="6" t="n">
        <f aca="false">G1157*I1157</f>
        <v>240</v>
      </c>
      <c r="O1157" s="6" t="n">
        <f aca="false">M1157-N1157</f>
        <v>458</v>
      </c>
      <c r="P1157" s="21" t="n">
        <f aca="false">IFERROR(O1157/M1157,0)</f>
        <v>0.656160458452722</v>
      </c>
      <c r="Q1157" s="6" t="str">
        <f aca="false">Orders!H1157</f>
        <v>Processing</v>
      </c>
      <c r="R1157" s="1" t="str">
        <f aca="false">INDEX(Customers!$C$2:$C$301,MATCH(C1157,Customers!$A$2:$A$301,0))</f>
        <v>Kolkata</v>
      </c>
      <c r="S1157" s="1" t="str">
        <f aca="false">INDEX(Customers!$E$2:$E$301,MATCH(C1157,Customers!$A$2:$A$301,0))</f>
        <v>Returning</v>
      </c>
      <c r="T1157" s="6" t="str">
        <f aca="false">Orders!I1157</f>
        <v>Marketplace</v>
      </c>
      <c r="U1157" s="1" t="str">
        <f aca="false">IF(Q1157="Delivered","Completed",IF(Q1157="Cancelled","Cancelled",IF(Q1157="Returned","Returned","In Progress")))</f>
        <v>In Progress</v>
      </c>
      <c r="V1157" s="1" t="str">
        <f aca="false">IF(M1157&gt;=10000,"High Value",IF(M1157&gt;=5000,"Medium Value","Low Value"))</f>
        <v>Low Value</v>
      </c>
      <c r="W1157" s="1" t="str">
        <f aca="false">IF(O1157&gt;0,"Profitable",IF(O1157=0,"Break-even","Loss"))</f>
        <v>Profitable</v>
      </c>
      <c r="X1157" s="1" t="str">
        <f aca="false">IF(Q1157="Cancelled","Not Applicable",IF(Q1157="Processing","Pending",IF(B1157="","Unknown",IF(Orders!J1157="","Unknown",IF(Orders!J1157&lt;=3,"Fast",IF(Orders!J1157&lt;=6,"Standard","Slow"))))))</f>
        <v>Pending</v>
      </c>
      <c r="Y1157" s="1" t="n">
        <f aca="false">IF(OR(Q1157="Cancelled",Q1157="Returned"),0,O1157)</f>
        <v>458</v>
      </c>
    </row>
    <row r="1158" customFormat="false" ht="15" hidden="false" customHeight="false" outlineLevel="0" collapsed="false">
      <c r="A1158" s="6" t="str">
        <f aca="false">Orders!A1158</f>
        <v>O001157</v>
      </c>
      <c r="B1158" s="19" t="n">
        <f aca="false">Orders!B1158</f>
        <v>45844</v>
      </c>
      <c r="C1158" s="6" t="str">
        <f aca="false">Orders!C1158</f>
        <v>C0031</v>
      </c>
      <c r="D1158" s="6" t="str">
        <f aca="false">Orders!D1158</f>
        <v>P1100</v>
      </c>
      <c r="E1158" s="6" t="str">
        <f aca="false">INDEX(Products!$B$2:$B$101,MATCH(D1158,Products!$A$2:$A$101,0))</f>
        <v>Coffee Maker</v>
      </c>
      <c r="F1158" s="1" t="str">
        <f aca="false">INDEX(Products!$C$2:$C$101,MATCH(D1158,Products!$A$2:$A$101,0))</f>
        <v>Appliances</v>
      </c>
      <c r="G1158" s="6" t="n">
        <f aca="false">Orders!E1158</f>
        <v>3</v>
      </c>
      <c r="H1158" s="16" t="n">
        <f aca="false">INDEX(Products!$D$2:$D$101,MATCH(D1158,Products!$A$2:$A$101,0))</f>
        <v>2499</v>
      </c>
      <c r="I1158" s="16" t="n">
        <f aca="false">INDEX(Products!$E$2:$E$101,MATCH(D1158,Products!$A$2:$A$101,0))</f>
        <v>1600</v>
      </c>
      <c r="J1158" s="20" t="n">
        <f aca="false">Orders!F1158</f>
        <v>0</v>
      </c>
      <c r="K1158" s="6" t="n">
        <f aca="false">G1158*H1158</f>
        <v>7497</v>
      </c>
      <c r="L1158" s="6" t="n">
        <f aca="false">K1158*J1158</f>
        <v>0</v>
      </c>
      <c r="M1158" s="6" t="n">
        <f aca="false">K1158-L1158</f>
        <v>7497</v>
      </c>
      <c r="N1158" s="6" t="n">
        <f aca="false">G1158*I1158</f>
        <v>4800</v>
      </c>
      <c r="O1158" s="6" t="n">
        <f aca="false">M1158-N1158</f>
        <v>2697</v>
      </c>
      <c r="P1158" s="21" t="n">
        <f aca="false">IFERROR(O1158/M1158,0)</f>
        <v>0.359743897559024</v>
      </c>
      <c r="Q1158" s="6" t="str">
        <f aca="false">Orders!H1158</f>
        <v>Delivered</v>
      </c>
      <c r="R1158" s="1" t="str">
        <f aca="false">INDEX(Customers!$C$2:$C$301,MATCH(C1158,Customers!$A$2:$A$301,0))</f>
        <v>Gurugram</v>
      </c>
      <c r="S1158" s="1" t="str">
        <f aca="false">INDEX(Customers!$E$2:$E$301,MATCH(C1158,Customers!$A$2:$A$301,0))</f>
        <v>Returning</v>
      </c>
      <c r="T1158" s="6" t="str">
        <f aca="false">Orders!I1158</f>
        <v>Website</v>
      </c>
      <c r="U1158" s="1" t="str">
        <f aca="false">IF(Q1158="Delivered","Completed",IF(Q1158="Cancelled","Cancelled",IF(Q1158="Returned","Returned","In Progress")))</f>
        <v>Completed</v>
      </c>
      <c r="V1158" s="1" t="str">
        <f aca="false">IF(M1158&gt;=10000,"High Value",IF(M1158&gt;=5000,"Medium Value","Low Value"))</f>
        <v>Medium Value</v>
      </c>
      <c r="W1158" s="1" t="str">
        <f aca="false">IF(O1158&gt;0,"Profitable",IF(O1158=0,"Break-even","Loss"))</f>
        <v>Profitable</v>
      </c>
      <c r="X1158" s="1" t="str">
        <f aca="false">IF(Q1158="Cancelled","Not Applicable",IF(Q1158="Processing","Pending",IF(B1158="","Unknown",IF(Orders!J1158="","Unknown",IF(Orders!J1158&lt;=3,"Fast",IF(Orders!J1158&lt;=6,"Standard","Slow"))))))</f>
        <v>Standard</v>
      </c>
      <c r="Y1158" s="1" t="n">
        <f aca="false">IF(OR(Q1158="Cancelled",Q1158="Returned"),0,O1158)</f>
        <v>2697</v>
      </c>
    </row>
    <row r="1159" customFormat="false" ht="15" hidden="false" customHeight="false" outlineLevel="0" collapsed="false">
      <c r="A1159" s="6" t="str">
        <f aca="false">Orders!A1159</f>
        <v>O001158</v>
      </c>
      <c r="B1159" s="19" t="n">
        <f aca="false">Orders!B1159</f>
        <v>45844</v>
      </c>
      <c r="C1159" s="6" t="str">
        <f aca="false">Orders!C1159</f>
        <v>C0138</v>
      </c>
      <c r="D1159" s="6" t="str">
        <f aca="false">Orders!D1159</f>
        <v>P1004</v>
      </c>
      <c r="E1159" s="6" t="str">
        <f aca="false">INDEX(Products!$B$2:$B$101,MATCH(D1159,Products!$A$2:$A$101,0))</f>
        <v>USB-C Cable</v>
      </c>
      <c r="F1159" s="1" t="str">
        <f aca="false">INDEX(Products!$C$2:$C$101,MATCH(D1159,Products!$A$2:$A$101,0))</f>
        <v>Electronics</v>
      </c>
      <c r="G1159" s="6" t="n">
        <f aca="false">Orders!E1159</f>
        <v>1</v>
      </c>
      <c r="H1159" s="16" t="n">
        <f aca="false">INDEX(Products!$D$2:$D$101,MATCH(D1159,Products!$A$2:$A$101,0))</f>
        <v>299</v>
      </c>
      <c r="I1159" s="16" t="n">
        <f aca="false">INDEX(Products!$E$2:$E$101,MATCH(D1159,Products!$A$2:$A$101,0))</f>
        <v>120</v>
      </c>
      <c r="J1159" s="20" t="n">
        <f aca="false">Orders!F1159</f>
        <v>0.05</v>
      </c>
      <c r="K1159" s="6" t="n">
        <f aca="false">G1159*H1159</f>
        <v>299</v>
      </c>
      <c r="L1159" s="6" t="n">
        <f aca="false">K1159*J1159</f>
        <v>14.95</v>
      </c>
      <c r="M1159" s="6" t="n">
        <f aca="false">K1159-L1159</f>
        <v>284.05</v>
      </c>
      <c r="N1159" s="6" t="n">
        <f aca="false">G1159*I1159</f>
        <v>120</v>
      </c>
      <c r="O1159" s="6" t="n">
        <f aca="false">M1159-N1159</f>
        <v>164.05</v>
      </c>
      <c r="P1159" s="21" t="n">
        <f aca="false">IFERROR(O1159/M1159,0)</f>
        <v>0.577539165639852</v>
      </c>
      <c r="Q1159" s="6" t="str">
        <f aca="false">Orders!H1159</f>
        <v>Delivered</v>
      </c>
      <c r="R1159" s="1" t="str">
        <f aca="false">INDEX(Customers!$C$2:$C$301,MATCH(C1159,Customers!$A$2:$A$301,0))</f>
        <v>Nagpur</v>
      </c>
      <c r="S1159" s="1" t="str">
        <f aca="false">INDEX(Customers!$E$2:$E$301,MATCH(C1159,Customers!$A$2:$A$301,0))</f>
        <v>Returning</v>
      </c>
      <c r="T1159" s="6" t="str">
        <f aca="false">Orders!I1159</f>
        <v>Mobile App</v>
      </c>
      <c r="U1159" s="1" t="str">
        <f aca="false">IF(Q1159="Delivered","Completed",IF(Q1159="Cancelled","Cancelled",IF(Q1159="Returned","Returned","In Progress")))</f>
        <v>Completed</v>
      </c>
      <c r="V1159" s="1" t="str">
        <f aca="false">IF(M1159&gt;=10000,"High Value",IF(M1159&gt;=5000,"Medium Value","Low Value"))</f>
        <v>Low Value</v>
      </c>
      <c r="W1159" s="1" t="str">
        <f aca="false">IF(O1159&gt;0,"Profitable",IF(O1159=0,"Break-even","Loss"))</f>
        <v>Profitable</v>
      </c>
      <c r="X1159" s="1" t="str">
        <f aca="false">IF(Q1159="Cancelled","Not Applicable",IF(Q1159="Processing","Pending",IF(B1159="","Unknown",IF(Orders!J1159="","Unknown",IF(Orders!J1159&lt;=3,"Fast",IF(Orders!J1159&lt;=6,"Standard","Slow"))))))</f>
        <v>Slow</v>
      </c>
      <c r="Y1159" s="1" t="n">
        <f aca="false">IF(OR(Q1159="Cancelled",Q1159="Returned"),0,O1159)</f>
        <v>164.05</v>
      </c>
    </row>
    <row r="1160" customFormat="false" ht="15" hidden="false" customHeight="false" outlineLevel="0" collapsed="false">
      <c r="A1160" s="6" t="str">
        <f aca="false">Orders!A1160</f>
        <v>O001159</v>
      </c>
      <c r="B1160" s="19" t="n">
        <f aca="false">Orders!B1160</f>
        <v>45680</v>
      </c>
      <c r="C1160" s="6" t="str">
        <f aca="false">Orders!C1160</f>
        <v>C0027</v>
      </c>
      <c r="D1160" s="6" t="str">
        <f aca="false">Orders!D1160</f>
        <v>P1024</v>
      </c>
      <c r="E1160" s="6" t="str">
        <f aca="false">INDEX(Products!$B$2:$B$101,MATCH(D1160,Products!$A$2:$A$101,0))</f>
        <v>Kurta</v>
      </c>
      <c r="F1160" s="1" t="str">
        <f aca="false">INDEX(Products!$C$2:$C$101,MATCH(D1160,Products!$A$2:$A$101,0))</f>
        <v>Fashion</v>
      </c>
      <c r="G1160" s="6" t="n">
        <f aca="false">Orders!E1160</f>
        <v>2</v>
      </c>
      <c r="H1160" s="16" t="n">
        <f aca="false">INDEX(Products!$D$2:$D$101,MATCH(D1160,Products!$A$2:$A$101,0))</f>
        <v>999</v>
      </c>
      <c r="I1160" s="16" t="n">
        <f aca="false">INDEX(Products!$E$2:$E$101,MATCH(D1160,Products!$A$2:$A$101,0))</f>
        <v>450</v>
      </c>
      <c r="J1160" s="20" t="n">
        <f aca="false">Orders!F1160</f>
        <v>0.1</v>
      </c>
      <c r="K1160" s="6" t="n">
        <f aca="false">G1160*H1160</f>
        <v>1998</v>
      </c>
      <c r="L1160" s="6" t="n">
        <f aca="false">K1160*J1160</f>
        <v>199.8</v>
      </c>
      <c r="M1160" s="6" t="n">
        <f aca="false">K1160-L1160</f>
        <v>1798.2</v>
      </c>
      <c r="N1160" s="6" t="n">
        <f aca="false">G1160*I1160</f>
        <v>900</v>
      </c>
      <c r="O1160" s="6" t="n">
        <f aca="false">M1160-N1160</f>
        <v>898.2</v>
      </c>
      <c r="P1160" s="21" t="n">
        <f aca="false">IFERROR(O1160/M1160,0)</f>
        <v>0.4994994994995</v>
      </c>
      <c r="Q1160" s="6" t="str">
        <f aca="false">Orders!H1160</f>
        <v>Delivered</v>
      </c>
      <c r="R1160" s="1" t="str">
        <f aca="false">INDEX(Customers!$C$2:$C$301,MATCH(C1160,Customers!$A$2:$A$301,0))</f>
        <v>Pune</v>
      </c>
      <c r="S1160" s="1" t="str">
        <f aca="false">INDEX(Customers!$E$2:$E$301,MATCH(C1160,Customers!$A$2:$A$301,0))</f>
        <v>Returning</v>
      </c>
      <c r="T1160" s="6" t="str">
        <f aca="false">Orders!I1160</f>
        <v>Marketplace</v>
      </c>
      <c r="U1160" s="1" t="str">
        <f aca="false">IF(Q1160="Delivered","Completed",IF(Q1160="Cancelled","Cancelled",IF(Q1160="Returned","Returned","In Progress")))</f>
        <v>Completed</v>
      </c>
      <c r="V1160" s="1" t="str">
        <f aca="false">IF(M1160&gt;=10000,"High Value",IF(M1160&gt;=5000,"Medium Value","Low Value"))</f>
        <v>Low Value</v>
      </c>
      <c r="W1160" s="1" t="str">
        <f aca="false">IF(O1160&gt;0,"Profitable",IF(O1160=0,"Break-even","Loss"))</f>
        <v>Profitable</v>
      </c>
      <c r="X1160" s="1" t="str">
        <f aca="false">IF(Q1160="Cancelled","Not Applicable",IF(Q1160="Processing","Pending",IF(B1160="","Unknown",IF(Orders!J1160="","Unknown",IF(Orders!J1160&lt;=3,"Fast",IF(Orders!J1160&lt;=6,"Standard","Slow"))))))</f>
        <v>Standard</v>
      </c>
      <c r="Y1160" s="1" t="n">
        <f aca="false">IF(OR(Q1160="Cancelled",Q1160="Returned"),0,O1160)</f>
        <v>898.2</v>
      </c>
    </row>
    <row r="1161" customFormat="false" ht="15" hidden="false" customHeight="false" outlineLevel="0" collapsed="false">
      <c r="A1161" s="6" t="str">
        <f aca="false">Orders!A1161</f>
        <v>O001160</v>
      </c>
      <c r="B1161" s="19" t="n">
        <f aca="false">Orders!B1161</f>
        <v>45664</v>
      </c>
      <c r="C1161" s="6" t="str">
        <f aca="false">Orders!C1161</f>
        <v>C0196</v>
      </c>
      <c r="D1161" s="6" t="str">
        <f aca="false">Orders!D1161</f>
        <v>P1050</v>
      </c>
      <c r="E1161" s="6" t="str">
        <f aca="false">INDEX(Products!$B$2:$B$101,MATCH(D1161,Products!$A$2:$A$101,0))</f>
        <v>Hair Serum</v>
      </c>
      <c r="F1161" s="1" t="str">
        <f aca="false">INDEX(Products!$C$2:$C$101,MATCH(D1161,Products!$A$2:$A$101,0))</f>
        <v>Beauty</v>
      </c>
      <c r="G1161" s="6" t="n">
        <f aca="false">Orders!E1161</f>
        <v>1</v>
      </c>
      <c r="H1161" s="16" t="n">
        <f aca="false">INDEX(Products!$D$2:$D$101,MATCH(D1161,Products!$A$2:$A$101,0))</f>
        <v>449</v>
      </c>
      <c r="I1161" s="16" t="n">
        <f aca="false">INDEX(Products!$E$2:$E$101,MATCH(D1161,Products!$A$2:$A$101,0))</f>
        <v>190</v>
      </c>
      <c r="J1161" s="20" t="n">
        <f aca="false">Orders!F1161</f>
        <v>0.1</v>
      </c>
      <c r="K1161" s="6" t="n">
        <f aca="false">G1161*H1161</f>
        <v>449</v>
      </c>
      <c r="L1161" s="6" t="n">
        <f aca="false">K1161*J1161</f>
        <v>44.9</v>
      </c>
      <c r="M1161" s="6" t="n">
        <f aca="false">K1161-L1161</f>
        <v>404.1</v>
      </c>
      <c r="N1161" s="6" t="n">
        <f aca="false">G1161*I1161</f>
        <v>190</v>
      </c>
      <c r="O1161" s="6" t="n">
        <f aca="false">M1161-N1161</f>
        <v>214.1</v>
      </c>
      <c r="P1161" s="21" t="n">
        <f aca="false">IFERROR(O1161/M1161,0)</f>
        <v>0.529819351645632</v>
      </c>
      <c r="Q1161" s="6" t="str">
        <f aca="false">Orders!H1161</f>
        <v>Delivered</v>
      </c>
      <c r="R1161" s="1" t="str">
        <f aca="false">INDEX(Customers!$C$2:$C$301,MATCH(C1161,Customers!$A$2:$A$301,0))</f>
        <v>Chandigarh</v>
      </c>
      <c r="S1161" s="1" t="str">
        <f aca="false">INDEX(Customers!$E$2:$E$301,MATCH(C1161,Customers!$A$2:$A$301,0))</f>
        <v>Returning</v>
      </c>
      <c r="T1161" s="6" t="str">
        <f aca="false">Orders!I1161</f>
        <v>Mobile App</v>
      </c>
      <c r="U1161" s="1" t="str">
        <f aca="false">IF(Q1161="Delivered","Completed",IF(Q1161="Cancelled","Cancelled",IF(Q1161="Returned","Returned","In Progress")))</f>
        <v>Completed</v>
      </c>
      <c r="V1161" s="1" t="str">
        <f aca="false">IF(M1161&gt;=10000,"High Value",IF(M1161&gt;=5000,"Medium Value","Low Value"))</f>
        <v>Low Value</v>
      </c>
      <c r="W1161" s="1" t="str">
        <f aca="false">IF(O1161&gt;0,"Profitable",IF(O1161=0,"Break-even","Loss"))</f>
        <v>Profitable</v>
      </c>
      <c r="X1161" s="1" t="str">
        <f aca="false">IF(Q1161="Cancelled","Not Applicable",IF(Q1161="Processing","Pending",IF(B1161="","Unknown",IF(Orders!J1161="","Unknown",IF(Orders!J1161&lt;=3,"Fast",IF(Orders!J1161&lt;=6,"Standard","Slow"))))))</f>
        <v>Standard</v>
      </c>
      <c r="Y1161" s="1" t="n">
        <f aca="false">IF(OR(Q1161="Cancelled",Q1161="Returned"),0,O1161)</f>
        <v>214.1</v>
      </c>
    </row>
    <row r="1162" customFormat="false" ht="15" hidden="false" customHeight="false" outlineLevel="0" collapsed="false">
      <c r="A1162" s="6" t="str">
        <f aca="false">Orders!A1162</f>
        <v>O001161</v>
      </c>
      <c r="B1162" s="19" t="n">
        <f aca="false">Orders!B1162</f>
        <v>45762</v>
      </c>
      <c r="C1162" s="6" t="str">
        <f aca="false">Orders!C1162</f>
        <v>C0007</v>
      </c>
      <c r="D1162" s="6" t="str">
        <f aca="false">Orders!D1162</f>
        <v>P1019</v>
      </c>
      <c r="E1162" s="6" t="str">
        <f aca="false">INDEX(Products!$B$2:$B$101,MATCH(D1162,Products!$A$2:$A$101,0))</f>
        <v>Running Shoes</v>
      </c>
      <c r="F1162" s="1" t="str">
        <f aca="false">INDEX(Products!$C$2:$C$101,MATCH(D1162,Products!$A$2:$A$101,0))</f>
        <v>Fashion</v>
      </c>
      <c r="G1162" s="6" t="n">
        <f aca="false">Orders!E1162</f>
        <v>1</v>
      </c>
      <c r="H1162" s="16" t="n">
        <f aca="false">INDEX(Products!$D$2:$D$101,MATCH(D1162,Products!$A$2:$A$101,0))</f>
        <v>1999</v>
      </c>
      <c r="I1162" s="16" t="n">
        <f aca="false">INDEX(Products!$E$2:$E$101,MATCH(D1162,Products!$A$2:$A$101,0))</f>
        <v>1100</v>
      </c>
      <c r="J1162" s="20" t="n">
        <f aca="false">Orders!F1162</f>
        <v>0.05</v>
      </c>
      <c r="K1162" s="6" t="n">
        <f aca="false">G1162*H1162</f>
        <v>1999</v>
      </c>
      <c r="L1162" s="6" t="n">
        <f aca="false">K1162*J1162</f>
        <v>99.95</v>
      </c>
      <c r="M1162" s="6" t="n">
        <f aca="false">K1162-L1162</f>
        <v>1899.05</v>
      </c>
      <c r="N1162" s="6" t="n">
        <f aca="false">G1162*I1162</f>
        <v>1100</v>
      </c>
      <c r="O1162" s="6" t="n">
        <f aca="false">M1162-N1162</f>
        <v>799.05</v>
      </c>
      <c r="P1162" s="21" t="n">
        <f aca="false">IFERROR(O1162/M1162,0)</f>
        <v>0.42076301308549</v>
      </c>
      <c r="Q1162" s="6" t="str">
        <f aca="false">Orders!H1162</f>
        <v>Cancelled</v>
      </c>
      <c r="R1162" s="1" t="str">
        <f aca="false">INDEX(Customers!$C$2:$C$301,MATCH(C1162,Customers!$A$2:$A$301,0))</f>
        <v>Pune</v>
      </c>
      <c r="S1162" s="1" t="str">
        <f aca="false">INDEX(Customers!$E$2:$E$301,MATCH(C1162,Customers!$A$2:$A$301,0))</f>
        <v>Returning</v>
      </c>
      <c r="T1162" s="6" t="str">
        <f aca="false">Orders!I1162</f>
        <v>Website</v>
      </c>
      <c r="U1162" s="1" t="str">
        <f aca="false">IF(Q1162="Delivered","Completed",IF(Q1162="Cancelled","Cancelled",IF(Q1162="Returned","Returned","In Progress")))</f>
        <v>Cancelled</v>
      </c>
      <c r="V1162" s="1" t="str">
        <f aca="false">IF(M1162&gt;=10000,"High Value",IF(M1162&gt;=5000,"Medium Value","Low Value"))</f>
        <v>Low Value</v>
      </c>
      <c r="W1162" s="1" t="str">
        <f aca="false">IF(O1162&gt;0,"Profitable",IF(O1162=0,"Break-even","Loss"))</f>
        <v>Profitable</v>
      </c>
      <c r="X1162" s="1" t="str">
        <f aca="false">IF(Q1162="Cancelled","Not Applicable",IF(Q1162="Processing","Pending",IF(B1162="","Unknown",IF(Orders!J1162="","Unknown",IF(Orders!J1162&lt;=3,"Fast",IF(Orders!J1162&lt;=6,"Standard","Slow"))))))</f>
        <v>Not Applicable</v>
      </c>
      <c r="Y1162" s="1" t="n">
        <f aca="false">IF(OR(Q1162="Cancelled",Q1162="Returned"),0,O1162)</f>
        <v>0</v>
      </c>
    </row>
    <row r="1163" customFormat="false" ht="15" hidden="false" customHeight="false" outlineLevel="0" collapsed="false">
      <c r="A1163" s="6" t="str">
        <f aca="false">Orders!A1163</f>
        <v>O001162</v>
      </c>
      <c r="B1163" s="19" t="n">
        <f aca="false">Orders!B1163</f>
        <v>45860</v>
      </c>
      <c r="C1163" s="6" t="str">
        <f aca="false">Orders!C1163</f>
        <v>C0156</v>
      </c>
      <c r="D1163" s="6" t="str">
        <f aca="false">Orders!D1163</f>
        <v>P1035</v>
      </c>
      <c r="E1163" s="6" t="str">
        <f aca="false">INDEX(Products!$B$2:$B$101,MATCH(D1163,Products!$A$2:$A$101,0))</f>
        <v>Nonstick Pan</v>
      </c>
      <c r="F1163" s="1" t="str">
        <f aca="false">INDEX(Products!$C$2:$C$101,MATCH(D1163,Products!$A$2:$A$101,0))</f>
        <v>Home &amp; Kitchen</v>
      </c>
      <c r="G1163" s="6" t="n">
        <f aca="false">Orders!E1163</f>
        <v>1</v>
      </c>
      <c r="H1163" s="16" t="n">
        <f aca="false">INDEX(Products!$D$2:$D$101,MATCH(D1163,Products!$A$2:$A$101,0))</f>
        <v>999</v>
      </c>
      <c r="I1163" s="16" t="n">
        <f aca="false">INDEX(Products!$E$2:$E$101,MATCH(D1163,Products!$A$2:$A$101,0))</f>
        <v>520</v>
      </c>
      <c r="J1163" s="20" t="n">
        <f aca="false">Orders!F1163</f>
        <v>0</v>
      </c>
      <c r="K1163" s="6" t="n">
        <f aca="false">G1163*H1163</f>
        <v>999</v>
      </c>
      <c r="L1163" s="6" t="n">
        <f aca="false">K1163*J1163</f>
        <v>0</v>
      </c>
      <c r="M1163" s="6" t="n">
        <f aca="false">K1163-L1163</f>
        <v>999</v>
      </c>
      <c r="N1163" s="6" t="n">
        <f aca="false">G1163*I1163</f>
        <v>520</v>
      </c>
      <c r="O1163" s="6" t="n">
        <f aca="false">M1163-N1163</f>
        <v>479</v>
      </c>
      <c r="P1163" s="21" t="n">
        <f aca="false">IFERROR(O1163/M1163,0)</f>
        <v>0.47947947947948</v>
      </c>
      <c r="Q1163" s="6" t="str">
        <f aca="false">Orders!H1163</f>
        <v>Shipped</v>
      </c>
      <c r="R1163" s="1" t="str">
        <f aca="false">INDEX(Customers!$C$2:$C$301,MATCH(C1163,Customers!$A$2:$A$301,0))</f>
        <v>Chandigarh</v>
      </c>
      <c r="S1163" s="1" t="str">
        <f aca="false">INDEX(Customers!$E$2:$E$301,MATCH(C1163,Customers!$A$2:$A$301,0))</f>
        <v>Returning</v>
      </c>
      <c r="T1163" s="6" t="str">
        <f aca="false">Orders!I1163</f>
        <v>Website</v>
      </c>
      <c r="U1163" s="1" t="str">
        <f aca="false">IF(Q1163="Delivered","Completed",IF(Q1163="Cancelled","Cancelled",IF(Q1163="Returned","Returned","In Progress")))</f>
        <v>In Progress</v>
      </c>
      <c r="V1163" s="1" t="str">
        <f aca="false">IF(M1163&gt;=10000,"High Value",IF(M1163&gt;=5000,"Medium Value","Low Value"))</f>
        <v>Low Value</v>
      </c>
      <c r="W1163" s="1" t="str">
        <f aca="false">IF(O1163&gt;0,"Profitable",IF(O1163=0,"Break-even","Loss"))</f>
        <v>Profitable</v>
      </c>
      <c r="X1163" s="1" t="str">
        <f aca="false">IF(Q1163="Cancelled","Not Applicable",IF(Q1163="Processing","Pending",IF(B1163="","Unknown",IF(Orders!J1163="","Unknown",IF(Orders!J1163&lt;=3,"Fast",IF(Orders!J1163&lt;=6,"Standard","Slow"))))))</f>
        <v>Standard</v>
      </c>
      <c r="Y1163" s="1" t="n">
        <f aca="false">IF(OR(Q1163="Cancelled",Q1163="Returned"),0,O1163)</f>
        <v>479</v>
      </c>
    </row>
    <row r="1164" customFormat="false" ht="23.85" hidden="false" customHeight="false" outlineLevel="0" collapsed="false">
      <c r="A1164" s="6" t="str">
        <f aca="false">Orders!A1164</f>
        <v>O001163</v>
      </c>
      <c r="B1164" s="19" t="n">
        <f aca="false">Orders!B1164</f>
        <v>45760</v>
      </c>
      <c r="C1164" s="6" t="str">
        <f aca="false">Orders!C1164</f>
        <v>C0074</v>
      </c>
      <c r="D1164" s="6" t="str">
        <f aca="false">Orders!D1164</f>
        <v>P1002</v>
      </c>
      <c r="E1164" s="6" t="str">
        <f aca="false">INDEX(Products!$B$2:$B$101,MATCH(D1164,Products!$A$2:$A$101,0))</f>
        <v>Bluetooth Speaker</v>
      </c>
      <c r="F1164" s="1" t="str">
        <f aca="false">INDEX(Products!$C$2:$C$101,MATCH(D1164,Products!$A$2:$A$101,0))</f>
        <v>Electronics</v>
      </c>
      <c r="G1164" s="6" t="n">
        <f aca="false">Orders!E1164</f>
        <v>1</v>
      </c>
      <c r="H1164" s="16" t="n">
        <f aca="false">INDEX(Products!$D$2:$D$101,MATCH(D1164,Products!$A$2:$A$101,0))</f>
        <v>1499</v>
      </c>
      <c r="I1164" s="16" t="n">
        <f aca="false">INDEX(Products!$E$2:$E$101,MATCH(D1164,Products!$A$2:$A$101,0))</f>
        <v>850</v>
      </c>
      <c r="J1164" s="20" t="n">
        <f aca="false">Orders!F1164</f>
        <v>0</v>
      </c>
      <c r="K1164" s="6" t="n">
        <f aca="false">G1164*H1164</f>
        <v>1499</v>
      </c>
      <c r="L1164" s="6" t="n">
        <f aca="false">K1164*J1164</f>
        <v>0</v>
      </c>
      <c r="M1164" s="6" t="n">
        <f aca="false">K1164-L1164</f>
        <v>1499</v>
      </c>
      <c r="N1164" s="6" t="n">
        <f aca="false">G1164*I1164</f>
        <v>850</v>
      </c>
      <c r="O1164" s="6" t="n">
        <f aca="false">M1164-N1164</f>
        <v>649</v>
      </c>
      <c r="P1164" s="21" t="n">
        <f aca="false">IFERROR(O1164/M1164,0)</f>
        <v>0.43295530353569</v>
      </c>
      <c r="Q1164" s="6" t="str">
        <f aca="false">Orders!H1164</f>
        <v>Delivered</v>
      </c>
      <c r="R1164" s="1" t="str">
        <f aca="false">INDEX(Customers!$C$2:$C$301,MATCH(C1164,Customers!$A$2:$A$301,0))</f>
        <v>Indore</v>
      </c>
      <c r="S1164" s="1" t="str">
        <f aca="false">INDEX(Customers!$E$2:$E$301,MATCH(C1164,Customers!$A$2:$A$301,0))</f>
        <v>New</v>
      </c>
      <c r="T1164" s="6" t="str">
        <f aca="false">Orders!I1164</f>
        <v>Mobile App</v>
      </c>
      <c r="U1164" s="1" t="str">
        <f aca="false">IF(Q1164="Delivered","Completed",IF(Q1164="Cancelled","Cancelled",IF(Q1164="Returned","Returned","In Progress")))</f>
        <v>Completed</v>
      </c>
      <c r="V1164" s="1" t="str">
        <f aca="false">IF(M1164&gt;=10000,"High Value",IF(M1164&gt;=5000,"Medium Value","Low Value"))</f>
        <v>Low Value</v>
      </c>
      <c r="W1164" s="1" t="str">
        <f aca="false">IF(O1164&gt;0,"Profitable",IF(O1164=0,"Break-even","Loss"))</f>
        <v>Profitable</v>
      </c>
      <c r="X1164" s="1" t="str">
        <f aca="false">IF(Q1164="Cancelled","Not Applicable",IF(Q1164="Processing","Pending",IF(B1164="","Unknown",IF(Orders!J1164="","Unknown",IF(Orders!J1164&lt;=3,"Fast",IF(Orders!J1164&lt;=6,"Standard","Slow"))))))</f>
        <v>Slow</v>
      </c>
      <c r="Y1164" s="1" t="n">
        <f aca="false">IF(OR(Q1164="Cancelled",Q1164="Returned"),0,O1164)</f>
        <v>649</v>
      </c>
    </row>
    <row r="1165" customFormat="false" ht="15" hidden="false" customHeight="false" outlineLevel="0" collapsed="false">
      <c r="A1165" s="6" t="str">
        <f aca="false">Orders!A1165</f>
        <v>O001164</v>
      </c>
      <c r="B1165" s="19" t="n">
        <f aca="false">Orders!B1165</f>
        <v>45826</v>
      </c>
      <c r="C1165" s="6" t="str">
        <f aca="false">Orders!C1165</f>
        <v>C0064</v>
      </c>
      <c r="D1165" s="6" t="str">
        <f aca="false">Orders!D1165</f>
        <v>P1096</v>
      </c>
      <c r="E1165" s="6" t="str">
        <f aca="false">INDEX(Products!$B$2:$B$101,MATCH(D1165,Products!$A$2:$A$101,0))</f>
        <v>Air Fryer</v>
      </c>
      <c r="F1165" s="1" t="str">
        <f aca="false">INDEX(Products!$C$2:$C$101,MATCH(D1165,Products!$A$2:$A$101,0))</f>
        <v>Appliances</v>
      </c>
      <c r="G1165" s="6" t="n">
        <f aca="false">Orders!E1165</f>
        <v>1</v>
      </c>
      <c r="H1165" s="16" t="n">
        <f aca="false">INDEX(Products!$D$2:$D$101,MATCH(D1165,Products!$A$2:$A$101,0))</f>
        <v>3999</v>
      </c>
      <c r="I1165" s="16" t="n">
        <f aca="false">INDEX(Products!$E$2:$E$101,MATCH(D1165,Products!$A$2:$A$101,0))</f>
        <v>2700</v>
      </c>
      <c r="J1165" s="20" t="n">
        <f aca="false">Orders!F1165</f>
        <v>0.05</v>
      </c>
      <c r="K1165" s="6" t="n">
        <f aca="false">G1165*H1165</f>
        <v>3999</v>
      </c>
      <c r="L1165" s="6" t="n">
        <f aca="false">K1165*J1165</f>
        <v>199.95</v>
      </c>
      <c r="M1165" s="6" t="n">
        <f aca="false">K1165-L1165</f>
        <v>3799.05</v>
      </c>
      <c r="N1165" s="6" t="n">
        <f aca="false">G1165*I1165</f>
        <v>2700</v>
      </c>
      <c r="O1165" s="6" t="n">
        <f aca="false">M1165-N1165</f>
        <v>1099.05</v>
      </c>
      <c r="P1165" s="21" t="n">
        <f aca="false">IFERROR(O1165/M1165,0)</f>
        <v>0.28929600821258</v>
      </c>
      <c r="Q1165" s="6" t="str">
        <f aca="false">Orders!H1165</f>
        <v>Delivered</v>
      </c>
      <c r="R1165" s="1" t="str">
        <f aca="false">INDEX(Customers!$C$2:$C$301,MATCH(C1165,Customers!$A$2:$A$301,0))</f>
        <v>Hyderabad</v>
      </c>
      <c r="S1165" s="1" t="str">
        <f aca="false">INDEX(Customers!$E$2:$E$301,MATCH(C1165,Customers!$A$2:$A$301,0))</f>
        <v>Returning</v>
      </c>
      <c r="T1165" s="6" t="str">
        <f aca="false">Orders!I1165</f>
        <v>Mobile App</v>
      </c>
      <c r="U1165" s="1" t="str">
        <f aca="false">IF(Q1165="Delivered","Completed",IF(Q1165="Cancelled","Cancelled",IF(Q1165="Returned","Returned","In Progress")))</f>
        <v>Completed</v>
      </c>
      <c r="V1165" s="1" t="str">
        <f aca="false">IF(M1165&gt;=10000,"High Value",IF(M1165&gt;=5000,"Medium Value","Low Value"))</f>
        <v>Low Value</v>
      </c>
      <c r="W1165" s="1" t="str">
        <f aca="false">IF(O1165&gt;0,"Profitable",IF(O1165=0,"Break-even","Loss"))</f>
        <v>Profitable</v>
      </c>
      <c r="X1165" s="1" t="str">
        <f aca="false">IF(Q1165="Cancelled","Not Applicable",IF(Q1165="Processing","Pending",IF(B1165="","Unknown",IF(Orders!J1165="","Unknown",IF(Orders!J1165&lt;=3,"Fast",IF(Orders!J1165&lt;=6,"Standard","Slow"))))))</f>
        <v>Standard</v>
      </c>
      <c r="Y1165" s="1" t="n">
        <f aca="false">IF(OR(Q1165="Cancelled",Q1165="Returned"),0,O1165)</f>
        <v>1099.05</v>
      </c>
    </row>
    <row r="1166" customFormat="false" ht="15" hidden="false" customHeight="false" outlineLevel="0" collapsed="false">
      <c r="A1166" s="6" t="str">
        <f aca="false">Orders!A1166</f>
        <v>O001165</v>
      </c>
      <c r="B1166" s="19" t="n">
        <f aca="false">Orders!B1166</f>
        <v>45939</v>
      </c>
      <c r="C1166" s="6" t="str">
        <f aca="false">Orders!C1166</f>
        <v>C0053</v>
      </c>
      <c r="D1166" s="6" t="str">
        <f aca="false">Orders!D1166</f>
        <v>P1037</v>
      </c>
      <c r="E1166" s="6" t="str">
        <f aca="false">INDEX(Products!$B$2:$B$101,MATCH(D1166,Products!$A$2:$A$101,0))</f>
        <v>Pillow Pair</v>
      </c>
      <c r="F1166" s="1" t="str">
        <f aca="false">INDEX(Products!$C$2:$C$101,MATCH(D1166,Products!$A$2:$A$101,0))</f>
        <v>Home &amp; Kitchen</v>
      </c>
      <c r="G1166" s="6" t="n">
        <f aca="false">Orders!E1166</f>
        <v>5</v>
      </c>
      <c r="H1166" s="16" t="n">
        <f aca="false">INDEX(Products!$D$2:$D$101,MATCH(D1166,Products!$A$2:$A$101,0))</f>
        <v>799</v>
      </c>
      <c r="I1166" s="16" t="n">
        <f aca="false">INDEX(Products!$E$2:$E$101,MATCH(D1166,Products!$A$2:$A$101,0))</f>
        <v>350</v>
      </c>
      <c r="J1166" s="20" t="n">
        <f aca="false">Orders!F1166</f>
        <v>0.15</v>
      </c>
      <c r="K1166" s="6" t="n">
        <f aca="false">G1166*H1166</f>
        <v>3995</v>
      </c>
      <c r="L1166" s="6" t="n">
        <f aca="false">K1166*J1166</f>
        <v>599.25</v>
      </c>
      <c r="M1166" s="6" t="n">
        <f aca="false">K1166-L1166</f>
        <v>3395.75</v>
      </c>
      <c r="N1166" s="6" t="n">
        <f aca="false">G1166*I1166</f>
        <v>1750</v>
      </c>
      <c r="O1166" s="6" t="n">
        <f aca="false">M1166-N1166</f>
        <v>1645.75</v>
      </c>
      <c r="P1166" s="21" t="n">
        <f aca="false">IFERROR(O1166/M1166,0)</f>
        <v>0.484649930059633</v>
      </c>
      <c r="Q1166" s="6" t="str">
        <f aca="false">Orders!H1166</f>
        <v>Cancelled</v>
      </c>
      <c r="R1166" s="1" t="str">
        <f aca="false">INDEX(Customers!$C$2:$C$301,MATCH(C1166,Customers!$A$2:$A$301,0))</f>
        <v>Kochi</v>
      </c>
      <c r="S1166" s="1" t="str">
        <f aca="false">INDEX(Customers!$E$2:$E$301,MATCH(C1166,Customers!$A$2:$A$301,0))</f>
        <v>Returning</v>
      </c>
      <c r="T1166" s="6" t="str">
        <f aca="false">Orders!I1166</f>
        <v>Marketplace</v>
      </c>
      <c r="U1166" s="1" t="str">
        <f aca="false">IF(Q1166="Delivered","Completed",IF(Q1166="Cancelled","Cancelled",IF(Q1166="Returned","Returned","In Progress")))</f>
        <v>Cancelled</v>
      </c>
      <c r="V1166" s="1" t="str">
        <f aca="false">IF(M1166&gt;=10000,"High Value",IF(M1166&gt;=5000,"Medium Value","Low Value"))</f>
        <v>Low Value</v>
      </c>
      <c r="W1166" s="1" t="str">
        <f aca="false">IF(O1166&gt;0,"Profitable",IF(O1166=0,"Break-even","Loss"))</f>
        <v>Profitable</v>
      </c>
      <c r="X1166" s="1" t="str">
        <f aca="false">IF(Q1166="Cancelled","Not Applicable",IF(Q1166="Processing","Pending",IF(B1166="","Unknown",IF(Orders!J1166="","Unknown",IF(Orders!J1166&lt;=3,"Fast",IF(Orders!J1166&lt;=6,"Standard","Slow"))))))</f>
        <v>Not Applicable</v>
      </c>
      <c r="Y1166" s="1" t="n">
        <f aca="false">IF(OR(Q1166="Cancelled",Q1166="Returned"),0,O1166)</f>
        <v>0</v>
      </c>
    </row>
    <row r="1167" customFormat="false" ht="15" hidden="false" customHeight="false" outlineLevel="0" collapsed="false">
      <c r="A1167" s="6" t="str">
        <f aca="false">Orders!A1167</f>
        <v>O001166</v>
      </c>
      <c r="B1167" s="19" t="n">
        <f aca="false">Orders!B1167</f>
        <v>45823</v>
      </c>
      <c r="C1167" s="6" t="str">
        <f aca="false">Orders!C1167</f>
        <v>C0159</v>
      </c>
      <c r="D1167" s="6" t="str">
        <f aca="false">Orders!D1167</f>
        <v>P1017</v>
      </c>
      <c r="E1167" s="6" t="str">
        <f aca="false">INDEX(Products!$B$2:$B$101,MATCH(D1167,Products!$A$2:$A$101,0))</f>
        <v>Denim Jeans</v>
      </c>
      <c r="F1167" s="1" t="str">
        <f aca="false">INDEX(Products!$C$2:$C$101,MATCH(D1167,Products!$A$2:$A$101,0))</f>
        <v>Fashion</v>
      </c>
      <c r="G1167" s="6" t="n">
        <f aca="false">Orders!E1167</f>
        <v>4</v>
      </c>
      <c r="H1167" s="16" t="n">
        <f aca="false">INDEX(Products!$D$2:$D$101,MATCH(D1167,Products!$A$2:$A$101,0))</f>
        <v>1299</v>
      </c>
      <c r="I1167" s="16" t="n">
        <f aca="false">INDEX(Products!$E$2:$E$101,MATCH(D1167,Products!$A$2:$A$101,0))</f>
        <v>650</v>
      </c>
      <c r="J1167" s="20" t="n">
        <f aca="false">Orders!F1167</f>
        <v>0</v>
      </c>
      <c r="K1167" s="6" t="n">
        <f aca="false">G1167*H1167</f>
        <v>5196</v>
      </c>
      <c r="L1167" s="6" t="n">
        <f aca="false">K1167*J1167</f>
        <v>0</v>
      </c>
      <c r="M1167" s="6" t="n">
        <f aca="false">K1167-L1167</f>
        <v>5196</v>
      </c>
      <c r="N1167" s="6" t="n">
        <f aca="false">G1167*I1167</f>
        <v>2600</v>
      </c>
      <c r="O1167" s="6" t="n">
        <f aca="false">M1167-N1167</f>
        <v>2596</v>
      </c>
      <c r="P1167" s="21" t="n">
        <f aca="false">IFERROR(O1167/M1167,0)</f>
        <v>0.499615088529638</v>
      </c>
      <c r="Q1167" s="6" t="str">
        <f aca="false">Orders!H1167</f>
        <v>Delivered</v>
      </c>
      <c r="R1167" s="1" t="str">
        <f aca="false">INDEX(Customers!$C$2:$C$301,MATCH(C1167,Customers!$A$2:$A$301,0))</f>
        <v>Coimbatore</v>
      </c>
      <c r="S1167" s="1" t="str">
        <f aca="false">INDEX(Customers!$E$2:$E$301,MATCH(C1167,Customers!$A$2:$A$301,0))</f>
        <v>New</v>
      </c>
      <c r="T1167" s="6" t="str">
        <f aca="false">Orders!I1167</f>
        <v>Marketplace</v>
      </c>
      <c r="U1167" s="1" t="str">
        <f aca="false">IF(Q1167="Delivered","Completed",IF(Q1167="Cancelled","Cancelled",IF(Q1167="Returned","Returned","In Progress")))</f>
        <v>Completed</v>
      </c>
      <c r="V1167" s="1" t="str">
        <f aca="false">IF(M1167&gt;=10000,"High Value",IF(M1167&gt;=5000,"Medium Value","Low Value"))</f>
        <v>Medium Value</v>
      </c>
      <c r="W1167" s="1" t="str">
        <f aca="false">IF(O1167&gt;0,"Profitable",IF(O1167=0,"Break-even","Loss"))</f>
        <v>Profitable</v>
      </c>
      <c r="X1167" s="1" t="str">
        <f aca="false">IF(Q1167="Cancelled","Not Applicable",IF(Q1167="Processing","Pending",IF(B1167="","Unknown",IF(Orders!J1167="","Unknown",IF(Orders!J1167&lt;=3,"Fast",IF(Orders!J1167&lt;=6,"Standard","Slow"))))))</f>
        <v>Fast</v>
      </c>
      <c r="Y1167" s="1" t="n">
        <f aca="false">IF(OR(Q1167="Cancelled",Q1167="Returned"),0,O1167)</f>
        <v>2596</v>
      </c>
    </row>
    <row r="1168" customFormat="false" ht="23.85" hidden="false" customHeight="false" outlineLevel="0" collapsed="false">
      <c r="A1168" s="6" t="str">
        <f aca="false">Orders!A1168</f>
        <v>O001167</v>
      </c>
      <c r="B1168" s="19" t="n">
        <f aca="false">Orders!B1168</f>
        <v>46008</v>
      </c>
      <c r="C1168" s="6" t="str">
        <f aca="false">Orders!C1168</f>
        <v>C0041</v>
      </c>
      <c r="D1168" s="6" t="str">
        <f aca="false">Orders!D1168</f>
        <v>P1041</v>
      </c>
      <c r="E1168" s="6" t="str">
        <f aca="false">INDEX(Products!$B$2:$B$101,MATCH(D1168,Products!$A$2:$A$101,0))</f>
        <v>Food Storage Jars</v>
      </c>
      <c r="F1168" s="1" t="str">
        <f aca="false">INDEX(Products!$C$2:$C$101,MATCH(D1168,Products!$A$2:$A$101,0))</f>
        <v>Home &amp; Kitchen</v>
      </c>
      <c r="G1168" s="6" t="n">
        <f aca="false">Orders!E1168</f>
        <v>2</v>
      </c>
      <c r="H1168" s="16" t="n">
        <f aca="false">INDEX(Products!$D$2:$D$101,MATCH(D1168,Products!$A$2:$A$101,0))</f>
        <v>499</v>
      </c>
      <c r="I1168" s="16" t="n">
        <f aca="false">INDEX(Products!$E$2:$E$101,MATCH(D1168,Products!$A$2:$A$101,0))</f>
        <v>220</v>
      </c>
      <c r="J1168" s="20" t="n">
        <f aca="false">Orders!F1168</f>
        <v>0.1</v>
      </c>
      <c r="K1168" s="6" t="n">
        <f aca="false">G1168*H1168</f>
        <v>998</v>
      </c>
      <c r="L1168" s="6" t="n">
        <f aca="false">K1168*J1168</f>
        <v>99.8</v>
      </c>
      <c r="M1168" s="6" t="n">
        <f aca="false">K1168-L1168</f>
        <v>898.2</v>
      </c>
      <c r="N1168" s="6" t="n">
        <f aca="false">G1168*I1168</f>
        <v>440</v>
      </c>
      <c r="O1168" s="6" t="n">
        <f aca="false">M1168-N1168</f>
        <v>458.2</v>
      </c>
      <c r="P1168" s="21" t="n">
        <f aca="false">IFERROR(O1168/M1168,0)</f>
        <v>0.510131373858829</v>
      </c>
      <c r="Q1168" s="6" t="str">
        <f aca="false">Orders!H1168</f>
        <v>Delivered</v>
      </c>
      <c r="R1168" s="1" t="str">
        <f aca="false">INDEX(Customers!$C$2:$C$301,MATCH(C1168,Customers!$A$2:$A$301,0))</f>
        <v>Delhi</v>
      </c>
      <c r="S1168" s="1" t="str">
        <f aca="false">INDEX(Customers!$E$2:$E$301,MATCH(C1168,Customers!$A$2:$A$301,0))</f>
        <v>New</v>
      </c>
      <c r="T1168" s="6" t="str">
        <f aca="false">Orders!I1168</f>
        <v>Website</v>
      </c>
      <c r="U1168" s="1" t="str">
        <f aca="false">IF(Q1168="Delivered","Completed",IF(Q1168="Cancelled","Cancelled",IF(Q1168="Returned","Returned","In Progress")))</f>
        <v>Completed</v>
      </c>
      <c r="V1168" s="1" t="str">
        <f aca="false">IF(M1168&gt;=10000,"High Value",IF(M1168&gt;=5000,"Medium Value","Low Value"))</f>
        <v>Low Value</v>
      </c>
      <c r="W1168" s="1" t="str">
        <f aca="false">IF(O1168&gt;0,"Profitable",IF(O1168=0,"Break-even","Loss"))</f>
        <v>Profitable</v>
      </c>
      <c r="X1168" s="1" t="str">
        <f aca="false">IF(Q1168="Cancelled","Not Applicable",IF(Q1168="Processing","Pending",IF(B1168="","Unknown",IF(Orders!J1168="","Unknown",IF(Orders!J1168&lt;=3,"Fast",IF(Orders!J1168&lt;=6,"Standard","Slow"))))))</f>
        <v>Fast</v>
      </c>
      <c r="Y1168" s="1" t="n">
        <f aca="false">IF(OR(Q1168="Cancelled",Q1168="Returned"),0,O1168)</f>
        <v>458.2</v>
      </c>
    </row>
    <row r="1169" customFormat="false" ht="15" hidden="false" customHeight="false" outlineLevel="0" collapsed="false">
      <c r="A1169" s="6" t="str">
        <f aca="false">Orders!A1169</f>
        <v>O001168</v>
      </c>
      <c r="B1169" s="19" t="n">
        <f aca="false">Orders!B1169</f>
        <v>45959</v>
      </c>
      <c r="C1169" s="6" t="str">
        <f aca="false">Orders!C1169</f>
        <v>C0297</v>
      </c>
      <c r="D1169" s="6" t="str">
        <f aca="false">Orders!D1169</f>
        <v>P1035</v>
      </c>
      <c r="E1169" s="6" t="str">
        <f aca="false">INDEX(Products!$B$2:$B$101,MATCH(D1169,Products!$A$2:$A$101,0))</f>
        <v>Nonstick Pan</v>
      </c>
      <c r="F1169" s="1" t="str">
        <f aca="false">INDEX(Products!$C$2:$C$101,MATCH(D1169,Products!$A$2:$A$101,0))</f>
        <v>Home &amp; Kitchen</v>
      </c>
      <c r="G1169" s="6" t="n">
        <f aca="false">Orders!E1169</f>
        <v>1</v>
      </c>
      <c r="H1169" s="16" t="n">
        <f aca="false">INDEX(Products!$D$2:$D$101,MATCH(D1169,Products!$A$2:$A$101,0))</f>
        <v>999</v>
      </c>
      <c r="I1169" s="16" t="n">
        <f aca="false">INDEX(Products!$E$2:$E$101,MATCH(D1169,Products!$A$2:$A$101,0))</f>
        <v>520</v>
      </c>
      <c r="J1169" s="20" t="n">
        <f aca="false">Orders!F1169</f>
        <v>0.1</v>
      </c>
      <c r="K1169" s="6" t="n">
        <f aca="false">G1169*H1169</f>
        <v>999</v>
      </c>
      <c r="L1169" s="6" t="n">
        <f aca="false">K1169*J1169</f>
        <v>99.9</v>
      </c>
      <c r="M1169" s="6" t="n">
        <f aca="false">K1169-L1169</f>
        <v>899.1</v>
      </c>
      <c r="N1169" s="6" t="n">
        <f aca="false">G1169*I1169</f>
        <v>520</v>
      </c>
      <c r="O1169" s="6" t="n">
        <f aca="false">M1169-N1169</f>
        <v>379.1</v>
      </c>
      <c r="P1169" s="21" t="n">
        <f aca="false">IFERROR(O1169/M1169,0)</f>
        <v>0.421643866088311</v>
      </c>
      <c r="Q1169" s="6" t="str">
        <f aca="false">Orders!H1169</f>
        <v>Delivered</v>
      </c>
      <c r="R1169" s="1" t="str">
        <f aca="false">INDEX(Customers!$C$2:$C$301,MATCH(C1169,Customers!$A$2:$A$301,0))</f>
        <v>Surat</v>
      </c>
      <c r="S1169" s="1" t="str">
        <f aca="false">INDEX(Customers!$E$2:$E$301,MATCH(C1169,Customers!$A$2:$A$301,0))</f>
        <v>New</v>
      </c>
      <c r="T1169" s="6" t="str">
        <f aca="false">Orders!I1169</f>
        <v>Marketplace</v>
      </c>
      <c r="U1169" s="1" t="str">
        <f aca="false">IF(Q1169="Delivered","Completed",IF(Q1169="Cancelled","Cancelled",IF(Q1169="Returned","Returned","In Progress")))</f>
        <v>Completed</v>
      </c>
      <c r="V1169" s="1" t="str">
        <f aca="false">IF(M1169&gt;=10000,"High Value",IF(M1169&gt;=5000,"Medium Value","Low Value"))</f>
        <v>Low Value</v>
      </c>
      <c r="W1169" s="1" t="str">
        <f aca="false">IF(O1169&gt;0,"Profitable",IF(O1169=0,"Break-even","Loss"))</f>
        <v>Profitable</v>
      </c>
      <c r="X1169" s="1" t="str">
        <f aca="false">IF(Q1169="Cancelled","Not Applicable",IF(Q1169="Processing","Pending",IF(B1169="","Unknown",IF(Orders!J1169="","Unknown",IF(Orders!J1169&lt;=3,"Fast",IF(Orders!J1169&lt;=6,"Standard","Slow"))))))</f>
        <v>Fast</v>
      </c>
      <c r="Y1169" s="1" t="n">
        <f aca="false">IF(OR(Q1169="Cancelled",Q1169="Returned"),0,O1169)</f>
        <v>379.1</v>
      </c>
    </row>
    <row r="1170" customFormat="false" ht="15" hidden="false" customHeight="false" outlineLevel="0" collapsed="false">
      <c r="A1170" s="6" t="str">
        <f aca="false">Orders!A1170</f>
        <v>O001169</v>
      </c>
      <c r="B1170" s="19" t="n">
        <f aca="false">Orders!B1170</f>
        <v>45963</v>
      </c>
      <c r="C1170" s="6" t="str">
        <f aca="false">Orders!C1170</f>
        <v>C0173</v>
      </c>
      <c r="D1170" s="6" t="str">
        <f aca="false">Orders!D1170</f>
        <v>P1094</v>
      </c>
      <c r="E1170" s="6" t="str">
        <f aca="false">INDEX(Products!$B$2:$B$101,MATCH(D1170,Products!$A$2:$A$101,0))</f>
        <v>Room Heater</v>
      </c>
      <c r="F1170" s="1" t="str">
        <f aca="false">INDEX(Products!$C$2:$C$101,MATCH(D1170,Products!$A$2:$A$101,0))</f>
        <v>Appliances</v>
      </c>
      <c r="G1170" s="6" t="n">
        <f aca="false">Orders!E1170</f>
        <v>1</v>
      </c>
      <c r="H1170" s="16" t="n">
        <f aca="false">INDEX(Products!$D$2:$D$101,MATCH(D1170,Products!$A$2:$A$101,0))</f>
        <v>1999</v>
      </c>
      <c r="I1170" s="16" t="n">
        <f aca="false">INDEX(Products!$E$2:$E$101,MATCH(D1170,Products!$A$2:$A$101,0))</f>
        <v>1250</v>
      </c>
      <c r="J1170" s="20" t="n">
        <f aca="false">Orders!F1170</f>
        <v>0</v>
      </c>
      <c r="K1170" s="6" t="n">
        <f aca="false">G1170*H1170</f>
        <v>1999</v>
      </c>
      <c r="L1170" s="6" t="n">
        <f aca="false">K1170*J1170</f>
        <v>0</v>
      </c>
      <c r="M1170" s="6" t="n">
        <f aca="false">K1170-L1170</f>
        <v>1999</v>
      </c>
      <c r="N1170" s="6" t="n">
        <f aca="false">G1170*I1170</f>
        <v>1250</v>
      </c>
      <c r="O1170" s="6" t="n">
        <f aca="false">M1170-N1170</f>
        <v>749</v>
      </c>
      <c r="P1170" s="21" t="n">
        <f aca="false">IFERROR(O1170/M1170,0)</f>
        <v>0.374687343671836</v>
      </c>
      <c r="Q1170" s="6" t="str">
        <f aca="false">Orders!H1170</f>
        <v>Delivered</v>
      </c>
      <c r="R1170" s="1" t="str">
        <f aca="false">INDEX(Customers!$C$2:$C$301,MATCH(C1170,Customers!$A$2:$A$301,0))</f>
        <v>Kochi</v>
      </c>
      <c r="S1170" s="1" t="str">
        <f aca="false">INDEX(Customers!$E$2:$E$301,MATCH(C1170,Customers!$A$2:$A$301,0))</f>
        <v>New</v>
      </c>
      <c r="T1170" s="6" t="str">
        <f aca="false">Orders!I1170</f>
        <v>Marketplace</v>
      </c>
      <c r="U1170" s="1" t="str">
        <f aca="false">IF(Q1170="Delivered","Completed",IF(Q1170="Cancelled","Cancelled",IF(Q1170="Returned","Returned","In Progress")))</f>
        <v>Completed</v>
      </c>
      <c r="V1170" s="1" t="str">
        <f aca="false">IF(M1170&gt;=10000,"High Value",IF(M1170&gt;=5000,"Medium Value","Low Value"))</f>
        <v>Low Value</v>
      </c>
      <c r="W1170" s="1" t="str">
        <f aca="false">IF(O1170&gt;0,"Profitable",IF(O1170=0,"Break-even","Loss"))</f>
        <v>Profitable</v>
      </c>
      <c r="X1170" s="1" t="str">
        <f aca="false">IF(Q1170="Cancelled","Not Applicable",IF(Q1170="Processing","Pending",IF(B1170="","Unknown",IF(Orders!J1170="","Unknown",IF(Orders!J1170&lt;=3,"Fast",IF(Orders!J1170&lt;=6,"Standard","Slow"))))))</f>
        <v>Fast</v>
      </c>
      <c r="Y1170" s="1" t="n">
        <f aca="false">IF(OR(Q1170="Cancelled",Q1170="Returned"),0,O1170)</f>
        <v>749</v>
      </c>
    </row>
    <row r="1171" customFormat="false" ht="15" hidden="false" customHeight="false" outlineLevel="0" collapsed="false">
      <c r="A1171" s="6" t="str">
        <f aca="false">Orders!A1171</f>
        <v>O001170</v>
      </c>
      <c r="B1171" s="19" t="n">
        <f aca="false">Orders!B1171</f>
        <v>45817</v>
      </c>
      <c r="C1171" s="6" t="str">
        <f aca="false">Orders!C1171</f>
        <v>C0213</v>
      </c>
      <c r="D1171" s="6" t="str">
        <f aca="false">Orders!D1171</f>
        <v>P1007</v>
      </c>
      <c r="E1171" s="6" t="str">
        <f aca="false">INDEX(Products!$B$2:$B$101,MATCH(D1171,Products!$A$2:$A$101,0))</f>
        <v>Keyboard</v>
      </c>
      <c r="F1171" s="1" t="str">
        <f aca="false">INDEX(Products!$C$2:$C$101,MATCH(D1171,Products!$A$2:$A$101,0))</f>
        <v>Electronics</v>
      </c>
      <c r="G1171" s="6" t="n">
        <f aca="false">Orders!E1171</f>
        <v>1</v>
      </c>
      <c r="H1171" s="16" t="n">
        <f aca="false">INDEX(Products!$D$2:$D$101,MATCH(D1171,Products!$A$2:$A$101,0))</f>
        <v>999</v>
      </c>
      <c r="I1171" s="16" t="n">
        <f aca="false">INDEX(Products!$E$2:$E$101,MATCH(D1171,Products!$A$2:$A$101,0))</f>
        <v>480</v>
      </c>
      <c r="J1171" s="20" t="n">
        <f aca="false">Orders!F1171</f>
        <v>0.05</v>
      </c>
      <c r="K1171" s="6" t="n">
        <f aca="false">G1171*H1171</f>
        <v>999</v>
      </c>
      <c r="L1171" s="6" t="n">
        <f aca="false">K1171*J1171</f>
        <v>49.95</v>
      </c>
      <c r="M1171" s="6" t="n">
        <f aca="false">K1171-L1171</f>
        <v>949.05</v>
      </c>
      <c r="N1171" s="6" t="n">
        <f aca="false">G1171*I1171</f>
        <v>480</v>
      </c>
      <c r="O1171" s="6" t="n">
        <f aca="false">M1171-N1171</f>
        <v>469.05</v>
      </c>
      <c r="P1171" s="21" t="n">
        <f aca="false">IFERROR(O1171/M1171,0)</f>
        <v>0.494231073178442</v>
      </c>
      <c r="Q1171" s="6" t="str">
        <f aca="false">Orders!H1171</f>
        <v>Delivered</v>
      </c>
      <c r="R1171" s="1" t="str">
        <f aca="false">INDEX(Customers!$C$2:$C$301,MATCH(C1171,Customers!$A$2:$A$301,0))</f>
        <v>Kochi</v>
      </c>
      <c r="S1171" s="1" t="str">
        <f aca="false">INDEX(Customers!$E$2:$E$301,MATCH(C1171,Customers!$A$2:$A$301,0))</f>
        <v>New</v>
      </c>
      <c r="T1171" s="6" t="str">
        <f aca="false">Orders!I1171</f>
        <v>Website</v>
      </c>
      <c r="U1171" s="1" t="str">
        <f aca="false">IF(Q1171="Delivered","Completed",IF(Q1171="Cancelled","Cancelled",IF(Q1171="Returned","Returned","In Progress")))</f>
        <v>Completed</v>
      </c>
      <c r="V1171" s="1" t="str">
        <f aca="false">IF(M1171&gt;=10000,"High Value",IF(M1171&gt;=5000,"Medium Value","Low Value"))</f>
        <v>Low Value</v>
      </c>
      <c r="W1171" s="1" t="str">
        <f aca="false">IF(O1171&gt;0,"Profitable",IF(O1171=0,"Break-even","Loss"))</f>
        <v>Profitable</v>
      </c>
      <c r="X1171" s="1" t="str">
        <f aca="false">IF(Q1171="Cancelled","Not Applicable",IF(Q1171="Processing","Pending",IF(B1171="","Unknown",IF(Orders!J1171="","Unknown",IF(Orders!J1171&lt;=3,"Fast",IF(Orders!J1171&lt;=6,"Standard","Slow"))))))</f>
        <v>Slow</v>
      </c>
      <c r="Y1171" s="1" t="n">
        <f aca="false">IF(OR(Q1171="Cancelled",Q1171="Returned"),0,O1171)</f>
        <v>469.05</v>
      </c>
    </row>
    <row r="1172" customFormat="false" ht="15" hidden="false" customHeight="false" outlineLevel="0" collapsed="false">
      <c r="A1172" s="6" t="str">
        <f aca="false">Orders!A1172</f>
        <v>O001171</v>
      </c>
      <c r="B1172" s="19" t="n">
        <f aca="false">Orders!B1172</f>
        <v>45901</v>
      </c>
      <c r="C1172" s="6" t="str">
        <f aca="false">Orders!C1172</f>
        <v>C0133</v>
      </c>
      <c r="D1172" s="6" t="str">
        <f aca="false">Orders!D1172</f>
        <v>P1096</v>
      </c>
      <c r="E1172" s="6" t="str">
        <f aca="false">INDEX(Products!$B$2:$B$101,MATCH(D1172,Products!$A$2:$A$101,0))</f>
        <v>Air Fryer</v>
      </c>
      <c r="F1172" s="1" t="str">
        <f aca="false">INDEX(Products!$C$2:$C$101,MATCH(D1172,Products!$A$2:$A$101,0))</f>
        <v>Appliances</v>
      </c>
      <c r="G1172" s="6" t="n">
        <f aca="false">Orders!E1172</f>
        <v>1</v>
      </c>
      <c r="H1172" s="16" t="n">
        <f aca="false">INDEX(Products!$D$2:$D$101,MATCH(D1172,Products!$A$2:$A$101,0))</f>
        <v>3999</v>
      </c>
      <c r="I1172" s="16" t="n">
        <f aca="false">INDEX(Products!$E$2:$E$101,MATCH(D1172,Products!$A$2:$A$101,0))</f>
        <v>2700</v>
      </c>
      <c r="J1172" s="20" t="n">
        <f aca="false">Orders!F1172</f>
        <v>0</v>
      </c>
      <c r="K1172" s="6" t="n">
        <f aca="false">G1172*H1172</f>
        <v>3999</v>
      </c>
      <c r="L1172" s="6" t="n">
        <f aca="false">K1172*J1172</f>
        <v>0</v>
      </c>
      <c r="M1172" s="6" t="n">
        <f aca="false">K1172-L1172</f>
        <v>3999</v>
      </c>
      <c r="N1172" s="6" t="n">
        <f aca="false">G1172*I1172</f>
        <v>2700</v>
      </c>
      <c r="O1172" s="6" t="n">
        <f aca="false">M1172-N1172</f>
        <v>1299</v>
      </c>
      <c r="P1172" s="21" t="n">
        <f aca="false">IFERROR(O1172/M1172,0)</f>
        <v>0.32483120780195</v>
      </c>
      <c r="Q1172" s="6" t="str">
        <f aca="false">Orders!H1172</f>
        <v>Delivered</v>
      </c>
      <c r="R1172" s="1" t="str">
        <f aca="false">INDEX(Customers!$C$2:$C$301,MATCH(C1172,Customers!$A$2:$A$301,0))</f>
        <v>Kochi</v>
      </c>
      <c r="S1172" s="1" t="str">
        <f aca="false">INDEX(Customers!$E$2:$E$301,MATCH(C1172,Customers!$A$2:$A$301,0))</f>
        <v>Returning</v>
      </c>
      <c r="T1172" s="6" t="str">
        <f aca="false">Orders!I1172</f>
        <v>Website</v>
      </c>
      <c r="U1172" s="1" t="str">
        <f aca="false">IF(Q1172="Delivered","Completed",IF(Q1172="Cancelled","Cancelled",IF(Q1172="Returned","Returned","In Progress")))</f>
        <v>Completed</v>
      </c>
      <c r="V1172" s="1" t="str">
        <f aca="false">IF(M1172&gt;=10000,"High Value",IF(M1172&gt;=5000,"Medium Value","Low Value"))</f>
        <v>Low Value</v>
      </c>
      <c r="W1172" s="1" t="str">
        <f aca="false">IF(O1172&gt;0,"Profitable",IF(O1172=0,"Break-even","Loss"))</f>
        <v>Profitable</v>
      </c>
      <c r="X1172" s="1" t="str">
        <f aca="false">IF(Q1172="Cancelled","Not Applicable",IF(Q1172="Processing","Pending",IF(B1172="","Unknown",IF(Orders!J1172="","Unknown",IF(Orders!J1172&lt;=3,"Fast",IF(Orders!J1172&lt;=6,"Standard","Slow"))))))</f>
        <v>Standard</v>
      </c>
      <c r="Y1172" s="1" t="n">
        <f aca="false">IF(OR(Q1172="Cancelled",Q1172="Returned"),0,O1172)</f>
        <v>1299</v>
      </c>
    </row>
    <row r="1173" customFormat="false" ht="15" hidden="false" customHeight="false" outlineLevel="0" collapsed="false">
      <c r="A1173" s="6" t="str">
        <f aca="false">Orders!A1173</f>
        <v>O001172</v>
      </c>
      <c r="B1173" s="19" t="n">
        <f aca="false">Orders!B1173</f>
        <v>45733</v>
      </c>
      <c r="C1173" s="6" t="str">
        <f aca="false">Orders!C1173</f>
        <v>C0240</v>
      </c>
      <c r="D1173" s="6" t="str">
        <f aca="false">Orders!D1173</f>
        <v>P1092</v>
      </c>
      <c r="E1173" s="6" t="str">
        <f aca="false">INDEX(Products!$B$2:$B$101,MATCH(D1173,Products!$A$2:$A$101,0))</f>
        <v>Hand Blender</v>
      </c>
      <c r="F1173" s="1" t="str">
        <f aca="false">INDEX(Products!$C$2:$C$101,MATCH(D1173,Products!$A$2:$A$101,0))</f>
        <v>Appliances</v>
      </c>
      <c r="G1173" s="6" t="n">
        <f aca="false">Orders!E1173</f>
        <v>2</v>
      </c>
      <c r="H1173" s="16" t="n">
        <f aca="false">INDEX(Products!$D$2:$D$101,MATCH(D1173,Products!$A$2:$A$101,0))</f>
        <v>999</v>
      </c>
      <c r="I1173" s="16" t="n">
        <f aca="false">INDEX(Products!$E$2:$E$101,MATCH(D1173,Products!$A$2:$A$101,0))</f>
        <v>550</v>
      </c>
      <c r="J1173" s="20" t="n">
        <f aca="false">Orders!F1173</f>
        <v>0.2</v>
      </c>
      <c r="K1173" s="6" t="n">
        <f aca="false">G1173*H1173</f>
        <v>1998</v>
      </c>
      <c r="L1173" s="6" t="n">
        <f aca="false">K1173*J1173</f>
        <v>399.6</v>
      </c>
      <c r="M1173" s="6" t="n">
        <f aca="false">K1173-L1173</f>
        <v>1598.4</v>
      </c>
      <c r="N1173" s="6" t="n">
        <f aca="false">G1173*I1173</f>
        <v>1100</v>
      </c>
      <c r="O1173" s="6" t="n">
        <f aca="false">M1173-N1173</f>
        <v>498.4</v>
      </c>
      <c r="P1173" s="21" t="n">
        <f aca="false">IFERROR(O1173/M1173,0)</f>
        <v>0.311811811811812</v>
      </c>
      <c r="Q1173" s="6" t="str">
        <f aca="false">Orders!H1173</f>
        <v>Delivered</v>
      </c>
      <c r="R1173" s="1" t="str">
        <f aca="false">INDEX(Customers!$C$2:$C$301,MATCH(C1173,Customers!$A$2:$A$301,0))</f>
        <v>Visakhapatnam</v>
      </c>
      <c r="S1173" s="1" t="str">
        <f aca="false">INDEX(Customers!$E$2:$E$301,MATCH(C1173,Customers!$A$2:$A$301,0))</f>
        <v>Returning</v>
      </c>
      <c r="T1173" s="6" t="str">
        <f aca="false">Orders!I1173</f>
        <v>Mobile App</v>
      </c>
      <c r="U1173" s="1" t="str">
        <f aca="false">IF(Q1173="Delivered","Completed",IF(Q1173="Cancelled","Cancelled",IF(Q1173="Returned","Returned","In Progress")))</f>
        <v>Completed</v>
      </c>
      <c r="V1173" s="1" t="str">
        <f aca="false">IF(M1173&gt;=10000,"High Value",IF(M1173&gt;=5000,"Medium Value","Low Value"))</f>
        <v>Low Value</v>
      </c>
      <c r="W1173" s="1" t="str">
        <f aca="false">IF(O1173&gt;0,"Profitable",IF(O1173=0,"Break-even","Loss"))</f>
        <v>Profitable</v>
      </c>
      <c r="X1173" s="1" t="str">
        <f aca="false">IF(Q1173="Cancelled","Not Applicable",IF(Q1173="Processing","Pending",IF(B1173="","Unknown",IF(Orders!J1173="","Unknown",IF(Orders!J1173&lt;=3,"Fast",IF(Orders!J1173&lt;=6,"Standard","Slow"))))))</f>
        <v>Slow</v>
      </c>
      <c r="Y1173" s="1" t="n">
        <f aca="false">IF(OR(Q1173="Cancelled",Q1173="Returned"),0,O1173)</f>
        <v>498.4</v>
      </c>
    </row>
    <row r="1174" customFormat="false" ht="15" hidden="false" customHeight="false" outlineLevel="0" collapsed="false">
      <c r="A1174" s="6" t="str">
        <f aca="false">Orders!A1174</f>
        <v>O001173</v>
      </c>
      <c r="B1174" s="19" t="n">
        <f aca="false">Orders!B1174</f>
        <v>45708</v>
      </c>
      <c r="C1174" s="6" t="str">
        <f aca="false">Orders!C1174</f>
        <v>C0035</v>
      </c>
      <c r="D1174" s="6" t="str">
        <f aca="false">Orders!D1174</f>
        <v>P1088</v>
      </c>
      <c r="E1174" s="6" t="str">
        <f aca="false">INDEX(Products!$B$2:$B$101,MATCH(D1174,Products!$A$2:$A$101,0))</f>
        <v>Electric Kettle</v>
      </c>
      <c r="F1174" s="1" t="str">
        <f aca="false">INDEX(Products!$C$2:$C$101,MATCH(D1174,Products!$A$2:$A$101,0))</f>
        <v>Appliances</v>
      </c>
      <c r="G1174" s="6" t="n">
        <f aca="false">Orders!E1174</f>
        <v>1</v>
      </c>
      <c r="H1174" s="16" t="n">
        <f aca="false">INDEX(Products!$D$2:$D$101,MATCH(D1174,Products!$A$2:$A$101,0))</f>
        <v>1299</v>
      </c>
      <c r="I1174" s="16" t="n">
        <f aca="false">INDEX(Products!$E$2:$E$101,MATCH(D1174,Products!$A$2:$A$101,0))</f>
        <v>750</v>
      </c>
      <c r="J1174" s="20" t="n">
        <f aca="false">Orders!F1174</f>
        <v>0.1</v>
      </c>
      <c r="K1174" s="6" t="n">
        <f aca="false">G1174*H1174</f>
        <v>1299</v>
      </c>
      <c r="L1174" s="6" t="n">
        <f aca="false">K1174*J1174</f>
        <v>129.9</v>
      </c>
      <c r="M1174" s="6" t="n">
        <f aca="false">K1174-L1174</f>
        <v>1169.1</v>
      </c>
      <c r="N1174" s="6" t="n">
        <f aca="false">G1174*I1174</f>
        <v>750</v>
      </c>
      <c r="O1174" s="6" t="n">
        <f aca="false">M1174-N1174</f>
        <v>419.1</v>
      </c>
      <c r="P1174" s="21" t="n">
        <f aca="false">IFERROR(O1174/M1174,0)</f>
        <v>0.358480882730305</v>
      </c>
      <c r="Q1174" s="6" t="str">
        <f aca="false">Orders!H1174</f>
        <v>Delivered</v>
      </c>
      <c r="R1174" s="1" t="str">
        <f aca="false">INDEX(Customers!$C$2:$C$301,MATCH(C1174,Customers!$A$2:$A$301,0))</f>
        <v>Bhopal</v>
      </c>
      <c r="S1174" s="1" t="str">
        <f aca="false">INDEX(Customers!$E$2:$E$301,MATCH(C1174,Customers!$A$2:$A$301,0))</f>
        <v>Returning</v>
      </c>
      <c r="T1174" s="6" t="str">
        <f aca="false">Orders!I1174</f>
        <v>Mobile App</v>
      </c>
      <c r="U1174" s="1" t="str">
        <f aca="false">IF(Q1174="Delivered","Completed",IF(Q1174="Cancelled","Cancelled",IF(Q1174="Returned","Returned","In Progress")))</f>
        <v>Completed</v>
      </c>
      <c r="V1174" s="1" t="str">
        <f aca="false">IF(M1174&gt;=10000,"High Value",IF(M1174&gt;=5000,"Medium Value","Low Value"))</f>
        <v>Low Value</v>
      </c>
      <c r="W1174" s="1" t="str">
        <f aca="false">IF(O1174&gt;0,"Profitable",IF(O1174=0,"Break-even","Loss"))</f>
        <v>Profitable</v>
      </c>
      <c r="X1174" s="1" t="str">
        <f aca="false">IF(Q1174="Cancelled","Not Applicable",IF(Q1174="Processing","Pending",IF(B1174="","Unknown",IF(Orders!J1174="","Unknown",IF(Orders!J1174&lt;=3,"Fast",IF(Orders!J1174&lt;=6,"Standard","Slow"))))))</f>
        <v>Fast</v>
      </c>
      <c r="Y1174" s="1" t="n">
        <f aca="false">IF(OR(Q1174="Cancelled",Q1174="Returned"),0,O1174)</f>
        <v>419.1</v>
      </c>
    </row>
    <row r="1175" customFormat="false" ht="15" hidden="false" customHeight="false" outlineLevel="0" collapsed="false">
      <c r="A1175" s="6" t="str">
        <f aca="false">Orders!A1175</f>
        <v>O001174</v>
      </c>
      <c r="B1175" s="19" t="n">
        <f aca="false">Orders!B1175</f>
        <v>45814</v>
      </c>
      <c r="C1175" s="6" t="str">
        <f aca="false">Orders!C1175</f>
        <v>C0059</v>
      </c>
      <c r="D1175" s="6" t="str">
        <f aca="false">Orders!D1175</f>
        <v>P1082</v>
      </c>
      <c r="E1175" s="6" t="str">
        <f aca="false">INDEX(Products!$B$2:$B$101,MATCH(D1175,Products!$A$2:$A$101,0))</f>
        <v>File Folder Set</v>
      </c>
      <c r="F1175" s="1" t="str">
        <f aca="false">INDEX(Products!$C$2:$C$101,MATCH(D1175,Products!$A$2:$A$101,0))</f>
        <v>Books &amp; Stationery</v>
      </c>
      <c r="G1175" s="6" t="n">
        <f aca="false">Orders!E1175</f>
        <v>5</v>
      </c>
      <c r="H1175" s="16" t="n">
        <f aca="false">INDEX(Products!$D$2:$D$101,MATCH(D1175,Products!$A$2:$A$101,0))</f>
        <v>249</v>
      </c>
      <c r="I1175" s="16" t="n">
        <f aca="false">INDEX(Products!$E$2:$E$101,MATCH(D1175,Products!$A$2:$A$101,0))</f>
        <v>90</v>
      </c>
      <c r="J1175" s="20" t="n">
        <f aca="false">Orders!F1175</f>
        <v>0</v>
      </c>
      <c r="K1175" s="6" t="n">
        <f aca="false">G1175*H1175</f>
        <v>1245</v>
      </c>
      <c r="L1175" s="6" t="n">
        <f aca="false">K1175*J1175</f>
        <v>0</v>
      </c>
      <c r="M1175" s="6" t="n">
        <f aca="false">K1175-L1175</f>
        <v>1245</v>
      </c>
      <c r="N1175" s="6" t="n">
        <f aca="false">G1175*I1175</f>
        <v>450</v>
      </c>
      <c r="O1175" s="6" t="n">
        <f aca="false">M1175-N1175</f>
        <v>795</v>
      </c>
      <c r="P1175" s="21" t="n">
        <f aca="false">IFERROR(O1175/M1175,0)</f>
        <v>0.63855421686747</v>
      </c>
      <c r="Q1175" s="6" t="str">
        <f aca="false">Orders!H1175</f>
        <v>Delivered</v>
      </c>
      <c r="R1175" s="1" t="str">
        <f aca="false">INDEX(Customers!$C$2:$C$301,MATCH(C1175,Customers!$A$2:$A$301,0))</f>
        <v>Coimbatore</v>
      </c>
      <c r="S1175" s="1" t="str">
        <f aca="false">INDEX(Customers!$E$2:$E$301,MATCH(C1175,Customers!$A$2:$A$301,0))</f>
        <v>Returning</v>
      </c>
      <c r="T1175" s="6" t="str">
        <f aca="false">Orders!I1175</f>
        <v>Mobile App</v>
      </c>
      <c r="U1175" s="1" t="str">
        <f aca="false">IF(Q1175="Delivered","Completed",IF(Q1175="Cancelled","Cancelled",IF(Q1175="Returned","Returned","In Progress")))</f>
        <v>Completed</v>
      </c>
      <c r="V1175" s="1" t="str">
        <f aca="false">IF(M1175&gt;=10000,"High Value",IF(M1175&gt;=5000,"Medium Value","Low Value"))</f>
        <v>Low Value</v>
      </c>
      <c r="W1175" s="1" t="str">
        <f aca="false">IF(O1175&gt;0,"Profitable",IF(O1175=0,"Break-even","Loss"))</f>
        <v>Profitable</v>
      </c>
      <c r="X1175" s="1" t="str">
        <f aca="false">IF(Q1175="Cancelled","Not Applicable",IF(Q1175="Processing","Pending",IF(B1175="","Unknown",IF(Orders!J1175="","Unknown",IF(Orders!J1175&lt;=3,"Fast",IF(Orders!J1175&lt;=6,"Standard","Slow"))))))</f>
        <v>Standard</v>
      </c>
      <c r="Y1175" s="1" t="n">
        <f aca="false">IF(OR(Q1175="Cancelled",Q1175="Returned"),0,O1175)</f>
        <v>795</v>
      </c>
    </row>
    <row r="1176" customFormat="false" ht="15" hidden="false" customHeight="false" outlineLevel="0" collapsed="false">
      <c r="A1176" s="6" t="str">
        <f aca="false">Orders!A1176</f>
        <v>O001175</v>
      </c>
      <c r="B1176" s="19" t="n">
        <f aca="false">Orders!B1176</f>
        <v>45674</v>
      </c>
      <c r="C1176" s="6" t="str">
        <f aca="false">Orders!C1176</f>
        <v>C0076</v>
      </c>
      <c r="D1176" s="6" t="str">
        <f aca="false">Orders!D1176</f>
        <v>P1089</v>
      </c>
      <c r="E1176" s="6" t="str">
        <f aca="false">INDEX(Products!$B$2:$B$101,MATCH(D1176,Products!$A$2:$A$101,0))</f>
        <v>Mixer Grinder</v>
      </c>
      <c r="F1176" s="1" t="str">
        <f aca="false">INDEX(Products!$C$2:$C$101,MATCH(D1176,Products!$A$2:$A$101,0))</f>
        <v>Appliances</v>
      </c>
      <c r="G1176" s="6" t="n">
        <f aca="false">Orders!E1176</f>
        <v>1</v>
      </c>
      <c r="H1176" s="16" t="n">
        <f aca="false">INDEX(Products!$D$2:$D$101,MATCH(D1176,Products!$A$2:$A$101,0))</f>
        <v>2499</v>
      </c>
      <c r="I1176" s="16" t="n">
        <f aca="false">INDEX(Products!$E$2:$E$101,MATCH(D1176,Products!$A$2:$A$101,0))</f>
        <v>1550</v>
      </c>
      <c r="J1176" s="20" t="n">
        <f aca="false">Orders!F1176</f>
        <v>0.15</v>
      </c>
      <c r="K1176" s="6" t="n">
        <f aca="false">G1176*H1176</f>
        <v>2499</v>
      </c>
      <c r="L1176" s="6" t="n">
        <f aca="false">K1176*J1176</f>
        <v>374.85</v>
      </c>
      <c r="M1176" s="6" t="n">
        <f aca="false">K1176-L1176</f>
        <v>2124.15</v>
      </c>
      <c r="N1176" s="6" t="n">
        <f aca="false">G1176*I1176</f>
        <v>1550</v>
      </c>
      <c r="O1176" s="6" t="n">
        <f aca="false">M1176-N1176</f>
        <v>574.15</v>
      </c>
      <c r="P1176" s="21" t="n">
        <f aca="false">IFERROR(O1176/M1176,0)</f>
        <v>0.270296353835652</v>
      </c>
      <c r="Q1176" s="6" t="str">
        <f aca="false">Orders!H1176</f>
        <v>Delivered</v>
      </c>
      <c r="R1176" s="1" t="str">
        <f aca="false">INDEX(Customers!$C$2:$C$301,MATCH(C1176,Customers!$A$2:$A$301,0))</f>
        <v>Chandigarh</v>
      </c>
      <c r="S1176" s="1" t="str">
        <f aca="false">INDEX(Customers!$E$2:$E$301,MATCH(C1176,Customers!$A$2:$A$301,0))</f>
        <v>Returning</v>
      </c>
      <c r="T1176" s="6" t="str">
        <f aca="false">Orders!I1176</f>
        <v>Mobile App</v>
      </c>
      <c r="U1176" s="1" t="str">
        <f aca="false">IF(Q1176="Delivered","Completed",IF(Q1176="Cancelled","Cancelled",IF(Q1176="Returned","Returned","In Progress")))</f>
        <v>Completed</v>
      </c>
      <c r="V1176" s="1" t="str">
        <f aca="false">IF(M1176&gt;=10000,"High Value",IF(M1176&gt;=5000,"Medium Value","Low Value"))</f>
        <v>Low Value</v>
      </c>
      <c r="W1176" s="1" t="str">
        <f aca="false">IF(O1176&gt;0,"Profitable",IF(O1176=0,"Break-even","Loss"))</f>
        <v>Profitable</v>
      </c>
      <c r="X1176" s="1" t="str">
        <f aca="false">IF(Q1176="Cancelled","Not Applicable",IF(Q1176="Processing","Pending",IF(B1176="","Unknown",IF(Orders!J1176="","Unknown",IF(Orders!J1176&lt;=3,"Fast",IF(Orders!J1176&lt;=6,"Standard","Slow"))))))</f>
        <v>Fast</v>
      </c>
      <c r="Y1176" s="1" t="n">
        <f aca="false">IF(OR(Q1176="Cancelled",Q1176="Returned"),0,O1176)</f>
        <v>574.15</v>
      </c>
    </row>
    <row r="1177" customFormat="false" ht="15" hidden="false" customHeight="false" outlineLevel="0" collapsed="false">
      <c r="A1177" s="6" t="str">
        <f aca="false">Orders!A1177</f>
        <v>O001176</v>
      </c>
      <c r="B1177" s="19" t="n">
        <f aca="false">Orders!B1177</f>
        <v>45761</v>
      </c>
      <c r="C1177" s="6" t="str">
        <f aca="false">Orders!C1177</f>
        <v>C0018</v>
      </c>
      <c r="D1177" s="6" t="str">
        <f aca="false">Orders!D1177</f>
        <v>P1043</v>
      </c>
      <c r="E1177" s="6" t="str">
        <f aca="false">INDEX(Products!$B$2:$B$101,MATCH(D1177,Products!$A$2:$A$101,0))</f>
        <v>Kitchen Rack</v>
      </c>
      <c r="F1177" s="1" t="str">
        <f aca="false">INDEX(Products!$C$2:$C$101,MATCH(D1177,Products!$A$2:$A$101,0))</f>
        <v>Home &amp; Kitchen</v>
      </c>
      <c r="G1177" s="6" t="n">
        <f aca="false">Orders!E1177</f>
        <v>2</v>
      </c>
      <c r="H1177" s="16" t="n">
        <f aca="false">INDEX(Products!$D$2:$D$101,MATCH(D1177,Products!$A$2:$A$101,0))</f>
        <v>1299</v>
      </c>
      <c r="I1177" s="16" t="n">
        <f aca="false">INDEX(Products!$E$2:$E$101,MATCH(D1177,Products!$A$2:$A$101,0))</f>
        <v>700</v>
      </c>
      <c r="J1177" s="20" t="n">
        <f aca="false">Orders!F1177</f>
        <v>0.2</v>
      </c>
      <c r="K1177" s="6" t="n">
        <f aca="false">G1177*H1177</f>
        <v>2598</v>
      </c>
      <c r="L1177" s="6" t="n">
        <f aca="false">K1177*J1177</f>
        <v>519.6</v>
      </c>
      <c r="M1177" s="6" t="n">
        <f aca="false">K1177-L1177</f>
        <v>2078.4</v>
      </c>
      <c r="N1177" s="6" t="n">
        <f aca="false">G1177*I1177</f>
        <v>1400</v>
      </c>
      <c r="O1177" s="6" t="n">
        <f aca="false">M1177-N1177</f>
        <v>678.4</v>
      </c>
      <c r="P1177" s="21" t="n">
        <f aca="false">IFERROR(O1177/M1177,0)</f>
        <v>0.326404926866821</v>
      </c>
      <c r="Q1177" s="6" t="str">
        <f aca="false">Orders!H1177</f>
        <v>Delivered</v>
      </c>
      <c r="R1177" s="1" t="str">
        <f aca="false">INDEX(Customers!$C$2:$C$301,MATCH(C1177,Customers!$A$2:$A$301,0))</f>
        <v>Nagpur</v>
      </c>
      <c r="S1177" s="1" t="str">
        <f aca="false">INDEX(Customers!$E$2:$E$301,MATCH(C1177,Customers!$A$2:$A$301,0))</f>
        <v>New</v>
      </c>
      <c r="T1177" s="6" t="str">
        <f aca="false">Orders!I1177</f>
        <v>Website</v>
      </c>
      <c r="U1177" s="1" t="str">
        <f aca="false">IF(Q1177="Delivered","Completed",IF(Q1177="Cancelled","Cancelled",IF(Q1177="Returned","Returned","In Progress")))</f>
        <v>Completed</v>
      </c>
      <c r="V1177" s="1" t="str">
        <f aca="false">IF(M1177&gt;=10000,"High Value",IF(M1177&gt;=5000,"Medium Value","Low Value"))</f>
        <v>Low Value</v>
      </c>
      <c r="W1177" s="1" t="str">
        <f aca="false">IF(O1177&gt;0,"Profitable",IF(O1177=0,"Break-even","Loss"))</f>
        <v>Profitable</v>
      </c>
      <c r="X1177" s="1" t="str">
        <f aca="false">IF(Q1177="Cancelled","Not Applicable",IF(Q1177="Processing","Pending",IF(B1177="","Unknown",IF(Orders!J1177="","Unknown",IF(Orders!J1177&lt;=3,"Fast",IF(Orders!J1177&lt;=6,"Standard","Slow"))))))</f>
        <v>Standard</v>
      </c>
      <c r="Y1177" s="1" t="n">
        <f aca="false">IF(OR(Q1177="Cancelled",Q1177="Returned"),0,O1177)</f>
        <v>678.4</v>
      </c>
    </row>
    <row r="1178" customFormat="false" ht="23.85" hidden="false" customHeight="false" outlineLevel="0" collapsed="false">
      <c r="A1178" s="6" t="str">
        <f aca="false">Orders!A1178</f>
        <v>O001177</v>
      </c>
      <c r="B1178" s="19" t="n">
        <f aca="false">Orders!B1178</f>
        <v>45976</v>
      </c>
      <c r="C1178" s="6" t="str">
        <f aca="false">Orders!C1178</f>
        <v>C0065</v>
      </c>
      <c r="D1178" s="6" t="str">
        <f aca="false">Orders!D1178</f>
        <v>P1053</v>
      </c>
      <c r="E1178" s="6" t="str">
        <f aca="false">INDEX(Products!$B$2:$B$101,MATCH(D1178,Products!$A$2:$A$101,0))</f>
        <v>Makeup Brush Set</v>
      </c>
      <c r="F1178" s="1" t="str">
        <f aca="false">INDEX(Products!$C$2:$C$101,MATCH(D1178,Products!$A$2:$A$101,0))</f>
        <v>Beauty</v>
      </c>
      <c r="G1178" s="6" t="n">
        <f aca="false">Orders!E1178</f>
        <v>3</v>
      </c>
      <c r="H1178" s="16" t="n">
        <f aca="false">INDEX(Products!$D$2:$D$101,MATCH(D1178,Products!$A$2:$A$101,0))</f>
        <v>599</v>
      </c>
      <c r="I1178" s="16" t="n">
        <f aca="false">INDEX(Products!$E$2:$E$101,MATCH(D1178,Products!$A$2:$A$101,0))</f>
        <v>250</v>
      </c>
      <c r="J1178" s="20" t="n">
        <f aca="false">Orders!F1178</f>
        <v>0.15</v>
      </c>
      <c r="K1178" s="6" t="n">
        <f aca="false">G1178*H1178</f>
        <v>1797</v>
      </c>
      <c r="L1178" s="6" t="n">
        <f aca="false">K1178*J1178</f>
        <v>269.55</v>
      </c>
      <c r="M1178" s="6" t="n">
        <f aca="false">K1178-L1178</f>
        <v>1527.45</v>
      </c>
      <c r="N1178" s="6" t="n">
        <f aca="false">G1178*I1178</f>
        <v>750</v>
      </c>
      <c r="O1178" s="6" t="n">
        <f aca="false">M1178-N1178</f>
        <v>777.45</v>
      </c>
      <c r="P1178" s="21" t="n">
        <f aca="false">IFERROR(O1178/M1178,0)</f>
        <v>0.508985564175587</v>
      </c>
      <c r="Q1178" s="6" t="str">
        <f aca="false">Orders!H1178</f>
        <v>Delivered</v>
      </c>
      <c r="R1178" s="1" t="str">
        <f aca="false">INDEX(Customers!$C$2:$C$301,MATCH(C1178,Customers!$A$2:$A$301,0))</f>
        <v>Chennai</v>
      </c>
      <c r="S1178" s="1" t="str">
        <f aca="false">INDEX(Customers!$E$2:$E$301,MATCH(C1178,Customers!$A$2:$A$301,0))</f>
        <v>Returning</v>
      </c>
      <c r="T1178" s="6" t="str">
        <f aca="false">Orders!I1178</f>
        <v>Website</v>
      </c>
      <c r="U1178" s="1" t="str">
        <f aca="false">IF(Q1178="Delivered","Completed",IF(Q1178="Cancelled","Cancelled",IF(Q1178="Returned","Returned","In Progress")))</f>
        <v>Completed</v>
      </c>
      <c r="V1178" s="1" t="str">
        <f aca="false">IF(M1178&gt;=10000,"High Value",IF(M1178&gt;=5000,"Medium Value","Low Value"))</f>
        <v>Low Value</v>
      </c>
      <c r="W1178" s="1" t="str">
        <f aca="false">IF(O1178&gt;0,"Profitable",IF(O1178=0,"Break-even","Loss"))</f>
        <v>Profitable</v>
      </c>
      <c r="X1178" s="1" t="str">
        <f aca="false">IF(Q1178="Cancelled","Not Applicable",IF(Q1178="Processing","Pending",IF(B1178="","Unknown",IF(Orders!J1178="","Unknown",IF(Orders!J1178&lt;=3,"Fast",IF(Orders!J1178&lt;=6,"Standard","Slow"))))))</f>
        <v>Slow</v>
      </c>
      <c r="Y1178" s="1" t="n">
        <f aca="false">IF(OR(Q1178="Cancelled",Q1178="Returned"),0,O1178)</f>
        <v>777.45</v>
      </c>
    </row>
    <row r="1179" customFormat="false" ht="15" hidden="false" customHeight="false" outlineLevel="0" collapsed="false">
      <c r="A1179" s="6" t="str">
        <f aca="false">Orders!A1179</f>
        <v>O001178</v>
      </c>
      <c r="B1179" s="19" t="n">
        <f aca="false">Orders!B1179</f>
        <v>45822</v>
      </c>
      <c r="C1179" s="6" t="str">
        <f aca="false">Orders!C1179</f>
        <v>C0224</v>
      </c>
      <c r="D1179" s="6" t="str">
        <f aca="false">Orders!D1179</f>
        <v>P1087</v>
      </c>
      <c r="E1179" s="6" t="str">
        <f aca="false">INDEX(Products!$B$2:$B$101,MATCH(D1179,Products!$A$2:$A$101,0))</f>
        <v>Book Stand</v>
      </c>
      <c r="F1179" s="1" t="str">
        <f aca="false">INDEX(Products!$C$2:$C$101,MATCH(D1179,Products!$A$2:$A$101,0))</f>
        <v>Books &amp; Stationery</v>
      </c>
      <c r="G1179" s="6" t="n">
        <f aca="false">Orders!E1179</f>
        <v>1</v>
      </c>
      <c r="H1179" s="16" t="n">
        <f aca="false">INDEX(Products!$D$2:$D$101,MATCH(D1179,Products!$A$2:$A$101,0))</f>
        <v>449</v>
      </c>
      <c r="I1179" s="16" t="n">
        <f aca="false">INDEX(Products!$E$2:$E$101,MATCH(D1179,Products!$A$2:$A$101,0))</f>
        <v>200</v>
      </c>
      <c r="J1179" s="20" t="n">
        <f aca="false">Orders!F1179</f>
        <v>0.25</v>
      </c>
      <c r="K1179" s="6" t="n">
        <f aca="false">G1179*H1179</f>
        <v>449</v>
      </c>
      <c r="L1179" s="6" t="n">
        <f aca="false">K1179*J1179</f>
        <v>112.25</v>
      </c>
      <c r="M1179" s="6" t="n">
        <f aca="false">K1179-L1179</f>
        <v>336.75</v>
      </c>
      <c r="N1179" s="6" t="n">
        <f aca="false">G1179*I1179</f>
        <v>200</v>
      </c>
      <c r="O1179" s="6" t="n">
        <f aca="false">M1179-N1179</f>
        <v>136.75</v>
      </c>
      <c r="P1179" s="21" t="n">
        <f aca="false">IFERROR(O1179/M1179,0)</f>
        <v>0.406087602078693</v>
      </c>
      <c r="Q1179" s="6" t="str">
        <f aca="false">Orders!H1179</f>
        <v>Delivered</v>
      </c>
      <c r="R1179" s="1" t="str">
        <f aca="false">INDEX(Customers!$C$2:$C$301,MATCH(C1179,Customers!$A$2:$A$301,0))</f>
        <v>Hyderabad</v>
      </c>
      <c r="S1179" s="1" t="str">
        <f aca="false">INDEX(Customers!$E$2:$E$301,MATCH(C1179,Customers!$A$2:$A$301,0))</f>
        <v>Returning</v>
      </c>
      <c r="T1179" s="6" t="str">
        <f aca="false">Orders!I1179</f>
        <v>Mobile App</v>
      </c>
      <c r="U1179" s="1" t="str">
        <f aca="false">IF(Q1179="Delivered","Completed",IF(Q1179="Cancelled","Cancelled",IF(Q1179="Returned","Returned","In Progress")))</f>
        <v>Completed</v>
      </c>
      <c r="V1179" s="1" t="str">
        <f aca="false">IF(M1179&gt;=10000,"High Value",IF(M1179&gt;=5000,"Medium Value","Low Value"))</f>
        <v>Low Value</v>
      </c>
      <c r="W1179" s="1" t="str">
        <f aca="false">IF(O1179&gt;0,"Profitable",IF(O1179=0,"Break-even","Loss"))</f>
        <v>Profitable</v>
      </c>
      <c r="X1179" s="1" t="str">
        <f aca="false">IF(Q1179="Cancelled","Not Applicable",IF(Q1179="Processing","Pending",IF(B1179="","Unknown",IF(Orders!J1179="","Unknown",IF(Orders!J1179&lt;=3,"Fast",IF(Orders!J1179&lt;=6,"Standard","Slow"))))))</f>
        <v>Fast</v>
      </c>
      <c r="Y1179" s="1" t="n">
        <f aca="false">IF(OR(Q1179="Cancelled",Q1179="Returned"),0,O1179)</f>
        <v>136.75</v>
      </c>
    </row>
    <row r="1180" customFormat="false" ht="15" hidden="false" customHeight="false" outlineLevel="0" collapsed="false">
      <c r="A1180" s="6" t="str">
        <f aca="false">Orders!A1180</f>
        <v>O001179</v>
      </c>
      <c r="B1180" s="19" t="n">
        <f aca="false">Orders!B1180</f>
        <v>46008</v>
      </c>
      <c r="C1180" s="6" t="str">
        <f aca="false">Orders!C1180</f>
        <v>C0066</v>
      </c>
      <c r="D1180" s="6" t="str">
        <f aca="false">Orders!D1180</f>
        <v>P1003</v>
      </c>
      <c r="E1180" s="6" t="str">
        <f aca="false">INDEX(Products!$B$2:$B$101,MATCH(D1180,Products!$A$2:$A$101,0))</f>
        <v>Smart Watch</v>
      </c>
      <c r="F1180" s="1" t="str">
        <f aca="false">INDEX(Products!$C$2:$C$101,MATCH(D1180,Products!$A$2:$A$101,0))</f>
        <v>Electronics</v>
      </c>
      <c r="G1180" s="6" t="n">
        <f aca="false">Orders!E1180</f>
        <v>1</v>
      </c>
      <c r="H1180" s="16" t="n">
        <f aca="false">INDEX(Products!$D$2:$D$101,MATCH(D1180,Products!$A$2:$A$101,0))</f>
        <v>2499</v>
      </c>
      <c r="I1180" s="16" t="n">
        <f aca="false">INDEX(Products!$E$2:$E$101,MATCH(D1180,Products!$A$2:$A$101,0))</f>
        <v>1450</v>
      </c>
      <c r="J1180" s="20" t="n">
        <f aca="false">Orders!F1180</f>
        <v>0.05</v>
      </c>
      <c r="K1180" s="6" t="n">
        <f aca="false">G1180*H1180</f>
        <v>2499</v>
      </c>
      <c r="L1180" s="6" t="n">
        <f aca="false">K1180*J1180</f>
        <v>124.95</v>
      </c>
      <c r="M1180" s="6" t="n">
        <f aca="false">K1180-L1180</f>
        <v>2374.05</v>
      </c>
      <c r="N1180" s="6" t="n">
        <f aca="false">G1180*I1180</f>
        <v>1450</v>
      </c>
      <c r="O1180" s="6" t="n">
        <f aca="false">M1180-N1180</f>
        <v>924.05</v>
      </c>
      <c r="P1180" s="21" t="n">
        <f aca="false">IFERROR(O1180/M1180,0)</f>
        <v>0.389229375960911</v>
      </c>
      <c r="Q1180" s="6" t="str">
        <f aca="false">Orders!H1180</f>
        <v>Delivered</v>
      </c>
      <c r="R1180" s="1" t="str">
        <f aca="false">INDEX(Customers!$C$2:$C$301,MATCH(C1180,Customers!$A$2:$A$301,0))</f>
        <v>Kolkata</v>
      </c>
      <c r="S1180" s="1" t="str">
        <f aca="false">INDEX(Customers!$E$2:$E$301,MATCH(C1180,Customers!$A$2:$A$301,0))</f>
        <v>New</v>
      </c>
      <c r="T1180" s="6" t="str">
        <f aca="false">Orders!I1180</f>
        <v>Mobile App</v>
      </c>
      <c r="U1180" s="1" t="str">
        <f aca="false">IF(Q1180="Delivered","Completed",IF(Q1180="Cancelled","Cancelled",IF(Q1180="Returned","Returned","In Progress")))</f>
        <v>Completed</v>
      </c>
      <c r="V1180" s="1" t="str">
        <f aca="false">IF(M1180&gt;=10000,"High Value",IF(M1180&gt;=5000,"Medium Value","Low Value"))</f>
        <v>Low Value</v>
      </c>
      <c r="W1180" s="1" t="str">
        <f aca="false">IF(O1180&gt;0,"Profitable",IF(O1180=0,"Break-even","Loss"))</f>
        <v>Profitable</v>
      </c>
      <c r="X1180" s="1" t="str">
        <f aca="false">IF(Q1180="Cancelled","Not Applicable",IF(Q1180="Processing","Pending",IF(B1180="","Unknown",IF(Orders!J1180="","Unknown",IF(Orders!J1180&lt;=3,"Fast",IF(Orders!J1180&lt;=6,"Standard","Slow"))))))</f>
        <v>Slow</v>
      </c>
      <c r="Y1180" s="1" t="n">
        <f aca="false">IF(OR(Q1180="Cancelled",Q1180="Returned"),0,O1180)</f>
        <v>924.05</v>
      </c>
    </row>
    <row r="1181" customFormat="false" ht="15" hidden="false" customHeight="false" outlineLevel="0" collapsed="false">
      <c r="A1181" s="6" t="str">
        <f aca="false">Orders!A1181</f>
        <v>O001180</v>
      </c>
      <c r="B1181" s="19" t="n">
        <f aca="false">Orders!B1181</f>
        <v>45916</v>
      </c>
      <c r="C1181" s="6" t="str">
        <f aca="false">Orders!C1181</f>
        <v>C0174</v>
      </c>
      <c r="D1181" s="6" t="str">
        <f aca="false">Orders!D1181</f>
        <v>P1018</v>
      </c>
      <c r="E1181" s="6" t="str">
        <f aca="false">INDEX(Products!$B$2:$B$101,MATCH(D1181,Products!$A$2:$A$101,0))</f>
        <v>Cotton Shirt</v>
      </c>
      <c r="F1181" s="1" t="str">
        <f aca="false">INDEX(Products!$C$2:$C$101,MATCH(D1181,Products!$A$2:$A$101,0))</f>
        <v>Fashion</v>
      </c>
      <c r="G1181" s="6" t="n">
        <f aca="false">Orders!E1181</f>
        <v>1</v>
      </c>
      <c r="H1181" s="16" t="n">
        <f aca="false">INDEX(Products!$D$2:$D$101,MATCH(D1181,Products!$A$2:$A$101,0))</f>
        <v>899</v>
      </c>
      <c r="I1181" s="16" t="n">
        <f aca="false">INDEX(Products!$E$2:$E$101,MATCH(D1181,Products!$A$2:$A$101,0))</f>
        <v>420</v>
      </c>
      <c r="J1181" s="20" t="n">
        <f aca="false">Orders!F1181</f>
        <v>0.1</v>
      </c>
      <c r="K1181" s="6" t="n">
        <f aca="false">G1181*H1181</f>
        <v>899</v>
      </c>
      <c r="L1181" s="6" t="n">
        <f aca="false">K1181*J1181</f>
        <v>89.9</v>
      </c>
      <c r="M1181" s="6" t="n">
        <f aca="false">K1181-L1181</f>
        <v>809.1</v>
      </c>
      <c r="N1181" s="6" t="n">
        <f aca="false">G1181*I1181</f>
        <v>420</v>
      </c>
      <c r="O1181" s="6" t="n">
        <f aca="false">M1181-N1181</f>
        <v>389.1</v>
      </c>
      <c r="P1181" s="21" t="n">
        <f aca="false">IFERROR(O1181/M1181,0)</f>
        <v>0.480904708935855</v>
      </c>
      <c r="Q1181" s="6" t="str">
        <f aca="false">Orders!H1181</f>
        <v>Delivered</v>
      </c>
      <c r="R1181" s="1" t="str">
        <f aca="false">INDEX(Customers!$C$2:$C$301,MATCH(C1181,Customers!$A$2:$A$301,0))</f>
        <v>Indore</v>
      </c>
      <c r="S1181" s="1" t="str">
        <f aca="false">INDEX(Customers!$E$2:$E$301,MATCH(C1181,Customers!$A$2:$A$301,0))</f>
        <v>VIP</v>
      </c>
      <c r="T1181" s="6" t="str">
        <f aca="false">Orders!I1181</f>
        <v>Mobile App</v>
      </c>
      <c r="U1181" s="1" t="str">
        <f aca="false">IF(Q1181="Delivered","Completed",IF(Q1181="Cancelled","Cancelled",IF(Q1181="Returned","Returned","In Progress")))</f>
        <v>Completed</v>
      </c>
      <c r="V1181" s="1" t="str">
        <f aca="false">IF(M1181&gt;=10000,"High Value",IF(M1181&gt;=5000,"Medium Value","Low Value"))</f>
        <v>Low Value</v>
      </c>
      <c r="W1181" s="1" t="str">
        <f aca="false">IF(O1181&gt;0,"Profitable",IF(O1181=0,"Break-even","Loss"))</f>
        <v>Profitable</v>
      </c>
      <c r="X1181" s="1" t="str">
        <f aca="false">IF(Q1181="Cancelled","Not Applicable",IF(Q1181="Processing","Pending",IF(B1181="","Unknown",IF(Orders!J1181="","Unknown",IF(Orders!J1181&lt;=3,"Fast",IF(Orders!J1181&lt;=6,"Standard","Slow"))))))</f>
        <v>Standard</v>
      </c>
      <c r="Y1181" s="1" t="n">
        <f aca="false">IF(OR(Q1181="Cancelled",Q1181="Returned"),0,O1181)</f>
        <v>389.1</v>
      </c>
    </row>
    <row r="1182" customFormat="false" ht="15" hidden="false" customHeight="false" outlineLevel="0" collapsed="false">
      <c r="A1182" s="6" t="str">
        <f aca="false">Orders!A1182</f>
        <v>O001181</v>
      </c>
      <c r="B1182" s="19" t="n">
        <f aca="false">Orders!B1182</f>
        <v>45989</v>
      </c>
      <c r="C1182" s="6" t="str">
        <f aca="false">Orders!C1182</f>
        <v>C0285</v>
      </c>
      <c r="D1182" s="6" t="str">
        <f aca="false">Orders!D1182</f>
        <v>P1097</v>
      </c>
      <c r="E1182" s="6" t="str">
        <f aca="false">INDEX(Products!$B$2:$B$101,MATCH(D1182,Products!$A$2:$A$101,0))</f>
        <v>Vacuum Cleaner</v>
      </c>
      <c r="F1182" s="1" t="str">
        <f aca="false">INDEX(Products!$C$2:$C$101,MATCH(D1182,Products!$A$2:$A$101,0))</f>
        <v>Appliances</v>
      </c>
      <c r="G1182" s="6" t="n">
        <f aca="false">Orders!E1182</f>
        <v>1</v>
      </c>
      <c r="H1182" s="16" t="n">
        <f aca="false">INDEX(Products!$D$2:$D$101,MATCH(D1182,Products!$A$2:$A$101,0))</f>
        <v>3499</v>
      </c>
      <c r="I1182" s="16" t="n">
        <f aca="false">INDEX(Products!$E$2:$E$101,MATCH(D1182,Products!$A$2:$A$101,0))</f>
        <v>2400</v>
      </c>
      <c r="J1182" s="20" t="n">
        <f aca="false">Orders!F1182</f>
        <v>0.05</v>
      </c>
      <c r="K1182" s="6" t="n">
        <f aca="false">G1182*H1182</f>
        <v>3499</v>
      </c>
      <c r="L1182" s="6" t="n">
        <f aca="false">K1182*J1182</f>
        <v>174.95</v>
      </c>
      <c r="M1182" s="6" t="n">
        <f aca="false">K1182-L1182</f>
        <v>3324.05</v>
      </c>
      <c r="N1182" s="6" t="n">
        <f aca="false">G1182*I1182</f>
        <v>2400</v>
      </c>
      <c r="O1182" s="6" t="n">
        <f aca="false">M1182-N1182</f>
        <v>924.05</v>
      </c>
      <c r="P1182" s="21" t="n">
        <f aca="false">IFERROR(O1182/M1182,0)</f>
        <v>0.277989199921782</v>
      </c>
      <c r="Q1182" s="6" t="str">
        <f aca="false">Orders!H1182</f>
        <v>Delivered</v>
      </c>
      <c r="R1182" s="1" t="str">
        <f aca="false">INDEX(Customers!$C$2:$C$301,MATCH(C1182,Customers!$A$2:$A$301,0))</f>
        <v>Chennai</v>
      </c>
      <c r="S1182" s="1" t="str">
        <f aca="false">INDEX(Customers!$E$2:$E$301,MATCH(C1182,Customers!$A$2:$A$301,0))</f>
        <v>New</v>
      </c>
      <c r="T1182" s="6" t="str">
        <f aca="false">Orders!I1182</f>
        <v>Website</v>
      </c>
      <c r="U1182" s="1" t="str">
        <f aca="false">IF(Q1182="Delivered","Completed",IF(Q1182="Cancelled","Cancelled",IF(Q1182="Returned","Returned","In Progress")))</f>
        <v>Completed</v>
      </c>
      <c r="V1182" s="1" t="str">
        <f aca="false">IF(M1182&gt;=10000,"High Value",IF(M1182&gt;=5000,"Medium Value","Low Value"))</f>
        <v>Low Value</v>
      </c>
      <c r="W1182" s="1" t="str">
        <f aca="false">IF(O1182&gt;0,"Profitable",IF(O1182=0,"Break-even","Loss"))</f>
        <v>Profitable</v>
      </c>
      <c r="X1182" s="1" t="str">
        <f aca="false">IF(Q1182="Cancelled","Not Applicable",IF(Q1182="Processing","Pending",IF(B1182="","Unknown",IF(Orders!J1182="","Unknown",IF(Orders!J1182&lt;=3,"Fast",IF(Orders!J1182&lt;=6,"Standard","Slow"))))))</f>
        <v>Standard</v>
      </c>
      <c r="Y1182" s="1" t="n">
        <f aca="false">IF(OR(Q1182="Cancelled",Q1182="Returned"),0,O1182)</f>
        <v>924.05</v>
      </c>
    </row>
    <row r="1183" customFormat="false" ht="15" hidden="false" customHeight="false" outlineLevel="0" collapsed="false">
      <c r="A1183" s="6" t="str">
        <f aca="false">Orders!A1183</f>
        <v>O001182</v>
      </c>
      <c r="B1183" s="19" t="n">
        <f aca="false">Orders!B1183</f>
        <v>45683</v>
      </c>
      <c r="C1183" s="6" t="str">
        <f aca="false">Orders!C1183</f>
        <v>C0250</v>
      </c>
      <c r="D1183" s="6" t="str">
        <f aca="false">Orders!D1183</f>
        <v>P1028</v>
      </c>
      <c r="E1183" s="6" t="str">
        <f aca="false">INDEX(Products!$B$2:$B$101,MATCH(D1183,Products!$A$2:$A$101,0))</f>
        <v>Sneakers</v>
      </c>
      <c r="F1183" s="1" t="str">
        <f aca="false">INDEX(Products!$C$2:$C$101,MATCH(D1183,Products!$A$2:$A$101,0))</f>
        <v>Fashion</v>
      </c>
      <c r="G1183" s="6" t="n">
        <f aca="false">Orders!E1183</f>
        <v>1</v>
      </c>
      <c r="H1183" s="16" t="n">
        <f aca="false">INDEX(Products!$D$2:$D$101,MATCH(D1183,Products!$A$2:$A$101,0))</f>
        <v>1799</v>
      </c>
      <c r="I1183" s="16" t="n">
        <f aca="false">INDEX(Products!$E$2:$E$101,MATCH(D1183,Products!$A$2:$A$101,0))</f>
        <v>950</v>
      </c>
      <c r="J1183" s="20" t="n">
        <f aca="false">Orders!F1183</f>
        <v>0.1</v>
      </c>
      <c r="K1183" s="6" t="n">
        <f aca="false">G1183*H1183</f>
        <v>1799</v>
      </c>
      <c r="L1183" s="6" t="n">
        <f aca="false">K1183*J1183</f>
        <v>179.9</v>
      </c>
      <c r="M1183" s="6" t="n">
        <f aca="false">K1183-L1183</f>
        <v>1619.1</v>
      </c>
      <c r="N1183" s="6" t="n">
        <f aca="false">G1183*I1183</f>
        <v>950</v>
      </c>
      <c r="O1183" s="6" t="n">
        <f aca="false">M1183-N1183</f>
        <v>669.1</v>
      </c>
      <c r="P1183" s="21" t="n">
        <f aca="false">IFERROR(O1183/M1183,0)</f>
        <v>0.413254277067507</v>
      </c>
      <c r="Q1183" s="6" t="str">
        <f aca="false">Orders!H1183</f>
        <v>Delivered</v>
      </c>
      <c r="R1183" s="1" t="str">
        <f aca="false">INDEX(Customers!$C$2:$C$301,MATCH(C1183,Customers!$A$2:$A$301,0))</f>
        <v>Lucknow</v>
      </c>
      <c r="S1183" s="1" t="str">
        <f aca="false">INDEX(Customers!$E$2:$E$301,MATCH(C1183,Customers!$A$2:$A$301,0))</f>
        <v>Returning</v>
      </c>
      <c r="T1183" s="6" t="str">
        <f aca="false">Orders!I1183</f>
        <v>Mobile App</v>
      </c>
      <c r="U1183" s="1" t="str">
        <f aca="false">IF(Q1183="Delivered","Completed",IF(Q1183="Cancelled","Cancelled",IF(Q1183="Returned","Returned","In Progress")))</f>
        <v>Completed</v>
      </c>
      <c r="V1183" s="1" t="str">
        <f aca="false">IF(M1183&gt;=10000,"High Value",IF(M1183&gt;=5000,"Medium Value","Low Value"))</f>
        <v>Low Value</v>
      </c>
      <c r="W1183" s="1" t="str">
        <f aca="false">IF(O1183&gt;0,"Profitable",IF(O1183=0,"Break-even","Loss"))</f>
        <v>Profitable</v>
      </c>
      <c r="X1183" s="1" t="str">
        <f aca="false">IF(Q1183="Cancelled","Not Applicable",IF(Q1183="Processing","Pending",IF(B1183="","Unknown",IF(Orders!J1183="","Unknown",IF(Orders!J1183&lt;=3,"Fast",IF(Orders!J1183&lt;=6,"Standard","Slow"))))))</f>
        <v>Standard</v>
      </c>
      <c r="Y1183" s="1" t="n">
        <f aca="false">IF(OR(Q1183="Cancelled",Q1183="Returned"),0,O1183)</f>
        <v>669.1</v>
      </c>
    </row>
    <row r="1184" customFormat="false" ht="15" hidden="false" customHeight="false" outlineLevel="0" collapsed="false">
      <c r="A1184" s="6" t="str">
        <f aca="false">Orders!A1184</f>
        <v>O001183</v>
      </c>
      <c r="B1184" s="19" t="n">
        <f aca="false">Orders!B1184</f>
        <v>45957</v>
      </c>
      <c r="C1184" s="6" t="str">
        <f aca="false">Orders!C1184</f>
        <v>C0291</v>
      </c>
      <c r="D1184" s="6" t="str">
        <f aca="false">Orders!D1184</f>
        <v>P1082</v>
      </c>
      <c r="E1184" s="6" t="str">
        <f aca="false">INDEX(Products!$B$2:$B$101,MATCH(D1184,Products!$A$2:$A$101,0))</f>
        <v>File Folder Set</v>
      </c>
      <c r="F1184" s="1" t="str">
        <f aca="false">INDEX(Products!$C$2:$C$101,MATCH(D1184,Products!$A$2:$A$101,0))</f>
        <v>Books &amp; Stationery</v>
      </c>
      <c r="G1184" s="6" t="n">
        <f aca="false">Orders!E1184</f>
        <v>4</v>
      </c>
      <c r="H1184" s="16" t="n">
        <f aca="false">INDEX(Products!$D$2:$D$101,MATCH(D1184,Products!$A$2:$A$101,0))</f>
        <v>249</v>
      </c>
      <c r="I1184" s="16" t="n">
        <f aca="false">INDEX(Products!$E$2:$E$101,MATCH(D1184,Products!$A$2:$A$101,0))</f>
        <v>90</v>
      </c>
      <c r="J1184" s="20" t="n">
        <f aca="false">Orders!F1184</f>
        <v>0.1</v>
      </c>
      <c r="K1184" s="6" t="n">
        <f aca="false">G1184*H1184</f>
        <v>996</v>
      </c>
      <c r="L1184" s="6" t="n">
        <f aca="false">K1184*J1184</f>
        <v>99.6</v>
      </c>
      <c r="M1184" s="6" t="n">
        <f aca="false">K1184-L1184</f>
        <v>896.4</v>
      </c>
      <c r="N1184" s="6" t="n">
        <f aca="false">G1184*I1184</f>
        <v>360</v>
      </c>
      <c r="O1184" s="6" t="n">
        <f aca="false">M1184-N1184</f>
        <v>536.4</v>
      </c>
      <c r="P1184" s="21" t="n">
        <f aca="false">IFERROR(O1184/M1184,0)</f>
        <v>0.598393574297189</v>
      </c>
      <c r="Q1184" s="6" t="str">
        <f aca="false">Orders!H1184</f>
        <v>Delivered</v>
      </c>
      <c r="R1184" s="1" t="str">
        <f aca="false">INDEX(Customers!$C$2:$C$301,MATCH(C1184,Customers!$A$2:$A$301,0))</f>
        <v>Gurugram</v>
      </c>
      <c r="S1184" s="1" t="str">
        <f aca="false">INDEX(Customers!$E$2:$E$301,MATCH(C1184,Customers!$A$2:$A$301,0))</f>
        <v>Returning</v>
      </c>
      <c r="T1184" s="6" t="str">
        <f aca="false">Orders!I1184</f>
        <v>Mobile App</v>
      </c>
      <c r="U1184" s="1" t="str">
        <f aca="false">IF(Q1184="Delivered","Completed",IF(Q1184="Cancelled","Cancelled",IF(Q1184="Returned","Returned","In Progress")))</f>
        <v>Completed</v>
      </c>
      <c r="V1184" s="1" t="str">
        <f aca="false">IF(M1184&gt;=10000,"High Value",IF(M1184&gt;=5000,"Medium Value","Low Value"))</f>
        <v>Low Value</v>
      </c>
      <c r="W1184" s="1" t="str">
        <f aca="false">IF(O1184&gt;0,"Profitable",IF(O1184=0,"Break-even","Loss"))</f>
        <v>Profitable</v>
      </c>
      <c r="X1184" s="1" t="str">
        <f aca="false">IF(Q1184="Cancelled","Not Applicable",IF(Q1184="Processing","Pending",IF(B1184="","Unknown",IF(Orders!J1184="","Unknown",IF(Orders!J1184&lt;=3,"Fast",IF(Orders!J1184&lt;=6,"Standard","Slow"))))))</f>
        <v>Standard</v>
      </c>
      <c r="Y1184" s="1" t="n">
        <f aca="false">IF(OR(Q1184="Cancelled",Q1184="Returned"),0,O1184)</f>
        <v>536.4</v>
      </c>
    </row>
    <row r="1185" customFormat="false" ht="15" hidden="false" customHeight="false" outlineLevel="0" collapsed="false">
      <c r="A1185" s="6" t="str">
        <f aca="false">Orders!A1185</f>
        <v>O001184</v>
      </c>
      <c r="B1185" s="19" t="n">
        <f aca="false">Orders!B1185</f>
        <v>45796</v>
      </c>
      <c r="C1185" s="6" t="str">
        <f aca="false">Orders!C1185</f>
        <v>C0247</v>
      </c>
      <c r="D1185" s="6" t="str">
        <f aca="false">Orders!D1185</f>
        <v>P1022</v>
      </c>
      <c r="E1185" s="6" t="str">
        <f aca="false">INDEX(Products!$B$2:$B$101,MATCH(D1185,Products!$A$2:$A$101,0))</f>
        <v>Wallet</v>
      </c>
      <c r="F1185" s="1" t="str">
        <f aca="false">INDEX(Products!$C$2:$C$101,MATCH(D1185,Products!$A$2:$A$101,0))</f>
        <v>Fashion</v>
      </c>
      <c r="G1185" s="6" t="n">
        <f aca="false">Orders!E1185</f>
        <v>4</v>
      </c>
      <c r="H1185" s="16" t="n">
        <f aca="false">INDEX(Products!$D$2:$D$101,MATCH(D1185,Products!$A$2:$A$101,0))</f>
        <v>499</v>
      </c>
      <c r="I1185" s="16" t="n">
        <f aca="false">INDEX(Products!$E$2:$E$101,MATCH(D1185,Products!$A$2:$A$101,0))</f>
        <v>200</v>
      </c>
      <c r="J1185" s="20" t="n">
        <f aca="false">Orders!F1185</f>
        <v>0.2</v>
      </c>
      <c r="K1185" s="6" t="n">
        <f aca="false">G1185*H1185</f>
        <v>1996</v>
      </c>
      <c r="L1185" s="6" t="n">
        <f aca="false">K1185*J1185</f>
        <v>399.2</v>
      </c>
      <c r="M1185" s="6" t="n">
        <f aca="false">K1185-L1185</f>
        <v>1596.8</v>
      </c>
      <c r="N1185" s="6" t="n">
        <f aca="false">G1185*I1185</f>
        <v>800</v>
      </c>
      <c r="O1185" s="6" t="n">
        <f aca="false">M1185-N1185</f>
        <v>796.8</v>
      </c>
      <c r="P1185" s="21" t="n">
        <f aca="false">IFERROR(O1185/M1185,0)</f>
        <v>0.498997995991984</v>
      </c>
      <c r="Q1185" s="6" t="str">
        <f aca="false">Orders!H1185</f>
        <v>Delivered</v>
      </c>
      <c r="R1185" s="1" t="str">
        <f aca="false">INDEX(Customers!$C$2:$C$301,MATCH(C1185,Customers!$A$2:$A$301,0))</f>
        <v>Pune</v>
      </c>
      <c r="S1185" s="1" t="str">
        <f aca="false">INDEX(Customers!$E$2:$E$301,MATCH(C1185,Customers!$A$2:$A$301,0))</f>
        <v>Returning</v>
      </c>
      <c r="T1185" s="6" t="str">
        <f aca="false">Orders!I1185</f>
        <v>Marketplace</v>
      </c>
      <c r="U1185" s="1" t="str">
        <f aca="false">IF(Q1185="Delivered","Completed",IF(Q1185="Cancelled","Cancelled",IF(Q1185="Returned","Returned","In Progress")))</f>
        <v>Completed</v>
      </c>
      <c r="V1185" s="1" t="str">
        <f aca="false">IF(M1185&gt;=10000,"High Value",IF(M1185&gt;=5000,"Medium Value","Low Value"))</f>
        <v>Low Value</v>
      </c>
      <c r="W1185" s="1" t="str">
        <f aca="false">IF(O1185&gt;0,"Profitable",IF(O1185=0,"Break-even","Loss"))</f>
        <v>Profitable</v>
      </c>
      <c r="X1185" s="1" t="str">
        <f aca="false">IF(Q1185="Cancelled","Not Applicable",IF(Q1185="Processing","Pending",IF(B1185="","Unknown",IF(Orders!J1185="","Unknown",IF(Orders!J1185&lt;=3,"Fast",IF(Orders!J1185&lt;=6,"Standard","Slow"))))))</f>
        <v>Standard</v>
      </c>
      <c r="Y1185" s="1" t="n">
        <f aca="false">IF(OR(Q1185="Cancelled",Q1185="Returned"),0,O1185)</f>
        <v>796.8</v>
      </c>
    </row>
    <row r="1186" customFormat="false" ht="15" hidden="false" customHeight="false" outlineLevel="0" collapsed="false">
      <c r="A1186" s="6" t="str">
        <f aca="false">Orders!A1186</f>
        <v>O001185</v>
      </c>
      <c r="B1186" s="19" t="n">
        <f aca="false">Orders!B1186</f>
        <v>45868</v>
      </c>
      <c r="C1186" s="6" t="str">
        <f aca="false">Orders!C1186</f>
        <v>C0225</v>
      </c>
      <c r="D1186" s="6" t="str">
        <f aca="false">Orders!D1186</f>
        <v>P1088</v>
      </c>
      <c r="E1186" s="6" t="str">
        <f aca="false">INDEX(Products!$B$2:$B$101,MATCH(D1186,Products!$A$2:$A$101,0))</f>
        <v>Electric Kettle</v>
      </c>
      <c r="F1186" s="1" t="str">
        <f aca="false">INDEX(Products!$C$2:$C$101,MATCH(D1186,Products!$A$2:$A$101,0))</f>
        <v>Appliances</v>
      </c>
      <c r="G1186" s="6" t="n">
        <f aca="false">Orders!E1186</f>
        <v>1</v>
      </c>
      <c r="H1186" s="16" t="n">
        <f aca="false">INDEX(Products!$D$2:$D$101,MATCH(D1186,Products!$A$2:$A$101,0))</f>
        <v>1299</v>
      </c>
      <c r="I1186" s="16" t="n">
        <f aca="false">INDEX(Products!$E$2:$E$101,MATCH(D1186,Products!$A$2:$A$101,0))</f>
        <v>750</v>
      </c>
      <c r="J1186" s="20" t="n">
        <f aca="false">Orders!F1186</f>
        <v>0</v>
      </c>
      <c r="K1186" s="6" t="n">
        <f aca="false">G1186*H1186</f>
        <v>1299</v>
      </c>
      <c r="L1186" s="6" t="n">
        <f aca="false">K1186*J1186</f>
        <v>0</v>
      </c>
      <c r="M1186" s="6" t="n">
        <f aca="false">K1186-L1186</f>
        <v>1299</v>
      </c>
      <c r="N1186" s="6" t="n">
        <f aca="false">G1186*I1186</f>
        <v>750</v>
      </c>
      <c r="O1186" s="6" t="n">
        <f aca="false">M1186-N1186</f>
        <v>549</v>
      </c>
      <c r="P1186" s="21" t="n">
        <f aca="false">IFERROR(O1186/M1186,0)</f>
        <v>0.422632794457275</v>
      </c>
      <c r="Q1186" s="6" t="str">
        <f aca="false">Orders!H1186</f>
        <v>Shipped</v>
      </c>
      <c r="R1186" s="1" t="str">
        <f aca="false">INDEX(Customers!$C$2:$C$301,MATCH(C1186,Customers!$A$2:$A$301,0))</f>
        <v>Chennai</v>
      </c>
      <c r="S1186" s="1" t="str">
        <f aca="false">INDEX(Customers!$E$2:$E$301,MATCH(C1186,Customers!$A$2:$A$301,0))</f>
        <v>Returning</v>
      </c>
      <c r="T1186" s="6" t="str">
        <f aca="false">Orders!I1186</f>
        <v>Mobile App</v>
      </c>
      <c r="U1186" s="1" t="str">
        <f aca="false">IF(Q1186="Delivered","Completed",IF(Q1186="Cancelled","Cancelled",IF(Q1186="Returned","Returned","In Progress")))</f>
        <v>In Progress</v>
      </c>
      <c r="V1186" s="1" t="str">
        <f aca="false">IF(M1186&gt;=10000,"High Value",IF(M1186&gt;=5000,"Medium Value","Low Value"))</f>
        <v>Low Value</v>
      </c>
      <c r="W1186" s="1" t="str">
        <f aca="false">IF(O1186&gt;0,"Profitable",IF(O1186=0,"Break-even","Loss"))</f>
        <v>Profitable</v>
      </c>
      <c r="X1186" s="1" t="str">
        <f aca="false">IF(Q1186="Cancelled","Not Applicable",IF(Q1186="Processing","Pending",IF(B1186="","Unknown",IF(Orders!J1186="","Unknown",IF(Orders!J1186&lt;=3,"Fast",IF(Orders!J1186&lt;=6,"Standard","Slow"))))))</f>
        <v>Slow</v>
      </c>
      <c r="Y1186" s="1" t="n">
        <f aca="false">IF(OR(Q1186="Cancelled",Q1186="Returned"),0,O1186)</f>
        <v>549</v>
      </c>
    </row>
    <row r="1187" customFormat="false" ht="15" hidden="false" customHeight="false" outlineLevel="0" collapsed="false">
      <c r="A1187" s="6" t="str">
        <f aca="false">Orders!A1187</f>
        <v>O001186</v>
      </c>
      <c r="B1187" s="19" t="n">
        <f aca="false">Orders!B1187</f>
        <v>45785</v>
      </c>
      <c r="C1187" s="6" t="str">
        <f aca="false">Orders!C1187</f>
        <v>C0290</v>
      </c>
      <c r="D1187" s="6" t="str">
        <f aca="false">Orders!D1187</f>
        <v>P1009</v>
      </c>
      <c r="E1187" s="6" t="str">
        <f aca="false">INDEX(Products!$B$2:$B$101,MATCH(D1187,Products!$A$2:$A$101,0))</f>
        <v>Laptop Sleeve</v>
      </c>
      <c r="F1187" s="1" t="str">
        <f aca="false">INDEX(Products!$C$2:$C$101,MATCH(D1187,Products!$A$2:$A$101,0))</f>
        <v>Electronics</v>
      </c>
      <c r="G1187" s="6" t="n">
        <f aca="false">Orders!E1187</f>
        <v>4</v>
      </c>
      <c r="H1187" s="16" t="n">
        <f aca="false">INDEX(Products!$D$2:$D$101,MATCH(D1187,Products!$A$2:$A$101,0))</f>
        <v>799</v>
      </c>
      <c r="I1187" s="16" t="n">
        <f aca="false">INDEX(Products!$E$2:$E$101,MATCH(D1187,Products!$A$2:$A$101,0))</f>
        <v>350</v>
      </c>
      <c r="J1187" s="20" t="n">
        <f aca="false">Orders!F1187</f>
        <v>0</v>
      </c>
      <c r="K1187" s="6" t="n">
        <f aca="false">G1187*H1187</f>
        <v>3196</v>
      </c>
      <c r="L1187" s="6" t="n">
        <f aca="false">K1187*J1187</f>
        <v>0</v>
      </c>
      <c r="M1187" s="6" t="n">
        <f aca="false">K1187-L1187</f>
        <v>3196</v>
      </c>
      <c r="N1187" s="6" t="n">
        <f aca="false">G1187*I1187</f>
        <v>1400</v>
      </c>
      <c r="O1187" s="6" t="n">
        <f aca="false">M1187-N1187</f>
        <v>1796</v>
      </c>
      <c r="P1187" s="21" t="n">
        <f aca="false">IFERROR(O1187/M1187,0)</f>
        <v>0.561952440550688</v>
      </c>
      <c r="Q1187" s="6" t="str">
        <f aca="false">Orders!H1187</f>
        <v>Delivered</v>
      </c>
      <c r="R1187" s="1" t="str">
        <f aca="false">INDEX(Customers!$C$2:$C$301,MATCH(C1187,Customers!$A$2:$A$301,0))</f>
        <v>Lucknow</v>
      </c>
      <c r="S1187" s="1" t="str">
        <f aca="false">INDEX(Customers!$E$2:$E$301,MATCH(C1187,Customers!$A$2:$A$301,0))</f>
        <v>Returning</v>
      </c>
      <c r="T1187" s="6" t="str">
        <f aca="false">Orders!I1187</f>
        <v>Mobile App</v>
      </c>
      <c r="U1187" s="1" t="str">
        <f aca="false">IF(Q1187="Delivered","Completed",IF(Q1187="Cancelled","Cancelled",IF(Q1187="Returned","Returned","In Progress")))</f>
        <v>Completed</v>
      </c>
      <c r="V1187" s="1" t="str">
        <f aca="false">IF(M1187&gt;=10000,"High Value",IF(M1187&gt;=5000,"Medium Value","Low Value"))</f>
        <v>Low Value</v>
      </c>
      <c r="W1187" s="1" t="str">
        <f aca="false">IF(O1187&gt;0,"Profitable",IF(O1187=0,"Break-even","Loss"))</f>
        <v>Profitable</v>
      </c>
      <c r="X1187" s="1" t="str">
        <f aca="false">IF(Q1187="Cancelled","Not Applicable",IF(Q1187="Processing","Pending",IF(B1187="","Unknown",IF(Orders!J1187="","Unknown",IF(Orders!J1187&lt;=3,"Fast",IF(Orders!J1187&lt;=6,"Standard","Slow"))))))</f>
        <v>Slow</v>
      </c>
      <c r="Y1187" s="1" t="n">
        <f aca="false">IF(OR(Q1187="Cancelled",Q1187="Returned"),0,O1187)</f>
        <v>1796</v>
      </c>
    </row>
    <row r="1188" customFormat="false" ht="15" hidden="false" customHeight="false" outlineLevel="0" collapsed="false">
      <c r="A1188" s="6" t="str">
        <f aca="false">Orders!A1188</f>
        <v>O001187</v>
      </c>
      <c r="B1188" s="19" t="n">
        <f aca="false">Orders!B1188</f>
        <v>45666</v>
      </c>
      <c r="C1188" s="6" t="str">
        <f aca="false">Orders!C1188</f>
        <v>C0256</v>
      </c>
      <c r="D1188" s="6" t="str">
        <f aca="false">Orders!D1188</f>
        <v>P1022</v>
      </c>
      <c r="E1188" s="6" t="str">
        <f aca="false">INDEX(Products!$B$2:$B$101,MATCH(D1188,Products!$A$2:$A$101,0))</f>
        <v>Wallet</v>
      </c>
      <c r="F1188" s="1" t="str">
        <f aca="false">INDEX(Products!$C$2:$C$101,MATCH(D1188,Products!$A$2:$A$101,0))</f>
        <v>Fashion</v>
      </c>
      <c r="G1188" s="6" t="n">
        <f aca="false">Orders!E1188</f>
        <v>2</v>
      </c>
      <c r="H1188" s="16" t="n">
        <f aca="false">INDEX(Products!$D$2:$D$101,MATCH(D1188,Products!$A$2:$A$101,0))</f>
        <v>499</v>
      </c>
      <c r="I1188" s="16" t="n">
        <f aca="false">INDEX(Products!$E$2:$E$101,MATCH(D1188,Products!$A$2:$A$101,0))</f>
        <v>200</v>
      </c>
      <c r="J1188" s="20" t="n">
        <f aca="false">Orders!F1188</f>
        <v>0.05</v>
      </c>
      <c r="K1188" s="6" t="n">
        <f aca="false">G1188*H1188</f>
        <v>998</v>
      </c>
      <c r="L1188" s="6" t="n">
        <f aca="false">K1188*J1188</f>
        <v>49.9</v>
      </c>
      <c r="M1188" s="6" t="n">
        <f aca="false">K1188-L1188</f>
        <v>948.1</v>
      </c>
      <c r="N1188" s="6" t="n">
        <f aca="false">G1188*I1188</f>
        <v>400</v>
      </c>
      <c r="O1188" s="6" t="n">
        <f aca="false">M1188-N1188</f>
        <v>548.1</v>
      </c>
      <c r="P1188" s="21" t="n">
        <f aca="false">IFERROR(O1188/M1188,0)</f>
        <v>0.578103575572197</v>
      </c>
      <c r="Q1188" s="6" t="str">
        <f aca="false">Orders!H1188</f>
        <v>Shipped</v>
      </c>
      <c r="R1188" s="1" t="str">
        <f aca="false">INDEX(Customers!$C$2:$C$301,MATCH(C1188,Customers!$A$2:$A$301,0))</f>
        <v>Chandigarh</v>
      </c>
      <c r="S1188" s="1" t="str">
        <f aca="false">INDEX(Customers!$E$2:$E$301,MATCH(C1188,Customers!$A$2:$A$301,0))</f>
        <v>VIP</v>
      </c>
      <c r="T1188" s="6" t="str">
        <f aca="false">Orders!I1188</f>
        <v>Marketplace</v>
      </c>
      <c r="U1188" s="1" t="str">
        <f aca="false">IF(Q1188="Delivered","Completed",IF(Q1188="Cancelled","Cancelled",IF(Q1188="Returned","Returned","In Progress")))</f>
        <v>In Progress</v>
      </c>
      <c r="V1188" s="1" t="str">
        <f aca="false">IF(M1188&gt;=10000,"High Value",IF(M1188&gt;=5000,"Medium Value","Low Value"))</f>
        <v>Low Value</v>
      </c>
      <c r="W1188" s="1" t="str">
        <f aca="false">IF(O1188&gt;0,"Profitable",IF(O1188=0,"Break-even","Loss"))</f>
        <v>Profitable</v>
      </c>
      <c r="X1188" s="1" t="str">
        <f aca="false">IF(Q1188="Cancelled","Not Applicable",IF(Q1188="Processing","Pending",IF(B1188="","Unknown",IF(Orders!J1188="","Unknown",IF(Orders!J1188&lt;=3,"Fast",IF(Orders!J1188&lt;=6,"Standard","Slow"))))))</f>
        <v>Standard</v>
      </c>
      <c r="Y1188" s="1" t="n">
        <f aca="false">IF(OR(Q1188="Cancelled",Q1188="Returned"),0,O1188)</f>
        <v>548.1</v>
      </c>
    </row>
    <row r="1189" customFormat="false" ht="15" hidden="false" customHeight="false" outlineLevel="0" collapsed="false">
      <c r="A1189" s="6" t="str">
        <f aca="false">Orders!A1189</f>
        <v>O001188</v>
      </c>
      <c r="B1189" s="19" t="n">
        <f aca="false">Orders!B1189</f>
        <v>45973</v>
      </c>
      <c r="C1189" s="6" t="str">
        <f aca="false">Orders!C1189</f>
        <v>C0080</v>
      </c>
      <c r="D1189" s="6" t="str">
        <f aca="false">Orders!D1189</f>
        <v>P1016</v>
      </c>
      <c r="E1189" s="6" t="str">
        <f aca="false">INDEX(Products!$B$2:$B$101,MATCH(D1189,Products!$A$2:$A$101,0))</f>
        <v>Casual T-Shirt</v>
      </c>
      <c r="F1189" s="1" t="str">
        <f aca="false">INDEX(Products!$C$2:$C$101,MATCH(D1189,Products!$A$2:$A$101,0))</f>
        <v>Fashion</v>
      </c>
      <c r="G1189" s="6" t="n">
        <f aca="false">Orders!E1189</f>
        <v>1</v>
      </c>
      <c r="H1189" s="16" t="n">
        <f aca="false">INDEX(Products!$D$2:$D$101,MATCH(D1189,Products!$A$2:$A$101,0))</f>
        <v>499</v>
      </c>
      <c r="I1189" s="16" t="n">
        <f aca="false">INDEX(Products!$E$2:$E$101,MATCH(D1189,Products!$A$2:$A$101,0))</f>
        <v>220</v>
      </c>
      <c r="J1189" s="20" t="n">
        <f aca="false">Orders!F1189</f>
        <v>0.1</v>
      </c>
      <c r="K1189" s="6" t="n">
        <f aca="false">G1189*H1189</f>
        <v>499</v>
      </c>
      <c r="L1189" s="6" t="n">
        <f aca="false">K1189*J1189</f>
        <v>49.9</v>
      </c>
      <c r="M1189" s="6" t="n">
        <f aca="false">K1189-L1189</f>
        <v>449.1</v>
      </c>
      <c r="N1189" s="6" t="n">
        <f aca="false">G1189*I1189</f>
        <v>220</v>
      </c>
      <c r="O1189" s="6" t="n">
        <f aca="false">M1189-N1189</f>
        <v>229.1</v>
      </c>
      <c r="P1189" s="21" t="n">
        <f aca="false">IFERROR(O1189/M1189,0)</f>
        <v>0.510131373858829</v>
      </c>
      <c r="Q1189" s="6" t="str">
        <f aca="false">Orders!H1189</f>
        <v>Processing</v>
      </c>
      <c r="R1189" s="1" t="str">
        <f aca="false">INDEX(Customers!$C$2:$C$301,MATCH(C1189,Customers!$A$2:$A$301,0))</f>
        <v>Visakhapatnam</v>
      </c>
      <c r="S1189" s="1" t="str">
        <f aca="false">INDEX(Customers!$E$2:$E$301,MATCH(C1189,Customers!$A$2:$A$301,0))</f>
        <v>New</v>
      </c>
      <c r="T1189" s="6" t="str">
        <f aca="false">Orders!I1189</f>
        <v>Mobile App</v>
      </c>
      <c r="U1189" s="1" t="str">
        <f aca="false">IF(Q1189="Delivered","Completed",IF(Q1189="Cancelled","Cancelled",IF(Q1189="Returned","Returned","In Progress")))</f>
        <v>In Progress</v>
      </c>
      <c r="V1189" s="1" t="str">
        <f aca="false">IF(M1189&gt;=10000,"High Value",IF(M1189&gt;=5000,"Medium Value","Low Value"))</f>
        <v>Low Value</v>
      </c>
      <c r="W1189" s="1" t="str">
        <f aca="false">IF(O1189&gt;0,"Profitable",IF(O1189=0,"Break-even","Loss"))</f>
        <v>Profitable</v>
      </c>
      <c r="X1189" s="1" t="str">
        <f aca="false">IF(Q1189="Cancelled","Not Applicable",IF(Q1189="Processing","Pending",IF(B1189="","Unknown",IF(Orders!J1189="","Unknown",IF(Orders!J1189&lt;=3,"Fast",IF(Orders!J1189&lt;=6,"Standard","Slow"))))))</f>
        <v>Pending</v>
      </c>
      <c r="Y1189" s="1" t="n">
        <f aca="false">IF(OR(Q1189="Cancelled",Q1189="Returned"),0,O1189)</f>
        <v>229.1</v>
      </c>
    </row>
    <row r="1190" customFormat="false" ht="15" hidden="false" customHeight="false" outlineLevel="0" collapsed="false">
      <c r="A1190" s="6" t="str">
        <f aca="false">Orders!A1190</f>
        <v>O001189</v>
      </c>
      <c r="B1190" s="19" t="n">
        <f aca="false">Orders!B1190</f>
        <v>45928</v>
      </c>
      <c r="C1190" s="6" t="str">
        <f aca="false">Orders!C1190</f>
        <v>C0064</v>
      </c>
      <c r="D1190" s="6" t="str">
        <f aca="false">Orders!D1190</f>
        <v>P1009</v>
      </c>
      <c r="E1190" s="6" t="str">
        <f aca="false">INDEX(Products!$B$2:$B$101,MATCH(D1190,Products!$A$2:$A$101,0))</f>
        <v>Laptop Sleeve</v>
      </c>
      <c r="F1190" s="1" t="str">
        <f aca="false">INDEX(Products!$C$2:$C$101,MATCH(D1190,Products!$A$2:$A$101,0))</f>
        <v>Electronics</v>
      </c>
      <c r="G1190" s="6" t="n">
        <f aca="false">Orders!E1190</f>
        <v>2</v>
      </c>
      <c r="H1190" s="16" t="n">
        <f aca="false">INDEX(Products!$D$2:$D$101,MATCH(D1190,Products!$A$2:$A$101,0))</f>
        <v>799</v>
      </c>
      <c r="I1190" s="16" t="n">
        <f aca="false">INDEX(Products!$E$2:$E$101,MATCH(D1190,Products!$A$2:$A$101,0))</f>
        <v>350</v>
      </c>
      <c r="J1190" s="20" t="n">
        <f aca="false">Orders!F1190</f>
        <v>0.05</v>
      </c>
      <c r="K1190" s="6" t="n">
        <f aca="false">G1190*H1190</f>
        <v>1598</v>
      </c>
      <c r="L1190" s="6" t="n">
        <f aca="false">K1190*J1190</f>
        <v>79.9</v>
      </c>
      <c r="M1190" s="6" t="n">
        <f aca="false">K1190-L1190</f>
        <v>1518.1</v>
      </c>
      <c r="N1190" s="6" t="n">
        <f aca="false">G1190*I1190</f>
        <v>700</v>
      </c>
      <c r="O1190" s="6" t="n">
        <f aca="false">M1190-N1190</f>
        <v>818.1</v>
      </c>
      <c r="P1190" s="21" t="n">
        <f aca="false">IFERROR(O1190/M1190,0)</f>
        <v>0.53889730584283</v>
      </c>
      <c r="Q1190" s="6" t="str">
        <f aca="false">Orders!H1190</f>
        <v>Delivered</v>
      </c>
      <c r="R1190" s="1" t="str">
        <f aca="false">INDEX(Customers!$C$2:$C$301,MATCH(C1190,Customers!$A$2:$A$301,0))</f>
        <v>Hyderabad</v>
      </c>
      <c r="S1190" s="1" t="str">
        <f aca="false">INDEX(Customers!$E$2:$E$301,MATCH(C1190,Customers!$A$2:$A$301,0))</f>
        <v>Returning</v>
      </c>
      <c r="T1190" s="6" t="str">
        <f aca="false">Orders!I1190</f>
        <v>Mobile App</v>
      </c>
      <c r="U1190" s="1" t="str">
        <f aca="false">IF(Q1190="Delivered","Completed",IF(Q1190="Cancelled","Cancelled",IF(Q1190="Returned","Returned","In Progress")))</f>
        <v>Completed</v>
      </c>
      <c r="V1190" s="1" t="str">
        <f aca="false">IF(M1190&gt;=10000,"High Value",IF(M1190&gt;=5000,"Medium Value","Low Value"))</f>
        <v>Low Value</v>
      </c>
      <c r="W1190" s="1" t="str">
        <f aca="false">IF(O1190&gt;0,"Profitable",IF(O1190=0,"Break-even","Loss"))</f>
        <v>Profitable</v>
      </c>
      <c r="X1190" s="1" t="str">
        <f aca="false">IF(Q1190="Cancelled","Not Applicable",IF(Q1190="Processing","Pending",IF(B1190="","Unknown",IF(Orders!J1190="","Unknown",IF(Orders!J1190&lt;=3,"Fast",IF(Orders!J1190&lt;=6,"Standard","Slow"))))))</f>
        <v>Fast</v>
      </c>
      <c r="Y1190" s="1" t="n">
        <f aca="false">IF(OR(Q1190="Cancelled",Q1190="Returned"),0,O1190)</f>
        <v>818.1</v>
      </c>
    </row>
    <row r="1191" customFormat="false" ht="15" hidden="false" customHeight="false" outlineLevel="0" collapsed="false">
      <c r="A1191" s="6" t="str">
        <f aca="false">Orders!A1191</f>
        <v>O001190</v>
      </c>
      <c r="B1191" s="19" t="n">
        <f aca="false">Orders!B1191</f>
        <v>45942</v>
      </c>
      <c r="C1191" s="6" t="str">
        <f aca="false">Orders!C1191</f>
        <v>C0239</v>
      </c>
      <c r="D1191" s="6" t="str">
        <f aca="false">Orders!D1191</f>
        <v>P1048</v>
      </c>
      <c r="E1191" s="6" t="str">
        <f aca="false">INDEX(Products!$B$2:$B$101,MATCH(D1191,Products!$A$2:$A$101,0))</f>
        <v>Shampoo</v>
      </c>
      <c r="F1191" s="1" t="str">
        <f aca="false">INDEX(Products!$C$2:$C$101,MATCH(D1191,Products!$A$2:$A$101,0))</f>
        <v>Beauty</v>
      </c>
      <c r="G1191" s="6" t="n">
        <f aca="false">Orders!E1191</f>
        <v>1</v>
      </c>
      <c r="H1191" s="16" t="n">
        <f aca="false">INDEX(Products!$D$2:$D$101,MATCH(D1191,Products!$A$2:$A$101,0))</f>
        <v>349</v>
      </c>
      <c r="I1191" s="16" t="n">
        <f aca="false">INDEX(Products!$E$2:$E$101,MATCH(D1191,Products!$A$2:$A$101,0))</f>
        <v>150</v>
      </c>
      <c r="J1191" s="20" t="n">
        <f aca="false">Orders!F1191</f>
        <v>0.2</v>
      </c>
      <c r="K1191" s="6" t="n">
        <f aca="false">G1191*H1191</f>
        <v>349</v>
      </c>
      <c r="L1191" s="6" t="n">
        <f aca="false">K1191*J1191</f>
        <v>69.8</v>
      </c>
      <c r="M1191" s="6" t="n">
        <f aca="false">K1191-L1191</f>
        <v>279.2</v>
      </c>
      <c r="N1191" s="6" t="n">
        <f aca="false">G1191*I1191</f>
        <v>150</v>
      </c>
      <c r="O1191" s="6" t="n">
        <f aca="false">M1191-N1191</f>
        <v>129.2</v>
      </c>
      <c r="P1191" s="21" t="n">
        <f aca="false">IFERROR(O1191/M1191,0)</f>
        <v>0.462750716332378</v>
      </c>
      <c r="Q1191" s="6" t="str">
        <f aca="false">Orders!H1191</f>
        <v>Delivered</v>
      </c>
      <c r="R1191" s="1" t="str">
        <f aca="false">INDEX(Customers!$C$2:$C$301,MATCH(C1191,Customers!$A$2:$A$301,0))</f>
        <v>Coimbatore</v>
      </c>
      <c r="S1191" s="1" t="str">
        <f aca="false">INDEX(Customers!$E$2:$E$301,MATCH(C1191,Customers!$A$2:$A$301,0))</f>
        <v>New</v>
      </c>
      <c r="T1191" s="6" t="str">
        <f aca="false">Orders!I1191</f>
        <v>Mobile App</v>
      </c>
      <c r="U1191" s="1" t="str">
        <f aca="false">IF(Q1191="Delivered","Completed",IF(Q1191="Cancelled","Cancelled",IF(Q1191="Returned","Returned","In Progress")))</f>
        <v>Completed</v>
      </c>
      <c r="V1191" s="1" t="str">
        <f aca="false">IF(M1191&gt;=10000,"High Value",IF(M1191&gt;=5000,"Medium Value","Low Value"))</f>
        <v>Low Value</v>
      </c>
      <c r="W1191" s="1" t="str">
        <f aca="false">IF(O1191&gt;0,"Profitable",IF(O1191=0,"Break-even","Loss"))</f>
        <v>Profitable</v>
      </c>
      <c r="X1191" s="1" t="str">
        <f aca="false">IF(Q1191="Cancelled","Not Applicable",IF(Q1191="Processing","Pending",IF(B1191="","Unknown",IF(Orders!J1191="","Unknown",IF(Orders!J1191&lt;=3,"Fast",IF(Orders!J1191&lt;=6,"Standard","Slow"))))))</f>
        <v>Slow</v>
      </c>
      <c r="Y1191" s="1" t="n">
        <f aca="false">IF(OR(Q1191="Cancelled",Q1191="Returned"),0,O1191)</f>
        <v>129.2</v>
      </c>
    </row>
    <row r="1192" customFormat="false" ht="15" hidden="false" customHeight="false" outlineLevel="0" collapsed="false">
      <c r="A1192" s="6" t="str">
        <f aca="false">Orders!A1192</f>
        <v>O001191</v>
      </c>
      <c r="B1192" s="19" t="n">
        <f aca="false">Orders!B1192</f>
        <v>46004</v>
      </c>
      <c r="C1192" s="6" t="str">
        <f aca="false">Orders!C1192</f>
        <v>C0164</v>
      </c>
      <c r="D1192" s="6" t="str">
        <f aca="false">Orders!D1192</f>
        <v>P1021</v>
      </c>
      <c r="E1192" s="6" t="str">
        <f aca="false">INDEX(Products!$B$2:$B$101,MATCH(D1192,Products!$A$2:$A$101,0))</f>
        <v>Handbag</v>
      </c>
      <c r="F1192" s="1" t="str">
        <f aca="false">INDEX(Products!$C$2:$C$101,MATCH(D1192,Products!$A$2:$A$101,0))</f>
        <v>Fashion</v>
      </c>
      <c r="G1192" s="6" t="n">
        <f aca="false">Orders!E1192</f>
        <v>3</v>
      </c>
      <c r="H1192" s="16" t="n">
        <f aca="false">INDEX(Products!$D$2:$D$101,MATCH(D1192,Products!$A$2:$A$101,0))</f>
        <v>1499</v>
      </c>
      <c r="I1192" s="16" t="n">
        <f aca="false">INDEX(Products!$E$2:$E$101,MATCH(D1192,Products!$A$2:$A$101,0))</f>
        <v>700</v>
      </c>
      <c r="J1192" s="20" t="n">
        <f aca="false">Orders!F1192</f>
        <v>0.15</v>
      </c>
      <c r="K1192" s="6" t="n">
        <f aca="false">G1192*H1192</f>
        <v>4497</v>
      </c>
      <c r="L1192" s="6" t="n">
        <f aca="false">K1192*J1192</f>
        <v>674.55</v>
      </c>
      <c r="M1192" s="6" t="n">
        <f aca="false">K1192-L1192</f>
        <v>3822.45</v>
      </c>
      <c r="N1192" s="6" t="n">
        <f aca="false">G1192*I1192</f>
        <v>2100</v>
      </c>
      <c r="O1192" s="6" t="n">
        <f aca="false">M1192-N1192</f>
        <v>1722.45</v>
      </c>
      <c r="P1192" s="21" t="n">
        <f aca="false">IFERROR(O1192/M1192,0)</f>
        <v>0.450614134913472</v>
      </c>
      <c r="Q1192" s="6" t="str">
        <f aca="false">Orders!H1192</f>
        <v>Shipped</v>
      </c>
      <c r="R1192" s="1" t="str">
        <f aca="false">INDEX(Customers!$C$2:$C$301,MATCH(C1192,Customers!$A$2:$A$301,0))</f>
        <v>Hyderabad</v>
      </c>
      <c r="S1192" s="1" t="str">
        <f aca="false">INDEX(Customers!$E$2:$E$301,MATCH(C1192,Customers!$A$2:$A$301,0))</f>
        <v>Returning</v>
      </c>
      <c r="T1192" s="6" t="str">
        <f aca="false">Orders!I1192</f>
        <v>Marketplace</v>
      </c>
      <c r="U1192" s="1" t="str">
        <f aca="false">IF(Q1192="Delivered","Completed",IF(Q1192="Cancelled","Cancelled",IF(Q1192="Returned","Returned","In Progress")))</f>
        <v>In Progress</v>
      </c>
      <c r="V1192" s="1" t="str">
        <f aca="false">IF(M1192&gt;=10000,"High Value",IF(M1192&gt;=5000,"Medium Value","Low Value"))</f>
        <v>Low Value</v>
      </c>
      <c r="W1192" s="1" t="str">
        <f aca="false">IF(O1192&gt;0,"Profitable",IF(O1192=0,"Break-even","Loss"))</f>
        <v>Profitable</v>
      </c>
      <c r="X1192" s="1" t="str">
        <f aca="false">IF(Q1192="Cancelled","Not Applicable",IF(Q1192="Processing","Pending",IF(B1192="","Unknown",IF(Orders!J1192="","Unknown",IF(Orders!J1192&lt;=3,"Fast",IF(Orders!J1192&lt;=6,"Standard","Slow"))))))</f>
        <v>Standard</v>
      </c>
      <c r="Y1192" s="1" t="n">
        <f aca="false">IF(OR(Q1192="Cancelled",Q1192="Returned"),0,O1192)</f>
        <v>1722.45</v>
      </c>
    </row>
    <row r="1193" customFormat="false" ht="15" hidden="false" customHeight="false" outlineLevel="0" collapsed="false">
      <c r="A1193" s="6" t="str">
        <f aca="false">Orders!A1193</f>
        <v>O001192</v>
      </c>
      <c r="B1193" s="19" t="n">
        <f aca="false">Orders!B1193</f>
        <v>45983</v>
      </c>
      <c r="C1193" s="6" t="str">
        <f aca="false">Orders!C1193</f>
        <v>C0289</v>
      </c>
      <c r="D1193" s="6" t="str">
        <f aca="false">Orders!D1193</f>
        <v>P1088</v>
      </c>
      <c r="E1193" s="6" t="str">
        <f aca="false">INDEX(Products!$B$2:$B$101,MATCH(D1193,Products!$A$2:$A$101,0))</f>
        <v>Electric Kettle</v>
      </c>
      <c r="F1193" s="1" t="str">
        <f aca="false">INDEX(Products!$C$2:$C$101,MATCH(D1193,Products!$A$2:$A$101,0))</f>
        <v>Appliances</v>
      </c>
      <c r="G1193" s="6" t="n">
        <f aca="false">Orders!E1193</f>
        <v>2</v>
      </c>
      <c r="H1193" s="16" t="n">
        <f aca="false">INDEX(Products!$D$2:$D$101,MATCH(D1193,Products!$A$2:$A$101,0))</f>
        <v>1299</v>
      </c>
      <c r="I1193" s="16" t="n">
        <f aca="false">INDEX(Products!$E$2:$E$101,MATCH(D1193,Products!$A$2:$A$101,0))</f>
        <v>750</v>
      </c>
      <c r="J1193" s="20" t="n">
        <f aca="false">Orders!F1193</f>
        <v>0</v>
      </c>
      <c r="K1193" s="6" t="n">
        <f aca="false">G1193*H1193</f>
        <v>2598</v>
      </c>
      <c r="L1193" s="6" t="n">
        <f aca="false">K1193*J1193</f>
        <v>0</v>
      </c>
      <c r="M1193" s="6" t="n">
        <f aca="false">K1193-L1193</f>
        <v>2598</v>
      </c>
      <c r="N1193" s="6" t="n">
        <f aca="false">G1193*I1193</f>
        <v>1500</v>
      </c>
      <c r="O1193" s="6" t="n">
        <f aca="false">M1193-N1193</f>
        <v>1098</v>
      </c>
      <c r="P1193" s="21" t="n">
        <f aca="false">IFERROR(O1193/M1193,0)</f>
        <v>0.422632794457275</v>
      </c>
      <c r="Q1193" s="6" t="str">
        <f aca="false">Orders!H1193</f>
        <v>Shipped</v>
      </c>
      <c r="R1193" s="1" t="str">
        <f aca="false">INDEX(Customers!$C$2:$C$301,MATCH(C1193,Customers!$A$2:$A$301,0))</f>
        <v>Ahmedabad</v>
      </c>
      <c r="S1193" s="1" t="str">
        <f aca="false">INDEX(Customers!$E$2:$E$301,MATCH(C1193,Customers!$A$2:$A$301,0))</f>
        <v>Returning</v>
      </c>
      <c r="T1193" s="6" t="str">
        <f aca="false">Orders!I1193</f>
        <v>Mobile App</v>
      </c>
      <c r="U1193" s="1" t="str">
        <f aca="false">IF(Q1193="Delivered","Completed",IF(Q1193="Cancelled","Cancelled",IF(Q1193="Returned","Returned","In Progress")))</f>
        <v>In Progress</v>
      </c>
      <c r="V1193" s="1" t="str">
        <f aca="false">IF(M1193&gt;=10000,"High Value",IF(M1193&gt;=5000,"Medium Value","Low Value"))</f>
        <v>Low Value</v>
      </c>
      <c r="W1193" s="1" t="str">
        <f aca="false">IF(O1193&gt;0,"Profitable",IF(O1193=0,"Break-even","Loss"))</f>
        <v>Profitable</v>
      </c>
      <c r="X1193" s="1" t="str">
        <f aca="false">IF(Q1193="Cancelled","Not Applicable",IF(Q1193="Processing","Pending",IF(B1193="","Unknown",IF(Orders!J1193="","Unknown",IF(Orders!J1193&lt;=3,"Fast",IF(Orders!J1193&lt;=6,"Standard","Slow"))))))</f>
        <v>Fast</v>
      </c>
      <c r="Y1193" s="1" t="n">
        <f aca="false">IF(OR(Q1193="Cancelled",Q1193="Returned"),0,O1193)</f>
        <v>1098</v>
      </c>
    </row>
    <row r="1194" customFormat="false" ht="15" hidden="false" customHeight="false" outlineLevel="0" collapsed="false">
      <c r="A1194" s="6" t="str">
        <f aca="false">Orders!A1194</f>
        <v>O001193</v>
      </c>
      <c r="B1194" s="19" t="n">
        <f aca="false">Orders!B1194</f>
        <v>45960</v>
      </c>
      <c r="C1194" s="6" t="str">
        <f aca="false">Orders!C1194</f>
        <v>C0196</v>
      </c>
      <c r="D1194" s="6" t="str">
        <f aca="false">Orders!D1194</f>
        <v>P1068</v>
      </c>
      <c r="E1194" s="6" t="str">
        <f aca="false">INDEX(Products!$B$2:$B$101,MATCH(D1194,Products!$A$2:$A$101,0))</f>
        <v>Cycling Bottle</v>
      </c>
      <c r="F1194" s="1" t="str">
        <f aca="false">INDEX(Products!$C$2:$C$101,MATCH(D1194,Products!$A$2:$A$101,0))</f>
        <v>Sports &amp; Outdoors</v>
      </c>
      <c r="G1194" s="6" t="n">
        <f aca="false">Orders!E1194</f>
        <v>2</v>
      </c>
      <c r="H1194" s="16" t="n">
        <f aca="false">INDEX(Products!$D$2:$D$101,MATCH(D1194,Products!$A$2:$A$101,0))</f>
        <v>349</v>
      </c>
      <c r="I1194" s="16" t="n">
        <f aca="false">INDEX(Products!$E$2:$E$101,MATCH(D1194,Products!$A$2:$A$101,0))</f>
        <v>120</v>
      </c>
      <c r="J1194" s="20" t="n">
        <f aca="false">Orders!F1194</f>
        <v>0.05</v>
      </c>
      <c r="K1194" s="6" t="n">
        <f aca="false">G1194*H1194</f>
        <v>698</v>
      </c>
      <c r="L1194" s="6" t="n">
        <f aca="false">K1194*J1194</f>
        <v>34.9</v>
      </c>
      <c r="M1194" s="6" t="n">
        <f aca="false">K1194-L1194</f>
        <v>663.1</v>
      </c>
      <c r="N1194" s="6" t="n">
        <f aca="false">G1194*I1194</f>
        <v>240</v>
      </c>
      <c r="O1194" s="6" t="n">
        <f aca="false">M1194-N1194</f>
        <v>423.1</v>
      </c>
      <c r="P1194" s="21" t="n">
        <f aca="false">IFERROR(O1194/M1194,0)</f>
        <v>0.63806364047655</v>
      </c>
      <c r="Q1194" s="6" t="str">
        <f aca="false">Orders!H1194</f>
        <v>Delivered</v>
      </c>
      <c r="R1194" s="1" t="str">
        <f aca="false">INDEX(Customers!$C$2:$C$301,MATCH(C1194,Customers!$A$2:$A$301,0))</f>
        <v>Chandigarh</v>
      </c>
      <c r="S1194" s="1" t="str">
        <f aca="false">INDEX(Customers!$E$2:$E$301,MATCH(C1194,Customers!$A$2:$A$301,0))</f>
        <v>Returning</v>
      </c>
      <c r="T1194" s="6" t="str">
        <f aca="false">Orders!I1194</f>
        <v>Mobile App</v>
      </c>
      <c r="U1194" s="1" t="str">
        <f aca="false">IF(Q1194="Delivered","Completed",IF(Q1194="Cancelled","Cancelled",IF(Q1194="Returned","Returned","In Progress")))</f>
        <v>Completed</v>
      </c>
      <c r="V1194" s="1" t="str">
        <f aca="false">IF(M1194&gt;=10000,"High Value",IF(M1194&gt;=5000,"Medium Value","Low Value"))</f>
        <v>Low Value</v>
      </c>
      <c r="W1194" s="1" t="str">
        <f aca="false">IF(O1194&gt;0,"Profitable",IF(O1194=0,"Break-even","Loss"))</f>
        <v>Profitable</v>
      </c>
      <c r="X1194" s="1" t="str">
        <f aca="false">IF(Q1194="Cancelled","Not Applicable",IF(Q1194="Processing","Pending",IF(B1194="","Unknown",IF(Orders!J1194="","Unknown",IF(Orders!J1194&lt;=3,"Fast",IF(Orders!J1194&lt;=6,"Standard","Slow"))))))</f>
        <v>Fast</v>
      </c>
      <c r="Y1194" s="1" t="n">
        <f aca="false">IF(OR(Q1194="Cancelled",Q1194="Returned"),0,O1194)</f>
        <v>423.1</v>
      </c>
    </row>
    <row r="1195" customFormat="false" ht="15" hidden="false" customHeight="false" outlineLevel="0" collapsed="false">
      <c r="A1195" s="6" t="str">
        <f aca="false">Orders!A1195</f>
        <v>O001194</v>
      </c>
      <c r="B1195" s="19" t="n">
        <f aca="false">Orders!B1195</f>
        <v>46008</v>
      </c>
      <c r="C1195" s="6" t="str">
        <f aca="false">Orders!C1195</f>
        <v>C0116</v>
      </c>
      <c r="D1195" s="6" t="str">
        <f aca="false">Orders!D1195</f>
        <v>P1027</v>
      </c>
      <c r="E1195" s="6" t="str">
        <f aca="false">INDEX(Products!$B$2:$B$101,MATCH(D1195,Products!$A$2:$A$101,0))</f>
        <v>Belt</v>
      </c>
      <c r="F1195" s="1" t="str">
        <f aca="false">INDEX(Products!$C$2:$C$101,MATCH(D1195,Products!$A$2:$A$101,0))</f>
        <v>Fashion</v>
      </c>
      <c r="G1195" s="6" t="n">
        <f aca="false">Orders!E1195</f>
        <v>2</v>
      </c>
      <c r="H1195" s="16" t="n">
        <f aca="false">INDEX(Products!$D$2:$D$101,MATCH(D1195,Products!$A$2:$A$101,0))</f>
        <v>399</v>
      </c>
      <c r="I1195" s="16" t="n">
        <f aca="false">INDEX(Products!$E$2:$E$101,MATCH(D1195,Products!$A$2:$A$101,0))</f>
        <v>160</v>
      </c>
      <c r="J1195" s="20" t="n">
        <f aca="false">Orders!F1195</f>
        <v>0.05</v>
      </c>
      <c r="K1195" s="6" t="n">
        <f aca="false">G1195*H1195</f>
        <v>798</v>
      </c>
      <c r="L1195" s="6" t="n">
        <f aca="false">K1195*J1195</f>
        <v>39.9</v>
      </c>
      <c r="M1195" s="6" t="n">
        <f aca="false">K1195-L1195</f>
        <v>758.1</v>
      </c>
      <c r="N1195" s="6" t="n">
        <f aca="false">G1195*I1195</f>
        <v>320</v>
      </c>
      <c r="O1195" s="6" t="n">
        <f aca="false">M1195-N1195</f>
        <v>438.1</v>
      </c>
      <c r="P1195" s="21" t="n">
        <f aca="false">IFERROR(O1195/M1195,0)</f>
        <v>0.577892098667722</v>
      </c>
      <c r="Q1195" s="6" t="str">
        <f aca="false">Orders!H1195</f>
        <v>Delivered</v>
      </c>
      <c r="R1195" s="1" t="str">
        <f aca="false">INDEX(Customers!$C$2:$C$301,MATCH(C1195,Customers!$A$2:$A$301,0))</f>
        <v>Chandigarh</v>
      </c>
      <c r="S1195" s="1" t="str">
        <f aca="false">INDEX(Customers!$E$2:$E$301,MATCH(C1195,Customers!$A$2:$A$301,0))</f>
        <v>New</v>
      </c>
      <c r="T1195" s="6" t="str">
        <f aca="false">Orders!I1195</f>
        <v>Mobile App</v>
      </c>
      <c r="U1195" s="1" t="str">
        <f aca="false">IF(Q1195="Delivered","Completed",IF(Q1195="Cancelled","Cancelled",IF(Q1195="Returned","Returned","In Progress")))</f>
        <v>Completed</v>
      </c>
      <c r="V1195" s="1" t="str">
        <f aca="false">IF(M1195&gt;=10000,"High Value",IF(M1195&gt;=5000,"Medium Value","Low Value"))</f>
        <v>Low Value</v>
      </c>
      <c r="W1195" s="1" t="str">
        <f aca="false">IF(O1195&gt;0,"Profitable",IF(O1195=0,"Break-even","Loss"))</f>
        <v>Profitable</v>
      </c>
      <c r="X1195" s="1" t="str">
        <f aca="false">IF(Q1195="Cancelled","Not Applicable",IF(Q1195="Processing","Pending",IF(B1195="","Unknown",IF(Orders!J1195="","Unknown",IF(Orders!J1195&lt;=3,"Fast",IF(Orders!J1195&lt;=6,"Standard","Slow"))))))</f>
        <v>Standard</v>
      </c>
      <c r="Y1195" s="1" t="n">
        <f aca="false">IF(OR(Q1195="Cancelled",Q1195="Returned"),0,O1195)</f>
        <v>438.1</v>
      </c>
    </row>
    <row r="1196" customFormat="false" ht="15" hidden="false" customHeight="false" outlineLevel="0" collapsed="false">
      <c r="A1196" s="6" t="str">
        <f aca="false">Orders!A1196</f>
        <v>O001195</v>
      </c>
      <c r="B1196" s="19" t="n">
        <f aca="false">Orders!B1196</f>
        <v>45697</v>
      </c>
      <c r="C1196" s="6" t="str">
        <f aca="false">Orders!C1196</f>
        <v>C0198</v>
      </c>
      <c r="D1196" s="6" t="str">
        <f aca="false">Orders!D1196</f>
        <v>P1073</v>
      </c>
      <c r="E1196" s="6" t="str">
        <f aca="false">INDEX(Products!$B$2:$B$101,MATCH(D1196,Products!$A$2:$A$101,0))</f>
        <v>Hiking Backpack</v>
      </c>
      <c r="F1196" s="1" t="str">
        <f aca="false">INDEX(Products!$C$2:$C$101,MATCH(D1196,Products!$A$2:$A$101,0))</f>
        <v>Sports &amp; Outdoors</v>
      </c>
      <c r="G1196" s="6" t="n">
        <f aca="false">Orders!E1196</f>
        <v>1</v>
      </c>
      <c r="H1196" s="16" t="n">
        <f aca="false">INDEX(Products!$D$2:$D$101,MATCH(D1196,Products!$A$2:$A$101,0))</f>
        <v>1999</v>
      </c>
      <c r="I1196" s="16" t="n">
        <f aca="false">INDEX(Products!$E$2:$E$101,MATCH(D1196,Products!$A$2:$A$101,0))</f>
        <v>1100</v>
      </c>
      <c r="J1196" s="20" t="n">
        <f aca="false">Orders!F1196</f>
        <v>0.1</v>
      </c>
      <c r="K1196" s="6" t="n">
        <f aca="false">G1196*H1196</f>
        <v>1999</v>
      </c>
      <c r="L1196" s="6" t="n">
        <f aca="false">K1196*J1196</f>
        <v>199.9</v>
      </c>
      <c r="M1196" s="6" t="n">
        <f aca="false">K1196-L1196</f>
        <v>1799.1</v>
      </c>
      <c r="N1196" s="6" t="n">
        <f aca="false">G1196*I1196</f>
        <v>1100</v>
      </c>
      <c r="O1196" s="6" t="n">
        <f aca="false">M1196-N1196</f>
        <v>699.1</v>
      </c>
      <c r="P1196" s="21" t="n">
        <f aca="false">IFERROR(O1196/M1196,0)</f>
        <v>0.388583180479128</v>
      </c>
      <c r="Q1196" s="6" t="str">
        <f aca="false">Orders!H1196</f>
        <v>Returned</v>
      </c>
      <c r="R1196" s="1" t="str">
        <f aca="false">INDEX(Customers!$C$2:$C$301,MATCH(C1196,Customers!$A$2:$A$301,0))</f>
        <v>Nagpur</v>
      </c>
      <c r="S1196" s="1" t="str">
        <f aca="false">INDEX(Customers!$E$2:$E$301,MATCH(C1196,Customers!$A$2:$A$301,0))</f>
        <v>Returning</v>
      </c>
      <c r="T1196" s="6" t="str">
        <f aca="false">Orders!I1196</f>
        <v>Mobile App</v>
      </c>
      <c r="U1196" s="1" t="str">
        <f aca="false">IF(Q1196="Delivered","Completed",IF(Q1196="Cancelled","Cancelled",IF(Q1196="Returned","Returned","In Progress")))</f>
        <v>Returned</v>
      </c>
      <c r="V1196" s="1" t="str">
        <f aca="false">IF(M1196&gt;=10000,"High Value",IF(M1196&gt;=5000,"Medium Value","Low Value"))</f>
        <v>Low Value</v>
      </c>
      <c r="W1196" s="1" t="str">
        <f aca="false">IF(O1196&gt;0,"Profitable",IF(O1196=0,"Break-even","Loss"))</f>
        <v>Profitable</v>
      </c>
      <c r="X1196" s="1" t="str">
        <f aca="false">IF(Q1196="Cancelled","Not Applicable",IF(Q1196="Processing","Pending",IF(B1196="","Unknown",IF(Orders!J1196="","Unknown",IF(Orders!J1196&lt;=3,"Fast",IF(Orders!J1196&lt;=6,"Standard","Slow"))))))</f>
        <v>Standard</v>
      </c>
      <c r="Y1196" s="1" t="n">
        <f aca="false">IF(OR(Q1196="Cancelled",Q1196="Returned"),0,O1196)</f>
        <v>0</v>
      </c>
    </row>
    <row r="1197" customFormat="false" ht="23.85" hidden="false" customHeight="false" outlineLevel="0" collapsed="false">
      <c r="A1197" s="6" t="str">
        <f aca="false">Orders!A1197</f>
        <v>O001196</v>
      </c>
      <c r="B1197" s="19" t="n">
        <f aca="false">Orders!B1197</f>
        <v>45760</v>
      </c>
      <c r="C1197" s="6" t="str">
        <f aca="false">Orders!C1197</f>
        <v>C0166</v>
      </c>
      <c r="D1197" s="6" t="str">
        <f aca="false">Orders!D1197</f>
        <v>P1069</v>
      </c>
      <c r="E1197" s="6" t="str">
        <f aca="false">INDEX(Products!$B$2:$B$101,MATCH(D1197,Products!$A$2:$A$101,0))</f>
        <v>Sports Duffel Bag</v>
      </c>
      <c r="F1197" s="1" t="str">
        <f aca="false">INDEX(Products!$C$2:$C$101,MATCH(D1197,Products!$A$2:$A$101,0))</f>
        <v>Sports &amp; Outdoors</v>
      </c>
      <c r="G1197" s="6" t="n">
        <f aca="false">Orders!E1197</f>
        <v>1</v>
      </c>
      <c r="H1197" s="16" t="n">
        <f aca="false">INDEX(Products!$D$2:$D$101,MATCH(D1197,Products!$A$2:$A$101,0))</f>
        <v>999</v>
      </c>
      <c r="I1197" s="16" t="n">
        <f aca="false">INDEX(Products!$E$2:$E$101,MATCH(D1197,Products!$A$2:$A$101,0))</f>
        <v>500</v>
      </c>
      <c r="J1197" s="20" t="n">
        <f aca="false">Orders!F1197</f>
        <v>0.2</v>
      </c>
      <c r="K1197" s="6" t="n">
        <f aca="false">G1197*H1197</f>
        <v>999</v>
      </c>
      <c r="L1197" s="6" t="n">
        <f aca="false">K1197*J1197</f>
        <v>199.8</v>
      </c>
      <c r="M1197" s="6" t="n">
        <f aca="false">K1197-L1197</f>
        <v>799.2</v>
      </c>
      <c r="N1197" s="6" t="n">
        <f aca="false">G1197*I1197</f>
        <v>500</v>
      </c>
      <c r="O1197" s="6" t="n">
        <f aca="false">M1197-N1197</f>
        <v>299.2</v>
      </c>
      <c r="P1197" s="21" t="n">
        <f aca="false">IFERROR(O1197/M1197,0)</f>
        <v>0.374374374374374</v>
      </c>
      <c r="Q1197" s="6" t="str">
        <f aca="false">Orders!H1197</f>
        <v>Cancelled</v>
      </c>
      <c r="R1197" s="1" t="str">
        <f aca="false">INDEX(Customers!$C$2:$C$301,MATCH(C1197,Customers!$A$2:$A$301,0))</f>
        <v>Kolkata</v>
      </c>
      <c r="S1197" s="1" t="str">
        <f aca="false">INDEX(Customers!$E$2:$E$301,MATCH(C1197,Customers!$A$2:$A$301,0))</f>
        <v>New</v>
      </c>
      <c r="T1197" s="6" t="str">
        <f aca="false">Orders!I1197</f>
        <v>Mobile App</v>
      </c>
      <c r="U1197" s="1" t="str">
        <f aca="false">IF(Q1197="Delivered","Completed",IF(Q1197="Cancelled","Cancelled",IF(Q1197="Returned","Returned","In Progress")))</f>
        <v>Cancelled</v>
      </c>
      <c r="V1197" s="1" t="str">
        <f aca="false">IF(M1197&gt;=10000,"High Value",IF(M1197&gt;=5000,"Medium Value","Low Value"))</f>
        <v>Low Value</v>
      </c>
      <c r="W1197" s="1" t="str">
        <f aca="false">IF(O1197&gt;0,"Profitable",IF(O1197=0,"Break-even","Loss"))</f>
        <v>Profitable</v>
      </c>
      <c r="X1197" s="1" t="str">
        <f aca="false">IF(Q1197="Cancelled","Not Applicable",IF(Q1197="Processing","Pending",IF(B1197="","Unknown",IF(Orders!J1197="","Unknown",IF(Orders!J1197&lt;=3,"Fast",IF(Orders!J1197&lt;=6,"Standard","Slow"))))))</f>
        <v>Not Applicable</v>
      </c>
      <c r="Y1197" s="1" t="n">
        <f aca="false">IF(OR(Q1197="Cancelled",Q1197="Returned"),0,O1197)</f>
        <v>0</v>
      </c>
    </row>
    <row r="1198" customFormat="false" ht="15" hidden="false" customHeight="false" outlineLevel="0" collapsed="false">
      <c r="A1198" s="6" t="str">
        <f aca="false">Orders!A1198</f>
        <v>O001197</v>
      </c>
      <c r="B1198" s="19" t="n">
        <f aca="false">Orders!B1198</f>
        <v>45698</v>
      </c>
      <c r="C1198" s="6" t="str">
        <f aca="false">Orders!C1198</f>
        <v>C0117</v>
      </c>
      <c r="D1198" s="6" t="str">
        <f aca="false">Orders!D1198</f>
        <v>P1092</v>
      </c>
      <c r="E1198" s="6" t="str">
        <f aca="false">INDEX(Products!$B$2:$B$101,MATCH(D1198,Products!$A$2:$A$101,0))</f>
        <v>Hand Blender</v>
      </c>
      <c r="F1198" s="1" t="str">
        <f aca="false">INDEX(Products!$C$2:$C$101,MATCH(D1198,Products!$A$2:$A$101,0))</f>
        <v>Appliances</v>
      </c>
      <c r="G1198" s="6" t="n">
        <f aca="false">Orders!E1198</f>
        <v>1</v>
      </c>
      <c r="H1198" s="16" t="n">
        <f aca="false">INDEX(Products!$D$2:$D$101,MATCH(D1198,Products!$A$2:$A$101,0))</f>
        <v>999</v>
      </c>
      <c r="I1198" s="16" t="n">
        <f aca="false">INDEX(Products!$E$2:$E$101,MATCH(D1198,Products!$A$2:$A$101,0))</f>
        <v>550</v>
      </c>
      <c r="J1198" s="20" t="n">
        <f aca="false">Orders!F1198</f>
        <v>0.15</v>
      </c>
      <c r="K1198" s="6" t="n">
        <f aca="false">G1198*H1198</f>
        <v>999</v>
      </c>
      <c r="L1198" s="6" t="n">
        <f aca="false">K1198*J1198</f>
        <v>149.85</v>
      </c>
      <c r="M1198" s="6" t="n">
        <f aca="false">K1198-L1198</f>
        <v>849.15</v>
      </c>
      <c r="N1198" s="6" t="n">
        <f aca="false">G1198*I1198</f>
        <v>550</v>
      </c>
      <c r="O1198" s="6" t="n">
        <f aca="false">M1198-N1198</f>
        <v>299.15</v>
      </c>
      <c r="P1198" s="21" t="n">
        <f aca="false">IFERROR(O1198/M1198,0)</f>
        <v>0.352293469940529</v>
      </c>
      <c r="Q1198" s="6" t="str">
        <f aca="false">Orders!H1198</f>
        <v>Delivered</v>
      </c>
      <c r="R1198" s="1" t="str">
        <f aca="false">INDEX(Customers!$C$2:$C$301,MATCH(C1198,Customers!$A$2:$A$301,0))</f>
        <v>Surat</v>
      </c>
      <c r="S1198" s="1" t="str">
        <f aca="false">INDEX(Customers!$E$2:$E$301,MATCH(C1198,Customers!$A$2:$A$301,0))</f>
        <v>Returning</v>
      </c>
      <c r="T1198" s="6" t="str">
        <f aca="false">Orders!I1198</f>
        <v>Marketplace</v>
      </c>
      <c r="U1198" s="1" t="str">
        <f aca="false">IF(Q1198="Delivered","Completed",IF(Q1198="Cancelled","Cancelled",IF(Q1198="Returned","Returned","In Progress")))</f>
        <v>Completed</v>
      </c>
      <c r="V1198" s="1" t="str">
        <f aca="false">IF(M1198&gt;=10000,"High Value",IF(M1198&gt;=5000,"Medium Value","Low Value"))</f>
        <v>Low Value</v>
      </c>
      <c r="W1198" s="1" t="str">
        <f aca="false">IF(O1198&gt;0,"Profitable",IF(O1198=0,"Break-even","Loss"))</f>
        <v>Profitable</v>
      </c>
      <c r="X1198" s="1" t="str">
        <f aca="false">IF(Q1198="Cancelled","Not Applicable",IF(Q1198="Processing","Pending",IF(B1198="","Unknown",IF(Orders!J1198="","Unknown",IF(Orders!J1198&lt;=3,"Fast",IF(Orders!J1198&lt;=6,"Standard","Slow"))))))</f>
        <v>Standard</v>
      </c>
      <c r="Y1198" s="1" t="n">
        <f aca="false">IF(OR(Q1198="Cancelled",Q1198="Returned"),0,O1198)</f>
        <v>299.15</v>
      </c>
    </row>
    <row r="1199" customFormat="false" ht="15" hidden="false" customHeight="false" outlineLevel="0" collapsed="false">
      <c r="A1199" s="6" t="str">
        <f aca="false">Orders!A1199</f>
        <v>O001198</v>
      </c>
      <c r="B1199" s="19" t="n">
        <f aca="false">Orders!B1199</f>
        <v>45781</v>
      </c>
      <c r="C1199" s="6" t="str">
        <f aca="false">Orders!C1199</f>
        <v>C0187</v>
      </c>
      <c r="D1199" s="6" t="str">
        <f aca="false">Orders!D1199</f>
        <v>P1036</v>
      </c>
      <c r="E1199" s="6" t="str">
        <f aca="false">INDEX(Products!$B$2:$B$101,MATCH(D1199,Products!$A$2:$A$101,0))</f>
        <v>Dinner Set</v>
      </c>
      <c r="F1199" s="1" t="str">
        <f aca="false">INDEX(Products!$C$2:$C$101,MATCH(D1199,Products!$A$2:$A$101,0))</f>
        <v>Home &amp; Kitchen</v>
      </c>
      <c r="G1199" s="6" t="n">
        <f aca="false">Orders!E1199</f>
        <v>1</v>
      </c>
      <c r="H1199" s="16" t="n">
        <f aca="false">INDEX(Products!$D$2:$D$101,MATCH(D1199,Products!$A$2:$A$101,0))</f>
        <v>1499</v>
      </c>
      <c r="I1199" s="16" t="n">
        <f aca="false">INDEX(Products!$E$2:$E$101,MATCH(D1199,Products!$A$2:$A$101,0))</f>
        <v>800</v>
      </c>
      <c r="J1199" s="20" t="n">
        <f aca="false">Orders!F1199</f>
        <v>0</v>
      </c>
      <c r="K1199" s="6" t="n">
        <f aca="false">G1199*H1199</f>
        <v>1499</v>
      </c>
      <c r="L1199" s="6" t="n">
        <f aca="false">K1199*J1199</f>
        <v>0</v>
      </c>
      <c r="M1199" s="6" t="n">
        <f aca="false">K1199-L1199</f>
        <v>1499</v>
      </c>
      <c r="N1199" s="6" t="n">
        <f aca="false">G1199*I1199</f>
        <v>800</v>
      </c>
      <c r="O1199" s="6" t="n">
        <f aca="false">M1199-N1199</f>
        <v>699</v>
      </c>
      <c r="P1199" s="21" t="n">
        <f aca="false">IFERROR(O1199/M1199,0)</f>
        <v>0.466310873915944</v>
      </c>
      <c r="Q1199" s="6" t="str">
        <f aca="false">Orders!H1199</f>
        <v>Delivered</v>
      </c>
      <c r="R1199" s="1" t="str">
        <f aca="false">INDEX(Customers!$C$2:$C$301,MATCH(C1199,Customers!$A$2:$A$301,0))</f>
        <v>Pune</v>
      </c>
      <c r="S1199" s="1" t="str">
        <f aca="false">INDEX(Customers!$E$2:$E$301,MATCH(C1199,Customers!$A$2:$A$301,0))</f>
        <v>Returning</v>
      </c>
      <c r="T1199" s="6" t="str">
        <f aca="false">Orders!I1199</f>
        <v>Website</v>
      </c>
      <c r="U1199" s="1" t="str">
        <f aca="false">IF(Q1199="Delivered","Completed",IF(Q1199="Cancelled","Cancelled",IF(Q1199="Returned","Returned","In Progress")))</f>
        <v>Completed</v>
      </c>
      <c r="V1199" s="1" t="str">
        <f aca="false">IF(M1199&gt;=10000,"High Value",IF(M1199&gt;=5000,"Medium Value","Low Value"))</f>
        <v>Low Value</v>
      </c>
      <c r="W1199" s="1" t="str">
        <f aca="false">IF(O1199&gt;0,"Profitable",IF(O1199=0,"Break-even","Loss"))</f>
        <v>Profitable</v>
      </c>
      <c r="X1199" s="1" t="str">
        <f aca="false">IF(Q1199="Cancelled","Not Applicable",IF(Q1199="Processing","Pending",IF(B1199="","Unknown",IF(Orders!J1199="","Unknown",IF(Orders!J1199&lt;=3,"Fast",IF(Orders!J1199&lt;=6,"Standard","Slow"))))))</f>
        <v>Standard</v>
      </c>
      <c r="Y1199" s="1" t="n">
        <f aca="false">IF(OR(Q1199="Cancelled",Q1199="Returned"),0,O1199)</f>
        <v>699</v>
      </c>
    </row>
    <row r="1200" customFormat="false" ht="15" hidden="false" customHeight="false" outlineLevel="0" collapsed="false">
      <c r="A1200" s="6" t="str">
        <f aca="false">Orders!A1200</f>
        <v>O001199</v>
      </c>
      <c r="B1200" s="19" t="n">
        <f aca="false">Orders!B1200</f>
        <v>45973</v>
      </c>
      <c r="C1200" s="6" t="str">
        <f aca="false">Orders!C1200</f>
        <v>C0224</v>
      </c>
      <c r="D1200" s="6" t="str">
        <f aca="false">Orders!D1200</f>
        <v>P1098</v>
      </c>
      <c r="E1200" s="6" t="str">
        <f aca="false">INDEX(Products!$B$2:$B$101,MATCH(D1200,Products!$A$2:$A$101,0))</f>
        <v>Steam Iron</v>
      </c>
      <c r="F1200" s="1" t="str">
        <f aca="false">INDEX(Products!$C$2:$C$101,MATCH(D1200,Products!$A$2:$A$101,0))</f>
        <v>Appliances</v>
      </c>
      <c r="G1200" s="6" t="n">
        <f aca="false">Orders!E1200</f>
        <v>3</v>
      </c>
      <c r="H1200" s="16" t="n">
        <f aca="false">INDEX(Products!$D$2:$D$101,MATCH(D1200,Products!$A$2:$A$101,0))</f>
        <v>999</v>
      </c>
      <c r="I1200" s="16" t="n">
        <f aca="false">INDEX(Products!$E$2:$E$101,MATCH(D1200,Products!$A$2:$A$101,0))</f>
        <v>550</v>
      </c>
      <c r="J1200" s="20" t="n">
        <f aca="false">Orders!F1200</f>
        <v>0.1</v>
      </c>
      <c r="K1200" s="6" t="n">
        <f aca="false">G1200*H1200</f>
        <v>2997</v>
      </c>
      <c r="L1200" s="6" t="n">
        <f aca="false">K1200*J1200</f>
        <v>299.7</v>
      </c>
      <c r="M1200" s="6" t="n">
        <f aca="false">K1200-L1200</f>
        <v>2697.3</v>
      </c>
      <c r="N1200" s="6" t="n">
        <f aca="false">G1200*I1200</f>
        <v>1650</v>
      </c>
      <c r="O1200" s="6" t="n">
        <f aca="false">M1200-N1200</f>
        <v>1047.3</v>
      </c>
      <c r="P1200" s="21" t="n">
        <f aca="false">IFERROR(O1200/M1200,0)</f>
        <v>0.388277166054944</v>
      </c>
      <c r="Q1200" s="6" t="str">
        <f aca="false">Orders!H1200</f>
        <v>Processing</v>
      </c>
      <c r="R1200" s="1" t="str">
        <f aca="false">INDEX(Customers!$C$2:$C$301,MATCH(C1200,Customers!$A$2:$A$301,0))</f>
        <v>Hyderabad</v>
      </c>
      <c r="S1200" s="1" t="str">
        <f aca="false">INDEX(Customers!$E$2:$E$301,MATCH(C1200,Customers!$A$2:$A$301,0))</f>
        <v>Returning</v>
      </c>
      <c r="T1200" s="6" t="str">
        <f aca="false">Orders!I1200</f>
        <v>Marketplace</v>
      </c>
      <c r="U1200" s="1" t="str">
        <f aca="false">IF(Q1200="Delivered","Completed",IF(Q1200="Cancelled","Cancelled",IF(Q1200="Returned","Returned","In Progress")))</f>
        <v>In Progress</v>
      </c>
      <c r="V1200" s="1" t="str">
        <f aca="false">IF(M1200&gt;=10000,"High Value",IF(M1200&gt;=5000,"Medium Value","Low Value"))</f>
        <v>Low Value</v>
      </c>
      <c r="W1200" s="1" t="str">
        <f aca="false">IF(O1200&gt;0,"Profitable",IF(O1200=0,"Break-even","Loss"))</f>
        <v>Profitable</v>
      </c>
      <c r="X1200" s="1" t="str">
        <f aca="false">IF(Q1200="Cancelled","Not Applicable",IF(Q1200="Processing","Pending",IF(B1200="","Unknown",IF(Orders!J1200="","Unknown",IF(Orders!J1200&lt;=3,"Fast",IF(Orders!J1200&lt;=6,"Standard","Slow"))))))</f>
        <v>Pending</v>
      </c>
      <c r="Y1200" s="1" t="n">
        <f aca="false">IF(OR(Q1200="Cancelled",Q1200="Returned"),0,O1200)</f>
        <v>1047.3</v>
      </c>
    </row>
    <row r="1201" customFormat="false" ht="15" hidden="false" customHeight="false" outlineLevel="0" collapsed="false">
      <c r="A1201" s="6" t="str">
        <f aca="false">Orders!A1201</f>
        <v>O001200</v>
      </c>
      <c r="B1201" s="19" t="n">
        <f aca="false">Orders!B1201</f>
        <v>45839</v>
      </c>
      <c r="C1201" s="6" t="str">
        <f aca="false">Orders!C1201</f>
        <v>C0091</v>
      </c>
      <c r="D1201" s="6" t="str">
        <f aca="false">Orders!D1201</f>
        <v>P1034</v>
      </c>
      <c r="E1201" s="6" t="str">
        <f aca="false">INDEX(Products!$B$2:$B$101,MATCH(D1201,Products!$A$2:$A$101,0))</f>
        <v>Table Lamp</v>
      </c>
      <c r="F1201" s="1" t="str">
        <f aca="false">INDEX(Products!$C$2:$C$101,MATCH(D1201,Products!$A$2:$A$101,0))</f>
        <v>Home &amp; Kitchen</v>
      </c>
      <c r="G1201" s="6" t="n">
        <f aca="false">Orders!E1201</f>
        <v>1</v>
      </c>
      <c r="H1201" s="16" t="n">
        <f aca="false">INDEX(Products!$D$2:$D$101,MATCH(D1201,Products!$A$2:$A$101,0))</f>
        <v>899</v>
      </c>
      <c r="I1201" s="16" t="n">
        <f aca="false">INDEX(Products!$E$2:$E$101,MATCH(D1201,Products!$A$2:$A$101,0))</f>
        <v>420</v>
      </c>
      <c r="J1201" s="20" t="n">
        <f aca="false">Orders!F1201</f>
        <v>0.1</v>
      </c>
      <c r="K1201" s="6" t="n">
        <f aca="false">G1201*H1201</f>
        <v>899</v>
      </c>
      <c r="L1201" s="6" t="n">
        <f aca="false">K1201*J1201</f>
        <v>89.9</v>
      </c>
      <c r="M1201" s="6" t="n">
        <f aca="false">K1201-L1201</f>
        <v>809.1</v>
      </c>
      <c r="N1201" s="6" t="n">
        <f aca="false">G1201*I1201</f>
        <v>420</v>
      </c>
      <c r="O1201" s="6" t="n">
        <f aca="false">M1201-N1201</f>
        <v>389.1</v>
      </c>
      <c r="P1201" s="21" t="n">
        <f aca="false">IFERROR(O1201/M1201,0)</f>
        <v>0.480904708935855</v>
      </c>
      <c r="Q1201" s="6" t="str">
        <f aca="false">Orders!H1201</f>
        <v>Delivered</v>
      </c>
      <c r="R1201" s="1" t="str">
        <f aca="false">INDEX(Customers!$C$2:$C$301,MATCH(C1201,Customers!$A$2:$A$301,0))</f>
        <v>Gurugram</v>
      </c>
      <c r="S1201" s="1" t="str">
        <f aca="false">INDEX(Customers!$E$2:$E$301,MATCH(C1201,Customers!$A$2:$A$301,0))</f>
        <v>Returning</v>
      </c>
      <c r="T1201" s="6" t="str">
        <f aca="false">Orders!I1201</f>
        <v>Marketplace</v>
      </c>
      <c r="U1201" s="1" t="str">
        <f aca="false">IF(Q1201="Delivered","Completed",IF(Q1201="Cancelled","Cancelled",IF(Q1201="Returned","Returned","In Progress")))</f>
        <v>Completed</v>
      </c>
      <c r="V1201" s="1" t="str">
        <f aca="false">IF(M1201&gt;=10000,"High Value",IF(M1201&gt;=5000,"Medium Value","Low Value"))</f>
        <v>Low Value</v>
      </c>
      <c r="W1201" s="1" t="str">
        <f aca="false">IF(O1201&gt;0,"Profitable",IF(O1201=0,"Break-even","Loss"))</f>
        <v>Profitable</v>
      </c>
      <c r="X1201" s="1" t="str">
        <f aca="false">IF(Q1201="Cancelled","Not Applicable",IF(Q1201="Processing","Pending",IF(B1201="","Unknown",IF(Orders!J1201="","Unknown",IF(Orders!J1201&lt;=3,"Fast",IF(Orders!J1201&lt;=6,"Standard","Slow"))))))</f>
        <v>Fast</v>
      </c>
      <c r="Y1201" s="1" t="n">
        <f aca="false">IF(OR(Q1201="Cancelled",Q1201="Returned"),0,O1201)</f>
        <v>389.1</v>
      </c>
    </row>
    <row r="1202" customFormat="false" ht="15" hidden="false" customHeight="false" outlineLevel="0" collapsed="false">
      <c r="A1202" s="6" t="str">
        <f aca="false">Orders!A1202</f>
        <v>O001201</v>
      </c>
      <c r="B1202" s="19" t="n">
        <f aca="false">Orders!B1202</f>
        <v>45709</v>
      </c>
      <c r="C1202" s="6" t="str">
        <f aca="false">Orders!C1202</f>
        <v>C0035</v>
      </c>
      <c r="D1202" s="6" t="str">
        <f aca="false">Orders!D1202</f>
        <v>P1064</v>
      </c>
      <c r="E1202" s="6" t="str">
        <f aca="false">INDEX(Products!$B$2:$B$101,MATCH(D1202,Products!$A$2:$A$101,0))</f>
        <v>Football</v>
      </c>
      <c r="F1202" s="1" t="str">
        <f aca="false">INDEX(Products!$C$2:$C$101,MATCH(D1202,Products!$A$2:$A$101,0))</f>
        <v>Sports &amp; Outdoors</v>
      </c>
      <c r="G1202" s="6" t="n">
        <f aca="false">Orders!E1202</f>
        <v>1</v>
      </c>
      <c r="H1202" s="16" t="n">
        <f aca="false">INDEX(Products!$D$2:$D$101,MATCH(D1202,Products!$A$2:$A$101,0))</f>
        <v>699</v>
      </c>
      <c r="I1202" s="16" t="n">
        <f aca="false">INDEX(Products!$E$2:$E$101,MATCH(D1202,Products!$A$2:$A$101,0))</f>
        <v>300</v>
      </c>
      <c r="J1202" s="20" t="n">
        <f aca="false">Orders!F1202</f>
        <v>0.15</v>
      </c>
      <c r="K1202" s="6" t="n">
        <f aca="false">G1202*H1202</f>
        <v>699</v>
      </c>
      <c r="L1202" s="6" t="n">
        <f aca="false">K1202*J1202</f>
        <v>104.85</v>
      </c>
      <c r="M1202" s="6" t="n">
        <f aca="false">K1202-L1202</f>
        <v>594.15</v>
      </c>
      <c r="N1202" s="6" t="n">
        <f aca="false">G1202*I1202</f>
        <v>300</v>
      </c>
      <c r="O1202" s="6" t="n">
        <f aca="false">M1202-N1202</f>
        <v>294.15</v>
      </c>
      <c r="P1202" s="21" t="n">
        <f aca="false">IFERROR(O1202/M1202,0)</f>
        <v>0.495077000757385</v>
      </c>
      <c r="Q1202" s="6" t="str">
        <f aca="false">Orders!H1202</f>
        <v>Delivered</v>
      </c>
      <c r="R1202" s="1" t="str">
        <f aca="false">INDEX(Customers!$C$2:$C$301,MATCH(C1202,Customers!$A$2:$A$301,0))</f>
        <v>Bhopal</v>
      </c>
      <c r="S1202" s="1" t="str">
        <f aca="false">INDEX(Customers!$E$2:$E$301,MATCH(C1202,Customers!$A$2:$A$301,0))</f>
        <v>Returning</v>
      </c>
      <c r="T1202" s="6" t="str">
        <f aca="false">Orders!I1202</f>
        <v>Marketplace</v>
      </c>
      <c r="U1202" s="1" t="str">
        <f aca="false">IF(Q1202="Delivered","Completed",IF(Q1202="Cancelled","Cancelled",IF(Q1202="Returned","Returned","In Progress")))</f>
        <v>Completed</v>
      </c>
      <c r="V1202" s="1" t="str">
        <f aca="false">IF(M1202&gt;=10000,"High Value",IF(M1202&gt;=5000,"Medium Value","Low Value"))</f>
        <v>Low Value</v>
      </c>
      <c r="W1202" s="1" t="str">
        <f aca="false">IF(O1202&gt;0,"Profitable",IF(O1202=0,"Break-even","Loss"))</f>
        <v>Profitable</v>
      </c>
      <c r="X1202" s="1" t="str">
        <f aca="false">IF(Q1202="Cancelled","Not Applicable",IF(Q1202="Processing","Pending",IF(B1202="","Unknown",IF(Orders!J1202="","Unknown",IF(Orders!J1202&lt;=3,"Fast",IF(Orders!J1202&lt;=6,"Standard","Slow"))))))</f>
        <v>Standard</v>
      </c>
      <c r="Y1202" s="1" t="n">
        <f aca="false">IF(OR(Q1202="Cancelled",Q1202="Returned"),0,O1202)</f>
        <v>294.15</v>
      </c>
    </row>
    <row r="1203" customFormat="false" ht="23.85" hidden="false" customHeight="false" outlineLevel="0" collapsed="false">
      <c r="A1203" s="6" t="str">
        <f aca="false">Orders!A1203</f>
        <v>O001202</v>
      </c>
      <c r="B1203" s="19" t="n">
        <f aca="false">Orders!B1203</f>
        <v>45882</v>
      </c>
      <c r="C1203" s="6" t="str">
        <f aca="false">Orders!C1203</f>
        <v>C0048</v>
      </c>
      <c r="D1203" s="6" t="str">
        <f aca="false">Orders!D1203</f>
        <v>P1099</v>
      </c>
      <c r="E1203" s="6" t="str">
        <f aca="false">INDEX(Products!$B$2:$B$101,MATCH(D1203,Products!$A$2:$A$101,0))</f>
        <v>Sandwich Maker</v>
      </c>
      <c r="F1203" s="1" t="str">
        <f aca="false">INDEX(Products!$C$2:$C$101,MATCH(D1203,Products!$A$2:$A$101,0))</f>
        <v>Appliances</v>
      </c>
      <c r="G1203" s="6" t="n">
        <f aca="false">Orders!E1203</f>
        <v>2</v>
      </c>
      <c r="H1203" s="16" t="n">
        <f aca="false">INDEX(Products!$D$2:$D$101,MATCH(D1203,Products!$A$2:$A$101,0))</f>
        <v>1299</v>
      </c>
      <c r="I1203" s="16" t="n">
        <f aca="false">INDEX(Products!$E$2:$E$101,MATCH(D1203,Products!$A$2:$A$101,0))</f>
        <v>750</v>
      </c>
      <c r="J1203" s="20" t="n">
        <f aca="false">Orders!F1203</f>
        <v>0.15</v>
      </c>
      <c r="K1203" s="6" t="n">
        <f aca="false">G1203*H1203</f>
        <v>2598</v>
      </c>
      <c r="L1203" s="6" t="n">
        <f aca="false">K1203*J1203</f>
        <v>389.7</v>
      </c>
      <c r="M1203" s="6" t="n">
        <f aca="false">K1203-L1203</f>
        <v>2208.3</v>
      </c>
      <c r="N1203" s="6" t="n">
        <f aca="false">G1203*I1203</f>
        <v>1500</v>
      </c>
      <c r="O1203" s="6" t="n">
        <f aca="false">M1203-N1203</f>
        <v>708.3</v>
      </c>
      <c r="P1203" s="21" t="n">
        <f aca="false">IFERROR(O1203/M1203,0)</f>
        <v>0.320744464067382</v>
      </c>
      <c r="Q1203" s="6" t="str">
        <f aca="false">Orders!H1203</f>
        <v>Shipped</v>
      </c>
      <c r="R1203" s="1" t="str">
        <f aca="false">INDEX(Customers!$C$2:$C$301,MATCH(C1203,Customers!$A$2:$A$301,0))</f>
        <v>Jaipur</v>
      </c>
      <c r="S1203" s="1" t="str">
        <f aca="false">INDEX(Customers!$E$2:$E$301,MATCH(C1203,Customers!$A$2:$A$301,0))</f>
        <v>New</v>
      </c>
      <c r="T1203" s="6" t="str">
        <f aca="false">Orders!I1203</f>
        <v>Mobile App</v>
      </c>
      <c r="U1203" s="1" t="str">
        <f aca="false">IF(Q1203="Delivered","Completed",IF(Q1203="Cancelled","Cancelled",IF(Q1203="Returned","Returned","In Progress")))</f>
        <v>In Progress</v>
      </c>
      <c r="V1203" s="1" t="str">
        <f aca="false">IF(M1203&gt;=10000,"High Value",IF(M1203&gt;=5000,"Medium Value","Low Value"))</f>
        <v>Low Value</v>
      </c>
      <c r="W1203" s="1" t="str">
        <f aca="false">IF(O1203&gt;0,"Profitable",IF(O1203=0,"Break-even","Loss"))</f>
        <v>Profitable</v>
      </c>
      <c r="X1203" s="1" t="str">
        <f aca="false">IF(Q1203="Cancelled","Not Applicable",IF(Q1203="Processing","Pending",IF(B1203="","Unknown",IF(Orders!J1203="","Unknown",IF(Orders!J1203&lt;=3,"Fast",IF(Orders!J1203&lt;=6,"Standard","Slow"))))))</f>
        <v>Fast</v>
      </c>
      <c r="Y1203" s="1" t="n">
        <f aca="false">IF(OR(Q1203="Cancelled",Q1203="Returned"),0,O1203)</f>
        <v>708.3</v>
      </c>
    </row>
    <row r="1204" customFormat="false" ht="15" hidden="false" customHeight="false" outlineLevel="0" collapsed="false">
      <c r="A1204" s="6" t="str">
        <f aca="false">Orders!A1204</f>
        <v>O001203</v>
      </c>
      <c r="B1204" s="19" t="n">
        <f aca="false">Orders!B1204</f>
        <v>45741</v>
      </c>
      <c r="C1204" s="6" t="str">
        <f aca="false">Orders!C1204</f>
        <v>C0203</v>
      </c>
      <c r="D1204" s="6" t="str">
        <f aca="false">Orders!D1204</f>
        <v>P1013</v>
      </c>
      <c r="E1204" s="6" t="str">
        <f aca="false">INDEX(Products!$B$2:$B$101,MATCH(D1204,Products!$A$2:$A$101,0))</f>
        <v>Memory Card</v>
      </c>
      <c r="F1204" s="1" t="str">
        <f aca="false">INDEX(Products!$C$2:$C$101,MATCH(D1204,Products!$A$2:$A$101,0))</f>
        <v>Electronics</v>
      </c>
      <c r="G1204" s="6" t="n">
        <f aca="false">Orders!E1204</f>
        <v>4</v>
      </c>
      <c r="H1204" s="16" t="n">
        <f aca="false">INDEX(Products!$D$2:$D$101,MATCH(D1204,Products!$A$2:$A$101,0))</f>
        <v>699</v>
      </c>
      <c r="I1204" s="16" t="n">
        <f aca="false">INDEX(Products!$E$2:$E$101,MATCH(D1204,Products!$A$2:$A$101,0))</f>
        <v>400</v>
      </c>
      <c r="J1204" s="20" t="n">
        <f aca="false">Orders!F1204</f>
        <v>0.1</v>
      </c>
      <c r="K1204" s="6" t="n">
        <f aca="false">G1204*H1204</f>
        <v>2796</v>
      </c>
      <c r="L1204" s="6" t="n">
        <f aca="false">K1204*J1204</f>
        <v>279.6</v>
      </c>
      <c r="M1204" s="6" t="n">
        <f aca="false">K1204-L1204</f>
        <v>2516.4</v>
      </c>
      <c r="N1204" s="6" t="n">
        <f aca="false">G1204*I1204</f>
        <v>1600</v>
      </c>
      <c r="O1204" s="6" t="n">
        <f aca="false">M1204-N1204</f>
        <v>916.4</v>
      </c>
      <c r="P1204" s="21" t="n">
        <f aca="false">IFERROR(O1204/M1204,0)</f>
        <v>0.364171037990781</v>
      </c>
      <c r="Q1204" s="6" t="str">
        <f aca="false">Orders!H1204</f>
        <v>Cancelled</v>
      </c>
      <c r="R1204" s="1" t="str">
        <f aca="false">INDEX(Customers!$C$2:$C$301,MATCH(C1204,Customers!$A$2:$A$301,0))</f>
        <v>Bengaluru</v>
      </c>
      <c r="S1204" s="1" t="str">
        <f aca="false">INDEX(Customers!$E$2:$E$301,MATCH(C1204,Customers!$A$2:$A$301,0))</f>
        <v>New</v>
      </c>
      <c r="T1204" s="6" t="str">
        <f aca="false">Orders!I1204</f>
        <v>Mobile App</v>
      </c>
      <c r="U1204" s="1" t="str">
        <f aca="false">IF(Q1204="Delivered","Completed",IF(Q1204="Cancelled","Cancelled",IF(Q1204="Returned","Returned","In Progress")))</f>
        <v>Cancelled</v>
      </c>
      <c r="V1204" s="1" t="str">
        <f aca="false">IF(M1204&gt;=10000,"High Value",IF(M1204&gt;=5000,"Medium Value","Low Value"))</f>
        <v>Low Value</v>
      </c>
      <c r="W1204" s="1" t="str">
        <f aca="false">IF(O1204&gt;0,"Profitable",IF(O1204=0,"Break-even","Loss"))</f>
        <v>Profitable</v>
      </c>
      <c r="X1204" s="1" t="str">
        <f aca="false">IF(Q1204="Cancelled","Not Applicable",IF(Q1204="Processing","Pending",IF(B1204="","Unknown",IF(Orders!J1204="","Unknown",IF(Orders!J1204&lt;=3,"Fast",IF(Orders!J1204&lt;=6,"Standard","Slow"))))))</f>
        <v>Not Applicable</v>
      </c>
      <c r="Y1204" s="1" t="n">
        <f aca="false">IF(OR(Q1204="Cancelled",Q1204="Returned"),0,O1204)</f>
        <v>0</v>
      </c>
    </row>
    <row r="1205" customFormat="false" ht="15" hidden="false" customHeight="false" outlineLevel="0" collapsed="false">
      <c r="A1205" s="6" t="str">
        <f aca="false">Orders!A1205</f>
        <v>O001204</v>
      </c>
      <c r="B1205" s="19" t="n">
        <f aca="false">Orders!B1205</f>
        <v>45754</v>
      </c>
      <c r="C1205" s="6" t="str">
        <f aca="false">Orders!C1205</f>
        <v>C0293</v>
      </c>
      <c r="D1205" s="6" t="str">
        <f aca="false">Orders!D1205</f>
        <v>P1015</v>
      </c>
      <c r="E1205" s="6" t="str">
        <f aca="false">INDEX(Products!$B$2:$B$101,MATCH(D1205,Products!$A$2:$A$101,0))</f>
        <v>Portable SSD</v>
      </c>
      <c r="F1205" s="1" t="str">
        <f aca="false">INDEX(Products!$C$2:$C$101,MATCH(D1205,Products!$A$2:$A$101,0))</f>
        <v>Electronics</v>
      </c>
      <c r="G1205" s="6" t="n">
        <f aca="false">Orders!E1205</f>
        <v>1</v>
      </c>
      <c r="H1205" s="16" t="n">
        <f aca="false">INDEX(Products!$D$2:$D$101,MATCH(D1205,Products!$A$2:$A$101,0))</f>
        <v>3999</v>
      </c>
      <c r="I1205" s="16" t="n">
        <f aca="false">INDEX(Products!$E$2:$E$101,MATCH(D1205,Products!$A$2:$A$101,0))</f>
        <v>2800</v>
      </c>
      <c r="J1205" s="20" t="n">
        <f aca="false">Orders!F1205</f>
        <v>0.15</v>
      </c>
      <c r="K1205" s="6" t="n">
        <f aca="false">G1205*H1205</f>
        <v>3999</v>
      </c>
      <c r="L1205" s="6" t="n">
        <f aca="false">K1205*J1205</f>
        <v>599.85</v>
      </c>
      <c r="M1205" s="6" t="n">
        <f aca="false">K1205-L1205</f>
        <v>3399.15</v>
      </c>
      <c r="N1205" s="6" t="n">
        <f aca="false">G1205*I1205</f>
        <v>2800</v>
      </c>
      <c r="O1205" s="6" t="n">
        <f aca="false">M1205-N1205</f>
        <v>599.15</v>
      </c>
      <c r="P1205" s="21" t="n">
        <f aca="false">IFERROR(O1205/M1205,0)</f>
        <v>0.176264654398894</v>
      </c>
      <c r="Q1205" s="6" t="str">
        <f aca="false">Orders!H1205</f>
        <v>Delivered</v>
      </c>
      <c r="R1205" s="1" t="str">
        <f aca="false">INDEX(Customers!$C$2:$C$301,MATCH(C1205,Customers!$A$2:$A$301,0))</f>
        <v>Kochi</v>
      </c>
      <c r="S1205" s="1" t="str">
        <f aca="false">INDEX(Customers!$E$2:$E$301,MATCH(C1205,Customers!$A$2:$A$301,0))</f>
        <v>VIP</v>
      </c>
      <c r="T1205" s="6" t="str">
        <f aca="false">Orders!I1205</f>
        <v>Website</v>
      </c>
      <c r="U1205" s="1" t="str">
        <f aca="false">IF(Q1205="Delivered","Completed",IF(Q1205="Cancelled","Cancelled",IF(Q1205="Returned","Returned","In Progress")))</f>
        <v>Completed</v>
      </c>
      <c r="V1205" s="1" t="str">
        <f aca="false">IF(M1205&gt;=10000,"High Value",IF(M1205&gt;=5000,"Medium Value","Low Value"))</f>
        <v>Low Value</v>
      </c>
      <c r="W1205" s="1" t="str">
        <f aca="false">IF(O1205&gt;0,"Profitable",IF(O1205=0,"Break-even","Loss"))</f>
        <v>Profitable</v>
      </c>
      <c r="X1205" s="1" t="str">
        <f aca="false">IF(Q1205="Cancelled","Not Applicable",IF(Q1205="Processing","Pending",IF(B1205="","Unknown",IF(Orders!J1205="","Unknown",IF(Orders!J1205&lt;=3,"Fast",IF(Orders!J1205&lt;=6,"Standard","Slow"))))))</f>
        <v>Standard</v>
      </c>
      <c r="Y1205" s="1" t="n">
        <f aca="false">IF(OR(Q1205="Cancelled",Q1205="Returned"),0,O1205)</f>
        <v>599.15</v>
      </c>
    </row>
    <row r="1206" customFormat="false" ht="15" hidden="false" customHeight="false" outlineLevel="0" collapsed="false">
      <c r="A1206" s="6" t="str">
        <f aca="false">Orders!A1206</f>
        <v>O001205</v>
      </c>
      <c r="B1206" s="19" t="n">
        <f aca="false">Orders!B1206</f>
        <v>45810</v>
      </c>
      <c r="C1206" s="6" t="str">
        <f aca="false">Orders!C1206</f>
        <v>C0226</v>
      </c>
      <c r="D1206" s="6" t="str">
        <f aca="false">Orders!D1206</f>
        <v>P1056</v>
      </c>
      <c r="E1206" s="6" t="str">
        <f aca="false">INDEX(Products!$B$2:$B$101,MATCH(D1206,Products!$A$2:$A$101,0))</f>
        <v>Hair Dryer</v>
      </c>
      <c r="F1206" s="1" t="str">
        <f aca="false">INDEX(Products!$C$2:$C$101,MATCH(D1206,Products!$A$2:$A$101,0))</f>
        <v>Beauty</v>
      </c>
      <c r="G1206" s="6" t="n">
        <f aca="false">Orders!E1206</f>
        <v>5</v>
      </c>
      <c r="H1206" s="16" t="n">
        <f aca="false">INDEX(Products!$D$2:$D$101,MATCH(D1206,Products!$A$2:$A$101,0))</f>
        <v>1299</v>
      </c>
      <c r="I1206" s="16" t="n">
        <f aca="false">INDEX(Products!$E$2:$E$101,MATCH(D1206,Products!$A$2:$A$101,0))</f>
        <v>750</v>
      </c>
      <c r="J1206" s="20" t="n">
        <f aca="false">Orders!F1206</f>
        <v>0.1</v>
      </c>
      <c r="K1206" s="6" t="n">
        <f aca="false">G1206*H1206</f>
        <v>6495</v>
      </c>
      <c r="L1206" s="6" t="n">
        <f aca="false">K1206*J1206</f>
        <v>649.5</v>
      </c>
      <c r="M1206" s="6" t="n">
        <f aca="false">K1206-L1206</f>
        <v>5845.5</v>
      </c>
      <c r="N1206" s="6" t="n">
        <f aca="false">G1206*I1206</f>
        <v>3750</v>
      </c>
      <c r="O1206" s="6" t="n">
        <f aca="false">M1206-N1206</f>
        <v>2095.5</v>
      </c>
      <c r="P1206" s="21" t="n">
        <f aca="false">IFERROR(O1206/M1206,0)</f>
        <v>0.358480882730305</v>
      </c>
      <c r="Q1206" s="6" t="str">
        <f aca="false">Orders!H1206</f>
        <v>Delivered</v>
      </c>
      <c r="R1206" s="1" t="str">
        <f aca="false">INDEX(Customers!$C$2:$C$301,MATCH(C1206,Customers!$A$2:$A$301,0))</f>
        <v>Kolkata</v>
      </c>
      <c r="S1206" s="1" t="str">
        <f aca="false">INDEX(Customers!$E$2:$E$301,MATCH(C1206,Customers!$A$2:$A$301,0))</f>
        <v>Returning</v>
      </c>
      <c r="T1206" s="6" t="str">
        <f aca="false">Orders!I1206</f>
        <v>Website</v>
      </c>
      <c r="U1206" s="1" t="str">
        <f aca="false">IF(Q1206="Delivered","Completed",IF(Q1206="Cancelled","Cancelled",IF(Q1206="Returned","Returned","In Progress")))</f>
        <v>Completed</v>
      </c>
      <c r="V1206" s="1" t="str">
        <f aca="false">IF(M1206&gt;=10000,"High Value",IF(M1206&gt;=5000,"Medium Value","Low Value"))</f>
        <v>Medium Value</v>
      </c>
      <c r="W1206" s="1" t="str">
        <f aca="false">IF(O1206&gt;0,"Profitable",IF(O1206=0,"Break-even","Loss"))</f>
        <v>Profitable</v>
      </c>
      <c r="X1206" s="1" t="str">
        <f aca="false">IF(Q1206="Cancelled","Not Applicable",IF(Q1206="Processing","Pending",IF(B1206="","Unknown",IF(Orders!J1206="","Unknown",IF(Orders!J1206&lt;=3,"Fast",IF(Orders!J1206&lt;=6,"Standard","Slow"))))))</f>
        <v>Slow</v>
      </c>
      <c r="Y1206" s="1" t="n">
        <f aca="false">IF(OR(Q1206="Cancelled",Q1206="Returned"),0,O1206)</f>
        <v>2095.5</v>
      </c>
    </row>
    <row r="1207" customFormat="false" ht="15" hidden="false" customHeight="false" outlineLevel="0" collapsed="false">
      <c r="A1207" s="6" t="str">
        <f aca="false">Orders!A1207</f>
        <v>O001206</v>
      </c>
      <c r="B1207" s="19" t="n">
        <f aca="false">Orders!B1207</f>
        <v>45695</v>
      </c>
      <c r="C1207" s="6" t="str">
        <f aca="false">Orders!C1207</f>
        <v>C0021</v>
      </c>
      <c r="D1207" s="6" t="str">
        <f aca="false">Orders!D1207</f>
        <v>P1087</v>
      </c>
      <c r="E1207" s="6" t="str">
        <f aca="false">INDEX(Products!$B$2:$B$101,MATCH(D1207,Products!$A$2:$A$101,0))</f>
        <v>Book Stand</v>
      </c>
      <c r="F1207" s="1" t="str">
        <f aca="false">INDEX(Products!$C$2:$C$101,MATCH(D1207,Products!$A$2:$A$101,0))</f>
        <v>Books &amp; Stationery</v>
      </c>
      <c r="G1207" s="6" t="n">
        <f aca="false">Orders!E1207</f>
        <v>1</v>
      </c>
      <c r="H1207" s="16" t="n">
        <f aca="false">INDEX(Products!$D$2:$D$101,MATCH(D1207,Products!$A$2:$A$101,0))</f>
        <v>449</v>
      </c>
      <c r="I1207" s="16" t="n">
        <f aca="false">INDEX(Products!$E$2:$E$101,MATCH(D1207,Products!$A$2:$A$101,0))</f>
        <v>200</v>
      </c>
      <c r="J1207" s="20" t="n">
        <f aca="false">Orders!F1207</f>
        <v>0.2</v>
      </c>
      <c r="K1207" s="6" t="n">
        <f aca="false">G1207*H1207</f>
        <v>449</v>
      </c>
      <c r="L1207" s="6" t="n">
        <f aca="false">K1207*J1207</f>
        <v>89.8</v>
      </c>
      <c r="M1207" s="6" t="n">
        <f aca="false">K1207-L1207</f>
        <v>359.2</v>
      </c>
      <c r="N1207" s="6" t="n">
        <f aca="false">G1207*I1207</f>
        <v>200</v>
      </c>
      <c r="O1207" s="6" t="n">
        <f aca="false">M1207-N1207</f>
        <v>159.2</v>
      </c>
      <c r="P1207" s="21" t="n">
        <f aca="false">IFERROR(O1207/M1207,0)</f>
        <v>0.443207126948775</v>
      </c>
      <c r="Q1207" s="6" t="str">
        <f aca="false">Orders!H1207</f>
        <v>Delivered</v>
      </c>
      <c r="R1207" s="1" t="str">
        <f aca="false">INDEX(Customers!$C$2:$C$301,MATCH(C1207,Customers!$A$2:$A$301,0))</f>
        <v>Delhi</v>
      </c>
      <c r="S1207" s="1" t="str">
        <f aca="false">INDEX(Customers!$E$2:$E$301,MATCH(C1207,Customers!$A$2:$A$301,0))</f>
        <v>Returning</v>
      </c>
      <c r="T1207" s="6" t="str">
        <f aca="false">Orders!I1207</f>
        <v>Website</v>
      </c>
      <c r="U1207" s="1" t="str">
        <f aca="false">IF(Q1207="Delivered","Completed",IF(Q1207="Cancelled","Cancelled",IF(Q1207="Returned","Returned","In Progress")))</f>
        <v>Completed</v>
      </c>
      <c r="V1207" s="1" t="str">
        <f aca="false">IF(M1207&gt;=10000,"High Value",IF(M1207&gt;=5000,"Medium Value","Low Value"))</f>
        <v>Low Value</v>
      </c>
      <c r="W1207" s="1" t="str">
        <f aca="false">IF(O1207&gt;0,"Profitable",IF(O1207=0,"Break-even","Loss"))</f>
        <v>Profitable</v>
      </c>
      <c r="X1207" s="1" t="str">
        <f aca="false">IF(Q1207="Cancelled","Not Applicable",IF(Q1207="Processing","Pending",IF(B1207="","Unknown",IF(Orders!J1207="","Unknown",IF(Orders!J1207&lt;=3,"Fast",IF(Orders!J1207&lt;=6,"Standard","Slow"))))))</f>
        <v>Fast</v>
      </c>
      <c r="Y1207" s="1" t="n">
        <f aca="false">IF(OR(Q1207="Cancelled",Q1207="Returned"),0,O1207)</f>
        <v>159.2</v>
      </c>
    </row>
    <row r="1208" customFormat="false" ht="15" hidden="false" customHeight="false" outlineLevel="0" collapsed="false">
      <c r="A1208" s="6" t="str">
        <f aca="false">Orders!A1208</f>
        <v>O001207</v>
      </c>
      <c r="B1208" s="19" t="n">
        <f aca="false">Orders!B1208</f>
        <v>45836</v>
      </c>
      <c r="C1208" s="6" t="str">
        <f aca="false">Orders!C1208</f>
        <v>C0185</v>
      </c>
      <c r="D1208" s="6" t="str">
        <f aca="false">Orders!D1208</f>
        <v>P1024</v>
      </c>
      <c r="E1208" s="6" t="str">
        <f aca="false">INDEX(Products!$B$2:$B$101,MATCH(D1208,Products!$A$2:$A$101,0))</f>
        <v>Kurta</v>
      </c>
      <c r="F1208" s="1" t="str">
        <f aca="false">INDEX(Products!$C$2:$C$101,MATCH(D1208,Products!$A$2:$A$101,0))</f>
        <v>Fashion</v>
      </c>
      <c r="G1208" s="6" t="n">
        <f aca="false">Orders!E1208</f>
        <v>1</v>
      </c>
      <c r="H1208" s="16" t="n">
        <f aca="false">INDEX(Products!$D$2:$D$101,MATCH(D1208,Products!$A$2:$A$101,0))</f>
        <v>999</v>
      </c>
      <c r="I1208" s="16" t="n">
        <f aca="false">INDEX(Products!$E$2:$E$101,MATCH(D1208,Products!$A$2:$A$101,0))</f>
        <v>450</v>
      </c>
      <c r="J1208" s="20" t="n">
        <f aca="false">Orders!F1208</f>
        <v>0.1</v>
      </c>
      <c r="K1208" s="6" t="n">
        <f aca="false">G1208*H1208</f>
        <v>999</v>
      </c>
      <c r="L1208" s="6" t="n">
        <f aca="false">K1208*J1208</f>
        <v>99.9</v>
      </c>
      <c r="M1208" s="6" t="n">
        <f aca="false">K1208-L1208</f>
        <v>899.1</v>
      </c>
      <c r="N1208" s="6" t="n">
        <f aca="false">G1208*I1208</f>
        <v>450</v>
      </c>
      <c r="O1208" s="6" t="n">
        <f aca="false">M1208-N1208</f>
        <v>449.1</v>
      </c>
      <c r="P1208" s="21" t="n">
        <f aca="false">IFERROR(O1208/M1208,0)</f>
        <v>0.4994994994995</v>
      </c>
      <c r="Q1208" s="6" t="str">
        <f aca="false">Orders!H1208</f>
        <v>Delivered</v>
      </c>
      <c r="R1208" s="1" t="str">
        <f aca="false">INDEX(Customers!$C$2:$C$301,MATCH(C1208,Customers!$A$2:$A$301,0))</f>
        <v>Chennai</v>
      </c>
      <c r="S1208" s="1" t="str">
        <f aca="false">INDEX(Customers!$E$2:$E$301,MATCH(C1208,Customers!$A$2:$A$301,0))</f>
        <v>New</v>
      </c>
      <c r="T1208" s="6" t="str">
        <f aca="false">Orders!I1208</f>
        <v>Website</v>
      </c>
      <c r="U1208" s="1" t="str">
        <f aca="false">IF(Q1208="Delivered","Completed",IF(Q1208="Cancelled","Cancelled",IF(Q1208="Returned","Returned","In Progress")))</f>
        <v>Completed</v>
      </c>
      <c r="V1208" s="1" t="str">
        <f aca="false">IF(M1208&gt;=10000,"High Value",IF(M1208&gt;=5000,"Medium Value","Low Value"))</f>
        <v>Low Value</v>
      </c>
      <c r="W1208" s="1" t="str">
        <f aca="false">IF(O1208&gt;0,"Profitable",IF(O1208=0,"Break-even","Loss"))</f>
        <v>Profitable</v>
      </c>
      <c r="X1208" s="1" t="str">
        <f aca="false">IF(Q1208="Cancelled","Not Applicable",IF(Q1208="Processing","Pending",IF(B1208="","Unknown",IF(Orders!J1208="","Unknown",IF(Orders!J1208&lt;=3,"Fast",IF(Orders!J1208&lt;=6,"Standard","Slow"))))))</f>
        <v>Fast</v>
      </c>
      <c r="Y1208" s="1" t="n">
        <f aca="false">IF(OR(Q1208="Cancelled",Q1208="Returned"),0,O1208)</f>
        <v>449.1</v>
      </c>
    </row>
    <row r="1209" customFormat="false" ht="23.85" hidden="false" customHeight="false" outlineLevel="0" collapsed="false">
      <c r="A1209" s="6" t="str">
        <f aca="false">Orders!A1209</f>
        <v>O001208</v>
      </c>
      <c r="B1209" s="19" t="n">
        <f aca="false">Orders!B1209</f>
        <v>45930</v>
      </c>
      <c r="C1209" s="6" t="str">
        <f aca="false">Orders!C1209</f>
        <v>C0292</v>
      </c>
      <c r="D1209" s="6" t="str">
        <f aca="false">Orders!D1209</f>
        <v>P1093</v>
      </c>
      <c r="E1209" s="6" t="str">
        <f aca="false">INDEX(Products!$B$2:$B$101,MATCH(D1209,Products!$A$2:$A$101,0))</f>
        <v>Induction Cooktop</v>
      </c>
      <c r="F1209" s="1" t="str">
        <f aca="false">INDEX(Products!$C$2:$C$101,MATCH(D1209,Products!$A$2:$A$101,0))</f>
        <v>Appliances</v>
      </c>
      <c r="G1209" s="6" t="n">
        <f aca="false">Orders!E1209</f>
        <v>1</v>
      </c>
      <c r="H1209" s="16" t="n">
        <f aca="false">INDEX(Products!$D$2:$D$101,MATCH(D1209,Products!$A$2:$A$101,0))</f>
        <v>2299</v>
      </c>
      <c r="I1209" s="16" t="n">
        <f aca="false">INDEX(Products!$E$2:$E$101,MATCH(D1209,Products!$A$2:$A$101,0))</f>
        <v>1450</v>
      </c>
      <c r="J1209" s="20" t="n">
        <f aca="false">Orders!F1209</f>
        <v>0.05</v>
      </c>
      <c r="K1209" s="6" t="n">
        <f aca="false">G1209*H1209</f>
        <v>2299</v>
      </c>
      <c r="L1209" s="6" t="n">
        <f aca="false">K1209*J1209</f>
        <v>114.95</v>
      </c>
      <c r="M1209" s="6" t="n">
        <f aca="false">K1209-L1209</f>
        <v>2184.05</v>
      </c>
      <c r="N1209" s="6" t="n">
        <f aca="false">G1209*I1209</f>
        <v>1450</v>
      </c>
      <c r="O1209" s="6" t="n">
        <f aca="false">M1209-N1209</f>
        <v>734.05</v>
      </c>
      <c r="P1209" s="21" t="n">
        <f aca="false">IFERROR(O1209/M1209,0)</f>
        <v>0.336095785352899</v>
      </c>
      <c r="Q1209" s="6" t="str">
        <f aca="false">Orders!H1209</f>
        <v>Processing</v>
      </c>
      <c r="R1209" s="1" t="str">
        <f aca="false">INDEX(Customers!$C$2:$C$301,MATCH(C1209,Customers!$A$2:$A$301,0))</f>
        <v>Noida</v>
      </c>
      <c r="S1209" s="1" t="str">
        <f aca="false">INDEX(Customers!$E$2:$E$301,MATCH(C1209,Customers!$A$2:$A$301,0))</f>
        <v>New</v>
      </c>
      <c r="T1209" s="6" t="str">
        <f aca="false">Orders!I1209</f>
        <v>Mobile App</v>
      </c>
      <c r="U1209" s="1" t="str">
        <f aca="false">IF(Q1209="Delivered","Completed",IF(Q1209="Cancelled","Cancelled",IF(Q1209="Returned","Returned","In Progress")))</f>
        <v>In Progress</v>
      </c>
      <c r="V1209" s="1" t="str">
        <f aca="false">IF(M1209&gt;=10000,"High Value",IF(M1209&gt;=5000,"Medium Value","Low Value"))</f>
        <v>Low Value</v>
      </c>
      <c r="W1209" s="1" t="str">
        <f aca="false">IF(O1209&gt;0,"Profitable",IF(O1209=0,"Break-even","Loss"))</f>
        <v>Profitable</v>
      </c>
      <c r="X1209" s="1" t="str">
        <f aca="false">IF(Q1209="Cancelled","Not Applicable",IF(Q1209="Processing","Pending",IF(B1209="","Unknown",IF(Orders!J1209="","Unknown",IF(Orders!J1209&lt;=3,"Fast",IF(Orders!J1209&lt;=6,"Standard","Slow"))))))</f>
        <v>Pending</v>
      </c>
      <c r="Y1209" s="1" t="n">
        <f aca="false">IF(OR(Q1209="Cancelled",Q1209="Returned"),0,O1209)</f>
        <v>734.05</v>
      </c>
    </row>
    <row r="1210" customFormat="false" ht="15" hidden="false" customHeight="false" outlineLevel="0" collapsed="false">
      <c r="A1210" s="6" t="str">
        <f aca="false">Orders!A1210</f>
        <v>O001209</v>
      </c>
      <c r="B1210" s="19" t="n">
        <f aca="false">Orders!B1210</f>
        <v>45783</v>
      </c>
      <c r="C1210" s="6" t="str">
        <f aca="false">Orders!C1210</f>
        <v>C0207</v>
      </c>
      <c r="D1210" s="6" t="str">
        <f aca="false">Orders!D1210</f>
        <v>P1020</v>
      </c>
      <c r="E1210" s="6" t="str">
        <f aca="false">INDEX(Products!$B$2:$B$101,MATCH(D1210,Products!$A$2:$A$101,0))</f>
        <v>Backpack</v>
      </c>
      <c r="F1210" s="1" t="str">
        <f aca="false">INDEX(Products!$C$2:$C$101,MATCH(D1210,Products!$A$2:$A$101,0))</f>
        <v>Fashion</v>
      </c>
      <c r="G1210" s="6" t="n">
        <f aca="false">Orders!E1210</f>
        <v>1</v>
      </c>
      <c r="H1210" s="16" t="n">
        <f aca="false">INDEX(Products!$D$2:$D$101,MATCH(D1210,Products!$A$2:$A$101,0))</f>
        <v>1199</v>
      </c>
      <c r="I1210" s="16" t="n">
        <f aca="false">INDEX(Products!$E$2:$E$101,MATCH(D1210,Products!$A$2:$A$101,0))</f>
        <v>600</v>
      </c>
      <c r="J1210" s="20" t="n">
        <f aca="false">Orders!F1210</f>
        <v>0.15</v>
      </c>
      <c r="K1210" s="6" t="n">
        <f aca="false">G1210*H1210</f>
        <v>1199</v>
      </c>
      <c r="L1210" s="6" t="n">
        <f aca="false">K1210*J1210</f>
        <v>179.85</v>
      </c>
      <c r="M1210" s="6" t="n">
        <f aca="false">K1210-L1210</f>
        <v>1019.15</v>
      </c>
      <c r="N1210" s="6" t="n">
        <f aca="false">G1210*I1210</f>
        <v>600</v>
      </c>
      <c r="O1210" s="6" t="n">
        <f aca="false">M1210-N1210</f>
        <v>419.15</v>
      </c>
      <c r="P1210" s="21" t="n">
        <f aca="false">IFERROR(O1210/M1210,0)</f>
        <v>0.411274100966492</v>
      </c>
      <c r="Q1210" s="6" t="str">
        <f aca="false">Orders!H1210</f>
        <v>Delivered</v>
      </c>
      <c r="R1210" s="1" t="str">
        <f aca="false">INDEX(Customers!$C$2:$C$301,MATCH(C1210,Customers!$A$2:$A$301,0))</f>
        <v>Pune</v>
      </c>
      <c r="S1210" s="1" t="str">
        <f aca="false">INDEX(Customers!$E$2:$E$301,MATCH(C1210,Customers!$A$2:$A$301,0))</f>
        <v>Returning</v>
      </c>
      <c r="T1210" s="6" t="str">
        <f aca="false">Orders!I1210</f>
        <v>Mobile App</v>
      </c>
      <c r="U1210" s="1" t="str">
        <f aca="false">IF(Q1210="Delivered","Completed",IF(Q1210="Cancelled","Cancelled",IF(Q1210="Returned","Returned","In Progress")))</f>
        <v>Completed</v>
      </c>
      <c r="V1210" s="1" t="str">
        <f aca="false">IF(M1210&gt;=10000,"High Value",IF(M1210&gt;=5000,"Medium Value","Low Value"))</f>
        <v>Low Value</v>
      </c>
      <c r="W1210" s="1" t="str">
        <f aca="false">IF(O1210&gt;0,"Profitable",IF(O1210=0,"Break-even","Loss"))</f>
        <v>Profitable</v>
      </c>
      <c r="X1210" s="1" t="str">
        <f aca="false">IF(Q1210="Cancelled","Not Applicable",IF(Q1210="Processing","Pending",IF(B1210="","Unknown",IF(Orders!J1210="","Unknown",IF(Orders!J1210&lt;=3,"Fast",IF(Orders!J1210&lt;=6,"Standard","Slow"))))))</f>
        <v>Slow</v>
      </c>
      <c r="Y1210" s="1" t="n">
        <f aca="false">IF(OR(Q1210="Cancelled",Q1210="Returned"),0,O1210)</f>
        <v>419.15</v>
      </c>
    </row>
    <row r="1211" customFormat="false" ht="15" hidden="false" customHeight="false" outlineLevel="0" collapsed="false">
      <c r="A1211" s="6" t="str">
        <f aca="false">Orders!A1211</f>
        <v>O001210</v>
      </c>
      <c r="B1211" s="19" t="n">
        <f aca="false">Orders!B1211</f>
        <v>45913</v>
      </c>
      <c r="C1211" s="6" t="str">
        <f aca="false">Orders!C1211</f>
        <v>C0041</v>
      </c>
      <c r="D1211" s="6" t="str">
        <f aca="false">Orders!D1211</f>
        <v>P1034</v>
      </c>
      <c r="E1211" s="6" t="str">
        <f aca="false">INDEX(Products!$B$2:$B$101,MATCH(D1211,Products!$A$2:$A$101,0))</f>
        <v>Table Lamp</v>
      </c>
      <c r="F1211" s="1" t="str">
        <f aca="false">INDEX(Products!$C$2:$C$101,MATCH(D1211,Products!$A$2:$A$101,0))</f>
        <v>Home &amp; Kitchen</v>
      </c>
      <c r="G1211" s="6" t="n">
        <f aca="false">Orders!E1211</f>
        <v>3</v>
      </c>
      <c r="H1211" s="16" t="n">
        <f aca="false">INDEX(Products!$D$2:$D$101,MATCH(D1211,Products!$A$2:$A$101,0))</f>
        <v>899</v>
      </c>
      <c r="I1211" s="16" t="n">
        <f aca="false">INDEX(Products!$E$2:$E$101,MATCH(D1211,Products!$A$2:$A$101,0))</f>
        <v>420</v>
      </c>
      <c r="J1211" s="20" t="n">
        <f aca="false">Orders!F1211</f>
        <v>0.2</v>
      </c>
      <c r="K1211" s="6" t="n">
        <f aca="false">G1211*H1211</f>
        <v>2697</v>
      </c>
      <c r="L1211" s="6" t="n">
        <f aca="false">K1211*J1211</f>
        <v>539.4</v>
      </c>
      <c r="M1211" s="6" t="n">
        <f aca="false">K1211-L1211</f>
        <v>2157.6</v>
      </c>
      <c r="N1211" s="6" t="n">
        <f aca="false">G1211*I1211</f>
        <v>1260</v>
      </c>
      <c r="O1211" s="6" t="n">
        <f aca="false">M1211-N1211</f>
        <v>897.6</v>
      </c>
      <c r="P1211" s="21" t="n">
        <f aca="false">IFERROR(O1211/M1211,0)</f>
        <v>0.416017797552836</v>
      </c>
      <c r="Q1211" s="6" t="str">
        <f aca="false">Orders!H1211</f>
        <v>Delivered</v>
      </c>
      <c r="R1211" s="1" t="str">
        <f aca="false">INDEX(Customers!$C$2:$C$301,MATCH(C1211,Customers!$A$2:$A$301,0))</f>
        <v>Delhi</v>
      </c>
      <c r="S1211" s="1" t="str">
        <f aca="false">INDEX(Customers!$E$2:$E$301,MATCH(C1211,Customers!$A$2:$A$301,0))</f>
        <v>New</v>
      </c>
      <c r="T1211" s="6" t="str">
        <f aca="false">Orders!I1211</f>
        <v>Mobile App</v>
      </c>
      <c r="U1211" s="1" t="str">
        <f aca="false">IF(Q1211="Delivered","Completed",IF(Q1211="Cancelled","Cancelled",IF(Q1211="Returned","Returned","In Progress")))</f>
        <v>Completed</v>
      </c>
      <c r="V1211" s="1" t="str">
        <f aca="false">IF(M1211&gt;=10000,"High Value",IF(M1211&gt;=5000,"Medium Value","Low Value"))</f>
        <v>Low Value</v>
      </c>
      <c r="W1211" s="1" t="str">
        <f aca="false">IF(O1211&gt;0,"Profitable",IF(O1211=0,"Break-even","Loss"))</f>
        <v>Profitable</v>
      </c>
      <c r="X1211" s="1" t="str">
        <f aca="false">IF(Q1211="Cancelled","Not Applicable",IF(Q1211="Processing","Pending",IF(B1211="","Unknown",IF(Orders!J1211="","Unknown",IF(Orders!J1211&lt;=3,"Fast",IF(Orders!J1211&lt;=6,"Standard","Slow"))))))</f>
        <v>Standard</v>
      </c>
      <c r="Y1211" s="1" t="n">
        <f aca="false">IF(OR(Q1211="Cancelled",Q1211="Returned"),0,O1211)</f>
        <v>897.6</v>
      </c>
    </row>
    <row r="1212" customFormat="false" ht="15" hidden="false" customHeight="false" outlineLevel="0" collapsed="false">
      <c r="A1212" s="6" t="str">
        <f aca="false">Orders!A1212</f>
        <v>O001211</v>
      </c>
      <c r="B1212" s="19" t="n">
        <f aca="false">Orders!B1212</f>
        <v>45774</v>
      </c>
      <c r="C1212" s="6" t="str">
        <f aca="false">Orders!C1212</f>
        <v>C0132</v>
      </c>
      <c r="D1212" s="6" t="str">
        <f aca="false">Orders!D1212</f>
        <v>P1059</v>
      </c>
      <c r="E1212" s="6" t="str">
        <f aca="false">INDEX(Products!$B$2:$B$101,MATCH(D1212,Products!$A$2:$A$101,0))</f>
        <v>Bath Gift Set</v>
      </c>
      <c r="F1212" s="1" t="str">
        <f aca="false">INDEX(Products!$C$2:$C$101,MATCH(D1212,Products!$A$2:$A$101,0))</f>
        <v>Beauty</v>
      </c>
      <c r="G1212" s="6" t="n">
        <f aca="false">Orders!E1212</f>
        <v>1</v>
      </c>
      <c r="H1212" s="16" t="n">
        <f aca="false">INDEX(Products!$D$2:$D$101,MATCH(D1212,Products!$A$2:$A$101,0))</f>
        <v>699</v>
      </c>
      <c r="I1212" s="16" t="n">
        <f aca="false">INDEX(Products!$E$2:$E$101,MATCH(D1212,Products!$A$2:$A$101,0))</f>
        <v>350</v>
      </c>
      <c r="J1212" s="20" t="n">
        <f aca="false">Orders!F1212</f>
        <v>0.25</v>
      </c>
      <c r="K1212" s="6" t="n">
        <f aca="false">G1212*H1212</f>
        <v>699</v>
      </c>
      <c r="L1212" s="6" t="n">
        <f aca="false">K1212*J1212</f>
        <v>174.75</v>
      </c>
      <c r="M1212" s="6" t="n">
        <f aca="false">K1212-L1212</f>
        <v>524.25</v>
      </c>
      <c r="N1212" s="6" t="n">
        <f aca="false">G1212*I1212</f>
        <v>350</v>
      </c>
      <c r="O1212" s="6" t="n">
        <f aca="false">M1212-N1212</f>
        <v>174.25</v>
      </c>
      <c r="P1212" s="21" t="n">
        <f aca="false">IFERROR(O1212/M1212,0)</f>
        <v>0.33237958989032</v>
      </c>
      <c r="Q1212" s="6" t="str">
        <f aca="false">Orders!H1212</f>
        <v>Delivered</v>
      </c>
      <c r="R1212" s="1" t="str">
        <f aca="false">INDEX(Customers!$C$2:$C$301,MATCH(C1212,Customers!$A$2:$A$301,0))</f>
        <v>Noida</v>
      </c>
      <c r="S1212" s="1" t="str">
        <f aca="false">INDEX(Customers!$E$2:$E$301,MATCH(C1212,Customers!$A$2:$A$301,0))</f>
        <v>Returning</v>
      </c>
      <c r="T1212" s="6" t="str">
        <f aca="false">Orders!I1212</f>
        <v>Marketplace</v>
      </c>
      <c r="U1212" s="1" t="str">
        <f aca="false">IF(Q1212="Delivered","Completed",IF(Q1212="Cancelled","Cancelled",IF(Q1212="Returned","Returned","In Progress")))</f>
        <v>Completed</v>
      </c>
      <c r="V1212" s="1" t="str">
        <f aca="false">IF(M1212&gt;=10000,"High Value",IF(M1212&gt;=5000,"Medium Value","Low Value"))</f>
        <v>Low Value</v>
      </c>
      <c r="W1212" s="1" t="str">
        <f aca="false">IF(O1212&gt;0,"Profitable",IF(O1212=0,"Break-even","Loss"))</f>
        <v>Profitable</v>
      </c>
      <c r="X1212" s="1" t="str">
        <f aca="false">IF(Q1212="Cancelled","Not Applicable",IF(Q1212="Processing","Pending",IF(B1212="","Unknown",IF(Orders!J1212="","Unknown",IF(Orders!J1212&lt;=3,"Fast",IF(Orders!J1212&lt;=6,"Standard","Slow"))))))</f>
        <v>Standard</v>
      </c>
      <c r="Y1212" s="1" t="n">
        <f aca="false">IF(OR(Q1212="Cancelled",Q1212="Returned"),0,O1212)</f>
        <v>174.25</v>
      </c>
    </row>
    <row r="1213" customFormat="false" ht="23.85" hidden="false" customHeight="false" outlineLevel="0" collapsed="false">
      <c r="A1213" s="6" t="str">
        <f aca="false">Orders!A1213</f>
        <v>O001212</v>
      </c>
      <c r="B1213" s="19" t="n">
        <f aca="false">Orders!B1213</f>
        <v>45871</v>
      </c>
      <c r="C1213" s="6" t="str">
        <f aca="false">Orders!C1213</f>
        <v>C0044</v>
      </c>
      <c r="D1213" s="6" t="str">
        <f aca="false">Orders!D1213</f>
        <v>P1002</v>
      </c>
      <c r="E1213" s="6" t="str">
        <f aca="false">INDEX(Products!$B$2:$B$101,MATCH(D1213,Products!$A$2:$A$101,0))</f>
        <v>Bluetooth Speaker</v>
      </c>
      <c r="F1213" s="1" t="str">
        <f aca="false">INDEX(Products!$C$2:$C$101,MATCH(D1213,Products!$A$2:$A$101,0))</f>
        <v>Electronics</v>
      </c>
      <c r="G1213" s="6" t="n">
        <f aca="false">Orders!E1213</f>
        <v>4</v>
      </c>
      <c r="H1213" s="16" t="n">
        <f aca="false">INDEX(Products!$D$2:$D$101,MATCH(D1213,Products!$A$2:$A$101,0))</f>
        <v>1499</v>
      </c>
      <c r="I1213" s="16" t="n">
        <f aca="false">INDEX(Products!$E$2:$E$101,MATCH(D1213,Products!$A$2:$A$101,0))</f>
        <v>850</v>
      </c>
      <c r="J1213" s="20" t="n">
        <f aca="false">Orders!F1213</f>
        <v>0</v>
      </c>
      <c r="K1213" s="6" t="n">
        <f aca="false">G1213*H1213</f>
        <v>5996</v>
      </c>
      <c r="L1213" s="6" t="n">
        <f aca="false">K1213*J1213</f>
        <v>0</v>
      </c>
      <c r="M1213" s="6" t="n">
        <f aca="false">K1213-L1213</f>
        <v>5996</v>
      </c>
      <c r="N1213" s="6" t="n">
        <f aca="false">G1213*I1213</f>
        <v>3400</v>
      </c>
      <c r="O1213" s="6" t="n">
        <f aca="false">M1213-N1213</f>
        <v>2596</v>
      </c>
      <c r="P1213" s="21" t="n">
        <f aca="false">IFERROR(O1213/M1213,0)</f>
        <v>0.43295530353569</v>
      </c>
      <c r="Q1213" s="6" t="str">
        <f aca="false">Orders!H1213</f>
        <v>Delivered</v>
      </c>
      <c r="R1213" s="1" t="str">
        <f aca="false">INDEX(Customers!$C$2:$C$301,MATCH(C1213,Customers!$A$2:$A$301,0))</f>
        <v>Hyderabad</v>
      </c>
      <c r="S1213" s="1" t="str">
        <f aca="false">INDEX(Customers!$E$2:$E$301,MATCH(C1213,Customers!$A$2:$A$301,0))</f>
        <v>Returning</v>
      </c>
      <c r="T1213" s="6" t="str">
        <f aca="false">Orders!I1213</f>
        <v>Marketplace</v>
      </c>
      <c r="U1213" s="1" t="str">
        <f aca="false">IF(Q1213="Delivered","Completed",IF(Q1213="Cancelled","Cancelled",IF(Q1213="Returned","Returned","In Progress")))</f>
        <v>Completed</v>
      </c>
      <c r="V1213" s="1" t="str">
        <f aca="false">IF(M1213&gt;=10000,"High Value",IF(M1213&gt;=5000,"Medium Value","Low Value"))</f>
        <v>Medium Value</v>
      </c>
      <c r="W1213" s="1" t="str">
        <f aca="false">IF(O1213&gt;0,"Profitable",IF(O1213=0,"Break-even","Loss"))</f>
        <v>Profitable</v>
      </c>
      <c r="X1213" s="1" t="str">
        <f aca="false">IF(Q1213="Cancelled","Not Applicable",IF(Q1213="Processing","Pending",IF(B1213="","Unknown",IF(Orders!J1213="","Unknown",IF(Orders!J1213&lt;=3,"Fast",IF(Orders!J1213&lt;=6,"Standard","Slow"))))))</f>
        <v>Fast</v>
      </c>
      <c r="Y1213" s="1" t="n">
        <f aca="false">IF(OR(Q1213="Cancelled",Q1213="Returned"),0,O1213)</f>
        <v>2596</v>
      </c>
    </row>
    <row r="1214" customFormat="false" ht="15" hidden="false" customHeight="false" outlineLevel="0" collapsed="false">
      <c r="A1214" s="6" t="str">
        <f aca="false">Orders!A1214</f>
        <v>O001213</v>
      </c>
      <c r="B1214" s="19" t="n">
        <f aca="false">Orders!B1214</f>
        <v>45939</v>
      </c>
      <c r="C1214" s="6" t="str">
        <f aca="false">Orders!C1214</f>
        <v>C0285</v>
      </c>
      <c r="D1214" s="6" t="str">
        <f aca="false">Orders!D1214</f>
        <v>P1066</v>
      </c>
      <c r="E1214" s="6" t="str">
        <f aca="false">INDEX(Products!$B$2:$B$101,MATCH(D1214,Products!$A$2:$A$101,0))</f>
        <v>Gym Gloves</v>
      </c>
      <c r="F1214" s="1" t="str">
        <f aca="false">INDEX(Products!$C$2:$C$101,MATCH(D1214,Products!$A$2:$A$101,0))</f>
        <v>Sports &amp; Outdoors</v>
      </c>
      <c r="G1214" s="6" t="n">
        <f aca="false">Orders!E1214</f>
        <v>1</v>
      </c>
      <c r="H1214" s="16" t="n">
        <f aca="false">INDEX(Products!$D$2:$D$101,MATCH(D1214,Products!$A$2:$A$101,0))</f>
        <v>499</v>
      </c>
      <c r="I1214" s="16" t="n">
        <f aca="false">INDEX(Products!$E$2:$E$101,MATCH(D1214,Products!$A$2:$A$101,0))</f>
        <v>200</v>
      </c>
      <c r="J1214" s="20" t="n">
        <f aca="false">Orders!F1214</f>
        <v>0.05</v>
      </c>
      <c r="K1214" s="6" t="n">
        <f aca="false">G1214*H1214</f>
        <v>499</v>
      </c>
      <c r="L1214" s="6" t="n">
        <f aca="false">K1214*J1214</f>
        <v>24.95</v>
      </c>
      <c r="M1214" s="6" t="n">
        <f aca="false">K1214-L1214</f>
        <v>474.05</v>
      </c>
      <c r="N1214" s="6" t="n">
        <f aca="false">G1214*I1214</f>
        <v>200</v>
      </c>
      <c r="O1214" s="6" t="n">
        <f aca="false">M1214-N1214</f>
        <v>274.05</v>
      </c>
      <c r="P1214" s="21" t="n">
        <f aca="false">IFERROR(O1214/M1214,0)</f>
        <v>0.578103575572197</v>
      </c>
      <c r="Q1214" s="6" t="str">
        <f aca="false">Orders!H1214</f>
        <v>Delivered</v>
      </c>
      <c r="R1214" s="1" t="str">
        <f aca="false">INDEX(Customers!$C$2:$C$301,MATCH(C1214,Customers!$A$2:$A$301,0))</f>
        <v>Chennai</v>
      </c>
      <c r="S1214" s="1" t="str">
        <f aca="false">INDEX(Customers!$E$2:$E$301,MATCH(C1214,Customers!$A$2:$A$301,0))</f>
        <v>New</v>
      </c>
      <c r="T1214" s="6" t="str">
        <f aca="false">Orders!I1214</f>
        <v>Marketplace</v>
      </c>
      <c r="U1214" s="1" t="str">
        <f aca="false">IF(Q1214="Delivered","Completed",IF(Q1214="Cancelled","Cancelled",IF(Q1214="Returned","Returned","In Progress")))</f>
        <v>Completed</v>
      </c>
      <c r="V1214" s="1" t="str">
        <f aca="false">IF(M1214&gt;=10000,"High Value",IF(M1214&gt;=5000,"Medium Value","Low Value"))</f>
        <v>Low Value</v>
      </c>
      <c r="W1214" s="1" t="str">
        <f aca="false">IF(O1214&gt;0,"Profitable",IF(O1214=0,"Break-even","Loss"))</f>
        <v>Profitable</v>
      </c>
      <c r="X1214" s="1" t="str">
        <f aca="false">IF(Q1214="Cancelled","Not Applicable",IF(Q1214="Processing","Pending",IF(B1214="","Unknown",IF(Orders!J1214="","Unknown",IF(Orders!J1214&lt;=3,"Fast",IF(Orders!J1214&lt;=6,"Standard","Slow"))))))</f>
        <v>Standard</v>
      </c>
      <c r="Y1214" s="1" t="n">
        <f aca="false">IF(OR(Q1214="Cancelled",Q1214="Returned"),0,O1214)</f>
        <v>274.05</v>
      </c>
    </row>
    <row r="1215" customFormat="false" ht="15" hidden="false" customHeight="false" outlineLevel="0" collapsed="false">
      <c r="A1215" s="6" t="str">
        <f aca="false">Orders!A1215</f>
        <v>O001214</v>
      </c>
      <c r="B1215" s="19" t="n">
        <f aca="false">Orders!B1215</f>
        <v>45798</v>
      </c>
      <c r="C1215" s="6" t="str">
        <f aca="false">Orders!C1215</f>
        <v>C0284</v>
      </c>
      <c r="D1215" s="6" t="str">
        <f aca="false">Orders!D1215</f>
        <v>P1022</v>
      </c>
      <c r="E1215" s="6" t="str">
        <f aca="false">INDEX(Products!$B$2:$B$101,MATCH(D1215,Products!$A$2:$A$101,0))</f>
        <v>Wallet</v>
      </c>
      <c r="F1215" s="1" t="str">
        <f aca="false">INDEX(Products!$C$2:$C$101,MATCH(D1215,Products!$A$2:$A$101,0))</f>
        <v>Fashion</v>
      </c>
      <c r="G1215" s="6" t="n">
        <f aca="false">Orders!E1215</f>
        <v>1</v>
      </c>
      <c r="H1215" s="16" t="n">
        <f aca="false">INDEX(Products!$D$2:$D$101,MATCH(D1215,Products!$A$2:$A$101,0))</f>
        <v>499</v>
      </c>
      <c r="I1215" s="16" t="n">
        <f aca="false">INDEX(Products!$E$2:$E$101,MATCH(D1215,Products!$A$2:$A$101,0))</f>
        <v>200</v>
      </c>
      <c r="J1215" s="20" t="n">
        <f aca="false">Orders!F1215</f>
        <v>0</v>
      </c>
      <c r="K1215" s="6" t="n">
        <f aca="false">G1215*H1215</f>
        <v>499</v>
      </c>
      <c r="L1215" s="6" t="n">
        <f aca="false">K1215*J1215</f>
        <v>0</v>
      </c>
      <c r="M1215" s="6" t="n">
        <f aca="false">K1215-L1215</f>
        <v>499</v>
      </c>
      <c r="N1215" s="6" t="n">
        <f aca="false">G1215*I1215</f>
        <v>200</v>
      </c>
      <c r="O1215" s="6" t="n">
        <f aca="false">M1215-N1215</f>
        <v>299</v>
      </c>
      <c r="P1215" s="21" t="n">
        <f aca="false">IFERROR(O1215/M1215,0)</f>
        <v>0.599198396793587</v>
      </c>
      <c r="Q1215" s="6" t="str">
        <f aca="false">Orders!H1215</f>
        <v>Delivered</v>
      </c>
      <c r="R1215" s="1" t="str">
        <f aca="false">INDEX(Customers!$C$2:$C$301,MATCH(C1215,Customers!$A$2:$A$301,0))</f>
        <v>Hyderabad</v>
      </c>
      <c r="S1215" s="1" t="str">
        <f aca="false">INDEX(Customers!$E$2:$E$301,MATCH(C1215,Customers!$A$2:$A$301,0))</f>
        <v>Returning</v>
      </c>
      <c r="T1215" s="6" t="str">
        <f aca="false">Orders!I1215</f>
        <v>Marketplace</v>
      </c>
      <c r="U1215" s="1" t="str">
        <f aca="false">IF(Q1215="Delivered","Completed",IF(Q1215="Cancelled","Cancelled",IF(Q1215="Returned","Returned","In Progress")))</f>
        <v>Completed</v>
      </c>
      <c r="V1215" s="1" t="str">
        <f aca="false">IF(M1215&gt;=10000,"High Value",IF(M1215&gt;=5000,"Medium Value","Low Value"))</f>
        <v>Low Value</v>
      </c>
      <c r="W1215" s="1" t="str">
        <f aca="false">IF(O1215&gt;0,"Profitable",IF(O1215=0,"Break-even","Loss"))</f>
        <v>Profitable</v>
      </c>
      <c r="X1215" s="1" t="str">
        <f aca="false">IF(Q1215="Cancelled","Not Applicable",IF(Q1215="Processing","Pending",IF(B1215="","Unknown",IF(Orders!J1215="","Unknown",IF(Orders!J1215&lt;=3,"Fast",IF(Orders!J1215&lt;=6,"Standard","Slow"))))))</f>
        <v>Slow</v>
      </c>
      <c r="Y1215" s="1" t="n">
        <f aca="false">IF(OR(Q1215="Cancelled",Q1215="Returned"),0,O1215)</f>
        <v>299</v>
      </c>
    </row>
    <row r="1216" customFormat="false" ht="15" hidden="false" customHeight="false" outlineLevel="0" collapsed="false">
      <c r="A1216" s="6" t="str">
        <f aca="false">Orders!A1216</f>
        <v>O001215</v>
      </c>
      <c r="B1216" s="19" t="n">
        <f aca="false">Orders!B1216</f>
        <v>45858</v>
      </c>
      <c r="C1216" s="6" t="str">
        <f aca="false">Orders!C1216</f>
        <v>C0243</v>
      </c>
      <c r="D1216" s="6" t="str">
        <f aca="false">Orders!D1216</f>
        <v>P1091</v>
      </c>
      <c r="E1216" s="6" t="str">
        <f aca="false">INDEX(Products!$B$2:$B$101,MATCH(D1216,Products!$A$2:$A$101,0))</f>
        <v>Rice Cooker</v>
      </c>
      <c r="F1216" s="1" t="str">
        <f aca="false">INDEX(Products!$C$2:$C$101,MATCH(D1216,Products!$A$2:$A$101,0))</f>
        <v>Appliances</v>
      </c>
      <c r="G1216" s="6" t="n">
        <f aca="false">Orders!E1216</f>
        <v>1</v>
      </c>
      <c r="H1216" s="16" t="n">
        <f aca="false">INDEX(Products!$D$2:$D$101,MATCH(D1216,Products!$A$2:$A$101,0))</f>
        <v>1999</v>
      </c>
      <c r="I1216" s="16" t="n">
        <f aca="false">INDEX(Products!$E$2:$E$101,MATCH(D1216,Products!$A$2:$A$101,0))</f>
        <v>1200</v>
      </c>
      <c r="J1216" s="20" t="n">
        <f aca="false">Orders!F1216</f>
        <v>0</v>
      </c>
      <c r="K1216" s="6" t="n">
        <f aca="false">G1216*H1216</f>
        <v>1999</v>
      </c>
      <c r="L1216" s="6" t="n">
        <f aca="false">K1216*J1216</f>
        <v>0</v>
      </c>
      <c r="M1216" s="6" t="n">
        <f aca="false">K1216-L1216</f>
        <v>1999</v>
      </c>
      <c r="N1216" s="6" t="n">
        <f aca="false">G1216*I1216</f>
        <v>1200</v>
      </c>
      <c r="O1216" s="6" t="n">
        <f aca="false">M1216-N1216</f>
        <v>799</v>
      </c>
      <c r="P1216" s="21" t="n">
        <f aca="false">IFERROR(O1216/M1216,0)</f>
        <v>0.399699849924963</v>
      </c>
      <c r="Q1216" s="6" t="str">
        <f aca="false">Orders!H1216</f>
        <v>Delivered</v>
      </c>
      <c r="R1216" s="1" t="str">
        <f aca="false">INDEX(Customers!$C$2:$C$301,MATCH(C1216,Customers!$A$2:$A$301,0))</f>
        <v>Bengaluru</v>
      </c>
      <c r="S1216" s="1" t="str">
        <f aca="false">INDEX(Customers!$E$2:$E$301,MATCH(C1216,Customers!$A$2:$A$301,0))</f>
        <v>New</v>
      </c>
      <c r="T1216" s="6" t="str">
        <f aca="false">Orders!I1216</f>
        <v>Mobile App</v>
      </c>
      <c r="U1216" s="1" t="str">
        <f aca="false">IF(Q1216="Delivered","Completed",IF(Q1216="Cancelled","Cancelled",IF(Q1216="Returned","Returned","In Progress")))</f>
        <v>Completed</v>
      </c>
      <c r="V1216" s="1" t="str">
        <f aca="false">IF(M1216&gt;=10000,"High Value",IF(M1216&gt;=5000,"Medium Value","Low Value"))</f>
        <v>Low Value</v>
      </c>
      <c r="W1216" s="1" t="str">
        <f aca="false">IF(O1216&gt;0,"Profitable",IF(O1216=0,"Break-even","Loss"))</f>
        <v>Profitable</v>
      </c>
      <c r="X1216" s="1" t="str">
        <f aca="false">IF(Q1216="Cancelled","Not Applicable",IF(Q1216="Processing","Pending",IF(B1216="","Unknown",IF(Orders!J1216="","Unknown",IF(Orders!J1216&lt;=3,"Fast",IF(Orders!J1216&lt;=6,"Standard","Slow"))))))</f>
        <v>Standard</v>
      </c>
      <c r="Y1216" s="1" t="n">
        <f aca="false">IF(OR(Q1216="Cancelled",Q1216="Returned"),0,O1216)</f>
        <v>799</v>
      </c>
    </row>
    <row r="1217" customFormat="false" ht="15" hidden="false" customHeight="false" outlineLevel="0" collapsed="false">
      <c r="A1217" s="6" t="str">
        <f aca="false">Orders!A1217</f>
        <v>O001216</v>
      </c>
      <c r="B1217" s="19" t="n">
        <f aca="false">Orders!B1217</f>
        <v>45747</v>
      </c>
      <c r="C1217" s="6" t="str">
        <f aca="false">Orders!C1217</f>
        <v>C0069</v>
      </c>
      <c r="D1217" s="6" t="str">
        <f aca="false">Orders!D1217</f>
        <v>P1082</v>
      </c>
      <c r="E1217" s="6" t="str">
        <f aca="false">INDEX(Products!$B$2:$B$101,MATCH(D1217,Products!$A$2:$A$101,0))</f>
        <v>File Folder Set</v>
      </c>
      <c r="F1217" s="1" t="str">
        <f aca="false">INDEX(Products!$C$2:$C$101,MATCH(D1217,Products!$A$2:$A$101,0))</f>
        <v>Books &amp; Stationery</v>
      </c>
      <c r="G1217" s="6" t="n">
        <f aca="false">Orders!E1217</f>
        <v>2</v>
      </c>
      <c r="H1217" s="16" t="n">
        <f aca="false">INDEX(Products!$D$2:$D$101,MATCH(D1217,Products!$A$2:$A$101,0))</f>
        <v>249</v>
      </c>
      <c r="I1217" s="16" t="n">
        <f aca="false">INDEX(Products!$E$2:$E$101,MATCH(D1217,Products!$A$2:$A$101,0))</f>
        <v>90</v>
      </c>
      <c r="J1217" s="20" t="n">
        <f aca="false">Orders!F1217</f>
        <v>0.2</v>
      </c>
      <c r="K1217" s="6" t="n">
        <f aca="false">G1217*H1217</f>
        <v>498</v>
      </c>
      <c r="L1217" s="6" t="n">
        <f aca="false">K1217*J1217</f>
        <v>99.6</v>
      </c>
      <c r="M1217" s="6" t="n">
        <f aca="false">K1217-L1217</f>
        <v>398.4</v>
      </c>
      <c r="N1217" s="6" t="n">
        <f aca="false">G1217*I1217</f>
        <v>180</v>
      </c>
      <c r="O1217" s="6" t="n">
        <f aca="false">M1217-N1217</f>
        <v>218.4</v>
      </c>
      <c r="P1217" s="21" t="n">
        <f aca="false">IFERROR(O1217/M1217,0)</f>
        <v>0.548192771084337</v>
      </c>
      <c r="Q1217" s="6" t="str">
        <f aca="false">Orders!H1217</f>
        <v>Delivered</v>
      </c>
      <c r="R1217" s="1" t="str">
        <f aca="false">INDEX(Customers!$C$2:$C$301,MATCH(C1217,Customers!$A$2:$A$301,0))</f>
        <v>Ahmedabad</v>
      </c>
      <c r="S1217" s="1" t="str">
        <f aca="false">INDEX(Customers!$E$2:$E$301,MATCH(C1217,Customers!$A$2:$A$301,0))</f>
        <v>New</v>
      </c>
      <c r="T1217" s="6" t="str">
        <f aca="false">Orders!I1217</f>
        <v>Marketplace</v>
      </c>
      <c r="U1217" s="1" t="str">
        <f aca="false">IF(Q1217="Delivered","Completed",IF(Q1217="Cancelled","Cancelled",IF(Q1217="Returned","Returned","In Progress")))</f>
        <v>Completed</v>
      </c>
      <c r="V1217" s="1" t="str">
        <f aca="false">IF(M1217&gt;=10000,"High Value",IF(M1217&gt;=5000,"Medium Value","Low Value"))</f>
        <v>Low Value</v>
      </c>
      <c r="W1217" s="1" t="str">
        <f aca="false">IF(O1217&gt;0,"Profitable",IF(O1217=0,"Break-even","Loss"))</f>
        <v>Profitable</v>
      </c>
      <c r="X1217" s="1" t="str">
        <f aca="false">IF(Q1217="Cancelled","Not Applicable",IF(Q1217="Processing","Pending",IF(B1217="","Unknown",IF(Orders!J1217="","Unknown",IF(Orders!J1217&lt;=3,"Fast",IF(Orders!J1217&lt;=6,"Standard","Slow"))))))</f>
        <v>Slow</v>
      </c>
      <c r="Y1217" s="1" t="n">
        <f aca="false">IF(OR(Q1217="Cancelled",Q1217="Returned"),0,O1217)</f>
        <v>218.4</v>
      </c>
    </row>
    <row r="1218" customFormat="false" ht="23.85" hidden="false" customHeight="false" outlineLevel="0" collapsed="false">
      <c r="A1218" s="6" t="str">
        <f aca="false">Orders!A1218</f>
        <v>O001217</v>
      </c>
      <c r="B1218" s="19" t="n">
        <f aca="false">Orders!B1218</f>
        <v>45855</v>
      </c>
      <c r="C1218" s="6" t="str">
        <f aca="false">Orders!C1218</f>
        <v>C0025</v>
      </c>
      <c r="D1218" s="6" t="str">
        <f aca="false">Orders!D1218</f>
        <v>P1069</v>
      </c>
      <c r="E1218" s="6" t="str">
        <f aca="false">INDEX(Products!$B$2:$B$101,MATCH(D1218,Products!$A$2:$A$101,0))</f>
        <v>Sports Duffel Bag</v>
      </c>
      <c r="F1218" s="1" t="str">
        <f aca="false">INDEX(Products!$C$2:$C$101,MATCH(D1218,Products!$A$2:$A$101,0))</f>
        <v>Sports &amp; Outdoors</v>
      </c>
      <c r="G1218" s="6" t="n">
        <f aca="false">Orders!E1218</f>
        <v>1</v>
      </c>
      <c r="H1218" s="16" t="n">
        <f aca="false">INDEX(Products!$D$2:$D$101,MATCH(D1218,Products!$A$2:$A$101,0))</f>
        <v>999</v>
      </c>
      <c r="I1218" s="16" t="n">
        <f aca="false">INDEX(Products!$E$2:$E$101,MATCH(D1218,Products!$A$2:$A$101,0))</f>
        <v>500</v>
      </c>
      <c r="J1218" s="20" t="n">
        <f aca="false">Orders!F1218</f>
        <v>0.05</v>
      </c>
      <c r="K1218" s="6" t="n">
        <f aca="false">G1218*H1218</f>
        <v>999</v>
      </c>
      <c r="L1218" s="6" t="n">
        <f aca="false">K1218*J1218</f>
        <v>49.95</v>
      </c>
      <c r="M1218" s="6" t="n">
        <f aca="false">K1218-L1218</f>
        <v>949.05</v>
      </c>
      <c r="N1218" s="6" t="n">
        <f aca="false">G1218*I1218</f>
        <v>500</v>
      </c>
      <c r="O1218" s="6" t="n">
        <f aca="false">M1218-N1218</f>
        <v>449.05</v>
      </c>
      <c r="P1218" s="21" t="n">
        <f aca="false">IFERROR(O1218/M1218,0)</f>
        <v>0.47315736789421</v>
      </c>
      <c r="Q1218" s="6" t="str">
        <f aca="false">Orders!H1218</f>
        <v>Delivered</v>
      </c>
      <c r="R1218" s="1" t="str">
        <f aca="false">INDEX(Customers!$C$2:$C$301,MATCH(C1218,Customers!$A$2:$A$301,0))</f>
        <v>Chennai</v>
      </c>
      <c r="S1218" s="1" t="str">
        <f aca="false">INDEX(Customers!$E$2:$E$301,MATCH(C1218,Customers!$A$2:$A$301,0))</f>
        <v>Returning</v>
      </c>
      <c r="T1218" s="6" t="str">
        <f aca="false">Orders!I1218</f>
        <v>Mobile App</v>
      </c>
      <c r="U1218" s="1" t="str">
        <f aca="false">IF(Q1218="Delivered","Completed",IF(Q1218="Cancelled","Cancelled",IF(Q1218="Returned","Returned","In Progress")))</f>
        <v>Completed</v>
      </c>
      <c r="V1218" s="1" t="str">
        <f aca="false">IF(M1218&gt;=10000,"High Value",IF(M1218&gt;=5000,"Medium Value","Low Value"))</f>
        <v>Low Value</v>
      </c>
      <c r="W1218" s="1" t="str">
        <f aca="false">IF(O1218&gt;0,"Profitable",IF(O1218=0,"Break-even","Loss"))</f>
        <v>Profitable</v>
      </c>
      <c r="X1218" s="1" t="str">
        <f aca="false">IF(Q1218="Cancelled","Not Applicable",IF(Q1218="Processing","Pending",IF(B1218="","Unknown",IF(Orders!J1218="","Unknown",IF(Orders!J1218&lt;=3,"Fast",IF(Orders!J1218&lt;=6,"Standard","Slow"))))))</f>
        <v>Fast</v>
      </c>
      <c r="Y1218" s="1" t="n">
        <f aca="false">IF(OR(Q1218="Cancelled",Q1218="Returned"),0,O1218)</f>
        <v>449.05</v>
      </c>
    </row>
    <row r="1219" customFormat="false" ht="15" hidden="false" customHeight="false" outlineLevel="0" collapsed="false">
      <c r="A1219" s="6" t="str">
        <f aca="false">Orders!A1219</f>
        <v>O001218</v>
      </c>
      <c r="B1219" s="19" t="n">
        <f aca="false">Orders!B1219</f>
        <v>45983</v>
      </c>
      <c r="C1219" s="6" t="str">
        <f aca="false">Orders!C1219</f>
        <v>C0017</v>
      </c>
      <c r="D1219" s="6" t="str">
        <f aca="false">Orders!D1219</f>
        <v>P1078</v>
      </c>
      <c r="E1219" s="6" t="str">
        <f aca="false">INDEX(Products!$B$2:$B$101,MATCH(D1219,Products!$A$2:$A$101,0))</f>
        <v>Sketchbook</v>
      </c>
      <c r="F1219" s="1" t="str">
        <f aca="false">INDEX(Products!$C$2:$C$101,MATCH(D1219,Products!$A$2:$A$101,0))</f>
        <v>Books &amp; Stationery</v>
      </c>
      <c r="G1219" s="6" t="n">
        <f aca="false">Orders!E1219</f>
        <v>1</v>
      </c>
      <c r="H1219" s="16" t="n">
        <f aca="false">INDEX(Products!$D$2:$D$101,MATCH(D1219,Products!$A$2:$A$101,0))</f>
        <v>249</v>
      </c>
      <c r="I1219" s="16" t="n">
        <f aca="false">INDEX(Products!$E$2:$E$101,MATCH(D1219,Products!$A$2:$A$101,0))</f>
        <v>90</v>
      </c>
      <c r="J1219" s="20" t="n">
        <f aca="false">Orders!F1219</f>
        <v>0.05</v>
      </c>
      <c r="K1219" s="6" t="n">
        <f aca="false">G1219*H1219</f>
        <v>249</v>
      </c>
      <c r="L1219" s="6" t="n">
        <f aca="false">K1219*J1219</f>
        <v>12.45</v>
      </c>
      <c r="M1219" s="6" t="n">
        <f aca="false">K1219-L1219</f>
        <v>236.55</v>
      </c>
      <c r="N1219" s="6" t="n">
        <f aca="false">G1219*I1219</f>
        <v>90</v>
      </c>
      <c r="O1219" s="6" t="n">
        <f aca="false">M1219-N1219</f>
        <v>146.55</v>
      </c>
      <c r="P1219" s="21" t="n">
        <f aca="false">IFERROR(O1219/M1219,0)</f>
        <v>0.619530754597337</v>
      </c>
      <c r="Q1219" s="6" t="str">
        <f aca="false">Orders!H1219</f>
        <v>Delivered</v>
      </c>
      <c r="R1219" s="1" t="str">
        <f aca="false">INDEX(Customers!$C$2:$C$301,MATCH(C1219,Customers!$A$2:$A$301,0))</f>
        <v>Surat</v>
      </c>
      <c r="S1219" s="1" t="str">
        <f aca="false">INDEX(Customers!$E$2:$E$301,MATCH(C1219,Customers!$A$2:$A$301,0))</f>
        <v>Returning</v>
      </c>
      <c r="T1219" s="6" t="str">
        <f aca="false">Orders!I1219</f>
        <v>Mobile App</v>
      </c>
      <c r="U1219" s="1" t="str">
        <f aca="false">IF(Q1219="Delivered","Completed",IF(Q1219="Cancelled","Cancelled",IF(Q1219="Returned","Returned","In Progress")))</f>
        <v>Completed</v>
      </c>
      <c r="V1219" s="1" t="str">
        <f aca="false">IF(M1219&gt;=10000,"High Value",IF(M1219&gt;=5000,"Medium Value","Low Value"))</f>
        <v>Low Value</v>
      </c>
      <c r="W1219" s="1" t="str">
        <f aca="false">IF(O1219&gt;0,"Profitable",IF(O1219=0,"Break-even","Loss"))</f>
        <v>Profitable</v>
      </c>
      <c r="X1219" s="1" t="str">
        <f aca="false">IF(Q1219="Cancelled","Not Applicable",IF(Q1219="Processing","Pending",IF(B1219="","Unknown",IF(Orders!J1219="","Unknown",IF(Orders!J1219&lt;=3,"Fast",IF(Orders!J1219&lt;=6,"Standard","Slow"))))))</f>
        <v>Standard</v>
      </c>
      <c r="Y1219" s="1" t="n">
        <f aca="false">IF(OR(Q1219="Cancelled",Q1219="Returned"),0,O1219)</f>
        <v>146.55</v>
      </c>
    </row>
    <row r="1220" customFormat="false" ht="15" hidden="false" customHeight="false" outlineLevel="0" collapsed="false">
      <c r="A1220" s="6" t="str">
        <f aca="false">Orders!A1220</f>
        <v>O001219</v>
      </c>
      <c r="B1220" s="19" t="n">
        <f aca="false">Orders!B1220</f>
        <v>45685</v>
      </c>
      <c r="C1220" s="6" t="str">
        <f aca="false">Orders!C1220</f>
        <v>C0222</v>
      </c>
      <c r="D1220" s="6" t="str">
        <f aca="false">Orders!D1220</f>
        <v>P1008</v>
      </c>
      <c r="E1220" s="6" t="str">
        <f aca="false">INDEX(Products!$B$2:$B$101,MATCH(D1220,Products!$A$2:$A$101,0))</f>
        <v>Phone Stand</v>
      </c>
      <c r="F1220" s="1" t="str">
        <f aca="false">INDEX(Products!$C$2:$C$101,MATCH(D1220,Products!$A$2:$A$101,0))</f>
        <v>Electronics</v>
      </c>
      <c r="G1220" s="6" t="n">
        <f aca="false">Orders!E1220</f>
        <v>3</v>
      </c>
      <c r="H1220" s="16" t="n">
        <f aca="false">INDEX(Products!$D$2:$D$101,MATCH(D1220,Products!$A$2:$A$101,0))</f>
        <v>399</v>
      </c>
      <c r="I1220" s="16" t="n">
        <f aca="false">INDEX(Products!$E$2:$E$101,MATCH(D1220,Products!$A$2:$A$101,0))</f>
        <v>150</v>
      </c>
      <c r="J1220" s="20" t="n">
        <f aca="false">Orders!F1220</f>
        <v>0.15</v>
      </c>
      <c r="K1220" s="6" t="n">
        <f aca="false">G1220*H1220</f>
        <v>1197</v>
      </c>
      <c r="L1220" s="6" t="n">
        <f aca="false">K1220*J1220</f>
        <v>179.55</v>
      </c>
      <c r="M1220" s="6" t="n">
        <f aca="false">K1220-L1220</f>
        <v>1017.45</v>
      </c>
      <c r="N1220" s="6" t="n">
        <f aca="false">G1220*I1220</f>
        <v>450</v>
      </c>
      <c r="O1220" s="6" t="n">
        <f aca="false">M1220-N1220</f>
        <v>567.45</v>
      </c>
      <c r="P1220" s="21" t="n">
        <f aca="false">IFERROR(O1220/M1220,0)</f>
        <v>0.557717823971694</v>
      </c>
      <c r="Q1220" s="6" t="str">
        <f aca="false">Orders!H1220</f>
        <v>Delivered</v>
      </c>
      <c r="R1220" s="1" t="str">
        <f aca="false">INDEX(Customers!$C$2:$C$301,MATCH(C1220,Customers!$A$2:$A$301,0))</f>
        <v>Mumbai</v>
      </c>
      <c r="S1220" s="1" t="str">
        <f aca="false">INDEX(Customers!$E$2:$E$301,MATCH(C1220,Customers!$A$2:$A$301,0))</f>
        <v>Returning</v>
      </c>
      <c r="T1220" s="6" t="str">
        <f aca="false">Orders!I1220</f>
        <v>Mobile App</v>
      </c>
      <c r="U1220" s="1" t="str">
        <f aca="false">IF(Q1220="Delivered","Completed",IF(Q1220="Cancelled","Cancelled",IF(Q1220="Returned","Returned","In Progress")))</f>
        <v>Completed</v>
      </c>
      <c r="V1220" s="1" t="str">
        <f aca="false">IF(M1220&gt;=10000,"High Value",IF(M1220&gt;=5000,"Medium Value","Low Value"))</f>
        <v>Low Value</v>
      </c>
      <c r="W1220" s="1" t="str">
        <f aca="false">IF(O1220&gt;0,"Profitable",IF(O1220=0,"Break-even","Loss"))</f>
        <v>Profitable</v>
      </c>
      <c r="X1220" s="1" t="str">
        <f aca="false">IF(Q1220="Cancelled","Not Applicable",IF(Q1220="Processing","Pending",IF(B1220="","Unknown",IF(Orders!J1220="","Unknown",IF(Orders!J1220&lt;=3,"Fast",IF(Orders!J1220&lt;=6,"Standard","Slow"))))))</f>
        <v>Standard</v>
      </c>
      <c r="Y1220" s="1" t="n">
        <f aca="false">IF(OR(Q1220="Cancelled",Q1220="Returned"),0,O1220)</f>
        <v>567.45</v>
      </c>
    </row>
    <row r="1221" customFormat="false" ht="15" hidden="false" customHeight="false" outlineLevel="0" collapsed="false">
      <c r="A1221" s="6" t="str">
        <f aca="false">Orders!A1221</f>
        <v>O001220</v>
      </c>
      <c r="B1221" s="19" t="n">
        <f aca="false">Orders!B1221</f>
        <v>45852</v>
      </c>
      <c r="C1221" s="6" t="str">
        <f aca="false">Orders!C1221</f>
        <v>C0006</v>
      </c>
      <c r="D1221" s="6" t="str">
        <f aca="false">Orders!D1221</f>
        <v>P1059</v>
      </c>
      <c r="E1221" s="6" t="str">
        <f aca="false">INDEX(Products!$B$2:$B$101,MATCH(D1221,Products!$A$2:$A$101,0))</f>
        <v>Bath Gift Set</v>
      </c>
      <c r="F1221" s="1" t="str">
        <f aca="false">INDEX(Products!$C$2:$C$101,MATCH(D1221,Products!$A$2:$A$101,0))</f>
        <v>Beauty</v>
      </c>
      <c r="G1221" s="6" t="n">
        <f aca="false">Orders!E1221</f>
        <v>3</v>
      </c>
      <c r="H1221" s="16" t="n">
        <f aca="false">INDEX(Products!$D$2:$D$101,MATCH(D1221,Products!$A$2:$A$101,0))</f>
        <v>699</v>
      </c>
      <c r="I1221" s="16" t="n">
        <f aca="false">INDEX(Products!$E$2:$E$101,MATCH(D1221,Products!$A$2:$A$101,0))</f>
        <v>350</v>
      </c>
      <c r="J1221" s="20" t="n">
        <f aca="false">Orders!F1221</f>
        <v>0.25</v>
      </c>
      <c r="K1221" s="6" t="n">
        <f aca="false">G1221*H1221</f>
        <v>2097</v>
      </c>
      <c r="L1221" s="6" t="n">
        <f aca="false">K1221*J1221</f>
        <v>524.25</v>
      </c>
      <c r="M1221" s="6" t="n">
        <f aca="false">K1221-L1221</f>
        <v>1572.75</v>
      </c>
      <c r="N1221" s="6" t="n">
        <f aca="false">G1221*I1221</f>
        <v>1050</v>
      </c>
      <c r="O1221" s="6" t="n">
        <f aca="false">M1221-N1221</f>
        <v>522.75</v>
      </c>
      <c r="P1221" s="21" t="n">
        <f aca="false">IFERROR(O1221/M1221,0)</f>
        <v>0.33237958989032</v>
      </c>
      <c r="Q1221" s="6" t="str">
        <f aca="false">Orders!H1221</f>
        <v>Delivered</v>
      </c>
      <c r="R1221" s="1" t="str">
        <f aca="false">INDEX(Customers!$C$2:$C$301,MATCH(C1221,Customers!$A$2:$A$301,0))</f>
        <v>Kolkata</v>
      </c>
      <c r="S1221" s="1" t="str">
        <f aca="false">INDEX(Customers!$E$2:$E$301,MATCH(C1221,Customers!$A$2:$A$301,0))</f>
        <v>Returning</v>
      </c>
      <c r="T1221" s="6" t="str">
        <f aca="false">Orders!I1221</f>
        <v>Mobile App</v>
      </c>
      <c r="U1221" s="1" t="str">
        <f aca="false">IF(Q1221="Delivered","Completed",IF(Q1221="Cancelled","Cancelled",IF(Q1221="Returned","Returned","In Progress")))</f>
        <v>Completed</v>
      </c>
      <c r="V1221" s="1" t="str">
        <f aca="false">IF(M1221&gt;=10000,"High Value",IF(M1221&gt;=5000,"Medium Value","Low Value"))</f>
        <v>Low Value</v>
      </c>
      <c r="W1221" s="1" t="str">
        <f aca="false">IF(O1221&gt;0,"Profitable",IF(O1221=0,"Break-even","Loss"))</f>
        <v>Profitable</v>
      </c>
      <c r="X1221" s="1" t="str">
        <f aca="false">IF(Q1221="Cancelled","Not Applicable",IF(Q1221="Processing","Pending",IF(B1221="","Unknown",IF(Orders!J1221="","Unknown",IF(Orders!J1221&lt;=3,"Fast",IF(Orders!J1221&lt;=6,"Standard","Slow"))))))</f>
        <v>Fast</v>
      </c>
      <c r="Y1221" s="1" t="n">
        <f aca="false">IF(OR(Q1221="Cancelled",Q1221="Returned"),0,O1221)</f>
        <v>522.75</v>
      </c>
    </row>
    <row r="1222" customFormat="false" ht="15" hidden="false" customHeight="false" outlineLevel="0" collapsed="false">
      <c r="A1222" s="6" t="str">
        <f aca="false">Orders!A1222</f>
        <v>O001221</v>
      </c>
      <c r="B1222" s="19" t="n">
        <f aca="false">Orders!B1222</f>
        <v>46014</v>
      </c>
      <c r="C1222" s="6" t="str">
        <f aca="false">Orders!C1222</f>
        <v>C0064</v>
      </c>
      <c r="D1222" s="6" t="str">
        <f aca="false">Orders!D1222</f>
        <v>P1035</v>
      </c>
      <c r="E1222" s="6" t="str">
        <f aca="false">INDEX(Products!$B$2:$B$101,MATCH(D1222,Products!$A$2:$A$101,0))</f>
        <v>Nonstick Pan</v>
      </c>
      <c r="F1222" s="1" t="str">
        <f aca="false">INDEX(Products!$C$2:$C$101,MATCH(D1222,Products!$A$2:$A$101,0))</f>
        <v>Home &amp; Kitchen</v>
      </c>
      <c r="G1222" s="6" t="n">
        <f aca="false">Orders!E1222</f>
        <v>1</v>
      </c>
      <c r="H1222" s="16" t="n">
        <f aca="false">INDEX(Products!$D$2:$D$101,MATCH(D1222,Products!$A$2:$A$101,0))</f>
        <v>999</v>
      </c>
      <c r="I1222" s="16" t="n">
        <f aca="false">INDEX(Products!$E$2:$E$101,MATCH(D1222,Products!$A$2:$A$101,0))</f>
        <v>520</v>
      </c>
      <c r="J1222" s="20" t="n">
        <f aca="false">Orders!F1222</f>
        <v>0.15</v>
      </c>
      <c r="K1222" s="6" t="n">
        <f aca="false">G1222*H1222</f>
        <v>999</v>
      </c>
      <c r="L1222" s="6" t="n">
        <f aca="false">K1222*J1222</f>
        <v>149.85</v>
      </c>
      <c r="M1222" s="6" t="n">
        <f aca="false">K1222-L1222</f>
        <v>849.15</v>
      </c>
      <c r="N1222" s="6" t="n">
        <f aca="false">G1222*I1222</f>
        <v>520</v>
      </c>
      <c r="O1222" s="6" t="n">
        <f aca="false">M1222-N1222</f>
        <v>329.15</v>
      </c>
      <c r="P1222" s="21" t="n">
        <f aca="false">IFERROR(O1222/M1222,0)</f>
        <v>0.387622917034682</v>
      </c>
      <c r="Q1222" s="6" t="str">
        <f aca="false">Orders!H1222</f>
        <v>Delivered</v>
      </c>
      <c r="R1222" s="1" t="str">
        <f aca="false">INDEX(Customers!$C$2:$C$301,MATCH(C1222,Customers!$A$2:$A$301,0))</f>
        <v>Hyderabad</v>
      </c>
      <c r="S1222" s="1" t="str">
        <f aca="false">INDEX(Customers!$E$2:$E$301,MATCH(C1222,Customers!$A$2:$A$301,0))</f>
        <v>Returning</v>
      </c>
      <c r="T1222" s="6" t="str">
        <f aca="false">Orders!I1222</f>
        <v>Website</v>
      </c>
      <c r="U1222" s="1" t="str">
        <f aca="false">IF(Q1222="Delivered","Completed",IF(Q1222="Cancelled","Cancelled",IF(Q1222="Returned","Returned","In Progress")))</f>
        <v>Completed</v>
      </c>
      <c r="V1222" s="1" t="str">
        <f aca="false">IF(M1222&gt;=10000,"High Value",IF(M1222&gt;=5000,"Medium Value","Low Value"))</f>
        <v>Low Value</v>
      </c>
      <c r="W1222" s="1" t="str">
        <f aca="false">IF(O1222&gt;0,"Profitable",IF(O1222=0,"Break-even","Loss"))</f>
        <v>Profitable</v>
      </c>
      <c r="X1222" s="1" t="str">
        <f aca="false">IF(Q1222="Cancelled","Not Applicable",IF(Q1222="Processing","Pending",IF(B1222="","Unknown",IF(Orders!J1222="","Unknown",IF(Orders!J1222&lt;=3,"Fast",IF(Orders!J1222&lt;=6,"Standard","Slow"))))))</f>
        <v>Standard</v>
      </c>
      <c r="Y1222" s="1" t="n">
        <f aca="false">IF(OR(Q1222="Cancelled",Q1222="Returned"),0,O1222)</f>
        <v>329.15</v>
      </c>
    </row>
    <row r="1223" customFormat="false" ht="23.85" hidden="false" customHeight="false" outlineLevel="0" collapsed="false">
      <c r="A1223" s="6" t="str">
        <f aca="false">Orders!A1223</f>
        <v>O001222</v>
      </c>
      <c r="B1223" s="19" t="n">
        <f aca="false">Orders!B1223</f>
        <v>45917</v>
      </c>
      <c r="C1223" s="6" t="str">
        <f aca="false">Orders!C1223</f>
        <v>C0173</v>
      </c>
      <c r="D1223" s="6" t="str">
        <f aca="false">Orders!D1223</f>
        <v>P1099</v>
      </c>
      <c r="E1223" s="6" t="str">
        <f aca="false">INDEX(Products!$B$2:$B$101,MATCH(D1223,Products!$A$2:$A$101,0))</f>
        <v>Sandwich Maker</v>
      </c>
      <c r="F1223" s="1" t="str">
        <f aca="false">INDEX(Products!$C$2:$C$101,MATCH(D1223,Products!$A$2:$A$101,0))</f>
        <v>Appliances</v>
      </c>
      <c r="G1223" s="6" t="n">
        <f aca="false">Orders!E1223</f>
        <v>1</v>
      </c>
      <c r="H1223" s="16" t="n">
        <f aca="false">INDEX(Products!$D$2:$D$101,MATCH(D1223,Products!$A$2:$A$101,0))</f>
        <v>1299</v>
      </c>
      <c r="I1223" s="16" t="n">
        <f aca="false">INDEX(Products!$E$2:$E$101,MATCH(D1223,Products!$A$2:$A$101,0))</f>
        <v>750</v>
      </c>
      <c r="J1223" s="20" t="n">
        <f aca="false">Orders!F1223</f>
        <v>0.2</v>
      </c>
      <c r="K1223" s="6" t="n">
        <f aca="false">G1223*H1223</f>
        <v>1299</v>
      </c>
      <c r="L1223" s="6" t="n">
        <f aca="false">K1223*J1223</f>
        <v>259.8</v>
      </c>
      <c r="M1223" s="6" t="n">
        <f aca="false">K1223-L1223</f>
        <v>1039.2</v>
      </c>
      <c r="N1223" s="6" t="n">
        <f aca="false">G1223*I1223</f>
        <v>750</v>
      </c>
      <c r="O1223" s="6" t="n">
        <f aca="false">M1223-N1223</f>
        <v>289.2</v>
      </c>
      <c r="P1223" s="21" t="n">
        <f aca="false">IFERROR(O1223/M1223,0)</f>
        <v>0.278290993071594</v>
      </c>
      <c r="Q1223" s="6" t="str">
        <f aca="false">Orders!H1223</f>
        <v>Delivered</v>
      </c>
      <c r="R1223" s="1" t="str">
        <f aca="false">INDEX(Customers!$C$2:$C$301,MATCH(C1223,Customers!$A$2:$A$301,0))</f>
        <v>Kochi</v>
      </c>
      <c r="S1223" s="1" t="str">
        <f aca="false">INDEX(Customers!$E$2:$E$301,MATCH(C1223,Customers!$A$2:$A$301,0))</f>
        <v>New</v>
      </c>
      <c r="T1223" s="6" t="str">
        <f aca="false">Orders!I1223</f>
        <v>Mobile App</v>
      </c>
      <c r="U1223" s="1" t="str">
        <f aca="false">IF(Q1223="Delivered","Completed",IF(Q1223="Cancelled","Cancelled",IF(Q1223="Returned","Returned","In Progress")))</f>
        <v>Completed</v>
      </c>
      <c r="V1223" s="1" t="str">
        <f aca="false">IF(M1223&gt;=10000,"High Value",IF(M1223&gt;=5000,"Medium Value","Low Value"))</f>
        <v>Low Value</v>
      </c>
      <c r="W1223" s="1" t="str">
        <f aca="false">IF(O1223&gt;0,"Profitable",IF(O1223=0,"Break-even","Loss"))</f>
        <v>Profitable</v>
      </c>
      <c r="X1223" s="1" t="str">
        <f aca="false">IF(Q1223="Cancelled","Not Applicable",IF(Q1223="Processing","Pending",IF(B1223="","Unknown",IF(Orders!J1223="","Unknown",IF(Orders!J1223&lt;=3,"Fast",IF(Orders!J1223&lt;=6,"Standard","Slow"))))))</f>
        <v>Fast</v>
      </c>
      <c r="Y1223" s="1" t="n">
        <f aca="false">IF(OR(Q1223="Cancelled",Q1223="Returned"),0,O1223)</f>
        <v>289.2</v>
      </c>
    </row>
    <row r="1224" customFormat="false" ht="15" hidden="false" customHeight="false" outlineLevel="0" collapsed="false">
      <c r="A1224" s="6" t="str">
        <f aca="false">Orders!A1224</f>
        <v>O001223</v>
      </c>
      <c r="B1224" s="19" t="n">
        <f aca="false">Orders!B1224</f>
        <v>45720</v>
      </c>
      <c r="C1224" s="6" t="str">
        <f aca="false">Orders!C1224</f>
        <v>C0217</v>
      </c>
      <c r="D1224" s="6" t="str">
        <f aca="false">Orders!D1224</f>
        <v>P1033</v>
      </c>
      <c r="E1224" s="6" t="str">
        <f aca="false">INDEX(Products!$B$2:$B$101,MATCH(D1224,Products!$A$2:$A$101,0))</f>
        <v>Bedsheet Set</v>
      </c>
      <c r="F1224" s="1" t="str">
        <f aca="false">INDEX(Products!$C$2:$C$101,MATCH(D1224,Products!$A$2:$A$101,0))</f>
        <v>Home &amp; Kitchen</v>
      </c>
      <c r="G1224" s="6" t="n">
        <f aca="false">Orders!E1224</f>
        <v>1</v>
      </c>
      <c r="H1224" s="16" t="n">
        <f aca="false">INDEX(Products!$D$2:$D$101,MATCH(D1224,Products!$A$2:$A$101,0))</f>
        <v>1199</v>
      </c>
      <c r="I1224" s="16" t="n">
        <f aca="false">INDEX(Products!$E$2:$E$101,MATCH(D1224,Products!$A$2:$A$101,0))</f>
        <v>600</v>
      </c>
      <c r="J1224" s="20" t="n">
        <f aca="false">Orders!F1224</f>
        <v>0.05</v>
      </c>
      <c r="K1224" s="6" t="n">
        <f aca="false">G1224*H1224</f>
        <v>1199</v>
      </c>
      <c r="L1224" s="6" t="n">
        <f aca="false">K1224*J1224</f>
        <v>59.95</v>
      </c>
      <c r="M1224" s="6" t="n">
        <f aca="false">K1224-L1224</f>
        <v>1139.05</v>
      </c>
      <c r="N1224" s="6" t="n">
        <f aca="false">G1224*I1224</f>
        <v>600</v>
      </c>
      <c r="O1224" s="6" t="n">
        <f aca="false">M1224-N1224</f>
        <v>539.05</v>
      </c>
      <c r="P1224" s="21" t="n">
        <f aca="false">IFERROR(O1224/M1224,0)</f>
        <v>0.473245248233177</v>
      </c>
      <c r="Q1224" s="6" t="str">
        <f aca="false">Orders!H1224</f>
        <v>Delivered</v>
      </c>
      <c r="R1224" s="1" t="str">
        <f aca="false">INDEX(Customers!$C$2:$C$301,MATCH(C1224,Customers!$A$2:$A$301,0))</f>
        <v>Surat</v>
      </c>
      <c r="S1224" s="1" t="str">
        <f aca="false">INDEX(Customers!$E$2:$E$301,MATCH(C1224,Customers!$A$2:$A$301,0))</f>
        <v>Returning</v>
      </c>
      <c r="T1224" s="6" t="str">
        <f aca="false">Orders!I1224</f>
        <v>Marketplace</v>
      </c>
      <c r="U1224" s="1" t="str">
        <f aca="false">IF(Q1224="Delivered","Completed",IF(Q1224="Cancelled","Cancelled",IF(Q1224="Returned","Returned","In Progress")))</f>
        <v>Completed</v>
      </c>
      <c r="V1224" s="1" t="str">
        <f aca="false">IF(M1224&gt;=10000,"High Value",IF(M1224&gt;=5000,"Medium Value","Low Value"))</f>
        <v>Low Value</v>
      </c>
      <c r="W1224" s="1" t="str">
        <f aca="false">IF(O1224&gt;0,"Profitable",IF(O1224=0,"Break-even","Loss"))</f>
        <v>Profitable</v>
      </c>
      <c r="X1224" s="1" t="str">
        <f aca="false">IF(Q1224="Cancelled","Not Applicable",IF(Q1224="Processing","Pending",IF(B1224="","Unknown",IF(Orders!J1224="","Unknown",IF(Orders!J1224&lt;=3,"Fast",IF(Orders!J1224&lt;=6,"Standard","Slow"))))))</f>
        <v>Slow</v>
      </c>
      <c r="Y1224" s="1" t="n">
        <f aca="false">IF(OR(Q1224="Cancelled",Q1224="Returned"),0,O1224)</f>
        <v>539.05</v>
      </c>
    </row>
    <row r="1225" customFormat="false" ht="15" hidden="false" customHeight="false" outlineLevel="0" collapsed="false">
      <c r="A1225" s="6" t="str">
        <f aca="false">Orders!A1225</f>
        <v>O001224</v>
      </c>
      <c r="B1225" s="19" t="n">
        <f aca="false">Orders!B1225</f>
        <v>45869</v>
      </c>
      <c r="C1225" s="6" t="str">
        <f aca="false">Orders!C1225</f>
        <v>C0091</v>
      </c>
      <c r="D1225" s="6" t="str">
        <f aca="false">Orders!D1225</f>
        <v>P1087</v>
      </c>
      <c r="E1225" s="6" t="str">
        <f aca="false">INDEX(Products!$B$2:$B$101,MATCH(D1225,Products!$A$2:$A$101,0))</f>
        <v>Book Stand</v>
      </c>
      <c r="F1225" s="1" t="str">
        <f aca="false">INDEX(Products!$C$2:$C$101,MATCH(D1225,Products!$A$2:$A$101,0))</f>
        <v>Books &amp; Stationery</v>
      </c>
      <c r="G1225" s="6" t="n">
        <f aca="false">Orders!E1225</f>
        <v>2</v>
      </c>
      <c r="H1225" s="16" t="n">
        <f aca="false">INDEX(Products!$D$2:$D$101,MATCH(D1225,Products!$A$2:$A$101,0))</f>
        <v>449</v>
      </c>
      <c r="I1225" s="16" t="n">
        <f aca="false">INDEX(Products!$E$2:$E$101,MATCH(D1225,Products!$A$2:$A$101,0))</f>
        <v>200</v>
      </c>
      <c r="J1225" s="20" t="n">
        <f aca="false">Orders!F1225</f>
        <v>0.2</v>
      </c>
      <c r="K1225" s="6" t="n">
        <f aca="false">G1225*H1225</f>
        <v>898</v>
      </c>
      <c r="L1225" s="6" t="n">
        <f aca="false">K1225*J1225</f>
        <v>179.6</v>
      </c>
      <c r="M1225" s="6" t="n">
        <f aca="false">K1225-L1225</f>
        <v>718.4</v>
      </c>
      <c r="N1225" s="6" t="n">
        <f aca="false">G1225*I1225</f>
        <v>400</v>
      </c>
      <c r="O1225" s="6" t="n">
        <f aca="false">M1225-N1225</f>
        <v>318.4</v>
      </c>
      <c r="P1225" s="21" t="n">
        <f aca="false">IFERROR(O1225/M1225,0)</f>
        <v>0.443207126948775</v>
      </c>
      <c r="Q1225" s="6" t="str">
        <f aca="false">Orders!H1225</f>
        <v>Processing</v>
      </c>
      <c r="R1225" s="1" t="str">
        <f aca="false">INDEX(Customers!$C$2:$C$301,MATCH(C1225,Customers!$A$2:$A$301,0))</f>
        <v>Gurugram</v>
      </c>
      <c r="S1225" s="1" t="str">
        <f aca="false">INDEX(Customers!$E$2:$E$301,MATCH(C1225,Customers!$A$2:$A$301,0))</f>
        <v>Returning</v>
      </c>
      <c r="T1225" s="6" t="str">
        <f aca="false">Orders!I1225</f>
        <v>Marketplace</v>
      </c>
      <c r="U1225" s="1" t="str">
        <f aca="false">IF(Q1225="Delivered","Completed",IF(Q1225="Cancelled","Cancelled",IF(Q1225="Returned","Returned","In Progress")))</f>
        <v>In Progress</v>
      </c>
      <c r="V1225" s="1" t="str">
        <f aca="false">IF(M1225&gt;=10000,"High Value",IF(M1225&gt;=5000,"Medium Value","Low Value"))</f>
        <v>Low Value</v>
      </c>
      <c r="W1225" s="1" t="str">
        <f aca="false">IF(O1225&gt;0,"Profitable",IF(O1225=0,"Break-even","Loss"))</f>
        <v>Profitable</v>
      </c>
      <c r="X1225" s="1" t="str">
        <f aca="false">IF(Q1225="Cancelled","Not Applicable",IF(Q1225="Processing","Pending",IF(B1225="","Unknown",IF(Orders!J1225="","Unknown",IF(Orders!J1225&lt;=3,"Fast",IF(Orders!J1225&lt;=6,"Standard","Slow"))))))</f>
        <v>Pending</v>
      </c>
      <c r="Y1225" s="1" t="n">
        <f aca="false">IF(OR(Q1225="Cancelled",Q1225="Returned"),0,O1225)</f>
        <v>318.4</v>
      </c>
    </row>
    <row r="1226" customFormat="false" ht="15" hidden="false" customHeight="false" outlineLevel="0" collapsed="false">
      <c r="A1226" s="6" t="str">
        <f aca="false">Orders!A1226</f>
        <v>O001225</v>
      </c>
      <c r="B1226" s="19" t="n">
        <f aca="false">Orders!B1226</f>
        <v>45838</v>
      </c>
      <c r="C1226" s="6" t="str">
        <f aca="false">Orders!C1226</f>
        <v>C0250</v>
      </c>
      <c r="D1226" s="6" t="str">
        <f aca="false">Orders!D1226</f>
        <v>P1075</v>
      </c>
      <c r="E1226" s="6" t="str">
        <f aca="false">INDEX(Products!$B$2:$B$101,MATCH(D1226,Products!$A$2:$A$101,0))</f>
        <v>Ball Pen Set</v>
      </c>
      <c r="F1226" s="1" t="str">
        <f aca="false">INDEX(Products!$C$2:$C$101,MATCH(D1226,Products!$A$2:$A$101,0))</f>
        <v>Books &amp; Stationery</v>
      </c>
      <c r="G1226" s="6" t="n">
        <f aca="false">Orders!E1226</f>
        <v>1</v>
      </c>
      <c r="H1226" s="16" t="n">
        <f aca="false">INDEX(Products!$D$2:$D$101,MATCH(D1226,Products!$A$2:$A$101,0))</f>
        <v>199</v>
      </c>
      <c r="I1226" s="16" t="n">
        <f aca="false">INDEX(Products!$E$2:$E$101,MATCH(D1226,Products!$A$2:$A$101,0))</f>
        <v>65</v>
      </c>
      <c r="J1226" s="20" t="n">
        <f aca="false">Orders!F1226</f>
        <v>0</v>
      </c>
      <c r="K1226" s="6" t="n">
        <f aca="false">G1226*H1226</f>
        <v>199</v>
      </c>
      <c r="L1226" s="6" t="n">
        <f aca="false">K1226*J1226</f>
        <v>0</v>
      </c>
      <c r="M1226" s="6" t="n">
        <f aca="false">K1226-L1226</f>
        <v>199</v>
      </c>
      <c r="N1226" s="6" t="n">
        <f aca="false">G1226*I1226</f>
        <v>65</v>
      </c>
      <c r="O1226" s="6" t="n">
        <f aca="false">M1226-N1226</f>
        <v>134</v>
      </c>
      <c r="P1226" s="21" t="n">
        <f aca="false">IFERROR(O1226/M1226,0)</f>
        <v>0.673366834170854</v>
      </c>
      <c r="Q1226" s="6" t="str">
        <f aca="false">Orders!H1226</f>
        <v>Delivered</v>
      </c>
      <c r="R1226" s="1" t="str">
        <f aca="false">INDEX(Customers!$C$2:$C$301,MATCH(C1226,Customers!$A$2:$A$301,0))</f>
        <v>Lucknow</v>
      </c>
      <c r="S1226" s="1" t="str">
        <f aca="false">INDEX(Customers!$E$2:$E$301,MATCH(C1226,Customers!$A$2:$A$301,0))</f>
        <v>Returning</v>
      </c>
      <c r="T1226" s="6" t="str">
        <f aca="false">Orders!I1226</f>
        <v>Mobile App</v>
      </c>
      <c r="U1226" s="1" t="str">
        <f aca="false">IF(Q1226="Delivered","Completed",IF(Q1226="Cancelled","Cancelled",IF(Q1226="Returned","Returned","In Progress")))</f>
        <v>Completed</v>
      </c>
      <c r="V1226" s="1" t="str">
        <f aca="false">IF(M1226&gt;=10000,"High Value",IF(M1226&gt;=5000,"Medium Value","Low Value"))</f>
        <v>Low Value</v>
      </c>
      <c r="W1226" s="1" t="str">
        <f aca="false">IF(O1226&gt;0,"Profitable",IF(O1226=0,"Break-even","Loss"))</f>
        <v>Profitable</v>
      </c>
      <c r="X1226" s="1" t="str">
        <f aca="false">IF(Q1226="Cancelled","Not Applicable",IF(Q1226="Processing","Pending",IF(B1226="","Unknown",IF(Orders!J1226="","Unknown",IF(Orders!J1226&lt;=3,"Fast",IF(Orders!J1226&lt;=6,"Standard","Slow"))))))</f>
        <v>Fast</v>
      </c>
      <c r="Y1226" s="1" t="n">
        <f aca="false">IF(OR(Q1226="Cancelled",Q1226="Returned"),0,O1226)</f>
        <v>134</v>
      </c>
    </row>
    <row r="1227" customFormat="false" ht="23.85" hidden="false" customHeight="false" outlineLevel="0" collapsed="false">
      <c r="A1227" s="6" t="str">
        <f aca="false">Orders!A1227</f>
        <v>O001226</v>
      </c>
      <c r="B1227" s="19" t="n">
        <f aca="false">Orders!B1227</f>
        <v>45925</v>
      </c>
      <c r="C1227" s="6" t="str">
        <f aca="false">Orders!C1227</f>
        <v>C0073</v>
      </c>
      <c r="D1227" s="6" t="str">
        <f aca="false">Orders!D1227</f>
        <v>P1072</v>
      </c>
      <c r="E1227" s="6" t="str">
        <f aca="false">INDEX(Products!$B$2:$B$101,MATCH(D1227,Products!$A$2:$A$101,0))</f>
        <v>Tennis Balls Pack</v>
      </c>
      <c r="F1227" s="1" t="str">
        <f aca="false">INDEX(Products!$C$2:$C$101,MATCH(D1227,Products!$A$2:$A$101,0))</f>
        <v>Sports &amp; Outdoors</v>
      </c>
      <c r="G1227" s="6" t="n">
        <f aca="false">Orders!E1227</f>
        <v>2</v>
      </c>
      <c r="H1227" s="16" t="n">
        <f aca="false">INDEX(Products!$D$2:$D$101,MATCH(D1227,Products!$A$2:$A$101,0))</f>
        <v>399</v>
      </c>
      <c r="I1227" s="16" t="n">
        <f aca="false">INDEX(Products!$E$2:$E$101,MATCH(D1227,Products!$A$2:$A$101,0))</f>
        <v>160</v>
      </c>
      <c r="J1227" s="20" t="n">
        <f aca="false">Orders!F1227</f>
        <v>0</v>
      </c>
      <c r="K1227" s="6" t="n">
        <f aca="false">G1227*H1227</f>
        <v>798</v>
      </c>
      <c r="L1227" s="6" t="n">
        <f aca="false">K1227*J1227</f>
        <v>0</v>
      </c>
      <c r="M1227" s="6" t="n">
        <f aca="false">K1227-L1227</f>
        <v>798</v>
      </c>
      <c r="N1227" s="6" t="n">
        <f aca="false">G1227*I1227</f>
        <v>320</v>
      </c>
      <c r="O1227" s="6" t="n">
        <f aca="false">M1227-N1227</f>
        <v>478</v>
      </c>
      <c r="P1227" s="21" t="n">
        <f aca="false">IFERROR(O1227/M1227,0)</f>
        <v>0.598997493734336</v>
      </c>
      <c r="Q1227" s="6" t="str">
        <f aca="false">Orders!H1227</f>
        <v>Delivered</v>
      </c>
      <c r="R1227" s="1" t="str">
        <f aca="false">INDEX(Customers!$C$2:$C$301,MATCH(C1227,Customers!$A$2:$A$301,0))</f>
        <v>Kochi</v>
      </c>
      <c r="S1227" s="1" t="str">
        <f aca="false">INDEX(Customers!$E$2:$E$301,MATCH(C1227,Customers!$A$2:$A$301,0))</f>
        <v>Returning</v>
      </c>
      <c r="T1227" s="6" t="str">
        <f aca="false">Orders!I1227</f>
        <v>Mobile App</v>
      </c>
      <c r="U1227" s="1" t="str">
        <f aca="false">IF(Q1227="Delivered","Completed",IF(Q1227="Cancelled","Cancelled",IF(Q1227="Returned","Returned","In Progress")))</f>
        <v>Completed</v>
      </c>
      <c r="V1227" s="1" t="str">
        <f aca="false">IF(M1227&gt;=10000,"High Value",IF(M1227&gt;=5000,"Medium Value","Low Value"))</f>
        <v>Low Value</v>
      </c>
      <c r="W1227" s="1" t="str">
        <f aca="false">IF(O1227&gt;0,"Profitable",IF(O1227=0,"Break-even","Loss"))</f>
        <v>Profitable</v>
      </c>
      <c r="X1227" s="1" t="str">
        <f aca="false">IF(Q1227="Cancelled","Not Applicable",IF(Q1227="Processing","Pending",IF(B1227="","Unknown",IF(Orders!J1227="","Unknown",IF(Orders!J1227&lt;=3,"Fast",IF(Orders!J1227&lt;=6,"Standard","Slow"))))))</f>
        <v>Standard</v>
      </c>
      <c r="Y1227" s="1" t="n">
        <f aca="false">IF(OR(Q1227="Cancelled",Q1227="Returned"),0,O1227)</f>
        <v>478</v>
      </c>
    </row>
    <row r="1228" customFormat="false" ht="15" hidden="false" customHeight="false" outlineLevel="0" collapsed="false">
      <c r="A1228" s="6" t="str">
        <f aca="false">Orders!A1228</f>
        <v>O001227</v>
      </c>
      <c r="B1228" s="19" t="n">
        <f aca="false">Orders!B1228</f>
        <v>45912</v>
      </c>
      <c r="C1228" s="6" t="str">
        <f aca="false">Orders!C1228</f>
        <v>C0101</v>
      </c>
      <c r="D1228" s="6" t="str">
        <f aca="false">Orders!D1228</f>
        <v>P1089</v>
      </c>
      <c r="E1228" s="6" t="str">
        <f aca="false">INDEX(Products!$B$2:$B$101,MATCH(D1228,Products!$A$2:$A$101,0))</f>
        <v>Mixer Grinder</v>
      </c>
      <c r="F1228" s="1" t="str">
        <f aca="false">INDEX(Products!$C$2:$C$101,MATCH(D1228,Products!$A$2:$A$101,0))</f>
        <v>Appliances</v>
      </c>
      <c r="G1228" s="6" t="n">
        <f aca="false">Orders!E1228</f>
        <v>4</v>
      </c>
      <c r="H1228" s="16" t="n">
        <f aca="false">INDEX(Products!$D$2:$D$101,MATCH(D1228,Products!$A$2:$A$101,0))</f>
        <v>2499</v>
      </c>
      <c r="I1228" s="16" t="n">
        <f aca="false">INDEX(Products!$E$2:$E$101,MATCH(D1228,Products!$A$2:$A$101,0))</f>
        <v>1550</v>
      </c>
      <c r="J1228" s="20" t="n">
        <f aca="false">Orders!F1228</f>
        <v>0.15</v>
      </c>
      <c r="K1228" s="6" t="n">
        <f aca="false">G1228*H1228</f>
        <v>9996</v>
      </c>
      <c r="L1228" s="6" t="n">
        <f aca="false">K1228*J1228</f>
        <v>1499.4</v>
      </c>
      <c r="M1228" s="6" t="n">
        <f aca="false">K1228-L1228</f>
        <v>8496.6</v>
      </c>
      <c r="N1228" s="6" t="n">
        <f aca="false">G1228*I1228</f>
        <v>6200</v>
      </c>
      <c r="O1228" s="6" t="n">
        <f aca="false">M1228-N1228</f>
        <v>2296.6</v>
      </c>
      <c r="P1228" s="21" t="n">
        <f aca="false">IFERROR(O1228/M1228,0)</f>
        <v>0.270296353835652</v>
      </c>
      <c r="Q1228" s="6" t="str">
        <f aca="false">Orders!H1228</f>
        <v>Processing</v>
      </c>
      <c r="R1228" s="1" t="str">
        <f aca="false">INDEX(Customers!$C$2:$C$301,MATCH(C1228,Customers!$A$2:$A$301,0))</f>
        <v>Delhi</v>
      </c>
      <c r="S1228" s="1" t="str">
        <f aca="false">INDEX(Customers!$E$2:$E$301,MATCH(C1228,Customers!$A$2:$A$301,0))</f>
        <v>Returning</v>
      </c>
      <c r="T1228" s="6" t="str">
        <f aca="false">Orders!I1228</f>
        <v>Mobile App</v>
      </c>
      <c r="U1228" s="1" t="str">
        <f aca="false">IF(Q1228="Delivered","Completed",IF(Q1228="Cancelled","Cancelled",IF(Q1228="Returned","Returned","In Progress")))</f>
        <v>In Progress</v>
      </c>
      <c r="V1228" s="1" t="str">
        <f aca="false">IF(M1228&gt;=10000,"High Value",IF(M1228&gt;=5000,"Medium Value","Low Value"))</f>
        <v>Medium Value</v>
      </c>
      <c r="W1228" s="1" t="str">
        <f aca="false">IF(O1228&gt;0,"Profitable",IF(O1228=0,"Break-even","Loss"))</f>
        <v>Profitable</v>
      </c>
      <c r="X1228" s="1" t="str">
        <f aca="false">IF(Q1228="Cancelled","Not Applicable",IF(Q1228="Processing","Pending",IF(B1228="","Unknown",IF(Orders!J1228="","Unknown",IF(Orders!J1228&lt;=3,"Fast",IF(Orders!J1228&lt;=6,"Standard","Slow"))))))</f>
        <v>Pending</v>
      </c>
      <c r="Y1228" s="1" t="n">
        <f aca="false">IF(OR(Q1228="Cancelled",Q1228="Returned"),0,O1228)</f>
        <v>2296.6</v>
      </c>
    </row>
    <row r="1229" customFormat="false" ht="15" hidden="false" customHeight="false" outlineLevel="0" collapsed="false">
      <c r="A1229" s="6" t="str">
        <f aca="false">Orders!A1229</f>
        <v>O001228</v>
      </c>
      <c r="B1229" s="19" t="n">
        <f aca="false">Orders!B1229</f>
        <v>45950</v>
      </c>
      <c r="C1229" s="6" t="str">
        <f aca="false">Orders!C1229</f>
        <v>C0018</v>
      </c>
      <c r="D1229" s="6" t="str">
        <f aca="false">Orders!D1229</f>
        <v>P1085</v>
      </c>
      <c r="E1229" s="6" t="str">
        <f aca="false">INDEX(Products!$B$2:$B$101,MATCH(D1229,Products!$A$2:$A$101,0))</f>
        <v>Marker Set</v>
      </c>
      <c r="F1229" s="1" t="str">
        <f aca="false">INDEX(Products!$C$2:$C$101,MATCH(D1229,Products!$A$2:$A$101,0))</f>
        <v>Books &amp; Stationery</v>
      </c>
      <c r="G1229" s="6" t="n">
        <f aca="false">Orders!E1229</f>
        <v>2</v>
      </c>
      <c r="H1229" s="16" t="n">
        <f aca="false">INDEX(Products!$D$2:$D$101,MATCH(D1229,Products!$A$2:$A$101,0))</f>
        <v>299</v>
      </c>
      <c r="I1229" s="16" t="n">
        <f aca="false">INDEX(Products!$E$2:$E$101,MATCH(D1229,Products!$A$2:$A$101,0))</f>
        <v>110</v>
      </c>
      <c r="J1229" s="20" t="n">
        <f aca="false">Orders!F1229</f>
        <v>0.05</v>
      </c>
      <c r="K1229" s="6" t="n">
        <f aca="false">G1229*H1229</f>
        <v>598</v>
      </c>
      <c r="L1229" s="6" t="n">
        <f aca="false">K1229*J1229</f>
        <v>29.9</v>
      </c>
      <c r="M1229" s="6" t="n">
        <f aca="false">K1229-L1229</f>
        <v>568.1</v>
      </c>
      <c r="N1229" s="6" t="n">
        <f aca="false">G1229*I1229</f>
        <v>220</v>
      </c>
      <c r="O1229" s="6" t="n">
        <f aca="false">M1229-N1229</f>
        <v>348.1</v>
      </c>
      <c r="P1229" s="21" t="n">
        <f aca="false">IFERROR(O1229/M1229,0)</f>
        <v>0.612744235169864</v>
      </c>
      <c r="Q1229" s="6" t="str">
        <f aca="false">Orders!H1229</f>
        <v>Delivered</v>
      </c>
      <c r="R1229" s="1" t="str">
        <f aca="false">INDEX(Customers!$C$2:$C$301,MATCH(C1229,Customers!$A$2:$A$301,0))</f>
        <v>Nagpur</v>
      </c>
      <c r="S1229" s="1" t="str">
        <f aca="false">INDEX(Customers!$E$2:$E$301,MATCH(C1229,Customers!$A$2:$A$301,0))</f>
        <v>New</v>
      </c>
      <c r="T1229" s="6" t="str">
        <f aca="false">Orders!I1229</f>
        <v>Website</v>
      </c>
      <c r="U1229" s="1" t="str">
        <f aca="false">IF(Q1229="Delivered","Completed",IF(Q1229="Cancelled","Cancelled",IF(Q1229="Returned","Returned","In Progress")))</f>
        <v>Completed</v>
      </c>
      <c r="V1229" s="1" t="str">
        <f aca="false">IF(M1229&gt;=10000,"High Value",IF(M1229&gt;=5000,"Medium Value","Low Value"))</f>
        <v>Low Value</v>
      </c>
      <c r="W1229" s="1" t="str">
        <f aca="false">IF(O1229&gt;0,"Profitable",IF(O1229=0,"Break-even","Loss"))</f>
        <v>Profitable</v>
      </c>
      <c r="X1229" s="1" t="str">
        <f aca="false">IF(Q1229="Cancelled","Not Applicable",IF(Q1229="Processing","Pending",IF(B1229="","Unknown",IF(Orders!J1229="","Unknown",IF(Orders!J1229&lt;=3,"Fast",IF(Orders!J1229&lt;=6,"Standard","Slow"))))))</f>
        <v>Standard</v>
      </c>
      <c r="Y1229" s="1" t="n">
        <f aca="false">IF(OR(Q1229="Cancelled",Q1229="Returned"),0,O1229)</f>
        <v>348.1</v>
      </c>
    </row>
    <row r="1230" customFormat="false" ht="15" hidden="false" customHeight="false" outlineLevel="0" collapsed="false">
      <c r="A1230" s="6" t="str">
        <f aca="false">Orders!A1230</f>
        <v>O001229</v>
      </c>
      <c r="B1230" s="19" t="n">
        <f aca="false">Orders!B1230</f>
        <v>45970</v>
      </c>
      <c r="C1230" s="6" t="str">
        <f aca="false">Orders!C1230</f>
        <v>C0167</v>
      </c>
      <c r="D1230" s="6" t="str">
        <f aca="false">Orders!D1230</f>
        <v>P1051</v>
      </c>
      <c r="E1230" s="6" t="str">
        <f aca="false">INDEX(Products!$B$2:$B$101,MATCH(D1230,Products!$A$2:$A$101,0))</f>
        <v>Body Lotion</v>
      </c>
      <c r="F1230" s="1" t="str">
        <f aca="false">INDEX(Products!$C$2:$C$101,MATCH(D1230,Products!$A$2:$A$101,0))</f>
        <v>Beauty</v>
      </c>
      <c r="G1230" s="6" t="n">
        <f aca="false">Orders!E1230</f>
        <v>1</v>
      </c>
      <c r="H1230" s="16" t="n">
        <f aca="false">INDEX(Products!$D$2:$D$101,MATCH(D1230,Products!$A$2:$A$101,0))</f>
        <v>399</v>
      </c>
      <c r="I1230" s="16" t="n">
        <f aca="false">INDEX(Products!$E$2:$E$101,MATCH(D1230,Products!$A$2:$A$101,0))</f>
        <v>170</v>
      </c>
      <c r="J1230" s="20" t="n">
        <f aca="false">Orders!F1230</f>
        <v>0</v>
      </c>
      <c r="K1230" s="6" t="n">
        <f aca="false">G1230*H1230</f>
        <v>399</v>
      </c>
      <c r="L1230" s="6" t="n">
        <f aca="false">K1230*J1230</f>
        <v>0</v>
      </c>
      <c r="M1230" s="6" t="n">
        <f aca="false">K1230-L1230</f>
        <v>399</v>
      </c>
      <c r="N1230" s="6" t="n">
        <f aca="false">G1230*I1230</f>
        <v>170</v>
      </c>
      <c r="O1230" s="6" t="n">
        <f aca="false">M1230-N1230</f>
        <v>229</v>
      </c>
      <c r="P1230" s="21" t="n">
        <f aca="false">IFERROR(O1230/M1230,0)</f>
        <v>0.573934837092732</v>
      </c>
      <c r="Q1230" s="6" t="str">
        <f aca="false">Orders!H1230</f>
        <v>Delivered</v>
      </c>
      <c r="R1230" s="1" t="str">
        <f aca="false">INDEX(Customers!$C$2:$C$301,MATCH(C1230,Customers!$A$2:$A$301,0))</f>
        <v>Pune</v>
      </c>
      <c r="S1230" s="1" t="str">
        <f aca="false">INDEX(Customers!$E$2:$E$301,MATCH(C1230,Customers!$A$2:$A$301,0))</f>
        <v>Returning</v>
      </c>
      <c r="T1230" s="6" t="str">
        <f aca="false">Orders!I1230</f>
        <v>Marketplace</v>
      </c>
      <c r="U1230" s="1" t="str">
        <f aca="false">IF(Q1230="Delivered","Completed",IF(Q1230="Cancelled","Cancelled",IF(Q1230="Returned","Returned","In Progress")))</f>
        <v>Completed</v>
      </c>
      <c r="V1230" s="1" t="str">
        <f aca="false">IF(M1230&gt;=10000,"High Value",IF(M1230&gt;=5000,"Medium Value","Low Value"))</f>
        <v>Low Value</v>
      </c>
      <c r="W1230" s="1" t="str">
        <f aca="false">IF(O1230&gt;0,"Profitable",IF(O1230=0,"Break-even","Loss"))</f>
        <v>Profitable</v>
      </c>
      <c r="X1230" s="1" t="str">
        <f aca="false">IF(Q1230="Cancelled","Not Applicable",IF(Q1230="Processing","Pending",IF(B1230="","Unknown",IF(Orders!J1230="","Unknown",IF(Orders!J1230&lt;=3,"Fast",IF(Orders!J1230&lt;=6,"Standard","Slow"))))))</f>
        <v>Standard</v>
      </c>
      <c r="Y1230" s="1" t="n">
        <f aca="false">IF(OR(Q1230="Cancelled",Q1230="Returned"),0,O1230)</f>
        <v>229</v>
      </c>
    </row>
    <row r="1231" customFormat="false" ht="15" hidden="false" customHeight="false" outlineLevel="0" collapsed="false">
      <c r="A1231" s="6" t="str">
        <f aca="false">Orders!A1231</f>
        <v>O001230</v>
      </c>
      <c r="B1231" s="19" t="n">
        <f aca="false">Orders!B1231</f>
        <v>45942</v>
      </c>
      <c r="C1231" s="6" t="str">
        <f aca="false">Orders!C1231</f>
        <v>C0194</v>
      </c>
      <c r="D1231" s="6" t="str">
        <f aca="false">Orders!D1231</f>
        <v>P1045</v>
      </c>
      <c r="E1231" s="6" t="str">
        <f aca="false">INDEX(Products!$B$2:$B$101,MATCH(D1231,Products!$A$2:$A$101,0))</f>
        <v>Lunch Box</v>
      </c>
      <c r="F1231" s="1" t="str">
        <f aca="false">INDEX(Products!$C$2:$C$101,MATCH(D1231,Products!$A$2:$A$101,0))</f>
        <v>Home &amp; Kitchen</v>
      </c>
      <c r="G1231" s="6" t="n">
        <f aca="false">Orders!E1231</f>
        <v>3</v>
      </c>
      <c r="H1231" s="16" t="n">
        <f aca="false">INDEX(Products!$D$2:$D$101,MATCH(D1231,Products!$A$2:$A$101,0))</f>
        <v>449</v>
      </c>
      <c r="I1231" s="16" t="n">
        <f aca="false">INDEX(Products!$E$2:$E$101,MATCH(D1231,Products!$A$2:$A$101,0))</f>
        <v>180</v>
      </c>
      <c r="J1231" s="20" t="n">
        <f aca="false">Orders!F1231</f>
        <v>0.05</v>
      </c>
      <c r="K1231" s="6" t="n">
        <f aca="false">G1231*H1231</f>
        <v>1347</v>
      </c>
      <c r="L1231" s="6" t="n">
        <f aca="false">K1231*J1231</f>
        <v>67.35</v>
      </c>
      <c r="M1231" s="6" t="n">
        <f aca="false">K1231-L1231</f>
        <v>1279.65</v>
      </c>
      <c r="N1231" s="6" t="n">
        <f aca="false">G1231*I1231</f>
        <v>540</v>
      </c>
      <c r="O1231" s="6" t="n">
        <f aca="false">M1231-N1231</f>
        <v>739.65</v>
      </c>
      <c r="P1231" s="21" t="n">
        <f aca="false">IFERROR(O1231/M1231,0)</f>
        <v>0.578009612003282</v>
      </c>
      <c r="Q1231" s="6" t="str">
        <f aca="false">Orders!H1231</f>
        <v>Delivered</v>
      </c>
      <c r="R1231" s="1" t="str">
        <f aca="false">INDEX(Customers!$C$2:$C$301,MATCH(C1231,Customers!$A$2:$A$301,0))</f>
        <v>Indore</v>
      </c>
      <c r="S1231" s="1" t="str">
        <f aca="false">INDEX(Customers!$E$2:$E$301,MATCH(C1231,Customers!$A$2:$A$301,0))</f>
        <v>Returning</v>
      </c>
      <c r="T1231" s="6" t="str">
        <f aca="false">Orders!I1231</f>
        <v>Mobile App</v>
      </c>
      <c r="U1231" s="1" t="str">
        <f aca="false">IF(Q1231="Delivered","Completed",IF(Q1231="Cancelled","Cancelled",IF(Q1231="Returned","Returned","In Progress")))</f>
        <v>Completed</v>
      </c>
      <c r="V1231" s="1" t="str">
        <f aca="false">IF(M1231&gt;=10000,"High Value",IF(M1231&gt;=5000,"Medium Value","Low Value"))</f>
        <v>Low Value</v>
      </c>
      <c r="W1231" s="1" t="str">
        <f aca="false">IF(O1231&gt;0,"Profitable",IF(O1231=0,"Break-even","Loss"))</f>
        <v>Profitable</v>
      </c>
      <c r="X1231" s="1" t="str">
        <f aca="false">IF(Q1231="Cancelled","Not Applicable",IF(Q1231="Processing","Pending",IF(B1231="","Unknown",IF(Orders!J1231="","Unknown",IF(Orders!J1231&lt;=3,"Fast",IF(Orders!J1231&lt;=6,"Standard","Slow"))))))</f>
        <v>Standard</v>
      </c>
      <c r="Y1231" s="1" t="n">
        <f aca="false">IF(OR(Q1231="Cancelled",Q1231="Returned"),0,O1231)</f>
        <v>739.65</v>
      </c>
    </row>
    <row r="1232" customFormat="false" ht="15" hidden="false" customHeight="false" outlineLevel="0" collapsed="false">
      <c r="A1232" s="6" t="str">
        <f aca="false">Orders!A1232</f>
        <v>O001231</v>
      </c>
      <c r="B1232" s="19" t="n">
        <f aca="false">Orders!B1232</f>
        <v>45690</v>
      </c>
      <c r="C1232" s="6" t="str">
        <f aca="false">Orders!C1232</f>
        <v>C0257</v>
      </c>
      <c r="D1232" s="6" t="str">
        <f aca="false">Orders!D1232</f>
        <v>P1040</v>
      </c>
      <c r="E1232" s="6" t="str">
        <f aca="false">INDEX(Products!$B$2:$B$101,MATCH(D1232,Products!$A$2:$A$101,0))</f>
        <v>Curtain Set</v>
      </c>
      <c r="F1232" s="1" t="str">
        <f aca="false">INDEX(Products!$C$2:$C$101,MATCH(D1232,Products!$A$2:$A$101,0))</f>
        <v>Home &amp; Kitchen</v>
      </c>
      <c r="G1232" s="6" t="n">
        <f aca="false">Orders!E1232</f>
        <v>1</v>
      </c>
      <c r="H1232" s="16" t="n">
        <f aca="false">INDEX(Products!$D$2:$D$101,MATCH(D1232,Products!$A$2:$A$101,0))</f>
        <v>1099</v>
      </c>
      <c r="I1232" s="16" t="n">
        <f aca="false">INDEX(Products!$E$2:$E$101,MATCH(D1232,Products!$A$2:$A$101,0))</f>
        <v>550</v>
      </c>
      <c r="J1232" s="20" t="n">
        <f aca="false">Orders!F1232</f>
        <v>0</v>
      </c>
      <c r="K1232" s="6" t="n">
        <f aca="false">G1232*H1232</f>
        <v>1099</v>
      </c>
      <c r="L1232" s="6" t="n">
        <f aca="false">K1232*J1232</f>
        <v>0</v>
      </c>
      <c r="M1232" s="6" t="n">
        <f aca="false">K1232-L1232</f>
        <v>1099</v>
      </c>
      <c r="N1232" s="6" t="n">
        <f aca="false">G1232*I1232</f>
        <v>550</v>
      </c>
      <c r="O1232" s="6" t="n">
        <f aca="false">M1232-N1232</f>
        <v>549</v>
      </c>
      <c r="P1232" s="21" t="n">
        <f aca="false">IFERROR(O1232/M1232,0)</f>
        <v>0.499545040946315</v>
      </c>
      <c r="Q1232" s="6" t="str">
        <f aca="false">Orders!H1232</f>
        <v>Delivered</v>
      </c>
      <c r="R1232" s="1" t="str">
        <f aca="false">INDEX(Customers!$C$2:$C$301,MATCH(C1232,Customers!$A$2:$A$301,0))</f>
        <v>Surat</v>
      </c>
      <c r="S1232" s="1" t="str">
        <f aca="false">INDEX(Customers!$E$2:$E$301,MATCH(C1232,Customers!$A$2:$A$301,0))</f>
        <v>New</v>
      </c>
      <c r="T1232" s="6" t="str">
        <f aca="false">Orders!I1232</f>
        <v>Website</v>
      </c>
      <c r="U1232" s="1" t="str">
        <f aca="false">IF(Q1232="Delivered","Completed",IF(Q1232="Cancelled","Cancelled",IF(Q1232="Returned","Returned","In Progress")))</f>
        <v>Completed</v>
      </c>
      <c r="V1232" s="1" t="str">
        <f aca="false">IF(M1232&gt;=10000,"High Value",IF(M1232&gt;=5000,"Medium Value","Low Value"))</f>
        <v>Low Value</v>
      </c>
      <c r="W1232" s="1" t="str">
        <f aca="false">IF(O1232&gt;0,"Profitable",IF(O1232=0,"Break-even","Loss"))</f>
        <v>Profitable</v>
      </c>
      <c r="X1232" s="1" t="str">
        <f aca="false">IF(Q1232="Cancelled","Not Applicable",IF(Q1232="Processing","Pending",IF(B1232="","Unknown",IF(Orders!J1232="","Unknown",IF(Orders!J1232&lt;=3,"Fast",IF(Orders!J1232&lt;=6,"Standard","Slow"))))))</f>
        <v>Slow</v>
      </c>
      <c r="Y1232" s="1" t="n">
        <f aca="false">IF(OR(Q1232="Cancelled",Q1232="Returned"),0,O1232)</f>
        <v>549</v>
      </c>
    </row>
    <row r="1233" customFormat="false" ht="15" hidden="false" customHeight="false" outlineLevel="0" collapsed="false">
      <c r="A1233" s="6" t="str">
        <f aca="false">Orders!A1233</f>
        <v>O001232</v>
      </c>
      <c r="B1233" s="19" t="n">
        <f aca="false">Orders!B1233</f>
        <v>45956</v>
      </c>
      <c r="C1233" s="6" t="str">
        <f aca="false">Orders!C1233</f>
        <v>C0049</v>
      </c>
      <c r="D1233" s="6" t="str">
        <f aca="false">Orders!D1233</f>
        <v>P1004</v>
      </c>
      <c r="E1233" s="6" t="str">
        <f aca="false">INDEX(Products!$B$2:$B$101,MATCH(D1233,Products!$A$2:$A$101,0))</f>
        <v>USB-C Cable</v>
      </c>
      <c r="F1233" s="1" t="str">
        <f aca="false">INDEX(Products!$C$2:$C$101,MATCH(D1233,Products!$A$2:$A$101,0))</f>
        <v>Electronics</v>
      </c>
      <c r="G1233" s="6" t="n">
        <f aca="false">Orders!E1233</f>
        <v>2</v>
      </c>
      <c r="H1233" s="16" t="n">
        <f aca="false">INDEX(Products!$D$2:$D$101,MATCH(D1233,Products!$A$2:$A$101,0))</f>
        <v>299</v>
      </c>
      <c r="I1233" s="16" t="n">
        <f aca="false">INDEX(Products!$E$2:$E$101,MATCH(D1233,Products!$A$2:$A$101,0))</f>
        <v>120</v>
      </c>
      <c r="J1233" s="20" t="n">
        <f aca="false">Orders!F1233</f>
        <v>0</v>
      </c>
      <c r="K1233" s="6" t="n">
        <f aca="false">G1233*H1233</f>
        <v>598</v>
      </c>
      <c r="L1233" s="6" t="n">
        <f aca="false">K1233*J1233</f>
        <v>0</v>
      </c>
      <c r="M1233" s="6" t="n">
        <f aca="false">K1233-L1233</f>
        <v>598</v>
      </c>
      <c r="N1233" s="6" t="n">
        <f aca="false">G1233*I1233</f>
        <v>240</v>
      </c>
      <c r="O1233" s="6" t="n">
        <f aca="false">M1233-N1233</f>
        <v>358</v>
      </c>
      <c r="P1233" s="21" t="n">
        <f aca="false">IFERROR(O1233/M1233,0)</f>
        <v>0.59866220735786</v>
      </c>
      <c r="Q1233" s="6" t="str">
        <f aca="false">Orders!H1233</f>
        <v>Delivered</v>
      </c>
      <c r="R1233" s="1" t="str">
        <f aca="false">INDEX(Customers!$C$2:$C$301,MATCH(C1233,Customers!$A$2:$A$301,0))</f>
        <v>Ahmedabad</v>
      </c>
      <c r="S1233" s="1" t="str">
        <f aca="false">INDEX(Customers!$E$2:$E$301,MATCH(C1233,Customers!$A$2:$A$301,0))</f>
        <v>Returning</v>
      </c>
      <c r="T1233" s="6" t="str">
        <f aca="false">Orders!I1233</f>
        <v>Marketplace</v>
      </c>
      <c r="U1233" s="1" t="str">
        <f aca="false">IF(Q1233="Delivered","Completed",IF(Q1233="Cancelled","Cancelled",IF(Q1233="Returned","Returned","In Progress")))</f>
        <v>Completed</v>
      </c>
      <c r="V1233" s="1" t="str">
        <f aca="false">IF(M1233&gt;=10000,"High Value",IF(M1233&gt;=5000,"Medium Value","Low Value"))</f>
        <v>Low Value</v>
      </c>
      <c r="W1233" s="1" t="str">
        <f aca="false">IF(O1233&gt;0,"Profitable",IF(O1233=0,"Break-even","Loss"))</f>
        <v>Profitable</v>
      </c>
      <c r="X1233" s="1" t="str">
        <f aca="false">IF(Q1233="Cancelled","Not Applicable",IF(Q1233="Processing","Pending",IF(B1233="","Unknown",IF(Orders!J1233="","Unknown",IF(Orders!J1233&lt;=3,"Fast",IF(Orders!J1233&lt;=6,"Standard","Slow"))))))</f>
        <v>Fast</v>
      </c>
      <c r="Y1233" s="1" t="n">
        <f aca="false">IF(OR(Q1233="Cancelled",Q1233="Returned"),0,O1233)</f>
        <v>358</v>
      </c>
    </row>
    <row r="1234" customFormat="false" ht="15" hidden="false" customHeight="false" outlineLevel="0" collapsed="false">
      <c r="A1234" s="6" t="str">
        <f aca="false">Orders!A1234</f>
        <v>O001233</v>
      </c>
      <c r="B1234" s="19" t="n">
        <f aca="false">Orders!B1234</f>
        <v>45765</v>
      </c>
      <c r="C1234" s="6" t="str">
        <f aca="false">Orders!C1234</f>
        <v>C0218</v>
      </c>
      <c r="D1234" s="6" t="str">
        <f aca="false">Orders!D1234</f>
        <v>P1027</v>
      </c>
      <c r="E1234" s="6" t="str">
        <f aca="false">INDEX(Products!$B$2:$B$101,MATCH(D1234,Products!$A$2:$A$101,0))</f>
        <v>Belt</v>
      </c>
      <c r="F1234" s="1" t="str">
        <f aca="false">INDEX(Products!$C$2:$C$101,MATCH(D1234,Products!$A$2:$A$101,0))</f>
        <v>Fashion</v>
      </c>
      <c r="G1234" s="6" t="n">
        <f aca="false">Orders!E1234</f>
        <v>2</v>
      </c>
      <c r="H1234" s="16" t="n">
        <f aca="false">INDEX(Products!$D$2:$D$101,MATCH(D1234,Products!$A$2:$A$101,0))</f>
        <v>399</v>
      </c>
      <c r="I1234" s="16" t="n">
        <f aca="false">INDEX(Products!$E$2:$E$101,MATCH(D1234,Products!$A$2:$A$101,0))</f>
        <v>160</v>
      </c>
      <c r="J1234" s="20" t="n">
        <f aca="false">Orders!F1234</f>
        <v>0.05</v>
      </c>
      <c r="K1234" s="6" t="n">
        <f aca="false">G1234*H1234</f>
        <v>798</v>
      </c>
      <c r="L1234" s="6" t="n">
        <f aca="false">K1234*J1234</f>
        <v>39.9</v>
      </c>
      <c r="M1234" s="6" t="n">
        <f aca="false">K1234-L1234</f>
        <v>758.1</v>
      </c>
      <c r="N1234" s="6" t="n">
        <f aca="false">G1234*I1234</f>
        <v>320</v>
      </c>
      <c r="O1234" s="6" t="n">
        <f aca="false">M1234-N1234</f>
        <v>438.1</v>
      </c>
      <c r="P1234" s="21" t="n">
        <f aca="false">IFERROR(O1234/M1234,0)</f>
        <v>0.577892098667722</v>
      </c>
      <c r="Q1234" s="6" t="str">
        <f aca="false">Orders!H1234</f>
        <v>Shipped</v>
      </c>
      <c r="R1234" s="1" t="str">
        <f aca="false">INDEX(Customers!$C$2:$C$301,MATCH(C1234,Customers!$A$2:$A$301,0))</f>
        <v>Nagpur</v>
      </c>
      <c r="S1234" s="1" t="str">
        <f aca="false">INDEX(Customers!$E$2:$E$301,MATCH(C1234,Customers!$A$2:$A$301,0))</f>
        <v>VIP</v>
      </c>
      <c r="T1234" s="6" t="str">
        <f aca="false">Orders!I1234</f>
        <v>Mobile App</v>
      </c>
      <c r="U1234" s="1" t="str">
        <f aca="false">IF(Q1234="Delivered","Completed",IF(Q1234="Cancelled","Cancelled",IF(Q1234="Returned","Returned","In Progress")))</f>
        <v>In Progress</v>
      </c>
      <c r="V1234" s="1" t="str">
        <f aca="false">IF(M1234&gt;=10000,"High Value",IF(M1234&gt;=5000,"Medium Value","Low Value"))</f>
        <v>Low Value</v>
      </c>
      <c r="W1234" s="1" t="str">
        <f aca="false">IF(O1234&gt;0,"Profitable",IF(O1234=0,"Break-even","Loss"))</f>
        <v>Profitable</v>
      </c>
      <c r="X1234" s="1" t="str">
        <f aca="false">IF(Q1234="Cancelled","Not Applicable",IF(Q1234="Processing","Pending",IF(B1234="","Unknown",IF(Orders!J1234="","Unknown",IF(Orders!J1234&lt;=3,"Fast",IF(Orders!J1234&lt;=6,"Standard","Slow"))))))</f>
        <v>Standard</v>
      </c>
      <c r="Y1234" s="1" t="n">
        <f aca="false">IF(OR(Q1234="Cancelled",Q1234="Returned"),0,O1234)</f>
        <v>438.1</v>
      </c>
    </row>
    <row r="1235" customFormat="false" ht="15" hidden="false" customHeight="false" outlineLevel="0" collapsed="false">
      <c r="A1235" s="6" t="str">
        <f aca="false">Orders!A1235</f>
        <v>O001234</v>
      </c>
      <c r="B1235" s="19" t="n">
        <f aca="false">Orders!B1235</f>
        <v>45697</v>
      </c>
      <c r="C1235" s="6" t="str">
        <f aca="false">Orders!C1235</f>
        <v>C0293</v>
      </c>
      <c r="D1235" s="6" t="str">
        <f aca="false">Orders!D1235</f>
        <v>P1010</v>
      </c>
      <c r="E1235" s="6" t="str">
        <f aca="false">INDEX(Products!$B$2:$B$101,MATCH(D1235,Products!$A$2:$A$101,0))</f>
        <v>Webcam</v>
      </c>
      <c r="F1235" s="1" t="str">
        <f aca="false">INDEX(Products!$C$2:$C$101,MATCH(D1235,Products!$A$2:$A$101,0))</f>
        <v>Electronics</v>
      </c>
      <c r="G1235" s="6" t="n">
        <f aca="false">Orders!E1235</f>
        <v>2</v>
      </c>
      <c r="H1235" s="16" t="n">
        <f aca="false">INDEX(Products!$D$2:$D$101,MATCH(D1235,Products!$A$2:$A$101,0))</f>
        <v>1799</v>
      </c>
      <c r="I1235" s="16" t="n">
        <f aca="false">INDEX(Products!$E$2:$E$101,MATCH(D1235,Products!$A$2:$A$101,0))</f>
        <v>1050</v>
      </c>
      <c r="J1235" s="20" t="n">
        <f aca="false">Orders!F1235</f>
        <v>0</v>
      </c>
      <c r="K1235" s="6" t="n">
        <f aca="false">G1235*H1235</f>
        <v>3598</v>
      </c>
      <c r="L1235" s="6" t="n">
        <f aca="false">K1235*J1235</f>
        <v>0</v>
      </c>
      <c r="M1235" s="6" t="n">
        <f aca="false">K1235-L1235</f>
        <v>3598</v>
      </c>
      <c r="N1235" s="6" t="n">
        <f aca="false">G1235*I1235</f>
        <v>2100</v>
      </c>
      <c r="O1235" s="6" t="n">
        <f aca="false">M1235-N1235</f>
        <v>1498</v>
      </c>
      <c r="P1235" s="21" t="n">
        <f aca="false">IFERROR(O1235/M1235,0)</f>
        <v>0.416342412451362</v>
      </c>
      <c r="Q1235" s="6" t="str">
        <f aca="false">Orders!H1235</f>
        <v>Delivered</v>
      </c>
      <c r="R1235" s="1" t="str">
        <f aca="false">INDEX(Customers!$C$2:$C$301,MATCH(C1235,Customers!$A$2:$A$301,0))</f>
        <v>Kochi</v>
      </c>
      <c r="S1235" s="1" t="str">
        <f aca="false">INDEX(Customers!$E$2:$E$301,MATCH(C1235,Customers!$A$2:$A$301,0))</f>
        <v>VIP</v>
      </c>
      <c r="T1235" s="6" t="str">
        <f aca="false">Orders!I1235</f>
        <v>Marketplace</v>
      </c>
      <c r="U1235" s="1" t="str">
        <f aca="false">IF(Q1235="Delivered","Completed",IF(Q1235="Cancelled","Cancelled",IF(Q1235="Returned","Returned","In Progress")))</f>
        <v>Completed</v>
      </c>
      <c r="V1235" s="1" t="str">
        <f aca="false">IF(M1235&gt;=10000,"High Value",IF(M1235&gt;=5000,"Medium Value","Low Value"))</f>
        <v>Low Value</v>
      </c>
      <c r="W1235" s="1" t="str">
        <f aca="false">IF(O1235&gt;0,"Profitable",IF(O1235=0,"Break-even","Loss"))</f>
        <v>Profitable</v>
      </c>
      <c r="X1235" s="1" t="str">
        <f aca="false">IF(Q1235="Cancelled","Not Applicable",IF(Q1235="Processing","Pending",IF(B1235="","Unknown",IF(Orders!J1235="","Unknown",IF(Orders!J1235&lt;=3,"Fast",IF(Orders!J1235&lt;=6,"Standard","Slow"))))))</f>
        <v>Slow</v>
      </c>
      <c r="Y1235" s="1" t="n">
        <f aca="false">IF(OR(Q1235="Cancelled",Q1235="Returned"),0,O1235)</f>
        <v>1498</v>
      </c>
    </row>
    <row r="1236" customFormat="false" ht="15" hidden="false" customHeight="false" outlineLevel="0" collapsed="false">
      <c r="A1236" s="6" t="str">
        <f aca="false">Orders!A1236</f>
        <v>O001235</v>
      </c>
      <c r="B1236" s="19" t="n">
        <f aca="false">Orders!B1236</f>
        <v>45772</v>
      </c>
      <c r="C1236" s="6" t="str">
        <f aca="false">Orders!C1236</f>
        <v>C0174</v>
      </c>
      <c r="D1236" s="6" t="str">
        <f aca="false">Orders!D1236</f>
        <v>P1095</v>
      </c>
      <c r="E1236" s="6" t="str">
        <f aca="false">INDEX(Products!$B$2:$B$101,MATCH(D1236,Products!$A$2:$A$101,0))</f>
        <v>Table Fan</v>
      </c>
      <c r="F1236" s="1" t="str">
        <f aca="false">INDEX(Products!$C$2:$C$101,MATCH(D1236,Products!$A$2:$A$101,0))</f>
        <v>Appliances</v>
      </c>
      <c r="G1236" s="6" t="n">
        <f aca="false">Orders!E1236</f>
        <v>2</v>
      </c>
      <c r="H1236" s="16" t="n">
        <f aca="false">INDEX(Products!$D$2:$D$101,MATCH(D1236,Products!$A$2:$A$101,0))</f>
        <v>1599</v>
      </c>
      <c r="I1236" s="16" t="n">
        <f aca="false">INDEX(Products!$E$2:$E$101,MATCH(D1236,Products!$A$2:$A$101,0))</f>
        <v>950</v>
      </c>
      <c r="J1236" s="20" t="n">
        <f aca="false">Orders!F1236</f>
        <v>0.1</v>
      </c>
      <c r="K1236" s="6" t="n">
        <f aca="false">G1236*H1236</f>
        <v>3198</v>
      </c>
      <c r="L1236" s="6" t="n">
        <f aca="false">K1236*J1236</f>
        <v>319.8</v>
      </c>
      <c r="M1236" s="6" t="n">
        <f aca="false">K1236-L1236</f>
        <v>2878.2</v>
      </c>
      <c r="N1236" s="6" t="n">
        <f aca="false">G1236*I1236</f>
        <v>1900</v>
      </c>
      <c r="O1236" s="6" t="n">
        <f aca="false">M1236-N1236</f>
        <v>978.2</v>
      </c>
      <c r="P1236" s="21" t="n">
        <f aca="false">IFERROR(O1236/M1236,0)</f>
        <v>0.33986519352373</v>
      </c>
      <c r="Q1236" s="6" t="str">
        <f aca="false">Orders!H1236</f>
        <v>Processing</v>
      </c>
      <c r="R1236" s="1" t="str">
        <f aca="false">INDEX(Customers!$C$2:$C$301,MATCH(C1236,Customers!$A$2:$A$301,0))</f>
        <v>Indore</v>
      </c>
      <c r="S1236" s="1" t="str">
        <f aca="false">INDEX(Customers!$E$2:$E$301,MATCH(C1236,Customers!$A$2:$A$301,0))</f>
        <v>VIP</v>
      </c>
      <c r="T1236" s="6" t="str">
        <f aca="false">Orders!I1236</f>
        <v>Mobile App</v>
      </c>
      <c r="U1236" s="1" t="str">
        <f aca="false">IF(Q1236="Delivered","Completed",IF(Q1236="Cancelled","Cancelled",IF(Q1236="Returned","Returned","In Progress")))</f>
        <v>In Progress</v>
      </c>
      <c r="V1236" s="1" t="str">
        <f aca="false">IF(M1236&gt;=10000,"High Value",IF(M1236&gt;=5000,"Medium Value","Low Value"))</f>
        <v>Low Value</v>
      </c>
      <c r="W1236" s="1" t="str">
        <f aca="false">IF(O1236&gt;0,"Profitable",IF(O1236=0,"Break-even","Loss"))</f>
        <v>Profitable</v>
      </c>
      <c r="X1236" s="1" t="str">
        <f aca="false">IF(Q1236="Cancelled","Not Applicable",IF(Q1236="Processing","Pending",IF(B1236="","Unknown",IF(Orders!J1236="","Unknown",IF(Orders!J1236&lt;=3,"Fast",IF(Orders!J1236&lt;=6,"Standard","Slow"))))))</f>
        <v>Pending</v>
      </c>
      <c r="Y1236" s="1" t="n">
        <f aca="false">IF(OR(Q1236="Cancelled",Q1236="Returned"),0,O1236)</f>
        <v>978.2</v>
      </c>
    </row>
    <row r="1237" customFormat="false" ht="15" hidden="false" customHeight="false" outlineLevel="0" collapsed="false">
      <c r="A1237" s="6" t="str">
        <f aca="false">Orders!A1237</f>
        <v>O001236</v>
      </c>
      <c r="B1237" s="19" t="n">
        <f aca="false">Orders!B1237</f>
        <v>45856</v>
      </c>
      <c r="C1237" s="6" t="str">
        <f aca="false">Orders!C1237</f>
        <v>C0136</v>
      </c>
      <c r="D1237" s="6" t="str">
        <f aca="false">Orders!D1237</f>
        <v>P1036</v>
      </c>
      <c r="E1237" s="6" t="str">
        <f aca="false">INDEX(Products!$B$2:$B$101,MATCH(D1237,Products!$A$2:$A$101,0))</f>
        <v>Dinner Set</v>
      </c>
      <c r="F1237" s="1" t="str">
        <f aca="false">INDEX(Products!$C$2:$C$101,MATCH(D1237,Products!$A$2:$A$101,0))</f>
        <v>Home &amp; Kitchen</v>
      </c>
      <c r="G1237" s="6" t="n">
        <f aca="false">Orders!E1237</f>
        <v>1</v>
      </c>
      <c r="H1237" s="16" t="n">
        <f aca="false">INDEX(Products!$D$2:$D$101,MATCH(D1237,Products!$A$2:$A$101,0))</f>
        <v>1499</v>
      </c>
      <c r="I1237" s="16" t="n">
        <f aca="false">INDEX(Products!$E$2:$E$101,MATCH(D1237,Products!$A$2:$A$101,0))</f>
        <v>800</v>
      </c>
      <c r="J1237" s="20" t="n">
        <f aca="false">Orders!F1237</f>
        <v>0.15</v>
      </c>
      <c r="K1237" s="6" t="n">
        <f aca="false">G1237*H1237</f>
        <v>1499</v>
      </c>
      <c r="L1237" s="6" t="n">
        <f aca="false">K1237*J1237</f>
        <v>224.85</v>
      </c>
      <c r="M1237" s="6" t="n">
        <f aca="false">K1237-L1237</f>
        <v>1274.15</v>
      </c>
      <c r="N1237" s="6" t="n">
        <f aca="false">G1237*I1237</f>
        <v>800</v>
      </c>
      <c r="O1237" s="6" t="n">
        <f aca="false">M1237-N1237</f>
        <v>474.15</v>
      </c>
      <c r="P1237" s="21" t="n">
        <f aca="false">IFERROR(O1237/M1237,0)</f>
        <v>0.372130439901111</v>
      </c>
      <c r="Q1237" s="6" t="str">
        <f aca="false">Orders!H1237</f>
        <v>Shipped</v>
      </c>
      <c r="R1237" s="1" t="str">
        <f aca="false">INDEX(Customers!$C$2:$C$301,MATCH(C1237,Customers!$A$2:$A$301,0))</f>
        <v>Chandigarh</v>
      </c>
      <c r="S1237" s="1" t="str">
        <f aca="false">INDEX(Customers!$E$2:$E$301,MATCH(C1237,Customers!$A$2:$A$301,0))</f>
        <v>New</v>
      </c>
      <c r="T1237" s="6" t="str">
        <f aca="false">Orders!I1237</f>
        <v>Mobile App</v>
      </c>
      <c r="U1237" s="1" t="str">
        <f aca="false">IF(Q1237="Delivered","Completed",IF(Q1237="Cancelled","Cancelled",IF(Q1237="Returned","Returned","In Progress")))</f>
        <v>In Progress</v>
      </c>
      <c r="V1237" s="1" t="str">
        <f aca="false">IF(M1237&gt;=10000,"High Value",IF(M1237&gt;=5000,"Medium Value","Low Value"))</f>
        <v>Low Value</v>
      </c>
      <c r="W1237" s="1" t="str">
        <f aca="false">IF(O1237&gt;0,"Profitable",IF(O1237=0,"Break-even","Loss"))</f>
        <v>Profitable</v>
      </c>
      <c r="X1237" s="1" t="str">
        <f aca="false">IF(Q1237="Cancelled","Not Applicable",IF(Q1237="Processing","Pending",IF(B1237="","Unknown",IF(Orders!J1237="","Unknown",IF(Orders!J1237&lt;=3,"Fast",IF(Orders!J1237&lt;=6,"Standard","Slow"))))))</f>
        <v>Fast</v>
      </c>
      <c r="Y1237" s="1" t="n">
        <f aca="false">IF(OR(Q1237="Cancelled",Q1237="Returned"),0,O1237)</f>
        <v>474.15</v>
      </c>
    </row>
    <row r="1238" customFormat="false" ht="15" hidden="false" customHeight="false" outlineLevel="0" collapsed="false">
      <c r="A1238" s="6" t="str">
        <f aca="false">Orders!A1238</f>
        <v>O001237</v>
      </c>
      <c r="B1238" s="19" t="n">
        <f aca="false">Orders!B1238</f>
        <v>45996</v>
      </c>
      <c r="C1238" s="6" t="str">
        <f aca="false">Orders!C1238</f>
        <v>C0282</v>
      </c>
      <c r="D1238" s="6" t="str">
        <f aca="false">Orders!D1238</f>
        <v>P1023</v>
      </c>
      <c r="E1238" s="6" t="str">
        <f aca="false">INDEX(Products!$B$2:$B$101,MATCH(D1238,Products!$A$2:$A$101,0))</f>
        <v>Sports Cap</v>
      </c>
      <c r="F1238" s="1" t="str">
        <f aca="false">INDEX(Products!$C$2:$C$101,MATCH(D1238,Products!$A$2:$A$101,0))</f>
        <v>Fashion</v>
      </c>
      <c r="G1238" s="6" t="n">
        <f aca="false">Orders!E1238</f>
        <v>3</v>
      </c>
      <c r="H1238" s="16" t="n">
        <f aca="false">INDEX(Products!$D$2:$D$101,MATCH(D1238,Products!$A$2:$A$101,0))</f>
        <v>349</v>
      </c>
      <c r="I1238" s="16" t="n">
        <f aca="false">INDEX(Products!$E$2:$E$101,MATCH(D1238,Products!$A$2:$A$101,0))</f>
        <v>120</v>
      </c>
      <c r="J1238" s="20" t="n">
        <f aca="false">Orders!F1238</f>
        <v>0</v>
      </c>
      <c r="K1238" s="6" t="n">
        <f aca="false">G1238*H1238</f>
        <v>1047</v>
      </c>
      <c r="L1238" s="6" t="n">
        <f aca="false">K1238*J1238</f>
        <v>0</v>
      </c>
      <c r="M1238" s="6" t="n">
        <f aca="false">K1238-L1238</f>
        <v>1047</v>
      </c>
      <c r="N1238" s="6" t="n">
        <f aca="false">G1238*I1238</f>
        <v>360</v>
      </c>
      <c r="O1238" s="6" t="n">
        <f aca="false">M1238-N1238</f>
        <v>687</v>
      </c>
      <c r="P1238" s="21" t="n">
        <f aca="false">IFERROR(O1238/M1238,0)</f>
        <v>0.656160458452722</v>
      </c>
      <c r="Q1238" s="6" t="str">
        <f aca="false">Orders!H1238</f>
        <v>Delivered</v>
      </c>
      <c r="R1238" s="1" t="str">
        <f aca="false">INDEX(Customers!$C$2:$C$301,MATCH(C1238,Customers!$A$2:$A$301,0))</f>
        <v>Mumbai</v>
      </c>
      <c r="S1238" s="1" t="str">
        <f aca="false">INDEX(Customers!$E$2:$E$301,MATCH(C1238,Customers!$A$2:$A$301,0))</f>
        <v>Returning</v>
      </c>
      <c r="T1238" s="6" t="str">
        <f aca="false">Orders!I1238</f>
        <v>Mobile App</v>
      </c>
      <c r="U1238" s="1" t="str">
        <f aca="false">IF(Q1238="Delivered","Completed",IF(Q1238="Cancelled","Cancelled",IF(Q1238="Returned","Returned","In Progress")))</f>
        <v>Completed</v>
      </c>
      <c r="V1238" s="1" t="str">
        <f aca="false">IF(M1238&gt;=10000,"High Value",IF(M1238&gt;=5000,"Medium Value","Low Value"))</f>
        <v>Low Value</v>
      </c>
      <c r="W1238" s="1" t="str">
        <f aca="false">IF(O1238&gt;0,"Profitable",IF(O1238=0,"Break-even","Loss"))</f>
        <v>Profitable</v>
      </c>
      <c r="X1238" s="1" t="str">
        <f aca="false">IF(Q1238="Cancelled","Not Applicable",IF(Q1238="Processing","Pending",IF(B1238="","Unknown",IF(Orders!J1238="","Unknown",IF(Orders!J1238&lt;=3,"Fast",IF(Orders!J1238&lt;=6,"Standard","Slow"))))))</f>
        <v>Fast</v>
      </c>
      <c r="Y1238" s="1" t="n">
        <f aca="false">IF(OR(Q1238="Cancelled",Q1238="Returned"),0,O1238)</f>
        <v>687</v>
      </c>
    </row>
    <row r="1239" customFormat="false" ht="23.85" hidden="false" customHeight="false" outlineLevel="0" collapsed="false">
      <c r="A1239" s="6" t="str">
        <f aca="false">Orders!A1239</f>
        <v>O001238</v>
      </c>
      <c r="B1239" s="19" t="n">
        <f aca="false">Orders!B1239</f>
        <v>45902</v>
      </c>
      <c r="C1239" s="6" t="str">
        <f aca="false">Orders!C1239</f>
        <v>C0058</v>
      </c>
      <c r="D1239" s="6" t="str">
        <f aca="false">Orders!D1239</f>
        <v>P1099</v>
      </c>
      <c r="E1239" s="6" t="str">
        <f aca="false">INDEX(Products!$B$2:$B$101,MATCH(D1239,Products!$A$2:$A$101,0))</f>
        <v>Sandwich Maker</v>
      </c>
      <c r="F1239" s="1" t="str">
        <f aca="false">INDEX(Products!$C$2:$C$101,MATCH(D1239,Products!$A$2:$A$101,0))</f>
        <v>Appliances</v>
      </c>
      <c r="G1239" s="6" t="n">
        <f aca="false">Orders!E1239</f>
        <v>1</v>
      </c>
      <c r="H1239" s="16" t="n">
        <f aca="false">INDEX(Products!$D$2:$D$101,MATCH(D1239,Products!$A$2:$A$101,0))</f>
        <v>1299</v>
      </c>
      <c r="I1239" s="16" t="n">
        <f aca="false">INDEX(Products!$E$2:$E$101,MATCH(D1239,Products!$A$2:$A$101,0))</f>
        <v>750</v>
      </c>
      <c r="J1239" s="20" t="n">
        <f aca="false">Orders!F1239</f>
        <v>0</v>
      </c>
      <c r="K1239" s="6" t="n">
        <f aca="false">G1239*H1239</f>
        <v>1299</v>
      </c>
      <c r="L1239" s="6" t="n">
        <f aca="false">K1239*J1239</f>
        <v>0</v>
      </c>
      <c r="M1239" s="6" t="n">
        <f aca="false">K1239-L1239</f>
        <v>1299</v>
      </c>
      <c r="N1239" s="6" t="n">
        <f aca="false">G1239*I1239</f>
        <v>750</v>
      </c>
      <c r="O1239" s="6" t="n">
        <f aca="false">M1239-N1239</f>
        <v>549</v>
      </c>
      <c r="P1239" s="21" t="n">
        <f aca="false">IFERROR(O1239/M1239,0)</f>
        <v>0.422632794457275</v>
      </c>
      <c r="Q1239" s="6" t="str">
        <f aca="false">Orders!H1239</f>
        <v>Delivered</v>
      </c>
      <c r="R1239" s="1" t="str">
        <f aca="false">INDEX(Customers!$C$2:$C$301,MATCH(C1239,Customers!$A$2:$A$301,0))</f>
        <v>Nagpur</v>
      </c>
      <c r="S1239" s="1" t="str">
        <f aca="false">INDEX(Customers!$E$2:$E$301,MATCH(C1239,Customers!$A$2:$A$301,0))</f>
        <v>New</v>
      </c>
      <c r="T1239" s="6" t="str">
        <f aca="false">Orders!I1239</f>
        <v>Mobile App</v>
      </c>
      <c r="U1239" s="1" t="str">
        <f aca="false">IF(Q1239="Delivered","Completed",IF(Q1239="Cancelled","Cancelled",IF(Q1239="Returned","Returned","In Progress")))</f>
        <v>Completed</v>
      </c>
      <c r="V1239" s="1" t="str">
        <f aca="false">IF(M1239&gt;=10000,"High Value",IF(M1239&gt;=5000,"Medium Value","Low Value"))</f>
        <v>Low Value</v>
      </c>
      <c r="W1239" s="1" t="str">
        <f aca="false">IF(O1239&gt;0,"Profitable",IF(O1239=0,"Break-even","Loss"))</f>
        <v>Profitable</v>
      </c>
      <c r="X1239" s="1" t="str">
        <f aca="false">IF(Q1239="Cancelled","Not Applicable",IF(Q1239="Processing","Pending",IF(B1239="","Unknown",IF(Orders!J1239="","Unknown",IF(Orders!J1239&lt;=3,"Fast",IF(Orders!J1239&lt;=6,"Standard","Slow"))))))</f>
        <v>Standard</v>
      </c>
      <c r="Y1239" s="1" t="n">
        <f aca="false">IF(OR(Q1239="Cancelled",Q1239="Returned"),0,O1239)</f>
        <v>549</v>
      </c>
    </row>
    <row r="1240" customFormat="false" ht="15" hidden="false" customHeight="false" outlineLevel="0" collapsed="false">
      <c r="A1240" s="6" t="str">
        <f aca="false">Orders!A1240</f>
        <v>O001239</v>
      </c>
      <c r="B1240" s="19" t="n">
        <f aca="false">Orders!B1240</f>
        <v>45683</v>
      </c>
      <c r="C1240" s="6" t="str">
        <f aca="false">Orders!C1240</f>
        <v>C0230</v>
      </c>
      <c r="D1240" s="6" t="str">
        <f aca="false">Orders!D1240</f>
        <v>P1083</v>
      </c>
      <c r="E1240" s="6" t="str">
        <f aca="false">INDEX(Products!$B$2:$B$101,MATCH(D1240,Products!$A$2:$A$101,0))</f>
        <v>Reading Light</v>
      </c>
      <c r="F1240" s="1" t="str">
        <f aca="false">INDEX(Products!$C$2:$C$101,MATCH(D1240,Products!$A$2:$A$101,0))</f>
        <v>Books &amp; Stationery</v>
      </c>
      <c r="G1240" s="6" t="n">
        <f aca="false">Orders!E1240</f>
        <v>5</v>
      </c>
      <c r="H1240" s="16" t="n">
        <f aca="false">INDEX(Products!$D$2:$D$101,MATCH(D1240,Products!$A$2:$A$101,0))</f>
        <v>399</v>
      </c>
      <c r="I1240" s="16" t="n">
        <f aca="false">INDEX(Products!$E$2:$E$101,MATCH(D1240,Products!$A$2:$A$101,0))</f>
        <v>180</v>
      </c>
      <c r="J1240" s="20" t="n">
        <f aca="false">Orders!F1240</f>
        <v>0.1</v>
      </c>
      <c r="K1240" s="6" t="n">
        <f aca="false">G1240*H1240</f>
        <v>1995</v>
      </c>
      <c r="L1240" s="6" t="n">
        <f aca="false">K1240*J1240</f>
        <v>199.5</v>
      </c>
      <c r="M1240" s="6" t="n">
        <f aca="false">K1240-L1240</f>
        <v>1795.5</v>
      </c>
      <c r="N1240" s="6" t="n">
        <f aca="false">G1240*I1240</f>
        <v>900</v>
      </c>
      <c r="O1240" s="6" t="n">
        <f aca="false">M1240-N1240</f>
        <v>895.5</v>
      </c>
      <c r="P1240" s="21" t="n">
        <f aca="false">IFERROR(O1240/M1240,0)</f>
        <v>0.49874686716792</v>
      </c>
      <c r="Q1240" s="6" t="str">
        <f aca="false">Orders!H1240</f>
        <v>Cancelled</v>
      </c>
      <c r="R1240" s="1" t="str">
        <f aca="false">INDEX(Customers!$C$2:$C$301,MATCH(C1240,Customers!$A$2:$A$301,0))</f>
        <v>Lucknow</v>
      </c>
      <c r="S1240" s="1" t="str">
        <f aca="false">INDEX(Customers!$E$2:$E$301,MATCH(C1240,Customers!$A$2:$A$301,0))</f>
        <v>New</v>
      </c>
      <c r="T1240" s="6" t="str">
        <f aca="false">Orders!I1240</f>
        <v>Website</v>
      </c>
      <c r="U1240" s="1" t="str">
        <f aca="false">IF(Q1240="Delivered","Completed",IF(Q1240="Cancelled","Cancelled",IF(Q1240="Returned","Returned","In Progress")))</f>
        <v>Cancelled</v>
      </c>
      <c r="V1240" s="1" t="str">
        <f aca="false">IF(M1240&gt;=10000,"High Value",IF(M1240&gt;=5000,"Medium Value","Low Value"))</f>
        <v>Low Value</v>
      </c>
      <c r="W1240" s="1" t="str">
        <f aca="false">IF(O1240&gt;0,"Profitable",IF(O1240=0,"Break-even","Loss"))</f>
        <v>Profitable</v>
      </c>
      <c r="X1240" s="1" t="str">
        <f aca="false">IF(Q1240="Cancelled","Not Applicable",IF(Q1240="Processing","Pending",IF(B1240="","Unknown",IF(Orders!J1240="","Unknown",IF(Orders!J1240&lt;=3,"Fast",IF(Orders!J1240&lt;=6,"Standard","Slow"))))))</f>
        <v>Not Applicable</v>
      </c>
      <c r="Y1240" s="1" t="n">
        <f aca="false">IF(OR(Q1240="Cancelled",Q1240="Returned"),0,O1240)</f>
        <v>0</v>
      </c>
    </row>
    <row r="1241" customFormat="false" ht="15" hidden="false" customHeight="false" outlineLevel="0" collapsed="false">
      <c r="A1241" s="6" t="str">
        <f aca="false">Orders!A1241</f>
        <v>O001240</v>
      </c>
      <c r="B1241" s="19" t="n">
        <f aca="false">Orders!B1241</f>
        <v>45754</v>
      </c>
      <c r="C1241" s="6" t="str">
        <f aca="false">Orders!C1241</f>
        <v>C0062</v>
      </c>
      <c r="D1241" s="6" t="str">
        <f aca="false">Orders!D1241</f>
        <v>P1097</v>
      </c>
      <c r="E1241" s="6" t="str">
        <f aca="false">INDEX(Products!$B$2:$B$101,MATCH(D1241,Products!$A$2:$A$101,0))</f>
        <v>Vacuum Cleaner</v>
      </c>
      <c r="F1241" s="1" t="str">
        <f aca="false">INDEX(Products!$C$2:$C$101,MATCH(D1241,Products!$A$2:$A$101,0))</f>
        <v>Appliances</v>
      </c>
      <c r="G1241" s="6" t="n">
        <f aca="false">Orders!E1241</f>
        <v>3</v>
      </c>
      <c r="H1241" s="16" t="n">
        <f aca="false">INDEX(Products!$D$2:$D$101,MATCH(D1241,Products!$A$2:$A$101,0))</f>
        <v>3499</v>
      </c>
      <c r="I1241" s="16" t="n">
        <f aca="false">INDEX(Products!$E$2:$E$101,MATCH(D1241,Products!$A$2:$A$101,0))</f>
        <v>2400</v>
      </c>
      <c r="J1241" s="20" t="n">
        <f aca="false">Orders!F1241</f>
        <v>0.15</v>
      </c>
      <c r="K1241" s="6" t="n">
        <f aca="false">G1241*H1241</f>
        <v>10497</v>
      </c>
      <c r="L1241" s="6" t="n">
        <f aca="false">K1241*J1241</f>
        <v>1574.55</v>
      </c>
      <c r="M1241" s="6" t="n">
        <f aca="false">K1241-L1241</f>
        <v>8922.45</v>
      </c>
      <c r="N1241" s="6" t="n">
        <f aca="false">G1241*I1241</f>
        <v>7200</v>
      </c>
      <c r="O1241" s="6" t="n">
        <f aca="false">M1241-N1241</f>
        <v>1722.45</v>
      </c>
      <c r="P1241" s="21" t="n">
        <f aca="false">IFERROR(O1241/M1241,0)</f>
        <v>0.193046752853757</v>
      </c>
      <c r="Q1241" s="6" t="str">
        <f aca="false">Orders!H1241</f>
        <v>Returned</v>
      </c>
      <c r="R1241" s="1" t="str">
        <f aca="false">INDEX(Customers!$C$2:$C$301,MATCH(C1241,Customers!$A$2:$A$301,0))</f>
        <v>Mumbai</v>
      </c>
      <c r="S1241" s="1" t="str">
        <f aca="false">INDEX(Customers!$E$2:$E$301,MATCH(C1241,Customers!$A$2:$A$301,0))</f>
        <v>VIP</v>
      </c>
      <c r="T1241" s="6" t="str">
        <f aca="false">Orders!I1241</f>
        <v>Website</v>
      </c>
      <c r="U1241" s="1" t="str">
        <f aca="false">IF(Q1241="Delivered","Completed",IF(Q1241="Cancelled","Cancelled",IF(Q1241="Returned","Returned","In Progress")))</f>
        <v>Returned</v>
      </c>
      <c r="V1241" s="1" t="str">
        <f aca="false">IF(M1241&gt;=10000,"High Value",IF(M1241&gt;=5000,"Medium Value","Low Value"))</f>
        <v>Medium Value</v>
      </c>
      <c r="W1241" s="1" t="str">
        <f aca="false">IF(O1241&gt;0,"Profitable",IF(O1241=0,"Break-even","Loss"))</f>
        <v>Profitable</v>
      </c>
      <c r="X1241" s="1" t="str">
        <f aca="false">IF(Q1241="Cancelled","Not Applicable",IF(Q1241="Processing","Pending",IF(B1241="","Unknown",IF(Orders!J1241="","Unknown",IF(Orders!J1241&lt;=3,"Fast",IF(Orders!J1241&lt;=6,"Standard","Slow"))))))</f>
        <v>Slow</v>
      </c>
      <c r="Y1241" s="1" t="n">
        <f aca="false">IF(OR(Q1241="Cancelled",Q1241="Returned"),0,O1241)</f>
        <v>0</v>
      </c>
    </row>
    <row r="1242" customFormat="false" ht="15" hidden="false" customHeight="false" outlineLevel="0" collapsed="false">
      <c r="A1242" s="6" t="str">
        <f aca="false">Orders!A1242</f>
        <v>O001241</v>
      </c>
      <c r="B1242" s="19" t="n">
        <f aca="false">Orders!B1242</f>
        <v>45990</v>
      </c>
      <c r="C1242" s="6" t="str">
        <f aca="false">Orders!C1242</f>
        <v>C0049</v>
      </c>
      <c r="D1242" s="6" t="str">
        <f aca="false">Orders!D1242</f>
        <v>P1060</v>
      </c>
      <c r="E1242" s="6" t="str">
        <f aca="false">INDEX(Products!$B$2:$B$101,MATCH(D1242,Products!$A$2:$A$101,0))</f>
        <v>Yoga Mat</v>
      </c>
      <c r="F1242" s="1" t="str">
        <f aca="false">INDEX(Products!$C$2:$C$101,MATCH(D1242,Products!$A$2:$A$101,0))</f>
        <v>Sports &amp; Outdoors</v>
      </c>
      <c r="G1242" s="6" t="n">
        <f aca="false">Orders!E1242</f>
        <v>1</v>
      </c>
      <c r="H1242" s="16" t="n">
        <f aca="false">INDEX(Products!$D$2:$D$101,MATCH(D1242,Products!$A$2:$A$101,0))</f>
        <v>799</v>
      </c>
      <c r="I1242" s="16" t="n">
        <f aca="false">INDEX(Products!$E$2:$E$101,MATCH(D1242,Products!$A$2:$A$101,0))</f>
        <v>350</v>
      </c>
      <c r="J1242" s="20" t="n">
        <f aca="false">Orders!F1242</f>
        <v>0</v>
      </c>
      <c r="K1242" s="6" t="n">
        <f aca="false">G1242*H1242</f>
        <v>799</v>
      </c>
      <c r="L1242" s="6" t="n">
        <f aca="false">K1242*J1242</f>
        <v>0</v>
      </c>
      <c r="M1242" s="6" t="n">
        <f aca="false">K1242-L1242</f>
        <v>799</v>
      </c>
      <c r="N1242" s="6" t="n">
        <f aca="false">G1242*I1242</f>
        <v>350</v>
      </c>
      <c r="O1242" s="6" t="n">
        <f aca="false">M1242-N1242</f>
        <v>449</v>
      </c>
      <c r="P1242" s="21" t="n">
        <f aca="false">IFERROR(O1242/M1242,0)</f>
        <v>0.561952440550688</v>
      </c>
      <c r="Q1242" s="6" t="str">
        <f aca="false">Orders!H1242</f>
        <v>Delivered</v>
      </c>
      <c r="R1242" s="1" t="str">
        <f aca="false">INDEX(Customers!$C$2:$C$301,MATCH(C1242,Customers!$A$2:$A$301,0))</f>
        <v>Ahmedabad</v>
      </c>
      <c r="S1242" s="1" t="str">
        <f aca="false">INDEX(Customers!$E$2:$E$301,MATCH(C1242,Customers!$A$2:$A$301,0))</f>
        <v>Returning</v>
      </c>
      <c r="T1242" s="6" t="str">
        <f aca="false">Orders!I1242</f>
        <v>Website</v>
      </c>
      <c r="U1242" s="1" t="str">
        <f aca="false">IF(Q1242="Delivered","Completed",IF(Q1242="Cancelled","Cancelled",IF(Q1242="Returned","Returned","In Progress")))</f>
        <v>Completed</v>
      </c>
      <c r="V1242" s="1" t="str">
        <f aca="false">IF(M1242&gt;=10000,"High Value",IF(M1242&gt;=5000,"Medium Value","Low Value"))</f>
        <v>Low Value</v>
      </c>
      <c r="W1242" s="1" t="str">
        <f aca="false">IF(O1242&gt;0,"Profitable",IF(O1242=0,"Break-even","Loss"))</f>
        <v>Profitable</v>
      </c>
      <c r="X1242" s="1" t="str">
        <f aca="false">IF(Q1242="Cancelled","Not Applicable",IF(Q1242="Processing","Pending",IF(B1242="","Unknown",IF(Orders!J1242="","Unknown",IF(Orders!J1242&lt;=3,"Fast",IF(Orders!J1242&lt;=6,"Standard","Slow"))))))</f>
        <v>Standard</v>
      </c>
      <c r="Y1242" s="1" t="n">
        <f aca="false">IF(OR(Q1242="Cancelled",Q1242="Returned"),0,O1242)</f>
        <v>449</v>
      </c>
    </row>
    <row r="1243" customFormat="false" ht="15" hidden="false" customHeight="false" outlineLevel="0" collapsed="false">
      <c r="A1243" s="6" t="str">
        <f aca="false">Orders!A1243</f>
        <v>O001242</v>
      </c>
      <c r="B1243" s="19" t="n">
        <f aca="false">Orders!B1243</f>
        <v>45803</v>
      </c>
      <c r="C1243" s="6" t="str">
        <f aca="false">Orders!C1243</f>
        <v>C0037</v>
      </c>
      <c r="D1243" s="6" t="str">
        <f aca="false">Orders!D1243</f>
        <v>P1091</v>
      </c>
      <c r="E1243" s="6" t="str">
        <f aca="false">INDEX(Products!$B$2:$B$101,MATCH(D1243,Products!$A$2:$A$101,0))</f>
        <v>Rice Cooker</v>
      </c>
      <c r="F1243" s="1" t="str">
        <f aca="false">INDEX(Products!$C$2:$C$101,MATCH(D1243,Products!$A$2:$A$101,0))</f>
        <v>Appliances</v>
      </c>
      <c r="G1243" s="6" t="n">
        <f aca="false">Orders!E1243</f>
        <v>3</v>
      </c>
      <c r="H1243" s="16" t="n">
        <f aca="false">INDEX(Products!$D$2:$D$101,MATCH(D1243,Products!$A$2:$A$101,0))</f>
        <v>1999</v>
      </c>
      <c r="I1243" s="16" t="n">
        <f aca="false">INDEX(Products!$E$2:$E$101,MATCH(D1243,Products!$A$2:$A$101,0))</f>
        <v>1200</v>
      </c>
      <c r="J1243" s="20" t="n">
        <f aca="false">Orders!F1243</f>
        <v>0.05</v>
      </c>
      <c r="K1243" s="6" t="n">
        <f aca="false">G1243*H1243</f>
        <v>5997</v>
      </c>
      <c r="L1243" s="6" t="n">
        <f aca="false">K1243*J1243</f>
        <v>299.85</v>
      </c>
      <c r="M1243" s="6" t="n">
        <f aca="false">K1243-L1243</f>
        <v>5697.15</v>
      </c>
      <c r="N1243" s="6" t="n">
        <f aca="false">G1243*I1243</f>
        <v>3600</v>
      </c>
      <c r="O1243" s="6" t="n">
        <f aca="false">M1243-N1243</f>
        <v>2097.15</v>
      </c>
      <c r="P1243" s="21" t="n">
        <f aca="false">IFERROR(O1243/M1243,0)</f>
        <v>0.368105105184171</v>
      </c>
      <c r="Q1243" s="6" t="str">
        <f aca="false">Orders!H1243</f>
        <v>Delivered</v>
      </c>
      <c r="R1243" s="1" t="str">
        <f aca="false">INDEX(Customers!$C$2:$C$301,MATCH(C1243,Customers!$A$2:$A$301,0))</f>
        <v>Surat</v>
      </c>
      <c r="S1243" s="1" t="str">
        <f aca="false">INDEX(Customers!$E$2:$E$301,MATCH(C1243,Customers!$A$2:$A$301,0))</f>
        <v>Returning</v>
      </c>
      <c r="T1243" s="6" t="str">
        <f aca="false">Orders!I1243</f>
        <v>Marketplace</v>
      </c>
      <c r="U1243" s="1" t="str">
        <f aca="false">IF(Q1243="Delivered","Completed",IF(Q1243="Cancelled","Cancelled",IF(Q1243="Returned","Returned","In Progress")))</f>
        <v>Completed</v>
      </c>
      <c r="V1243" s="1" t="str">
        <f aca="false">IF(M1243&gt;=10000,"High Value",IF(M1243&gt;=5000,"Medium Value","Low Value"))</f>
        <v>Medium Value</v>
      </c>
      <c r="W1243" s="1" t="str">
        <f aca="false">IF(O1243&gt;0,"Profitable",IF(O1243=0,"Break-even","Loss"))</f>
        <v>Profitable</v>
      </c>
      <c r="X1243" s="1" t="str">
        <f aca="false">IF(Q1243="Cancelled","Not Applicable",IF(Q1243="Processing","Pending",IF(B1243="","Unknown",IF(Orders!J1243="","Unknown",IF(Orders!J1243&lt;=3,"Fast",IF(Orders!J1243&lt;=6,"Standard","Slow"))))))</f>
        <v>Fast</v>
      </c>
      <c r="Y1243" s="1" t="n">
        <f aca="false">IF(OR(Q1243="Cancelled",Q1243="Returned"),0,O1243)</f>
        <v>2097.15</v>
      </c>
    </row>
    <row r="1244" customFormat="false" ht="15" hidden="false" customHeight="false" outlineLevel="0" collapsed="false">
      <c r="A1244" s="6" t="str">
        <f aca="false">Orders!A1244</f>
        <v>O001243</v>
      </c>
      <c r="B1244" s="19" t="n">
        <f aca="false">Orders!B1244</f>
        <v>45820</v>
      </c>
      <c r="C1244" s="6" t="str">
        <f aca="false">Orders!C1244</f>
        <v>C0283</v>
      </c>
      <c r="D1244" s="6" t="str">
        <f aca="false">Orders!D1244</f>
        <v>P1100</v>
      </c>
      <c r="E1244" s="6" t="str">
        <f aca="false">INDEX(Products!$B$2:$B$101,MATCH(D1244,Products!$A$2:$A$101,0))</f>
        <v>Coffee Maker</v>
      </c>
      <c r="F1244" s="1" t="str">
        <f aca="false">INDEX(Products!$C$2:$C$101,MATCH(D1244,Products!$A$2:$A$101,0))</f>
        <v>Appliances</v>
      </c>
      <c r="G1244" s="6" t="n">
        <f aca="false">Orders!E1244</f>
        <v>4</v>
      </c>
      <c r="H1244" s="16" t="n">
        <f aca="false">INDEX(Products!$D$2:$D$101,MATCH(D1244,Products!$A$2:$A$101,0))</f>
        <v>2499</v>
      </c>
      <c r="I1244" s="16" t="n">
        <f aca="false">INDEX(Products!$E$2:$E$101,MATCH(D1244,Products!$A$2:$A$101,0))</f>
        <v>1600</v>
      </c>
      <c r="J1244" s="20" t="n">
        <f aca="false">Orders!F1244</f>
        <v>0.15</v>
      </c>
      <c r="K1244" s="6" t="n">
        <f aca="false">G1244*H1244</f>
        <v>9996</v>
      </c>
      <c r="L1244" s="6" t="n">
        <f aca="false">K1244*J1244</f>
        <v>1499.4</v>
      </c>
      <c r="M1244" s="6" t="n">
        <f aca="false">K1244-L1244</f>
        <v>8496.6</v>
      </c>
      <c r="N1244" s="6" t="n">
        <f aca="false">G1244*I1244</f>
        <v>6400</v>
      </c>
      <c r="O1244" s="6" t="n">
        <f aca="false">M1244-N1244</f>
        <v>2096.6</v>
      </c>
      <c r="P1244" s="21" t="n">
        <f aca="false">IFERROR(O1244/M1244,0)</f>
        <v>0.246757526540028</v>
      </c>
      <c r="Q1244" s="6" t="str">
        <f aca="false">Orders!H1244</f>
        <v>Delivered</v>
      </c>
      <c r="R1244" s="1" t="str">
        <f aca="false">INDEX(Customers!$C$2:$C$301,MATCH(C1244,Customers!$A$2:$A$301,0))</f>
        <v>Bengaluru</v>
      </c>
      <c r="S1244" s="1" t="str">
        <f aca="false">INDEX(Customers!$E$2:$E$301,MATCH(C1244,Customers!$A$2:$A$301,0))</f>
        <v>Returning</v>
      </c>
      <c r="T1244" s="6" t="str">
        <f aca="false">Orders!I1244</f>
        <v>Website</v>
      </c>
      <c r="U1244" s="1" t="str">
        <f aca="false">IF(Q1244="Delivered","Completed",IF(Q1244="Cancelled","Cancelled",IF(Q1244="Returned","Returned","In Progress")))</f>
        <v>Completed</v>
      </c>
      <c r="V1244" s="1" t="str">
        <f aca="false">IF(M1244&gt;=10000,"High Value",IF(M1244&gt;=5000,"Medium Value","Low Value"))</f>
        <v>Medium Value</v>
      </c>
      <c r="W1244" s="1" t="str">
        <f aca="false">IF(O1244&gt;0,"Profitable",IF(O1244=0,"Break-even","Loss"))</f>
        <v>Profitable</v>
      </c>
      <c r="X1244" s="1" t="str">
        <f aca="false">IF(Q1244="Cancelled","Not Applicable",IF(Q1244="Processing","Pending",IF(B1244="","Unknown",IF(Orders!J1244="","Unknown",IF(Orders!J1244&lt;=3,"Fast",IF(Orders!J1244&lt;=6,"Standard","Slow"))))))</f>
        <v>Slow</v>
      </c>
      <c r="Y1244" s="1" t="n">
        <f aca="false">IF(OR(Q1244="Cancelled",Q1244="Returned"),0,O1244)</f>
        <v>2096.6</v>
      </c>
    </row>
    <row r="1245" customFormat="false" ht="15" hidden="false" customHeight="false" outlineLevel="0" collapsed="false">
      <c r="A1245" s="6" t="str">
        <f aca="false">Orders!A1245</f>
        <v>O001244</v>
      </c>
      <c r="B1245" s="19" t="n">
        <f aca="false">Orders!B1245</f>
        <v>45716</v>
      </c>
      <c r="C1245" s="6" t="str">
        <f aca="false">Orders!C1245</f>
        <v>C0058</v>
      </c>
      <c r="D1245" s="6" t="str">
        <f aca="false">Orders!D1245</f>
        <v>P1036</v>
      </c>
      <c r="E1245" s="6" t="str">
        <f aca="false">INDEX(Products!$B$2:$B$101,MATCH(D1245,Products!$A$2:$A$101,0))</f>
        <v>Dinner Set</v>
      </c>
      <c r="F1245" s="1" t="str">
        <f aca="false">INDEX(Products!$C$2:$C$101,MATCH(D1245,Products!$A$2:$A$101,0))</f>
        <v>Home &amp; Kitchen</v>
      </c>
      <c r="G1245" s="6" t="n">
        <f aca="false">Orders!E1245</f>
        <v>1</v>
      </c>
      <c r="H1245" s="16" t="n">
        <f aca="false">INDEX(Products!$D$2:$D$101,MATCH(D1245,Products!$A$2:$A$101,0))</f>
        <v>1499</v>
      </c>
      <c r="I1245" s="16" t="n">
        <f aca="false">INDEX(Products!$E$2:$E$101,MATCH(D1245,Products!$A$2:$A$101,0))</f>
        <v>800</v>
      </c>
      <c r="J1245" s="20" t="n">
        <f aca="false">Orders!F1245</f>
        <v>0.05</v>
      </c>
      <c r="K1245" s="6" t="n">
        <f aca="false">G1245*H1245</f>
        <v>1499</v>
      </c>
      <c r="L1245" s="6" t="n">
        <f aca="false">K1245*J1245</f>
        <v>74.95</v>
      </c>
      <c r="M1245" s="6" t="n">
        <f aca="false">K1245-L1245</f>
        <v>1424.05</v>
      </c>
      <c r="N1245" s="6" t="n">
        <f aca="false">G1245*I1245</f>
        <v>800</v>
      </c>
      <c r="O1245" s="6" t="n">
        <f aca="false">M1245-N1245</f>
        <v>624.05</v>
      </c>
      <c r="P1245" s="21" t="n">
        <f aca="false">IFERROR(O1245/M1245,0)</f>
        <v>0.438221972543099</v>
      </c>
      <c r="Q1245" s="6" t="str">
        <f aca="false">Orders!H1245</f>
        <v>Delivered</v>
      </c>
      <c r="R1245" s="1" t="str">
        <f aca="false">INDEX(Customers!$C$2:$C$301,MATCH(C1245,Customers!$A$2:$A$301,0))</f>
        <v>Nagpur</v>
      </c>
      <c r="S1245" s="1" t="str">
        <f aca="false">INDEX(Customers!$E$2:$E$301,MATCH(C1245,Customers!$A$2:$A$301,0))</f>
        <v>New</v>
      </c>
      <c r="T1245" s="6" t="str">
        <f aca="false">Orders!I1245</f>
        <v>Mobile App</v>
      </c>
      <c r="U1245" s="1" t="str">
        <f aca="false">IF(Q1245="Delivered","Completed",IF(Q1245="Cancelled","Cancelled",IF(Q1245="Returned","Returned","In Progress")))</f>
        <v>Completed</v>
      </c>
      <c r="V1245" s="1" t="str">
        <f aca="false">IF(M1245&gt;=10000,"High Value",IF(M1245&gt;=5000,"Medium Value","Low Value"))</f>
        <v>Low Value</v>
      </c>
      <c r="W1245" s="1" t="str">
        <f aca="false">IF(O1245&gt;0,"Profitable",IF(O1245=0,"Break-even","Loss"))</f>
        <v>Profitable</v>
      </c>
      <c r="X1245" s="1" t="str">
        <f aca="false">IF(Q1245="Cancelled","Not Applicable",IF(Q1245="Processing","Pending",IF(B1245="","Unknown",IF(Orders!J1245="","Unknown",IF(Orders!J1245&lt;=3,"Fast",IF(Orders!J1245&lt;=6,"Standard","Slow"))))))</f>
        <v>Fast</v>
      </c>
      <c r="Y1245" s="1" t="n">
        <f aca="false">IF(OR(Q1245="Cancelled",Q1245="Returned"),0,O1245)</f>
        <v>624.05</v>
      </c>
    </row>
    <row r="1246" customFormat="false" ht="15" hidden="false" customHeight="false" outlineLevel="0" collapsed="false">
      <c r="A1246" s="6" t="str">
        <f aca="false">Orders!A1246</f>
        <v>O001245</v>
      </c>
      <c r="B1246" s="19" t="n">
        <f aca="false">Orders!B1246</f>
        <v>45889</v>
      </c>
      <c r="C1246" s="6" t="str">
        <f aca="false">Orders!C1246</f>
        <v>C0123</v>
      </c>
      <c r="D1246" s="6" t="str">
        <f aca="false">Orders!D1246</f>
        <v>P1017</v>
      </c>
      <c r="E1246" s="6" t="str">
        <f aca="false">INDEX(Products!$B$2:$B$101,MATCH(D1246,Products!$A$2:$A$101,0))</f>
        <v>Denim Jeans</v>
      </c>
      <c r="F1246" s="1" t="str">
        <f aca="false">INDEX(Products!$C$2:$C$101,MATCH(D1246,Products!$A$2:$A$101,0))</f>
        <v>Fashion</v>
      </c>
      <c r="G1246" s="6" t="n">
        <f aca="false">Orders!E1246</f>
        <v>1</v>
      </c>
      <c r="H1246" s="16" t="n">
        <f aca="false">INDEX(Products!$D$2:$D$101,MATCH(D1246,Products!$A$2:$A$101,0))</f>
        <v>1299</v>
      </c>
      <c r="I1246" s="16" t="n">
        <f aca="false">INDEX(Products!$E$2:$E$101,MATCH(D1246,Products!$A$2:$A$101,0))</f>
        <v>650</v>
      </c>
      <c r="J1246" s="20" t="n">
        <f aca="false">Orders!F1246</f>
        <v>0.25</v>
      </c>
      <c r="K1246" s="6" t="n">
        <f aca="false">G1246*H1246</f>
        <v>1299</v>
      </c>
      <c r="L1246" s="6" t="n">
        <f aca="false">K1246*J1246</f>
        <v>324.75</v>
      </c>
      <c r="M1246" s="6" t="n">
        <f aca="false">K1246-L1246</f>
        <v>974.25</v>
      </c>
      <c r="N1246" s="6" t="n">
        <f aca="false">G1246*I1246</f>
        <v>650</v>
      </c>
      <c r="O1246" s="6" t="n">
        <f aca="false">M1246-N1246</f>
        <v>324.25</v>
      </c>
      <c r="P1246" s="21" t="n">
        <f aca="false">IFERROR(O1246/M1246,0)</f>
        <v>0.332820118039518</v>
      </c>
      <c r="Q1246" s="6" t="str">
        <f aca="false">Orders!H1246</f>
        <v>Delivered</v>
      </c>
      <c r="R1246" s="1" t="str">
        <f aca="false">INDEX(Customers!$C$2:$C$301,MATCH(C1246,Customers!$A$2:$A$301,0))</f>
        <v>Bengaluru</v>
      </c>
      <c r="S1246" s="1" t="str">
        <f aca="false">INDEX(Customers!$E$2:$E$301,MATCH(C1246,Customers!$A$2:$A$301,0))</f>
        <v>Returning</v>
      </c>
      <c r="T1246" s="6" t="str">
        <f aca="false">Orders!I1246</f>
        <v>Mobile App</v>
      </c>
      <c r="U1246" s="1" t="str">
        <f aca="false">IF(Q1246="Delivered","Completed",IF(Q1246="Cancelled","Cancelled",IF(Q1246="Returned","Returned","In Progress")))</f>
        <v>Completed</v>
      </c>
      <c r="V1246" s="1" t="str">
        <f aca="false">IF(M1246&gt;=10000,"High Value",IF(M1246&gt;=5000,"Medium Value","Low Value"))</f>
        <v>Low Value</v>
      </c>
      <c r="W1246" s="1" t="str">
        <f aca="false">IF(O1246&gt;0,"Profitable",IF(O1246=0,"Break-even","Loss"))</f>
        <v>Profitable</v>
      </c>
      <c r="X1246" s="1" t="str">
        <f aca="false">IF(Q1246="Cancelled","Not Applicable",IF(Q1246="Processing","Pending",IF(B1246="","Unknown",IF(Orders!J1246="","Unknown",IF(Orders!J1246&lt;=3,"Fast",IF(Orders!J1246&lt;=6,"Standard","Slow"))))))</f>
        <v>Standard</v>
      </c>
      <c r="Y1246" s="1" t="n">
        <f aca="false">IF(OR(Q1246="Cancelled",Q1246="Returned"),0,O1246)</f>
        <v>324.25</v>
      </c>
    </row>
    <row r="1247" customFormat="false" ht="15" hidden="false" customHeight="false" outlineLevel="0" collapsed="false">
      <c r="A1247" s="6" t="str">
        <f aca="false">Orders!A1247</f>
        <v>O001246</v>
      </c>
      <c r="B1247" s="19" t="n">
        <f aca="false">Orders!B1247</f>
        <v>45831</v>
      </c>
      <c r="C1247" s="6" t="str">
        <f aca="false">Orders!C1247</f>
        <v>C0043</v>
      </c>
      <c r="D1247" s="6" t="str">
        <f aca="false">Orders!D1247</f>
        <v>P1056</v>
      </c>
      <c r="E1247" s="6" t="str">
        <f aca="false">INDEX(Products!$B$2:$B$101,MATCH(D1247,Products!$A$2:$A$101,0))</f>
        <v>Hair Dryer</v>
      </c>
      <c r="F1247" s="1" t="str">
        <f aca="false">INDEX(Products!$C$2:$C$101,MATCH(D1247,Products!$A$2:$A$101,0))</f>
        <v>Beauty</v>
      </c>
      <c r="G1247" s="6" t="n">
        <f aca="false">Orders!E1247</f>
        <v>1</v>
      </c>
      <c r="H1247" s="16" t="n">
        <f aca="false">INDEX(Products!$D$2:$D$101,MATCH(D1247,Products!$A$2:$A$101,0))</f>
        <v>1299</v>
      </c>
      <c r="I1247" s="16" t="n">
        <f aca="false">INDEX(Products!$E$2:$E$101,MATCH(D1247,Products!$A$2:$A$101,0))</f>
        <v>750</v>
      </c>
      <c r="J1247" s="20" t="n">
        <f aca="false">Orders!F1247</f>
        <v>0.2</v>
      </c>
      <c r="K1247" s="6" t="n">
        <f aca="false">G1247*H1247</f>
        <v>1299</v>
      </c>
      <c r="L1247" s="6" t="n">
        <f aca="false">K1247*J1247</f>
        <v>259.8</v>
      </c>
      <c r="M1247" s="6" t="n">
        <f aca="false">K1247-L1247</f>
        <v>1039.2</v>
      </c>
      <c r="N1247" s="6" t="n">
        <f aca="false">G1247*I1247</f>
        <v>750</v>
      </c>
      <c r="O1247" s="6" t="n">
        <f aca="false">M1247-N1247</f>
        <v>289.2</v>
      </c>
      <c r="P1247" s="21" t="n">
        <f aca="false">IFERROR(O1247/M1247,0)</f>
        <v>0.278290993071594</v>
      </c>
      <c r="Q1247" s="6" t="str">
        <f aca="false">Orders!H1247</f>
        <v>Delivered</v>
      </c>
      <c r="R1247" s="1" t="str">
        <f aca="false">INDEX(Customers!$C$2:$C$301,MATCH(C1247,Customers!$A$2:$A$301,0))</f>
        <v>Bengaluru</v>
      </c>
      <c r="S1247" s="1" t="str">
        <f aca="false">INDEX(Customers!$E$2:$E$301,MATCH(C1247,Customers!$A$2:$A$301,0))</f>
        <v>New</v>
      </c>
      <c r="T1247" s="6" t="str">
        <f aca="false">Orders!I1247</f>
        <v>Mobile App</v>
      </c>
      <c r="U1247" s="1" t="str">
        <f aca="false">IF(Q1247="Delivered","Completed",IF(Q1247="Cancelled","Cancelled",IF(Q1247="Returned","Returned","In Progress")))</f>
        <v>Completed</v>
      </c>
      <c r="V1247" s="1" t="str">
        <f aca="false">IF(M1247&gt;=10000,"High Value",IF(M1247&gt;=5000,"Medium Value","Low Value"))</f>
        <v>Low Value</v>
      </c>
      <c r="W1247" s="1" t="str">
        <f aca="false">IF(O1247&gt;0,"Profitable",IF(O1247=0,"Break-even","Loss"))</f>
        <v>Profitable</v>
      </c>
      <c r="X1247" s="1" t="str">
        <f aca="false">IF(Q1247="Cancelled","Not Applicable",IF(Q1247="Processing","Pending",IF(B1247="","Unknown",IF(Orders!J1247="","Unknown",IF(Orders!J1247&lt;=3,"Fast",IF(Orders!J1247&lt;=6,"Standard","Slow"))))))</f>
        <v>Standard</v>
      </c>
      <c r="Y1247" s="1" t="n">
        <f aca="false">IF(OR(Q1247="Cancelled",Q1247="Returned"),0,O1247)</f>
        <v>289.2</v>
      </c>
    </row>
    <row r="1248" customFormat="false" ht="15" hidden="false" customHeight="false" outlineLevel="0" collapsed="false">
      <c r="A1248" s="6" t="str">
        <f aca="false">Orders!A1248</f>
        <v>O001247</v>
      </c>
      <c r="B1248" s="19" t="n">
        <f aca="false">Orders!B1248</f>
        <v>45928</v>
      </c>
      <c r="C1248" s="6" t="str">
        <f aca="false">Orders!C1248</f>
        <v>C0063</v>
      </c>
      <c r="D1248" s="6" t="str">
        <f aca="false">Orders!D1248</f>
        <v>P1026</v>
      </c>
      <c r="E1248" s="6" t="str">
        <f aca="false">INDEX(Products!$B$2:$B$101,MATCH(D1248,Products!$A$2:$A$101,0))</f>
        <v>Sunglasses</v>
      </c>
      <c r="F1248" s="1" t="str">
        <f aca="false">INDEX(Products!$C$2:$C$101,MATCH(D1248,Products!$A$2:$A$101,0))</f>
        <v>Fashion</v>
      </c>
      <c r="G1248" s="6" t="n">
        <f aca="false">Orders!E1248</f>
        <v>2</v>
      </c>
      <c r="H1248" s="16" t="n">
        <f aca="false">INDEX(Products!$D$2:$D$101,MATCH(D1248,Products!$A$2:$A$101,0))</f>
        <v>799</v>
      </c>
      <c r="I1248" s="16" t="n">
        <f aca="false">INDEX(Products!$E$2:$E$101,MATCH(D1248,Products!$A$2:$A$101,0))</f>
        <v>300</v>
      </c>
      <c r="J1248" s="20" t="n">
        <f aca="false">Orders!F1248</f>
        <v>0.1</v>
      </c>
      <c r="K1248" s="6" t="n">
        <f aca="false">G1248*H1248</f>
        <v>1598</v>
      </c>
      <c r="L1248" s="6" t="n">
        <f aca="false">K1248*J1248</f>
        <v>159.8</v>
      </c>
      <c r="M1248" s="6" t="n">
        <f aca="false">K1248-L1248</f>
        <v>1438.2</v>
      </c>
      <c r="N1248" s="6" t="n">
        <f aca="false">G1248*I1248</f>
        <v>600</v>
      </c>
      <c r="O1248" s="6" t="n">
        <f aca="false">M1248-N1248</f>
        <v>838.2</v>
      </c>
      <c r="P1248" s="21" t="n">
        <f aca="false">IFERROR(O1248/M1248,0)</f>
        <v>0.582811848143513</v>
      </c>
      <c r="Q1248" s="6" t="str">
        <f aca="false">Orders!H1248</f>
        <v>Delivered</v>
      </c>
      <c r="R1248" s="1" t="str">
        <f aca="false">INDEX(Customers!$C$2:$C$301,MATCH(C1248,Customers!$A$2:$A$301,0))</f>
        <v>Bengaluru</v>
      </c>
      <c r="S1248" s="1" t="str">
        <f aca="false">INDEX(Customers!$E$2:$E$301,MATCH(C1248,Customers!$A$2:$A$301,0))</f>
        <v>New</v>
      </c>
      <c r="T1248" s="6" t="str">
        <f aca="false">Orders!I1248</f>
        <v>Mobile App</v>
      </c>
      <c r="U1248" s="1" t="str">
        <f aca="false">IF(Q1248="Delivered","Completed",IF(Q1248="Cancelled","Cancelled",IF(Q1248="Returned","Returned","In Progress")))</f>
        <v>Completed</v>
      </c>
      <c r="V1248" s="1" t="str">
        <f aca="false">IF(M1248&gt;=10000,"High Value",IF(M1248&gt;=5000,"Medium Value","Low Value"))</f>
        <v>Low Value</v>
      </c>
      <c r="W1248" s="1" t="str">
        <f aca="false">IF(O1248&gt;0,"Profitable",IF(O1248=0,"Break-even","Loss"))</f>
        <v>Profitable</v>
      </c>
      <c r="X1248" s="1" t="str">
        <f aca="false">IF(Q1248="Cancelled","Not Applicable",IF(Q1248="Processing","Pending",IF(B1248="","Unknown",IF(Orders!J1248="","Unknown",IF(Orders!J1248&lt;=3,"Fast",IF(Orders!J1248&lt;=6,"Standard","Slow"))))))</f>
        <v>Standard</v>
      </c>
      <c r="Y1248" s="1" t="n">
        <f aca="false">IF(OR(Q1248="Cancelled",Q1248="Returned"),0,O1248)</f>
        <v>838.2</v>
      </c>
    </row>
    <row r="1249" customFormat="false" ht="23.85" hidden="false" customHeight="false" outlineLevel="0" collapsed="false">
      <c r="A1249" s="6" t="str">
        <f aca="false">Orders!A1249</f>
        <v>O001248</v>
      </c>
      <c r="B1249" s="19" t="n">
        <f aca="false">Orders!B1249</f>
        <v>45786</v>
      </c>
      <c r="C1249" s="6" t="str">
        <f aca="false">Orders!C1249</f>
        <v>C0141</v>
      </c>
      <c r="D1249" s="6" t="str">
        <f aca="false">Orders!D1249</f>
        <v>P1069</v>
      </c>
      <c r="E1249" s="6" t="str">
        <f aca="false">INDEX(Products!$B$2:$B$101,MATCH(D1249,Products!$A$2:$A$101,0))</f>
        <v>Sports Duffel Bag</v>
      </c>
      <c r="F1249" s="1" t="str">
        <f aca="false">INDEX(Products!$C$2:$C$101,MATCH(D1249,Products!$A$2:$A$101,0))</f>
        <v>Sports &amp; Outdoors</v>
      </c>
      <c r="G1249" s="6" t="n">
        <f aca="false">Orders!E1249</f>
        <v>1</v>
      </c>
      <c r="H1249" s="16" t="n">
        <f aca="false">INDEX(Products!$D$2:$D$101,MATCH(D1249,Products!$A$2:$A$101,0))</f>
        <v>999</v>
      </c>
      <c r="I1249" s="16" t="n">
        <f aca="false">INDEX(Products!$E$2:$E$101,MATCH(D1249,Products!$A$2:$A$101,0))</f>
        <v>500</v>
      </c>
      <c r="J1249" s="20" t="n">
        <f aca="false">Orders!F1249</f>
        <v>0.05</v>
      </c>
      <c r="K1249" s="6" t="n">
        <f aca="false">G1249*H1249</f>
        <v>999</v>
      </c>
      <c r="L1249" s="6" t="n">
        <f aca="false">K1249*J1249</f>
        <v>49.95</v>
      </c>
      <c r="M1249" s="6" t="n">
        <f aca="false">K1249-L1249</f>
        <v>949.05</v>
      </c>
      <c r="N1249" s="6" t="n">
        <f aca="false">G1249*I1249</f>
        <v>500</v>
      </c>
      <c r="O1249" s="6" t="n">
        <f aca="false">M1249-N1249</f>
        <v>449.05</v>
      </c>
      <c r="P1249" s="21" t="n">
        <f aca="false">IFERROR(O1249/M1249,0)</f>
        <v>0.47315736789421</v>
      </c>
      <c r="Q1249" s="6" t="str">
        <f aca="false">Orders!H1249</f>
        <v>Delivered</v>
      </c>
      <c r="R1249" s="1" t="str">
        <f aca="false">INDEX(Customers!$C$2:$C$301,MATCH(C1249,Customers!$A$2:$A$301,0))</f>
        <v>Delhi</v>
      </c>
      <c r="S1249" s="1" t="str">
        <f aca="false">INDEX(Customers!$E$2:$E$301,MATCH(C1249,Customers!$A$2:$A$301,0))</f>
        <v>Returning</v>
      </c>
      <c r="T1249" s="6" t="str">
        <f aca="false">Orders!I1249</f>
        <v>Website</v>
      </c>
      <c r="U1249" s="1" t="str">
        <f aca="false">IF(Q1249="Delivered","Completed",IF(Q1249="Cancelled","Cancelled",IF(Q1249="Returned","Returned","In Progress")))</f>
        <v>Completed</v>
      </c>
      <c r="V1249" s="1" t="str">
        <f aca="false">IF(M1249&gt;=10000,"High Value",IF(M1249&gt;=5000,"Medium Value","Low Value"))</f>
        <v>Low Value</v>
      </c>
      <c r="W1249" s="1" t="str">
        <f aca="false">IF(O1249&gt;0,"Profitable",IF(O1249=0,"Break-even","Loss"))</f>
        <v>Profitable</v>
      </c>
      <c r="X1249" s="1" t="str">
        <f aca="false">IF(Q1249="Cancelled","Not Applicable",IF(Q1249="Processing","Pending",IF(B1249="","Unknown",IF(Orders!J1249="","Unknown",IF(Orders!J1249&lt;=3,"Fast",IF(Orders!J1249&lt;=6,"Standard","Slow"))))))</f>
        <v>Standard</v>
      </c>
      <c r="Y1249" s="1" t="n">
        <f aca="false">IF(OR(Q1249="Cancelled",Q1249="Returned"),0,O1249)</f>
        <v>449.05</v>
      </c>
    </row>
    <row r="1250" customFormat="false" ht="15" hidden="false" customHeight="false" outlineLevel="0" collapsed="false">
      <c r="A1250" s="6" t="str">
        <f aca="false">Orders!A1250</f>
        <v>O001249</v>
      </c>
      <c r="B1250" s="19" t="n">
        <f aca="false">Orders!B1250</f>
        <v>45881</v>
      </c>
      <c r="C1250" s="6" t="str">
        <f aca="false">Orders!C1250</f>
        <v>C0047</v>
      </c>
      <c r="D1250" s="6" t="str">
        <f aca="false">Orders!D1250</f>
        <v>P1032</v>
      </c>
      <c r="E1250" s="6" t="str">
        <f aca="false">INDEX(Products!$B$2:$B$101,MATCH(D1250,Products!$A$2:$A$101,0))</f>
        <v>Water Bottle</v>
      </c>
      <c r="F1250" s="1" t="str">
        <f aca="false">INDEX(Products!$C$2:$C$101,MATCH(D1250,Products!$A$2:$A$101,0))</f>
        <v>Home &amp; Kitchen</v>
      </c>
      <c r="G1250" s="6" t="n">
        <f aca="false">Orders!E1250</f>
        <v>1</v>
      </c>
      <c r="H1250" s="16" t="n">
        <f aca="false">INDEX(Products!$D$2:$D$101,MATCH(D1250,Products!$A$2:$A$101,0))</f>
        <v>399</v>
      </c>
      <c r="I1250" s="16" t="n">
        <f aca="false">INDEX(Products!$E$2:$E$101,MATCH(D1250,Products!$A$2:$A$101,0))</f>
        <v>150</v>
      </c>
      <c r="J1250" s="20" t="n">
        <f aca="false">Orders!F1250</f>
        <v>0.2</v>
      </c>
      <c r="K1250" s="6" t="n">
        <f aca="false">G1250*H1250</f>
        <v>399</v>
      </c>
      <c r="L1250" s="6" t="n">
        <f aca="false">K1250*J1250</f>
        <v>79.8</v>
      </c>
      <c r="M1250" s="6" t="n">
        <f aca="false">K1250-L1250</f>
        <v>319.2</v>
      </c>
      <c r="N1250" s="6" t="n">
        <f aca="false">G1250*I1250</f>
        <v>150</v>
      </c>
      <c r="O1250" s="6" t="n">
        <f aca="false">M1250-N1250</f>
        <v>169.2</v>
      </c>
      <c r="P1250" s="21" t="n">
        <f aca="false">IFERROR(O1250/M1250,0)</f>
        <v>0.530075187969925</v>
      </c>
      <c r="Q1250" s="6" t="str">
        <f aca="false">Orders!H1250</f>
        <v>Shipped</v>
      </c>
      <c r="R1250" s="1" t="str">
        <f aca="false">INDEX(Customers!$C$2:$C$301,MATCH(C1250,Customers!$A$2:$A$301,0))</f>
        <v>Pune</v>
      </c>
      <c r="S1250" s="1" t="str">
        <f aca="false">INDEX(Customers!$E$2:$E$301,MATCH(C1250,Customers!$A$2:$A$301,0))</f>
        <v>VIP</v>
      </c>
      <c r="T1250" s="6" t="str">
        <f aca="false">Orders!I1250</f>
        <v>Marketplace</v>
      </c>
      <c r="U1250" s="1" t="str">
        <f aca="false">IF(Q1250="Delivered","Completed",IF(Q1250="Cancelled","Cancelled",IF(Q1250="Returned","Returned","In Progress")))</f>
        <v>In Progress</v>
      </c>
      <c r="V1250" s="1" t="str">
        <f aca="false">IF(M1250&gt;=10000,"High Value",IF(M1250&gt;=5000,"Medium Value","Low Value"))</f>
        <v>Low Value</v>
      </c>
      <c r="W1250" s="1" t="str">
        <f aca="false">IF(O1250&gt;0,"Profitable",IF(O1250=0,"Break-even","Loss"))</f>
        <v>Profitable</v>
      </c>
      <c r="X1250" s="1" t="str">
        <f aca="false">IF(Q1250="Cancelled","Not Applicable",IF(Q1250="Processing","Pending",IF(B1250="","Unknown",IF(Orders!J1250="","Unknown",IF(Orders!J1250&lt;=3,"Fast",IF(Orders!J1250&lt;=6,"Standard","Slow"))))))</f>
        <v>Standard</v>
      </c>
      <c r="Y1250" s="1" t="n">
        <f aca="false">IF(OR(Q1250="Cancelled",Q1250="Returned"),0,O1250)</f>
        <v>169.2</v>
      </c>
    </row>
    <row r="1251" customFormat="false" ht="15" hidden="false" customHeight="false" outlineLevel="0" collapsed="false">
      <c r="A1251" s="6" t="str">
        <f aca="false">Orders!A1251</f>
        <v>O001250</v>
      </c>
      <c r="B1251" s="19" t="n">
        <f aca="false">Orders!B1251</f>
        <v>45998</v>
      </c>
      <c r="C1251" s="6" t="str">
        <f aca="false">Orders!C1251</f>
        <v>C0257</v>
      </c>
      <c r="D1251" s="6" t="str">
        <f aca="false">Orders!D1251</f>
        <v>P1084</v>
      </c>
      <c r="E1251" s="6" t="str">
        <f aca="false">INDEX(Products!$B$2:$B$101,MATCH(D1251,Products!$A$2:$A$101,0))</f>
        <v>Whiteboard</v>
      </c>
      <c r="F1251" s="1" t="str">
        <f aca="false">INDEX(Products!$C$2:$C$101,MATCH(D1251,Products!$A$2:$A$101,0))</f>
        <v>Books &amp; Stationery</v>
      </c>
      <c r="G1251" s="6" t="n">
        <f aca="false">Orders!E1251</f>
        <v>3</v>
      </c>
      <c r="H1251" s="16" t="n">
        <f aca="false">INDEX(Products!$D$2:$D$101,MATCH(D1251,Products!$A$2:$A$101,0))</f>
        <v>799</v>
      </c>
      <c r="I1251" s="16" t="n">
        <f aca="false">INDEX(Products!$E$2:$E$101,MATCH(D1251,Products!$A$2:$A$101,0))</f>
        <v>420</v>
      </c>
      <c r="J1251" s="20" t="n">
        <f aca="false">Orders!F1251</f>
        <v>0.15</v>
      </c>
      <c r="K1251" s="6" t="n">
        <f aca="false">G1251*H1251</f>
        <v>2397</v>
      </c>
      <c r="L1251" s="6" t="n">
        <f aca="false">K1251*J1251</f>
        <v>359.55</v>
      </c>
      <c r="M1251" s="6" t="n">
        <f aca="false">K1251-L1251</f>
        <v>2037.45</v>
      </c>
      <c r="N1251" s="6" t="n">
        <f aca="false">G1251*I1251</f>
        <v>1260</v>
      </c>
      <c r="O1251" s="6" t="n">
        <f aca="false">M1251-N1251</f>
        <v>777.45</v>
      </c>
      <c r="P1251" s="21" t="n">
        <f aca="false">IFERROR(O1251/M1251,0)</f>
        <v>0.38157991607156</v>
      </c>
      <c r="Q1251" s="6" t="str">
        <f aca="false">Orders!H1251</f>
        <v>Processing</v>
      </c>
      <c r="R1251" s="1" t="str">
        <f aca="false">INDEX(Customers!$C$2:$C$301,MATCH(C1251,Customers!$A$2:$A$301,0))</f>
        <v>Surat</v>
      </c>
      <c r="S1251" s="1" t="str">
        <f aca="false">INDEX(Customers!$E$2:$E$301,MATCH(C1251,Customers!$A$2:$A$301,0))</f>
        <v>New</v>
      </c>
      <c r="T1251" s="6" t="str">
        <f aca="false">Orders!I1251</f>
        <v>Marketplace</v>
      </c>
      <c r="U1251" s="1" t="str">
        <f aca="false">IF(Q1251="Delivered","Completed",IF(Q1251="Cancelled","Cancelled",IF(Q1251="Returned","Returned","In Progress")))</f>
        <v>In Progress</v>
      </c>
      <c r="V1251" s="1" t="str">
        <f aca="false">IF(M1251&gt;=10000,"High Value",IF(M1251&gt;=5000,"Medium Value","Low Value"))</f>
        <v>Low Value</v>
      </c>
      <c r="W1251" s="1" t="str">
        <f aca="false">IF(O1251&gt;0,"Profitable",IF(O1251=0,"Break-even","Loss"))</f>
        <v>Profitable</v>
      </c>
      <c r="X1251" s="1" t="str">
        <f aca="false">IF(Q1251="Cancelled","Not Applicable",IF(Q1251="Processing","Pending",IF(B1251="","Unknown",IF(Orders!J1251="","Unknown",IF(Orders!J1251&lt;=3,"Fast",IF(Orders!J1251&lt;=6,"Standard","Slow"))))))</f>
        <v>Pending</v>
      </c>
      <c r="Y1251" s="1" t="n">
        <f aca="false">IF(OR(Q1251="Cancelled",Q1251="Returned"),0,O1251)</f>
        <v>777.45</v>
      </c>
    </row>
    <row r="1252" customFormat="false" ht="15" hidden="false" customHeight="false" outlineLevel="0" collapsed="false">
      <c r="A1252" s="6" t="str">
        <f aca="false">Orders!A1252</f>
        <v>O001251</v>
      </c>
      <c r="B1252" s="19" t="n">
        <f aca="false">Orders!B1252</f>
        <v>45710</v>
      </c>
      <c r="C1252" s="6" t="str">
        <f aca="false">Orders!C1252</f>
        <v>C0102</v>
      </c>
      <c r="D1252" s="6" t="str">
        <f aca="false">Orders!D1252</f>
        <v>P1019</v>
      </c>
      <c r="E1252" s="6" t="str">
        <f aca="false">INDEX(Products!$B$2:$B$101,MATCH(D1252,Products!$A$2:$A$101,0))</f>
        <v>Running Shoes</v>
      </c>
      <c r="F1252" s="1" t="str">
        <f aca="false">INDEX(Products!$C$2:$C$101,MATCH(D1252,Products!$A$2:$A$101,0))</f>
        <v>Fashion</v>
      </c>
      <c r="G1252" s="6" t="n">
        <f aca="false">Orders!E1252</f>
        <v>2</v>
      </c>
      <c r="H1252" s="16" t="n">
        <f aca="false">INDEX(Products!$D$2:$D$101,MATCH(D1252,Products!$A$2:$A$101,0))</f>
        <v>1999</v>
      </c>
      <c r="I1252" s="16" t="n">
        <f aca="false">INDEX(Products!$E$2:$E$101,MATCH(D1252,Products!$A$2:$A$101,0))</f>
        <v>1100</v>
      </c>
      <c r="J1252" s="20" t="n">
        <f aca="false">Orders!F1252</f>
        <v>0.1</v>
      </c>
      <c r="K1252" s="6" t="n">
        <f aca="false">G1252*H1252</f>
        <v>3998</v>
      </c>
      <c r="L1252" s="6" t="n">
        <f aca="false">K1252*J1252</f>
        <v>399.8</v>
      </c>
      <c r="M1252" s="6" t="n">
        <f aca="false">K1252-L1252</f>
        <v>3598.2</v>
      </c>
      <c r="N1252" s="6" t="n">
        <f aca="false">G1252*I1252</f>
        <v>2200</v>
      </c>
      <c r="O1252" s="6" t="n">
        <f aca="false">M1252-N1252</f>
        <v>1398.2</v>
      </c>
      <c r="P1252" s="21" t="n">
        <f aca="false">IFERROR(O1252/M1252,0)</f>
        <v>0.388583180479128</v>
      </c>
      <c r="Q1252" s="6" t="str">
        <f aca="false">Orders!H1252</f>
        <v>Shipped</v>
      </c>
      <c r="R1252" s="1" t="str">
        <f aca="false">INDEX(Customers!$C$2:$C$301,MATCH(C1252,Customers!$A$2:$A$301,0))</f>
        <v>Mumbai</v>
      </c>
      <c r="S1252" s="1" t="str">
        <f aca="false">INDEX(Customers!$E$2:$E$301,MATCH(C1252,Customers!$A$2:$A$301,0))</f>
        <v>Returning</v>
      </c>
      <c r="T1252" s="6" t="str">
        <f aca="false">Orders!I1252</f>
        <v>Website</v>
      </c>
      <c r="U1252" s="1" t="str">
        <f aca="false">IF(Q1252="Delivered","Completed",IF(Q1252="Cancelled","Cancelled",IF(Q1252="Returned","Returned","In Progress")))</f>
        <v>In Progress</v>
      </c>
      <c r="V1252" s="1" t="str">
        <f aca="false">IF(M1252&gt;=10000,"High Value",IF(M1252&gt;=5000,"Medium Value","Low Value"))</f>
        <v>Low Value</v>
      </c>
      <c r="W1252" s="1" t="str">
        <f aca="false">IF(O1252&gt;0,"Profitable",IF(O1252=0,"Break-even","Loss"))</f>
        <v>Profitable</v>
      </c>
      <c r="X1252" s="1" t="str">
        <f aca="false">IF(Q1252="Cancelled","Not Applicable",IF(Q1252="Processing","Pending",IF(B1252="","Unknown",IF(Orders!J1252="","Unknown",IF(Orders!J1252&lt;=3,"Fast",IF(Orders!J1252&lt;=6,"Standard","Slow"))))))</f>
        <v>Standard</v>
      </c>
      <c r="Y1252" s="1" t="n">
        <f aca="false">IF(OR(Q1252="Cancelled",Q1252="Returned"),0,O1252)</f>
        <v>1398.2</v>
      </c>
    </row>
    <row r="1253" customFormat="false" ht="15" hidden="false" customHeight="false" outlineLevel="0" collapsed="false">
      <c r="A1253" s="6" t="str">
        <f aca="false">Orders!A1253</f>
        <v>O001252</v>
      </c>
      <c r="B1253" s="19" t="n">
        <f aca="false">Orders!B1253</f>
        <v>45663</v>
      </c>
      <c r="C1253" s="6" t="str">
        <f aca="false">Orders!C1253</f>
        <v>C0187</v>
      </c>
      <c r="D1253" s="6" t="str">
        <f aca="false">Orders!D1253</f>
        <v>P1054</v>
      </c>
      <c r="E1253" s="6" t="str">
        <f aca="false">INDEX(Products!$B$2:$B$101,MATCH(D1253,Products!$A$2:$A$101,0))</f>
        <v>Face Mask Pack</v>
      </c>
      <c r="F1253" s="1" t="str">
        <f aca="false">INDEX(Products!$C$2:$C$101,MATCH(D1253,Products!$A$2:$A$101,0))</f>
        <v>Beauty</v>
      </c>
      <c r="G1253" s="6" t="n">
        <f aca="false">Orders!E1253</f>
        <v>1</v>
      </c>
      <c r="H1253" s="16" t="n">
        <f aca="false">INDEX(Products!$D$2:$D$101,MATCH(D1253,Products!$A$2:$A$101,0))</f>
        <v>299</v>
      </c>
      <c r="I1253" s="16" t="n">
        <f aca="false">INDEX(Products!$E$2:$E$101,MATCH(D1253,Products!$A$2:$A$101,0))</f>
        <v>110</v>
      </c>
      <c r="J1253" s="20" t="n">
        <f aca="false">Orders!F1253</f>
        <v>0.1</v>
      </c>
      <c r="K1253" s="6" t="n">
        <f aca="false">G1253*H1253</f>
        <v>299</v>
      </c>
      <c r="L1253" s="6" t="n">
        <f aca="false">K1253*J1253</f>
        <v>29.9</v>
      </c>
      <c r="M1253" s="6" t="n">
        <f aca="false">K1253-L1253</f>
        <v>269.1</v>
      </c>
      <c r="N1253" s="6" t="n">
        <f aca="false">G1253*I1253</f>
        <v>110</v>
      </c>
      <c r="O1253" s="6" t="n">
        <f aca="false">M1253-N1253</f>
        <v>159.1</v>
      </c>
      <c r="P1253" s="21" t="n">
        <f aca="false">IFERROR(O1253/M1253,0)</f>
        <v>0.591230026012635</v>
      </c>
      <c r="Q1253" s="6" t="str">
        <f aca="false">Orders!H1253</f>
        <v>Delivered</v>
      </c>
      <c r="R1253" s="1" t="str">
        <f aca="false">INDEX(Customers!$C$2:$C$301,MATCH(C1253,Customers!$A$2:$A$301,0))</f>
        <v>Pune</v>
      </c>
      <c r="S1253" s="1" t="str">
        <f aca="false">INDEX(Customers!$E$2:$E$301,MATCH(C1253,Customers!$A$2:$A$301,0))</f>
        <v>Returning</v>
      </c>
      <c r="T1253" s="6" t="str">
        <f aca="false">Orders!I1253</f>
        <v>Mobile App</v>
      </c>
      <c r="U1253" s="1" t="str">
        <f aca="false">IF(Q1253="Delivered","Completed",IF(Q1253="Cancelled","Cancelled",IF(Q1253="Returned","Returned","In Progress")))</f>
        <v>Completed</v>
      </c>
      <c r="V1253" s="1" t="str">
        <f aca="false">IF(M1253&gt;=10000,"High Value",IF(M1253&gt;=5000,"Medium Value","Low Value"))</f>
        <v>Low Value</v>
      </c>
      <c r="W1253" s="1" t="str">
        <f aca="false">IF(O1253&gt;0,"Profitable",IF(O1253=0,"Break-even","Loss"))</f>
        <v>Profitable</v>
      </c>
      <c r="X1253" s="1" t="str">
        <f aca="false">IF(Q1253="Cancelled","Not Applicable",IF(Q1253="Processing","Pending",IF(B1253="","Unknown",IF(Orders!J1253="","Unknown",IF(Orders!J1253&lt;=3,"Fast",IF(Orders!J1253&lt;=6,"Standard","Slow"))))))</f>
        <v>Fast</v>
      </c>
      <c r="Y1253" s="1" t="n">
        <f aca="false">IF(OR(Q1253="Cancelled",Q1253="Returned"),0,O1253)</f>
        <v>159.1</v>
      </c>
    </row>
    <row r="1254" customFormat="false" ht="15" hidden="false" customHeight="false" outlineLevel="0" collapsed="false">
      <c r="A1254" s="6" t="str">
        <f aca="false">Orders!A1254</f>
        <v>O001253</v>
      </c>
      <c r="B1254" s="19" t="n">
        <f aca="false">Orders!B1254</f>
        <v>45726</v>
      </c>
      <c r="C1254" s="6" t="str">
        <f aca="false">Orders!C1254</f>
        <v>C0282</v>
      </c>
      <c r="D1254" s="6" t="str">
        <f aca="false">Orders!D1254</f>
        <v>P1042</v>
      </c>
      <c r="E1254" s="6" t="str">
        <f aca="false">INDEX(Products!$B$2:$B$101,MATCH(D1254,Products!$A$2:$A$101,0))</f>
        <v>Bath Towel Set</v>
      </c>
      <c r="F1254" s="1" t="str">
        <f aca="false">INDEX(Products!$C$2:$C$101,MATCH(D1254,Products!$A$2:$A$101,0))</f>
        <v>Home &amp; Kitchen</v>
      </c>
      <c r="G1254" s="6" t="n">
        <f aca="false">Orders!E1254</f>
        <v>2</v>
      </c>
      <c r="H1254" s="16" t="n">
        <f aca="false">INDEX(Products!$D$2:$D$101,MATCH(D1254,Products!$A$2:$A$101,0))</f>
        <v>799</v>
      </c>
      <c r="I1254" s="16" t="n">
        <f aca="false">INDEX(Products!$E$2:$E$101,MATCH(D1254,Products!$A$2:$A$101,0))</f>
        <v>360</v>
      </c>
      <c r="J1254" s="20" t="n">
        <f aca="false">Orders!F1254</f>
        <v>0.2</v>
      </c>
      <c r="K1254" s="6" t="n">
        <f aca="false">G1254*H1254</f>
        <v>1598</v>
      </c>
      <c r="L1254" s="6" t="n">
        <f aca="false">K1254*J1254</f>
        <v>319.6</v>
      </c>
      <c r="M1254" s="6" t="n">
        <f aca="false">K1254-L1254</f>
        <v>1278.4</v>
      </c>
      <c r="N1254" s="6" t="n">
        <f aca="false">G1254*I1254</f>
        <v>720</v>
      </c>
      <c r="O1254" s="6" t="n">
        <f aca="false">M1254-N1254</f>
        <v>558.4</v>
      </c>
      <c r="P1254" s="21" t="n">
        <f aca="false">IFERROR(O1254/M1254,0)</f>
        <v>0.436795994993742</v>
      </c>
      <c r="Q1254" s="6" t="str">
        <f aca="false">Orders!H1254</f>
        <v>Delivered</v>
      </c>
      <c r="R1254" s="1" t="str">
        <f aca="false">INDEX(Customers!$C$2:$C$301,MATCH(C1254,Customers!$A$2:$A$301,0))</f>
        <v>Mumbai</v>
      </c>
      <c r="S1254" s="1" t="str">
        <f aca="false">INDEX(Customers!$E$2:$E$301,MATCH(C1254,Customers!$A$2:$A$301,0))</f>
        <v>Returning</v>
      </c>
      <c r="T1254" s="6" t="str">
        <f aca="false">Orders!I1254</f>
        <v>Website</v>
      </c>
      <c r="U1254" s="1" t="str">
        <f aca="false">IF(Q1254="Delivered","Completed",IF(Q1254="Cancelled","Cancelled",IF(Q1254="Returned","Returned","In Progress")))</f>
        <v>Completed</v>
      </c>
      <c r="V1254" s="1" t="str">
        <f aca="false">IF(M1254&gt;=10000,"High Value",IF(M1254&gt;=5000,"Medium Value","Low Value"))</f>
        <v>Low Value</v>
      </c>
      <c r="W1254" s="1" t="str">
        <f aca="false">IF(O1254&gt;0,"Profitable",IF(O1254=0,"Break-even","Loss"))</f>
        <v>Profitable</v>
      </c>
      <c r="X1254" s="1" t="str">
        <f aca="false">IF(Q1254="Cancelled","Not Applicable",IF(Q1254="Processing","Pending",IF(B1254="","Unknown",IF(Orders!J1254="","Unknown",IF(Orders!J1254&lt;=3,"Fast",IF(Orders!J1254&lt;=6,"Standard","Slow"))))))</f>
        <v>Fast</v>
      </c>
      <c r="Y1254" s="1" t="n">
        <f aca="false">IF(OR(Q1254="Cancelled",Q1254="Returned"),0,O1254)</f>
        <v>558.4</v>
      </c>
    </row>
    <row r="1255" customFormat="false" ht="15" hidden="false" customHeight="false" outlineLevel="0" collapsed="false">
      <c r="A1255" s="6" t="str">
        <f aca="false">Orders!A1255</f>
        <v>O001254</v>
      </c>
      <c r="B1255" s="19" t="n">
        <f aca="false">Orders!B1255</f>
        <v>45675</v>
      </c>
      <c r="C1255" s="6" t="str">
        <f aca="false">Orders!C1255</f>
        <v>C0198</v>
      </c>
      <c r="D1255" s="6" t="str">
        <f aca="false">Orders!D1255</f>
        <v>P1011</v>
      </c>
      <c r="E1255" s="6" t="str">
        <f aca="false">INDEX(Products!$B$2:$B$101,MATCH(D1255,Products!$A$2:$A$101,0))</f>
        <v>Headphones</v>
      </c>
      <c r="F1255" s="1" t="str">
        <f aca="false">INDEX(Products!$C$2:$C$101,MATCH(D1255,Products!$A$2:$A$101,0))</f>
        <v>Electronics</v>
      </c>
      <c r="G1255" s="6" t="n">
        <f aca="false">Orders!E1255</f>
        <v>3</v>
      </c>
      <c r="H1255" s="16" t="n">
        <f aca="false">INDEX(Products!$D$2:$D$101,MATCH(D1255,Products!$A$2:$A$101,0))</f>
        <v>1599</v>
      </c>
      <c r="I1255" s="16" t="n">
        <f aca="false">INDEX(Products!$E$2:$E$101,MATCH(D1255,Products!$A$2:$A$101,0))</f>
        <v>900</v>
      </c>
      <c r="J1255" s="20" t="n">
        <f aca="false">Orders!F1255</f>
        <v>0.1</v>
      </c>
      <c r="K1255" s="6" t="n">
        <f aca="false">G1255*H1255</f>
        <v>4797</v>
      </c>
      <c r="L1255" s="6" t="n">
        <f aca="false">K1255*J1255</f>
        <v>479.7</v>
      </c>
      <c r="M1255" s="6" t="n">
        <f aca="false">K1255-L1255</f>
        <v>4317.3</v>
      </c>
      <c r="N1255" s="6" t="n">
        <f aca="false">G1255*I1255</f>
        <v>2700</v>
      </c>
      <c r="O1255" s="6" t="n">
        <f aca="false">M1255-N1255</f>
        <v>1617.3</v>
      </c>
      <c r="P1255" s="21" t="n">
        <f aca="false">IFERROR(O1255/M1255,0)</f>
        <v>0.374609130706692</v>
      </c>
      <c r="Q1255" s="6" t="str">
        <f aca="false">Orders!H1255</f>
        <v>Delivered</v>
      </c>
      <c r="R1255" s="1" t="str">
        <f aca="false">INDEX(Customers!$C$2:$C$301,MATCH(C1255,Customers!$A$2:$A$301,0))</f>
        <v>Nagpur</v>
      </c>
      <c r="S1255" s="1" t="str">
        <f aca="false">INDEX(Customers!$E$2:$E$301,MATCH(C1255,Customers!$A$2:$A$301,0))</f>
        <v>Returning</v>
      </c>
      <c r="T1255" s="6" t="str">
        <f aca="false">Orders!I1255</f>
        <v>Marketplace</v>
      </c>
      <c r="U1255" s="1" t="str">
        <f aca="false">IF(Q1255="Delivered","Completed",IF(Q1255="Cancelled","Cancelled",IF(Q1255="Returned","Returned","In Progress")))</f>
        <v>Completed</v>
      </c>
      <c r="V1255" s="1" t="str">
        <f aca="false">IF(M1255&gt;=10000,"High Value",IF(M1255&gt;=5000,"Medium Value","Low Value"))</f>
        <v>Low Value</v>
      </c>
      <c r="W1255" s="1" t="str">
        <f aca="false">IF(O1255&gt;0,"Profitable",IF(O1255=0,"Break-even","Loss"))</f>
        <v>Profitable</v>
      </c>
      <c r="X1255" s="1" t="str">
        <f aca="false">IF(Q1255="Cancelled","Not Applicable",IF(Q1255="Processing","Pending",IF(B1255="","Unknown",IF(Orders!J1255="","Unknown",IF(Orders!J1255&lt;=3,"Fast",IF(Orders!J1255&lt;=6,"Standard","Slow"))))))</f>
        <v>Standard</v>
      </c>
      <c r="Y1255" s="1" t="n">
        <f aca="false">IF(OR(Q1255="Cancelled",Q1255="Returned"),0,O1255)</f>
        <v>1617.3</v>
      </c>
    </row>
    <row r="1256" customFormat="false" ht="15" hidden="false" customHeight="false" outlineLevel="0" collapsed="false">
      <c r="A1256" s="6" t="str">
        <f aca="false">Orders!A1256</f>
        <v>O001255</v>
      </c>
      <c r="B1256" s="19" t="n">
        <f aca="false">Orders!B1256</f>
        <v>45887</v>
      </c>
      <c r="C1256" s="6" t="str">
        <f aca="false">Orders!C1256</f>
        <v>C0208</v>
      </c>
      <c r="D1256" s="6" t="str">
        <f aca="false">Orders!D1256</f>
        <v>P1076</v>
      </c>
      <c r="E1256" s="6" t="str">
        <f aca="false">INDEX(Products!$B$2:$B$101,MATCH(D1256,Products!$A$2:$A$101,0))</f>
        <v>Desk Organizer</v>
      </c>
      <c r="F1256" s="1" t="str">
        <f aca="false">INDEX(Products!$C$2:$C$101,MATCH(D1256,Products!$A$2:$A$101,0))</f>
        <v>Books &amp; Stationery</v>
      </c>
      <c r="G1256" s="6" t="n">
        <f aca="false">Orders!E1256</f>
        <v>2</v>
      </c>
      <c r="H1256" s="16" t="n">
        <f aca="false">INDEX(Products!$D$2:$D$101,MATCH(D1256,Products!$A$2:$A$101,0))</f>
        <v>399</v>
      </c>
      <c r="I1256" s="16" t="n">
        <f aca="false">INDEX(Products!$E$2:$E$101,MATCH(D1256,Products!$A$2:$A$101,0))</f>
        <v>170</v>
      </c>
      <c r="J1256" s="20" t="n">
        <f aca="false">Orders!F1256</f>
        <v>0.15</v>
      </c>
      <c r="K1256" s="6" t="n">
        <f aca="false">G1256*H1256</f>
        <v>798</v>
      </c>
      <c r="L1256" s="6" t="n">
        <f aca="false">K1256*J1256</f>
        <v>119.7</v>
      </c>
      <c r="M1256" s="6" t="n">
        <f aca="false">K1256-L1256</f>
        <v>678.3</v>
      </c>
      <c r="N1256" s="6" t="n">
        <f aca="false">G1256*I1256</f>
        <v>340</v>
      </c>
      <c r="O1256" s="6" t="n">
        <f aca="false">M1256-N1256</f>
        <v>338.3</v>
      </c>
      <c r="P1256" s="21" t="n">
        <f aca="false">IFERROR(O1256/M1256,0)</f>
        <v>0.49874686716792</v>
      </c>
      <c r="Q1256" s="6" t="str">
        <f aca="false">Orders!H1256</f>
        <v>Delivered</v>
      </c>
      <c r="R1256" s="1" t="str">
        <f aca="false">INDEX(Customers!$C$2:$C$301,MATCH(C1256,Customers!$A$2:$A$301,0))</f>
        <v>Jaipur</v>
      </c>
      <c r="S1256" s="1" t="str">
        <f aca="false">INDEX(Customers!$E$2:$E$301,MATCH(C1256,Customers!$A$2:$A$301,0))</f>
        <v>Returning</v>
      </c>
      <c r="T1256" s="6" t="str">
        <f aca="false">Orders!I1256</f>
        <v>Website</v>
      </c>
      <c r="U1256" s="1" t="str">
        <f aca="false">IF(Q1256="Delivered","Completed",IF(Q1256="Cancelled","Cancelled",IF(Q1256="Returned","Returned","In Progress")))</f>
        <v>Completed</v>
      </c>
      <c r="V1256" s="1" t="str">
        <f aca="false">IF(M1256&gt;=10000,"High Value",IF(M1256&gt;=5000,"Medium Value","Low Value"))</f>
        <v>Low Value</v>
      </c>
      <c r="W1256" s="1" t="str">
        <f aca="false">IF(O1256&gt;0,"Profitable",IF(O1256=0,"Break-even","Loss"))</f>
        <v>Profitable</v>
      </c>
      <c r="X1256" s="1" t="str">
        <f aca="false">IF(Q1256="Cancelled","Not Applicable",IF(Q1256="Processing","Pending",IF(B1256="","Unknown",IF(Orders!J1256="","Unknown",IF(Orders!J1256&lt;=3,"Fast",IF(Orders!J1256&lt;=6,"Standard","Slow"))))))</f>
        <v>Fast</v>
      </c>
      <c r="Y1256" s="1" t="n">
        <f aca="false">IF(OR(Q1256="Cancelled",Q1256="Returned"),0,O1256)</f>
        <v>338.3</v>
      </c>
    </row>
    <row r="1257" customFormat="false" ht="15" hidden="false" customHeight="false" outlineLevel="0" collapsed="false">
      <c r="A1257" s="6" t="str">
        <f aca="false">Orders!A1257</f>
        <v>O001256</v>
      </c>
      <c r="B1257" s="19" t="n">
        <f aca="false">Orders!B1257</f>
        <v>45912</v>
      </c>
      <c r="C1257" s="6" t="str">
        <f aca="false">Orders!C1257</f>
        <v>C0142</v>
      </c>
      <c r="D1257" s="6" t="str">
        <f aca="false">Orders!D1257</f>
        <v>P1071</v>
      </c>
      <c r="E1257" s="6" t="str">
        <f aca="false">INDEX(Products!$B$2:$B$101,MATCH(D1257,Products!$A$2:$A$101,0))</f>
        <v>Exercise Ball</v>
      </c>
      <c r="F1257" s="1" t="str">
        <f aca="false">INDEX(Products!$C$2:$C$101,MATCH(D1257,Products!$A$2:$A$101,0))</f>
        <v>Sports &amp; Outdoors</v>
      </c>
      <c r="G1257" s="6" t="n">
        <f aca="false">Orders!E1257</f>
        <v>1</v>
      </c>
      <c r="H1257" s="16" t="n">
        <f aca="false">INDEX(Products!$D$2:$D$101,MATCH(D1257,Products!$A$2:$A$101,0))</f>
        <v>699</v>
      </c>
      <c r="I1257" s="16" t="n">
        <f aca="false">INDEX(Products!$E$2:$E$101,MATCH(D1257,Products!$A$2:$A$101,0))</f>
        <v>320</v>
      </c>
      <c r="J1257" s="20" t="n">
        <f aca="false">Orders!F1257</f>
        <v>0.2</v>
      </c>
      <c r="K1257" s="6" t="n">
        <f aca="false">G1257*H1257</f>
        <v>699</v>
      </c>
      <c r="L1257" s="6" t="n">
        <f aca="false">K1257*J1257</f>
        <v>139.8</v>
      </c>
      <c r="M1257" s="6" t="n">
        <f aca="false">K1257-L1257</f>
        <v>559.2</v>
      </c>
      <c r="N1257" s="6" t="n">
        <f aca="false">G1257*I1257</f>
        <v>320</v>
      </c>
      <c r="O1257" s="6" t="n">
        <f aca="false">M1257-N1257</f>
        <v>239.2</v>
      </c>
      <c r="P1257" s="21" t="n">
        <f aca="false">IFERROR(O1257/M1257,0)</f>
        <v>0.427753934191703</v>
      </c>
      <c r="Q1257" s="6" t="str">
        <f aca="false">Orders!H1257</f>
        <v>Delivered</v>
      </c>
      <c r="R1257" s="1" t="str">
        <f aca="false">INDEX(Customers!$C$2:$C$301,MATCH(C1257,Customers!$A$2:$A$301,0))</f>
        <v>Mumbai</v>
      </c>
      <c r="S1257" s="1" t="str">
        <f aca="false">INDEX(Customers!$E$2:$E$301,MATCH(C1257,Customers!$A$2:$A$301,0))</f>
        <v>VIP</v>
      </c>
      <c r="T1257" s="6" t="str">
        <f aca="false">Orders!I1257</f>
        <v>Marketplace</v>
      </c>
      <c r="U1257" s="1" t="str">
        <f aca="false">IF(Q1257="Delivered","Completed",IF(Q1257="Cancelled","Cancelled",IF(Q1257="Returned","Returned","In Progress")))</f>
        <v>Completed</v>
      </c>
      <c r="V1257" s="1" t="str">
        <f aca="false">IF(M1257&gt;=10000,"High Value",IF(M1257&gt;=5000,"Medium Value","Low Value"))</f>
        <v>Low Value</v>
      </c>
      <c r="W1257" s="1" t="str">
        <f aca="false">IF(O1257&gt;0,"Profitable",IF(O1257=0,"Break-even","Loss"))</f>
        <v>Profitable</v>
      </c>
      <c r="X1257" s="1" t="str">
        <f aca="false">IF(Q1257="Cancelled","Not Applicable",IF(Q1257="Processing","Pending",IF(B1257="","Unknown",IF(Orders!J1257="","Unknown",IF(Orders!J1257&lt;=3,"Fast",IF(Orders!J1257&lt;=6,"Standard","Slow"))))))</f>
        <v>Fast</v>
      </c>
      <c r="Y1257" s="1" t="n">
        <f aca="false">IF(OR(Q1257="Cancelled",Q1257="Returned"),0,O1257)</f>
        <v>239.2</v>
      </c>
    </row>
    <row r="1258" customFormat="false" ht="15" hidden="false" customHeight="false" outlineLevel="0" collapsed="false">
      <c r="A1258" s="6" t="str">
        <f aca="false">Orders!A1258</f>
        <v>O001257</v>
      </c>
      <c r="B1258" s="19" t="n">
        <f aca="false">Orders!B1258</f>
        <v>45855</v>
      </c>
      <c r="C1258" s="6" t="str">
        <f aca="false">Orders!C1258</f>
        <v>C0036</v>
      </c>
      <c r="D1258" s="6" t="str">
        <f aca="false">Orders!D1258</f>
        <v>P1094</v>
      </c>
      <c r="E1258" s="6" t="str">
        <f aca="false">INDEX(Products!$B$2:$B$101,MATCH(D1258,Products!$A$2:$A$101,0))</f>
        <v>Room Heater</v>
      </c>
      <c r="F1258" s="1" t="str">
        <f aca="false">INDEX(Products!$C$2:$C$101,MATCH(D1258,Products!$A$2:$A$101,0))</f>
        <v>Appliances</v>
      </c>
      <c r="G1258" s="6" t="n">
        <f aca="false">Orders!E1258</f>
        <v>2</v>
      </c>
      <c r="H1258" s="16" t="n">
        <f aca="false">INDEX(Products!$D$2:$D$101,MATCH(D1258,Products!$A$2:$A$101,0))</f>
        <v>1999</v>
      </c>
      <c r="I1258" s="16" t="n">
        <f aca="false">INDEX(Products!$E$2:$E$101,MATCH(D1258,Products!$A$2:$A$101,0))</f>
        <v>1250</v>
      </c>
      <c r="J1258" s="20" t="n">
        <f aca="false">Orders!F1258</f>
        <v>0.15</v>
      </c>
      <c r="K1258" s="6" t="n">
        <f aca="false">G1258*H1258</f>
        <v>3998</v>
      </c>
      <c r="L1258" s="6" t="n">
        <f aca="false">K1258*J1258</f>
        <v>599.7</v>
      </c>
      <c r="M1258" s="6" t="n">
        <f aca="false">K1258-L1258</f>
        <v>3398.3</v>
      </c>
      <c r="N1258" s="6" t="n">
        <f aca="false">G1258*I1258</f>
        <v>2500</v>
      </c>
      <c r="O1258" s="6" t="n">
        <f aca="false">M1258-N1258</f>
        <v>898.3</v>
      </c>
      <c r="P1258" s="21" t="n">
        <f aca="false">IFERROR(O1258/M1258,0)</f>
        <v>0.264338051378631</v>
      </c>
      <c r="Q1258" s="6" t="str">
        <f aca="false">Orders!H1258</f>
        <v>Delivered</v>
      </c>
      <c r="R1258" s="1" t="str">
        <f aca="false">INDEX(Customers!$C$2:$C$301,MATCH(C1258,Customers!$A$2:$A$301,0))</f>
        <v>Chandigarh</v>
      </c>
      <c r="S1258" s="1" t="str">
        <f aca="false">INDEX(Customers!$E$2:$E$301,MATCH(C1258,Customers!$A$2:$A$301,0))</f>
        <v>New</v>
      </c>
      <c r="T1258" s="6" t="str">
        <f aca="false">Orders!I1258</f>
        <v>Mobile App</v>
      </c>
      <c r="U1258" s="1" t="str">
        <f aca="false">IF(Q1258="Delivered","Completed",IF(Q1258="Cancelled","Cancelled",IF(Q1258="Returned","Returned","In Progress")))</f>
        <v>Completed</v>
      </c>
      <c r="V1258" s="1" t="str">
        <f aca="false">IF(M1258&gt;=10000,"High Value",IF(M1258&gt;=5000,"Medium Value","Low Value"))</f>
        <v>Low Value</v>
      </c>
      <c r="W1258" s="1" t="str">
        <f aca="false">IF(O1258&gt;0,"Profitable",IF(O1258=0,"Break-even","Loss"))</f>
        <v>Profitable</v>
      </c>
      <c r="X1258" s="1" t="str">
        <f aca="false">IF(Q1258="Cancelled","Not Applicable",IF(Q1258="Processing","Pending",IF(B1258="","Unknown",IF(Orders!J1258="","Unknown",IF(Orders!J1258&lt;=3,"Fast",IF(Orders!J1258&lt;=6,"Standard","Slow"))))))</f>
        <v>Slow</v>
      </c>
      <c r="Y1258" s="1" t="n">
        <f aca="false">IF(OR(Q1258="Cancelled",Q1258="Returned"),0,O1258)</f>
        <v>898.3</v>
      </c>
    </row>
    <row r="1259" customFormat="false" ht="15" hidden="false" customHeight="false" outlineLevel="0" collapsed="false">
      <c r="A1259" s="6" t="str">
        <f aca="false">Orders!A1259</f>
        <v>O001258</v>
      </c>
      <c r="B1259" s="19" t="n">
        <f aca="false">Orders!B1259</f>
        <v>45881</v>
      </c>
      <c r="C1259" s="6" t="str">
        <f aca="false">Orders!C1259</f>
        <v>C0006</v>
      </c>
      <c r="D1259" s="6" t="str">
        <f aca="false">Orders!D1259</f>
        <v>P1085</v>
      </c>
      <c r="E1259" s="6" t="str">
        <f aca="false">INDEX(Products!$B$2:$B$101,MATCH(D1259,Products!$A$2:$A$101,0))</f>
        <v>Marker Set</v>
      </c>
      <c r="F1259" s="1" t="str">
        <f aca="false">INDEX(Products!$C$2:$C$101,MATCH(D1259,Products!$A$2:$A$101,0))</f>
        <v>Books &amp; Stationery</v>
      </c>
      <c r="G1259" s="6" t="n">
        <f aca="false">Orders!E1259</f>
        <v>2</v>
      </c>
      <c r="H1259" s="16" t="n">
        <f aca="false">INDEX(Products!$D$2:$D$101,MATCH(D1259,Products!$A$2:$A$101,0))</f>
        <v>299</v>
      </c>
      <c r="I1259" s="16" t="n">
        <f aca="false">INDEX(Products!$E$2:$E$101,MATCH(D1259,Products!$A$2:$A$101,0))</f>
        <v>110</v>
      </c>
      <c r="J1259" s="20" t="n">
        <f aca="false">Orders!F1259</f>
        <v>0.1</v>
      </c>
      <c r="K1259" s="6" t="n">
        <f aca="false">G1259*H1259</f>
        <v>598</v>
      </c>
      <c r="L1259" s="6" t="n">
        <f aca="false">K1259*J1259</f>
        <v>59.8</v>
      </c>
      <c r="M1259" s="6" t="n">
        <f aca="false">K1259-L1259</f>
        <v>538.2</v>
      </c>
      <c r="N1259" s="6" t="n">
        <f aca="false">G1259*I1259</f>
        <v>220</v>
      </c>
      <c r="O1259" s="6" t="n">
        <f aca="false">M1259-N1259</f>
        <v>318.2</v>
      </c>
      <c r="P1259" s="21" t="n">
        <f aca="false">IFERROR(O1259/M1259,0)</f>
        <v>0.591230026012635</v>
      </c>
      <c r="Q1259" s="6" t="str">
        <f aca="false">Orders!H1259</f>
        <v>Delivered</v>
      </c>
      <c r="R1259" s="1" t="str">
        <f aca="false">INDEX(Customers!$C$2:$C$301,MATCH(C1259,Customers!$A$2:$A$301,0))</f>
        <v>Kolkata</v>
      </c>
      <c r="S1259" s="1" t="str">
        <f aca="false">INDEX(Customers!$E$2:$E$301,MATCH(C1259,Customers!$A$2:$A$301,0))</f>
        <v>Returning</v>
      </c>
      <c r="T1259" s="6" t="str">
        <f aca="false">Orders!I1259</f>
        <v>Mobile App</v>
      </c>
      <c r="U1259" s="1" t="str">
        <f aca="false">IF(Q1259="Delivered","Completed",IF(Q1259="Cancelled","Cancelled",IF(Q1259="Returned","Returned","In Progress")))</f>
        <v>Completed</v>
      </c>
      <c r="V1259" s="1" t="str">
        <f aca="false">IF(M1259&gt;=10000,"High Value",IF(M1259&gt;=5000,"Medium Value","Low Value"))</f>
        <v>Low Value</v>
      </c>
      <c r="W1259" s="1" t="str">
        <f aca="false">IF(O1259&gt;0,"Profitable",IF(O1259=0,"Break-even","Loss"))</f>
        <v>Profitable</v>
      </c>
      <c r="X1259" s="1" t="str">
        <f aca="false">IF(Q1259="Cancelled","Not Applicable",IF(Q1259="Processing","Pending",IF(B1259="","Unknown",IF(Orders!J1259="","Unknown",IF(Orders!J1259&lt;=3,"Fast",IF(Orders!J1259&lt;=6,"Standard","Slow"))))))</f>
        <v>Fast</v>
      </c>
      <c r="Y1259" s="1" t="n">
        <f aca="false">IF(OR(Q1259="Cancelled",Q1259="Returned"),0,O1259)</f>
        <v>318.2</v>
      </c>
    </row>
    <row r="1260" customFormat="false" ht="15" hidden="false" customHeight="false" outlineLevel="0" collapsed="false">
      <c r="A1260" s="6" t="str">
        <f aca="false">Orders!A1260</f>
        <v>O001259</v>
      </c>
      <c r="B1260" s="19" t="n">
        <f aca="false">Orders!B1260</f>
        <v>45803</v>
      </c>
      <c r="C1260" s="6" t="str">
        <f aca="false">Orders!C1260</f>
        <v>C0031</v>
      </c>
      <c r="D1260" s="6" t="str">
        <f aca="false">Orders!D1260</f>
        <v>P1062</v>
      </c>
      <c r="E1260" s="6" t="str">
        <f aca="false">INDEX(Products!$B$2:$B$101,MATCH(D1260,Products!$A$2:$A$101,0))</f>
        <v>Skipping Rope</v>
      </c>
      <c r="F1260" s="1" t="str">
        <f aca="false">INDEX(Products!$C$2:$C$101,MATCH(D1260,Products!$A$2:$A$101,0))</f>
        <v>Sports &amp; Outdoors</v>
      </c>
      <c r="G1260" s="6" t="n">
        <f aca="false">Orders!E1260</f>
        <v>1</v>
      </c>
      <c r="H1260" s="16" t="n">
        <f aca="false">INDEX(Products!$D$2:$D$101,MATCH(D1260,Products!$A$2:$A$101,0))</f>
        <v>249</v>
      </c>
      <c r="I1260" s="16" t="n">
        <f aca="false">INDEX(Products!$E$2:$E$101,MATCH(D1260,Products!$A$2:$A$101,0))</f>
        <v>80</v>
      </c>
      <c r="J1260" s="20" t="n">
        <f aca="false">Orders!F1260</f>
        <v>0.05</v>
      </c>
      <c r="K1260" s="6" t="n">
        <f aca="false">G1260*H1260</f>
        <v>249</v>
      </c>
      <c r="L1260" s="6" t="n">
        <f aca="false">K1260*J1260</f>
        <v>12.45</v>
      </c>
      <c r="M1260" s="6" t="n">
        <f aca="false">K1260-L1260</f>
        <v>236.55</v>
      </c>
      <c r="N1260" s="6" t="n">
        <f aca="false">G1260*I1260</f>
        <v>80</v>
      </c>
      <c r="O1260" s="6" t="n">
        <f aca="false">M1260-N1260</f>
        <v>156.55</v>
      </c>
      <c r="P1260" s="21" t="n">
        <f aca="false">IFERROR(O1260/M1260,0)</f>
        <v>0.661805115197633</v>
      </c>
      <c r="Q1260" s="6" t="str">
        <f aca="false">Orders!H1260</f>
        <v>Returned</v>
      </c>
      <c r="R1260" s="1" t="str">
        <f aca="false">INDEX(Customers!$C$2:$C$301,MATCH(C1260,Customers!$A$2:$A$301,0))</f>
        <v>Gurugram</v>
      </c>
      <c r="S1260" s="1" t="str">
        <f aca="false">INDEX(Customers!$E$2:$E$301,MATCH(C1260,Customers!$A$2:$A$301,0))</f>
        <v>Returning</v>
      </c>
      <c r="T1260" s="6" t="str">
        <f aca="false">Orders!I1260</f>
        <v>Website</v>
      </c>
      <c r="U1260" s="1" t="str">
        <f aca="false">IF(Q1260="Delivered","Completed",IF(Q1260="Cancelled","Cancelled",IF(Q1260="Returned","Returned","In Progress")))</f>
        <v>Returned</v>
      </c>
      <c r="V1260" s="1" t="str">
        <f aca="false">IF(M1260&gt;=10000,"High Value",IF(M1260&gt;=5000,"Medium Value","Low Value"))</f>
        <v>Low Value</v>
      </c>
      <c r="W1260" s="1" t="str">
        <f aca="false">IF(O1260&gt;0,"Profitable",IF(O1260=0,"Break-even","Loss"))</f>
        <v>Profitable</v>
      </c>
      <c r="X1260" s="1" t="str">
        <f aca="false">IF(Q1260="Cancelled","Not Applicable",IF(Q1260="Processing","Pending",IF(B1260="","Unknown",IF(Orders!J1260="","Unknown",IF(Orders!J1260&lt;=3,"Fast",IF(Orders!J1260&lt;=6,"Standard","Slow"))))))</f>
        <v>Standard</v>
      </c>
      <c r="Y1260" s="1" t="n">
        <f aca="false">IF(OR(Q1260="Cancelled",Q1260="Returned"),0,O1260)</f>
        <v>0</v>
      </c>
    </row>
    <row r="1261" customFormat="false" ht="15" hidden="false" customHeight="false" outlineLevel="0" collapsed="false">
      <c r="A1261" s="6" t="str">
        <f aca="false">Orders!A1261</f>
        <v>O001260</v>
      </c>
      <c r="B1261" s="19" t="n">
        <f aca="false">Orders!B1261</f>
        <v>45697</v>
      </c>
      <c r="C1261" s="6" t="str">
        <f aca="false">Orders!C1261</f>
        <v>C0015</v>
      </c>
      <c r="D1261" s="6" t="str">
        <f aca="false">Orders!D1261</f>
        <v>P1025</v>
      </c>
      <c r="E1261" s="6" t="str">
        <f aca="false">INDEX(Products!$B$2:$B$101,MATCH(D1261,Products!$A$2:$A$101,0))</f>
        <v>Hoodie</v>
      </c>
      <c r="F1261" s="1" t="str">
        <f aca="false">INDEX(Products!$C$2:$C$101,MATCH(D1261,Products!$A$2:$A$101,0))</f>
        <v>Fashion</v>
      </c>
      <c r="G1261" s="6" t="n">
        <f aca="false">Orders!E1261</f>
        <v>2</v>
      </c>
      <c r="H1261" s="16" t="n">
        <f aca="false">INDEX(Products!$D$2:$D$101,MATCH(D1261,Products!$A$2:$A$101,0))</f>
        <v>1399</v>
      </c>
      <c r="I1261" s="16" t="n">
        <f aca="false">INDEX(Products!$E$2:$E$101,MATCH(D1261,Products!$A$2:$A$101,0))</f>
        <v>720</v>
      </c>
      <c r="J1261" s="20" t="n">
        <f aca="false">Orders!F1261</f>
        <v>0.05</v>
      </c>
      <c r="K1261" s="6" t="n">
        <f aca="false">G1261*H1261</f>
        <v>2798</v>
      </c>
      <c r="L1261" s="6" t="n">
        <f aca="false">K1261*J1261</f>
        <v>139.9</v>
      </c>
      <c r="M1261" s="6" t="n">
        <f aca="false">K1261-L1261</f>
        <v>2658.1</v>
      </c>
      <c r="N1261" s="6" t="n">
        <f aca="false">G1261*I1261</f>
        <v>1440</v>
      </c>
      <c r="O1261" s="6" t="n">
        <f aca="false">M1261-N1261</f>
        <v>1218.1</v>
      </c>
      <c r="P1261" s="21" t="n">
        <f aca="false">IFERROR(O1261/M1261,0)</f>
        <v>0.458259659155036</v>
      </c>
      <c r="Q1261" s="6" t="str">
        <f aca="false">Orders!H1261</f>
        <v>Delivered</v>
      </c>
      <c r="R1261" s="1" t="str">
        <f aca="false">INDEX(Customers!$C$2:$C$301,MATCH(C1261,Customers!$A$2:$A$301,0))</f>
        <v>Bhopal</v>
      </c>
      <c r="S1261" s="1" t="str">
        <f aca="false">INDEX(Customers!$E$2:$E$301,MATCH(C1261,Customers!$A$2:$A$301,0))</f>
        <v>Returning</v>
      </c>
      <c r="T1261" s="6" t="str">
        <f aca="false">Orders!I1261</f>
        <v>Website</v>
      </c>
      <c r="U1261" s="1" t="str">
        <f aca="false">IF(Q1261="Delivered","Completed",IF(Q1261="Cancelled","Cancelled",IF(Q1261="Returned","Returned","In Progress")))</f>
        <v>Completed</v>
      </c>
      <c r="V1261" s="1" t="str">
        <f aca="false">IF(M1261&gt;=10000,"High Value",IF(M1261&gt;=5000,"Medium Value","Low Value"))</f>
        <v>Low Value</v>
      </c>
      <c r="W1261" s="1" t="str">
        <f aca="false">IF(O1261&gt;0,"Profitable",IF(O1261=0,"Break-even","Loss"))</f>
        <v>Profitable</v>
      </c>
      <c r="X1261" s="1" t="str">
        <f aca="false">IF(Q1261="Cancelled","Not Applicable",IF(Q1261="Processing","Pending",IF(B1261="","Unknown",IF(Orders!J1261="","Unknown",IF(Orders!J1261&lt;=3,"Fast",IF(Orders!J1261&lt;=6,"Standard","Slow"))))))</f>
        <v>Slow</v>
      </c>
      <c r="Y1261" s="1" t="n">
        <f aca="false">IF(OR(Q1261="Cancelled",Q1261="Returned"),0,O1261)</f>
        <v>1218.1</v>
      </c>
    </row>
    <row r="1262" customFormat="false" ht="15" hidden="false" customHeight="false" outlineLevel="0" collapsed="false">
      <c r="A1262" s="6" t="str">
        <f aca="false">Orders!A1262</f>
        <v>O001261</v>
      </c>
      <c r="B1262" s="19" t="n">
        <f aca="false">Orders!B1262</f>
        <v>45681</v>
      </c>
      <c r="C1262" s="6" t="str">
        <f aca="false">Orders!C1262</f>
        <v>C0236</v>
      </c>
      <c r="D1262" s="6" t="str">
        <f aca="false">Orders!D1262</f>
        <v>P1005</v>
      </c>
      <c r="E1262" s="6" t="str">
        <f aca="false">INDEX(Products!$B$2:$B$101,MATCH(D1262,Products!$A$2:$A$101,0))</f>
        <v>Power Bank</v>
      </c>
      <c r="F1262" s="1" t="str">
        <f aca="false">INDEX(Products!$C$2:$C$101,MATCH(D1262,Products!$A$2:$A$101,0))</f>
        <v>Electronics</v>
      </c>
      <c r="G1262" s="6" t="n">
        <f aca="false">Orders!E1262</f>
        <v>3</v>
      </c>
      <c r="H1262" s="16" t="n">
        <f aca="false">INDEX(Products!$D$2:$D$101,MATCH(D1262,Products!$A$2:$A$101,0))</f>
        <v>1199</v>
      </c>
      <c r="I1262" s="16" t="n">
        <f aca="false">INDEX(Products!$E$2:$E$101,MATCH(D1262,Products!$A$2:$A$101,0))</f>
        <v>650</v>
      </c>
      <c r="J1262" s="20" t="n">
        <f aca="false">Orders!F1262</f>
        <v>0.2</v>
      </c>
      <c r="K1262" s="6" t="n">
        <f aca="false">G1262*H1262</f>
        <v>3597</v>
      </c>
      <c r="L1262" s="6" t="n">
        <f aca="false">K1262*J1262</f>
        <v>719.4</v>
      </c>
      <c r="M1262" s="6" t="n">
        <f aca="false">K1262-L1262</f>
        <v>2877.6</v>
      </c>
      <c r="N1262" s="6" t="n">
        <f aca="false">G1262*I1262</f>
        <v>1950</v>
      </c>
      <c r="O1262" s="6" t="n">
        <f aca="false">M1262-N1262</f>
        <v>927.6</v>
      </c>
      <c r="P1262" s="21" t="n">
        <f aca="false">IFERROR(O1262/M1262,0)</f>
        <v>0.322351959966639</v>
      </c>
      <c r="Q1262" s="6" t="str">
        <f aca="false">Orders!H1262</f>
        <v>Delivered</v>
      </c>
      <c r="R1262" s="1" t="str">
        <f aca="false">INDEX(Customers!$C$2:$C$301,MATCH(C1262,Customers!$A$2:$A$301,0))</f>
        <v>Chandigarh</v>
      </c>
      <c r="S1262" s="1" t="str">
        <f aca="false">INDEX(Customers!$E$2:$E$301,MATCH(C1262,Customers!$A$2:$A$301,0))</f>
        <v>Returning</v>
      </c>
      <c r="T1262" s="6" t="str">
        <f aca="false">Orders!I1262</f>
        <v>Mobile App</v>
      </c>
      <c r="U1262" s="1" t="str">
        <f aca="false">IF(Q1262="Delivered","Completed",IF(Q1262="Cancelled","Cancelled",IF(Q1262="Returned","Returned","In Progress")))</f>
        <v>Completed</v>
      </c>
      <c r="V1262" s="1" t="str">
        <f aca="false">IF(M1262&gt;=10000,"High Value",IF(M1262&gt;=5000,"Medium Value","Low Value"))</f>
        <v>Low Value</v>
      </c>
      <c r="W1262" s="1" t="str">
        <f aca="false">IF(O1262&gt;0,"Profitable",IF(O1262=0,"Break-even","Loss"))</f>
        <v>Profitable</v>
      </c>
      <c r="X1262" s="1" t="str">
        <f aca="false">IF(Q1262="Cancelled","Not Applicable",IF(Q1262="Processing","Pending",IF(B1262="","Unknown",IF(Orders!J1262="","Unknown",IF(Orders!J1262&lt;=3,"Fast",IF(Orders!J1262&lt;=6,"Standard","Slow"))))))</f>
        <v>Slow</v>
      </c>
      <c r="Y1262" s="1" t="n">
        <f aca="false">IF(OR(Q1262="Cancelled",Q1262="Returned"),0,O1262)</f>
        <v>927.6</v>
      </c>
    </row>
    <row r="1263" customFormat="false" ht="15" hidden="false" customHeight="false" outlineLevel="0" collapsed="false">
      <c r="A1263" s="6" t="str">
        <f aca="false">Orders!A1263</f>
        <v>O001262</v>
      </c>
      <c r="B1263" s="19" t="n">
        <f aca="false">Orders!B1263</f>
        <v>46014</v>
      </c>
      <c r="C1263" s="6" t="str">
        <f aca="false">Orders!C1263</f>
        <v>C0146</v>
      </c>
      <c r="D1263" s="6" t="str">
        <f aca="false">Orders!D1263</f>
        <v>P1003</v>
      </c>
      <c r="E1263" s="6" t="str">
        <f aca="false">INDEX(Products!$B$2:$B$101,MATCH(D1263,Products!$A$2:$A$101,0))</f>
        <v>Smart Watch</v>
      </c>
      <c r="F1263" s="1" t="str">
        <f aca="false">INDEX(Products!$C$2:$C$101,MATCH(D1263,Products!$A$2:$A$101,0))</f>
        <v>Electronics</v>
      </c>
      <c r="G1263" s="6" t="n">
        <f aca="false">Orders!E1263</f>
        <v>2</v>
      </c>
      <c r="H1263" s="16" t="n">
        <f aca="false">INDEX(Products!$D$2:$D$101,MATCH(D1263,Products!$A$2:$A$101,0))</f>
        <v>2499</v>
      </c>
      <c r="I1263" s="16" t="n">
        <f aca="false">INDEX(Products!$E$2:$E$101,MATCH(D1263,Products!$A$2:$A$101,0))</f>
        <v>1450</v>
      </c>
      <c r="J1263" s="20" t="n">
        <f aca="false">Orders!F1263</f>
        <v>0.2</v>
      </c>
      <c r="K1263" s="6" t="n">
        <f aca="false">G1263*H1263</f>
        <v>4998</v>
      </c>
      <c r="L1263" s="6" t="n">
        <f aca="false">K1263*J1263</f>
        <v>999.6</v>
      </c>
      <c r="M1263" s="6" t="n">
        <f aca="false">K1263-L1263</f>
        <v>3998.4</v>
      </c>
      <c r="N1263" s="6" t="n">
        <f aca="false">G1263*I1263</f>
        <v>2900</v>
      </c>
      <c r="O1263" s="6" t="n">
        <f aca="false">M1263-N1263</f>
        <v>1098.4</v>
      </c>
      <c r="P1263" s="21" t="n">
        <f aca="false">IFERROR(O1263/M1263,0)</f>
        <v>0.274709883953581</v>
      </c>
      <c r="Q1263" s="6" t="str">
        <f aca="false">Orders!H1263</f>
        <v>Delivered</v>
      </c>
      <c r="R1263" s="1" t="str">
        <f aca="false">INDEX(Customers!$C$2:$C$301,MATCH(C1263,Customers!$A$2:$A$301,0))</f>
        <v>Kolkata</v>
      </c>
      <c r="S1263" s="1" t="str">
        <f aca="false">INDEX(Customers!$E$2:$E$301,MATCH(C1263,Customers!$A$2:$A$301,0))</f>
        <v>New</v>
      </c>
      <c r="T1263" s="6" t="str">
        <f aca="false">Orders!I1263</f>
        <v>Website</v>
      </c>
      <c r="U1263" s="1" t="str">
        <f aca="false">IF(Q1263="Delivered","Completed",IF(Q1263="Cancelled","Cancelled",IF(Q1263="Returned","Returned","In Progress")))</f>
        <v>Completed</v>
      </c>
      <c r="V1263" s="1" t="str">
        <f aca="false">IF(M1263&gt;=10000,"High Value",IF(M1263&gt;=5000,"Medium Value","Low Value"))</f>
        <v>Low Value</v>
      </c>
      <c r="W1263" s="1" t="str">
        <f aca="false">IF(O1263&gt;0,"Profitable",IF(O1263=0,"Break-even","Loss"))</f>
        <v>Profitable</v>
      </c>
      <c r="X1263" s="1" t="str">
        <f aca="false">IF(Q1263="Cancelled","Not Applicable",IF(Q1263="Processing","Pending",IF(B1263="","Unknown",IF(Orders!J1263="","Unknown",IF(Orders!J1263&lt;=3,"Fast",IF(Orders!J1263&lt;=6,"Standard","Slow"))))))</f>
        <v>Fast</v>
      </c>
      <c r="Y1263" s="1" t="n">
        <f aca="false">IF(OR(Q1263="Cancelled",Q1263="Returned"),0,O1263)</f>
        <v>1098.4</v>
      </c>
    </row>
    <row r="1264" customFormat="false" ht="15" hidden="false" customHeight="false" outlineLevel="0" collapsed="false">
      <c r="A1264" s="6" t="str">
        <f aca="false">Orders!A1264</f>
        <v>O001263</v>
      </c>
      <c r="B1264" s="19" t="n">
        <f aca="false">Orders!B1264</f>
        <v>45731</v>
      </c>
      <c r="C1264" s="6" t="str">
        <f aca="false">Orders!C1264</f>
        <v>C0139</v>
      </c>
      <c r="D1264" s="6" t="str">
        <f aca="false">Orders!D1264</f>
        <v>P1049</v>
      </c>
      <c r="E1264" s="6" t="str">
        <f aca="false">INDEX(Products!$B$2:$B$101,MATCH(D1264,Products!$A$2:$A$101,0))</f>
        <v>Face Cleanser</v>
      </c>
      <c r="F1264" s="1" t="str">
        <f aca="false">INDEX(Products!$C$2:$C$101,MATCH(D1264,Products!$A$2:$A$101,0))</f>
        <v>Beauty</v>
      </c>
      <c r="G1264" s="6" t="n">
        <f aca="false">Orders!E1264</f>
        <v>1</v>
      </c>
      <c r="H1264" s="16" t="n">
        <f aca="false">INDEX(Products!$D$2:$D$101,MATCH(D1264,Products!$A$2:$A$101,0))</f>
        <v>299</v>
      </c>
      <c r="I1264" s="16" t="n">
        <f aca="false">INDEX(Products!$E$2:$E$101,MATCH(D1264,Products!$A$2:$A$101,0))</f>
        <v>120</v>
      </c>
      <c r="J1264" s="20" t="n">
        <f aca="false">Orders!F1264</f>
        <v>0</v>
      </c>
      <c r="K1264" s="6" t="n">
        <f aca="false">G1264*H1264</f>
        <v>299</v>
      </c>
      <c r="L1264" s="6" t="n">
        <f aca="false">K1264*J1264</f>
        <v>0</v>
      </c>
      <c r="M1264" s="6" t="n">
        <f aca="false">K1264-L1264</f>
        <v>299</v>
      </c>
      <c r="N1264" s="6" t="n">
        <f aca="false">G1264*I1264</f>
        <v>120</v>
      </c>
      <c r="O1264" s="6" t="n">
        <f aca="false">M1264-N1264</f>
        <v>179</v>
      </c>
      <c r="P1264" s="21" t="n">
        <f aca="false">IFERROR(O1264/M1264,0)</f>
        <v>0.59866220735786</v>
      </c>
      <c r="Q1264" s="6" t="str">
        <f aca="false">Orders!H1264</f>
        <v>Delivered</v>
      </c>
      <c r="R1264" s="1" t="str">
        <f aca="false">INDEX(Customers!$C$2:$C$301,MATCH(C1264,Customers!$A$2:$A$301,0))</f>
        <v>Coimbatore</v>
      </c>
      <c r="S1264" s="1" t="str">
        <f aca="false">INDEX(Customers!$E$2:$E$301,MATCH(C1264,Customers!$A$2:$A$301,0))</f>
        <v>Returning</v>
      </c>
      <c r="T1264" s="6" t="str">
        <f aca="false">Orders!I1264</f>
        <v>Marketplace</v>
      </c>
      <c r="U1264" s="1" t="str">
        <f aca="false">IF(Q1264="Delivered","Completed",IF(Q1264="Cancelled","Cancelled",IF(Q1264="Returned","Returned","In Progress")))</f>
        <v>Completed</v>
      </c>
      <c r="V1264" s="1" t="str">
        <f aca="false">IF(M1264&gt;=10000,"High Value",IF(M1264&gt;=5000,"Medium Value","Low Value"))</f>
        <v>Low Value</v>
      </c>
      <c r="W1264" s="1" t="str">
        <f aca="false">IF(O1264&gt;0,"Profitable",IF(O1264=0,"Break-even","Loss"))</f>
        <v>Profitable</v>
      </c>
      <c r="X1264" s="1" t="str">
        <f aca="false">IF(Q1264="Cancelled","Not Applicable",IF(Q1264="Processing","Pending",IF(B1264="","Unknown",IF(Orders!J1264="","Unknown",IF(Orders!J1264&lt;=3,"Fast",IF(Orders!J1264&lt;=6,"Standard","Slow"))))))</f>
        <v>Slow</v>
      </c>
      <c r="Y1264" s="1" t="n">
        <f aca="false">IF(OR(Q1264="Cancelled",Q1264="Returned"),0,O1264)</f>
        <v>179</v>
      </c>
    </row>
    <row r="1265" customFormat="false" ht="15" hidden="false" customHeight="false" outlineLevel="0" collapsed="false">
      <c r="A1265" s="6" t="str">
        <f aca="false">Orders!A1265</f>
        <v>O001264</v>
      </c>
      <c r="B1265" s="19" t="n">
        <f aca="false">Orders!B1265</f>
        <v>45908</v>
      </c>
      <c r="C1265" s="6" t="str">
        <f aca="false">Orders!C1265</f>
        <v>C0268</v>
      </c>
      <c r="D1265" s="6" t="str">
        <f aca="false">Orders!D1265</f>
        <v>P1098</v>
      </c>
      <c r="E1265" s="6" t="str">
        <f aca="false">INDEX(Products!$B$2:$B$101,MATCH(D1265,Products!$A$2:$A$101,0))</f>
        <v>Steam Iron</v>
      </c>
      <c r="F1265" s="1" t="str">
        <f aca="false">INDEX(Products!$C$2:$C$101,MATCH(D1265,Products!$A$2:$A$101,0))</f>
        <v>Appliances</v>
      </c>
      <c r="G1265" s="6" t="n">
        <f aca="false">Orders!E1265</f>
        <v>2</v>
      </c>
      <c r="H1265" s="16" t="n">
        <f aca="false">INDEX(Products!$D$2:$D$101,MATCH(D1265,Products!$A$2:$A$101,0))</f>
        <v>999</v>
      </c>
      <c r="I1265" s="16" t="n">
        <f aca="false">INDEX(Products!$E$2:$E$101,MATCH(D1265,Products!$A$2:$A$101,0))</f>
        <v>550</v>
      </c>
      <c r="J1265" s="20" t="n">
        <f aca="false">Orders!F1265</f>
        <v>0</v>
      </c>
      <c r="K1265" s="6" t="n">
        <f aca="false">G1265*H1265</f>
        <v>1998</v>
      </c>
      <c r="L1265" s="6" t="n">
        <f aca="false">K1265*J1265</f>
        <v>0</v>
      </c>
      <c r="M1265" s="6" t="n">
        <f aca="false">K1265-L1265</f>
        <v>1998</v>
      </c>
      <c r="N1265" s="6" t="n">
        <f aca="false">G1265*I1265</f>
        <v>1100</v>
      </c>
      <c r="O1265" s="6" t="n">
        <f aca="false">M1265-N1265</f>
        <v>898</v>
      </c>
      <c r="P1265" s="21" t="n">
        <f aca="false">IFERROR(O1265/M1265,0)</f>
        <v>0.449449449449449</v>
      </c>
      <c r="Q1265" s="6" t="str">
        <f aca="false">Orders!H1265</f>
        <v>Delivered</v>
      </c>
      <c r="R1265" s="1" t="str">
        <f aca="false">INDEX(Customers!$C$2:$C$301,MATCH(C1265,Customers!$A$2:$A$301,0))</f>
        <v>Jaipur</v>
      </c>
      <c r="S1265" s="1" t="str">
        <f aca="false">INDEX(Customers!$E$2:$E$301,MATCH(C1265,Customers!$A$2:$A$301,0))</f>
        <v>New</v>
      </c>
      <c r="T1265" s="6" t="str">
        <f aca="false">Orders!I1265</f>
        <v>Mobile App</v>
      </c>
      <c r="U1265" s="1" t="str">
        <f aca="false">IF(Q1265="Delivered","Completed",IF(Q1265="Cancelled","Cancelled",IF(Q1265="Returned","Returned","In Progress")))</f>
        <v>Completed</v>
      </c>
      <c r="V1265" s="1" t="str">
        <f aca="false">IF(M1265&gt;=10000,"High Value",IF(M1265&gt;=5000,"Medium Value","Low Value"))</f>
        <v>Low Value</v>
      </c>
      <c r="W1265" s="1" t="str">
        <f aca="false">IF(O1265&gt;0,"Profitable",IF(O1265=0,"Break-even","Loss"))</f>
        <v>Profitable</v>
      </c>
      <c r="X1265" s="1" t="str">
        <f aca="false">IF(Q1265="Cancelled","Not Applicable",IF(Q1265="Processing","Pending",IF(B1265="","Unknown",IF(Orders!J1265="","Unknown",IF(Orders!J1265&lt;=3,"Fast",IF(Orders!J1265&lt;=6,"Standard","Slow"))))))</f>
        <v>Fast</v>
      </c>
      <c r="Y1265" s="1" t="n">
        <f aca="false">IF(OR(Q1265="Cancelled",Q1265="Returned"),0,O1265)</f>
        <v>898</v>
      </c>
    </row>
    <row r="1266" customFormat="false" ht="15" hidden="false" customHeight="false" outlineLevel="0" collapsed="false">
      <c r="A1266" s="6" t="str">
        <f aca="false">Orders!A1266</f>
        <v>O001265</v>
      </c>
      <c r="B1266" s="19" t="n">
        <f aca="false">Orders!B1266</f>
        <v>45813</v>
      </c>
      <c r="C1266" s="6" t="str">
        <f aca="false">Orders!C1266</f>
        <v>C0071</v>
      </c>
      <c r="D1266" s="6" t="str">
        <f aca="false">Orders!D1266</f>
        <v>P1050</v>
      </c>
      <c r="E1266" s="6" t="str">
        <f aca="false">INDEX(Products!$B$2:$B$101,MATCH(D1266,Products!$A$2:$A$101,0))</f>
        <v>Hair Serum</v>
      </c>
      <c r="F1266" s="1" t="str">
        <f aca="false">INDEX(Products!$C$2:$C$101,MATCH(D1266,Products!$A$2:$A$101,0))</f>
        <v>Beauty</v>
      </c>
      <c r="G1266" s="6" t="n">
        <f aca="false">Orders!E1266</f>
        <v>3</v>
      </c>
      <c r="H1266" s="16" t="n">
        <f aca="false">INDEX(Products!$D$2:$D$101,MATCH(D1266,Products!$A$2:$A$101,0))</f>
        <v>449</v>
      </c>
      <c r="I1266" s="16" t="n">
        <f aca="false">INDEX(Products!$E$2:$E$101,MATCH(D1266,Products!$A$2:$A$101,0))</f>
        <v>190</v>
      </c>
      <c r="J1266" s="20" t="n">
        <f aca="false">Orders!F1266</f>
        <v>0</v>
      </c>
      <c r="K1266" s="6" t="n">
        <f aca="false">G1266*H1266</f>
        <v>1347</v>
      </c>
      <c r="L1266" s="6" t="n">
        <f aca="false">K1266*J1266</f>
        <v>0</v>
      </c>
      <c r="M1266" s="6" t="n">
        <f aca="false">K1266-L1266</f>
        <v>1347</v>
      </c>
      <c r="N1266" s="6" t="n">
        <f aca="false">G1266*I1266</f>
        <v>570</v>
      </c>
      <c r="O1266" s="6" t="n">
        <f aca="false">M1266-N1266</f>
        <v>777</v>
      </c>
      <c r="P1266" s="21" t="n">
        <f aca="false">IFERROR(O1266/M1266,0)</f>
        <v>0.576837416481069</v>
      </c>
      <c r="Q1266" s="6" t="str">
        <f aca="false">Orders!H1266</f>
        <v>Delivered</v>
      </c>
      <c r="R1266" s="1" t="str">
        <f aca="false">INDEX(Customers!$C$2:$C$301,MATCH(C1266,Customers!$A$2:$A$301,0))</f>
        <v>Gurugram</v>
      </c>
      <c r="S1266" s="1" t="str">
        <f aca="false">INDEX(Customers!$E$2:$E$301,MATCH(C1266,Customers!$A$2:$A$301,0))</f>
        <v>VIP</v>
      </c>
      <c r="T1266" s="6" t="str">
        <f aca="false">Orders!I1266</f>
        <v>Marketplace</v>
      </c>
      <c r="U1266" s="1" t="str">
        <f aca="false">IF(Q1266="Delivered","Completed",IF(Q1266="Cancelled","Cancelled",IF(Q1266="Returned","Returned","In Progress")))</f>
        <v>Completed</v>
      </c>
      <c r="V1266" s="1" t="str">
        <f aca="false">IF(M1266&gt;=10000,"High Value",IF(M1266&gt;=5000,"Medium Value","Low Value"))</f>
        <v>Low Value</v>
      </c>
      <c r="W1266" s="1" t="str">
        <f aca="false">IF(O1266&gt;0,"Profitable",IF(O1266=0,"Break-even","Loss"))</f>
        <v>Profitable</v>
      </c>
      <c r="X1266" s="1" t="str">
        <f aca="false">IF(Q1266="Cancelled","Not Applicable",IF(Q1266="Processing","Pending",IF(B1266="","Unknown",IF(Orders!J1266="","Unknown",IF(Orders!J1266&lt;=3,"Fast",IF(Orders!J1266&lt;=6,"Standard","Slow"))))))</f>
        <v>Standard</v>
      </c>
      <c r="Y1266" s="1" t="n">
        <f aca="false">IF(OR(Q1266="Cancelled",Q1266="Returned"),0,O1266)</f>
        <v>777</v>
      </c>
    </row>
    <row r="1267" customFormat="false" ht="15" hidden="false" customHeight="false" outlineLevel="0" collapsed="false">
      <c r="A1267" s="6" t="str">
        <f aca="false">Orders!A1267</f>
        <v>O001266</v>
      </c>
      <c r="B1267" s="19" t="n">
        <f aca="false">Orders!B1267</f>
        <v>45781</v>
      </c>
      <c r="C1267" s="6" t="str">
        <f aca="false">Orders!C1267</f>
        <v>C0299</v>
      </c>
      <c r="D1267" s="6" t="str">
        <f aca="false">Orders!D1267</f>
        <v>P1088</v>
      </c>
      <c r="E1267" s="6" t="str">
        <f aca="false">INDEX(Products!$B$2:$B$101,MATCH(D1267,Products!$A$2:$A$101,0))</f>
        <v>Electric Kettle</v>
      </c>
      <c r="F1267" s="1" t="str">
        <f aca="false">INDEX(Products!$C$2:$C$101,MATCH(D1267,Products!$A$2:$A$101,0))</f>
        <v>Appliances</v>
      </c>
      <c r="G1267" s="6" t="n">
        <f aca="false">Orders!E1267</f>
        <v>2</v>
      </c>
      <c r="H1267" s="16" t="n">
        <f aca="false">INDEX(Products!$D$2:$D$101,MATCH(D1267,Products!$A$2:$A$101,0))</f>
        <v>1299</v>
      </c>
      <c r="I1267" s="16" t="n">
        <f aca="false">INDEX(Products!$E$2:$E$101,MATCH(D1267,Products!$A$2:$A$101,0))</f>
        <v>750</v>
      </c>
      <c r="J1267" s="20" t="n">
        <f aca="false">Orders!F1267</f>
        <v>0.1</v>
      </c>
      <c r="K1267" s="6" t="n">
        <f aca="false">G1267*H1267</f>
        <v>2598</v>
      </c>
      <c r="L1267" s="6" t="n">
        <f aca="false">K1267*J1267</f>
        <v>259.8</v>
      </c>
      <c r="M1267" s="6" t="n">
        <f aca="false">K1267-L1267</f>
        <v>2338.2</v>
      </c>
      <c r="N1267" s="6" t="n">
        <f aca="false">G1267*I1267</f>
        <v>1500</v>
      </c>
      <c r="O1267" s="6" t="n">
        <f aca="false">M1267-N1267</f>
        <v>838.2</v>
      </c>
      <c r="P1267" s="21" t="n">
        <f aca="false">IFERROR(O1267/M1267,0)</f>
        <v>0.358480882730305</v>
      </c>
      <c r="Q1267" s="6" t="str">
        <f aca="false">Orders!H1267</f>
        <v>Delivered</v>
      </c>
      <c r="R1267" s="1" t="str">
        <f aca="false">INDEX(Customers!$C$2:$C$301,MATCH(C1267,Customers!$A$2:$A$301,0))</f>
        <v>Coimbatore</v>
      </c>
      <c r="S1267" s="1" t="str">
        <f aca="false">INDEX(Customers!$E$2:$E$301,MATCH(C1267,Customers!$A$2:$A$301,0))</f>
        <v>Returning</v>
      </c>
      <c r="T1267" s="6" t="str">
        <f aca="false">Orders!I1267</f>
        <v>Mobile App</v>
      </c>
      <c r="U1267" s="1" t="str">
        <f aca="false">IF(Q1267="Delivered","Completed",IF(Q1267="Cancelled","Cancelled",IF(Q1267="Returned","Returned","In Progress")))</f>
        <v>Completed</v>
      </c>
      <c r="V1267" s="1" t="str">
        <f aca="false">IF(M1267&gt;=10000,"High Value",IF(M1267&gt;=5000,"Medium Value","Low Value"))</f>
        <v>Low Value</v>
      </c>
      <c r="W1267" s="1" t="str">
        <f aca="false">IF(O1267&gt;0,"Profitable",IF(O1267=0,"Break-even","Loss"))</f>
        <v>Profitable</v>
      </c>
      <c r="X1267" s="1" t="str">
        <f aca="false">IF(Q1267="Cancelled","Not Applicable",IF(Q1267="Processing","Pending",IF(B1267="","Unknown",IF(Orders!J1267="","Unknown",IF(Orders!J1267&lt;=3,"Fast",IF(Orders!J1267&lt;=6,"Standard","Slow"))))))</f>
        <v>Standard</v>
      </c>
      <c r="Y1267" s="1" t="n">
        <f aca="false">IF(OR(Q1267="Cancelled",Q1267="Returned"),0,O1267)</f>
        <v>838.2</v>
      </c>
    </row>
    <row r="1268" customFormat="false" ht="15" hidden="false" customHeight="false" outlineLevel="0" collapsed="false">
      <c r="A1268" s="6" t="str">
        <f aca="false">Orders!A1268</f>
        <v>O001267</v>
      </c>
      <c r="B1268" s="19" t="n">
        <f aca="false">Orders!B1268</f>
        <v>45729</v>
      </c>
      <c r="C1268" s="6" t="str">
        <f aca="false">Orders!C1268</f>
        <v>C0067</v>
      </c>
      <c r="D1268" s="6" t="str">
        <f aca="false">Orders!D1268</f>
        <v>P1020</v>
      </c>
      <c r="E1268" s="6" t="str">
        <f aca="false">INDEX(Products!$B$2:$B$101,MATCH(D1268,Products!$A$2:$A$101,0))</f>
        <v>Backpack</v>
      </c>
      <c r="F1268" s="1" t="str">
        <f aca="false">INDEX(Products!$C$2:$C$101,MATCH(D1268,Products!$A$2:$A$101,0))</f>
        <v>Fashion</v>
      </c>
      <c r="G1268" s="6" t="n">
        <f aca="false">Orders!E1268</f>
        <v>2</v>
      </c>
      <c r="H1268" s="16" t="n">
        <f aca="false">INDEX(Products!$D$2:$D$101,MATCH(D1268,Products!$A$2:$A$101,0))</f>
        <v>1199</v>
      </c>
      <c r="I1268" s="16" t="n">
        <f aca="false">INDEX(Products!$E$2:$E$101,MATCH(D1268,Products!$A$2:$A$101,0))</f>
        <v>600</v>
      </c>
      <c r="J1268" s="20" t="n">
        <f aca="false">Orders!F1268</f>
        <v>0.2</v>
      </c>
      <c r="K1268" s="6" t="n">
        <f aca="false">G1268*H1268</f>
        <v>2398</v>
      </c>
      <c r="L1268" s="6" t="n">
        <f aca="false">K1268*J1268</f>
        <v>479.6</v>
      </c>
      <c r="M1268" s="6" t="n">
        <f aca="false">K1268-L1268</f>
        <v>1918.4</v>
      </c>
      <c r="N1268" s="6" t="n">
        <f aca="false">G1268*I1268</f>
        <v>1200</v>
      </c>
      <c r="O1268" s="6" t="n">
        <f aca="false">M1268-N1268</f>
        <v>718.4</v>
      </c>
      <c r="P1268" s="21" t="n">
        <f aca="false">IFERROR(O1268/M1268,0)</f>
        <v>0.374478732276897</v>
      </c>
      <c r="Q1268" s="6" t="str">
        <f aca="false">Orders!H1268</f>
        <v>Delivered</v>
      </c>
      <c r="R1268" s="1" t="str">
        <f aca="false">INDEX(Customers!$C$2:$C$301,MATCH(C1268,Customers!$A$2:$A$301,0))</f>
        <v>Pune</v>
      </c>
      <c r="S1268" s="1" t="str">
        <f aca="false">INDEX(Customers!$E$2:$E$301,MATCH(C1268,Customers!$A$2:$A$301,0))</f>
        <v>VIP</v>
      </c>
      <c r="T1268" s="6" t="str">
        <f aca="false">Orders!I1268</f>
        <v>Marketplace</v>
      </c>
      <c r="U1268" s="1" t="str">
        <f aca="false">IF(Q1268="Delivered","Completed",IF(Q1268="Cancelled","Cancelled",IF(Q1268="Returned","Returned","In Progress")))</f>
        <v>Completed</v>
      </c>
      <c r="V1268" s="1" t="str">
        <f aca="false">IF(M1268&gt;=10000,"High Value",IF(M1268&gt;=5000,"Medium Value","Low Value"))</f>
        <v>Low Value</v>
      </c>
      <c r="W1268" s="1" t="str">
        <f aca="false">IF(O1268&gt;0,"Profitable",IF(O1268=0,"Break-even","Loss"))</f>
        <v>Profitable</v>
      </c>
      <c r="X1268" s="1" t="str">
        <f aca="false">IF(Q1268="Cancelled","Not Applicable",IF(Q1268="Processing","Pending",IF(B1268="","Unknown",IF(Orders!J1268="","Unknown",IF(Orders!J1268&lt;=3,"Fast",IF(Orders!J1268&lt;=6,"Standard","Slow"))))))</f>
        <v>Slow</v>
      </c>
      <c r="Y1268" s="1" t="n">
        <f aca="false">IF(OR(Q1268="Cancelled",Q1268="Returned"),0,O1268)</f>
        <v>718.4</v>
      </c>
    </row>
    <row r="1269" customFormat="false" ht="15" hidden="false" customHeight="false" outlineLevel="0" collapsed="false">
      <c r="A1269" s="6" t="str">
        <f aca="false">Orders!A1269</f>
        <v>O001268</v>
      </c>
      <c r="B1269" s="19" t="n">
        <f aca="false">Orders!B1269</f>
        <v>45953</v>
      </c>
      <c r="C1269" s="6" t="str">
        <f aca="false">Orders!C1269</f>
        <v>C0298</v>
      </c>
      <c r="D1269" s="6" t="str">
        <f aca="false">Orders!D1269</f>
        <v>P1062</v>
      </c>
      <c r="E1269" s="6" t="str">
        <f aca="false">INDEX(Products!$B$2:$B$101,MATCH(D1269,Products!$A$2:$A$101,0))</f>
        <v>Skipping Rope</v>
      </c>
      <c r="F1269" s="1" t="str">
        <f aca="false">INDEX(Products!$C$2:$C$101,MATCH(D1269,Products!$A$2:$A$101,0))</f>
        <v>Sports &amp; Outdoors</v>
      </c>
      <c r="G1269" s="6" t="n">
        <f aca="false">Orders!E1269</f>
        <v>1</v>
      </c>
      <c r="H1269" s="16" t="n">
        <f aca="false">INDEX(Products!$D$2:$D$101,MATCH(D1269,Products!$A$2:$A$101,0))</f>
        <v>249</v>
      </c>
      <c r="I1269" s="16" t="n">
        <f aca="false">INDEX(Products!$E$2:$E$101,MATCH(D1269,Products!$A$2:$A$101,0))</f>
        <v>80</v>
      </c>
      <c r="J1269" s="20" t="n">
        <f aca="false">Orders!F1269</f>
        <v>0</v>
      </c>
      <c r="K1269" s="6" t="n">
        <f aca="false">G1269*H1269</f>
        <v>249</v>
      </c>
      <c r="L1269" s="6" t="n">
        <f aca="false">K1269*J1269</f>
        <v>0</v>
      </c>
      <c r="M1269" s="6" t="n">
        <f aca="false">K1269-L1269</f>
        <v>249</v>
      </c>
      <c r="N1269" s="6" t="n">
        <f aca="false">G1269*I1269</f>
        <v>80</v>
      </c>
      <c r="O1269" s="6" t="n">
        <f aca="false">M1269-N1269</f>
        <v>169</v>
      </c>
      <c r="P1269" s="21" t="n">
        <f aca="false">IFERROR(O1269/M1269,0)</f>
        <v>0.678714859437751</v>
      </c>
      <c r="Q1269" s="6" t="str">
        <f aca="false">Orders!H1269</f>
        <v>Delivered</v>
      </c>
      <c r="R1269" s="1" t="str">
        <f aca="false">INDEX(Customers!$C$2:$C$301,MATCH(C1269,Customers!$A$2:$A$301,0))</f>
        <v>Nagpur</v>
      </c>
      <c r="S1269" s="1" t="str">
        <f aca="false">INDEX(Customers!$E$2:$E$301,MATCH(C1269,Customers!$A$2:$A$301,0))</f>
        <v>Returning</v>
      </c>
      <c r="T1269" s="6" t="str">
        <f aca="false">Orders!I1269</f>
        <v>Mobile App</v>
      </c>
      <c r="U1269" s="1" t="str">
        <f aca="false">IF(Q1269="Delivered","Completed",IF(Q1269="Cancelled","Cancelled",IF(Q1269="Returned","Returned","In Progress")))</f>
        <v>Completed</v>
      </c>
      <c r="V1269" s="1" t="str">
        <f aca="false">IF(M1269&gt;=10000,"High Value",IF(M1269&gt;=5000,"Medium Value","Low Value"))</f>
        <v>Low Value</v>
      </c>
      <c r="W1269" s="1" t="str">
        <f aca="false">IF(O1269&gt;0,"Profitable",IF(O1269=0,"Break-even","Loss"))</f>
        <v>Profitable</v>
      </c>
      <c r="X1269" s="1" t="str">
        <f aca="false">IF(Q1269="Cancelled","Not Applicable",IF(Q1269="Processing","Pending",IF(B1269="","Unknown",IF(Orders!J1269="","Unknown",IF(Orders!J1269&lt;=3,"Fast",IF(Orders!J1269&lt;=6,"Standard","Slow"))))))</f>
        <v>Standard</v>
      </c>
      <c r="Y1269" s="1" t="n">
        <f aca="false">IF(OR(Q1269="Cancelled",Q1269="Returned"),0,O1269)</f>
        <v>169</v>
      </c>
    </row>
    <row r="1270" customFormat="false" ht="15" hidden="false" customHeight="false" outlineLevel="0" collapsed="false">
      <c r="A1270" s="6" t="str">
        <f aca="false">Orders!A1270</f>
        <v>O001269</v>
      </c>
      <c r="B1270" s="19" t="n">
        <f aca="false">Orders!B1270</f>
        <v>45957</v>
      </c>
      <c r="C1270" s="6" t="str">
        <f aca="false">Orders!C1270</f>
        <v>C0122</v>
      </c>
      <c r="D1270" s="6" t="str">
        <f aca="false">Orders!D1270</f>
        <v>P1059</v>
      </c>
      <c r="E1270" s="6" t="str">
        <f aca="false">INDEX(Products!$B$2:$B$101,MATCH(D1270,Products!$A$2:$A$101,0))</f>
        <v>Bath Gift Set</v>
      </c>
      <c r="F1270" s="1" t="str">
        <f aca="false">INDEX(Products!$C$2:$C$101,MATCH(D1270,Products!$A$2:$A$101,0))</f>
        <v>Beauty</v>
      </c>
      <c r="G1270" s="6" t="n">
        <f aca="false">Orders!E1270</f>
        <v>1</v>
      </c>
      <c r="H1270" s="16" t="n">
        <f aca="false">INDEX(Products!$D$2:$D$101,MATCH(D1270,Products!$A$2:$A$101,0))</f>
        <v>699</v>
      </c>
      <c r="I1270" s="16" t="n">
        <f aca="false">INDEX(Products!$E$2:$E$101,MATCH(D1270,Products!$A$2:$A$101,0))</f>
        <v>350</v>
      </c>
      <c r="J1270" s="20" t="n">
        <f aca="false">Orders!F1270</f>
        <v>0.15</v>
      </c>
      <c r="K1270" s="6" t="n">
        <f aca="false">G1270*H1270</f>
        <v>699</v>
      </c>
      <c r="L1270" s="6" t="n">
        <f aca="false">K1270*J1270</f>
        <v>104.85</v>
      </c>
      <c r="M1270" s="6" t="n">
        <f aca="false">K1270-L1270</f>
        <v>594.15</v>
      </c>
      <c r="N1270" s="6" t="n">
        <f aca="false">G1270*I1270</f>
        <v>350</v>
      </c>
      <c r="O1270" s="6" t="n">
        <f aca="false">M1270-N1270</f>
        <v>244.15</v>
      </c>
      <c r="P1270" s="21" t="n">
        <f aca="false">IFERROR(O1270/M1270,0)</f>
        <v>0.410923167550282</v>
      </c>
      <c r="Q1270" s="6" t="str">
        <f aca="false">Orders!H1270</f>
        <v>Delivered</v>
      </c>
      <c r="R1270" s="1" t="str">
        <f aca="false">INDEX(Customers!$C$2:$C$301,MATCH(C1270,Customers!$A$2:$A$301,0))</f>
        <v>Mumbai</v>
      </c>
      <c r="S1270" s="1" t="str">
        <f aca="false">INDEX(Customers!$E$2:$E$301,MATCH(C1270,Customers!$A$2:$A$301,0))</f>
        <v>New</v>
      </c>
      <c r="T1270" s="6" t="str">
        <f aca="false">Orders!I1270</f>
        <v>Mobile App</v>
      </c>
      <c r="U1270" s="1" t="str">
        <f aca="false">IF(Q1270="Delivered","Completed",IF(Q1270="Cancelled","Cancelled",IF(Q1270="Returned","Returned","In Progress")))</f>
        <v>Completed</v>
      </c>
      <c r="V1270" s="1" t="str">
        <f aca="false">IF(M1270&gt;=10000,"High Value",IF(M1270&gt;=5000,"Medium Value","Low Value"))</f>
        <v>Low Value</v>
      </c>
      <c r="W1270" s="1" t="str">
        <f aca="false">IF(O1270&gt;0,"Profitable",IF(O1270=0,"Break-even","Loss"))</f>
        <v>Profitable</v>
      </c>
      <c r="X1270" s="1" t="str">
        <f aca="false">IF(Q1270="Cancelled","Not Applicable",IF(Q1270="Processing","Pending",IF(B1270="","Unknown",IF(Orders!J1270="","Unknown",IF(Orders!J1270&lt;=3,"Fast",IF(Orders!J1270&lt;=6,"Standard","Slow"))))))</f>
        <v>Fast</v>
      </c>
      <c r="Y1270" s="1" t="n">
        <f aca="false">IF(OR(Q1270="Cancelled",Q1270="Returned"),0,O1270)</f>
        <v>244.15</v>
      </c>
    </row>
    <row r="1271" customFormat="false" ht="15" hidden="false" customHeight="false" outlineLevel="0" collapsed="false">
      <c r="A1271" s="6" t="str">
        <f aca="false">Orders!A1271</f>
        <v>O001270</v>
      </c>
      <c r="B1271" s="19" t="n">
        <f aca="false">Orders!B1271</f>
        <v>45768</v>
      </c>
      <c r="C1271" s="6" t="str">
        <f aca="false">Orders!C1271</f>
        <v>C0014</v>
      </c>
      <c r="D1271" s="6" t="str">
        <f aca="false">Orders!D1271</f>
        <v>P1009</v>
      </c>
      <c r="E1271" s="6" t="str">
        <f aca="false">INDEX(Products!$B$2:$B$101,MATCH(D1271,Products!$A$2:$A$101,0))</f>
        <v>Laptop Sleeve</v>
      </c>
      <c r="F1271" s="1" t="str">
        <f aca="false">INDEX(Products!$C$2:$C$101,MATCH(D1271,Products!$A$2:$A$101,0))</f>
        <v>Electronics</v>
      </c>
      <c r="G1271" s="6" t="n">
        <f aca="false">Orders!E1271</f>
        <v>4</v>
      </c>
      <c r="H1271" s="16" t="n">
        <f aca="false">INDEX(Products!$D$2:$D$101,MATCH(D1271,Products!$A$2:$A$101,0))</f>
        <v>799</v>
      </c>
      <c r="I1271" s="16" t="n">
        <f aca="false">INDEX(Products!$E$2:$E$101,MATCH(D1271,Products!$A$2:$A$101,0))</f>
        <v>350</v>
      </c>
      <c r="J1271" s="20" t="n">
        <f aca="false">Orders!F1271</f>
        <v>0.1</v>
      </c>
      <c r="K1271" s="6" t="n">
        <f aca="false">G1271*H1271</f>
        <v>3196</v>
      </c>
      <c r="L1271" s="6" t="n">
        <f aca="false">K1271*J1271</f>
        <v>319.6</v>
      </c>
      <c r="M1271" s="6" t="n">
        <f aca="false">K1271-L1271</f>
        <v>2876.4</v>
      </c>
      <c r="N1271" s="6" t="n">
        <f aca="false">G1271*I1271</f>
        <v>1400</v>
      </c>
      <c r="O1271" s="6" t="n">
        <f aca="false">M1271-N1271</f>
        <v>1476.4</v>
      </c>
      <c r="P1271" s="21" t="n">
        <f aca="false">IFERROR(O1271/M1271,0)</f>
        <v>0.513280489500765</v>
      </c>
      <c r="Q1271" s="6" t="str">
        <f aca="false">Orders!H1271</f>
        <v>Cancelled</v>
      </c>
      <c r="R1271" s="1" t="str">
        <f aca="false">INDEX(Customers!$C$2:$C$301,MATCH(C1271,Customers!$A$2:$A$301,0))</f>
        <v>Indore</v>
      </c>
      <c r="S1271" s="1" t="str">
        <f aca="false">INDEX(Customers!$E$2:$E$301,MATCH(C1271,Customers!$A$2:$A$301,0))</f>
        <v>Returning</v>
      </c>
      <c r="T1271" s="6" t="str">
        <f aca="false">Orders!I1271</f>
        <v>Mobile App</v>
      </c>
      <c r="U1271" s="1" t="str">
        <f aca="false">IF(Q1271="Delivered","Completed",IF(Q1271="Cancelled","Cancelled",IF(Q1271="Returned","Returned","In Progress")))</f>
        <v>Cancelled</v>
      </c>
      <c r="V1271" s="1" t="str">
        <f aca="false">IF(M1271&gt;=10000,"High Value",IF(M1271&gt;=5000,"Medium Value","Low Value"))</f>
        <v>Low Value</v>
      </c>
      <c r="W1271" s="1" t="str">
        <f aca="false">IF(O1271&gt;0,"Profitable",IF(O1271=0,"Break-even","Loss"))</f>
        <v>Profitable</v>
      </c>
      <c r="X1271" s="1" t="str">
        <f aca="false">IF(Q1271="Cancelled","Not Applicable",IF(Q1271="Processing","Pending",IF(B1271="","Unknown",IF(Orders!J1271="","Unknown",IF(Orders!J1271&lt;=3,"Fast",IF(Orders!J1271&lt;=6,"Standard","Slow"))))))</f>
        <v>Not Applicable</v>
      </c>
      <c r="Y1271" s="1" t="n">
        <f aca="false">IF(OR(Q1271="Cancelled",Q1271="Returned"),0,O1271)</f>
        <v>0</v>
      </c>
    </row>
    <row r="1272" customFormat="false" ht="15" hidden="false" customHeight="false" outlineLevel="0" collapsed="false">
      <c r="A1272" s="6" t="str">
        <f aca="false">Orders!A1272</f>
        <v>O001271</v>
      </c>
      <c r="B1272" s="19" t="n">
        <f aca="false">Orders!B1272</f>
        <v>46005</v>
      </c>
      <c r="C1272" s="6" t="str">
        <f aca="false">Orders!C1272</f>
        <v>C0276</v>
      </c>
      <c r="D1272" s="6" t="str">
        <f aca="false">Orders!D1272</f>
        <v>P1044</v>
      </c>
      <c r="E1272" s="6" t="str">
        <f aca="false">INDEX(Products!$B$2:$B$101,MATCH(D1272,Products!$A$2:$A$101,0))</f>
        <v>Doormat</v>
      </c>
      <c r="F1272" s="1" t="str">
        <f aca="false">INDEX(Products!$C$2:$C$101,MATCH(D1272,Products!$A$2:$A$101,0))</f>
        <v>Home &amp; Kitchen</v>
      </c>
      <c r="G1272" s="6" t="n">
        <f aca="false">Orders!E1272</f>
        <v>1</v>
      </c>
      <c r="H1272" s="16" t="n">
        <f aca="false">INDEX(Products!$D$2:$D$101,MATCH(D1272,Products!$A$2:$A$101,0))</f>
        <v>299</v>
      </c>
      <c r="I1272" s="16" t="n">
        <f aca="false">INDEX(Products!$E$2:$E$101,MATCH(D1272,Products!$A$2:$A$101,0))</f>
        <v>100</v>
      </c>
      <c r="J1272" s="20" t="n">
        <f aca="false">Orders!F1272</f>
        <v>0</v>
      </c>
      <c r="K1272" s="6" t="n">
        <f aca="false">G1272*H1272</f>
        <v>299</v>
      </c>
      <c r="L1272" s="6" t="n">
        <f aca="false">K1272*J1272</f>
        <v>0</v>
      </c>
      <c r="M1272" s="6" t="n">
        <f aca="false">K1272-L1272</f>
        <v>299</v>
      </c>
      <c r="N1272" s="6" t="n">
        <f aca="false">G1272*I1272</f>
        <v>100</v>
      </c>
      <c r="O1272" s="6" t="n">
        <f aca="false">M1272-N1272</f>
        <v>199</v>
      </c>
      <c r="P1272" s="21" t="n">
        <f aca="false">IFERROR(O1272/M1272,0)</f>
        <v>0.665551839464883</v>
      </c>
      <c r="Q1272" s="6" t="str">
        <f aca="false">Orders!H1272</f>
        <v>Delivered</v>
      </c>
      <c r="R1272" s="1" t="str">
        <f aca="false">INDEX(Customers!$C$2:$C$301,MATCH(C1272,Customers!$A$2:$A$301,0))</f>
        <v>Chandigarh</v>
      </c>
      <c r="S1272" s="1" t="str">
        <f aca="false">INDEX(Customers!$E$2:$E$301,MATCH(C1272,Customers!$A$2:$A$301,0))</f>
        <v>New</v>
      </c>
      <c r="T1272" s="6" t="str">
        <f aca="false">Orders!I1272</f>
        <v>Mobile App</v>
      </c>
      <c r="U1272" s="1" t="str">
        <f aca="false">IF(Q1272="Delivered","Completed",IF(Q1272="Cancelled","Cancelled",IF(Q1272="Returned","Returned","In Progress")))</f>
        <v>Completed</v>
      </c>
      <c r="V1272" s="1" t="str">
        <f aca="false">IF(M1272&gt;=10000,"High Value",IF(M1272&gt;=5000,"Medium Value","Low Value"))</f>
        <v>Low Value</v>
      </c>
      <c r="W1272" s="1" t="str">
        <f aca="false">IF(O1272&gt;0,"Profitable",IF(O1272=0,"Break-even","Loss"))</f>
        <v>Profitable</v>
      </c>
      <c r="X1272" s="1" t="str">
        <f aca="false">IF(Q1272="Cancelled","Not Applicable",IF(Q1272="Processing","Pending",IF(B1272="","Unknown",IF(Orders!J1272="","Unknown",IF(Orders!J1272&lt;=3,"Fast",IF(Orders!J1272&lt;=6,"Standard","Slow"))))))</f>
        <v>Standard</v>
      </c>
      <c r="Y1272" s="1" t="n">
        <f aca="false">IF(OR(Q1272="Cancelled",Q1272="Returned"),0,O1272)</f>
        <v>199</v>
      </c>
    </row>
    <row r="1273" customFormat="false" ht="15" hidden="false" customHeight="false" outlineLevel="0" collapsed="false">
      <c r="A1273" s="6" t="str">
        <f aca="false">Orders!A1273</f>
        <v>O001272</v>
      </c>
      <c r="B1273" s="19" t="n">
        <f aca="false">Orders!B1273</f>
        <v>45801</v>
      </c>
      <c r="C1273" s="6" t="str">
        <f aca="false">Orders!C1273</f>
        <v>C0276</v>
      </c>
      <c r="D1273" s="6" t="str">
        <f aca="false">Orders!D1273</f>
        <v>P1017</v>
      </c>
      <c r="E1273" s="6" t="str">
        <f aca="false">INDEX(Products!$B$2:$B$101,MATCH(D1273,Products!$A$2:$A$101,0))</f>
        <v>Denim Jeans</v>
      </c>
      <c r="F1273" s="1" t="str">
        <f aca="false">INDEX(Products!$C$2:$C$101,MATCH(D1273,Products!$A$2:$A$101,0))</f>
        <v>Fashion</v>
      </c>
      <c r="G1273" s="6" t="n">
        <f aca="false">Orders!E1273</f>
        <v>5</v>
      </c>
      <c r="H1273" s="16" t="n">
        <f aca="false">INDEX(Products!$D$2:$D$101,MATCH(D1273,Products!$A$2:$A$101,0))</f>
        <v>1299</v>
      </c>
      <c r="I1273" s="16" t="n">
        <f aca="false">INDEX(Products!$E$2:$E$101,MATCH(D1273,Products!$A$2:$A$101,0))</f>
        <v>650</v>
      </c>
      <c r="J1273" s="20" t="n">
        <f aca="false">Orders!F1273</f>
        <v>0.2</v>
      </c>
      <c r="K1273" s="6" t="n">
        <f aca="false">G1273*H1273</f>
        <v>6495</v>
      </c>
      <c r="L1273" s="6" t="n">
        <f aca="false">K1273*J1273</f>
        <v>1299</v>
      </c>
      <c r="M1273" s="6" t="n">
        <f aca="false">K1273-L1273</f>
        <v>5196</v>
      </c>
      <c r="N1273" s="6" t="n">
        <f aca="false">G1273*I1273</f>
        <v>3250</v>
      </c>
      <c r="O1273" s="6" t="n">
        <f aca="false">M1273-N1273</f>
        <v>1946</v>
      </c>
      <c r="P1273" s="21" t="n">
        <f aca="false">IFERROR(O1273/M1273,0)</f>
        <v>0.374518860662048</v>
      </c>
      <c r="Q1273" s="6" t="str">
        <f aca="false">Orders!H1273</f>
        <v>Delivered</v>
      </c>
      <c r="R1273" s="1" t="str">
        <f aca="false">INDEX(Customers!$C$2:$C$301,MATCH(C1273,Customers!$A$2:$A$301,0))</f>
        <v>Chandigarh</v>
      </c>
      <c r="S1273" s="1" t="str">
        <f aca="false">INDEX(Customers!$E$2:$E$301,MATCH(C1273,Customers!$A$2:$A$301,0))</f>
        <v>New</v>
      </c>
      <c r="T1273" s="6" t="str">
        <f aca="false">Orders!I1273</f>
        <v>Marketplace</v>
      </c>
      <c r="U1273" s="1" t="str">
        <f aca="false">IF(Q1273="Delivered","Completed",IF(Q1273="Cancelled","Cancelled",IF(Q1273="Returned","Returned","In Progress")))</f>
        <v>Completed</v>
      </c>
      <c r="V1273" s="1" t="str">
        <f aca="false">IF(M1273&gt;=10000,"High Value",IF(M1273&gt;=5000,"Medium Value","Low Value"))</f>
        <v>Medium Value</v>
      </c>
      <c r="W1273" s="1" t="str">
        <f aca="false">IF(O1273&gt;0,"Profitable",IF(O1273=0,"Break-even","Loss"))</f>
        <v>Profitable</v>
      </c>
      <c r="X1273" s="1" t="str">
        <f aca="false">IF(Q1273="Cancelled","Not Applicable",IF(Q1273="Processing","Pending",IF(B1273="","Unknown",IF(Orders!J1273="","Unknown",IF(Orders!J1273&lt;=3,"Fast",IF(Orders!J1273&lt;=6,"Standard","Slow"))))))</f>
        <v>Slow</v>
      </c>
      <c r="Y1273" s="1" t="n">
        <f aca="false">IF(OR(Q1273="Cancelled",Q1273="Returned"),0,O1273)</f>
        <v>1946</v>
      </c>
    </row>
    <row r="1274" customFormat="false" ht="15" hidden="false" customHeight="false" outlineLevel="0" collapsed="false">
      <c r="A1274" s="6" t="str">
        <f aca="false">Orders!A1274</f>
        <v>O001273</v>
      </c>
      <c r="B1274" s="19" t="n">
        <f aca="false">Orders!B1274</f>
        <v>45967</v>
      </c>
      <c r="C1274" s="6" t="str">
        <f aca="false">Orders!C1274</f>
        <v>C0253</v>
      </c>
      <c r="D1274" s="6" t="str">
        <f aca="false">Orders!D1274</f>
        <v>P1011</v>
      </c>
      <c r="E1274" s="6" t="str">
        <f aca="false">INDEX(Products!$B$2:$B$101,MATCH(D1274,Products!$A$2:$A$101,0))</f>
        <v>Headphones</v>
      </c>
      <c r="F1274" s="1" t="str">
        <f aca="false">INDEX(Products!$C$2:$C$101,MATCH(D1274,Products!$A$2:$A$101,0))</f>
        <v>Electronics</v>
      </c>
      <c r="G1274" s="6" t="n">
        <f aca="false">Orders!E1274</f>
        <v>1</v>
      </c>
      <c r="H1274" s="16" t="n">
        <f aca="false">INDEX(Products!$D$2:$D$101,MATCH(D1274,Products!$A$2:$A$101,0))</f>
        <v>1599</v>
      </c>
      <c r="I1274" s="16" t="n">
        <f aca="false">INDEX(Products!$E$2:$E$101,MATCH(D1274,Products!$A$2:$A$101,0))</f>
        <v>900</v>
      </c>
      <c r="J1274" s="20" t="n">
        <f aca="false">Orders!F1274</f>
        <v>0.15</v>
      </c>
      <c r="K1274" s="6" t="n">
        <f aca="false">G1274*H1274</f>
        <v>1599</v>
      </c>
      <c r="L1274" s="6" t="n">
        <f aca="false">K1274*J1274</f>
        <v>239.85</v>
      </c>
      <c r="M1274" s="6" t="n">
        <f aca="false">K1274-L1274</f>
        <v>1359.15</v>
      </c>
      <c r="N1274" s="6" t="n">
        <f aca="false">G1274*I1274</f>
        <v>900</v>
      </c>
      <c r="O1274" s="6" t="n">
        <f aca="false">M1274-N1274</f>
        <v>459.15</v>
      </c>
      <c r="P1274" s="21" t="n">
        <f aca="false">IFERROR(O1274/M1274,0)</f>
        <v>0.337821432512968</v>
      </c>
      <c r="Q1274" s="6" t="str">
        <f aca="false">Orders!H1274</f>
        <v>Delivered</v>
      </c>
      <c r="R1274" s="1" t="str">
        <f aca="false">INDEX(Customers!$C$2:$C$301,MATCH(C1274,Customers!$A$2:$A$301,0))</f>
        <v>Kochi</v>
      </c>
      <c r="S1274" s="1" t="str">
        <f aca="false">INDEX(Customers!$E$2:$E$301,MATCH(C1274,Customers!$A$2:$A$301,0))</f>
        <v>New</v>
      </c>
      <c r="T1274" s="6" t="str">
        <f aca="false">Orders!I1274</f>
        <v>Marketplace</v>
      </c>
      <c r="U1274" s="1" t="str">
        <f aca="false">IF(Q1274="Delivered","Completed",IF(Q1274="Cancelled","Cancelled",IF(Q1274="Returned","Returned","In Progress")))</f>
        <v>Completed</v>
      </c>
      <c r="V1274" s="1" t="str">
        <f aca="false">IF(M1274&gt;=10000,"High Value",IF(M1274&gt;=5000,"Medium Value","Low Value"))</f>
        <v>Low Value</v>
      </c>
      <c r="W1274" s="1" t="str">
        <f aca="false">IF(O1274&gt;0,"Profitable",IF(O1274=0,"Break-even","Loss"))</f>
        <v>Profitable</v>
      </c>
      <c r="X1274" s="1" t="str">
        <f aca="false">IF(Q1274="Cancelled","Not Applicable",IF(Q1274="Processing","Pending",IF(B1274="","Unknown",IF(Orders!J1274="","Unknown",IF(Orders!J1274&lt;=3,"Fast",IF(Orders!J1274&lt;=6,"Standard","Slow"))))))</f>
        <v>Fast</v>
      </c>
      <c r="Y1274" s="1" t="n">
        <f aca="false">IF(OR(Q1274="Cancelled",Q1274="Returned"),0,O1274)</f>
        <v>459.15</v>
      </c>
    </row>
    <row r="1275" customFormat="false" ht="15" hidden="false" customHeight="false" outlineLevel="0" collapsed="false">
      <c r="A1275" s="6" t="str">
        <f aca="false">Orders!A1275</f>
        <v>O001274</v>
      </c>
      <c r="B1275" s="19" t="n">
        <f aca="false">Orders!B1275</f>
        <v>45825</v>
      </c>
      <c r="C1275" s="6" t="str">
        <f aca="false">Orders!C1275</f>
        <v>C0255</v>
      </c>
      <c r="D1275" s="6" t="str">
        <f aca="false">Orders!D1275</f>
        <v>P1056</v>
      </c>
      <c r="E1275" s="6" t="str">
        <f aca="false">INDEX(Products!$B$2:$B$101,MATCH(D1275,Products!$A$2:$A$101,0))</f>
        <v>Hair Dryer</v>
      </c>
      <c r="F1275" s="1" t="str">
        <f aca="false">INDEX(Products!$C$2:$C$101,MATCH(D1275,Products!$A$2:$A$101,0))</f>
        <v>Beauty</v>
      </c>
      <c r="G1275" s="6" t="n">
        <f aca="false">Orders!E1275</f>
        <v>1</v>
      </c>
      <c r="H1275" s="16" t="n">
        <f aca="false">INDEX(Products!$D$2:$D$101,MATCH(D1275,Products!$A$2:$A$101,0))</f>
        <v>1299</v>
      </c>
      <c r="I1275" s="16" t="n">
        <f aca="false">INDEX(Products!$E$2:$E$101,MATCH(D1275,Products!$A$2:$A$101,0))</f>
        <v>750</v>
      </c>
      <c r="J1275" s="20" t="n">
        <f aca="false">Orders!F1275</f>
        <v>0.15</v>
      </c>
      <c r="K1275" s="6" t="n">
        <f aca="false">G1275*H1275</f>
        <v>1299</v>
      </c>
      <c r="L1275" s="6" t="n">
        <f aca="false">K1275*J1275</f>
        <v>194.85</v>
      </c>
      <c r="M1275" s="6" t="n">
        <f aca="false">K1275-L1275</f>
        <v>1104.15</v>
      </c>
      <c r="N1275" s="6" t="n">
        <f aca="false">G1275*I1275</f>
        <v>750</v>
      </c>
      <c r="O1275" s="6" t="n">
        <f aca="false">M1275-N1275</f>
        <v>354.15</v>
      </c>
      <c r="P1275" s="21" t="n">
        <f aca="false">IFERROR(O1275/M1275,0)</f>
        <v>0.320744464067382</v>
      </c>
      <c r="Q1275" s="6" t="str">
        <f aca="false">Orders!H1275</f>
        <v>Delivered</v>
      </c>
      <c r="R1275" s="1" t="str">
        <f aca="false">INDEX(Customers!$C$2:$C$301,MATCH(C1275,Customers!$A$2:$A$301,0))</f>
        <v>Bhopal</v>
      </c>
      <c r="S1275" s="1" t="str">
        <f aca="false">INDEX(Customers!$E$2:$E$301,MATCH(C1275,Customers!$A$2:$A$301,0))</f>
        <v>Returning</v>
      </c>
      <c r="T1275" s="6" t="str">
        <f aca="false">Orders!I1275</f>
        <v>Website</v>
      </c>
      <c r="U1275" s="1" t="str">
        <f aca="false">IF(Q1275="Delivered","Completed",IF(Q1275="Cancelled","Cancelled",IF(Q1275="Returned","Returned","In Progress")))</f>
        <v>Completed</v>
      </c>
      <c r="V1275" s="1" t="str">
        <f aca="false">IF(M1275&gt;=10000,"High Value",IF(M1275&gt;=5000,"Medium Value","Low Value"))</f>
        <v>Low Value</v>
      </c>
      <c r="W1275" s="1" t="str">
        <f aca="false">IF(O1275&gt;0,"Profitable",IF(O1275=0,"Break-even","Loss"))</f>
        <v>Profitable</v>
      </c>
      <c r="X1275" s="1" t="str">
        <f aca="false">IF(Q1275="Cancelled","Not Applicable",IF(Q1275="Processing","Pending",IF(B1275="","Unknown",IF(Orders!J1275="","Unknown",IF(Orders!J1275&lt;=3,"Fast",IF(Orders!J1275&lt;=6,"Standard","Slow"))))))</f>
        <v>Standard</v>
      </c>
      <c r="Y1275" s="1" t="n">
        <f aca="false">IF(OR(Q1275="Cancelled",Q1275="Returned"),0,O1275)</f>
        <v>354.15</v>
      </c>
    </row>
    <row r="1276" customFormat="false" ht="15" hidden="false" customHeight="false" outlineLevel="0" collapsed="false">
      <c r="A1276" s="6" t="str">
        <f aca="false">Orders!A1276</f>
        <v>O001275</v>
      </c>
      <c r="B1276" s="19" t="n">
        <f aca="false">Orders!B1276</f>
        <v>45790</v>
      </c>
      <c r="C1276" s="6" t="str">
        <f aca="false">Orders!C1276</f>
        <v>C0253</v>
      </c>
      <c r="D1276" s="6" t="str">
        <f aca="false">Orders!D1276</f>
        <v>P1039</v>
      </c>
      <c r="E1276" s="6" t="str">
        <f aca="false">INDEX(Products!$B$2:$B$101,MATCH(D1276,Products!$A$2:$A$101,0))</f>
        <v>Wall Clock</v>
      </c>
      <c r="F1276" s="1" t="str">
        <f aca="false">INDEX(Products!$C$2:$C$101,MATCH(D1276,Products!$A$2:$A$101,0))</f>
        <v>Home &amp; Kitchen</v>
      </c>
      <c r="G1276" s="6" t="n">
        <f aca="false">Orders!E1276</f>
        <v>1</v>
      </c>
      <c r="H1276" s="16" t="n">
        <f aca="false">INDEX(Products!$D$2:$D$101,MATCH(D1276,Products!$A$2:$A$101,0))</f>
        <v>699</v>
      </c>
      <c r="I1276" s="16" t="n">
        <f aca="false">INDEX(Products!$E$2:$E$101,MATCH(D1276,Products!$A$2:$A$101,0))</f>
        <v>300</v>
      </c>
      <c r="J1276" s="20" t="n">
        <f aca="false">Orders!F1276</f>
        <v>0.15</v>
      </c>
      <c r="K1276" s="6" t="n">
        <f aca="false">G1276*H1276</f>
        <v>699</v>
      </c>
      <c r="L1276" s="6" t="n">
        <f aca="false">K1276*J1276</f>
        <v>104.85</v>
      </c>
      <c r="M1276" s="6" t="n">
        <f aca="false">K1276-L1276</f>
        <v>594.15</v>
      </c>
      <c r="N1276" s="6" t="n">
        <f aca="false">G1276*I1276</f>
        <v>300</v>
      </c>
      <c r="O1276" s="6" t="n">
        <f aca="false">M1276-N1276</f>
        <v>294.15</v>
      </c>
      <c r="P1276" s="21" t="n">
        <f aca="false">IFERROR(O1276/M1276,0)</f>
        <v>0.495077000757385</v>
      </c>
      <c r="Q1276" s="6" t="str">
        <f aca="false">Orders!H1276</f>
        <v>Processing</v>
      </c>
      <c r="R1276" s="1" t="str">
        <f aca="false">INDEX(Customers!$C$2:$C$301,MATCH(C1276,Customers!$A$2:$A$301,0))</f>
        <v>Kochi</v>
      </c>
      <c r="S1276" s="1" t="str">
        <f aca="false">INDEX(Customers!$E$2:$E$301,MATCH(C1276,Customers!$A$2:$A$301,0))</f>
        <v>New</v>
      </c>
      <c r="T1276" s="6" t="str">
        <f aca="false">Orders!I1276</f>
        <v>Marketplace</v>
      </c>
      <c r="U1276" s="1" t="str">
        <f aca="false">IF(Q1276="Delivered","Completed",IF(Q1276="Cancelled","Cancelled",IF(Q1276="Returned","Returned","In Progress")))</f>
        <v>In Progress</v>
      </c>
      <c r="V1276" s="1" t="str">
        <f aca="false">IF(M1276&gt;=10000,"High Value",IF(M1276&gt;=5000,"Medium Value","Low Value"))</f>
        <v>Low Value</v>
      </c>
      <c r="W1276" s="1" t="str">
        <f aca="false">IF(O1276&gt;0,"Profitable",IF(O1276=0,"Break-even","Loss"))</f>
        <v>Profitable</v>
      </c>
      <c r="X1276" s="1" t="str">
        <f aca="false">IF(Q1276="Cancelled","Not Applicable",IF(Q1276="Processing","Pending",IF(B1276="","Unknown",IF(Orders!J1276="","Unknown",IF(Orders!J1276&lt;=3,"Fast",IF(Orders!J1276&lt;=6,"Standard","Slow"))))))</f>
        <v>Pending</v>
      </c>
      <c r="Y1276" s="1" t="n">
        <f aca="false">IF(OR(Q1276="Cancelled",Q1276="Returned"),0,O1276)</f>
        <v>294.15</v>
      </c>
    </row>
    <row r="1277" customFormat="false" ht="15" hidden="false" customHeight="false" outlineLevel="0" collapsed="false">
      <c r="A1277" s="6" t="str">
        <f aca="false">Orders!A1277</f>
        <v>O001276</v>
      </c>
      <c r="B1277" s="19" t="n">
        <f aca="false">Orders!B1277</f>
        <v>45966</v>
      </c>
      <c r="C1277" s="6" t="str">
        <f aca="false">Orders!C1277</f>
        <v>C0173</v>
      </c>
      <c r="D1277" s="6" t="str">
        <f aca="false">Orders!D1277</f>
        <v>P1028</v>
      </c>
      <c r="E1277" s="6" t="str">
        <f aca="false">INDEX(Products!$B$2:$B$101,MATCH(D1277,Products!$A$2:$A$101,0))</f>
        <v>Sneakers</v>
      </c>
      <c r="F1277" s="1" t="str">
        <f aca="false">INDEX(Products!$C$2:$C$101,MATCH(D1277,Products!$A$2:$A$101,0))</f>
        <v>Fashion</v>
      </c>
      <c r="G1277" s="6" t="n">
        <f aca="false">Orders!E1277</f>
        <v>1</v>
      </c>
      <c r="H1277" s="16" t="n">
        <f aca="false">INDEX(Products!$D$2:$D$101,MATCH(D1277,Products!$A$2:$A$101,0))</f>
        <v>1799</v>
      </c>
      <c r="I1277" s="16" t="n">
        <f aca="false">INDEX(Products!$E$2:$E$101,MATCH(D1277,Products!$A$2:$A$101,0))</f>
        <v>950</v>
      </c>
      <c r="J1277" s="20" t="n">
        <f aca="false">Orders!F1277</f>
        <v>0</v>
      </c>
      <c r="K1277" s="6" t="n">
        <f aca="false">G1277*H1277</f>
        <v>1799</v>
      </c>
      <c r="L1277" s="6" t="n">
        <f aca="false">K1277*J1277</f>
        <v>0</v>
      </c>
      <c r="M1277" s="6" t="n">
        <f aca="false">K1277-L1277</f>
        <v>1799</v>
      </c>
      <c r="N1277" s="6" t="n">
        <f aca="false">G1277*I1277</f>
        <v>950</v>
      </c>
      <c r="O1277" s="6" t="n">
        <f aca="false">M1277-N1277</f>
        <v>849</v>
      </c>
      <c r="P1277" s="21" t="n">
        <f aca="false">IFERROR(O1277/M1277,0)</f>
        <v>0.471928849360756</v>
      </c>
      <c r="Q1277" s="6" t="str">
        <f aca="false">Orders!H1277</f>
        <v>Cancelled</v>
      </c>
      <c r="R1277" s="1" t="str">
        <f aca="false">INDEX(Customers!$C$2:$C$301,MATCH(C1277,Customers!$A$2:$A$301,0))</f>
        <v>Kochi</v>
      </c>
      <c r="S1277" s="1" t="str">
        <f aca="false">INDEX(Customers!$E$2:$E$301,MATCH(C1277,Customers!$A$2:$A$301,0))</f>
        <v>New</v>
      </c>
      <c r="T1277" s="6" t="str">
        <f aca="false">Orders!I1277</f>
        <v>Mobile App</v>
      </c>
      <c r="U1277" s="1" t="str">
        <f aca="false">IF(Q1277="Delivered","Completed",IF(Q1277="Cancelled","Cancelled",IF(Q1277="Returned","Returned","In Progress")))</f>
        <v>Cancelled</v>
      </c>
      <c r="V1277" s="1" t="str">
        <f aca="false">IF(M1277&gt;=10000,"High Value",IF(M1277&gt;=5000,"Medium Value","Low Value"))</f>
        <v>Low Value</v>
      </c>
      <c r="W1277" s="1" t="str">
        <f aca="false">IF(O1277&gt;0,"Profitable",IF(O1277=0,"Break-even","Loss"))</f>
        <v>Profitable</v>
      </c>
      <c r="X1277" s="1" t="str">
        <f aca="false">IF(Q1277="Cancelled","Not Applicable",IF(Q1277="Processing","Pending",IF(B1277="","Unknown",IF(Orders!J1277="","Unknown",IF(Orders!J1277&lt;=3,"Fast",IF(Orders!J1277&lt;=6,"Standard","Slow"))))))</f>
        <v>Not Applicable</v>
      </c>
      <c r="Y1277" s="1" t="n">
        <f aca="false">IF(OR(Q1277="Cancelled",Q1277="Returned"),0,O1277)</f>
        <v>0</v>
      </c>
    </row>
    <row r="1278" customFormat="false" ht="15" hidden="false" customHeight="false" outlineLevel="0" collapsed="false">
      <c r="A1278" s="6" t="str">
        <f aca="false">Orders!A1278</f>
        <v>O001277</v>
      </c>
      <c r="B1278" s="19" t="n">
        <f aca="false">Orders!B1278</f>
        <v>45992</v>
      </c>
      <c r="C1278" s="6" t="str">
        <f aca="false">Orders!C1278</f>
        <v>C0013</v>
      </c>
      <c r="D1278" s="6" t="str">
        <f aca="false">Orders!D1278</f>
        <v>P1043</v>
      </c>
      <c r="E1278" s="6" t="str">
        <f aca="false">INDEX(Products!$B$2:$B$101,MATCH(D1278,Products!$A$2:$A$101,0))</f>
        <v>Kitchen Rack</v>
      </c>
      <c r="F1278" s="1" t="str">
        <f aca="false">INDEX(Products!$C$2:$C$101,MATCH(D1278,Products!$A$2:$A$101,0))</f>
        <v>Home &amp; Kitchen</v>
      </c>
      <c r="G1278" s="6" t="n">
        <f aca="false">Orders!E1278</f>
        <v>3</v>
      </c>
      <c r="H1278" s="16" t="n">
        <f aca="false">INDEX(Products!$D$2:$D$101,MATCH(D1278,Products!$A$2:$A$101,0))</f>
        <v>1299</v>
      </c>
      <c r="I1278" s="16" t="n">
        <f aca="false">INDEX(Products!$E$2:$E$101,MATCH(D1278,Products!$A$2:$A$101,0))</f>
        <v>700</v>
      </c>
      <c r="J1278" s="20" t="n">
        <f aca="false">Orders!F1278</f>
        <v>0.1</v>
      </c>
      <c r="K1278" s="6" t="n">
        <f aca="false">G1278*H1278</f>
        <v>3897</v>
      </c>
      <c r="L1278" s="6" t="n">
        <f aca="false">K1278*J1278</f>
        <v>389.7</v>
      </c>
      <c r="M1278" s="6" t="n">
        <f aca="false">K1278-L1278</f>
        <v>3507.3</v>
      </c>
      <c r="N1278" s="6" t="n">
        <f aca="false">G1278*I1278</f>
        <v>2100</v>
      </c>
      <c r="O1278" s="6" t="n">
        <f aca="false">M1278-N1278</f>
        <v>1407.3</v>
      </c>
      <c r="P1278" s="21" t="n">
        <f aca="false">IFERROR(O1278/M1278,0)</f>
        <v>0.401248823881618</v>
      </c>
      <c r="Q1278" s="6" t="str">
        <f aca="false">Orders!H1278</f>
        <v>Delivered</v>
      </c>
      <c r="R1278" s="1" t="str">
        <f aca="false">INDEX(Customers!$C$2:$C$301,MATCH(C1278,Customers!$A$2:$A$301,0))</f>
        <v>Kochi</v>
      </c>
      <c r="S1278" s="1" t="str">
        <f aca="false">INDEX(Customers!$E$2:$E$301,MATCH(C1278,Customers!$A$2:$A$301,0))</f>
        <v>Returning</v>
      </c>
      <c r="T1278" s="6" t="str">
        <f aca="false">Orders!I1278</f>
        <v>Website</v>
      </c>
      <c r="U1278" s="1" t="str">
        <f aca="false">IF(Q1278="Delivered","Completed",IF(Q1278="Cancelled","Cancelled",IF(Q1278="Returned","Returned","In Progress")))</f>
        <v>Completed</v>
      </c>
      <c r="V1278" s="1" t="str">
        <f aca="false">IF(M1278&gt;=10000,"High Value",IF(M1278&gt;=5000,"Medium Value","Low Value"))</f>
        <v>Low Value</v>
      </c>
      <c r="W1278" s="1" t="str">
        <f aca="false">IF(O1278&gt;0,"Profitable",IF(O1278=0,"Break-even","Loss"))</f>
        <v>Profitable</v>
      </c>
      <c r="X1278" s="1" t="str">
        <f aca="false">IF(Q1278="Cancelled","Not Applicable",IF(Q1278="Processing","Pending",IF(B1278="","Unknown",IF(Orders!J1278="","Unknown",IF(Orders!J1278&lt;=3,"Fast",IF(Orders!J1278&lt;=6,"Standard","Slow"))))))</f>
        <v>Fast</v>
      </c>
      <c r="Y1278" s="1" t="n">
        <f aca="false">IF(OR(Q1278="Cancelled",Q1278="Returned"),0,O1278)</f>
        <v>1407.3</v>
      </c>
    </row>
    <row r="1279" customFormat="false" ht="15" hidden="false" customHeight="false" outlineLevel="0" collapsed="false">
      <c r="A1279" s="6" t="str">
        <f aca="false">Orders!A1279</f>
        <v>O001278</v>
      </c>
      <c r="B1279" s="19" t="n">
        <f aca="false">Orders!B1279</f>
        <v>45774</v>
      </c>
      <c r="C1279" s="6" t="str">
        <f aca="false">Orders!C1279</f>
        <v>C0030</v>
      </c>
      <c r="D1279" s="6" t="str">
        <f aca="false">Orders!D1279</f>
        <v>P1071</v>
      </c>
      <c r="E1279" s="6" t="str">
        <f aca="false">INDEX(Products!$B$2:$B$101,MATCH(D1279,Products!$A$2:$A$101,0))</f>
        <v>Exercise Ball</v>
      </c>
      <c r="F1279" s="1" t="str">
        <f aca="false">INDEX(Products!$C$2:$C$101,MATCH(D1279,Products!$A$2:$A$101,0))</f>
        <v>Sports &amp; Outdoors</v>
      </c>
      <c r="G1279" s="6" t="n">
        <f aca="false">Orders!E1279</f>
        <v>1</v>
      </c>
      <c r="H1279" s="16" t="n">
        <f aca="false">INDEX(Products!$D$2:$D$101,MATCH(D1279,Products!$A$2:$A$101,0))</f>
        <v>699</v>
      </c>
      <c r="I1279" s="16" t="n">
        <f aca="false">INDEX(Products!$E$2:$E$101,MATCH(D1279,Products!$A$2:$A$101,0))</f>
        <v>320</v>
      </c>
      <c r="J1279" s="20" t="n">
        <f aca="false">Orders!F1279</f>
        <v>0</v>
      </c>
      <c r="K1279" s="6" t="n">
        <f aca="false">G1279*H1279</f>
        <v>699</v>
      </c>
      <c r="L1279" s="6" t="n">
        <f aca="false">K1279*J1279</f>
        <v>0</v>
      </c>
      <c r="M1279" s="6" t="n">
        <f aca="false">K1279-L1279</f>
        <v>699</v>
      </c>
      <c r="N1279" s="6" t="n">
        <f aca="false">G1279*I1279</f>
        <v>320</v>
      </c>
      <c r="O1279" s="6" t="n">
        <f aca="false">M1279-N1279</f>
        <v>379</v>
      </c>
      <c r="P1279" s="21" t="n">
        <f aca="false">IFERROR(O1279/M1279,0)</f>
        <v>0.542203147353362</v>
      </c>
      <c r="Q1279" s="6" t="str">
        <f aca="false">Orders!H1279</f>
        <v>Delivered</v>
      </c>
      <c r="R1279" s="1" t="str">
        <f aca="false">INDEX(Customers!$C$2:$C$301,MATCH(C1279,Customers!$A$2:$A$301,0))</f>
        <v>Lucknow</v>
      </c>
      <c r="S1279" s="1" t="str">
        <f aca="false">INDEX(Customers!$E$2:$E$301,MATCH(C1279,Customers!$A$2:$A$301,0))</f>
        <v>Returning</v>
      </c>
      <c r="T1279" s="6" t="str">
        <f aca="false">Orders!I1279</f>
        <v>Website</v>
      </c>
      <c r="U1279" s="1" t="str">
        <f aca="false">IF(Q1279="Delivered","Completed",IF(Q1279="Cancelled","Cancelled",IF(Q1279="Returned","Returned","In Progress")))</f>
        <v>Completed</v>
      </c>
      <c r="V1279" s="1" t="str">
        <f aca="false">IF(M1279&gt;=10000,"High Value",IF(M1279&gt;=5000,"Medium Value","Low Value"))</f>
        <v>Low Value</v>
      </c>
      <c r="W1279" s="1" t="str">
        <f aca="false">IF(O1279&gt;0,"Profitable",IF(O1279=0,"Break-even","Loss"))</f>
        <v>Profitable</v>
      </c>
      <c r="X1279" s="1" t="str">
        <f aca="false">IF(Q1279="Cancelled","Not Applicable",IF(Q1279="Processing","Pending",IF(B1279="","Unknown",IF(Orders!J1279="","Unknown",IF(Orders!J1279&lt;=3,"Fast",IF(Orders!J1279&lt;=6,"Standard","Slow"))))))</f>
        <v>Fast</v>
      </c>
      <c r="Y1279" s="1" t="n">
        <f aca="false">IF(OR(Q1279="Cancelled",Q1279="Returned"),0,O1279)</f>
        <v>379</v>
      </c>
    </row>
    <row r="1280" customFormat="false" ht="15" hidden="false" customHeight="false" outlineLevel="0" collapsed="false">
      <c r="A1280" s="6" t="str">
        <f aca="false">Orders!A1280</f>
        <v>O001279</v>
      </c>
      <c r="B1280" s="19" t="n">
        <f aca="false">Orders!B1280</f>
        <v>45832</v>
      </c>
      <c r="C1280" s="6" t="str">
        <f aca="false">Orders!C1280</f>
        <v>C0156</v>
      </c>
      <c r="D1280" s="6" t="str">
        <f aca="false">Orders!D1280</f>
        <v>P1073</v>
      </c>
      <c r="E1280" s="6" t="str">
        <f aca="false">INDEX(Products!$B$2:$B$101,MATCH(D1280,Products!$A$2:$A$101,0))</f>
        <v>Hiking Backpack</v>
      </c>
      <c r="F1280" s="1" t="str">
        <f aca="false">INDEX(Products!$C$2:$C$101,MATCH(D1280,Products!$A$2:$A$101,0))</f>
        <v>Sports &amp; Outdoors</v>
      </c>
      <c r="G1280" s="6" t="n">
        <f aca="false">Orders!E1280</f>
        <v>1</v>
      </c>
      <c r="H1280" s="16" t="n">
        <f aca="false">INDEX(Products!$D$2:$D$101,MATCH(D1280,Products!$A$2:$A$101,0))</f>
        <v>1999</v>
      </c>
      <c r="I1280" s="16" t="n">
        <f aca="false">INDEX(Products!$E$2:$E$101,MATCH(D1280,Products!$A$2:$A$101,0))</f>
        <v>1100</v>
      </c>
      <c r="J1280" s="20" t="n">
        <f aca="false">Orders!F1280</f>
        <v>0.15</v>
      </c>
      <c r="K1280" s="6" t="n">
        <f aca="false">G1280*H1280</f>
        <v>1999</v>
      </c>
      <c r="L1280" s="6" t="n">
        <f aca="false">K1280*J1280</f>
        <v>299.85</v>
      </c>
      <c r="M1280" s="6" t="n">
        <f aca="false">K1280-L1280</f>
        <v>1699.15</v>
      </c>
      <c r="N1280" s="6" t="n">
        <f aca="false">G1280*I1280</f>
        <v>1100</v>
      </c>
      <c r="O1280" s="6" t="n">
        <f aca="false">M1280-N1280</f>
        <v>599.15</v>
      </c>
      <c r="P1280" s="21" t="n">
        <f aca="false">IFERROR(O1280/M1280,0)</f>
        <v>0.352617485213195</v>
      </c>
      <c r="Q1280" s="6" t="str">
        <f aca="false">Orders!H1280</f>
        <v>Shipped</v>
      </c>
      <c r="R1280" s="1" t="str">
        <f aca="false">INDEX(Customers!$C$2:$C$301,MATCH(C1280,Customers!$A$2:$A$301,0))</f>
        <v>Chandigarh</v>
      </c>
      <c r="S1280" s="1" t="str">
        <f aca="false">INDEX(Customers!$E$2:$E$301,MATCH(C1280,Customers!$A$2:$A$301,0))</f>
        <v>Returning</v>
      </c>
      <c r="T1280" s="6" t="str">
        <f aca="false">Orders!I1280</f>
        <v>Marketplace</v>
      </c>
      <c r="U1280" s="1" t="str">
        <f aca="false">IF(Q1280="Delivered","Completed",IF(Q1280="Cancelled","Cancelled",IF(Q1280="Returned","Returned","In Progress")))</f>
        <v>In Progress</v>
      </c>
      <c r="V1280" s="1" t="str">
        <f aca="false">IF(M1280&gt;=10000,"High Value",IF(M1280&gt;=5000,"Medium Value","Low Value"))</f>
        <v>Low Value</v>
      </c>
      <c r="W1280" s="1" t="str">
        <f aca="false">IF(O1280&gt;0,"Profitable",IF(O1280=0,"Break-even","Loss"))</f>
        <v>Profitable</v>
      </c>
      <c r="X1280" s="1" t="str">
        <f aca="false">IF(Q1280="Cancelled","Not Applicable",IF(Q1280="Processing","Pending",IF(B1280="","Unknown",IF(Orders!J1280="","Unknown",IF(Orders!J1280&lt;=3,"Fast",IF(Orders!J1280&lt;=6,"Standard","Slow"))))))</f>
        <v>Standard</v>
      </c>
      <c r="Y1280" s="1" t="n">
        <f aca="false">IF(OR(Q1280="Cancelled",Q1280="Returned"),0,O1280)</f>
        <v>599.15</v>
      </c>
    </row>
    <row r="1281" customFormat="false" ht="23.85" hidden="false" customHeight="false" outlineLevel="0" collapsed="false">
      <c r="A1281" s="6" t="str">
        <f aca="false">Orders!A1281</f>
        <v>O001280</v>
      </c>
      <c r="B1281" s="19" t="n">
        <f aca="false">Orders!B1281</f>
        <v>45758</v>
      </c>
      <c r="C1281" s="6" t="str">
        <f aca="false">Orders!C1281</f>
        <v>C0076</v>
      </c>
      <c r="D1281" s="6" t="str">
        <f aca="false">Orders!D1281</f>
        <v>P1012</v>
      </c>
      <c r="E1281" s="6" t="str">
        <f aca="false">INDEX(Products!$B$2:$B$101,MATCH(D1281,Products!$A$2:$A$101,0))</f>
        <v>Charging Adapter</v>
      </c>
      <c r="F1281" s="1" t="str">
        <f aca="false">INDEX(Products!$C$2:$C$101,MATCH(D1281,Products!$A$2:$A$101,0))</f>
        <v>Electronics</v>
      </c>
      <c r="G1281" s="6" t="n">
        <f aca="false">Orders!E1281</f>
        <v>3</v>
      </c>
      <c r="H1281" s="16" t="n">
        <f aca="false">INDEX(Products!$D$2:$D$101,MATCH(D1281,Products!$A$2:$A$101,0))</f>
        <v>599</v>
      </c>
      <c r="I1281" s="16" t="n">
        <f aca="false">INDEX(Products!$E$2:$E$101,MATCH(D1281,Products!$A$2:$A$101,0))</f>
        <v>260</v>
      </c>
      <c r="J1281" s="20" t="n">
        <f aca="false">Orders!F1281</f>
        <v>0</v>
      </c>
      <c r="K1281" s="6" t="n">
        <f aca="false">G1281*H1281</f>
        <v>1797</v>
      </c>
      <c r="L1281" s="6" t="n">
        <f aca="false">K1281*J1281</f>
        <v>0</v>
      </c>
      <c r="M1281" s="6" t="n">
        <f aca="false">K1281-L1281</f>
        <v>1797</v>
      </c>
      <c r="N1281" s="6" t="n">
        <f aca="false">G1281*I1281</f>
        <v>780</v>
      </c>
      <c r="O1281" s="6" t="n">
        <f aca="false">M1281-N1281</f>
        <v>1017</v>
      </c>
      <c r="P1281" s="21" t="n">
        <f aca="false">IFERROR(O1281/M1281,0)</f>
        <v>0.565943238731219</v>
      </c>
      <c r="Q1281" s="6" t="str">
        <f aca="false">Orders!H1281</f>
        <v>Delivered</v>
      </c>
      <c r="R1281" s="1" t="str">
        <f aca="false">INDEX(Customers!$C$2:$C$301,MATCH(C1281,Customers!$A$2:$A$301,0))</f>
        <v>Chandigarh</v>
      </c>
      <c r="S1281" s="1" t="str">
        <f aca="false">INDEX(Customers!$E$2:$E$301,MATCH(C1281,Customers!$A$2:$A$301,0))</f>
        <v>Returning</v>
      </c>
      <c r="T1281" s="6" t="str">
        <f aca="false">Orders!I1281</f>
        <v>Marketplace</v>
      </c>
      <c r="U1281" s="1" t="str">
        <f aca="false">IF(Q1281="Delivered","Completed",IF(Q1281="Cancelled","Cancelled",IF(Q1281="Returned","Returned","In Progress")))</f>
        <v>Completed</v>
      </c>
      <c r="V1281" s="1" t="str">
        <f aca="false">IF(M1281&gt;=10000,"High Value",IF(M1281&gt;=5000,"Medium Value","Low Value"))</f>
        <v>Low Value</v>
      </c>
      <c r="W1281" s="1" t="str">
        <f aca="false">IF(O1281&gt;0,"Profitable",IF(O1281=0,"Break-even","Loss"))</f>
        <v>Profitable</v>
      </c>
      <c r="X1281" s="1" t="str">
        <f aca="false">IF(Q1281="Cancelled","Not Applicable",IF(Q1281="Processing","Pending",IF(B1281="","Unknown",IF(Orders!J1281="","Unknown",IF(Orders!J1281&lt;=3,"Fast",IF(Orders!J1281&lt;=6,"Standard","Slow"))))))</f>
        <v>Fast</v>
      </c>
      <c r="Y1281" s="1" t="n">
        <f aca="false">IF(OR(Q1281="Cancelled",Q1281="Returned"),0,O1281)</f>
        <v>1017</v>
      </c>
    </row>
    <row r="1282" customFormat="false" ht="23.85" hidden="false" customHeight="false" outlineLevel="0" collapsed="false">
      <c r="A1282" s="6" t="str">
        <f aca="false">Orders!A1282</f>
        <v>O001281</v>
      </c>
      <c r="B1282" s="19" t="n">
        <f aca="false">Orders!B1282</f>
        <v>45941</v>
      </c>
      <c r="C1282" s="6" t="str">
        <f aca="false">Orders!C1282</f>
        <v>C0023</v>
      </c>
      <c r="D1282" s="6" t="str">
        <f aca="false">Orders!D1282</f>
        <v>P1065</v>
      </c>
      <c r="E1282" s="6" t="str">
        <f aca="false">INDEX(Products!$B$2:$B$101,MATCH(D1282,Products!$A$2:$A$101,0))</f>
        <v>Badminton Racket</v>
      </c>
      <c r="F1282" s="1" t="str">
        <f aca="false">INDEX(Products!$C$2:$C$101,MATCH(D1282,Products!$A$2:$A$101,0))</f>
        <v>Sports &amp; Outdoors</v>
      </c>
      <c r="G1282" s="6" t="n">
        <f aca="false">Orders!E1282</f>
        <v>1</v>
      </c>
      <c r="H1282" s="16" t="n">
        <f aca="false">INDEX(Products!$D$2:$D$101,MATCH(D1282,Products!$A$2:$A$101,0))</f>
        <v>999</v>
      </c>
      <c r="I1282" s="16" t="n">
        <f aca="false">INDEX(Products!$E$2:$E$101,MATCH(D1282,Products!$A$2:$A$101,0))</f>
        <v>520</v>
      </c>
      <c r="J1282" s="20" t="n">
        <f aca="false">Orders!F1282</f>
        <v>0.1</v>
      </c>
      <c r="K1282" s="6" t="n">
        <f aca="false">G1282*H1282</f>
        <v>999</v>
      </c>
      <c r="L1282" s="6" t="n">
        <f aca="false">K1282*J1282</f>
        <v>99.9</v>
      </c>
      <c r="M1282" s="6" t="n">
        <f aca="false">K1282-L1282</f>
        <v>899.1</v>
      </c>
      <c r="N1282" s="6" t="n">
        <f aca="false">G1282*I1282</f>
        <v>520</v>
      </c>
      <c r="O1282" s="6" t="n">
        <f aca="false">M1282-N1282</f>
        <v>379.1</v>
      </c>
      <c r="P1282" s="21" t="n">
        <f aca="false">IFERROR(O1282/M1282,0)</f>
        <v>0.421643866088311</v>
      </c>
      <c r="Q1282" s="6" t="str">
        <f aca="false">Orders!H1282</f>
        <v>Delivered</v>
      </c>
      <c r="R1282" s="1" t="str">
        <f aca="false">INDEX(Customers!$C$2:$C$301,MATCH(C1282,Customers!$A$2:$A$301,0))</f>
        <v>Bengaluru</v>
      </c>
      <c r="S1282" s="1" t="str">
        <f aca="false">INDEX(Customers!$E$2:$E$301,MATCH(C1282,Customers!$A$2:$A$301,0))</f>
        <v>Returning</v>
      </c>
      <c r="T1282" s="6" t="str">
        <f aca="false">Orders!I1282</f>
        <v>Mobile App</v>
      </c>
      <c r="U1282" s="1" t="str">
        <f aca="false">IF(Q1282="Delivered","Completed",IF(Q1282="Cancelled","Cancelled",IF(Q1282="Returned","Returned","In Progress")))</f>
        <v>Completed</v>
      </c>
      <c r="V1282" s="1" t="str">
        <f aca="false">IF(M1282&gt;=10000,"High Value",IF(M1282&gt;=5000,"Medium Value","Low Value"))</f>
        <v>Low Value</v>
      </c>
      <c r="W1282" s="1" t="str">
        <f aca="false">IF(O1282&gt;0,"Profitable",IF(O1282=0,"Break-even","Loss"))</f>
        <v>Profitable</v>
      </c>
      <c r="X1282" s="1" t="str">
        <f aca="false">IF(Q1282="Cancelled","Not Applicable",IF(Q1282="Processing","Pending",IF(B1282="","Unknown",IF(Orders!J1282="","Unknown",IF(Orders!J1282&lt;=3,"Fast",IF(Orders!J1282&lt;=6,"Standard","Slow"))))))</f>
        <v>Slow</v>
      </c>
      <c r="Y1282" s="1" t="n">
        <f aca="false">IF(OR(Q1282="Cancelled",Q1282="Returned"),0,O1282)</f>
        <v>379.1</v>
      </c>
    </row>
    <row r="1283" customFormat="false" ht="15" hidden="false" customHeight="false" outlineLevel="0" collapsed="false">
      <c r="A1283" s="6" t="str">
        <f aca="false">Orders!A1283</f>
        <v>O001282</v>
      </c>
      <c r="B1283" s="19" t="n">
        <f aca="false">Orders!B1283</f>
        <v>45761</v>
      </c>
      <c r="C1283" s="6" t="str">
        <f aca="false">Orders!C1283</f>
        <v>C0158</v>
      </c>
      <c r="D1283" s="6" t="str">
        <f aca="false">Orders!D1283</f>
        <v>P1089</v>
      </c>
      <c r="E1283" s="6" t="str">
        <f aca="false">INDEX(Products!$B$2:$B$101,MATCH(D1283,Products!$A$2:$A$101,0))</f>
        <v>Mixer Grinder</v>
      </c>
      <c r="F1283" s="1" t="str">
        <f aca="false">INDEX(Products!$C$2:$C$101,MATCH(D1283,Products!$A$2:$A$101,0))</f>
        <v>Appliances</v>
      </c>
      <c r="G1283" s="6" t="n">
        <f aca="false">Orders!E1283</f>
        <v>1</v>
      </c>
      <c r="H1283" s="16" t="n">
        <f aca="false">INDEX(Products!$D$2:$D$101,MATCH(D1283,Products!$A$2:$A$101,0))</f>
        <v>2499</v>
      </c>
      <c r="I1283" s="16" t="n">
        <f aca="false">INDEX(Products!$E$2:$E$101,MATCH(D1283,Products!$A$2:$A$101,0))</f>
        <v>1550</v>
      </c>
      <c r="J1283" s="20" t="n">
        <f aca="false">Orders!F1283</f>
        <v>0.05</v>
      </c>
      <c r="K1283" s="6" t="n">
        <f aca="false">G1283*H1283</f>
        <v>2499</v>
      </c>
      <c r="L1283" s="6" t="n">
        <f aca="false">K1283*J1283</f>
        <v>124.95</v>
      </c>
      <c r="M1283" s="6" t="n">
        <f aca="false">K1283-L1283</f>
        <v>2374.05</v>
      </c>
      <c r="N1283" s="6" t="n">
        <f aca="false">G1283*I1283</f>
        <v>1550</v>
      </c>
      <c r="O1283" s="6" t="n">
        <f aca="false">M1283-N1283</f>
        <v>824.05</v>
      </c>
      <c r="P1283" s="21" t="n">
        <f aca="false">IFERROR(O1283/M1283,0)</f>
        <v>0.347107263958215</v>
      </c>
      <c r="Q1283" s="6" t="str">
        <f aca="false">Orders!H1283</f>
        <v>Delivered</v>
      </c>
      <c r="R1283" s="1" t="str">
        <f aca="false">INDEX(Customers!$C$2:$C$301,MATCH(C1283,Customers!$A$2:$A$301,0))</f>
        <v>Nagpur</v>
      </c>
      <c r="S1283" s="1" t="str">
        <f aca="false">INDEX(Customers!$E$2:$E$301,MATCH(C1283,Customers!$A$2:$A$301,0))</f>
        <v>Returning</v>
      </c>
      <c r="T1283" s="6" t="str">
        <f aca="false">Orders!I1283</f>
        <v>Mobile App</v>
      </c>
      <c r="U1283" s="1" t="str">
        <f aca="false">IF(Q1283="Delivered","Completed",IF(Q1283="Cancelled","Cancelled",IF(Q1283="Returned","Returned","In Progress")))</f>
        <v>Completed</v>
      </c>
      <c r="V1283" s="1" t="str">
        <f aca="false">IF(M1283&gt;=10000,"High Value",IF(M1283&gt;=5000,"Medium Value","Low Value"))</f>
        <v>Low Value</v>
      </c>
      <c r="W1283" s="1" t="str">
        <f aca="false">IF(O1283&gt;0,"Profitable",IF(O1283=0,"Break-even","Loss"))</f>
        <v>Profitable</v>
      </c>
      <c r="X1283" s="1" t="str">
        <f aca="false">IF(Q1283="Cancelled","Not Applicable",IF(Q1283="Processing","Pending",IF(B1283="","Unknown",IF(Orders!J1283="","Unknown",IF(Orders!J1283&lt;=3,"Fast",IF(Orders!J1283&lt;=6,"Standard","Slow"))))))</f>
        <v>Fast</v>
      </c>
      <c r="Y1283" s="1" t="n">
        <f aca="false">IF(OR(Q1283="Cancelled",Q1283="Returned"),0,O1283)</f>
        <v>824.05</v>
      </c>
    </row>
    <row r="1284" customFormat="false" ht="15" hidden="false" customHeight="false" outlineLevel="0" collapsed="false">
      <c r="A1284" s="6" t="str">
        <f aca="false">Orders!A1284</f>
        <v>O001283</v>
      </c>
      <c r="B1284" s="19" t="n">
        <f aca="false">Orders!B1284</f>
        <v>46005</v>
      </c>
      <c r="C1284" s="6" t="str">
        <f aca="false">Orders!C1284</f>
        <v>C0044</v>
      </c>
      <c r="D1284" s="6" t="str">
        <f aca="false">Orders!D1284</f>
        <v>P1039</v>
      </c>
      <c r="E1284" s="6" t="str">
        <f aca="false">INDEX(Products!$B$2:$B$101,MATCH(D1284,Products!$A$2:$A$101,0))</f>
        <v>Wall Clock</v>
      </c>
      <c r="F1284" s="1" t="str">
        <f aca="false">INDEX(Products!$C$2:$C$101,MATCH(D1284,Products!$A$2:$A$101,0))</f>
        <v>Home &amp; Kitchen</v>
      </c>
      <c r="G1284" s="6" t="n">
        <f aca="false">Orders!E1284</f>
        <v>1</v>
      </c>
      <c r="H1284" s="16" t="n">
        <f aca="false">INDEX(Products!$D$2:$D$101,MATCH(D1284,Products!$A$2:$A$101,0))</f>
        <v>699</v>
      </c>
      <c r="I1284" s="16" t="n">
        <f aca="false">INDEX(Products!$E$2:$E$101,MATCH(D1284,Products!$A$2:$A$101,0))</f>
        <v>300</v>
      </c>
      <c r="J1284" s="20" t="n">
        <f aca="false">Orders!F1284</f>
        <v>0</v>
      </c>
      <c r="K1284" s="6" t="n">
        <f aca="false">G1284*H1284</f>
        <v>699</v>
      </c>
      <c r="L1284" s="6" t="n">
        <f aca="false">K1284*J1284</f>
        <v>0</v>
      </c>
      <c r="M1284" s="6" t="n">
        <f aca="false">K1284-L1284</f>
        <v>699</v>
      </c>
      <c r="N1284" s="6" t="n">
        <f aca="false">G1284*I1284</f>
        <v>300</v>
      </c>
      <c r="O1284" s="6" t="n">
        <f aca="false">M1284-N1284</f>
        <v>399</v>
      </c>
      <c r="P1284" s="21" t="n">
        <f aca="false">IFERROR(O1284/M1284,0)</f>
        <v>0.570815450643777</v>
      </c>
      <c r="Q1284" s="6" t="str">
        <f aca="false">Orders!H1284</f>
        <v>Delivered</v>
      </c>
      <c r="R1284" s="1" t="str">
        <f aca="false">INDEX(Customers!$C$2:$C$301,MATCH(C1284,Customers!$A$2:$A$301,0))</f>
        <v>Hyderabad</v>
      </c>
      <c r="S1284" s="1" t="str">
        <f aca="false">INDEX(Customers!$E$2:$E$301,MATCH(C1284,Customers!$A$2:$A$301,0))</f>
        <v>Returning</v>
      </c>
      <c r="T1284" s="6" t="str">
        <f aca="false">Orders!I1284</f>
        <v>Website</v>
      </c>
      <c r="U1284" s="1" t="str">
        <f aca="false">IF(Q1284="Delivered","Completed",IF(Q1284="Cancelled","Cancelled",IF(Q1284="Returned","Returned","In Progress")))</f>
        <v>Completed</v>
      </c>
      <c r="V1284" s="1" t="str">
        <f aca="false">IF(M1284&gt;=10000,"High Value",IF(M1284&gt;=5000,"Medium Value","Low Value"))</f>
        <v>Low Value</v>
      </c>
      <c r="W1284" s="1" t="str">
        <f aca="false">IF(O1284&gt;0,"Profitable",IF(O1284=0,"Break-even","Loss"))</f>
        <v>Profitable</v>
      </c>
      <c r="X1284" s="1" t="str">
        <f aca="false">IF(Q1284="Cancelled","Not Applicable",IF(Q1284="Processing","Pending",IF(B1284="","Unknown",IF(Orders!J1284="","Unknown",IF(Orders!J1284&lt;=3,"Fast",IF(Orders!J1284&lt;=6,"Standard","Slow"))))))</f>
        <v>Standard</v>
      </c>
      <c r="Y1284" s="1" t="n">
        <f aca="false">IF(OR(Q1284="Cancelled",Q1284="Returned"),0,O1284)</f>
        <v>399</v>
      </c>
    </row>
    <row r="1285" customFormat="false" ht="15" hidden="false" customHeight="false" outlineLevel="0" collapsed="false">
      <c r="A1285" s="6" t="str">
        <f aca="false">Orders!A1285</f>
        <v>O001284</v>
      </c>
      <c r="B1285" s="19" t="n">
        <f aca="false">Orders!B1285</f>
        <v>45911</v>
      </c>
      <c r="C1285" s="6" t="str">
        <f aca="false">Orders!C1285</f>
        <v>C0172</v>
      </c>
      <c r="D1285" s="6" t="str">
        <f aca="false">Orders!D1285</f>
        <v>P1019</v>
      </c>
      <c r="E1285" s="6" t="str">
        <f aca="false">INDEX(Products!$B$2:$B$101,MATCH(D1285,Products!$A$2:$A$101,0))</f>
        <v>Running Shoes</v>
      </c>
      <c r="F1285" s="1" t="str">
        <f aca="false">INDEX(Products!$C$2:$C$101,MATCH(D1285,Products!$A$2:$A$101,0))</f>
        <v>Fashion</v>
      </c>
      <c r="G1285" s="6" t="n">
        <f aca="false">Orders!E1285</f>
        <v>3</v>
      </c>
      <c r="H1285" s="16" t="n">
        <f aca="false">INDEX(Products!$D$2:$D$101,MATCH(D1285,Products!$A$2:$A$101,0))</f>
        <v>1999</v>
      </c>
      <c r="I1285" s="16" t="n">
        <f aca="false">INDEX(Products!$E$2:$E$101,MATCH(D1285,Products!$A$2:$A$101,0))</f>
        <v>1100</v>
      </c>
      <c r="J1285" s="20" t="n">
        <f aca="false">Orders!F1285</f>
        <v>0.1</v>
      </c>
      <c r="K1285" s="6" t="n">
        <f aca="false">G1285*H1285</f>
        <v>5997</v>
      </c>
      <c r="L1285" s="6" t="n">
        <f aca="false">K1285*J1285</f>
        <v>599.7</v>
      </c>
      <c r="M1285" s="6" t="n">
        <f aca="false">K1285-L1285</f>
        <v>5397.3</v>
      </c>
      <c r="N1285" s="6" t="n">
        <f aca="false">G1285*I1285</f>
        <v>3300</v>
      </c>
      <c r="O1285" s="6" t="n">
        <f aca="false">M1285-N1285</f>
        <v>2097.3</v>
      </c>
      <c r="P1285" s="21" t="n">
        <f aca="false">IFERROR(O1285/M1285,0)</f>
        <v>0.388583180479129</v>
      </c>
      <c r="Q1285" s="6" t="str">
        <f aca="false">Orders!H1285</f>
        <v>Delivered</v>
      </c>
      <c r="R1285" s="1" t="str">
        <f aca="false">INDEX(Customers!$C$2:$C$301,MATCH(C1285,Customers!$A$2:$A$301,0))</f>
        <v>Noida</v>
      </c>
      <c r="S1285" s="1" t="str">
        <f aca="false">INDEX(Customers!$E$2:$E$301,MATCH(C1285,Customers!$A$2:$A$301,0))</f>
        <v>Returning</v>
      </c>
      <c r="T1285" s="6" t="str">
        <f aca="false">Orders!I1285</f>
        <v>Marketplace</v>
      </c>
      <c r="U1285" s="1" t="str">
        <f aca="false">IF(Q1285="Delivered","Completed",IF(Q1285="Cancelled","Cancelled",IF(Q1285="Returned","Returned","In Progress")))</f>
        <v>Completed</v>
      </c>
      <c r="V1285" s="1" t="str">
        <f aca="false">IF(M1285&gt;=10000,"High Value",IF(M1285&gt;=5000,"Medium Value","Low Value"))</f>
        <v>Medium Value</v>
      </c>
      <c r="W1285" s="1" t="str">
        <f aca="false">IF(O1285&gt;0,"Profitable",IF(O1285=0,"Break-even","Loss"))</f>
        <v>Profitable</v>
      </c>
      <c r="X1285" s="1" t="str">
        <f aca="false">IF(Q1285="Cancelled","Not Applicable",IF(Q1285="Processing","Pending",IF(B1285="","Unknown",IF(Orders!J1285="","Unknown",IF(Orders!J1285&lt;=3,"Fast",IF(Orders!J1285&lt;=6,"Standard","Slow"))))))</f>
        <v>Slow</v>
      </c>
      <c r="Y1285" s="1" t="n">
        <f aca="false">IF(OR(Q1285="Cancelled",Q1285="Returned"),0,O1285)</f>
        <v>2097.3</v>
      </c>
    </row>
    <row r="1286" customFormat="false" ht="15" hidden="false" customHeight="false" outlineLevel="0" collapsed="false">
      <c r="A1286" s="6" t="str">
        <f aca="false">Orders!A1286</f>
        <v>O001285</v>
      </c>
      <c r="B1286" s="19" t="n">
        <f aca="false">Orders!B1286</f>
        <v>45963</v>
      </c>
      <c r="C1286" s="6" t="str">
        <f aca="false">Orders!C1286</f>
        <v>C0228</v>
      </c>
      <c r="D1286" s="6" t="str">
        <f aca="false">Orders!D1286</f>
        <v>P1048</v>
      </c>
      <c r="E1286" s="6" t="str">
        <f aca="false">INDEX(Products!$B$2:$B$101,MATCH(D1286,Products!$A$2:$A$101,0))</f>
        <v>Shampoo</v>
      </c>
      <c r="F1286" s="1" t="str">
        <f aca="false">INDEX(Products!$C$2:$C$101,MATCH(D1286,Products!$A$2:$A$101,0))</f>
        <v>Beauty</v>
      </c>
      <c r="G1286" s="6" t="n">
        <f aca="false">Orders!E1286</f>
        <v>1</v>
      </c>
      <c r="H1286" s="16" t="n">
        <f aca="false">INDEX(Products!$D$2:$D$101,MATCH(D1286,Products!$A$2:$A$101,0))</f>
        <v>349</v>
      </c>
      <c r="I1286" s="16" t="n">
        <f aca="false">INDEX(Products!$E$2:$E$101,MATCH(D1286,Products!$A$2:$A$101,0))</f>
        <v>150</v>
      </c>
      <c r="J1286" s="20" t="n">
        <f aca="false">Orders!F1286</f>
        <v>0</v>
      </c>
      <c r="K1286" s="6" t="n">
        <f aca="false">G1286*H1286</f>
        <v>349</v>
      </c>
      <c r="L1286" s="6" t="n">
        <f aca="false">K1286*J1286</f>
        <v>0</v>
      </c>
      <c r="M1286" s="6" t="n">
        <f aca="false">K1286-L1286</f>
        <v>349</v>
      </c>
      <c r="N1286" s="6" t="n">
        <f aca="false">G1286*I1286</f>
        <v>150</v>
      </c>
      <c r="O1286" s="6" t="n">
        <f aca="false">M1286-N1286</f>
        <v>199</v>
      </c>
      <c r="P1286" s="21" t="n">
        <f aca="false">IFERROR(O1286/M1286,0)</f>
        <v>0.570200573065903</v>
      </c>
      <c r="Q1286" s="6" t="str">
        <f aca="false">Orders!H1286</f>
        <v>Delivered</v>
      </c>
      <c r="R1286" s="1" t="str">
        <f aca="false">INDEX(Customers!$C$2:$C$301,MATCH(C1286,Customers!$A$2:$A$301,0))</f>
        <v>Jaipur</v>
      </c>
      <c r="S1286" s="1" t="str">
        <f aca="false">INDEX(Customers!$E$2:$E$301,MATCH(C1286,Customers!$A$2:$A$301,0))</f>
        <v>Returning</v>
      </c>
      <c r="T1286" s="6" t="str">
        <f aca="false">Orders!I1286</f>
        <v>Website</v>
      </c>
      <c r="U1286" s="1" t="str">
        <f aca="false">IF(Q1286="Delivered","Completed",IF(Q1286="Cancelled","Cancelled",IF(Q1286="Returned","Returned","In Progress")))</f>
        <v>Completed</v>
      </c>
      <c r="V1286" s="1" t="str">
        <f aca="false">IF(M1286&gt;=10000,"High Value",IF(M1286&gt;=5000,"Medium Value","Low Value"))</f>
        <v>Low Value</v>
      </c>
      <c r="W1286" s="1" t="str">
        <f aca="false">IF(O1286&gt;0,"Profitable",IF(O1286=0,"Break-even","Loss"))</f>
        <v>Profitable</v>
      </c>
      <c r="X1286" s="1" t="str">
        <f aca="false">IF(Q1286="Cancelled","Not Applicable",IF(Q1286="Processing","Pending",IF(B1286="","Unknown",IF(Orders!J1286="","Unknown",IF(Orders!J1286&lt;=3,"Fast",IF(Orders!J1286&lt;=6,"Standard","Slow"))))))</f>
        <v>Standard</v>
      </c>
      <c r="Y1286" s="1" t="n">
        <f aca="false">IF(OR(Q1286="Cancelled",Q1286="Returned"),0,O1286)</f>
        <v>199</v>
      </c>
    </row>
    <row r="1287" customFormat="false" ht="15" hidden="false" customHeight="false" outlineLevel="0" collapsed="false">
      <c r="A1287" s="6" t="str">
        <f aca="false">Orders!A1287</f>
        <v>O001286</v>
      </c>
      <c r="B1287" s="19" t="n">
        <f aca="false">Orders!B1287</f>
        <v>45662</v>
      </c>
      <c r="C1287" s="6" t="str">
        <f aca="false">Orders!C1287</f>
        <v>C0031</v>
      </c>
      <c r="D1287" s="6" t="str">
        <f aca="false">Orders!D1287</f>
        <v>P1068</v>
      </c>
      <c r="E1287" s="6" t="str">
        <f aca="false">INDEX(Products!$B$2:$B$101,MATCH(D1287,Products!$A$2:$A$101,0))</f>
        <v>Cycling Bottle</v>
      </c>
      <c r="F1287" s="1" t="str">
        <f aca="false">INDEX(Products!$C$2:$C$101,MATCH(D1287,Products!$A$2:$A$101,0))</f>
        <v>Sports &amp; Outdoors</v>
      </c>
      <c r="G1287" s="6" t="n">
        <f aca="false">Orders!E1287</f>
        <v>1</v>
      </c>
      <c r="H1287" s="16" t="n">
        <f aca="false">INDEX(Products!$D$2:$D$101,MATCH(D1287,Products!$A$2:$A$101,0))</f>
        <v>349</v>
      </c>
      <c r="I1287" s="16" t="n">
        <f aca="false">INDEX(Products!$E$2:$E$101,MATCH(D1287,Products!$A$2:$A$101,0))</f>
        <v>120</v>
      </c>
      <c r="J1287" s="20" t="n">
        <f aca="false">Orders!F1287</f>
        <v>0.05</v>
      </c>
      <c r="K1287" s="6" t="n">
        <f aca="false">G1287*H1287</f>
        <v>349</v>
      </c>
      <c r="L1287" s="6" t="n">
        <f aca="false">K1287*J1287</f>
        <v>17.45</v>
      </c>
      <c r="M1287" s="6" t="n">
        <f aca="false">K1287-L1287</f>
        <v>331.55</v>
      </c>
      <c r="N1287" s="6" t="n">
        <f aca="false">G1287*I1287</f>
        <v>120</v>
      </c>
      <c r="O1287" s="6" t="n">
        <f aca="false">M1287-N1287</f>
        <v>211.55</v>
      </c>
      <c r="P1287" s="21" t="n">
        <f aca="false">IFERROR(O1287/M1287,0)</f>
        <v>0.63806364047655</v>
      </c>
      <c r="Q1287" s="6" t="str">
        <f aca="false">Orders!H1287</f>
        <v>Returned</v>
      </c>
      <c r="R1287" s="1" t="str">
        <f aca="false">INDEX(Customers!$C$2:$C$301,MATCH(C1287,Customers!$A$2:$A$301,0))</f>
        <v>Gurugram</v>
      </c>
      <c r="S1287" s="1" t="str">
        <f aca="false">INDEX(Customers!$E$2:$E$301,MATCH(C1287,Customers!$A$2:$A$301,0))</f>
        <v>Returning</v>
      </c>
      <c r="T1287" s="6" t="str">
        <f aca="false">Orders!I1287</f>
        <v>Website</v>
      </c>
      <c r="U1287" s="1" t="str">
        <f aca="false">IF(Q1287="Delivered","Completed",IF(Q1287="Cancelled","Cancelled",IF(Q1287="Returned","Returned","In Progress")))</f>
        <v>Returned</v>
      </c>
      <c r="V1287" s="1" t="str">
        <f aca="false">IF(M1287&gt;=10000,"High Value",IF(M1287&gt;=5000,"Medium Value","Low Value"))</f>
        <v>Low Value</v>
      </c>
      <c r="W1287" s="1" t="str">
        <f aca="false">IF(O1287&gt;0,"Profitable",IF(O1287=0,"Break-even","Loss"))</f>
        <v>Profitable</v>
      </c>
      <c r="X1287" s="1" t="str">
        <f aca="false">IF(Q1287="Cancelled","Not Applicable",IF(Q1287="Processing","Pending",IF(B1287="","Unknown",IF(Orders!J1287="","Unknown",IF(Orders!J1287&lt;=3,"Fast",IF(Orders!J1287&lt;=6,"Standard","Slow"))))))</f>
        <v>Standard</v>
      </c>
      <c r="Y1287" s="1" t="n">
        <f aca="false">IF(OR(Q1287="Cancelled",Q1287="Returned"),0,O1287)</f>
        <v>0</v>
      </c>
    </row>
    <row r="1288" customFormat="false" ht="15" hidden="false" customHeight="false" outlineLevel="0" collapsed="false">
      <c r="A1288" s="6" t="str">
        <f aca="false">Orders!A1288</f>
        <v>O001287</v>
      </c>
      <c r="B1288" s="19" t="n">
        <f aca="false">Orders!B1288</f>
        <v>45801</v>
      </c>
      <c r="C1288" s="6" t="str">
        <f aca="false">Orders!C1288</f>
        <v>C0071</v>
      </c>
      <c r="D1288" s="6" t="str">
        <f aca="false">Orders!D1288</f>
        <v>P1022</v>
      </c>
      <c r="E1288" s="6" t="str">
        <f aca="false">INDEX(Products!$B$2:$B$101,MATCH(D1288,Products!$A$2:$A$101,0))</f>
        <v>Wallet</v>
      </c>
      <c r="F1288" s="1" t="str">
        <f aca="false">INDEX(Products!$C$2:$C$101,MATCH(D1288,Products!$A$2:$A$101,0))</f>
        <v>Fashion</v>
      </c>
      <c r="G1288" s="6" t="n">
        <f aca="false">Orders!E1288</f>
        <v>2</v>
      </c>
      <c r="H1288" s="16" t="n">
        <f aca="false">INDEX(Products!$D$2:$D$101,MATCH(D1288,Products!$A$2:$A$101,0))</f>
        <v>499</v>
      </c>
      <c r="I1288" s="16" t="n">
        <f aca="false">INDEX(Products!$E$2:$E$101,MATCH(D1288,Products!$A$2:$A$101,0))</f>
        <v>200</v>
      </c>
      <c r="J1288" s="20" t="n">
        <f aca="false">Orders!F1288</f>
        <v>0.05</v>
      </c>
      <c r="K1288" s="6" t="n">
        <f aca="false">G1288*H1288</f>
        <v>998</v>
      </c>
      <c r="L1288" s="6" t="n">
        <f aca="false">K1288*J1288</f>
        <v>49.9</v>
      </c>
      <c r="M1288" s="6" t="n">
        <f aca="false">K1288-L1288</f>
        <v>948.1</v>
      </c>
      <c r="N1288" s="6" t="n">
        <f aca="false">G1288*I1288</f>
        <v>400</v>
      </c>
      <c r="O1288" s="6" t="n">
        <f aca="false">M1288-N1288</f>
        <v>548.1</v>
      </c>
      <c r="P1288" s="21" t="n">
        <f aca="false">IFERROR(O1288/M1288,0)</f>
        <v>0.578103575572197</v>
      </c>
      <c r="Q1288" s="6" t="str">
        <f aca="false">Orders!H1288</f>
        <v>Shipped</v>
      </c>
      <c r="R1288" s="1" t="str">
        <f aca="false">INDEX(Customers!$C$2:$C$301,MATCH(C1288,Customers!$A$2:$A$301,0))</f>
        <v>Gurugram</v>
      </c>
      <c r="S1288" s="1" t="str">
        <f aca="false">INDEX(Customers!$E$2:$E$301,MATCH(C1288,Customers!$A$2:$A$301,0))</f>
        <v>VIP</v>
      </c>
      <c r="T1288" s="6" t="str">
        <f aca="false">Orders!I1288</f>
        <v>Website</v>
      </c>
      <c r="U1288" s="1" t="str">
        <f aca="false">IF(Q1288="Delivered","Completed",IF(Q1288="Cancelled","Cancelled",IF(Q1288="Returned","Returned","In Progress")))</f>
        <v>In Progress</v>
      </c>
      <c r="V1288" s="1" t="str">
        <f aca="false">IF(M1288&gt;=10000,"High Value",IF(M1288&gt;=5000,"Medium Value","Low Value"))</f>
        <v>Low Value</v>
      </c>
      <c r="W1288" s="1" t="str">
        <f aca="false">IF(O1288&gt;0,"Profitable",IF(O1288=0,"Break-even","Loss"))</f>
        <v>Profitable</v>
      </c>
      <c r="X1288" s="1" t="str">
        <f aca="false">IF(Q1288="Cancelled","Not Applicable",IF(Q1288="Processing","Pending",IF(B1288="","Unknown",IF(Orders!J1288="","Unknown",IF(Orders!J1288&lt;=3,"Fast",IF(Orders!J1288&lt;=6,"Standard","Slow"))))))</f>
        <v>Fast</v>
      </c>
      <c r="Y1288" s="1" t="n">
        <f aca="false">IF(OR(Q1288="Cancelled",Q1288="Returned"),0,O1288)</f>
        <v>548.1</v>
      </c>
    </row>
    <row r="1289" customFormat="false" ht="15" hidden="false" customHeight="false" outlineLevel="0" collapsed="false">
      <c r="A1289" s="6" t="str">
        <f aca="false">Orders!A1289</f>
        <v>O001288</v>
      </c>
      <c r="B1289" s="19" t="n">
        <f aca="false">Orders!B1289</f>
        <v>45813</v>
      </c>
      <c r="C1289" s="6" t="str">
        <f aca="false">Orders!C1289</f>
        <v>C0121</v>
      </c>
      <c r="D1289" s="6" t="str">
        <f aca="false">Orders!D1289</f>
        <v>P1030</v>
      </c>
      <c r="E1289" s="6" t="str">
        <f aca="false">INDEX(Products!$B$2:$B$101,MATCH(D1289,Products!$A$2:$A$101,0))</f>
        <v>Formal Shoes</v>
      </c>
      <c r="F1289" s="1" t="str">
        <f aca="false">INDEX(Products!$C$2:$C$101,MATCH(D1289,Products!$A$2:$A$101,0))</f>
        <v>Fashion</v>
      </c>
      <c r="G1289" s="6" t="n">
        <f aca="false">Orders!E1289</f>
        <v>2</v>
      </c>
      <c r="H1289" s="16" t="n">
        <f aca="false">INDEX(Products!$D$2:$D$101,MATCH(D1289,Products!$A$2:$A$101,0))</f>
        <v>2299</v>
      </c>
      <c r="I1289" s="16" t="n">
        <f aca="false">INDEX(Products!$E$2:$E$101,MATCH(D1289,Products!$A$2:$A$101,0))</f>
        <v>1300</v>
      </c>
      <c r="J1289" s="20" t="n">
        <f aca="false">Orders!F1289</f>
        <v>0.05</v>
      </c>
      <c r="K1289" s="6" t="n">
        <f aca="false">G1289*H1289</f>
        <v>4598</v>
      </c>
      <c r="L1289" s="6" t="n">
        <f aca="false">K1289*J1289</f>
        <v>229.9</v>
      </c>
      <c r="M1289" s="6" t="n">
        <f aca="false">K1289-L1289</f>
        <v>4368.1</v>
      </c>
      <c r="N1289" s="6" t="n">
        <f aca="false">G1289*I1289</f>
        <v>2600</v>
      </c>
      <c r="O1289" s="6" t="n">
        <f aca="false">M1289-N1289</f>
        <v>1768.1</v>
      </c>
      <c r="P1289" s="21" t="n">
        <f aca="false">IFERROR(O1289/M1289,0)</f>
        <v>0.404775531695703</v>
      </c>
      <c r="Q1289" s="6" t="str">
        <f aca="false">Orders!H1289</f>
        <v>Processing</v>
      </c>
      <c r="R1289" s="1" t="str">
        <f aca="false">INDEX(Customers!$C$2:$C$301,MATCH(C1289,Customers!$A$2:$A$301,0))</f>
        <v>Delhi</v>
      </c>
      <c r="S1289" s="1" t="str">
        <f aca="false">INDEX(Customers!$E$2:$E$301,MATCH(C1289,Customers!$A$2:$A$301,0))</f>
        <v>Returning</v>
      </c>
      <c r="T1289" s="6" t="str">
        <f aca="false">Orders!I1289</f>
        <v>Marketplace</v>
      </c>
      <c r="U1289" s="1" t="str">
        <f aca="false">IF(Q1289="Delivered","Completed",IF(Q1289="Cancelled","Cancelled",IF(Q1289="Returned","Returned","In Progress")))</f>
        <v>In Progress</v>
      </c>
      <c r="V1289" s="1" t="str">
        <f aca="false">IF(M1289&gt;=10000,"High Value",IF(M1289&gt;=5000,"Medium Value","Low Value"))</f>
        <v>Low Value</v>
      </c>
      <c r="W1289" s="1" t="str">
        <f aca="false">IF(O1289&gt;0,"Profitable",IF(O1289=0,"Break-even","Loss"))</f>
        <v>Profitable</v>
      </c>
      <c r="X1289" s="1" t="str">
        <f aca="false">IF(Q1289="Cancelled","Not Applicable",IF(Q1289="Processing","Pending",IF(B1289="","Unknown",IF(Orders!J1289="","Unknown",IF(Orders!J1289&lt;=3,"Fast",IF(Orders!J1289&lt;=6,"Standard","Slow"))))))</f>
        <v>Pending</v>
      </c>
      <c r="Y1289" s="1" t="n">
        <f aca="false">IF(OR(Q1289="Cancelled",Q1289="Returned"),0,O1289)</f>
        <v>1768.1</v>
      </c>
    </row>
    <row r="1290" customFormat="false" ht="23.85" hidden="false" customHeight="false" outlineLevel="0" collapsed="false">
      <c r="A1290" s="6" t="str">
        <f aca="false">Orders!A1290</f>
        <v>O001289</v>
      </c>
      <c r="B1290" s="19" t="n">
        <f aca="false">Orders!B1290</f>
        <v>45840</v>
      </c>
      <c r="C1290" s="6" t="str">
        <f aca="false">Orders!C1290</f>
        <v>C0104</v>
      </c>
      <c r="D1290" s="6" t="str">
        <f aca="false">Orders!D1290</f>
        <v>P1031</v>
      </c>
      <c r="E1290" s="6" t="str">
        <f aca="false">INDEX(Products!$B$2:$B$101,MATCH(D1290,Products!$A$2:$A$101,0))</f>
        <v>Storage Container Set</v>
      </c>
      <c r="F1290" s="1" t="str">
        <f aca="false">INDEX(Products!$C$2:$C$101,MATCH(D1290,Products!$A$2:$A$101,0))</f>
        <v>Home &amp; Kitchen</v>
      </c>
      <c r="G1290" s="6" t="n">
        <f aca="false">Orders!E1290</f>
        <v>3</v>
      </c>
      <c r="H1290" s="16" t="n">
        <f aca="false">INDEX(Products!$D$2:$D$101,MATCH(D1290,Products!$A$2:$A$101,0))</f>
        <v>699</v>
      </c>
      <c r="I1290" s="16" t="n">
        <f aca="false">INDEX(Products!$E$2:$E$101,MATCH(D1290,Products!$A$2:$A$101,0))</f>
        <v>300</v>
      </c>
      <c r="J1290" s="20" t="n">
        <f aca="false">Orders!F1290</f>
        <v>0.05</v>
      </c>
      <c r="K1290" s="6" t="n">
        <f aca="false">G1290*H1290</f>
        <v>2097</v>
      </c>
      <c r="L1290" s="6" t="n">
        <f aca="false">K1290*J1290</f>
        <v>104.85</v>
      </c>
      <c r="M1290" s="6" t="n">
        <f aca="false">K1290-L1290</f>
        <v>1992.15</v>
      </c>
      <c r="N1290" s="6" t="n">
        <f aca="false">G1290*I1290</f>
        <v>900</v>
      </c>
      <c r="O1290" s="6" t="n">
        <f aca="false">M1290-N1290</f>
        <v>1092.15</v>
      </c>
      <c r="P1290" s="21" t="n">
        <f aca="false">IFERROR(O1290/M1290,0)</f>
        <v>0.548226790151344</v>
      </c>
      <c r="Q1290" s="6" t="str">
        <f aca="false">Orders!H1290</f>
        <v>Returned</v>
      </c>
      <c r="R1290" s="1" t="str">
        <f aca="false">INDEX(Customers!$C$2:$C$301,MATCH(C1290,Customers!$A$2:$A$301,0))</f>
        <v>Hyderabad</v>
      </c>
      <c r="S1290" s="1" t="str">
        <f aca="false">INDEX(Customers!$E$2:$E$301,MATCH(C1290,Customers!$A$2:$A$301,0))</f>
        <v>New</v>
      </c>
      <c r="T1290" s="6" t="str">
        <f aca="false">Orders!I1290</f>
        <v>Marketplace</v>
      </c>
      <c r="U1290" s="1" t="str">
        <f aca="false">IF(Q1290="Delivered","Completed",IF(Q1290="Cancelled","Cancelled",IF(Q1290="Returned","Returned","In Progress")))</f>
        <v>Returned</v>
      </c>
      <c r="V1290" s="1" t="str">
        <f aca="false">IF(M1290&gt;=10000,"High Value",IF(M1290&gt;=5000,"Medium Value","Low Value"))</f>
        <v>Low Value</v>
      </c>
      <c r="W1290" s="1" t="str">
        <f aca="false">IF(O1290&gt;0,"Profitable",IF(O1290=0,"Break-even","Loss"))</f>
        <v>Profitable</v>
      </c>
      <c r="X1290" s="1" t="str">
        <f aca="false">IF(Q1290="Cancelled","Not Applicable",IF(Q1290="Processing","Pending",IF(B1290="","Unknown",IF(Orders!J1290="","Unknown",IF(Orders!J1290&lt;=3,"Fast",IF(Orders!J1290&lt;=6,"Standard","Slow"))))))</f>
        <v>Slow</v>
      </c>
      <c r="Y1290" s="1" t="n">
        <f aca="false">IF(OR(Q1290="Cancelled",Q1290="Returned"),0,O1290)</f>
        <v>0</v>
      </c>
    </row>
    <row r="1291" customFormat="false" ht="15" hidden="false" customHeight="false" outlineLevel="0" collapsed="false">
      <c r="A1291" s="6" t="str">
        <f aca="false">Orders!A1291</f>
        <v>O001290</v>
      </c>
      <c r="B1291" s="19" t="n">
        <f aca="false">Orders!B1291</f>
        <v>45944</v>
      </c>
      <c r="C1291" s="6" t="str">
        <f aca="false">Orders!C1291</f>
        <v>C0066</v>
      </c>
      <c r="D1291" s="6" t="str">
        <f aca="false">Orders!D1291</f>
        <v>P1076</v>
      </c>
      <c r="E1291" s="6" t="str">
        <f aca="false">INDEX(Products!$B$2:$B$101,MATCH(D1291,Products!$A$2:$A$101,0))</f>
        <v>Desk Organizer</v>
      </c>
      <c r="F1291" s="1" t="str">
        <f aca="false">INDEX(Products!$C$2:$C$101,MATCH(D1291,Products!$A$2:$A$101,0))</f>
        <v>Books &amp; Stationery</v>
      </c>
      <c r="G1291" s="6" t="n">
        <f aca="false">Orders!E1291</f>
        <v>2</v>
      </c>
      <c r="H1291" s="16" t="n">
        <f aca="false">INDEX(Products!$D$2:$D$101,MATCH(D1291,Products!$A$2:$A$101,0))</f>
        <v>399</v>
      </c>
      <c r="I1291" s="16" t="n">
        <f aca="false">INDEX(Products!$E$2:$E$101,MATCH(D1291,Products!$A$2:$A$101,0))</f>
        <v>170</v>
      </c>
      <c r="J1291" s="20" t="n">
        <f aca="false">Orders!F1291</f>
        <v>0</v>
      </c>
      <c r="K1291" s="6" t="n">
        <f aca="false">G1291*H1291</f>
        <v>798</v>
      </c>
      <c r="L1291" s="6" t="n">
        <f aca="false">K1291*J1291</f>
        <v>0</v>
      </c>
      <c r="M1291" s="6" t="n">
        <f aca="false">K1291-L1291</f>
        <v>798</v>
      </c>
      <c r="N1291" s="6" t="n">
        <f aca="false">G1291*I1291</f>
        <v>340</v>
      </c>
      <c r="O1291" s="6" t="n">
        <f aca="false">M1291-N1291</f>
        <v>458</v>
      </c>
      <c r="P1291" s="21" t="n">
        <f aca="false">IFERROR(O1291/M1291,0)</f>
        <v>0.573934837092732</v>
      </c>
      <c r="Q1291" s="6" t="str">
        <f aca="false">Orders!H1291</f>
        <v>Delivered</v>
      </c>
      <c r="R1291" s="1" t="str">
        <f aca="false">INDEX(Customers!$C$2:$C$301,MATCH(C1291,Customers!$A$2:$A$301,0))</f>
        <v>Kolkata</v>
      </c>
      <c r="S1291" s="1" t="str">
        <f aca="false">INDEX(Customers!$E$2:$E$301,MATCH(C1291,Customers!$A$2:$A$301,0))</f>
        <v>New</v>
      </c>
      <c r="T1291" s="6" t="str">
        <f aca="false">Orders!I1291</f>
        <v>Mobile App</v>
      </c>
      <c r="U1291" s="1" t="str">
        <f aca="false">IF(Q1291="Delivered","Completed",IF(Q1291="Cancelled","Cancelled",IF(Q1291="Returned","Returned","In Progress")))</f>
        <v>Completed</v>
      </c>
      <c r="V1291" s="1" t="str">
        <f aca="false">IF(M1291&gt;=10000,"High Value",IF(M1291&gt;=5000,"Medium Value","Low Value"))</f>
        <v>Low Value</v>
      </c>
      <c r="W1291" s="1" t="str">
        <f aca="false">IF(O1291&gt;0,"Profitable",IF(O1291=0,"Break-even","Loss"))</f>
        <v>Profitable</v>
      </c>
      <c r="X1291" s="1" t="str">
        <f aca="false">IF(Q1291="Cancelled","Not Applicable",IF(Q1291="Processing","Pending",IF(B1291="","Unknown",IF(Orders!J1291="","Unknown",IF(Orders!J1291&lt;=3,"Fast",IF(Orders!J1291&lt;=6,"Standard","Slow"))))))</f>
        <v>Standard</v>
      </c>
      <c r="Y1291" s="1" t="n">
        <f aca="false">IF(OR(Q1291="Cancelled",Q1291="Returned"),0,O1291)</f>
        <v>458</v>
      </c>
    </row>
    <row r="1292" customFormat="false" ht="15" hidden="false" customHeight="false" outlineLevel="0" collapsed="false">
      <c r="A1292" s="6" t="str">
        <f aca="false">Orders!A1292</f>
        <v>O001291</v>
      </c>
      <c r="B1292" s="19" t="n">
        <f aca="false">Orders!B1292</f>
        <v>45851</v>
      </c>
      <c r="C1292" s="6" t="str">
        <f aca="false">Orders!C1292</f>
        <v>C0107</v>
      </c>
      <c r="D1292" s="6" t="str">
        <f aca="false">Orders!D1292</f>
        <v>P1082</v>
      </c>
      <c r="E1292" s="6" t="str">
        <f aca="false">INDEX(Products!$B$2:$B$101,MATCH(D1292,Products!$A$2:$A$101,0))</f>
        <v>File Folder Set</v>
      </c>
      <c r="F1292" s="1" t="str">
        <f aca="false">INDEX(Products!$C$2:$C$101,MATCH(D1292,Products!$A$2:$A$101,0))</f>
        <v>Books &amp; Stationery</v>
      </c>
      <c r="G1292" s="6" t="n">
        <f aca="false">Orders!E1292</f>
        <v>2</v>
      </c>
      <c r="H1292" s="16" t="n">
        <f aca="false">INDEX(Products!$D$2:$D$101,MATCH(D1292,Products!$A$2:$A$101,0))</f>
        <v>249</v>
      </c>
      <c r="I1292" s="16" t="n">
        <f aca="false">INDEX(Products!$E$2:$E$101,MATCH(D1292,Products!$A$2:$A$101,0))</f>
        <v>90</v>
      </c>
      <c r="J1292" s="20" t="n">
        <f aca="false">Orders!F1292</f>
        <v>0.15</v>
      </c>
      <c r="K1292" s="6" t="n">
        <f aca="false">G1292*H1292</f>
        <v>498</v>
      </c>
      <c r="L1292" s="6" t="n">
        <f aca="false">K1292*J1292</f>
        <v>74.7</v>
      </c>
      <c r="M1292" s="6" t="n">
        <f aca="false">K1292-L1292</f>
        <v>423.3</v>
      </c>
      <c r="N1292" s="6" t="n">
        <f aca="false">G1292*I1292</f>
        <v>180</v>
      </c>
      <c r="O1292" s="6" t="n">
        <f aca="false">M1292-N1292</f>
        <v>243.3</v>
      </c>
      <c r="P1292" s="21" t="n">
        <f aca="false">IFERROR(O1292/M1292,0)</f>
        <v>0.574769666902906</v>
      </c>
      <c r="Q1292" s="6" t="str">
        <f aca="false">Orders!H1292</f>
        <v>Delivered</v>
      </c>
      <c r="R1292" s="1" t="str">
        <f aca="false">INDEX(Customers!$C$2:$C$301,MATCH(C1292,Customers!$A$2:$A$301,0))</f>
        <v>Pune</v>
      </c>
      <c r="S1292" s="1" t="str">
        <f aca="false">INDEX(Customers!$E$2:$E$301,MATCH(C1292,Customers!$A$2:$A$301,0))</f>
        <v>Returning</v>
      </c>
      <c r="T1292" s="6" t="str">
        <f aca="false">Orders!I1292</f>
        <v>Marketplace</v>
      </c>
      <c r="U1292" s="1" t="str">
        <f aca="false">IF(Q1292="Delivered","Completed",IF(Q1292="Cancelled","Cancelled",IF(Q1292="Returned","Returned","In Progress")))</f>
        <v>Completed</v>
      </c>
      <c r="V1292" s="1" t="str">
        <f aca="false">IF(M1292&gt;=10000,"High Value",IF(M1292&gt;=5000,"Medium Value","Low Value"))</f>
        <v>Low Value</v>
      </c>
      <c r="W1292" s="1" t="str">
        <f aca="false">IF(O1292&gt;0,"Profitable",IF(O1292=0,"Break-even","Loss"))</f>
        <v>Profitable</v>
      </c>
      <c r="X1292" s="1" t="str">
        <f aca="false">IF(Q1292="Cancelled","Not Applicable",IF(Q1292="Processing","Pending",IF(B1292="","Unknown",IF(Orders!J1292="","Unknown",IF(Orders!J1292&lt;=3,"Fast",IF(Orders!J1292&lt;=6,"Standard","Slow"))))))</f>
        <v>Slow</v>
      </c>
      <c r="Y1292" s="1" t="n">
        <f aca="false">IF(OR(Q1292="Cancelled",Q1292="Returned"),0,O1292)</f>
        <v>243.3</v>
      </c>
    </row>
    <row r="1293" customFormat="false" ht="15" hidden="false" customHeight="false" outlineLevel="0" collapsed="false">
      <c r="A1293" s="6" t="str">
        <f aca="false">Orders!A1293</f>
        <v>O001292</v>
      </c>
      <c r="B1293" s="19" t="n">
        <f aca="false">Orders!B1293</f>
        <v>45910</v>
      </c>
      <c r="C1293" s="6" t="str">
        <f aca="false">Orders!C1293</f>
        <v>C0079</v>
      </c>
      <c r="D1293" s="6" t="str">
        <f aca="false">Orders!D1293</f>
        <v>P1027</v>
      </c>
      <c r="E1293" s="6" t="str">
        <f aca="false">INDEX(Products!$B$2:$B$101,MATCH(D1293,Products!$A$2:$A$101,0))</f>
        <v>Belt</v>
      </c>
      <c r="F1293" s="1" t="str">
        <f aca="false">INDEX(Products!$C$2:$C$101,MATCH(D1293,Products!$A$2:$A$101,0))</f>
        <v>Fashion</v>
      </c>
      <c r="G1293" s="6" t="n">
        <f aca="false">Orders!E1293</f>
        <v>1</v>
      </c>
      <c r="H1293" s="16" t="n">
        <f aca="false">INDEX(Products!$D$2:$D$101,MATCH(D1293,Products!$A$2:$A$101,0))</f>
        <v>399</v>
      </c>
      <c r="I1293" s="16" t="n">
        <f aca="false">INDEX(Products!$E$2:$E$101,MATCH(D1293,Products!$A$2:$A$101,0))</f>
        <v>160</v>
      </c>
      <c r="J1293" s="20" t="n">
        <f aca="false">Orders!F1293</f>
        <v>0.05</v>
      </c>
      <c r="K1293" s="6" t="n">
        <f aca="false">G1293*H1293</f>
        <v>399</v>
      </c>
      <c r="L1293" s="6" t="n">
        <f aca="false">K1293*J1293</f>
        <v>19.95</v>
      </c>
      <c r="M1293" s="6" t="n">
        <f aca="false">K1293-L1293</f>
        <v>379.05</v>
      </c>
      <c r="N1293" s="6" t="n">
        <f aca="false">G1293*I1293</f>
        <v>160</v>
      </c>
      <c r="O1293" s="6" t="n">
        <f aca="false">M1293-N1293</f>
        <v>219.05</v>
      </c>
      <c r="P1293" s="21" t="n">
        <f aca="false">IFERROR(O1293/M1293,0)</f>
        <v>0.577892098667722</v>
      </c>
      <c r="Q1293" s="6" t="str">
        <f aca="false">Orders!H1293</f>
        <v>Delivered</v>
      </c>
      <c r="R1293" s="1" t="str">
        <f aca="false">INDEX(Customers!$C$2:$C$301,MATCH(C1293,Customers!$A$2:$A$301,0))</f>
        <v>Coimbatore</v>
      </c>
      <c r="S1293" s="1" t="str">
        <f aca="false">INDEX(Customers!$E$2:$E$301,MATCH(C1293,Customers!$A$2:$A$301,0))</f>
        <v>Returning</v>
      </c>
      <c r="T1293" s="6" t="str">
        <f aca="false">Orders!I1293</f>
        <v>Mobile App</v>
      </c>
      <c r="U1293" s="1" t="str">
        <f aca="false">IF(Q1293="Delivered","Completed",IF(Q1293="Cancelled","Cancelled",IF(Q1293="Returned","Returned","In Progress")))</f>
        <v>Completed</v>
      </c>
      <c r="V1293" s="1" t="str">
        <f aca="false">IF(M1293&gt;=10000,"High Value",IF(M1293&gt;=5000,"Medium Value","Low Value"))</f>
        <v>Low Value</v>
      </c>
      <c r="W1293" s="1" t="str">
        <f aca="false">IF(O1293&gt;0,"Profitable",IF(O1293=0,"Break-even","Loss"))</f>
        <v>Profitable</v>
      </c>
      <c r="X1293" s="1" t="str">
        <f aca="false">IF(Q1293="Cancelled","Not Applicable",IF(Q1293="Processing","Pending",IF(B1293="","Unknown",IF(Orders!J1293="","Unknown",IF(Orders!J1293&lt;=3,"Fast",IF(Orders!J1293&lt;=6,"Standard","Slow"))))))</f>
        <v>Standard</v>
      </c>
      <c r="Y1293" s="1" t="n">
        <f aca="false">IF(OR(Q1293="Cancelled",Q1293="Returned"),0,O1293)</f>
        <v>219.05</v>
      </c>
    </row>
    <row r="1294" customFormat="false" ht="15" hidden="false" customHeight="false" outlineLevel="0" collapsed="false">
      <c r="A1294" s="6" t="str">
        <f aca="false">Orders!A1294</f>
        <v>O001293</v>
      </c>
      <c r="B1294" s="19" t="n">
        <f aca="false">Orders!B1294</f>
        <v>45767</v>
      </c>
      <c r="C1294" s="6" t="str">
        <f aca="false">Orders!C1294</f>
        <v>C0153</v>
      </c>
      <c r="D1294" s="6" t="str">
        <f aca="false">Orders!D1294</f>
        <v>P1077</v>
      </c>
      <c r="E1294" s="6" t="str">
        <f aca="false">INDEX(Products!$B$2:$B$101,MATCH(D1294,Products!$A$2:$A$101,0))</f>
        <v>Planner</v>
      </c>
      <c r="F1294" s="1" t="str">
        <f aca="false">INDEX(Products!$C$2:$C$101,MATCH(D1294,Products!$A$2:$A$101,0))</f>
        <v>Books &amp; Stationery</v>
      </c>
      <c r="G1294" s="6" t="n">
        <f aca="false">Orders!E1294</f>
        <v>1</v>
      </c>
      <c r="H1294" s="16" t="n">
        <f aca="false">INDEX(Products!$D$2:$D$101,MATCH(D1294,Products!$A$2:$A$101,0))</f>
        <v>349</v>
      </c>
      <c r="I1294" s="16" t="n">
        <f aca="false">INDEX(Products!$E$2:$E$101,MATCH(D1294,Products!$A$2:$A$101,0))</f>
        <v>130</v>
      </c>
      <c r="J1294" s="20" t="n">
        <f aca="false">Orders!F1294</f>
        <v>0.25</v>
      </c>
      <c r="K1294" s="6" t="n">
        <f aca="false">G1294*H1294</f>
        <v>349</v>
      </c>
      <c r="L1294" s="6" t="n">
        <f aca="false">K1294*J1294</f>
        <v>87.25</v>
      </c>
      <c r="M1294" s="6" t="n">
        <f aca="false">K1294-L1294</f>
        <v>261.75</v>
      </c>
      <c r="N1294" s="6" t="n">
        <f aca="false">G1294*I1294</f>
        <v>130</v>
      </c>
      <c r="O1294" s="6" t="n">
        <f aca="false">M1294-N1294</f>
        <v>131.75</v>
      </c>
      <c r="P1294" s="21" t="n">
        <f aca="false">IFERROR(O1294/M1294,0)</f>
        <v>0.50334288443171</v>
      </c>
      <c r="Q1294" s="6" t="str">
        <f aca="false">Orders!H1294</f>
        <v>Delivered</v>
      </c>
      <c r="R1294" s="1" t="str">
        <f aca="false">INDEX(Customers!$C$2:$C$301,MATCH(C1294,Customers!$A$2:$A$301,0))</f>
        <v>Kochi</v>
      </c>
      <c r="S1294" s="1" t="str">
        <f aca="false">INDEX(Customers!$E$2:$E$301,MATCH(C1294,Customers!$A$2:$A$301,0))</f>
        <v>Returning</v>
      </c>
      <c r="T1294" s="6" t="str">
        <f aca="false">Orders!I1294</f>
        <v>Mobile App</v>
      </c>
      <c r="U1294" s="1" t="str">
        <f aca="false">IF(Q1294="Delivered","Completed",IF(Q1294="Cancelled","Cancelled",IF(Q1294="Returned","Returned","In Progress")))</f>
        <v>Completed</v>
      </c>
      <c r="V1294" s="1" t="str">
        <f aca="false">IF(M1294&gt;=10000,"High Value",IF(M1294&gt;=5000,"Medium Value","Low Value"))</f>
        <v>Low Value</v>
      </c>
      <c r="W1294" s="1" t="str">
        <f aca="false">IF(O1294&gt;0,"Profitable",IF(O1294=0,"Break-even","Loss"))</f>
        <v>Profitable</v>
      </c>
      <c r="X1294" s="1" t="str">
        <f aca="false">IF(Q1294="Cancelled","Not Applicable",IF(Q1294="Processing","Pending",IF(B1294="","Unknown",IF(Orders!J1294="","Unknown",IF(Orders!J1294&lt;=3,"Fast",IF(Orders!J1294&lt;=6,"Standard","Slow"))))))</f>
        <v>Standard</v>
      </c>
      <c r="Y1294" s="1" t="n">
        <f aca="false">IF(OR(Q1294="Cancelled",Q1294="Returned"),0,O1294)</f>
        <v>131.75</v>
      </c>
    </row>
    <row r="1295" customFormat="false" ht="15" hidden="false" customHeight="false" outlineLevel="0" collapsed="false">
      <c r="A1295" s="6" t="str">
        <f aca="false">Orders!A1295</f>
        <v>O001294</v>
      </c>
      <c r="B1295" s="19" t="n">
        <f aca="false">Orders!B1295</f>
        <v>45901</v>
      </c>
      <c r="C1295" s="6" t="str">
        <f aca="false">Orders!C1295</f>
        <v>C0033</v>
      </c>
      <c r="D1295" s="6" t="str">
        <f aca="false">Orders!D1295</f>
        <v>P1059</v>
      </c>
      <c r="E1295" s="6" t="str">
        <f aca="false">INDEX(Products!$B$2:$B$101,MATCH(D1295,Products!$A$2:$A$101,0))</f>
        <v>Bath Gift Set</v>
      </c>
      <c r="F1295" s="1" t="str">
        <f aca="false">INDEX(Products!$C$2:$C$101,MATCH(D1295,Products!$A$2:$A$101,0))</f>
        <v>Beauty</v>
      </c>
      <c r="G1295" s="6" t="n">
        <f aca="false">Orders!E1295</f>
        <v>1</v>
      </c>
      <c r="H1295" s="16" t="n">
        <f aca="false">INDEX(Products!$D$2:$D$101,MATCH(D1295,Products!$A$2:$A$101,0))</f>
        <v>699</v>
      </c>
      <c r="I1295" s="16" t="n">
        <f aca="false">INDEX(Products!$E$2:$E$101,MATCH(D1295,Products!$A$2:$A$101,0))</f>
        <v>350</v>
      </c>
      <c r="J1295" s="20" t="n">
        <f aca="false">Orders!F1295</f>
        <v>0.25</v>
      </c>
      <c r="K1295" s="6" t="n">
        <f aca="false">G1295*H1295</f>
        <v>699</v>
      </c>
      <c r="L1295" s="6" t="n">
        <f aca="false">K1295*J1295</f>
        <v>174.75</v>
      </c>
      <c r="M1295" s="6" t="n">
        <f aca="false">K1295-L1295</f>
        <v>524.25</v>
      </c>
      <c r="N1295" s="6" t="n">
        <f aca="false">G1295*I1295</f>
        <v>350</v>
      </c>
      <c r="O1295" s="6" t="n">
        <f aca="false">M1295-N1295</f>
        <v>174.25</v>
      </c>
      <c r="P1295" s="21" t="n">
        <f aca="false">IFERROR(O1295/M1295,0)</f>
        <v>0.33237958989032</v>
      </c>
      <c r="Q1295" s="6" t="str">
        <f aca="false">Orders!H1295</f>
        <v>Returned</v>
      </c>
      <c r="R1295" s="1" t="str">
        <f aca="false">INDEX(Customers!$C$2:$C$301,MATCH(C1295,Customers!$A$2:$A$301,0))</f>
        <v>Kochi</v>
      </c>
      <c r="S1295" s="1" t="str">
        <f aca="false">INDEX(Customers!$E$2:$E$301,MATCH(C1295,Customers!$A$2:$A$301,0))</f>
        <v>VIP</v>
      </c>
      <c r="T1295" s="6" t="str">
        <f aca="false">Orders!I1295</f>
        <v>Marketplace</v>
      </c>
      <c r="U1295" s="1" t="str">
        <f aca="false">IF(Q1295="Delivered","Completed",IF(Q1295="Cancelled","Cancelled",IF(Q1295="Returned","Returned","In Progress")))</f>
        <v>Returned</v>
      </c>
      <c r="V1295" s="1" t="str">
        <f aca="false">IF(M1295&gt;=10000,"High Value",IF(M1295&gt;=5000,"Medium Value","Low Value"))</f>
        <v>Low Value</v>
      </c>
      <c r="W1295" s="1" t="str">
        <f aca="false">IF(O1295&gt;0,"Profitable",IF(O1295=0,"Break-even","Loss"))</f>
        <v>Profitable</v>
      </c>
      <c r="X1295" s="1" t="str">
        <f aca="false">IF(Q1295="Cancelled","Not Applicable",IF(Q1295="Processing","Pending",IF(B1295="","Unknown",IF(Orders!J1295="","Unknown",IF(Orders!J1295&lt;=3,"Fast",IF(Orders!J1295&lt;=6,"Standard","Slow"))))))</f>
        <v>Fast</v>
      </c>
      <c r="Y1295" s="1" t="n">
        <f aca="false">IF(OR(Q1295="Cancelled",Q1295="Returned"),0,O1295)</f>
        <v>0</v>
      </c>
    </row>
    <row r="1296" customFormat="false" ht="15" hidden="false" customHeight="false" outlineLevel="0" collapsed="false">
      <c r="A1296" s="6" t="str">
        <f aca="false">Orders!A1296</f>
        <v>O001295</v>
      </c>
      <c r="B1296" s="19" t="n">
        <f aca="false">Orders!B1296</f>
        <v>45891</v>
      </c>
      <c r="C1296" s="6" t="str">
        <f aca="false">Orders!C1296</f>
        <v>C0161</v>
      </c>
      <c r="D1296" s="6" t="str">
        <f aca="false">Orders!D1296</f>
        <v>P1017</v>
      </c>
      <c r="E1296" s="6" t="str">
        <f aca="false">INDEX(Products!$B$2:$B$101,MATCH(D1296,Products!$A$2:$A$101,0))</f>
        <v>Denim Jeans</v>
      </c>
      <c r="F1296" s="1" t="str">
        <f aca="false">INDEX(Products!$C$2:$C$101,MATCH(D1296,Products!$A$2:$A$101,0))</f>
        <v>Fashion</v>
      </c>
      <c r="G1296" s="6" t="n">
        <f aca="false">Orders!E1296</f>
        <v>2</v>
      </c>
      <c r="H1296" s="16" t="n">
        <f aca="false">INDEX(Products!$D$2:$D$101,MATCH(D1296,Products!$A$2:$A$101,0))</f>
        <v>1299</v>
      </c>
      <c r="I1296" s="16" t="n">
        <f aca="false">INDEX(Products!$E$2:$E$101,MATCH(D1296,Products!$A$2:$A$101,0))</f>
        <v>650</v>
      </c>
      <c r="J1296" s="20" t="n">
        <f aca="false">Orders!F1296</f>
        <v>0.15</v>
      </c>
      <c r="K1296" s="6" t="n">
        <f aca="false">G1296*H1296</f>
        <v>2598</v>
      </c>
      <c r="L1296" s="6" t="n">
        <f aca="false">K1296*J1296</f>
        <v>389.7</v>
      </c>
      <c r="M1296" s="6" t="n">
        <f aca="false">K1296-L1296</f>
        <v>2208.3</v>
      </c>
      <c r="N1296" s="6" t="n">
        <f aca="false">G1296*I1296</f>
        <v>1300</v>
      </c>
      <c r="O1296" s="6" t="n">
        <f aca="false">M1296-N1296</f>
        <v>908.3</v>
      </c>
      <c r="P1296" s="21" t="n">
        <f aca="false">IFERROR(O1296/M1296,0)</f>
        <v>0.411311868858398</v>
      </c>
      <c r="Q1296" s="6" t="str">
        <f aca="false">Orders!H1296</f>
        <v>Processing</v>
      </c>
      <c r="R1296" s="1" t="str">
        <f aca="false">INDEX(Customers!$C$2:$C$301,MATCH(C1296,Customers!$A$2:$A$301,0))</f>
        <v>Delhi</v>
      </c>
      <c r="S1296" s="1" t="str">
        <f aca="false">INDEX(Customers!$E$2:$E$301,MATCH(C1296,Customers!$A$2:$A$301,0))</f>
        <v>New</v>
      </c>
      <c r="T1296" s="6" t="str">
        <f aca="false">Orders!I1296</f>
        <v>Mobile App</v>
      </c>
      <c r="U1296" s="1" t="str">
        <f aca="false">IF(Q1296="Delivered","Completed",IF(Q1296="Cancelled","Cancelled",IF(Q1296="Returned","Returned","In Progress")))</f>
        <v>In Progress</v>
      </c>
      <c r="V1296" s="1" t="str">
        <f aca="false">IF(M1296&gt;=10000,"High Value",IF(M1296&gt;=5000,"Medium Value","Low Value"))</f>
        <v>Low Value</v>
      </c>
      <c r="W1296" s="1" t="str">
        <f aca="false">IF(O1296&gt;0,"Profitable",IF(O1296=0,"Break-even","Loss"))</f>
        <v>Profitable</v>
      </c>
      <c r="X1296" s="1" t="str">
        <f aca="false">IF(Q1296="Cancelled","Not Applicable",IF(Q1296="Processing","Pending",IF(B1296="","Unknown",IF(Orders!J1296="","Unknown",IF(Orders!J1296&lt;=3,"Fast",IF(Orders!J1296&lt;=6,"Standard","Slow"))))))</f>
        <v>Pending</v>
      </c>
      <c r="Y1296" s="1" t="n">
        <f aca="false">IF(OR(Q1296="Cancelled",Q1296="Returned"),0,O1296)</f>
        <v>908.3</v>
      </c>
    </row>
    <row r="1297" customFormat="false" ht="15" hidden="false" customHeight="false" outlineLevel="0" collapsed="false">
      <c r="A1297" s="6" t="str">
        <f aca="false">Orders!A1297</f>
        <v>O001296</v>
      </c>
      <c r="B1297" s="19" t="n">
        <f aca="false">Orders!B1297</f>
        <v>45878</v>
      </c>
      <c r="C1297" s="6" t="str">
        <f aca="false">Orders!C1297</f>
        <v>C0208</v>
      </c>
      <c r="D1297" s="6" t="str">
        <f aca="false">Orders!D1297</f>
        <v>P1082</v>
      </c>
      <c r="E1297" s="6" t="str">
        <f aca="false">INDEX(Products!$B$2:$B$101,MATCH(D1297,Products!$A$2:$A$101,0))</f>
        <v>File Folder Set</v>
      </c>
      <c r="F1297" s="1" t="str">
        <f aca="false">INDEX(Products!$C$2:$C$101,MATCH(D1297,Products!$A$2:$A$101,0))</f>
        <v>Books &amp; Stationery</v>
      </c>
      <c r="G1297" s="6" t="n">
        <f aca="false">Orders!E1297</f>
        <v>1</v>
      </c>
      <c r="H1297" s="16" t="n">
        <f aca="false">INDEX(Products!$D$2:$D$101,MATCH(D1297,Products!$A$2:$A$101,0))</f>
        <v>249</v>
      </c>
      <c r="I1297" s="16" t="n">
        <f aca="false">INDEX(Products!$E$2:$E$101,MATCH(D1297,Products!$A$2:$A$101,0))</f>
        <v>90</v>
      </c>
      <c r="J1297" s="20" t="n">
        <f aca="false">Orders!F1297</f>
        <v>0.1</v>
      </c>
      <c r="K1297" s="6" t="n">
        <f aca="false">G1297*H1297</f>
        <v>249</v>
      </c>
      <c r="L1297" s="6" t="n">
        <f aca="false">K1297*J1297</f>
        <v>24.9</v>
      </c>
      <c r="M1297" s="6" t="n">
        <f aca="false">K1297-L1297</f>
        <v>224.1</v>
      </c>
      <c r="N1297" s="6" t="n">
        <f aca="false">G1297*I1297</f>
        <v>90</v>
      </c>
      <c r="O1297" s="6" t="n">
        <f aca="false">M1297-N1297</f>
        <v>134.1</v>
      </c>
      <c r="P1297" s="21" t="n">
        <f aca="false">IFERROR(O1297/M1297,0)</f>
        <v>0.598393574297189</v>
      </c>
      <c r="Q1297" s="6" t="str">
        <f aca="false">Orders!H1297</f>
        <v>Delivered</v>
      </c>
      <c r="R1297" s="1" t="str">
        <f aca="false">INDEX(Customers!$C$2:$C$301,MATCH(C1297,Customers!$A$2:$A$301,0))</f>
        <v>Jaipur</v>
      </c>
      <c r="S1297" s="1" t="str">
        <f aca="false">INDEX(Customers!$E$2:$E$301,MATCH(C1297,Customers!$A$2:$A$301,0))</f>
        <v>Returning</v>
      </c>
      <c r="T1297" s="6" t="str">
        <f aca="false">Orders!I1297</f>
        <v>Mobile App</v>
      </c>
      <c r="U1297" s="1" t="str">
        <f aca="false">IF(Q1297="Delivered","Completed",IF(Q1297="Cancelled","Cancelled",IF(Q1297="Returned","Returned","In Progress")))</f>
        <v>Completed</v>
      </c>
      <c r="V1297" s="1" t="str">
        <f aca="false">IF(M1297&gt;=10000,"High Value",IF(M1297&gt;=5000,"Medium Value","Low Value"))</f>
        <v>Low Value</v>
      </c>
      <c r="W1297" s="1" t="str">
        <f aca="false">IF(O1297&gt;0,"Profitable",IF(O1297=0,"Break-even","Loss"))</f>
        <v>Profitable</v>
      </c>
      <c r="X1297" s="1" t="str">
        <f aca="false">IF(Q1297="Cancelled","Not Applicable",IF(Q1297="Processing","Pending",IF(B1297="","Unknown",IF(Orders!J1297="","Unknown",IF(Orders!J1297&lt;=3,"Fast",IF(Orders!J1297&lt;=6,"Standard","Slow"))))))</f>
        <v>Fast</v>
      </c>
      <c r="Y1297" s="1" t="n">
        <f aca="false">IF(OR(Q1297="Cancelled",Q1297="Returned"),0,O1297)</f>
        <v>134.1</v>
      </c>
    </row>
    <row r="1298" customFormat="false" ht="23.85" hidden="false" customHeight="false" outlineLevel="0" collapsed="false">
      <c r="A1298" s="6" t="str">
        <f aca="false">Orders!A1298</f>
        <v>O001297</v>
      </c>
      <c r="B1298" s="19" t="n">
        <f aca="false">Orders!B1298</f>
        <v>45895</v>
      </c>
      <c r="C1298" s="6" t="str">
        <f aca="false">Orders!C1298</f>
        <v>C0016</v>
      </c>
      <c r="D1298" s="6" t="str">
        <f aca="false">Orders!D1298</f>
        <v>P1053</v>
      </c>
      <c r="E1298" s="6" t="str">
        <f aca="false">INDEX(Products!$B$2:$B$101,MATCH(D1298,Products!$A$2:$A$101,0))</f>
        <v>Makeup Brush Set</v>
      </c>
      <c r="F1298" s="1" t="str">
        <f aca="false">INDEX(Products!$C$2:$C$101,MATCH(D1298,Products!$A$2:$A$101,0))</f>
        <v>Beauty</v>
      </c>
      <c r="G1298" s="6" t="n">
        <f aca="false">Orders!E1298</f>
        <v>1</v>
      </c>
      <c r="H1298" s="16" t="n">
        <f aca="false">INDEX(Products!$D$2:$D$101,MATCH(D1298,Products!$A$2:$A$101,0))</f>
        <v>599</v>
      </c>
      <c r="I1298" s="16" t="n">
        <f aca="false">INDEX(Products!$E$2:$E$101,MATCH(D1298,Products!$A$2:$A$101,0))</f>
        <v>250</v>
      </c>
      <c r="J1298" s="20" t="n">
        <f aca="false">Orders!F1298</f>
        <v>0.05</v>
      </c>
      <c r="K1298" s="6" t="n">
        <f aca="false">G1298*H1298</f>
        <v>599</v>
      </c>
      <c r="L1298" s="6" t="n">
        <f aca="false">K1298*J1298</f>
        <v>29.95</v>
      </c>
      <c r="M1298" s="6" t="n">
        <f aca="false">K1298-L1298</f>
        <v>569.05</v>
      </c>
      <c r="N1298" s="6" t="n">
        <f aca="false">G1298*I1298</f>
        <v>250</v>
      </c>
      <c r="O1298" s="6" t="n">
        <f aca="false">M1298-N1298</f>
        <v>319.05</v>
      </c>
      <c r="P1298" s="21" t="n">
        <f aca="false">IFERROR(O1298/M1298,0)</f>
        <v>0.560671294262367</v>
      </c>
      <c r="Q1298" s="6" t="str">
        <f aca="false">Orders!H1298</f>
        <v>Shipped</v>
      </c>
      <c r="R1298" s="1" t="str">
        <f aca="false">INDEX(Customers!$C$2:$C$301,MATCH(C1298,Customers!$A$2:$A$301,0))</f>
        <v>Chandigarh</v>
      </c>
      <c r="S1298" s="1" t="str">
        <f aca="false">INDEX(Customers!$E$2:$E$301,MATCH(C1298,Customers!$A$2:$A$301,0))</f>
        <v>New</v>
      </c>
      <c r="T1298" s="6" t="str">
        <f aca="false">Orders!I1298</f>
        <v>Marketplace</v>
      </c>
      <c r="U1298" s="1" t="str">
        <f aca="false">IF(Q1298="Delivered","Completed",IF(Q1298="Cancelled","Cancelled",IF(Q1298="Returned","Returned","In Progress")))</f>
        <v>In Progress</v>
      </c>
      <c r="V1298" s="1" t="str">
        <f aca="false">IF(M1298&gt;=10000,"High Value",IF(M1298&gt;=5000,"Medium Value","Low Value"))</f>
        <v>Low Value</v>
      </c>
      <c r="W1298" s="1" t="str">
        <f aca="false">IF(O1298&gt;0,"Profitable",IF(O1298=0,"Break-even","Loss"))</f>
        <v>Profitable</v>
      </c>
      <c r="X1298" s="1" t="str">
        <f aca="false">IF(Q1298="Cancelled","Not Applicable",IF(Q1298="Processing","Pending",IF(B1298="","Unknown",IF(Orders!J1298="","Unknown",IF(Orders!J1298&lt;=3,"Fast",IF(Orders!J1298&lt;=6,"Standard","Slow"))))))</f>
        <v>Slow</v>
      </c>
      <c r="Y1298" s="1" t="n">
        <f aca="false">IF(OR(Q1298="Cancelled",Q1298="Returned"),0,O1298)</f>
        <v>319.05</v>
      </c>
    </row>
    <row r="1299" customFormat="false" ht="23.85" hidden="false" customHeight="false" outlineLevel="0" collapsed="false">
      <c r="A1299" s="6" t="str">
        <f aca="false">Orders!A1299</f>
        <v>O001298</v>
      </c>
      <c r="B1299" s="19" t="n">
        <f aca="false">Orders!B1299</f>
        <v>45944</v>
      </c>
      <c r="C1299" s="6" t="str">
        <f aca="false">Orders!C1299</f>
        <v>C0003</v>
      </c>
      <c r="D1299" s="6" t="str">
        <f aca="false">Orders!D1299</f>
        <v>P1031</v>
      </c>
      <c r="E1299" s="6" t="str">
        <f aca="false">INDEX(Products!$B$2:$B$101,MATCH(D1299,Products!$A$2:$A$101,0))</f>
        <v>Storage Container Set</v>
      </c>
      <c r="F1299" s="1" t="str">
        <f aca="false">INDEX(Products!$C$2:$C$101,MATCH(D1299,Products!$A$2:$A$101,0))</f>
        <v>Home &amp; Kitchen</v>
      </c>
      <c r="G1299" s="6" t="n">
        <f aca="false">Orders!E1299</f>
        <v>1</v>
      </c>
      <c r="H1299" s="16" t="n">
        <f aca="false">INDEX(Products!$D$2:$D$101,MATCH(D1299,Products!$A$2:$A$101,0))</f>
        <v>699</v>
      </c>
      <c r="I1299" s="16" t="n">
        <f aca="false">INDEX(Products!$E$2:$E$101,MATCH(D1299,Products!$A$2:$A$101,0))</f>
        <v>300</v>
      </c>
      <c r="J1299" s="20" t="n">
        <f aca="false">Orders!F1299</f>
        <v>0</v>
      </c>
      <c r="K1299" s="6" t="n">
        <f aca="false">G1299*H1299</f>
        <v>699</v>
      </c>
      <c r="L1299" s="6" t="n">
        <f aca="false">K1299*J1299</f>
        <v>0</v>
      </c>
      <c r="M1299" s="6" t="n">
        <f aca="false">K1299-L1299</f>
        <v>699</v>
      </c>
      <c r="N1299" s="6" t="n">
        <f aca="false">G1299*I1299</f>
        <v>300</v>
      </c>
      <c r="O1299" s="6" t="n">
        <f aca="false">M1299-N1299</f>
        <v>399</v>
      </c>
      <c r="P1299" s="21" t="n">
        <f aca="false">IFERROR(O1299/M1299,0)</f>
        <v>0.570815450643777</v>
      </c>
      <c r="Q1299" s="6" t="str">
        <f aca="false">Orders!H1299</f>
        <v>Delivered</v>
      </c>
      <c r="R1299" s="1" t="str">
        <f aca="false">INDEX(Customers!$C$2:$C$301,MATCH(C1299,Customers!$A$2:$A$301,0))</f>
        <v>Bengaluru</v>
      </c>
      <c r="S1299" s="1" t="str">
        <f aca="false">INDEX(Customers!$E$2:$E$301,MATCH(C1299,Customers!$A$2:$A$301,0))</f>
        <v>Returning</v>
      </c>
      <c r="T1299" s="6" t="str">
        <f aca="false">Orders!I1299</f>
        <v>Mobile App</v>
      </c>
      <c r="U1299" s="1" t="str">
        <f aca="false">IF(Q1299="Delivered","Completed",IF(Q1299="Cancelled","Cancelled",IF(Q1299="Returned","Returned","In Progress")))</f>
        <v>Completed</v>
      </c>
      <c r="V1299" s="1" t="str">
        <f aca="false">IF(M1299&gt;=10000,"High Value",IF(M1299&gt;=5000,"Medium Value","Low Value"))</f>
        <v>Low Value</v>
      </c>
      <c r="W1299" s="1" t="str">
        <f aca="false">IF(O1299&gt;0,"Profitable",IF(O1299=0,"Break-even","Loss"))</f>
        <v>Profitable</v>
      </c>
      <c r="X1299" s="1" t="str">
        <f aca="false">IF(Q1299="Cancelled","Not Applicable",IF(Q1299="Processing","Pending",IF(B1299="","Unknown",IF(Orders!J1299="","Unknown",IF(Orders!J1299&lt;=3,"Fast",IF(Orders!J1299&lt;=6,"Standard","Slow"))))))</f>
        <v>Slow</v>
      </c>
      <c r="Y1299" s="1" t="n">
        <f aca="false">IF(OR(Q1299="Cancelled",Q1299="Returned"),0,O1299)</f>
        <v>399</v>
      </c>
    </row>
    <row r="1300" customFormat="false" ht="15" hidden="false" customHeight="false" outlineLevel="0" collapsed="false">
      <c r="A1300" s="6" t="str">
        <f aca="false">Orders!A1300</f>
        <v>O001299</v>
      </c>
      <c r="B1300" s="19" t="n">
        <f aca="false">Orders!B1300</f>
        <v>45888</v>
      </c>
      <c r="C1300" s="6" t="str">
        <f aca="false">Orders!C1300</f>
        <v>C0037</v>
      </c>
      <c r="D1300" s="6" t="str">
        <f aca="false">Orders!D1300</f>
        <v>P1038</v>
      </c>
      <c r="E1300" s="6" t="str">
        <f aca="false">INDEX(Products!$B$2:$B$101,MATCH(D1300,Products!$A$2:$A$101,0))</f>
        <v>Laundry Basket</v>
      </c>
      <c r="F1300" s="1" t="str">
        <f aca="false">INDEX(Products!$C$2:$C$101,MATCH(D1300,Products!$A$2:$A$101,0))</f>
        <v>Home &amp; Kitchen</v>
      </c>
      <c r="G1300" s="6" t="n">
        <f aca="false">Orders!E1300</f>
        <v>3</v>
      </c>
      <c r="H1300" s="16" t="n">
        <f aca="false">INDEX(Products!$D$2:$D$101,MATCH(D1300,Products!$A$2:$A$101,0))</f>
        <v>599</v>
      </c>
      <c r="I1300" s="16" t="n">
        <f aca="false">INDEX(Products!$E$2:$E$101,MATCH(D1300,Products!$A$2:$A$101,0))</f>
        <v>260</v>
      </c>
      <c r="J1300" s="20" t="n">
        <f aca="false">Orders!F1300</f>
        <v>0.05</v>
      </c>
      <c r="K1300" s="6" t="n">
        <f aca="false">G1300*H1300</f>
        <v>1797</v>
      </c>
      <c r="L1300" s="6" t="n">
        <f aca="false">K1300*J1300</f>
        <v>89.85</v>
      </c>
      <c r="M1300" s="6" t="n">
        <f aca="false">K1300-L1300</f>
        <v>1707.15</v>
      </c>
      <c r="N1300" s="6" t="n">
        <f aca="false">G1300*I1300</f>
        <v>780</v>
      </c>
      <c r="O1300" s="6" t="n">
        <f aca="false">M1300-N1300</f>
        <v>927.15</v>
      </c>
      <c r="P1300" s="21" t="n">
        <f aca="false">IFERROR(O1300/M1300,0)</f>
        <v>0.543098146032862</v>
      </c>
      <c r="Q1300" s="6" t="str">
        <f aca="false">Orders!H1300</f>
        <v>Delivered</v>
      </c>
      <c r="R1300" s="1" t="str">
        <f aca="false">INDEX(Customers!$C$2:$C$301,MATCH(C1300,Customers!$A$2:$A$301,0))</f>
        <v>Surat</v>
      </c>
      <c r="S1300" s="1" t="str">
        <f aca="false">INDEX(Customers!$E$2:$E$301,MATCH(C1300,Customers!$A$2:$A$301,0))</f>
        <v>Returning</v>
      </c>
      <c r="T1300" s="6" t="str">
        <f aca="false">Orders!I1300</f>
        <v>Mobile App</v>
      </c>
      <c r="U1300" s="1" t="str">
        <f aca="false">IF(Q1300="Delivered","Completed",IF(Q1300="Cancelled","Cancelled",IF(Q1300="Returned","Returned","In Progress")))</f>
        <v>Completed</v>
      </c>
      <c r="V1300" s="1" t="str">
        <f aca="false">IF(M1300&gt;=10000,"High Value",IF(M1300&gt;=5000,"Medium Value","Low Value"))</f>
        <v>Low Value</v>
      </c>
      <c r="W1300" s="1" t="str">
        <f aca="false">IF(O1300&gt;0,"Profitable",IF(O1300=0,"Break-even","Loss"))</f>
        <v>Profitable</v>
      </c>
      <c r="X1300" s="1" t="str">
        <f aca="false">IF(Q1300="Cancelled","Not Applicable",IF(Q1300="Processing","Pending",IF(B1300="","Unknown",IF(Orders!J1300="","Unknown",IF(Orders!J1300&lt;=3,"Fast",IF(Orders!J1300&lt;=6,"Standard","Slow"))))))</f>
        <v>Slow</v>
      </c>
      <c r="Y1300" s="1" t="n">
        <f aca="false">IF(OR(Q1300="Cancelled",Q1300="Returned"),0,O1300)</f>
        <v>927.15</v>
      </c>
    </row>
    <row r="1301" customFormat="false" ht="15" hidden="false" customHeight="false" outlineLevel="0" collapsed="false">
      <c r="A1301" s="6" t="str">
        <f aca="false">Orders!A1301</f>
        <v>O001300</v>
      </c>
      <c r="B1301" s="19" t="n">
        <f aca="false">Orders!B1301</f>
        <v>45757</v>
      </c>
      <c r="C1301" s="6" t="str">
        <f aca="false">Orders!C1301</f>
        <v>C0224</v>
      </c>
      <c r="D1301" s="6" t="str">
        <f aca="false">Orders!D1301</f>
        <v>P1037</v>
      </c>
      <c r="E1301" s="6" t="str">
        <f aca="false">INDEX(Products!$B$2:$B$101,MATCH(D1301,Products!$A$2:$A$101,0))</f>
        <v>Pillow Pair</v>
      </c>
      <c r="F1301" s="1" t="str">
        <f aca="false">INDEX(Products!$C$2:$C$101,MATCH(D1301,Products!$A$2:$A$101,0))</f>
        <v>Home &amp; Kitchen</v>
      </c>
      <c r="G1301" s="6" t="n">
        <f aca="false">Orders!E1301</f>
        <v>1</v>
      </c>
      <c r="H1301" s="16" t="n">
        <f aca="false">INDEX(Products!$D$2:$D$101,MATCH(D1301,Products!$A$2:$A$101,0))</f>
        <v>799</v>
      </c>
      <c r="I1301" s="16" t="n">
        <f aca="false">INDEX(Products!$E$2:$E$101,MATCH(D1301,Products!$A$2:$A$101,0))</f>
        <v>350</v>
      </c>
      <c r="J1301" s="20" t="n">
        <f aca="false">Orders!F1301</f>
        <v>0.15</v>
      </c>
      <c r="K1301" s="6" t="n">
        <f aca="false">G1301*H1301</f>
        <v>799</v>
      </c>
      <c r="L1301" s="6" t="n">
        <f aca="false">K1301*J1301</f>
        <v>119.85</v>
      </c>
      <c r="M1301" s="6" t="n">
        <f aca="false">K1301-L1301</f>
        <v>679.15</v>
      </c>
      <c r="N1301" s="6" t="n">
        <f aca="false">G1301*I1301</f>
        <v>350</v>
      </c>
      <c r="O1301" s="6" t="n">
        <f aca="false">M1301-N1301</f>
        <v>329.15</v>
      </c>
      <c r="P1301" s="21" t="n">
        <f aca="false">IFERROR(O1301/M1301,0)</f>
        <v>0.484649930059633</v>
      </c>
      <c r="Q1301" s="6" t="str">
        <f aca="false">Orders!H1301</f>
        <v>Cancelled</v>
      </c>
      <c r="R1301" s="1" t="str">
        <f aca="false">INDEX(Customers!$C$2:$C$301,MATCH(C1301,Customers!$A$2:$A$301,0))</f>
        <v>Hyderabad</v>
      </c>
      <c r="S1301" s="1" t="str">
        <f aca="false">INDEX(Customers!$E$2:$E$301,MATCH(C1301,Customers!$A$2:$A$301,0))</f>
        <v>Returning</v>
      </c>
      <c r="T1301" s="6" t="str">
        <f aca="false">Orders!I1301</f>
        <v>Marketplace</v>
      </c>
      <c r="U1301" s="1" t="str">
        <f aca="false">IF(Q1301="Delivered","Completed",IF(Q1301="Cancelled","Cancelled",IF(Q1301="Returned","Returned","In Progress")))</f>
        <v>Cancelled</v>
      </c>
      <c r="V1301" s="1" t="str">
        <f aca="false">IF(M1301&gt;=10000,"High Value",IF(M1301&gt;=5000,"Medium Value","Low Value"))</f>
        <v>Low Value</v>
      </c>
      <c r="W1301" s="1" t="str">
        <f aca="false">IF(O1301&gt;0,"Profitable",IF(O1301=0,"Break-even","Loss"))</f>
        <v>Profitable</v>
      </c>
      <c r="X1301" s="1" t="str">
        <f aca="false">IF(Q1301="Cancelled","Not Applicable",IF(Q1301="Processing","Pending",IF(B1301="","Unknown",IF(Orders!J1301="","Unknown",IF(Orders!J1301&lt;=3,"Fast",IF(Orders!J1301&lt;=6,"Standard","Slow"))))))</f>
        <v>Not Applicable</v>
      </c>
      <c r="Y1301" s="1" t="n">
        <f aca="false">IF(OR(Q1301="Cancelled",Q1301="Returned"),0,O1301)</f>
        <v>0</v>
      </c>
    </row>
    <row r="1302" customFormat="false" ht="15" hidden="false" customHeight="false" outlineLevel="0" collapsed="false">
      <c r="A1302" s="6" t="str">
        <f aca="false">Orders!A1302</f>
        <v>O001301</v>
      </c>
      <c r="B1302" s="19" t="n">
        <f aca="false">Orders!B1302</f>
        <v>45946</v>
      </c>
      <c r="C1302" s="6" t="str">
        <f aca="false">Orders!C1302</f>
        <v>C0238</v>
      </c>
      <c r="D1302" s="6" t="str">
        <f aca="false">Orders!D1302</f>
        <v>P1018</v>
      </c>
      <c r="E1302" s="6" t="str">
        <f aca="false">INDEX(Products!$B$2:$B$101,MATCH(D1302,Products!$A$2:$A$101,0))</f>
        <v>Cotton Shirt</v>
      </c>
      <c r="F1302" s="1" t="str">
        <f aca="false">INDEX(Products!$C$2:$C$101,MATCH(D1302,Products!$A$2:$A$101,0))</f>
        <v>Fashion</v>
      </c>
      <c r="G1302" s="6" t="n">
        <f aca="false">Orders!E1302</f>
        <v>1</v>
      </c>
      <c r="H1302" s="16" t="n">
        <f aca="false">INDEX(Products!$D$2:$D$101,MATCH(D1302,Products!$A$2:$A$101,0))</f>
        <v>899</v>
      </c>
      <c r="I1302" s="16" t="n">
        <f aca="false">INDEX(Products!$E$2:$E$101,MATCH(D1302,Products!$A$2:$A$101,0))</f>
        <v>420</v>
      </c>
      <c r="J1302" s="20" t="n">
        <f aca="false">Orders!F1302</f>
        <v>0.05</v>
      </c>
      <c r="K1302" s="6" t="n">
        <f aca="false">G1302*H1302</f>
        <v>899</v>
      </c>
      <c r="L1302" s="6" t="n">
        <f aca="false">K1302*J1302</f>
        <v>44.95</v>
      </c>
      <c r="M1302" s="6" t="n">
        <f aca="false">K1302-L1302</f>
        <v>854.05</v>
      </c>
      <c r="N1302" s="6" t="n">
        <f aca="false">G1302*I1302</f>
        <v>420</v>
      </c>
      <c r="O1302" s="6" t="n">
        <f aca="false">M1302-N1302</f>
        <v>434.05</v>
      </c>
      <c r="P1302" s="21" t="n">
        <f aca="false">IFERROR(O1302/M1302,0)</f>
        <v>0.508225513728704</v>
      </c>
      <c r="Q1302" s="6" t="str">
        <f aca="false">Orders!H1302</f>
        <v>Delivered</v>
      </c>
      <c r="R1302" s="1" t="str">
        <f aca="false">INDEX(Customers!$C$2:$C$301,MATCH(C1302,Customers!$A$2:$A$301,0))</f>
        <v>Nagpur</v>
      </c>
      <c r="S1302" s="1" t="str">
        <f aca="false">INDEX(Customers!$E$2:$E$301,MATCH(C1302,Customers!$A$2:$A$301,0))</f>
        <v>Returning</v>
      </c>
      <c r="T1302" s="6" t="str">
        <f aca="false">Orders!I1302</f>
        <v>Mobile App</v>
      </c>
      <c r="U1302" s="1" t="str">
        <f aca="false">IF(Q1302="Delivered","Completed",IF(Q1302="Cancelled","Cancelled",IF(Q1302="Returned","Returned","In Progress")))</f>
        <v>Completed</v>
      </c>
      <c r="V1302" s="1" t="str">
        <f aca="false">IF(M1302&gt;=10000,"High Value",IF(M1302&gt;=5000,"Medium Value","Low Value"))</f>
        <v>Low Value</v>
      </c>
      <c r="W1302" s="1" t="str">
        <f aca="false">IF(O1302&gt;0,"Profitable",IF(O1302=0,"Break-even","Loss"))</f>
        <v>Profitable</v>
      </c>
      <c r="X1302" s="1" t="str">
        <f aca="false">IF(Q1302="Cancelled","Not Applicable",IF(Q1302="Processing","Pending",IF(B1302="","Unknown",IF(Orders!J1302="","Unknown",IF(Orders!J1302&lt;=3,"Fast",IF(Orders!J1302&lt;=6,"Standard","Slow"))))))</f>
        <v>Standard</v>
      </c>
      <c r="Y1302" s="1" t="n">
        <f aca="false">IF(OR(Q1302="Cancelled",Q1302="Returned"),0,O1302)</f>
        <v>434.05</v>
      </c>
    </row>
    <row r="1303" customFormat="false" ht="15" hidden="false" customHeight="false" outlineLevel="0" collapsed="false">
      <c r="A1303" s="6" t="str">
        <f aca="false">Orders!A1303</f>
        <v>O001302</v>
      </c>
      <c r="B1303" s="19" t="n">
        <f aca="false">Orders!B1303</f>
        <v>45942</v>
      </c>
      <c r="C1303" s="6" t="str">
        <f aca="false">Orders!C1303</f>
        <v>C0266</v>
      </c>
      <c r="D1303" s="6" t="str">
        <f aca="false">Orders!D1303</f>
        <v>P1096</v>
      </c>
      <c r="E1303" s="6" t="str">
        <f aca="false">INDEX(Products!$B$2:$B$101,MATCH(D1303,Products!$A$2:$A$101,0))</f>
        <v>Air Fryer</v>
      </c>
      <c r="F1303" s="1" t="str">
        <f aca="false">INDEX(Products!$C$2:$C$101,MATCH(D1303,Products!$A$2:$A$101,0))</f>
        <v>Appliances</v>
      </c>
      <c r="G1303" s="6" t="n">
        <f aca="false">Orders!E1303</f>
        <v>1</v>
      </c>
      <c r="H1303" s="16" t="n">
        <f aca="false">INDEX(Products!$D$2:$D$101,MATCH(D1303,Products!$A$2:$A$101,0))</f>
        <v>3999</v>
      </c>
      <c r="I1303" s="16" t="n">
        <f aca="false">INDEX(Products!$E$2:$E$101,MATCH(D1303,Products!$A$2:$A$101,0))</f>
        <v>2700</v>
      </c>
      <c r="J1303" s="20" t="n">
        <f aca="false">Orders!F1303</f>
        <v>0.1</v>
      </c>
      <c r="K1303" s="6" t="n">
        <f aca="false">G1303*H1303</f>
        <v>3999</v>
      </c>
      <c r="L1303" s="6" t="n">
        <f aca="false">K1303*J1303</f>
        <v>399.9</v>
      </c>
      <c r="M1303" s="6" t="n">
        <f aca="false">K1303-L1303</f>
        <v>3599.1</v>
      </c>
      <c r="N1303" s="6" t="n">
        <f aca="false">G1303*I1303</f>
        <v>2700</v>
      </c>
      <c r="O1303" s="6" t="n">
        <f aca="false">M1303-N1303</f>
        <v>899.1</v>
      </c>
      <c r="P1303" s="21" t="n">
        <f aca="false">IFERROR(O1303/M1303,0)</f>
        <v>0.249812453113278</v>
      </c>
      <c r="Q1303" s="6" t="str">
        <f aca="false">Orders!H1303</f>
        <v>Delivered</v>
      </c>
      <c r="R1303" s="1" t="str">
        <f aca="false">INDEX(Customers!$C$2:$C$301,MATCH(C1303,Customers!$A$2:$A$301,0))</f>
        <v>Kolkata</v>
      </c>
      <c r="S1303" s="1" t="str">
        <f aca="false">INDEX(Customers!$E$2:$E$301,MATCH(C1303,Customers!$A$2:$A$301,0))</f>
        <v>Returning</v>
      </c>
      <c r="T1303" s="6" t="str">
        <f aca="false">Orders!I1303</f>
        <v>Mobile App</v>
      </c>
      <c r="U1303" s="1" t="str">
        <f aca="false">IF(Q1303="Delivered","Completed",IF(Q1303="Cancelled","Cancelled",IF(Q1303="Returned","Returned","In Progress")))</f>
        <v>Completed</v>
      </c>
      <c r="V1303" s="1" t="str">
        <f aca="false">IF(M1303&gt;=10000,"High Value",IF(M1303&gt;=5000,"Medium Value","Low Value"))</f>
        <v>Low Value</v>
      </c>
      <c r="W1303" s="1" t="str">
        <f aca="false">IF(O1303&gt;0,"Profitable",IF(O1303=0,"Break-even","Loss"))</f>
        <v>Profitable</v>
      </c>
      <c r="X1303" s="1" t="str">
        <f aca="false">IF(Q1303="Cancelled","Not Applicable",IF(Q1303="Processing","Pending",IF(B1303="","Unknown",IF(Orders!J1303="","Unknown",IF(Orders!J1303&lt;=3,"Fast",IF(Orders!J1303&lt;=6,"Standard","Slow"))))))</f>
        <v>Standard</v>
      </c>
      <c r="Y1303" s="1" t="n">
        <f aca="false">IF(OR(Q1303="Cancelled",Q1303="Returned"),0,O1303)</f>
        <v>899.1</v>
      </c>
    </row>
    <row r="1304" customFormat="false" ht="15" hidden="false" customHeight="false" outlineLevel="0" collapsed="false">
      <c r="A1304" s="6" t="str">
        <f aca="false">Orders!A1304</f>
        <v>O001303</v>
      </c>
      <c r="B1304" s="19" t="n">
        <f aca="false">Orders!B1304</f>
        <v>45972</v>
      </c>
      <c r="C1304" s="6" t="str">
        <f aca="false">Orders!C1304</f>
        <v>C0259</v>
      </c>
      <c r="D1304" s="6" t="str">
        <f aca="false">Orders!D1304</f>
        <v>P1074</v>
      </c>
      <c r="E1304" s="6" t="str">
        <f aca="false">INDEX(Products!$B$2:$B$101,MATCH(D1304,Products!$A$2:$A$101,0))</f>
        <v>Notebook Pack</v>
      </c>
      <c r="F1304" s="1" t="str">
        <f aca="false">INDEX(Products!$C$2:$C$101,MATCH(D1304,Products!$A$2:$A$101,0))</f>
        <v>Books &amp; Stationery</v>
      </c>
      <c r="G1304" s="6" t="n">
        <f aca="false">Orders!E1304</f>
        <v>2</v>
      </c>
      <c r="H1304" s="16" t="n">
        <f aca="false">INDEX(Products!$D$2:$D$101,MATCH(D1304,Products!$A$2:$A$101,0))</f>
        <v>299</v>
      </c>
      <c r="I1304" s="16" t="n">
        <f aca="false">INDEX(Products!$E$2:$E$101,MATCH(D1304,Products!$A$2:$A$101,0))</f>
        <v>110</v>
      </c>
      <c r="J1304" s="20" t="n">
        <f aca="false">Orders!F1304</f>
        <v>0.2</v>
      </c>
      <c r="K1304" s="6" t="n">
        <f aca="false">G1304*H1304</f>
        <v>598</v>
      </c>
      <c r="L1304" s="6" t="n">
        <f aca="false">K1304*J1304</f>
        <v>119.6</v>
      </c>
      <c r="M1304" s="6" t="n">
        <f aca="false">K1304-L1304</f>
        <v>478.4</v>
      </c>
      <c r="N1304" s="6" t="n">
        <f aca="false">G1304*I1304</f>
        <v>220</v>
      </c>
      <c r="O1304" s="6" t="n">
        <f aca="false">M1304-N1304</f>
        <v>258.4</v>
      </c>
      <c r="P1304" s="21" t="n">
        <f aca="false">IFERROR(O1304/M1304,0)</f>
        <v>0.540133779264214</v>
      </c>
      <c r="Q1304" s="6" t="str">
        <f aca="false">Orders!H1304</f>
        <v>Shipped</v>
      </c>
      <c r="R1304" s="1" t="str">
        <f aca="false">INDEX(Customers!$C$2:$C$301,MATCH(C1304,Customers!$A$2:$A$301,0))</f>
        <v>Coimbatore</v>
      </c>
      <c r="S1304" s="1" t="str">
        <f aca="false">INDEX(Customers!$E$2:$E$301,MATCH(C1304,Customers!$A$2:$A$301,0))</f>
        <v>New</v>
      </c>
      <c r="T1304" s="6" t="str">
        <f aca="false">Orders!I1304</f>
        <v>Mobile App</v>
      </c>
      <c r="U1304" s="1" t="str">
        <f aca="false">IF(Q1304="Delivered","Completed",IF(Q1304="Cancelled","Cancelled",IF(Q1304="Returned","Returned","In Progress")))</f>
        <v>In Progress</v>
      </c>
      <c r="V1304" s="1" t="str">
        <f aca="false">IF(M1304&gt;=10000,"High Value",IF(M1304&gt;=5000,"Medium Value","Low Value"))</f>
        <v>Low Value</v>
      </c>
      <c r="W1304" s="1" t="str">
        <f aca="false">IF(O1304&gt;0,"Profitable",IF(O1304=0,"Break-even","Loss"))</f>
        <v>Profitable</v>
      </c>
      <c r="X1304" s="1" t="str">
        <f aca="false">IF(Q1304="Cancelled","Not Applicable",IF(Q1304="Processing","Pending",IF(B1304="","Unknown",IF(Orders!J1304="","Unknown",IF(Orders!J1304&lt;=3,"Fast",IF(Orders!J1304&lt;=6,"Standard","Slow"))))))</f>
        <v>Slow</v>
      </c>
      <c r="Y1304" s="1" t="n">
        <f aca="false">IF(OR(Q1304="Cancelled",Q1304="Returned"),0,O1304)</f>
        <v>258.4</v>
      </c>
    </row>
    <row r="1305" customFormat="false" ht="15" hidden="false" customHeight="false" outlineLevel="0" collapsed="false">
      <c r="A1305" s="6" t="str">
        <f aca="false">Orders!A1305</f>
        <v>O001304</v>
      </c>
      <c r="B1305" s="19" t="n">
        <f aca="false">Orders!B1305</f>
        <v>45972</v>
      </c>
      <c r="C1305" s="6" t="str">
        <f aca="false">Orders!C1305</f>
        <v>C0234</v>
      </c>
      <c r="D1305" s="6" t="str">
        <f aca="false">Orders!D1305</f>
        <v>P1100</v>
      </c>
      <c r="E1305" s="6" t="str">
        <f aca="false">INDEX(Products!$B$2:$B$101,MATCH(D1305,Products!$A$2:$A$101,0))</f>
        <v>Coffee Maker</v>
      </c>
      <c r="F1305" s="1" t="str">
        <f aca="false">INDEX(Products!$C$2:$C$101,MATCH(D1305,Products!$A$2:$A$101,0))</f>
        <v>Appliances</v>
      </c>
      <c r="G1305" s="6" t="n">
        <f aca="false">Orders!E1305</f>
        <v>2</v>
      </c>
      <c r="H1305" s="16" t="n">
        <f aca="false">INDEX(Products!$D$2:$D$101,MATCH(D1305,Products!$A$2:$A$101,0))</f>
        <v>2499</v>
      </c>
      <c r="I1305" s="16" t="n">
        <f aca="false">INDEX(Products!$E$2:$E$101,MATCH(D1305,Products!$A$2:$A$101,0))</f>
        <v>1600</v>
      </c>
      <c r="J1305" s="20" t="n">
        <f aca="false">Orders!F1305</f>
        <v>0.1</v>
      </c>
      <c r="K1305" s="6" t="n">
        <f aca="false">G1305*H1305</f>
        <v>4998</v>
      </c>
      <c r="L1305" s="6" t="n">
        <f aca="false">K1305*J1305</f>
        <v>499.8</v>
      </c>
      <c r="M1305" s="6" t="n">
        <f aca="false">K1305-L1305</f>
        <v>4498.2</v>
      </c>
      <c r="N1305" s="6" t="n">
        <f aca="false">G1305*I1305</f>
        <v>3200</v>
      </c>
      <c r="O1305" s="6" t="n">
        <f aca="false">M1305-N1305</f>
        <v>1298.2</v>
      </c>
      <c r="P1305" s="21" t="n">
        <f aca="false">IFERROR(O1305/M1305,0)</f>
        <v>0.288604330621137</v>
      </c>
      <c r="Q1305" s="6" t="str">
        <f aca="false">Orders!H1305</f>
        <v>Processing</v>
      </c>
      <c r="R1305" s="1" t="str">
        <f aca="false">INDEX(Customers!$C$2:$C$301,MATCH(C1305,Customers!$A$2:$A$301,0))</f>
        <v>Indore</v>
      </c>
      <c r="S1305" s="1" t="str">
        <f aca="false">INDEX(Customers!$E$2:$E$301,MATCH(C1305,Customers!$A$2:$A$301,0))</f>
        <v>New</v>
      </c>
      <c r="T1305" s="6" t="str">
        <f aca="false">Orders!I1305</f>
        <v>Website</v>
      </c>
      <c r="U1305" s="1" t="str">
        <f aca="false">IF(Q1305="Delivered","Completed",IF(Q1305="Cancelled","Cancelled",IF(Q1305="Returned","Returned","In Progress")))</f>
        <v>In Progress</v>
      </c>
      <c r="V1305" s="1" t="str">
        <f aca="false">IF(M1305&gt;=10000,"High Value",IF(M1305&gt;=5000,"Medium Value","Low Value"))</f>
        <v>Low Value</v>
      </c>
      <c r="W1305" s="1" t="str">
        <f aca="false">IF(O1305&gt;0,"Profitable",IF(O1305=0,"Break-even","Loss"))</f>
        <v>Profitable</v>
      </c>
      <c r="X1305" s="1" t="str">
        <f aca="false">IF(Q1305="Cancelled","Not Applicable",IF(Q1305="Processing","Pending",IF(B1305="","Unknown",IF(Orders!J1305="","Unknown",IF(Orders!J1305&lt;=3,"Fast",IF(Orders!J1305&lt;=6,"Standard","Slow"))))))</f>
        <v>Pending</v>
      </c>
      <c r="Y1305" s="1" t="n">
        <f aca="false">IF(OR(Q1305="Cancelled",Q1305="Returned"),0,O1305)</f>
        <v>1298.2</v>
      </c>
    </row>
    <row r="1306" customFormat="false" ht="15" hidden="false" customHeight="false" outlineLevel="0" collapsed="false">
      <c r="A1306" s="6" t="str">
        <f aca="false">Orders!A1306</f>
        <v>O001305</v>
      </c>
      <c r="B1306" s="19" t="n">
        <f aca="false">Orders!B1306</f>
        <v>45998</v>
      </c>
      <c r="C1306" s="6" t="str">
        <f aca="false">Orders!C1306</f>
        <v>C0083</v>
      </c>
      <c r="D1306" s="6" t="str">
        <f aca="false">Orders!D1306</f>
        <v>P1089</v>
      </c>
      <c r="E1306" s="6" t="str">
        <f aca="false">INDEX(Products!$B$2:$B$101,MATCH(D1306,Products!$A$2:$A$101,0))</f>
        <v>Mixer Grinder</v>
      </c>
      <c r="F1306" s="1" t="str">
        <f aca="false">INDEX(Products!$C$2:$C$101,MATCH(D1306,Products!$A$2:$A$101,0))</f>
        <v>Appliances</v>
      </c>
      <c r="G1306" s="6" t="n">
        <f aca="false">Orders!E1306</f>
        <v>1</v>
      </c>
      <c r="H1306" s="16" t="n">
        <f aca="false">INDEX(Products!$D$2:$D$101,MATCH(D1306,Products!$A$2:$A$101,0))</f>
        <v>2499</v>
      </c>
      <c r="I1306" s="16" t="n">
        <f aca="false">INDEX(Products!$E$2:$E$101,MATCH(D1306,Products!$A$2:$A$101,0))</f>
        <v>1550</v>
      </c>
      <c r="J1306" s="20" t="n">
        <f aca="false">Orders!F1306</f>
        <v>0.15</v>
      </c>
      <c r="K1306" s="6" t="n">
        <f aca="false">G1306*H1306</f>
        <v>2499</v>
      </c>
      <c r="L1306" s="6" t="n">
        <f aca="false">K1306*J1306</f>
        <v>374.85</v>
      </c>
      <c r="M1306" s="6" t="n">
        <f aca="false">K1306-L1306</f>
        <v>2124.15</v>
      </c>
      <c r="N1306" s="6" t="n">
        <f aca="false">G1306*I1306</f>
        <v>1550</v>
      </c>
      <c r="O1306" s="6" t="n">
        <f aca="false">M1306-N1306</f>
        <v>574.15</v>
      </c>
      <c r="P1306" s="21" t="n">
        <f aca="false">IFERROR(O1306/M1306,0)</f>
        <v>0.270296353835652</v>
      </c>
      <c r="Q1306" s="6" t="str">
        <f aca="false">Orders!H1306</f>
        <v>Delivered</v>
      </c>
      <c r="R1306" s="1" t="str">
        <f aca="false">INDEX(Customers!$C$2:$C$301,MATCH(C1306,Customers!$A$2:$A$301,0))</f>
        <v>Bengaluru</v>
      </c>
      <c r="S1306" s="1" t="str">
        <f aca="false">INDEX(Customers!$E$2:$E$301,MATCH(C1306,Customers!$A$2:$A$301,0))</f>
        <v>VIP</v>
      </c>
      <c r="T1306" s="6" t="str">
        <f aca="false">Orders!I1306</f>
        <v>Mobile App</v>
      </c>
      <c r="U1306" s="1" t="str">
        <f aca="false">IF(Q1306="Delivered","Completed",IF(Q1306="Cancelled","Cancelled",IF(Q1306="Returned","Returned","In Progress")))</f>
        <v>Completed</v>
      </c>
      <c r="V1306" s="1" t="str">
        <f aca="false">IF(M1306&gt;=10000,"High Value",IF(M1306&gt;=5000,"Medium Value","Low Value"))</f>
        <v>Low Value</v>
      </c>
      <c r="W1306" s="1" t="str">
        <f aca="false">IF(O1306&gt;0,"Profitable",IF(O1306=0,"Break-even","Loss"))</f>
        <v>Profitable</v>
      </c>
      <c r="X1306" s="1" t="str">
        <f aca="false">IF(Q1306="Cancelled","Not Applicable",IF(Q1306="Processing","Pending",IF(B1306="","Unknown",IF(Orders!J1306="","Unknown",IF(Orders!J1306&lt;=3,"Fast",IF(Orders!J1306&lt;=6,"Standard","Slow"))))))</f>
        <v>Standard</v>
      </c>
      <c r="Y1306" s="1" t="n">
        <f aca="false">IF(OR(Q1306="Cancelled",Q1306="Returned"),0,O1306)</f>
        <v>574.15</v>
      </c>
    </row>
    <row r="1307" customFormat="false" ht="15" hidden="false" customHeight="false" outlineLevel="0" collapsed="false">
      <c r="A1307" s="6" t="str">
        <f aca="false">Orders!A1307</f>
        <v>O001306</v>
      </c>
      <c r="B1307" s="19" t="n">
        <f aca="false">Orders!B1307</f>
        <v>45911</v>
      </c>
      <c r="C1307" s="6" t="str">
        <f aca="false">Orders!C1307</f>
        <v>C0234</v>
      </c>
      <c r="D1307" s="6" t="str">
        <f aca="false">Orders!D1307</f>
        <v>P1067</v>
      </c>
      <c r="E1307" s="6" t="str">
        <f aca="false">INDEX(Products!$B$2:$B$101,MATCH(D1307,Products!$A$2:$A$101,0))</f>
        <v>Camping Torch</v>
      </c>
      <c r="F1307" s="1" t="str">
        <f aca="false">INDEX(Products!$C$2:$C$101,MATCH(D1307,Products!$A$2:$A$101,0))</f>
        <v>Sports &amp; Outdoors</v>
      </c>
      <c r="G1307" s="6" t="n">
        <f aca="false">Orders!E1307</f>
        <v>1</v>
      </c>
      <c r="H1307" s="16" t="n">
        <f aca="false">INDEX(Products!$D$2:$D$101,MATCH(D1307,Products!$A$2:$A$101,0))</f>
        <v>599</v>
      </c>
      <c r="I1307" s="16" t="n">
        <f aca="false">INDEX(Products!$E$2:$E$101,MATCH(D1307,Products!$A$2:$A$101,0))</f>
        <v>250</v>
      </c>
      <c r="J1307" s="20" t="n">
        <f aca="false">Orders!F1307</f>
        <v>0.2</v>
      </c>
      <c r="K1307" s="6" t="n">
        <f aca="false">G1307*H1307</f>
        <v>599</v>
      </c>
      <c r="L1307" s="6" t="n">
        <f aca="false">K1307*J1307</f>
        <v>119.8</v>
      </c>
      <c r="M1307" s="6" t="n">
        <f aca="false">K1307-L1307</f>
        <v>479.2</v>
      </c>
      <c r="N1307" s="6" t="n">
        <f aca="false">G1307*I1307</f>
        <v>250</v>
      </c>
      <c r="O1307" s="6" t="n">
        <f aca="false">M1307-N1307</f>
        <v>229.2</v>
      </c>
      <c r="P1307" s="21" t="n">
        <f aca="false">IFERROR(O1307/M1307,0)</f>
        <v>0.478297161936561</v>
      </c>
      <c r="Q1307" s="6" t="str">
        <f aca="false">Orders!H1307</f>
        <v>Cancelled</v>
      </c>
      <c r="R1307" s="1" t="str">
        <f aca="false">INDEX(Customers!$C$2:$C$301,MATCH(C1307,Customers!$A$2:$A$301,0))</f>
        <v>Indore</v>
      </c>
      <c r="S1307" s="1" t="str">
        <f aca="false">INDEX(Customers!$E$2:$E$301,MATCH(C1307,Customers!$A$2:$A$301,0))</f>
        <v>New</v>
      </c>
      <c r="T1307" s="6" t="str">
        <f aca="false">Orders!I1307</f>
        <v>Mobile App</v>
      </c>
      <c r="U1307" s="1" t="str">
        <f aca="false">IF(Q1307="Delivered","Completed",IF(Q1307="Cancelled","Cancelled",IF(Q1307="Returned","Returned","In Progress")))</f>
        <v>Cancelled</v>
      </c>
      <c r="V1307" s="1" t="str">
        <f aca="false">IF(M1307&gt;=10000,"High Value",IF(M1307&gt;=5000,"Medium Value","Low Value"))</f>
        <v>Low Value</v>
      </c>
      <c r="W1307" s="1" t="str">
        <f aca="false">IF(O1307&gt;0,"Profitable",IF(O1307=0,"Break-even","Loss"))</f>
        <v>Profitable</v>
      </c>
      <c r="X1307" s="1" t="str">
        <f aca="false">IF(Q1307="Cancelled","Not Applicable",IF(Q1307="Processing","Pending",IF(B1307="","Unknown",IF(Orders!J1307="","Unknown",IF(Orders!J1307&lt;=3,"Fast",IF(Orders!J1307&lt;=6,"Standard","Slow"))))))</f>
        <v>Not Applicable</v>
      </c>
      <c r="Y1307" s="1" t="n">
        <f aca="false">IF(OR(Q1307="Cancelled",Q1307="Returned"),0,O1307)</f>
        <v>0</v>
      </c>
    </row>
    <row r="1308" customFormat="false" ht="15" hidden="false" customHeight="false" outlineLevel="0" collapsed="false">
      <c r="A1308" s="6" t="str">
        <f aca="false">Orders!A1308</f>
        <v>O001307</v>
      </c>
      <c r="B1308" s="19" t="n">
        <f aca="false">Orders!B1308</f>
        <v>45949</v>
      </c>
      <c r="C1308" s="6" t="str">
        <f aca="false">Orders!C1308</f>
        <v>C0242</v>
      </c>
      <c r="D1308" s="6" t="str">
        <f aca="false">Orders!D1308</f>
        <v>P1060</v>
      </c>
      <c r="E1308" s="6" t="str">
        <f aca="false">INDEX(Products!$B$2:$B$101,MATCH(D1308,Products!$A$2:$A$101,0))</f>
        <v>Yoga Mat</v>
      </c>
      <c r="F1308" s="1" t="str">
        <f aca="false">INDEX(Products!$C$2:$C$101,MATCH(D1308,Products!$A$2:$A$101,0))</f>
        <v>Sports &amp; Outdoors</v>
      </c>
      <c r="G1308" s="6" t="n">
        <f aca="false">Orders!E1308</f>
        <v>1</v>
      </c>
      <c r="H1308" s="16" t="n">
        <f aca="false">INDEX(Products!$D$2:$D$101,MATCH(D1308,Products!$A$2:$A$101,0))</f>
        <v>799</v>
      </c>
      <c r="I1308" s="16" t="n">
        <f aca="false">INDEX(Products!$E$2:$E$101,MATCH(D1308,Products!$A$2:$A$101,0))</f>
        <v>350</v>
      </c>
      <c r="J1308" s="20" t="n">
        <f aca="false">Orders!F1308</f>
        <v>0.15</v>
      </c>
      <c r="K1308" s="6" t="n">
        <f aca="false">G1308*H1308</f>
        <v>799</v>
      </c>
      <c r="L1308" s="6" t="n">
        <f aca="false">K1308*J1308</f>
        <v>119.85</v>
      </c>
      <c r="M1308" s="6" t="n">
        <f aca="false">K1308-L1308</f>
        <v>679.15</v>
      </c>
      <c r="N1308" s="6" t="n">
        <f aca="false">G1308*I1308</f>
        <v>350</v>
      </c>
      <c r="O1308" s="6" t="n">
        <f aca="false">M1308-N1308</f>
        <v>329.15</v>
      </c>
      <c r="P1308" s="21" t="n">
        <f aca="false">IFERROR(O1308/M1308,0)</f>
        <v>0.484649930059633</v>
      </c>
      <c r="Q1308" s="6" t="str">
        <f aca="false">Orders!H1308</f>
        <v>Delivered</v>
      </c>
      <c r="R1308" s="1" t="str">
        <f aca="false">INDEX(Customers!$C$2:$C$301,MATCH(C1308,Customers!$A$2:$A$301,0))</f>
        <v>Mumbai</v>
      </c>
      <c r="S1308" s="1" t="str">
        <f aca="false">INDEX(Customers!$E$2:$E$301,MATCH(C1308,Customers!$A$2:$A$301,0))</f>
        <v>New</v>
      </c>
      <c r="T1308" s="6" t="str">
        <f aca="false">Orders!I1308</f>
        <v>Marketplace</v>
      </c>
      <c r="U1308" s="1" t="str">
        <f aca="false">IF(Q1308="Delivered","Completed",IF(Q1308="Cancelled","Cancelled",IF(Q1308="Returned","Returned","In Progress")))</f>
        <v>Completed</v>
      </c>
      <c r="V1308" s="1" t="str">
        <f aca="false">IF(M1308&gt;=10000,"High Value",IF(M1308&gt;=5000,"Medium Value","Low Value"))</f>
        <v>Low Value</v>
      </c>
      <c r="W1308" s="1" t="str">
        <f aca="false">IF(O1308&gt;0,"Profitable",IF(O1308=0,"Break-even","Loss"))</f>
        <v>Profitable</v>
      </c>
      <c r="X1308" s="1" t="str">
        <f aca="false">IF(Q1308="Cancelled","Not Applicable",IF(Q1308="Processing","Pending",IF(B1308="","Unknown",IF(Orders!J1308="","Unknown",IF(Orders!J1308&lt;=3,"Fast",IF(Orders!J1308&lt;=6,"Standard","Slow"))))))</f>
        <v>Fast</v>
      </c>
      <c r="Y1308" s="1" t="n">
        <f aca="false">IF(OR(Q1308="Cancelled",Q1308="Returned"),0,O1308)</f>
        <v>329.15</v>
      </c>
    </row>
    <row r="1309" customFormat="false" ht="23.85" hidden="false" customHeight="false" outlineLevel="0" collapsed="false">
      <c r="A1309" s="6" t="str">
        <f aca="false">Orders!A1309</f>
        <v>O001308</v>
      </c>
      <c r="B1309" s="19" t="n">
        <f aca="false">Orders!B1309</f>
        <v>45690</v>
      </c>
      <c r="C1309" s="6" t="str">
        <f aca="false">Orders!C1309</f>
        <v>C0062</v>
      </c>
      <c r="D1309" s="6" t="str">
        <f aca="false">Orders!D1309</f>
        <v>P1047</v>
      </c>
      <c r="E1309" s="6" t="str">
        <f aca="false">INDEX(Products!$B$2:$B$101,MATCH(D1309,Products!$A$2:$A$101,0))</f>
        <v>Sunscreen Lotion</v>
      </c>
      <c r="F1309" s="1" t="str">
        <f aca="false">INDEX(Products!$C$2:$C$101,MATCH(D1309,Products!$A$2:$A$101,0))</f>
        <v>Beauty</v>
      </c>
      <c r="G1309" s="6" t="n">
        <f aca="false">Orders!E1309</f>
        <v>3</v>
      </c>
      <c r="H1309" s="16" t="n">
        <f aca="false">INDEX(Products!$D$2:$D$101,MATCH(D1309,Products!$A$2:$A$101,0))</f>
        <v>399</v>
      </c>
      <c r="I1309" s="16" t="n">
        <f aca="false">INDEX(Products!$E$2:$E$101,MATCH(D1309,Products!$A$2:$A$101,0))</f>
        <v>170</v>
      </c>
      <c r="J1309" s="20" t="n">
        <f aca="false">Orders!F1309</f>
        <v>0.05</v>
      </c>
      <c r="K1309" s="6" t="n">
        <f aca="false">G1309*H1309</f>
        <v>1197</v>
      </c>
      <c r="L1309" s="6" t="n">
        <f aca="false">K1309*J1309</f>
        <v>59.85</v>
      </c>
      <c r="M1309" s="6" t="n">
        <f aca="false">K1309-L1309</f>
        <v>1137.15</v>
      </c>
      <c r="N1309" s="6" t="n">
        <f aca="false">G1309*I1309</f>
        <v>510</v>
      </c>
      <c r="O1309" s="6" t="n">
        <f aca="false">M1309-N1309</f>
        <v>627.15</v>
      </c>
      <c r="P1309" s="21" t="n">
        <f aca="false">IFERROR(O1309/M1309,0)</f>
        <v>0.551510354834455</v>
      </c>
      <c r="Q1309" s="6" t="str">
        <f aca="false">Orders!H1309</f>
        <v>Delivered</v>
      </c>
      <c r="R1309" s="1" t="str">
        <f aca="false">INDEX(Customers!$C$2:$C$301,MATCH(C1309,Customers!$A$2:$A$301,0))</f>
        <v>Mumbai</v>
      </c>
      <c r="S1309" s="1" t="str">
        <f aca="false">INDEX(Customers!$E$2:$E$301,MATCH(C1309,Customers!$A$2:$A$301,0))</f>
        <v>VIP</v>
      </c>
      <c r="T1309" s="6" t="str">
        <f aca="false">Orders!I1309</f>
        <v>Website</v>
      </c>
      <c r="U1309" s="1" t="str">
        <f aca="false">IF(Q1309="Delivered","Completed",IF(Q1309="Cancelled","Cancelled",IF(Q1309="Returned","Returned","In Progress")))</f>
        <v>Completed</v>
      </c>
      <c r="V1309" s="1" t="str">
        <f aca="false">IF(M1309&gt;=10000,"High Value",IF(M1309&gt;=5000,"Medium Value","Low Value"))</f>
        <v>Low Value</v>
      </c>
      <c r="W1309" s="1" t="str">
        <f aca="false">IF(O1309&gt;0,"Profitable",IF(O1309=0,"Break-even","Loss"))</f>
        <v>Profitable</v>
      </c>
      <c r="X1309" s="1" t="str">
        <f aca="false">IF(Q1309="Cancelled","Not Applicable",IF(Q1309="Processing","Pending",IF(B1309="","Unknown",IF(Orders!J1309="","Unknown",IF(Orders!J1309&lt;=3,"Fast",IF(Orders!J1309&lt;=6,"Standard","Slow"))))))</f>
        <v>Slow</v>
      </c>
      <c r="Y1309" s="1" t="n">
        <f aca="false">IF(OR(Q1309="Cancelled",Q1309="Returned"),0,O1309)</f>
        <v>627.15</v>
      </c>
    </row>
    <row r="1310" customFormat="false" ht="15" hidden="false" customHeight="false" outlineLevel="0" collapsed="false">
      <c r="A1310" s="6" t="str">
        <f aca="false">Orders!A1310</f>
        <v>O001309</v>
      </c>
      <c r="B1310" s="19" t="n">
        <f aca="false">Orders!B1310</f>
        <v>45909</v>
      </c>
      <c r="C1310" s="6" t="str">
        <f aca="false">Orders!C1310</f>
        <v>C0275</v>
      </c>
      <c r="D1310" s="6" t="str">
        <f aca="false">Orders!D1310</f>
        <v>P1048</v>
      </c>
      <c r="E1310" s="6" t="str">
        <f aca="false">INDEX(Products!$B$2:$B$101,MATCH(D1310,Products!$A$2:$A$101,0))</f>
        <v>Shampoo</v>
      </c>
      <c r="F1310" s="1" t="str">
        <f aca="false">INDEX(Products!$C$2:$C$101,MATCH(D1310,Products!$A$2:$A$101,0))</f>
        <v>Beauty</v>
      </c>
      <c r="G1310" s="6" t="n">
        <f aca="false">Orders!E1310</f>
        <v>1</v>
      </c>
      <c r="H1310" s="16" t="n">
        <f aca="false">INDEX(Products!$D$2:$D$101,MATCH(D1310,Products!$A$2:$A$101,0))</f>
        <v>349</v>
      </c>
      <c r="I1310" s="16" t="n">
        <f aca="false">INDEX(Products!$E$2:$E$101,MATCH(D1310,Products!$A$2:$A$101,0))</f>
        <v>150</v>
      </c>
      <c r="J1310" s="20" t="n">
        <f aca="false">Orders!F1310</f>
        <v>0</v>
      </c>
      <c r="K1310" s="6" t="n">
        <f aca="false">G1310*H1310</f>
        <v>349</v>
      </c>
      <c r="L1310" s="6" t="n">
        <f aca="false">K1310*J1310</f>
        <v>0</v>
      </c>
      <c r="M1310" s="6" t="n">
        <f aca="false">K1310-L1310</f>
        <v>349</v>
      </c>
      <c r="N1310" s="6" t="n">
        <f aca="false">G1310*I1310</f>
        <v>150</v>
      </c>
      <c r="O1310" s="6" t="n">
        <f aca="false">M1310-N1310</f>
        <v>199</v>
      </c>
      <c r="P1310" s="21" t="n">
        <f aca="false">IFERROR(O1310/M1310,0)</f>
        <v>0.570200573065903</v>
      </c>
      <c r="Q1310" s="6" t="str">
        <f aca="false">Orders!H1310</f>
        <v>Cancelled</v>
      </c>
      <c r="R1310" s="1" t="str">
        <f aca="false">INDEX(Customers!$C$2:$C$301,MATCH(C1310,Customers!$A$2:$A$301,0))</f>
        <v>Bhopal</v>
      </c>
      <c r="S1310" s="1" t="str">
        <f aca="false">INDEX(Customers!$E$2:$E$301,MATCH(C1310,Customers!$A$2:$A$301,0))</f>
        <v>VIP</v>
      </c>
      <c r="T1310" s="6" t="str">
        <f aca="false">Orders!I1310</f>
        <v>Mobile App</v>
      </c>
      <c r="U1310" s="1" t="str">
        <f aca="false">IF(Q1310="Delivered","Completed",IF(Q1310="Cancelled","Cancelled",IF(Q1310="Returned","Returned","In Progress")))</f>
        <v>Cancelled</v>
      </c>
      <c r="V1310" s="1" t="str">
        <f aca="false">IF(M1310&gt;=10000,"High Value",IF(M1310&gt;=5000,"Medium Value","Low Value"))</f>
        <v>Low Value</v>
      </c>
      <c r="W1310" s="1" t="str">
        <f aca="false">IF(O1310&gt;0,"Profitable",IF(O1310=0,"Break-even","Loss"))</f>
        <v>Profitable</v>
      </c>
      <c r="X1310" s="1" t="str">
        <f aca="false">IF(Q1310="Cancelled","Not Applicable",IF(Q1310="Processing","Pending",IF(B1310="","Unknown",IF(Orders!J1310="","Unknown",IF(Orders!J1310&lt;=3,"Fast",IF(Orders!J1310&lt;=6,"Standard","Slow"))))))</f>
        <v>Not Applicable</v>
      </c>
      <c r="Y1310" s="1" t="n">
        <f aca="false">IF(OR(Q1310="Cancelled",Q1310="Returned"),0,O1310)</f>
        <v>0</v>
      </c>
    </row>
    <row r="1311" customFormat="false" ht="15" hidden="false" customHeight="false" outlineLevel="0" collapsed="false">
      <c r="A1311" s="6" t="str">
        <f aca="false">Orders!A1311</f>
        <v>O001310</v>
      </c>
      <c r="B1311" s="19" t="n">
        <f aca="false">Orders!B1311</f>
        <v>45974</v>
      </c>
      <c r="C1311" s="6" t="str">
        <f aca="false">Orders!C1311</f>
        <v>C0151</v>
      </c>
      <c r="D1311" s="6" t="str">
        <f aca="false">Orders!D1311</f>
        <v>P1085</v>
      </c>
      <c r="E1311" s="6" t="str">
        <f aca="false">INDEX(Products!$B$2:$B$101,MATCH(D1311,Products!$A$2:$A$101,0))</f>
        <v>Marker Set</v>
      </c>
      <c r="F1311" s="1" t="str">
        <f aca="false">INDEX(Products!$C$2:$C$101,MATCH(D1311,Products!$A$2:$A$101,0))</f>
        <v>Books &amp; Stationery</v>
      </c>
      <c r="G1311" s="6" t="n">
        <f aca="false">Orders!E1311</f>
        <v>3</v>
      </c>
      <c r="H1311" s="16" t="n">
        <f aca="false">INDEX(Products!$D$2:$D$101,MATCH(D1311,Products!$A$2:$A$101,0))</f>
        <v>299</v>
      </c>
      <c r="I1311" s="16" t="n">
        <f aca="false">INDEX(Products!$E$2:$E$101,MATCH(D1311,Products!$A$2:$A$101,0))</f>
        <v>110</v>
      </c>
      <c r="J1311" s="20" t="n">
        <f aca="false">Orders!F1311</f>
        <v>0.1</v>
      </c>
      <c r="K1311" s="6" t="n">
        <f aca="false">G1311*H1311</f>
        <v>897</v>
      </c>
      <c r="L1311" s="6" t="n">
        <f aca="false">K1311*J1311</f>
        <v>89.7</v>
      </c>
      <c r="M1311" s="6" t="n">
        <f aca="false">K1311-L1311</f>
        <v>807.3</v>
      </c>
      <c r="N1311" s="6" t="n">
        <f aca="false">G1311*I1311</f>
        <v>330</v>
      </c>
      <c r="O1311" s="6" t="n">
        <f aca="false">M1311-N1311</f>
        <v>477.3</v>
      </c>
      <c r="P1311" s="21" t="n">
        <f aca="false">IFERROR(O1311/M1311,0)</f>
        <v>0.591230026012635</v>
      </c>
      <c r="Q1311" s="6" t="str">
        <f aca="false">Orders!H1311</f>
        <v>Delivered</v>
      </c>
      <c r="R1311" s="1" t="str">
        <f aca="false">INDEX(Customers!$C$2:$C$301,MATCH(C1311,Customers!$A$2:$A$301,0))</f>
        <v>Gurugram</v>
      </c>
      <c r="S1311" s="1" t="str">
        <f aca="false">INDEX(Customers!$E$2:$E$301,MATCH(C1311,Customers!$A$2:$A$301,0))</f>
        <v>New</v>
      </c>
      <c r="T1311" s="6" t="str">
        <f aca="false">Orders!I1311</f>
        <v>Marketplace</v>
      </c>
      <c r="U1311" s="1" t="str">
        <f aca="false">IF(Q1311="Delivered","Completed",IF(Q1311="Cancelled","Cancelled",IF(Q1311="Returned","Returned","In Progress")))</f>
        <v>Completed</v>
      </c>
      <c r="V1311" s="1" t="str">
        <f aca="false">IF(M1311&gt;=10000,"High Value",IF(M1311&gt;=5000,"Medium Value","Low Value"))</f>
        <v>Low Value</v>
      </c>
      <c r="W1311" s="1" t="str">
        <f aca="false">IF(O1311&gt;0,"Profitable",IF(O1311=0,"Break-even","Loss"))</f>
        <v>Profitable</v>
      </c>
      <c r="X1311" s="1" t="str">
        <f aca="false">IF(Q1311="Cancelled","Not Applicable",IF(Q1311="Processing","Pending",IF(B1311="","Unknown",IF(Orders!J1311="","Unknown",IF(Orders!J1311&lt;=3,"Fast",IF(Orders!J1311&lt;=6,"Standard","Slow"))))))</f>
        <v>Fast</v>
      </c>
      <c r="Y1311" s="1" t="n">
        <f aca="false">IF(OR(Q1311="Cancelled",Q1311="Returned"),0,O1311)</f>
        <v>477.3</v>
      </c>
    </row>
    <row r="1312" customFormat="false" ht="15" hidden="false" customHeight="false" outlineLevel="0" collapsed="false">
      <c r="A1312" s="6" t="str">
        <f aca="false">Orders!A1312</f>
        <v>O001311</v>
      </c>
      <c r="B1312" s="19" t="n">
        <f aca="false">Orders!B1312</f>
        <v>45723</v>
      </c>
      <c r="C1312" s="6" t="str">
        <f aca="false">Orders!C1312</f>
        <v>C0258</v>
      </c>
      <c r="D1312" s="6" t="str">
        <f aca="false">Orders!D1312</f>
        <v>P1094</v>
      </c>
      <c r="E1312" s="6" t="str">
        <f aca="false">INDEX(Products!$B$2:$B$101,MATCH(D1312,Products!$A$2:$A$101,0))</f>
        <v>Room Heater</v>
      </c>
      <c r="F1312" s="1" t="str">
        <f aca="false">INDEX(Products!$C$2:$C$101,MATCH(D1312,Products!$A$2:$A$101,0))</f>
        <v>Appliances</v>
      </c>
      <c r="G1312" s="6" t="n">
        <f aca="false">Orders!E1312</f>
        <v>1</v>
      </c>
      <c r="H1312" s="16" t="n">
        <f aca="false">INDEX(Products!$D$2:$D$101,MATCH(D1312,Products!$A$2:$A$101,0))</f>
        <v>1999</v>
      </c>
      <c r="I1312" s="16" t="n">
        <f aca="false">INDEX(Products!$E$2:$E$101,MATCH(D1312,Products!$A$2:$A$101,0))</f>
        <v>1250</v>
      </c>
      <c r="J1312" s="20" t="n">
        <f aca="false">Orders!F1312</f>
        <v>0.15</v>
      </c>
      <c r="K1312" s="6" t="n">
        <f aca="false">G1312*H1312</f>
        <v>1999</v>
      </c>
      <c r="L1312" s="6" t="n">
        <f aca="false">K1312*J1312</f>
        <v>299.85</v>
      </c>
      <c r="M1312" s="6" t="n">
        <f aca="false">K1312-L1312</f>
        <v>1699.15</v>
      </c>
      <c r="N1312" s="6" t="n">
        <f aca="false">G1312*I1312</f>
        <v>1250</v>
      </c>
      <c r="O1312" s="6" t="n">
        <f aca="false">M1312-N1312</f>
        <v>449.15</v>
      </c>
      <c r="P1312" s="21" t="n">
        <f aca="false">IFERROR(O1312/M1312,0)</f>
        <v>0.264338051378631</v>
      </c>
      <c r="Q1312" s="6" t="str">
        <f aca="false">Orders!H1312</f>
        <v>Delivered</v>
      </c>
      <c r="R1312" s="1" t="str">
        <f aca="false">INDEX(Customers!$C$2:$C$301,MATCH(C1312,Customers!$A$2:$A$301,0))</f>
        <v>Nagpur</v>
      </c>
      <c r="S1312" s="1" t="str">
        <f aca="false">INDEX(Customers!$E$2:$E$301,MATCH(C1312,Customers!$A$2:$A$301,0))</f>
        <v>New</v>
      </c>
      <c r="T1312" s="6" t="str">
        <f aca="false">Orders!I1312</f>
        <v>Website</v>
      </c>
      <c r="U1312" s="1" t="str">
        <f aca="false">IF(Q1312="Delivered","Completed",IF(Q1312="Cancelled","Cancelled",IF(Q1312="Returned","Returned","In Progress")))</f>
        <v>Completed</v>
      </c>
      <c r="V1312" s="1" t="str">
        <f aca="false">IF(M1312&gt;=10000,"High Value",IF(M1312&gt;=5000,"Medium Value","Low Value"))</f>
        <v>Low Value</v>
      </c>
      <c r="W1312" s="1" t="str">
        <f aca="false">IF(O1312&gt;0,"Profitable",IF(O1312=0,"Break-even","Loss"))</f>
        <v>Profitable</v>
      </c>
      <c r="X1312" s="1" t="str">
        <f aca="false">IF(Q1312="Cancelled","Not Applicable",IF(Q1312="Processing","Pending",IF(B1312="","Unknown",IF(Orders!J1312="","Unknown",IF(Orders!J1312&lt;=3,"Fast",IF(Orders!J1312&lt;=6,"Standard","Slow"))))))</f>
        <v>Fast</v>
      </c>
      <c r="Y1312" s="1" t="n">
        <f aca="false">IF(OR(Q1312="Cancelled",Q1312="Returned"),0,O1312)</f>
        <v>449.15</v>
      </c>
    </row>
    <row r="1313" customFormat="false" ht="15" hidden="false" customHeight="false" outlineLevel="0" collapsed="false">
      <c r="A1313" s="6" t="str">
        <f aca="false">Orders!A1313</f>
        <v>O001312</v>
      </c>
      <c r="B1313" s="19" t="n">
        <f aca="false">Orders!B1313</f>
        <v>45798</v>
      </c>
      <c r="C1313" s="6" t="str">
        <f aca="false">Orders!C1313</f>
        <v>C0216</v>
      </c>
      <c r="D1313" s="6" t="str">
        <f aca="false">Orders!D1313</f>
        <v>P1089</v>
      </c>
      <c r="E1313" s="6" t="str">
        <f aca="false">INDEX(Products!$B$2:$B$101,MATCH(D1313,Products!$A$2:$A$101,0))</f>
        <v>Mixer Grinder</v>
      </c>
      <c r="F1313" s="1" t="str">
        <f aca="false">INDEX(Products!$C$2:$C$101,MATCH(D1313,Products!$A$2:$A$101,0))</f>
        <v>Appliances</v>
      </c>
      <c r="G1313" s="6" t="n">
        <f aca="false">Orders!E1313</f>
        <v>1</v>
      </c>
      <c r="H1313" s="16" t="n">
        <f aca="false">INDEX(Products!$D$2:$D$101,MATCH(D1313,Products!$A$2:$A$101,0))</f>
        <v>2499</v>
      </c>
      <c r="I1313" s="16" t="n">
        <f aca="false">INDEX(Products!$E$2:$E$101,MATCH(D1313,Products!$A$2:$A$101,0))</f>
        <v>1550</v>
      </c>
      <c r="J1313" s="20" t="n">
        <f aca="false">Orders!F1313</f>
        <v>0.05</v>
      </c>
      <c r="K1313" s="6" t="n">
        <f aca="false">G1313*H1313</f>
        <v>2499</v>
      </c>
      <c r="L1313" s="6" t="n">
        <f aca="false">K1313*J1313</f>
        <v>124.95</v>
      </c>
      <c r="M1313" s="6" t="n">
        <f aca="false">K1313-L1313</f>
        <v>2374.05</v>
      </c>
      <c r="N1313" s="6" t="n">
        <f aca="false">G1313*I1313</f>
        <v>1550</v>
      </c>
      <c r="O1313" s="6" t="n">
        <f aca="false">M1313-N1313</f>
        <v>824.05</v>
      </c>
      <c r="P1313" s="21" t="n">
        <f aca="false">IFERROR(O1313/M1313,0)</f>
        <v>0.347107263958215</v>
      </c>
      <c r="Q1313" s="6" t="str">
        <f aca="false">Orders!H1313</f>
        <v>Delivered</v>
      </c>
      <c r="R1313" s="1" t="str">
        <f aca="false">INDEX(Customers!$C$2:$C$301,MATCH(C1313,Customers!$A$2:$A$301,0))</f>
        <v>Chandigarh</v>
      </c>
      <c r="S1313" s="1" t="str">
        <f aca="false">INDEX(Customers!$E$2:$E$301,MATCH(C1313,Customers!$A$2:$A$301,0))</f>
        <v>Returning</v>
      </c>
      <c r="T1313" s="6" t="str">
        <f aca="false">Orders!I1313</f>
        <v>Website</v>
      </c>
      <c r="U1313" s="1" t="str">
        <f aca="false">IF(Q1313="Delivered","Completed",IF(Q1313="Cancelled","Cancelled",IF(Q1313="Returned","Returned","In Progress")))</f>
        <v>Completed</v>
      </c>
      <c r="V1313" s="1" t="str">
        <f aca="false">IF(M1313&gt;=10000,"High Value",IF(M1313&gt;=5000,"Medium Value","Low Value"))</f>
        <v>Low Value</v>
      </c>
      <c r="W1313" s="1" t="str">
        <f aca="false">IF(O1313&gt;0,"Profitable",IF(O1313=0,"Break-even","Loss"))</f>
        <v>Profitable</v>
      </c>
      <c r="X1313" s="1" t="str">
        <f aca="false">IF(Q1313="Cancelled","Not Applicable",IF(Q1313="Processing","Pending",IF(B1313="","Unknown",IF(Orders!J1313="","Unknown",IF(Orders!J1313&lt;=3,"Fast",IF(Orders!J1313&lt;=6,"Standard","Slow"))))))</f>
        <v>Slow</v>
      </c>
      <c r="Y1313" s="1" t="n">
        <f aca="false">IF(OR(Q1313="Cancelled",Q1313="Returned"),0,O1313)</f>
        <v>824.05</v>
      </c>
    </row>
    <row r="1314" customFormat="false" ht="15" hidden="false" customHeight="false" outlineLevel="0" collapsed="false">
      <c r="A1314" s="6" t="str">
        <f aca="false">Orders!A1314</f>
        <v>O001313</v>
      </c>
      <c r="B1314" s="19" t="n">
        <f aca="false">Orders!B1314</f>
        <v>45685</v>
      </c>
      <c r="C1314" s="6" t="str">
        <f aca="false">Orders!C1314</f>
        <v>C0008</v>
      </c>
      <c r="D1314" s="6" t="str">
        <f aca="false">Orders!D1314</f>
        <v>P1003</v>
      </c>
      <c r="E1314" s="6" t="str">
        <f aca="false">INDEX(Products!$B$2:$B$101,MATCH(D1314,Products!$A$2:$A$101,0))</f>
        <v>Smart Watch</v>
      </c>
      <c r="F1314" s="1" t="str">
        <f aca="false">INDEX(Products!$C$2:$C$101,MATCH(D1314,Products!$A$2:$A$101,0))</f>
        <v>Electronics</v>
      </c>
      <c r="G1314" s="6" t="n">
        <f aca="false">Orders!E1314</f>
        <v>5</v>
      </c>
      <c r="H1314" s="16" t="n">
        <f aca="false">INDEX(Products!$D$2:$D$101,MATCH(D1314,Products!$A$2:$A$101,0))</f>
        <v>2499</v>
      </c>
      <c r="I1314" s="16" t="n">
        <f aca="false">INDEX(Products!$E$2:$E$101,MATCH(D1314,Products!$A$2:$A$101,0))</f>
        <v>1450</v>
      </c>
      <c r="J1314" s="20" t="n">
        <f aca="false">Orders!F1314</f>
        <v>0.05</v>
      </c>
      <c r="K1314" s="6" t="n">
        <f aca="false">G1314*H1314</f>
        <v>12495</v>
      </c>
      <c r="L1314" s="6" t="n">
        <f aca="false">K1314*J1314</f>
        <v>624.75</v>
      </c>
      <c r="M1314" s="6" t="n">
        <f aca="false">K1314-L1314</f>
        <v>11870.25</v>
      </c>
      <c r="N1314" s="6" t="n">
        <f aca="false">G1314*I1314</f>
        <v>7250</v>
      </c>
      <c r="O1314" s="6" t="n">
        <f aca="false">M1314-N1314</f>
        <v>4620.25</v>
      </c>
      <c r="P1314" s="21" t="n">
        <f aca="false">IFERROR(O1314/M1314,0)</f>
        <v>0.389229375960911</v>
      </c>
      <c r="Q1314" s="6" t="str">
        <f aca="false">Orders!H1314</f>
        <v>Delivered</v>
      </c>
      <c r="R1314" s="1" t="str">
        <f aca="false">INDEX(Customers!$C$2:$C$301,MATCH(C1314,Customers!$A$2:$A$301,0))</f>
        <v>Jaipur</v>
      </c>
      <c r="S1314" s="1" t="str">
        <f aca="false">INDEX(Customers!$E$2:$E$301,MATCH(C1314,Customers!$A$2:$A$301,0))</f>
        <v>New</v>
      </c>
      <c r="T1314" s="6" t="str">
        <f aca="false">Orders!I1314</f>
        <v>Mobile App</v>
      </c>
      <c r="U1314" s="1" t="str">
        <f aca="false">IF(Q1314="Delivered","Completed",IF(Q1314="Cancelled","Cancelled",IF(Q1314="Returned","Returned","In Progress")))</f>
        <v>Completed</v>
      </c>
      <c r="V1314" s="1" t="str">
        <f aca="false">IF(M1314&gt;=10000,"High Value",IF(M1314&gt;=5000,"Medium Value","Low Value"))</f>
        <v>High Value</v>
      </c>
      <c r="W1314" s="1" t="str">
        <f aca="false">IF(O1314&gt;0,"Profitable",IF(O1314=0,"Break-even","Loss"))</f>
        <v>Profitable</v>
      </c>
      <c r="X1314" s="1" t="str">
        <f aca="false">IF(Q1314="Cancelled","Not Applicable",IF(Q1314="Processing","Pending",IF(B1314="","Unknown",IF(Orders!J1314="","Unknown",IF(Orders!J1314&lt;=3,"Fast",IF(Orders!J1314&lt;=6,"Standard","Slow"))))))</f>
        <v>Fast</v>
      </c>
      <c r="Y1314" s="1" t="n">
        <f aca="false">IF(OR(Q1314="Cancelled",Q1314="Returned"),0,O1314)</f>
        <v>4620.25</v>
      </c>
    </row>
    <row r="1315" customFormat="false" ht="15" hidden="false" customHeight="false" outlineLevel="0" collapsed="false">
      <c r="A1315" s="6" t="str">
        <f aca="false">Orders!A1315</f>
        <v>O001314</v>
      </c>
      <c r="B1315" s="19" t="n">
        <f aca="false">Orders!B1315</f>
        <v>45965</v>
      </c>
      <c r="C1315" s="6" t="str">
        <f aca="false">Orders!C1315</f>
        <v>C0022</v>
      </c>
      <c r="D1315" s="6" t="str">
        <f aca="false">Orders!D1315</f>
        <v>P1055</v>
      </c>
      <c r="E1315" s="6" t="str">
        <f aca="false">INDEX(Products!$B$2:$B$101,MATCH(D1315,Products!$A$2:$A$101,0))</f>
        <v>Perfume</v>
      </c>
      <c r="F1315" s="1" t="str">
        <f aca="false">INDEX(Products!$C$2:$C$101,MATCH(D1315,Products!$A$2:$A$101,0))</f>
        <v>Beauty</v>
      </c>
      <c r="G1315" s="6" t="n">
        <f aca="false">Orders!E1315</f>
        <v>1</v>
      </c>
      <c r="H1315" s="16" t="n">
        <f aca="false">INDEX(Products!$D$2:$D$101,MATCH(D1315,Products!$A$2:$A$101,0))</f>
        <v>999</v>
      </c>
      <c r="I1315" s="16" t="n">
        <f aca="false">INDEX(Products!$E$2:$E$101,MATCH(D1315,Products!$A$2:$A$101,0))</f>
        <v>500</v>
      </c>
      <c r="J1315" s="20" t="n">
        <f aca="false">Orders!F1315</f>
        <v>0.1</v>
      </c>
      <c r="K1315" s="6" t="n">
        <f aca="false">G1315*H1315</f>
        <v>999</v>
      </c>
      <c r="L1315" s="6" t="n">
        <f aca="false">K1315*J1315</f>
        <v>99.9</v>
      </c>
      <c r="M1315" s="6" t="n">
        <f aca="false">K1315-L1315</f>
        <v>899.1</v>
      </c>
      <c r="N1315" s="6" t="n">
        <f aca="false">G1315*I1315</f>
        <v>500</v>
      </c>
      <c r="O1315" s="6" t="n">
        <f aca="false">M1315-N1315</f>
        <v>399.1</v>
      </c>
      <c r="P1315" s="21" t="n">
        <f aca="false">IFERROR(O1315/M1315,0)</f>
        <v>0.443888332777222</v>
      </c>
      <c r="Q1315" s="6" t="str">
        <f aca="false">Orders!H1315</f>
        <v>Delivered</v>
      </c>
      <c r="R1315" s="1" t="str">
        <f aca="false">INDEX(Customers!$C$2:$C$301,MATCH(C1315,Customers!$A$2:$A$301,0))</f>
        <v>Mumbai</v>
      </c>
      <c r="S1315" s="1" t="str">
        <f aca="false">INDEX(Customers!$E$2:$E$301,MATCH(C1315,Customers!$A$2:$A$301,0))</f>
        <v>Returning</v>
      </c>
      <c r="T1315" s="6" t="str">
        <f aca="false">Orders!I1315</f>
        <v>Marketplace</v>
      </c>
      <c r="U1315" s="1" t="str">
        <f aca="false">IF(Q1315="Delivered","Completed",IF(Q1315="Cancelled","Cancelled",IF(Q1315="Returned","Returned","In Progress")))</f>
        <v>Completed</v>
      </c>
      <c r="V1315" s="1" t="str">
        <f aca="false">IF(M1315&gt;=10000,"High Value",IF(M1315&gt;=5000,"Medium Value","Low Value"))</f>
        <v>Low Value</v>
      </c>
      <c r="W1315" s="1" t="str">
        <f aca="false">IF(O1315&gt;0,"Profitable",IF(O1315=0,"Break-even","Loss"))</f>
        <v>Profitable</v>
      </c>
      <c r="X1315" s="1" t="str">
        <f aca="false">IF(Q1315="Cancelled","Not Applicable",IF(Q1315="Processing","Pending",IF(B1315="","Unknown",IF(Orders!J1315="","Unknown",IF(Orders!J1315&lt;=3,"Fast",IF(Orders!J1315&lt;=6,"Standard","Slow"))))))</f>
        <v>Fast</v>
      </c>
      <c r="Y1315" s="1" t="n">
        <f aca="false">IF(OR(Q1315="Cancelled",Q1315="Returned"),0,O1315)</f>
        <v>399.1</v>
      </c>
    </row>
    <row r="1316" customFormat="false" ht="15" hidden="false" customHeight="false" outlineLevel="0" collapsed="false">
      <c r="A1316" s="6" t="str">
        <f aca="false">Orders!A1316</f>
        <v>O001315</v>
      </c>
      <c r="B1316" s="19" t="n">
        <f aca="false">Orders!B1316</f>
        <v>45906</v>
      </c>
      <c r="C1316" s="6" t="str">
        <f aca="false">Orders!C1316</f>
        <v>C0174</v>
      </c>
      <c r="D1316" s="6" t="str">
        <f aca="false">Orders!D1316</f>
        <v>P1013</v>
      </c>
      <c r="E1316" s="6" t="str">
        <f aca="false">INDEX(Products!$B$2:$B$101,MATCH(D1316,Products!$A$2:$A$101,0))</f>
        <v>Memory Card</v>
      </c>
      <c r="F1316" s="1" t="str">
        <f aca="false">INDEX(Products!$C$2:$C$101,MATCH(D1316,Products!$A$2:$A$101,0))</f>
        <v>Electronics</v>
      </c>
      <c r="G1316" s="6" t="n">
        <f aca="false">Orders!E1316</f>
        <v>1</v>
      </c>
      <c r="H1316" s="16" t="n">
        <f aca="false">INDEX(Products!$D$2:$D$101,MATCH(D1316,Products!$A$2:$A$101,0))</f>
        <v>699</v>
      </c>
      <c r="I1316" s="16" t="n">
        <f aca="false">INDEX(Products!$E$2:$E$101,MATCH(D1316,Products!$A$2:$A$101,0))</f>
        <v>400</v>
      </c>
      <c r="J1316" s="20" t="n">
        <f aca="false">Orders!F1316</f>
        <v>0.25</v>
      </c>
      <c r="K1316" s="6" t="n">
        <f aca="false">G1316*H1316</f>
        <v>699</v>
      </c>
      <c r="L1316" s="6" t="n">
        <f aca="false">K1316*J1316</f>
        <v>174.75</v>
      </c>
      <c r="M1316" s="6" t="n">
        <f aca="false">K1316-L1316</f>
        <v>524.25</v>
      </c>
      <c r="N1316" s="6" t="n">
        <f aca="false">G1316*I1316</f>
        <v>400</v>
      </c>
      <c r="O1316" s="6" t="n">
        <f aca="false">M1316-N1316</f>
        <v>124.25</v>
      </c>
      <c r="P1316" s="21" t="n">
        <f aca="false">IFERROR(O1316/M1316,0)</f>
        <v>0.237005245588937</v>
      </c>
      <c r="Q1316" s="6" t="str">
        <f aca="false">Orders!H1316</f>
        <v>Delivered</v>
      </c>
      <c r="R1316" s="1" t="str">
        <f aca="false">INDEX(Customers!$C$2:$C$301,MATCH(C1316,Customers!$A$2:$A$301,0))</f>
        <v>Indore</v>
      </c>
      <c r="S1316" s="1" t="str">
        <f aca="false">INDEX(Customers!$E$2:$E$301,MATCH(C1316,Customers!$A$2:$A$301,0))</f>
        <v>VIP</v>
      </c>
      <c r="T1316" s="6" t="str">
        <f aca="false">Orders!I1316</f>
        <v>Mobile App</v>
      </c>
      <c r="U1316" s="1" t="str">
        <f aca="false">IF(Q1316="Delivered","Completed",IF(Q1316="Cancelled","Cancelled",IF(Q1316="Returned","Returned","In Progress")))</f>
        <v>Completed</v>
      </c>
      <c r="V1316" s="1" t="str">
        <f aca="false">IF(M1316&gt;=10000,"High Value",IF(M1316&gt;=5000,"Medium Value","Low Value"))</f>
        <v>Low Value</v>
      </c>
      <c r="W1316" s="1" t="str">
        <f aca="false">IF(O1316&gt;0,"Profitable",IF(O1316=0,"Break-even","Loss"))</f>
        <v>Profitable</v>
      </c>
      <c r="X1316" s="1" t="str">
        <f aca="false">IF(Q1316="Cancelled","Not Applicable",IF(Q1316="Processing","Pending",IF(B1316="","Unknown",IF(Orders!J1316="","Unknown",IF(Orders!J1316&lt;=3,"Fast",IF(Orders!J1316&lt;=6,"Standard","Slow"))))))</f>
        <v>Standard</v>
      </c>
      <c r="Y1316" s="1" t="n">
        <f aca="false">IF(OR(Q1316="Cancelled",Q1316="Returned"),0,O1316)</f>
        <v>124.25</v>
      </c>
    </row>
    <row r="1317" customFormat="false" ht="23.85" hidden="false" customHeight="false" outlineLevel="0" collapsed="false">
      <c r="A1317" s="6" t="str">
        <f aca="false">Orders!A1317</f>
        <v>O001316</v>
      </c>
      <c r="B1317" s="19" t="n">
        <f aca="false">Orders!B1317</f>
        <v>45921</v>
      </c>
      <c r="C1317" s="6" t="str">
        <f aca="false">Orders!C1317</f>
        <v>C0194</v>
      </c>
      <c r="D1317" s="6" t="str">
        <f aca="false">Orders!D1317</f>
        <v>P1072</v>
      </c>
      <c r="E1317" s="6" t="str">
        <f aca="false">INDEX(Products!$B$2:$B$101,MATCH(D1317,Products!$A$2:$A$101,0))</f>
        <v>Tennis Balls Pack</v>
      </c>
      <c r="F1317" s="1" t="str">
        <f aca="false">INDEX(Products!$C$2:$C$101,MATCH(D1317,Products!$A$2:$A$101,0))</f>
        <v>Sports &amp; Outdoors</v>
      </c>
      <c r="G1317" s="6" t="n">
        <f aca="false">Orders!E1317</f>
        <v>2</v>
      </c>
      <c r="H1317" s="16" t="n">
        <f aca="false">INDEX(Products!$D$2:$D$101,MATCH(D1317,Products!$A$2:$A$101,0))</f>
        <v>399</v>
      </c>
      <c r="I1317" s="16" t="n">
        <f aca="false">INDEX(Products!$E$2:$E$101,MATCH(D1317,Products!$A$2:$A$101,0))</f>
        <v>160</v>
      </c>
      <c r="J1317" s="20" t="n">
        <f aca="false">Orders!F1317</f>
        <v>0</v>
      </c>
      <c r="K1317" s="6" t="n">
        <f aca="false">G1317*H1317</f>
        <v>798</v>
      </c>
      <c r="L1317" s="6" t="n">
        <f aca="false">K1317*J1317</f>
        <v>0</v>
      </c>
      <c r="M1317" s="6" t="n">
        <f aca="false">K1317-L1317</f>
        <v>798</v>
      </c>
      <c r="N1317" s="6" t="n">
        <f aca="false">G1317*I1317</f>
        <v>320</v>
      </c>
      <c r="O1317" s="6" t="n">
        <f aca="false">M1317-N1317</f>
        <v>478</v>
      </c>
      <c r="P1317" s="21" t="n">
        <f aca="false">IFERROR(O1317/M1317,0)</f>
        <v>0.598997493734336</v>
      </c>
      <c r="Q1317" s="6" t="str">
        <f aca="false">Orders!H1317</f>
        <v>Delivered</v>
      </c>
      <c r="R1317" s="1" t="str">
        <f aca="false">INDEX(Customers!$C$2:$C$301,MATCH(C1317,Customers!$A$2:$A$301,0))</f>
        <v>Indore</v>
      </c>
      <c r="S1317" s="1" t="str">
        <f aca="false">INDEX(Customers!$E$2:$E$301,MATCH(C1317,Customers!$A$2:$A$301,0))</f>
        <v>Returning</v>
      </c>
      <c r="T1317" s="6" t="str">
        <f aca="false">Orders!I1317</f>
        <v>Mobile App</v>
      </c>
      <c r="U1317" s="1" t="str">
        <f aca="false">IF(Q1317="Delivered","Completed",IF(Q1317="Cancelled","Cancelled",IF(Q1317="Returned","Returned","In Progress")))</f>
        <v>Completed</v>
      </c>
      <c r="V1317" s="1" t="str">
        <f aca="false">IF(M1317&gt;=10000,"High Value",IF(M1317&gt;=5000,"Medium Value","Low Value"))</f>
        <v>Low Value</v>
      </c>
      <c r="W1317" s="1" t="str">
        <f aca="false">IF(O1317&gt;0,"Profitable",IF(O1317=0,"Break-even","Loss"))</f>
        <v>Profitable</v>
      </c>
      <c r="X1317" s="1" t="str">
        <f aca="false">IF(Q1317="Cancelled","Not Applicable",IF(Q1317="Processing","Pending",IF(B1317="","Unknown",IF(Orders!J1317="","Unknown",IF(Orders!J1317&lt;=3,"Fast",IF(Orders!J1317&lt;=6,"Standard","Slow"))))))</f>
        <v>Standard</v>
      </c>
      <c r="Y1317" s="1" t="n">
        <f aca="false">IF(OR(Q1317="Cancelled",Q1317="Returned"),0,O1317)</f>
        <v>478</v>
      </c>
    </row>
    <row r="1318" customFormat="false" ht="15" hidden="false" customHeight="false" outlineLevel="0" collapsed="false">
      <c r="A1318" s="6" t="str">
        <f aca="false">Orders!A1318</f>
        <v>O001317</v>
      </c>
      <c r="B1318" s="19" t="n">
        <f aca="false">Orders!B1318</f>
        <v>45828</v>
      </c>
      <c r="C1318" s="6" t="str">
        <f aca="false">Orders!C1318</f>
        <v>C0095</v>
      </c>
      <c r="D1318" s="6" t="str">
        <f aca="false">Orders!D1318</f>
        <v>P1088</v>
      </c>
      <c r="E1318" s="6" t="str">
        <f aca="false">INDEX(Products!$B$2:$B$101,MATCH(D1318,Products!$A$2:$A$101,0))</f>
        <v>Electric Kettle</v>
      </c>
      <c r="F1318" s="1" t="str">
        <f aca="false">INDEX(Products!$C$2:$C$101,MATCH(D1318,Products!$A$2:$A$101,0))</f>
        <v>Appliances</v>
      </c>
      <c r="G1318" s="6" t="n">
        <f aca="false">Orders!E1318</f>
        <v>5</v>
      </c>
      <c r="H1318" s="16" t="n">
        <f aca="false">INDEX(Products!$D$2:$D$101,MATCH(D1318,Products!$A$2:$A$101,0))</f>
        <v>1299</v>
      </c>
      <c r="I1318" s="16" t="n">
        <f aca="false">INDEX(Products!$E$2:$E$101,MATCH(D1318,Products!$A$2:$A$101,0))</f>
        <v>750</v>
      </c>
      <c r="J1318" s="20" t="n">
        <f aca="false">Orders!F1318</f>
        <v>0.25</v>
      </c>
      <c r="K1318" s="6" t="n">
        <f aca="false">G1318*H1318</f>
        <v>6495</v>
      </c>
      <c r="L1318" s="6" t="n">
        <f aca="false">K1318*J1318</f>
        <v>1623.75</v>
      </c>
      <c r="M1318" s="6" t="n">
        <f aca="false">K1318-L1318</f>
        <v>4871.25</v>
      </c>
      <c r="N1318" s="6" t="n">
        <f aca="false">G1318*I1318</f>
        <v>3750</v>
      </c>
      <c r="O1318" s="6" t="n">
        <f aca="false">M1318-N1318</f>
        <v>1121.25</v>
      </c>
      <c r="P1318" s="21" t="n">
        <f aca="false">IFERROR(O1318/M1318,0)</f>
        <v>0.230177059276366</v>
      </c>
      <c r="Q1318" s="6" t="str">
        <f aca="false">Orders!H1318</f>
        <v>Delivered</v>
      </c>
      <c r="R1318" s="1" t="str">
        <f aca="false">INDEX(Customers!$C$2:$C$301,MATCH(C1318,Customers!$A$2:$A$301,0))</f>
        <v>Bhopal</v>
      </c>
      <c r="S1318" s="1" t="str">
        <f aca="false">INDEX(Customers!$E$2:$E$301,MATCH(C1318,Customers!$A$2:$A$301,0))</f>
        <v>Returning</v>
      </c>
      <c r="T1318" s="6" t="str">
        <f aca="false">Orders!I1318</f>
        <v>Mobile App</v>
      </c>
      <c r="U1318" s="1" t="str">
        <f aca="false">IF(Q1318="Delivered","Completed",IF(Q1318="Cancelled","Cancelled",IF(Q1318="Returned","Returned","In Progress")))</f>
        <v>Completed</v>
      </c>
      <c r="V1318" s="1" t="str">
        <f aca="false">IF(M1318&gt;=10000,"High Value",IF(M1318&gt;=5000,"Medium Value","Low Value"))</f>
        <v>Low Value</v>
      </c>
      <c r="W1318" s="1" t="str">
        <f aca="false">IF(O1318&gt;0,"Profitable",IF(O1318=0,"Break-even","Loss"))</f>
        <v>Profitable</v>
      </c>
      <c r="X1318" s="1" t="str">
        <f aca="false">IF(Q1318="Cancelled","Not Applicable",IF(Q1318="Processing","Pending",IF(B1318="","Unknown",IF(Orders!J1318="","Unknown",IF(Orders!J1318&lt;=3,"Fast",IF(Orders!J1318&lt;=6,"Standard","Slow"))))))</f>
        <v>Slow</v>
      </c>
      <c r="Y1318" s="1" t="n">
        <f aca="false">IF(OR(Q1318="Cancelled",Q1318="Returned"),0,O1318)</f>
        <v>1121.25</v>
      </c>
    </row>
    <row r="1319" customFormat="false" ht="23.85" hidden="false" customHeight="false" outlineLevel="0" collapsed="false">
      <c r="A1319" s="6" t="str">
        <f aca="false">Orders!A1319</f>
        <v>O001318</v>
      </c>
      <c r="B1319" s="19" t="n">
        <f aca="false">Orders!B1319</f>
        <v>45765</v>
      </c>
      <c r="C1319" s="6" t="str">
        <f aca="false">Orders!C1319</f>
        <v>C0072</v>
      </c>
      <c r="D1319" s="6" t="str">
        <f aca="false">Orders!D1319</f>
        <v>P1031</v>
      </c>
      <c r="E1319" s="6" t="str">
        <f aca="false">INDEX(Products!$B$2:$B$101,MATCH(D1319,Products!$A$2:$A$101,0))</f>
        <v>Storage Container Set</v>
      </c>
      <c r="F1319" s="1" t="str">
        <f aca="false">INDEX(Products!$C$2:$C$101,MATCH(D1319,Products!$A$2:$A$101,0))</f>
        <v>Home &amp; Kitchen</v>
      </c>
      <c r="G1319" s="6" t="n">
        <f aca="false">Orders!E1319</f>
        <v>1</v>
      </c>
      <c r="H1319" s="16" t="n">
        <f aca="false">INDEX(Products!$D$2:$D$101,MATCH(D1319,Products!$A$2:$A$101,0))</f>
        <v>699</v>
      </c>
      <c r="I1319" s="16" t="n">
        <f aca="false">INDEX(Products!$E$2:$E$101,MATCH(D1319,Products!$A$2:$A$101,0))</f>
        <v>300</v>
      </c>
      <c r="J1319" s="20" t="n">
        <f aca="false">Orders!F1319</f>
        <v>0.1</v>
      </c>
      <c r="K1319" s="6" t="n">
        <f aca="false">G1319*H1319</f>
        <v>699</v>
      </c>
      <c r="L1319" s="6" t="n">
        <f aca="false">K1319*J1319</f>
        <v>69.9</v>
      </c>
      <c r="M1319" s="6" t="n">
        <f aca="false">K1319-L1319</f>
        <v>629.1</v>
      </c>
      <c r="N1319" s="6" t="n">
        <f aca="false">G1319*I1319</f>
        <v>300</v>
      </c>
      <c r="O1319" s="6" t="n">
        <f aca="false">M1319-N1319</f>
        <v>329.1</v>
      </c>
      <c r="P1319" s="21" t="n">
        <f aca="false">IFERROR(O1319/M1319,0)</f>
        <v>0.523128278493085</v>
      </c>
      <c r="Q1319" s="6" t="str">
        <f aca="false">Orders!H1319</f>
        <v>Shipped</v>
      </c>
      <c r="R1319" s="1" t="str">
        <f aca="false">INDEX(Customers!$C$2:$C$301,MATCH(C1319,Customers!$A$2:$A$301,0))</f>
        <v>Noida</v>
      </c>
      <c r="S1319" s="1" t="str">
        <f aca="false">INDEX(Customers!$E$2:$E$301,MATCH(C1319,Customers!$A$2:$A$301,0))</f>
        <v>Returning</v>
      </c>
      <c r="T1319" s="6" t="str">
        <f aca="false">Orders!I1319</f>
        <v>Website</v>
      </c>
      <c r="U1319" s="1" t="str">
        <f aca="false">IF(Q1319="Delivered","Completed",IF(Q1319="Cancelled","Cancelled",IF(Q1319="Returned","Returned","In Progress")))</f>
        <v>In Progress</v>
      </c>
      <c r="V1319" s="1" t="str">
        <f aca="false">IF(M1319&gt;=10000,"High Value",IF(M1319&gt;=5000,"Medium Value","Low Value"))</f>
        <v>Low Value</v>
      </c>
      <c r="W1319" s="1" t="str">
        <f aca="false">IF(O1319&gt;0,"Profitable",IF(O1319=0,"Break-even","Loss"))</f>
        <v>Profitable</v>
      </c>
      <c r="X1319" s="1" t="str">
        <f aca="false">IF(Q1319="Cancelled","Not Applicable",IF(Q1319="Processing","Pending",IF(B1319="","Unknown",IF(Orders!J1319="","Unknown",IF(Orders!J1319&lt;=3,"Fast",IF(Orders!J1319&lt;=6,"Standard","Slow"))))))</f>
        <v>Standard</v>
      </c>
      <c r="Y1319" s="1" t="n">
        <f aca="false">IF(OR(Q1319="Cancelled",Q1319="Returned"),0,O1319)</f>
        <v>329.1</v>
      </c>
    </row>
    <row r="1320" customFormat="false" ht="15" hidden="false" customHeight="false" outlineLevel="0" collapsed="false">
      <c r="A1320" s="6" t="str">
        <f aca="false">Orders!A1320</f>
        <v>O001319</v>
      </c>
      <c r="B1320" s="19" t="n">
        <f aca="false">Orders!B1320</f>
        <v>45869</v>
      </c>
      <c r="C1320" s="6" t="str">
        <f aca="false">Orders!C1320</f>
        <v>C0264</v>
      </c>
      <c r="D1320" s="6" t="str">
        <f aca="false">Orders!D1320</f>
        <v>P1028</v>
      </c>
      <c r="E1320" s="6" t="str">
        <f aca="false">INDEX(Products!$B$2:$B$101,MATCH(D1320,Products!$A$2:$A$101,0))</f>
        <v>Sneakers</v>
      </c>
      <c r="F1320" s="1" t="str">
        <f aca="false">INDEX(Products!$C$2:$C$101,MATCH(D1320,Products!$A$2:$A$101,0))</f>
        <v>Fashion</v>
      </c>
      <c r="G1320" s="6" t="n">
        <f aca="false">Orders!E1320</f>
        <v>1</v>
      </c>
      <c r="H1320" s="16" t="n">
        <f aca="false">INDEX(Products!$D$2:$D$101,MATCH(D1320,Products!$A$2:$A$101,0))</f>
        <v>1799</v>
      </c>
      <c r="I1320" s="16" t="n">
        <f aca="false">INDEX(Products!$E$2:$E$101,MATCH(D1320,Products!$A$2:$A$101,0))</f>
        <v>950</v>
      </c>
      <c r="J1320" s="20" t="n">
        <f aca="false">Orders!F1320</f>
        <v>0</v>
      </c>
      <c r="K1320" s="6" t="n">
        <f aca="false">G1320*H1320</f>
        <v>1799</v>
      </c>
      <c r="L1320" s="6" t="n">
        <f aca="false">K1320*J1320</f>
        <v>0</v>
      </c>
      <c r="M1320" s="6" t="n">
        <f aca="false">K1320-L1320</f>
        <v>1799</v>
      </c>
      <c r="N1320" s="6" t="n">
        <f aca="false">G1320*I1320</f>
        <v>950</v>
      </c>
      <c r="O1320" s="6" t="n">
        <f aca="false">M1320-N1320</f>
        <v>849</v>
      </c>
      <c r="P1320" s="21" t="n">
        <f aca="false">IFERROR(O1320/M1320,0)</f>
        <v>0.471928849360756</v>
      </c>
      <c r="Q1320" s="6" t="str">
        <f aca="false">Orders!H1320</f>
        <v>Returned</v>
      </c>
      <c r="R1320" s="1" t="str">
        <f aca="false">INDEX(Customers!$C$2:$C$301,MATCH(C1320,Customers!$A$2:$A$301,0))</f>
        <v>Hyderabad</v>
      </c>
      <c r="S1320" s="1" t="str">
        <f aca="false">INDEX(Customers!$E$2:$E$301,MATCH(C1320,Customers!$A$2:$A$301,0))</f>
        <v>VIP</v>
      </c>
      <c r="T1320" s="6" t="str">
        <f aca="false">Orders!I1320</f>
        <v>Marketplace</v>
      </c>
      <c r="U1320" s="1" t="str">
        <f aca="false">IF(Q1320="Delivered","Completed",IF(Q1320="Cancelled","Cancelled",IF(Q1320="Returned","Returned","In Progress")))</f>
        <v>Returned</v>
      </c>
      <c r="V1320" s="1" t="str">
        <f aca="false">IF(M1320&gt;=10000,"High Value",IF(M1320&gt;=5000,"Medium Value","Low Value"))</f>
        <v>Low Value</v>
      </c>
      <c r="W1320" s="1" t="str">
        <f aca="false">IF(O1320&gt;0,"Profitable",IF(O1320=0,"Break-even","Loss"))</f>
        <v>Profitable</v>
      </c>
      <c r="X1320" s="1" t="str">
        <f aca="false">IF(Q1320="Cancelled","Not Applicable",IF(Q1320="Processing","Pending",IF(B1320="","Unknown",IF(Orders!J1320="","Unknown",IF(Orders!J1320&lt;=3,"Fast",IF(Orders!J1320&lt;=6,"Standard","Slow"))))))</f>
        <v>Fast</v>
      </c>
      <c r="Y1320" s="1" t="n">
        <f aca="false">IF(OR(Q1320="Cancelled",Q1320="Returned"),0,O1320)</f>
        <v>0</v>
      </c>
    </row>
    <row r="1321" customFormat="false" ht="15" hidden="false" customHeight="false" outlineLevel="0" collapsed="false">
      <c r="A1321" s="6" t="str">
        <f aca="false">Orders!A1321</f>
        <v>O001320</v>
      </c>
      <c r="B1321" s="19" t="n">
        <f aca="false">Orders!B1321</f>
        <v>45930</v>
      </c>
      <c r="C1321" s="6" t="str">
        <f aca="false">Orders!C1321</f>
        <v>C0129</v>
      </c>
      <c r="D1321" s="6" t="str">
        <f aca="false">Orders!D1321</f>
        <v>P1095</v>
      </c>
      <c r="E1321" s="6" t="str">
        <f aca="false">INDEX(Products!$B$2:$B$101,MATCH(D1321,Products!$A$2:$A$101,0))</f>
        <v>Table Fan</v>
      </c>
      <c r="F1321" s="1" t="str">
        <f aca="false">INDEX(Products!$C$2:$C$101,MATCH(D1321,Products!$A$2:$A$101,0))</f>
        <v>Appliances</v>
      </c>
      <c r="G1321" s="6" t="n">
        <f aca="false">Orders!E1321</f>
        <v>1</v>
      </c>
      <c r="H1321" s="16" t="n">
        <f aca="false">INDEX(Products!$D$2:$D$101,MATCH(D1321,Products!$A$2:$A$101,0))</f>
        <v>1599</v>
      </c>
      <c r="I1321" s="16" t="n">
        <f aca="false">INDEX(Products!$E$2:$E$101,MATCH(D1321,Products!$A$2:$A$101,0))</f>
        <v>950</v>
      </c>
      <c r="J1321" s="20" t="n">
        <f aca="false">Orders!F1321</f>
        <v>0.2</v>
      </c>
      <c r="K1321" s="6" t="n">
        <f aca="false">G1321*H1321</f>
        <v>1599</v>
      </c>
      <c r="L1321" s="6" t="n">
        <f aca="false">K1321*J1321</f>
        <v>319.8</v>
      </c>
      <c r="M1321" s="6" t="n">
        <f aca="false">K1321-L1321</f>
        <v>1279.2</v>
      </c>
      <c r="N1321" s="6" t="n">
        <f aca="false">G1321*I1321</f>
        <v>950</v>
      </c>
      <c r="O1321" s="6" t="n">
        <f aca="false">M1321-N1321</f>
        <v>329.2</v>
      </c>
      <c r="P1321" s="21" t="n">
        <f aca="false">IFERROR(O1321/M1321,0)</f>
        <v>0.257348342714196</v>
      </c>
      <c r="Q1321" s="6" t="str">
        <f aca="false">Orders!H1321</f>
        <v>Delivered</v>
      </c>
      <c r="R1321" s="1" t="str">
        <f aca="false">INDEX(Customers!$C$2:$C$301,MATCH(C1321,Customers!$A$2:$A$301,0))</f>
        <v>Ahmedabad</v>
      </c>
      <c r="S1321" s="1" t="str">
        <f aca="false">INDEX(Customers!$E$2:$E$301,MATCH(C1321,Customers!$A$2:$A$301,0))</f>
        <v>New</v>
      </c>
      <c r="T1321" s="6" t="str">
        <f aca="false">Orders!I1321</f>
        <v>Mobile App</v>
      </c>
      <c r="U1321" s="1" t="str">
        <f aca="false">IF(Q1321="Delivered","Completed",IF(Q1321="Cancelled","Cancelled",IF(Q1321="Returned","Returned","In Progress")))</f>
        <v>Completed</v>
      </c>
      <c r="V1321" s="1" t="str">
        <f aca="false">IF(M1321&gt;=10000,"High Value",IF(M1321&gt;=5000,"Medium Value","Low Value"))</f>
        <v>Low Value</v>
      </c>
      <c r="W1321" s="1" t="str">
        <f aca="false">IF(O1321&gt;0,"Profitable",IF(O1321=0,"Break-even","Loss"))</f>
        <v>Profitable</v>
      </c>
      <c r="X1321" s="1" t="str">
        <f aca="false">IF(Q1321="Cancelled","Not Applicable",IF(Q1321="Processing","Pending",IF(B1321="","Unknown",IF(Orders!J1321="","Unknown",IF(Orders!J1321&lt;=3,"Fast",IF(Orders!J1321&lt;=6,"Standard","Slow"))))))</f>
        <v>Fast</v>
      </c>
      <c r="Y1321" s="1" t="n">
        <f aca="false">IF(OR(Q1321="Cancelled",Q1321="Returned"),0,O1321)</f>
        <v>329.2</v>
      </c>
    </row>
    <row r="1322" customFormat="false" ht="23.85" hidden="false" customHeight="false" outlineLevel="0" collapsed="false">
      <c r="A1322" s="6" t="str">
        <f aca="false">Orders!A1322</f>
        <v>O001321</v>
      </c>
      <c r="B1322" s="19" t="n">
        <f aca="false">Orders!B1322</f>
        <v>45700</v>
      </c>
      <c r="C1322" s="6" t="str">
        <f aca="false">Orders!C1322</f>
        <v>C0005</v>
      </c>
      <c r="D1322" s="6" t="str">
        <f aca="false">Orders!D1322</f>
        <v>P1093</v>
      </c>
      <c r="E1322" s="6" t="str">
        <f aca="false">INDEX(Products!$B$2:$B$101,MATCH(D1322,Products!$A$2:$A$101,0))</f>
        <v>Induction Cooktop</v>
      </c>
      <c r="F1322" s="1" t="str">
        <f aca="false">INDEX(Products!$C$2:$C$101,MATCH(D1322,Products!$A$2:$A$101,0))</f>
        <v>Appliances</v>
      </c>
      <c r="G1322" s="6" t="n">
        <f aca="false">Orders!E1322</f>
        <v>3</v>
      </c>
      <c r="H1322" s="16" t="n">
        <f aca="false">INDEX(Products!$D$2:$D$101,MATCH(D1322,Products!$A$2:$A$101,0))</f>
        <v>2299</v>
      </c>
      <c r="I1322" s="16" t="n">
        <f aca="false">INDEX(Products!$E$2:$E$101,MATCH(D1322,Products!$A$2:$A$101,0))</f>
        <v>1450</v>
      </c>
      <c r="J1322" s="20" t="n">
        <f aca="false">Orders!F1322</f>
        <v>0.15</v>
      </c>
      <c r="K1322" s="6" t="n">
        <f aca="false">G1322*H1322</f>
        <v>6897</v>
      </c>
      <c r="L1322" s="6" t="n">
        <f aca="false">K1322*J1322</f>
        <v>1034.55</v>
      </c>
      <c r="M1322" s="6" t="n">
        <f aca="false">K1322-L1322</f>
        <v>5862.45</v>
      </c>
      <c r="N1322" s="6" t="n">
        <f aca="false">G1322*I1322</f>
        <v>4350</v>
      </c>
      <c r="O1322" s="6" t="n">
        <f aca="false">M1322-N1322</f>
        <v>1512.45</v>
      </c>
      <c r="P1322" s="21" t="n">
        <f aca="false">IFERROR(O1322/M1322,0)</f>
        <v>0.257989407159123</v>
      </c>
      <c r="Q1322" s="6" t="str">
        <f aca="false">Orders!H1322</f>
        <v>Delivered</v>
      </c>
      <c r="R1322" s="1" t="str">
        <f aca="false">INDEX(Customers!$C$2:$C$301,MATCH(C1322,Customers!$A$2:$A$301,0))</f>
        <v>Chennai</v>
      </c>
      <c r="S1322" s="1" t="str">
        <f aca="false">INDEX(Customers!$E$2:$E$301,MATCH(C1322,Customers!$A$2:$A$301,0))</f>
        <v>Returning</v>
      </c>
      <c r="T1322" s="6" t="str">
        <f aca="false">Orders!I1322</f>
        <v>Mobile App</v>
      </c>
      <c r="U1322" s="1" t="str">
        <f aca="false">IF(Q1322="Delivered","Completed",IF(Q1322="Cancelled","Cancelled",IF(Q1322="Returned","Returned","In Progress")))</f>
        <v>Completed</v>
      </c>
      <c r="V1322" s="1" t="str">
        <f aca="false">IF(M1322&gt;=10000,"High Value",IF(M1322&gt;=5000,"Medium Value","Low Value"))</f>
        <v>Medium Value</v>
      </c>
      <c r="W1322" s="1" t="str">
        <f aca="false">IF(O1322&gt;0,"Profitable",IF(O1322=0,"Break-even","Loss"))</f>
        <v>Profitable</v>
      </c>
      <c r="X1322" s="1" t="str">
        <f aca="false">IF(Q1322="Cancelled","Not Applicable",IF(Q1322="Processing","Pending",IF(B1322="","Unknown",IF(Orders!J1322="","Unknown",IF(Orders!J1322&lt;=3,"Fast",IF(Orders!J1322&lt;=6,"Standard","Slow"))))))</f>
        <v>Slow</v>
      </c>
      <c r="Y1322" s="1" t="n">
        <f aca="false">IF(OR(Q1322="Cancelled",Q1322="Returned"),0,O1322)</f>
        <v>1512.45</v>
      </c>
    </row>
    <row r="1323" customFormat="false" ht="15" hidden="false" customHeight="false" outlineLevel="0" collapsed="false">
      <c r="A1323" s="6" t="str">
        <f aca="false">Orders!A1323</f>
        <v>O001322</v>
      </c>
      <c r="B1323" s="19" t="n">
        <f aca="false">Orders!B1323</f>
        <v>45874</v>
      </c>
      <c r="C1323" s="6" t="str">
        <f aca="false">Orders!C1323</f>
        <v>C0082</v>
      </c>
      <c r="D1323" s="6" t="str">
        <f aca="false">Orders!D1323</f>
        <v>P1005</v>
      </c>
      <c r="E1323" s="6" t="str">
        <f aca="false">INDEX(Products!$B$2:$B$101,MATCH(D1323,Products!$A$2:$A$101,0))</f>
        <v>Power Bank</v>
      </c>
      <c r="F1323" s="1" t="str">
        <f aca="false">INDEX(Products!$C$2:$C$101,MATCH(D1323,Products!$A$2:$A$101,0))</f>
        <v>Electronics</v>
      </c>
      <c r="G1323" s="6" t="n">
        <f aca="false">Orders!E1323</f>
        <v>1</v>
      </c>
      <c r="H1323" s="16" t="n">
        <f aca="false">INDEX(Products!$D$2:$D$101,MATCH(D1323,Products!$A$2:$A$101,0))</f>
        <v>1199</v>
      </c>
      <c r="I1323" s="16" t="n">
        <f aca="false">INDEX(Products!$E$2:$E$101,MATCH(D1323,Products!$A$2:$A$101,0))</f>
        <v>650</v>
      </c>
      <c r="J1323" s="20" t="n">
        <f aca="false">Orders!F1323</f>
        <v>0.15</v>
      </c>
      <c r="K1323" s="6" t="n">
        <f aca="false">G1323*H1323</f>
        <v>1199</v>
      </c>
      <c r="L1323" s="6" t="n">
        <f aca="false">K1323*J1323</f>
        <v>179.85</v>
      </c>
      <c r="M1323" s="6" t="n">
        <f aca="false">K1323-L1323</f>
        <v>1019.15</v>
      </c>
      <c r="N1323" s="6" t="n">
        <f aca="false">G1323*I1323</f>
        <v>650</v>
      </c>
      <c r="O1323" s="6" t="n">
        <f aca="false">M1323-N1323</f>
        <v>369.15</v>
      </c>
      <c r="P1323" s="21" t="n">
        <f aca="false">IFERROR(O1323/M1323,0)</f>
        <v>0.362213609380366</v>
      </c>
      <c r="Q1323" s="6" t="str">
        <f aca="false">Orders!H1323</f>
        <v>Delivered</v>
      </c>
      <c r="R1323" s="1" t="str">
        <f aca="false">INDEX(Customers!$C$2:$C$301,MATCH(C1323,Customers!$A$2:$A$301,0))</f>
        <v>Mumbai</v>
      </c>
      <c r="S1323" s="1" t="str">
        <f aca="false">INDEX(Customers!$E$2:$E$301,MATCH(C1323,Customers!$A$2:$A$301,0))</f>
        <v>Returning</v>
      </c>
      <c r="T1323" s="6" t="str">
        <f aca="false">Orders!I1323</f>
        <v>Marketplace</v>
      </c>
      <c r="U1323" s="1" t="str">
        <f aca="false">IF(Q1323="Delivered","Completed",IF(Q1323="Cancelled","Cancelled",IF(Q1323="Returned","Returned","In Progress")))</f>
        <v>Completed</v>
      </c>
      <c r="V1323" s="1" t="str">
        <f aca="false">IF(M1323&gt;=10000,"High Value",IF(M1323&gt;=5000,"Medium Value","Low Value"))</f>
        <v>Low Value</v>
      </c>
      <c r="W1323" s="1" t="str">
        <f aca="false">IF(O1323&gt;0,"Profitable",IF(O1323=0,"Break-even","Loss"))</f>
        <v>Profitable</v>
      </c>
      <c r="X1323" s="1" t="str">
        <f aca="false">IF(Q1323="Cancelled","Not Applicable",IF(Q1323="Processing","Pending",IF(B1323="","Unknown",IF(Orders!J1323="","Unknown",IF(Orders!J1323&lt;=3,"Fast",IF(Orders!J1323&lt;=6,"Standard","Slow"))))))</f>
        <v>Fast</v>
      </c>
      <c r="Y1323" s="1" t="n">
        <f aca="false">IF(OR(Q1323="Cancelled",Q1323="Returned"),0,O1323)</f>
        <v>369.15</v>
      </c>
    </row>
    <row r="1324" customFormat="false" ht="15" hidden="false" customHeight="false" outlineLevel="0" collapsed="false">
      <c r="A1324" s="6" t="str">
        <f aca="false">Orders!A1324</f>
        <v>O001323</v>
      </c>
      <c r="B1324" s="19" t="n">
        <f aca="false">Orders!B1324</f>
        <v>45965</v>
      </c>
      <c r="C1324" s="6" t="str">
        <f aca="false">Orders!C1324</f>
        <v>C0142</v>
      </c>
      <c r="D1324" s="6" t="str">
        <f aca="false">Orders!D1324</f>
        <v>P1009</v>
      </c>
      <c r="E1324" s="6" t="str">
        <f aca="false">INDEX(Products!$B$2:$B$101,MATCH(D1324,Products!$A$2:$A$101,0))</f>
        <v>Laptop Sleeve</v>
      </c>
      <c r="F1324" s="1" t="str">
        <f aca="false">INDEX(Products!$C$2:$C$101,MATCH(D1324,Products!$A$2:$A$101,0))</f>
        <v>Electronics</v>
      </c>
      <c r="G1324" s="6" t="n">
        <f aca="false">Orders!E1324</f>
        <v>1</v>
      </c>
      <c r="H1324" s="16" t="n">
        <f aca="false">INDEX(Products!$D$2:$D$101,MATCH(D1324,Products!$A$2:$A$101,0))</f>
        <v>799</v>
      </c>
      <c r="I1324" s="16" t="n">
        <f aca="false">INDEX(Products!$E$2:$E$101,MATCH(D1324,Products!$A$2:$A$101,0))</f>
        <v>350</v>
      </c>
      <c r="J1324" s="20" t="n">
        <f aca="false">Orders!F1324</f>
        <v>0</v>
      </c>
      <c r="K1324" s="6" t="n">
        <f aca="false">G1324*H1324</f>
        <v>799</v>
      </c>
      <c r="L1324" s="6" t="n">
        <f aca="false">K1324*J1324</f>
        <v>0</v>
      </c>
      <c r="M1324" s="6" t="n">
        <f aca="false">K1324-L1324</f>
        <v>799</v>
      </c>
      <c r="N1324" s="6" t="n">
        <f aca="false">G1324*I1324</f>
        <v>350</v>
      </c>
      <c r="O1324" s="6" t="n">
        <f aca="false">M1324-N1324</f>
        <v>449</v>
      </c>
      <c r="P1324" s="21" t="n">
        <f aca="false">IFERROR(O1324/M1324,0)</f>
        <v>0.561952440550688</v>
      </c>
      <c r="Q1324" s="6" t="str">
        <f aca="false">Orders!H1324</f>
        <v>Delivered</v>
      </c>
      <c r="R1324" s="1" t="str">
        <f aca="false">INDEX(Customers!$C$2:$C$301,MATCH(C1324,Customers!$A$2:$A$301,0))</f>
        <v>Mumbai</v>
      </c>
      <c r="S1324" s="1" t="str">
        <f aca="false">INDEX(Customers!$E$2:$E$301,MATCH(C1324,Customers!$A$2:$A$301,0))</f>
        <v>VIP</v>
      </c>
      <c r="T1324" s="6" t="str">
        <f aca="false">Orders!I1324</f>
        <v>Marketplace</v>
      </c>
      <c r="U1324" s="1" t="str">
        <f aca="false">IF(Q1324="Delivered","Completed",IF(Q1324="Cancelled","Cancelled",IF(Q1324="Returned","Returned","In Progress")))</f>
        <v>Completed</v>
      </c>
      <c r="V1324" s="1" t="str">
        <f aca="false">IF(M1324&gt;=10000,"High Value",IF(M1324&gt;=5000,"Medium Value","Low Value"))</f>
        <v>Low Value</v>
      </c>
      <c r="W1324" s="1" t="str">
        <f aca="false">IF(O1324&gt;0,"Profitable",IF(O1324=0,"Break-even","Loss"))</f>
        <v>Profitable</v>
      </c>
      <c r="X1324" s="1" t="str">
        <f aca="false">IF(Q1324="Cancelled","Not Applicable",IF(Q1324="Processing","Pending",IF(B1324="","Unknown",IF(Orders!J1324="","Unknown",IF(Orders!J1324&lt;=3,"Fast",IF(Orders!J1324&lt;=6,"Standard","Slow"))))))</f>
        <v>Fast</v>
      </c>
      <c r="Y1324" s="1" t="n">
        <f aca="false">IF(OR(Q1324="Cancelled",Q1324="Returned"),0,O1324)</f>
        <v>449</v>
      </c>
    </row>
    <row r="1325" customFormat="false" ht="15" hidden="false" customHeight="false" outlineLevel="0" collapsed="false">
      <c r="A1325" s="6" t="str">
        <f aca="false">Orders!A1325</f>
        <v>O001324</v>
      </c>
      <c r="B1325" s="19" t="n">
        <f aca="false">Orders!B1325</f>
        <v>45916</v>
      </c>
      <c r="C1325" s="6" t="str">
        <f aca="false">Orders!C1325</f>
        <v>C0120</v>
      </c>
      <c r="D1325" s="6" t="str">
        <f aca="false">Orders!D1325</f>
        <v>P1016</v>
      </c>
      <c r="E1325" s="6" t="str">
        <f aca="false">INDEX(Products!$B$2:$B$101,MATCH(D1325,Products!$A$2:$A$101,0))</f>
        <v>Casual T-Shirt</v>
      </c>
      <c r="F1325" s="1" t="str">
        <f aca="false">INDEX(Products!$C$2:$C$101,MATCH(D1325,Products!$A$2:$A$101,0))</f>
        <v>Fashion</v>
      </c>
      <c r="G1325" s="6" t="n">
        <f aca="false">Orders!E1325</f>
        <v>1</v>
      </c>
      <c r="H1325" s="16" t="n">
        <f aca="false">INDEX(Products!$D$2:$D$101,MATCH(D1325,Products!$A$2:$A$101,0))</f>
        <v>499</v>
      </c>
      <c r="I1325" s="16" t="n">
        <f aca="false">INDEX(Products!$E$2:$E$101,MATCH(D1325,Products!$A$2:$A$101,0))</f>
        <v>220</v>
      </c>
      <c r="J1325" s="20" t="n">
        <f aca="false">Orders!F1325</f>
        <v>0.15</v>
      </c>
      <c r="K1325" s="6" t="n">
        <f aca="false">G1325*H1325</f>
        <v>499</v>
      </c>
      <c r="L1325" s="6" t="n">
        <f aca="false">K1325*J1325</f>
        <v>74.85</v>
      </c>
      <c r="M1325" s="6" t="n">
        <f aca="false">K1325-L1325</f>
        <v>424.15</v>
      </c>
      <c r="N1325" s="6" t="n">
        <f aca="false">G1325*I1325</f>
        <v>220</v>
      </c>
      <c r="O1325" s="6" t="n">
        <f aca="false">M1325-N1325</f>
        <v>204.15</v>
      </c>
      <c r="P1325" s="21" t="n">
        <f aca="false">IFERROR(O1325/M1325,0)</f>
        <v>0.481315572321113</v>
      </c>
      <c r="Q1325" s="6" t="str">
        <f aca="false">Orders!H1325</f>
        <v>Delivered</v>
      </c>
      <c r="R1325" s="1" t="str">
        <f aca="false">INDEX(Customers!$C$2:$C$301,MATCH(C1325,Customers!$A$2:$A$301,0))</f>
        <v>Visakhapatnam</v>
      </c>
      <c r="S1325" s="1" t="str">
        <f aca="false">INDEX(Customers!$E$2:$E$301,MATCH(C1325,Customers!$A$2:$A$301,0))</f>
        <v>Returning</v>
      </c>
      <c r="T1325" s="6" t="str">
        <f aca="false">Orders!I1325</f>
        <v>Mobile App</v>
      </c>
      <c r="U1325" s="1" t="str">
        <f aca="false">IF(Q1325="Delivered","Completed",IF(Q1325="Cancelled","Cancelled",IF(Q1325="Returned","Returned","In Progress")))</f>
        <v>Completed</v>
      </c>
      <c r="V1325" s="1" t="str">
        <f aca="false">IF(M1325&gt;=10000,"High Value",IF(M1325&gt;=5000,"Medium Value","Low Value"))</f>
        <v>Low Value</v>
      </c>
      <c r="W1325" s="1" t="str">
        <f aca="false">IF(O1325&gt;0,"Profitable",IF(O1325=0,"Break-even","Loss"))</f>
        <v>Profitable</v>
      </c>
      <c r="X1325" s="1" t="str">
        <f aca="false">IF(Q1325="Cancelled","Not Applicable",IF(Q1325="Processing","Pending",IF(B1325="","Unknown",IF(Orders!J1325="","Unknown",IF(Orders!J1325&lt;=3,"Fast",IF(Orders!J1325&lt;=6,"Standard","Slow"))))))</f>
        <v>Slow</v>
      </c>
      <c r="Y1325" s="1" t="n">
        <f aca="false">IF(OR(Q1325="Cancelled",Q1325="Returned"),0,O1325)</f>
        <v>204.15</v>
      </c>
    </row>
    <row r="1326" customFormat="false" ht="23.85" hidden="false" customHeight="false" outlineLevel="0" collapsed="false">
      <c r="A1326" s="6" t="str">
        <f aca="false">Orders!A1326</f>
        <v>O001325</v>
      </c>
      <c r="B1326" s="19" t="n">
        <f aca="false">Orders!B1326</f>
        <v>45872</v>
      </c>
      <c r="C1326" s="6" t="str">
        <f aca="false">Orders!C1326</f>
        <v>C0239</v>
      </c>
      <c r="D1326" s="6" t="str">
        <f aca="false">Orders!D1326</f>
        <v>P1065</v>
      </c>
      <c r="E1326" s="6" t="str">
        <f aca="false">INDEX(Products!$B$2:$B$101,MATCH(D1326,Products!$A$2:$A$101,0))</f>
        <v>Badminton Racket</v>
      </c>
      <c r="F1326" s="1" t="str">
        <f aca="false">INDEX(Products!$C$2:$C$101,MATCH(D1326,Products!$A$2:$A$101,0))</f>
        <v>Sports &amp; Outdoors</v>
      </c>
      <c r="G1326" s="6" t="n">
        <f aca="false">Orders!E1326</f>
        <v>4</v>
      </c>
      <c r="H1326" s="16" t="n">
        <f aca="false">INDEX(Products!$D$2:$D$101,MATCH(D1326,Products!$A$2:$A$101,0))</f>
        <v>999</v>
      </c>
      <c r="I1326" s="16" t="n">
        <f aca="false">INDEX(Products!$E$2:$E$101,MATCH(D1326,Products!$A$2:$A$101,0))</f>
        <v>520</v>
      </c>
      <c r="J1326" s="20" t="n">
        <f aca="false">Orders!F1326</f>
        <v>0.15</v>
      </c>
      <c r="K1326" s="6" t="n">
        <f aca="false">G1326*H1326</f>
        <v>3996</v>
      </c>
      <c r="L1326" s="6" t="n">
        <f aca="false">K1326*J1326</f>
        <v>599.4</v>
      </c>
      <c r="M1326" s="6" t="n">
        <f aca="false">K1326-L1326</f>
        <v>3396.6</v>
      </c>
      <c r="N1326" s="6" t="n">
        <f aca="false">G1326*I1326</f>
        <v>2080</v>
      </c>
      <c r="O1326" s="6" t="n">
        <f aca="false">M1326-N1326</f>
        <v>1316.6</v>
      </c>
      <c r="P1326" s="21" t="n">
        <f aca="false">IFERROR(O1326/M1326,0)</f>
        <v>0.387622917034682</v>
      </c>
      <c r="Q1326" s="6" t="str">
        <f aca="false">Orders!H1326</f>
        <v>Delivered</v>
      </c>
      <c r="R1326" s="1" t="str">
        <f aca="false">INDEX(Customers!$C$2:$C$301,MATCH(C1326,Customers!$A$2:$A$301,0))</f>
        <v>Coimbatore</v>
      </c>
      <c r="S1326" s="1" t="str">
        <f aca="false">INDEX(Customers!$E$2:$E$301,MATCH(C1326,Customers!$A$2:$A$301,0))</f>
        <v>New</v>
      </c>
      <c r="T1326" s="6" t="str">
        <f aca="false">Orders!I1326</f>
        <v>Website</v>
      </c>
      <c r="U1326" s="1" t="str">
        <f aca="false">IF(Q1326="Delivered","Completed",IF(Q1326="Cancelled","Cancelled",IF(Q1326="Returned","Returned","In Progress")))</f>
        <v>Completed</v>
      </c>
      <c r="V1326" s="1" t="str">
        <f aca="false">IF(M1326&gt;=10000,"High Value",IF(M1326&gt;=5000,"Medium Value","Low Value"))</f>
        <v>Low Value</v>
      </c>
      <c r="W1326" s="1" t="str">
        <f aca="false">IF(O1326&gt;0,"Profitable",IF(O1326=0,"Break-even","Loss"))</f>
        <v>Profitable</v>
      </c>
      <c r="X1326" s="1" t="str">
        <f aca="false">IF(Q1326="Cancelled","Not Applicable",IF(Q1326="Processing","Pending",IF(B1326="","Unknown",IF(Orders!J1326="","Unknown",IF(Orders!J1326&lt;=3,"Fast",IF(Orders!J1326&lt;=6,"Standard","Slow"))))))</f>
        <v>Fast</v>
      </c>
      <c r="Y1326" s="1" t="n">
        <f aca="false">IF(OR(Q1326="Cancelled",Q1326="Returned"),0,O1326)</f>
        <v>1316.6</v>
      </c>
    </row>
    <row r="1327" customFormat="false" ht="15" hidden="false" customHeight="false" outlineLevel="0" collapsed="false">
      <c r="A1327" s="6" t="str">
        <f aca="false">Orders!A1327</f>
        <v>O001326</v>
      </c>
      <c r="B1327" s="19" t="n">
        <f aca="false">Orders!B1327</f>
        <v>45845</v>
      </c>
      <c r="C1327" s="6" t="str">
        <f aca="false">Orders!C1327</f>
        <v>C0254</v>
      </c>
      <c r="D1327" s="6" t="str">
        <f aca="false">Orders!D1327</f>
        <v>P1021</v>
      </c>
      <c r="E1327" s="6" t="str">
        <f aca="false">INDEX(Products!$B$2:$B$101,MATCH(D1327,Products!$A$2:$A$101,0))</f>
        <v>Handbag</v>
      </c>
      <c r="F1327" s="1" t="str">
        <f aca="false">INDEX(Products!$C$2:$C$101,MATCH(D1327,Products!$A$2:$A$101,0))</f>
        <v>Fashion</v>
      </c>
      <c r="G1327" s="6" t="n">
        <f aca="false">Orders!E1327</f>
        <v>1</v>
      </c>
      <c r="H1327" s="16" t="n">
        <f aca="false">INDEX(Products!$D$2:$D$101,MATCH(D1327,Products!$A$2:$A$101,0))</f>
        <v>1499</v>
      </c>
      <c r="I1327" s="16" t="n">
        <f aca="false">INDEX(Products!$E$2:$E$101,MATCH(D1327,Products!$A$2:$A$101,0))</f>
        <v>700</v>
      </c>
      <c r="J1327" s="20" t="n">
        <f aca="false">Orders!F1327</f>
        <v>0.05</v>
      </c>
      <c r="K1327" s="6" t="n">
        <f aca="false">G1327*H1327</f>
        <v>1499</v>
      </c>
      <c r="L1327" s="6" t="n">
        <f aca="false">K1327*J1327</f>
        <v>74.95</v>
      </c>
      <c r="M1327" s="6" t="n">
        <f aca="false">K1327-L1327</f>
        <v>1424.05</v>
      </c>
      <c r="N1327" s="6" t="n">
        <f aca="false">G1327*I1327</f>
        <v>700</v>
      </c>
      <c r="O1327" s="6" t="n">
        <f aca="false">M1327-N1327</f>
        <v>724.05</v>
      </c>
      <c r="P1327" s="21" t="n">
        <f aca="false">IFERROR(O1327/M1327,0)</f>
        <v>0.508444225975212</v>
      </c>
      <c r="Q1327" s="6" t="str">
        <f aca="false">Orders!H1327</f>
        <v>Delivered</v>
      </c>
      <c r="R1327" s="1" t="str">
        <f aca="false">INDEX(Customers!$C$2:$C$301,MATCH(C1327,Customers!$A$2:$A$301,0))</f>
        <v>Indore</v>
      </c>
      <c r="S1327" s="1" t="str">
        <f aca="false">INDEX(Customers!$E$2:$E$301,MATCH(C1327,Customers!$A$2:$A$301,0))</f>
        <v>Returning</v>
      </c>
      <c r="T1327" s="6" t="str">
        <f aca="false">Orders!I1327</f>
        <v>Mobile App</v>
      </c>
      <c r="U1327" s="1" t="str">
        <f aca="false">IF(Q1327="Delivered","Completed",IF(Q1327="Cancelled","Cancelled",IF(Q1327="Returned","Returned","In Progress")))</f>
        <v>Completed</v>
      </c>
      <c r="V1327" s="1" t="str">
        <f aca="false">IF(M1327&gt;=10000,"High Value",IF(M1327&gt;=5000,"Medium Value","Low Value"))</f>
        <v>Low Value</v>
      </c>
      <c r="W1327" s="1" t="str">
        <f aca="false">IF(O1327&gt;0,"Profitable",IF(O1327=0,"Break-even","Loss"))</f>
        <v>Profitable</v>
      </c>
      <c r="X1327" s="1" t="str">
        <f aca="false">IF(Q1327="Cancelled","Not Applicable",IF(Q1327="Processing","Pending",IF(B1327="","Unknown",IF(Orders!J1327="","Unknown",IF(Orders!J1327&lt;=3,"Fast",IF(Orders!J1327&lt;=6,"Standard","Slow"))))))</f>
        <v>Fast</v>
      </c>
      <c r="Y1327" s="1" t="n">
        <f aca="false">IF(OR(Q1327="Cancelled",Q1327="Returned"),0,O1327)</f>
        <v>724.05</v>
      </c>
    </row>
    <row r="1328" customFormat="false" ht="15" hidden="false" customHeight="false" outlineLevel="0" collapsed="false">
      <c r="A1328" s="6" t="str">
        <f aca="false">Orders!A1328</f>
        <v>O001327</v>
      </c>
      <c r="B1328" s="19" t="n">
        <f aca="false">Orders!B1328</f>
        <v>45784</v>
      </c>
      <c r="C1328" s="6" t="str">
        <f aca="false">Orders!C1328</f>
        <v>C0281</v>
      </c>
      <c r="D1328" s="6" t="str">
        <f aca="false">Orders!D1328</f>
        <v>P1039</v>
      </c>
      <c r="E1328" s="6" t="str">
        <f aca="false">INDEX(Products!$B$2:$B$101,MATCH(D1328,Products!$A$2:$A$101,0))</f>
        <v>Wall Clock</v>
      </c>
      <c r="F1328" s="1" t="str">
        <f aca="false">INDEX(Products!$C$2:$C$101,MATCH(D1328,Products!$A$2:$A$101,0))</f>
        <v>Home &amp; Kitchen</v>
      </c>
      <c r="G1328" s="6" t="n">
        <f aca="false">Orders!E1328</f>
        <v>4</v>
      </c>
      <c r="H1328" s="16" t="n">
        <f aca="false">INDEX(Products!$D$2:$D$101,MATCH(D1328,Products!$A$2:$A$101,0))</f>
        <v>699</v>
      </c>
      <c r="I1328" s="16" t="n">
        <f aca="false">INDEX(Products!$E$2:$E$101,MATCH(D1328,Products!$A$2:$A$101,0))</f>
        <v>300</v>
      </c>
      <c r="J1328" s="20" t="n">
        <f aca="false">Orders!F1328</f>
        <v>0</v>
      </c>
      <c r="K1328" s="6" t="n">
        <f aca="false">G1328*H1328</f>
        <v>2796</v>
      </c>
      <c r="L1328" s="6" t="n">
        <f aca="false">K1328*J1328</f>
        <v>0</v>
      </c>
      <c r="M1328" s="6" t="n">
        <f aca="false">K1328-L1328</f>
        <v>2796</v>
      </c>
      <c r="N1328" s="6" t="n">
        <f aca="false">G1328*I1328</f>
        <v>1200</v>
      </c>
      <c r="O1328" s="6" t="n">
        <f aca="false">M1328-N1328</f>
        <v>1596</v>
      </c>
      <c r="P1328" s="21" t="n">
        <f aca="false">IFERROR(O1328/M1328,0)</f>
        <v>0.570815450643777</v>
      </c>
      <c r="Q1328" s="6" t="str">
        <f aca="false">Orders!H1328</f>
        <v>Processing</v>
      </c>
      <c r="R1328" s="1" t="str">
        <f aca="false">INDEX(Customers!$C$2:$C$301,MATCH(C1328,Customers!$A$2:$A$301,0))</f>
        <v>Delhi</v>
      </c>
      <c r="S1328" s="1" t="str">
        <f aca="false">INDEX(Customers!$E$2:$E$301,MATCH(C1328,Customers!$A$2:$A$301,0))</f>
        <v>VIP</v>
      </c>
      <c r="T1328" s="6" t="str">
        <f aca="false">Orders!I1328</f>
        <v>Marketplace</v>
      </c>
      <c r="U1328" s="1" t="str">
        <f aca="false">IF(Q1328="Delivered","Completed",IF(Q1328="Cancelled","Cancelled",IF(Q1328="Returned","Returned","In Progress")))</f>
        <v>In Progress</v>
      </c>
      <c r="V1328" s="1" t="str">
        <f aca="false">IF(M1328&gt;=10000,"High Value",IF(M1328&gt;=5000,"Medium Value","Low Value"))</f>
        <v>Low Value</v>
      </c>
      <c r="W1328" s="1" t="str">
        <f aca="false">IF(O1328&gt;0,"Profitable",IF(O1328=0,"Break-even","Loss"))</f>
        <v>Profitable</v>
      </c>
      <c r="X1328" s="1" t="str">
        <f aca="false">IF(Q1328="Cancelled","Not Applicable",IF(Q1328="Processing","Pending",IF(B1328="","Unknown",IF(Orders!J1328="","Unknown",IF(Orders!J1328&lt;=3,"Fast",IF(Orders!J1328&lt;=6,"Standard","Slow"))))))</f>
        <v>Pending</v>
      </c>
      <c r="Y1328" s="1" t="n">
        <f aca="false">IF(OR(Q1328="Cancelled",Q1328="Returned"),0,O1328)</f>
        <v>1596</v>
      </c>
    </row>
    <row r="1329" customFormat="false" ht="15" hidden="false" customHeight="false" outlineLevel="0" collapsed="false">
      <c r="A1329" s="6" t="str">
        <f aca="false">Orders!A1329</f>
        <v>O001328</v>
      </c>
      <c r="B1329" s="19" t="n">
        <f aca="false">Orders!B1329</f>
        <v>45943</v>
      </c>
      <c r="C1329" s="6" t="str">
        <f aca="false">Orders!C1329</f>
        <v>C0156</v>
      </c>
      <c r="D1329" s="6" t="str">
        <f aca="false">Orders!D1329</f>
        <v>P1054</v>
      </c>
      <c r="E1329" s="6" t="str">
        <f aca="false">INDEX(Products!$B$2:$B$101,MATCH(D1329,Products!$A$2:$A$101,0))</f>
        <v>Face Mask Pack</v>
      </c>
      <c r="F1329" s="1" t="str">
        <f aca="false">INDEX(Products!$C$2:$C$101,MATCH(D1329,Products!$A$2:$A$101,0))</f>
        <v>Beauty</v>
      </c>
      <c r="G1329" s="6" t="n">
        <f aca="false">Orders!E1329</f>
        <v>1</v>
      </c>
      <c r="H1329" s="16" t="n">
        <f aca="false">INDEX(Products!$D$2:$D$101,MATCH(D1329,Products!$A$2:$A$101,0))</f>
        <v>299</v>
      </c>
      <c r="I1329" s="16" t="n">
        <f aca="false">INDEX(Products!$E$2:$E$101,MATCH(D1329,Products!$A$2:$A$101,0))</f>
        <v>110</v>
      </c>
      <c r="J1329" s="20" t="n">
        <f aca="false">Orders!F1329</f>
        <v>0.25</v>
      </c>
      <c r="K1329" s="6" t="n">
        <f aca="false">G1329*H1329</f>
        <v>299</v>
      </c>
      <c r="L1329" s="6" t="n">
        <f aca="false">K1329*J1329</f>
        <v>74.75</v>
      </c>
      <c r="M1329" s="6" t="n">
        <f aca="false">K1329-L1329</f>
        <v>224.25</v>
      </c>
      <c r="N1329" s="6" t="n">
        <f aca="false">G1329*I1329</f>
        <v>110</v>
      </c>
      <c r="O1329" s="6" t="n">
        <f aca="false">M1329-N1329</f>
        <v>114.25</v>
      </c>
      <c r="P1329" s="21" t="n">
        <f aca="false">IFERROR(O1329/M1329,0)</f>
        <v>0.509476031215162</v>
      </c>
      <c r="Q1329" s="6" t="str">
        <f aca="false">Orders!H1329</f>
        <v>Delivered</v>
      </c>
      <c r="R1329" s="1" t="str">
        <f aca="false">INDEX(Customers!$C$2:$C$301,MATCH(C1329,Customers!$A$2:$A$301,0))</f>
        <v>Chandigarh</v>
      </c>
      <c r="S1329" s="1" t="str">
        <f aca="false">INDEX(Customers!$E$2:$E$301,MATCH(C1329,Customers!$A$2:$A$301,0))</f>
        <v>Returning</v>
      </c>
      <c r="T1329" s="6" t="str">
        <f aca="false">Orders!I1329</f>
        <v>Mobile App</v>
      </c>
      <c r="U1329" s="1" t="str">
        <f aca="false">IF(Q1329="Delivered","Completed",IF(Q1329="Cancelled","Cancelled",IF(Q1329="Returned","Returned","In Progress")))</f>
        <v>Completed</v>
      </c>
      <c r="V1329" s="1" t="str">
        <f aca="false">IF(M1329&gt;=10000,"High Value",IF(M1329&gt;=5000,"Medium Value","Low Value"))</f>
        <v>Low Value</v>
      </c>
      <c r="W1329" s="1" t="str">
        <f aca="false">IF(O1329&gt;0,"Profitable",IF(O1329=0,"Break-even","Loss"))</f>
        <v>Profitable</v>
      </c>
      <c r="X1329" s="1" t="str">
        <f aca="false">IF(Q1329="Cancelled","Not Applicable",IF(Q1329="Processing","Pending",IF(B1329="","Unknown",IF(Orders!J1329="","Unknown",IF(Orders!J1329&lt;=3,"Fast",IF(Orders!J1329&lt;=6,"Standard","Slow"))))))</f>
        <v>Fast</v>
      </c>
      <c r="Y1329" s="1" t="n">
        <f aca="false">IF(OR(Q1329="Cancelled",Q1329="Returned"),0,O1329)</f>
        <v>114.25</v>
      </c>
    </row>
    <row r="1330" customFormat="false" ht="15" hidden="false" customHeight="false" outlineLevel="0" collapsed="false">
      <c r="A1330" s="6" t="str">
        <f aca="false">Orders!A1330</f>
        <v>O001329</v>
      </c>
      <c r="B1330" s="19" t="n">
        <f aca="false">Orders!B1330</f>
        <v>45828</v>
      </c>
      <c r="C1330" s="6" t="str">
        <f aca="false">Orders!C1330</f>
        <v>C0270</v>
      </c>
      <c r="D1330" s="6" t="str">
        <f aca="false">Orders!D1330</f>
        <v>P1024</v>
      </c>
      <c r="E1330" s="6" t="str">
        <f aca="false">INDEX(Products!$B$2:$B$101,MATCH(D1330,Products!$A$2:$A$101,0))</f>
        <v>Kurta</v>
      </c>
      <c r="F1330" s="1" t="str">
        <f aca="false">INDEX(Products!$C$2:$C$101,MATCH(D1330,Products!$A$2:$A$101,0))</f>
        <v>Fashion</v>
      </c>
      <c r="G1330" s="6" t="n">
        <f aca="false">Orders!E1330</f>
        <v>1</v>
      </c>
      <c r="H1330" s="16" t="n">
        <f aca="false">INDEX(Products!$D$2:$D$101,MATCH(D1330,Products!$A$2:$A$101,0))</f>
        <v>999</v>
      </c>
      <c r="I1330" s="16" t="n">
        <f aca="false">INDEX(Products!$E$2:$E$101,MATCH(D1330,Products!$A$2:$A$101,0))</f>
        <v>450</v>
      </c>
      <c r="J1330" s="20" t="n">
        <f aca="false">Orders!F1330</f>
        <v>0.25</v>
      </c>
      <c r="K1330" s="6" t="n">
        <f aca="false">G1330*H1330</f>
        <v>999</v>
      </c>
      <c r="L1330" s="6" t="n">
        <f aca="false">K1330*J1330</f>
        <v>249.75</v>
      </c>
      <c r="M1330" s="6" t="n">
        <f aca="false">K1330-L1330</f>
        <v>749.25</v>
      </c>
      <c r="N1330" s="6" t="n">
        <f aca="false">G1330*I1330</f>
        <v>450</v>
      </c>
      <c r="O1330" s="6" t="n">
        <f aca="false">M1330-N1330</f>
        <v>299.25</v>
      </c>
      <c r="P1330" s="21" t="n">
        <f aca="false">IFERROR(O1330/M1330,0)</f>
        <v>0.399399399399399</v>
      </c>
      <c r="Q1330" s="6" t="str">
        <f aca="false">Orders!H1330</f>
        <v>Delivered</v>
      </c>
      <c r="R1330" s="1" t="str">
        <f aca="false">INDEX(Customers!$C$2:$C$301,MATCH(C1330,Customers!$A$2:$A$301,0))</f>
        <v>Lucknow</v>
      </c>
      <c r="S1330" s="1" t="str">
        <f aca="false">INDEX(Customers!$E$2:$E$301,MATCH(C1330,Customers!$A$2:$A$301,0))</f>
        <v>Returning</v>
      </c>
      <c r="T1330" s="6" t="str">
        <f aca="false">Orders!I1330</f>
        <v>Mobile App</v>
      </c>
      <c r="U1330" s="1" t="str">
        <f aca="false">IF(Q1330="Delivered","Completed",IF(Q1330="Cancelled","Cancelled",IF(Q1330="Returned","Returned","In Progress")))</f>
        <v>Completed</v>
      </c>
      <c r="V1330" s="1" t="str">
        <f aca="false">IF(M1330&gt;=10000,"High Value",IF(M1330&gt;=5000,"Medium Value","Low Value"))</f>
        <v>Low Value</v>
      </c>
      <c r="W1330" s="1" t="str">
        <f aca="false">IF(O1330&gt;0,"Profitable",IF(O1330=0,"Break-even","Loss"))</f>
        <v>Profitable</v>
      </c>
      <c r="X1330" s="1" t="str">
        <f aca="false">IF(Q1330="Cancelled","Not Applicable",IF(Q1330="Processing","Pending",IF(B1330="","Unknown",IF(Orders!J1330="","Unknown",IF(Orders!J1330&lt;=3,"Fast",IF(Orders!J1330&lt;=6,"Standard","Slow"))))))</f>
        <v>Standard</v>
      </c>
      <c r="Y1330" s="1" t="n">
        <f aca="false">IF(OR(Q1330="Cancelled",Q1330="Returned"),0,O1330)</f>
        <v>299.25</v>
      </c>
    </row>
    <row r="1331" customFormat="false" ht="15" hidden="false" customHeight="false" outlineLevel="0" collapsed="false">
      <c r="A1331" s="6" t="str">
        <f aca="false">Orders!A1331</f>
        <v>O001330</v>
      </c>
      <c r="B1331" s="19" t="n">
        <f aca="false">Orders!B1331</f>
        <v>45763</v>
      </c>
      <c r="C1331" s="6" t="str">
        <f aca="false">Orders!C1331</f>
        <v>C0280</v>
      </c>
      <c r="D1331" s="6" t="str">
        <f aca="false">Orders!D1331</f>
        <v>P1097</v>
      </c>
      <c r="E1331" s="6" t="str">
        <f aca="false">INDEX(Products!$B$2:$B$101,MATCH(D1331,Products!$A$2:$A$101,0))</f>
        <v>Vacuum Cleaner</v>
      </c>
      <c r="F1331" s="1" t="str">
        <f aca="false">INDEX(Products!$C$2:$C$101,MATCH(D1331,Products!$A$2:$A$101,0))</f>
        <v>Appliances</v>
      </c>
      <c r="G1331" s="6" t="n">
        <f aca="false">Orders!E1331</f>
        <v>4</v>
      </c>
      <c r="H1331" s="16" t="n">
        <f aca="false">INDEX(Products!$D$2:$D$101,MATCH(D1331,Products!$A$2:$A$101,0))</f>
        <v>3499</v>
      </c>
      <c r="I1331" s="16" t="n">
        <f aca="false">INDEX(Products!$E$2:$E$101,MATCH(D1331,Products!$A$2:$A$101,0))</f>
        <v>2400</v>
      </c>
      <c r="J1331" s="20" t="n">
        <f aca="false">Orders!F1331</f>
        <v>0.05</v>
      </c>
      <c r="K1331" s="6" t="n">
        <f aca="false">G1331*H1331</f>
        <v>13996</v>
      </c>
      <c r="L1331" s="6" t="n">
        <f aca="false">K1331*J1331</f>
        <v>699.8</v>
      </c>
      <c r="M1331" s="6" t="n">
        <f aca="false">K1331-L1331</f>
        <v>13296.2</v>
      </c>
      <c r="N1331" s="6" t="n">
        <f aca="false">G1331*I1331</f>
        <v>9600</v>
      </c>
      <c r="O1331" s="6" t="n">
        <f aca="false">M1331-N1331</f>
        <v>3696.2</v>
      </c>
      <c r="P1331" s="21" t="n">
        <f aca="false">IFERROR(O1331/M1331,0)</f>
        <v>0.277989199921782</v>
      </c>
      <c r="Q1331" s="6" t="str">
        <f aca="false">Orders!H1331</f>
        <v>Processing</v>
      </c>
      <c r="R1331" s="1" t="str">
        <f aca="false">INDEX(Customers!$C$2:$C$301,MATCH(C1331,Customers!$A$2:$A$301,0))</f>
        <v>Visakhapatnam</v>
      </c>
      <c r="S1331" s="1" t="str">
        <f aca="false">INDEX(Customers!$E$2:$E$301,MATCH(C1331,Customers!$A$2:$A$301,0))</f>
        <v>New</v>
      </c>
      <c r="T1331" s="6" t="str">
        <f aca="false">Orders!I1331</f>
        <v>Mobile App</v>
      </c>
      <c r="U1331" s="1" t="str">
        <f aca="false">IF(Q1331="Delivered","Completed",IF(Q1331="Cancelled","Cancelled",IF(Q1331="Returned","Returned","In Progress")))</f>
        <v>In Progress</v>
      </c>
      <c r="V1331" s="1" t="str">
        <f aca="false">IF(M1331&gt;=10000,"High Value",IF(M1331&gt;=5000,"Medium Value","Low Value"))</f>
        <v>High Value</v>
      </c>
      <c r="W1331" s="1" t="str">
        <f aca="false">IF(O1331&gt;0,"Profitable",IF(O1331=0,"Break-even","Loss"))</f>
        <v>Profitable</v>
      </c>
      <c r="X1331" s="1" t="str">
        <f aca="false">IF(Q1331="Cancelled","Not Applicable",IF(Q1331="Processing","Pending",IF(B1331="","Unknown",IF(Orders!J1331="","Unknown",IF(Orders!J1331&lt;=3,"Fast",IF(Orders!J1331&lt;=6,"Standard","Slow"))))))</f>
        <v>Pending</v>
      </c>
      <c r="Y1331" s="1" t="n">
        <f aca="false">IF(OR(Q1331="Cancelled",Q1331="Returned"),0,O1331)</f>
        <v>3696.2</v>
      </c>
    </row>
    <row r="1332" customFormat="false" ht="15" hidden="false" customHeight="false" outlineLevel="0" collapsed="false">
      <c r="A1332" s="6" t="str">
        <f aca="false">Orders!A1332</f>
        <v>O001331</v>
      </c>
      <c r="B1332" s="19" t="n">
        <f aca="false">Orders!B1332</f>
        <v>45961</v>
      </c>
      <c r="C1332" s="6" t="str">
        <f aca="false">Orders!C1332</f>
        <v>C0081</v>
      </c>
      <c r="D1332" s="6" t="str">
        <f aca="false">Orders!D1332</f>
        <v>P1077</v>
      </c>
      <c r="E1332" s="6" t="str">
        <f aca="false">INDEX(Products!$B$2:$B$101,MATCH(D1332,Products!$A$2:$A$101,0))</f>
        <v>Planner</v>
      </c>
      <c r="F1332" s="1" t="str">
        <f aca="false">INDEX(Products!$C$2:$C$101,MATCH(D1332,Products!$A$2:$A$101,0))</f>
        <v>Books &amp; Stationery</v>
      </c>
      <c r="G1332" s="6" t="n">
        <f aca="false">Orders!E1332</f>
        <v>3</v>
      </c>
      <c r="H1332" s="16" t="n">
        <f aca="false">INDEX(Products!$D$2:$D$101,MATCH(D1332,Products!$A$2:$A$101,0))</f>
        <v>349</v>
      </c>
      <c r="I1332" s="16" t="n">
        <f aca="false">INDEX(Products!$E$2:$E$101,MATCH(D1332,Products!$A$2:$A$101,0))</f>
        <v>130</v>
      </c>
      <c r="J1332" s="20" t="n">
        <f aca="false">Orders!F1332</f>
        <v>0</v>
      </c>
      <c r="K1332" s="6" t="n">
        <f aca="false">G1332*H1332</f>
        <v>1047</v>
      </c>
      <c r="L1332" s="6" t="n">
        <f aca="false">K1332*J1332</f>
        <v>0</v>
      </c>
      <c r="M1332" s="6" t="n">
        <f aca="false">K1332-L1332</f>
        <v>1047</v>
      </c>
      <c r="N1332" s="6" t="n">
        <f aca="false">G1332*I1332</f>
        <v>390</v>
      </c>
      <c r="O1332" s="6" t="n">
        <f aca="false">M1332-N1332</f>
        <v>657</v>
      </c>
      <c r="P1332" s="21" t="n">
        <f aca="false">IFERROR(O1332/M1332,0)</f>
        <v>0.627507163323782</v>
      </c>
      <c r="Q1332" s="6" t="str">
        <f aca="false">Orders!H1332</f>
        <v>Delivered</v>
      </c>
      <c r="R1332" s="1" t="str">
        <f aca="false">INDEX(Customers!$C$2:$C$301,MATCH(C1332,Customers!$A$2:$A$301,0))</f>
        <v>Delhi</v>
      </c>
      <c r="S1332" s="1" t="str">
        <f aca="false">INDEX(Customers!$E$2:$E$301,MATCH(C1332,Customers!$A$2:$A$301,0))</f>
        <v>Returning</v>
      </c>
      <c r="T1332" s="6" t="str">
        <f aca="false">Orders!I1332</f>
        <v>Marketplace</v>
      </c>
      <c r="U1332" s="1" t="str">
        <f aca="false">IF(Q1332="Delivered","Completed",IF(Q1332="Cancelled","Cancelled",IF(Q1332="Returned","Returned","In Progress")))</f>
        <v>Completed</v>
      </c>
      <c r="V1332" s="1" t="str">
        <f aca="false">IF(M1332&gt;=10000,"High Value",IF(M1332&gt;=5000,"Medium Value","Low Value"))</f>
        <v>Low Value</v>
      </c>
      <c r="W1332" s="1" t="str">
        <f aca="false">IF(O1332&gt;0,"Profitable",IF(O1332=0,"Break-even","Loss"))</f>
        <v>Profitable</v>
      </c>
      <c r="X1332" s="1" t="str">
        <f aca="false">IF(Q1332="Cancelled","Not Applicable",IF(Q1332="Processing","Pending",IF(B1332="","Unknown",IF(Orders!J1332="","Unknown",IF(Orders!J1332&lt;=3,"Fast",IF(Orders!J1332&lt;=6,"Standard","Slow"))))))</f>
        <v>Slow</v>
      </c>
      <c r="Y1332" s="1" t="n">
        <f aca="false">IF(OR(Q1332="Cancelled",Q1332="Returned"),0,O1332)</f>
        <v>657</v>
      </c>
    </row>
    <row r="1333" customFormat="false" ht="15" hidden="false" customHeight="false" outlineLevel="0" collapsed="false">
      <c r="A1333" s="6" t="str">
        <f aca="false">Orders!A1333</f>
        <v>O001332</v>
      </c>
      <c r="B1333" s="19" t="n">
        <f aca="false">Orders!B1333</f>
        <v>45799</v>
      </c>
      <c r="C1333" s="6" t="str">
        <f aca="false">Orders!C1333</f>
        <v>C0300</v>
      </c>
      <c r="D1333" s="6" t="str">
        <f aca="false">Orders!D1333</f>
        <v>P1018</v>
      </c>
      <c r="E1333" s="6" t="str">
        <f aca="false">INDEX(Products!$B$2:$B$101,MATCH(D1333,Products!$A$2:$A$101,0))</f>
        <v>Cotton Shirt</v>
      </c>
      <c r="F1333" s="1" t="str">
        <f aca="false">INDEX(Products!$C$2:$C$101,MATCH(D1333,Products!$A$2:$A$101,0))</f>
        <v>Fashion</v>
      </c>
      <c r="G1333" s="6" t="n">
        <f aca="false">Orders!E1333</f>
        <v>1</v>
      </c>
      <c r="H1333" s="16" t="n">
        <f aca="false">INDEX(Products!$D$2:$D$101,MATCH(D1333,Products!$A$2:$A$101,0))</f>
        <v>899</v>
      </c>
      <c r="I1333" s="16" t="n">
        <f aca="false">INDEX(Products!$E$2:$E$101,MATCH(D1333,Products!$A$2:$A$101,0))</f>
        <v>420</v>
      </c>
      <c r="J1333" s="20" t="n">
        <f aca="false">Orders!F1333</f>
        <v>0.1</v>
      </c>
      <c r="K1333" s="6" t="n">
        <f aca="false">G1333*H1333</f>
        <v>899</v>
      </c>
      <c r="L1333" s="6" t="n">
        <f aca="false">K1333*J1333</f>
        <v>89.9</v>
      </c>
      <c r="M1333" s="6" t="n">
        <f aca="false">K1333-L1333</f>
        <v>809.1</v>
      </c>
      <c r="N1333" s="6" t="n">
        <f aca="false">G1333*I1333</f>
        <v>420</v>
      </c>
      <c r="O1333" s="6" t="n">
        <f aca="false">M1333-N1333</f>
        <v>389.1</v>
      </c>
      <c r="P1333" s="21" t="n">
        <f aca="false">IFERROR(O1333/M1333,0)</f>
        <v>0.480904708935855</v>
      </c>
      <c r="Q1333" s="6" t="str">
        <f aca="false">Orders!H1333</f>
        <v>Delivered</v>
      </c>
      <c r="R1333" s="1" t="str">
        <f aca="false">INDEX(Customers!$C$2:$C$301,MATCH(C1333,Customers!$A$2:$A$301,0))</f>
        <v>Visakhapatnam</v>
      </c>
      <c r="S1333" s="1" t="str">
        <f aca="false">INDEX(Customers!$E$2:$E$301,MATCH(C1333,Customers!$A$2:$A$301,0))</f>
        <v>Returning</v>
      </c>
      <c r="T1333" s="6" t="str">
        <f aca="false">Orders!I1333</f>
        <v>Website</v>
      </c>
      <c r="U1333" s="1" t="str">
        <f aca="false">IF(Q1333="Delivered","Completed",IF(Q1333="Cancelled","Cancelled",IF(Q1333="Returned","Returned","In Progress")))</f>
        <v>Completed</v>
      </c>
      <c r="V1333" s="1" t="str">
        <f aca="false">IF(M1333&gt;=10000,"High Value",IF(M1333&gt;=5000,"Medium Value","Low Value"))</f>
        <v>Low Value</v>
      </c>
      <c r="W1333" s="1" t="str">
        <f aca="false">IF(O1333&gt;0,"Profitable",IF(O1333=0,"Break-even","Loss"))</f>
        <v>Profitable</v>
      </c>
      <c r="X1333" s="1" t="str">
        <f aca="false">IF(Q1333="Cancelled","Not Applicable",IF(Q1333="Processing","Pending",IF(B1333="","Unknown",IF(Orders!J1333="","Unknown",IF(Orders!J1333&lt;=3,"Fast",IF(Orders!J1333&lt;=6,"Standard","Slow"))))))</f>
        <v>Fast</v>
      </c>
      <c r="Y1333" s="1" t="n">
        <f aca="false">IF(OR(Q1333="Cancelled",Q1333="Returned"),0,O1333)</f>
        <v>389.1</v>
      </c>
    </row>
    <row r="1334" customFormat="false" ht="15" hidden="false" customHeight="false" outlineLevel="0" collapsed="false">
      <c r="A1334" s="6" t="str">
        <f aca="false">Orders!A1334</f>
        <v>O001333</v>
      </c>
      <c r="B1334" s="19" t="n">
        <f aca="false">Orders!B1334</f>
        <v>45950</v>
      </c>
      <c r="C1334" s="6" t="str">
        <f aca="false">Orders!C1334</f>
        <v>C0255</v>
      </c>
      <c r="D1334" s="6" t="str">
        <f aca="false">Orders!D1334</f>
        <v>P1066</v>
      </c>
      <c r="E1334" s="6" t="str">
        <f aca="false">INDEX(Products!$B$2:$B$101,MATCH(D1334,Products!$A$2:$A$101,0))</f>
        <v>Gym Gloves</v>
      </c>
      <c r="F1334" s="1" t="str">
        <f aca="false">INDEX(Products!$C$2:$C$101,MATCH(D1334,Products!$A$2:$A$101,0))</f>
        <v>Sports &amp; Outdoors</v>
      </c>
      <c r="G1334" s="6" t="n">
        <f aca="false">Orders!E1334</f>
        <v>2</v>
      </c>
      <c r="H1334" s="16" t="n">
        <f aca="false">INDEX(Products!$D$2:$D$101,MATCH(D1334,Products!$A$2:$A$101,0))</f>
        <v>499</v>
      </c>
      <c r="I1334" s="16" t="n">
        <f aca="false">INDEX(Products!$E$2:$E$101,MATCH(D1334,Products!$A$2:$A$101,0))</f>
        <v>200</v>
      </c>
      <c r="J1334" s="20" t="n">
        <f aca="false">Orders!F1334</f>
        <v>0.05</v>
      </c>
      <c r="K1334" s="6" t="n">
        <f aca="false">G1334*H1334</f>
        <v>998</v>
      </c>
      <c r="L1334" s="6" t="n">
        <f aca="false">K1334*J1334</f>
        <v>49.9</v>
      </c>
      <c r="M1334" s="6" t="n">
        <f aca="false">K1334-L1334</f>
        <v>948.1</v>
      </c>
      <c r="N1334" s="6" t="n">
        <f aca="false">G1334*I1334</f>
        <v>400</v>
      </c>
      <c r="O1334" s="6" t="n">
        <f aca="false">M1334-N1334</f>
        <v>548.1</v>
      </c>
      <c r="P1334" s="21" t="n">
        <f aca="false">IFERROR(O1334/M1334,0)</f>
        <v>0.578103575572197</v>
      </c>
      <c r="Q1334" s="6" t="str">
        <f aca="false">Orders!H1334</f>
        <v>Delivered</v>
      </c>
      <c r="R1334" s="1" t="str">
        <f aca="false">INDEX(Customers!$C$2:$C$301,MATCH(C1334,Customers!$A$2:$A$301,0))</f>
        <v>Bhopal</v>
      </c>
      <c r="S1334" s="1" t="str">
        <f aca="false">INDEX(Customers!$E$2:$E$301,MATCH(C1334,Customers!$A$2:$A$301,0))</f>
        <v>Returning</v>
      </c>
      <c r="T1334" s="6" t="str">
        <f aca="false">Orders!I1334</f>
        <v>Mobile App</v>
      </c>
      <c r="U1334" s="1" t="str">
        <f aca="false">IF(Q1334="Delivered","Completed",IF(Q1334="Cancelled","Cancelled",IF(Q1334="Returned","Returned","In Progress")))</f>
        <v>Completed</v>
      </c>
      <c r="V1334" s="1" t="str">
        <f aca="false">IF(M1334&gt;=10000,"High Value",IF(M1334&gt;=5000,"Medium Value","Low Value"))</f>
        <v>Low Value</v>
      </c>
      <c r="W1334" s="1" t="str">
        <f aca="false">IF(O1334&gt;0,"Profitable",IF(O1334=0,"Break-even","Loss"))</f>
        <v>Profitable</v>
      </c>
      <c r="X1334" s="1" t="str">
        <f aca="false">IF(Q1334="Cancelled","Not Applicable",IF(Q1334="Processing","Pending",IF(B1334="","Unknown",IF(Orders!J1334="","Unknown",IF(Orders!J1334&lt;=3,"Fast",IF(Orders!J1334&lt;=6,"Standard","Slow"))))))</f>
        <v>Fast</v>
      </c>
      <c r="Y1334" s="1" t="n">
        <f aca="false">IF(OR(Q1334="Cancelled",Q1334="Returned"),0,O1334)</f>
        <v>548.1</v>
      </c>
    </row>
    <row r="1335" customFormat="false" ht="15" hidden="false" customHeight="false" outlineLevel="0" collapsed="false">
      <c r="A1335" s="6" t="str">
        <f aca="false">Orders!A1335</f>
        <v>O001334</v>
      </c>
      <c r="B1335" s="19" t="n">
        <f aca="false">Orders!B1335</f>
        <v>45668</v>
      </c>
      <c r="C1335" s="6" t="str">
        <f aca="false">Orders!C1335</f>
        <v>C0024</v>
      </c>
      <c r="D1335" s="6" t="str">
        <f aca="false">Orders!D1335</f>
        <v>P1013</v>
      </c>
      <c r="E1335" s="6" t="str">
        <f aca="false">INDEX(Products!$B$2:$B$101,MATCH(D1335,Products!$A$2:$A$101,0))</f>
        <v>Memory Card</v>
      </c>
      <c r="F1335" s="1" t="str">
        <f aca="false">INDEX(Products!$C$2:$C$101,MATCH(D1335,Products!$A$2:$A$101,0))</f>
        <v>Electronics</v>
      </c>
      <c r="G1335" s="6" t="n">
        <f aca="false">Orders!E1335</f>
        <v>3</v>
      </c>
      <c r="H1335" s="16" t="n">
        <f aca="false">INDEX(Products!$D$2:$D$101,MATCH(D1335,Products!$A$2:$A$101,0))</f>
        <v>699</v>
      </c>
      <c r="I1335" s="16" t="n">
        <f aca="false">INDEX(Products!$E$2:$E$101,MATCH(D1335,Products!$A$2:$A$101,0))</f>
        <v>400</v>
      </c>
      <c r="J1335" s="20" t="n">
        <f aca="false">Orders!F1335</f>
        <v>0.15</v>
      </c>
      <c r="K1335" s="6" t="n">
        <f aca="false">G1335*H1335</f>
        <v>2097</v>
      </c>
      <c r="L1335" s="6" t="n">
        <f aca="false">K1335*J1335</f>
        <v>314.55</v>
      </c>
      <c r="M1335" s="6" t="n">
        <f aca="false">K1335-L1335</f>
        <v>1782.45</v>
      </c>
      <c r="N1335" s="6" t="n">
        <f aca="false">G1335*I1335</f>
        <v>1200</v>
      </c>
      <c r="O1335" s="6" t="n">
        <f aca="false">M1335-N1335</f>
        <v>582.45</v>
      </c>
      <c r="P1335" s="21" t="n">
        <f aca="false">IFERROR(O1335/M1335,0)</f>
        <v>0.326769334343179</v>
      </c>
      <c r="Q1335" s="6" t="str">
        <f aca="false">Orders!H1335</f>
        <v>Cancelled</v>
      </c>
      <c r="R1335" s="1" t="str">
        <f aca="false">INDEX(Customers!$C$2:$C$301,MATCH(C1335,Customers!$A$2:$A$301,0))</f>
        <v>Hyderabad</v>
      </c>
      <c r="S1335" s="1" t="str">
        <f aca="false">INDEX(Customers!$E$2:$E$301,MATCH(C1335,Customers!$A$2:$A$301,0))</f>
        <v>Returning</v>
      </c>
      <c r="T1335" s="6" t="str">
        <f aca="false">Orders!I1335</f>
        <v>Marketplace</v>
      </c>
      <c r="U1335" s="1" t="str">
        <f aca="false">IF(Q1335="Delivered","Completed",IF(Q1335="Cancelled","Cancelled",IF(Q1335="Returned","Returned","In Progress")))</f>
        <v>Cancelled</v>
      </c>
      <c r="V1335" s="1" t="str">
        <f aca="false">IF(M1335&gt;=10000,"High Value",IF(M1335&gt;=5000,"Medium Value","Low Value"))</f>
        <v>Low Value</v>
      </c>
      <c r="W1335" s="1" t="str">
        <f aca="false">IF(O1335&gt;0,"Profitable",IF(O1335=0,"Break-even","Loss"))</f>
        <v>Profitable</v>
      </c>
      <c r="X1335" s="1" t="str">
        <f aca="false">IF(Q1335="Cancelled","Not Applicable",IF(Q1335="Processing","Pending",IF(B1335="","Unknown",IF(Orders!J1335="","Unknown",IF(Orders!J1335&lt;=3,"Fast",IF(Orders!J1335&lt;=6,"Standard","Slow"))))))</f>
        <v>Not Applicable</v>
      </c>
      <c r="Y1335" s="1" t="n">
        <f aca="false">IF(OR(Q1335="Cancelled",Q1335="Returned"),0,O1335)</f>
        <v>0</v>
      </c>
    </row>
    <row r="1336" customFormat="false" ht="15" hidden="false" customHeight="false" outlineLevel="0" collapsed="false">
      <c r="A1336" s="6" t="str">
        <f aca="false">Orders!A1336</f>
        <v>O001335</v>
      </c>
      <c r="B1336" s="19" t="n">
        <f aca="false">Orders!B1336</f>
        <v>45721</v>
      </c>
      <c r="C1336" s="6" t="str">
        <f aca="false">Orders!C1336</f>
        <v>C0108</v>
      </c>
      <c r="D1336" s="6" t="str">
        <f aca="false">Orders!D1336</f>
        <v>P1039</v>
      </c>
      <c r="E1336" s="6" t="str">
        <f aca="false">INDEX(Products!$B$2:$B$101,MATCH(D1336,Products!$A$2:$A$101,0))</f>
        <v>Wall Clock</v>
      </c>
      <c r="F1336" s="1" t="str">
        <f aca="false">INDEX(Products!$C$2:$C$101,MATCH(D1336,Products!$A$2:$A$101,0))</f>
        <v>Home &amp; Kitchen</v>
      </c>
      <c r="G1336" s="6" t="n">
        <f aca="false">Orders!E1336</f>
        <v>2</v>
      </c>
      <c r="H1336" s="16" t="n">
        <f aca="false">INDEX(Products!$D$2:$D$101,MATCH(D1336,Products!$A$2:$A$101,0))</f>
        <v>699</v>
      </c>
      <c r="I1336" s="16" t="n">
        <f aca="false">INDEX(Products!$E$2:$E$101,MATCH(D1336,Products!$A$2:$A$101,0))</f>
        <v>300</v>
      </c>
      <c r="J1336" s="20" t="n">
        <f aca="false">Orders!F1336</f>
        <v>0.05</v>
      </c>
      <c r="K1336" s="6" t="n">
        <f aca="false">G1336*H1336</f>
        <v>1398</v>
      </c>
      <c r="L1336" s="6" t="n">
        <f aca="false">K1336*J1336</f>
        <v>69.9</v>
      </c>
      <c r="M1336" s="6" t="n">
        <f aca="false">K1336-L1336</f>
        <v>1328.1</v>
      </c>
      <c r="N1336" s="6" t="n">
        <f aca="false">G1336*I1336</f>
        <v>600</v>
      </c>
      <c r="O1336" s="6" t="n">
        <f aca="false">M1336-N1336</f>
        <v>728.1</v>
      </c>
      <c r="P1336" s="21" t="n">
        <f aca="false">IFERROR(O1336/M1336,0)</f>
        <v>0.548226790151344</v>
      </c>
      <c r="Q1336" s="6" t="str">
        <f aca="false">Orders!H1336</f>
        <v>Delivered</v>
      </c>
      <c r="R1336" s="1" t="str">
        <f aca="false">INDEX(Customers!$C$2:$C$301,MATCH(C1336,Customers!$A$2:$A$301,0))</f>
        <v>Jaipur</v>
      </c>
      <c r="S1336" s="1" t="str">
        <f aca="false">INDEX(Customers!$E$2:$E$301,MATCH(C1336,Customers!$A$2:$A$301,0))</f>
        <v>Returning</v>
      </c>
      <c r="T1336" s="6" t="str">
        <f aca="false">Orders!I1336</f>
        <v>Mobile App</v>
      </c>
      <c r="U1336" s="1" t="str">
        <f aca="false">IF(Q1336="Delivered","Completed",IF(Q1336="Cancelled","Cancelled",IF(Q1336="Returned","Returned","In Progress")))</f>
        <v>Completed</v>
      </c>
      <c r="V1336" s="1" t="str">
        <f aca="false">IF(M1336&gt;=10000,"High Value",IF(M1336&gt;=5000,"Medium Value","Low Value"))</f>
        <v>Low Value</v>
      </c>
      <c r="W1336" s="1" t="str">
        <f aca="false">IF(O1336&gt;0,"Profitable",IF(O1336=0,"Break-even","Loss"))</f>
        <v>Profitable</v>
      </c>
      <c r="X1336" s="1" t="str">
        <f aca="false">IF(Q1336="Cancelled","Not Applicable",IF(Q1336="Processing","Pending",IF(B1336="","Unknown",IF(Orders!J1336="","Unknown",IF(Orders!J1336&lt;=3,"Fast",IF(Orders!J1336&lt;=6,"Standard","Slow"))))))</f>
        <v>Fast</v>
      </c>
      <c r="Y1336" s="1" t="n">
        <f aca="false">IF(OR(Q1336="Cancelled",Q1336="Returned"),0,O1336)</f>
        <v>728.1</v>
      </c>
    </row>
    <row r="1337" customFormat="false" ht="15" hidden="false" customHeight="false" outlineLevel="0" collapsed="false">
      <c r="A1337" s="6" t="str">
        <f aca="false">Orders!A1337</f>
        <v>O001336</v>
      </c>
      <c r="B1337" s="19" t="n">
        <f aca="false">Orders!B1337</f>
        <v>45676</v>
      </c>
      <c r="C1337" s="6" t="str">
        <f aca="false">Orders!C1337</f>
        <v>C0130</v>
      </c>
      <c r="D1337" s="6" t="str">
        <f aca="false">Orders!D1337</f>
        <v>P1094</v>
      </c>
      <c r="E1337" s="6" t="str">
        <f aca="false">INDEX(Products!$B$2:$B$101,MATCH(D1337,Products!$A$2:$A$101,0))</f>
        <v>Room Heater</v>
      </c>
      <c r="F1337" s="1" t="str">
        <f aca="false">INDEX(Products!$C$2:$C$101,MATCH(D1337,Products!$A$2:$A$101,0))</f>
        <v>Appliances</v>
      </c>
      <c r="G1337" s="6" t="n">
        <f aca="false">Orders!E1337</f>
        <v>1</v>
      </c>
      <c r="H1337" s="16" t="n">
        <f aca="false">INDEX(Products!$D$2:$D$101,MATCH(D1337,Products!$A$2:$A$101,0))</f>
        <v>1999</v>
      </c>
      <c r="I1337" s="16" t="n">
        <f aca="false">INDEX(Products!$E$2:$E$101,MATCH(D1337,Products!$A$2:$A$101,0))</f>
        <v>1250</v>
      </c>
      <c r="J1337" s="20" t="n">
        <f aca="false">Orders!F1337</f>
        <v>0.15</v>
      </c>
      <c r="K1337" s="6" t="n">
        <f aca="false">G1337*H1337</f>
        <v>1999</v>
      </c>
      <c r="L1337" s="6" t="n">
        <f aca="false">K1337*J1337</f>
        <v>299.85</v>
      </c>
      <c r="M1337" s="6" t="n">
        <f aca="false">K1337-L1337</f>
        <v>1699.15</v>
      </c>
      <c r="N1337" s="6" t="n">
        <f aca="false">G1337*I1337</f>
        <v>1250</v>
      </c>
      <c r="O1337" s="6" t="n">
        <f aca="false">M1337-N1337</f>
        <v>449.15</v>
      </c>
      <c r="P1337" s="21" t="n">
        <f aca="false">IFERROR(O1337/M1337,0)</f>
        <v>0.264338051378631</v>
      </c>
      <c r="Q1337" s="6" t="str">
        <f aca="false">Orders!H1337</f>
        <v>Delivered</v>
      </c>
      <c r="R1337" s="1" t="str">
        <f aca="false">INDEX(Customers!$C$2:$C$301,MATCH(C1337,Customers!$A$2:$A$301,0))</f>
        <v>Lucknow</v>
      </c>
      <c r="S1337" s="1" t="str">
        <f aca="false">INDEX(Customers!$E$2:$E$301,MATCH(C1337,Customers!$A$2:$A$301,0))</f>
        <v>Returning</v>
      </c>
      <c r="T1337" s="6" t="str">
        <f aca="false">Orders!I1337</f>
        <v>Marketplace</v>
      </c>
      <c r="U1337" s="1" t="str">
        <f aca="false">IF(Q1337="Delivered","Completed",IF(Q1337="Cancelled","Cancelled",IF(Q1337="Returned","Returned","In Progress")))</f>
        <v>Completed</v>
      </c>
      <c r="V1337" s="1" t="str">
        <f aca="false">IF(M1337&gt;=10000,"High Value",IF(M1337&gt;=5000,"Medium Value","Low Value"))</f>
        <v>Low Value</v>
      </c>
      <c r="W1337" s="1" t="str">
        <f aca="false">IF(O1337&gt;0,"Profitable",IF(O1337=0,"Break-even","Loss"))</f>
        <v>Profitable</v>
      </c>
      <c r="X1337" s="1" t="str">
        <f aca="false">IF(Q1337="Cancelled","Not Applicable",IF(Q1337="Processing","Pending",IF(B1337="","Unknown",IF(Orders!J1337="","Unknown",IF(Orders!J1337&lt;=3,"Fast",IF(Orders!J1337&lt;=6,"Standard","Slow"))))))</f>
        <v>Slow</v>
      </c>
      <c r="Y1337" s="1" t="n">
        <f aca="false">IF(OR(Q1337="Cancelled",Q1337="Returned"),0,O1337)</f>
        <v>449.15</v>
      </c>
    </row>
    <row r="1338" customFormat="false" ht="23.85" hidden="false" customHeight="false" outlineLevel="0" collapsed="false">
      <c r="A1338" s="6" t="str">
        <f aca="false">Orders!A1338</f>
        <v>O001337</v>
      </c>
      <c r="B1338" s="19" t="n">
        <f aca="false">Orders!B1338</f>
        <v>45946</v>
      </c>
      <c r="C1338" s="6" t="str">
        <f aca="false">Orders!C1338</f>
        <v>C0050</v>
      </c>
      <c r="D1338" s="6" t="str">
        <f aca="false">Orders!D1338</f>
        <v>P1072</v>
      </c>
      <c r="E1338" s="6" t="str">
        <f aca="false">INDEX(Products!$B$2:$B$101,MATCH(D1338,Products!$A$2:$A$101,0))</f>
        <v>Tennis Balls Pack</v>
      </c>
      <c r="F1338" s="1" t="str">
        <f aca="false">INDEX(Products!$C$2:$C$101,MATCH(D1338,Products!$A$2:$A$101,0))</f>
        <v>Sports &amp; Outdoors</v>
      </c>
      <c r="G1338" s="6" t="n">
        <f aca="false">Orders!E1338</f>
        <v>1</v>
      </c>
      <c r="H1338" s="16" t="n">
        <f aca="false">INDEX(Products!$D$2:$D$101,MATCH(D1338,Products!$A$2:$A$101,0))</f>
        <v>399</v>
      </c>
      <c r="I1338" s="16" t="n">
        <f aca="false">INDEX(Products!$E$2:$E$101,MATCH(D1338,Products!$A$2:$A$101,0))</f>
        <v>160</v>
      </c>
      <c r="J1338" s="20" t="n">
        <f aca="false">Orders!F1338</f>
        <v>0</v>
      </c>
      <c r="K1338" s="6" t="n">
        <f aca="false">G1338*H1338</f>
        <v>399</v>
      </c>
      <c r="L1338" s="6" t="n">
        <f aca="false">K1338*J1338</f>
        <v>0</v>
      </c>
      <c r="M1338" s="6" t="n">
        <f aca="false">K1338-L1338</f>
        <v>399</v>
      </c>
      <c r="N1338" s="6" t="n">
        <f aca="false">G1338*I1338</f>
        <v>160</v>
      </c>
      <c r="O1338" s="6" t="n">
        <f aca="false">M1338-N1338</f>
        <v>239</v>
      </c>
      <c r="P1338" s="21" t="n">
        <f aca="false">IFERROR(O1338/M1338,0)</f>
        <v>0.598997493734336</v>
      </c>
      <c r="Q1338" s="6" t="str">
        <f aca="false">Orders!H1338</f>
        <v>Shipped</v>
      </c>
      <c r="R1338" s="1" t="str">
        <f aca="false">INDEX(Customers!$C$2:$C$301,MATCH(C1338,Customers!$A$2:$A$301,0))</f>
        <v>Lucknow</v>
      </c>
      <c r="S1338" s="1" t="str">
        <f aca="false">INDEX(Customers!$E$2:$E$301,MATCH(C1338,Customers!$A$2:$A$301,0))</f>
        <v>New</v>
      </c>
      <c r="T1338" s="6" t="str">
        <f aca="false">Orders!I1338</f>
        <v>Marketplace</v>
      </c>
      <c r="U1338" s="1" t="str">
        <f aca="false">IF(Q1338="Delivered","Completed",IF(Q1338="Cancelled","Cancelled",IF(Q1338="Returned","Returned","In Progress")))</f>
        <v>In Progress</v>
      </c>
      <c r="V1338" s="1" t="str">
        <f aca="false">IF(M1338&gt;=10000,"High Value",IF(M1338&gt;=5000,"Medium Value","Low Value"))</f>
        <v>Low Value</v>
      </c>
      <c r="W1338" s="1" t="str">
        <f aca="false">IF(O1338&gt;0,"Profitable",IF(O1338=0,"Break-even","Loss"))</f>
        <v>Profitable</v>
      </c>
      <c r="X1338" s="1" t="str">
        <f aca="false">IF(Q1338="Cancelled","Not Applicable",IF(Q1338="Processing","Pending",IF(B1338="","Unknown",IF(Orders!J1338="","Unknown",IF(Orders!J1338&lt;=3,"Fast",IF(Orders!J1338&lt;=6,"Standard","Slow"))))))</f>
        <v>Standard</v>
      </c>
      <c r="Y1338" s="1" t="n">
        <f aca="false">IF(OR(Q1338="Cancelled",Q1338="Returned"),0,O1338)</f>
        <v>239</v>
      </c>
    </row>
    <row r="1339" customFormat="false" ht="15" hidden="false" customHeight="false" outlineLevel="0" collapsed="false">
      <c r="A1339" s="6" t="str">
        <f aca="false">Orders!A1339</f>
        <v>O001338</v>
      </c>
      <c r="B1339" s="19" t="n">
        <f aca="false">Orders!B1339</f>
        <v>45807</v>
      </c>
      <c r="C1339" s="6" t="str">
        <f aca="false">Orders!C1339</f>
        <v>C0121</v>
      </c>
      <c r="D1339" s="6" t="str">
        <f aca="false">Orders!D1339</f>
        <v>P1011</v>
      </c>
      <c r="E1339" s="6" t="str">
        <f aca="false">INDEX(Products!$B$2:$B$101,MATCH(D1339,Products!$A$2:$A$101,0))</f>
        <v>Headphones</v>
      </c>
      <c r="F1339" s="1" t="str">
        <f aca="false">INDEX(Products!$C$2:$C$101,MATCH(D1339,Products!$A$2:$A$101,0))</f>
        <v>Electronics</v>
      </c>
      <c r="G1339" s="6" t="n">
        <f aca="false">Orders!E1339</f>
        <v>4</v>
      </c>
      <c r="H1339" s="16" t="n">
        <f aca="false">INDEX(Products!$D$2:$D$101,MATCH(D1339,Products!$A$2:$A$101,0))</f>
        <v>1599</v>
      </c>
      <c r="I1339" s="16" t="n">
        <f aca="false">INDEX(Products!$E$2:$E$101,MATCH(D1339,Products!$A$2:$A$101,0))</f>
        <v>900</v>
      </c>
      <c r="J1339" s="20" t="n">
        <f aca="false">Orders!F1339</f>
        <v>0</v>
      </c>
      <c r="K1339" s="6" t="n">
        <f aca="false">G1339*H1339</f>
        <v>6396</v>
      </c>
      <c r="L1339" s="6" t="n">
        <f aca="false">K1339*J1339</f>
        <v>0</v>
      </c>
      <c r="M1339" s="6" t="n">
        <f aca="false">K1339-L1339</f>
        <v>6396</v>
      </c>
      <c r="N1339" s="6" t="n">
        <f aca="false">G1339*I1339</f>
        <v>3600</v>
      </c>
      <c r="O1339" s="6" t="n">
        <f aca="false">M1339-N1339</f>
        <v>2796</v>
      </c>
      <c r="P1339" s="21" t="n">
        <f aca="false">IFERROR(O1339/M1339,0)</f>
        <v>0.437148217636023</v>
      </c>
      <c r="Q1339" s="6" t="str">
        <f aca="false">Orders!H1339</f>
        <v>Delivered</v>
      </c>
      <c r="R1339" s="1" t="str">
        <f aca="false">INDEX(Customers!$C$2:$C$301,MATCH(C1339,Customers!$A$2:$A$301,0))</f>
        <v>Delhi</v>
      </c>
      <c r="S1339" s="1" t="str">
        <f aca="false">INDEX(Customers!$E$2:$E$301,MATCH(C1339,Customers!$A$2:$A$301,0))</f>
        <v>Returning</v>
      </c>
      <c r="T1339" s="6" t="str">
        <f aca="false">Orders!I1339</f>
        <v>Website</v>
      </c>
      <c r="U1339" s="1" t="str">
        <f aca="false">IF(Q1339="Delivered","Completed",IF(Q1339="Cancelled","Cancelled",IF(Q1339="Returned","Returned","In Progress")))</f>
        <v>Completed</v>
      </c>
      <c r="V1339" s="1" t="str">
        <f aca="false">IF(M1339&gt;=10000,"High Value",IF(M1339&gt;=5000,"Medium Value","Low Value"))</f>
        <v>Medium Value</v>
      </c>
      <c r="W1339" s="1" t="str">
        <f aca="false">IF(O1339&gt;0,"Profitable",IF(O1339=0,"Break-even","Loss"))</f>
        <v>Profitable</v>
      </c>
      <c r="X1339" s="1" t="str">
        <f aca="false">IF(Q1339="Cancelled","Not Applicable",IF(Q1339="Processing","Pending",IF(B1339="","Unknown",IF(Orders!J1339="","Unknown",IF(Orders!J1339&lt;=3,"Fast",IF(Orders!J1339&lt;=6,"Standard","Slow"))))))</f>
        <v>Slow</v>
      </c>
      <c r="Y1339" s="1" t="n">
        <f aca="false">IF(OR(Q1339="Cancelled",Q1339="Returned"),0,O1339)</f>
        <v>2796</v>
      </c>
    </row>
    <row r="1340" customFormat="false" ht="15" hidden="false" customHeight="false" outlineLevel="0" collapsed="false">
      <c r="A1340" s="6" t="str">
        <f aca="false">Orders!A1340</f>
        <v>O001339</v>
      </c>
      <c r="B1340" s="19" t="n">
        <f aca="false">Orders!B1340</f>
        <v>45984</v>
      </c>
      <c r="C1340" s="6" t="str">
        <f aca="false">Orders!C1340</f>
        <v>C0110</v>
      </c>
      <c r="D1340" s="6" t="str">
        <f aca="false">Orders!D1340</f>
        <v>P1049</v>
      </c>
      <c r="E1340" s="6" t="str">
        <f aca="false">INDEX(Products!$B$2:$B$101,MATCH(D1340,Products!$A$2:$A$101,0))</f>
        <v>Face Cleanser</v>
      </c>
      <c r="F1340" s="1" t="str">
        <f aca="false">INDEX(Products!$C$2:$C$101,MATCH(D1340,Products!$A$2:$A$101,0))</f>
        <v>Beauty</v>
      </c>
      <c r="G1340" s="6" t="n">
        <f aca="false">Orders!E1340</f>
        <v>1</v>
      </c>
      <c r="H1340" s="16" t="n">
        <f aca="false">INDEX(Products!$D$2:$D$101,MATCH(D1340,Products!$A$2:$A$101,0))</f>
        <v>299</v>
      </c>
      <c r="I1340" s="16" t="n">
        <f aca="false">INDEX(Products!$E$2:$E$101,MATCH(D1340,Products!$A$2:$A$101,0))</f>
        <v>120</v>
      </c>
      <c r="J1340" s="20" t="n">
        <f aca="false">Orders!F1340</f>
        <v>0.1</v>
      </c>
      <c r="K1340" s="6" t="n">
        <f aca="false">G1340*H1340</f>
        <v>299</v>
      </c>
      <c r="L1340" s="6" t="n">
        <f aca="false">K1340*J1340</f>
        <v>29.9</v>
      </c>
      <c r="M1340" s="6" t="n">
        <f aca="false">K1340-L1340</f>
        <v>269.1</v>
      </c>
      <c r="N1340" s="6" t="n">
        <f aca="false">G1340*I1340</f>
        <v>120</v>
      </c>
      <c r="O1340" s="6" t="n">
        <f aca="false">M1340-N1340</f>
        <v>149.1</v>
      </c>
      <c r="P1340" s="21" t="n">
        <f aca="false">IFERROR(O1340/M1340,0)</f>
        <v>0.554069119286511</v>
      </c>
      <c r="Q1340" s="6" t="str">
        <f aca="false">Orders!H1340</f>
        <v>Delivered</v>
      </c>
      <c r="R1340" s="1" t="str">
        <f aca="false">INDEX(Customers!$C$2:$C$301,MATCH(C1340,Customers!$A$2:$A$301,0))</f>
        <v>Lucknow</v>
      </c>
      <c r="S1340" s="1" t="str">
        <f aca="false">INDEX(Customers!$E$2:$E$301,MATCH(C1340,Customers!$A$2:$A$301,0))</f>
        <v>New</v>
      </c>
      <c r="T1340" s="6" t="str">
        <f aca="false">Orders!I1340</f>
        <v>Marketplace</v>
      </c>
      <c r="U1340" s="1" t="str">
        <f aca="false">IF(Q1340="Delivered","Completed",IF(Q1340="Cancelled","Cancelled",IF(Q1340="Returned","Returned","In Progress")))</f>
        <v>Completed</v>
      </c>
      <c r="V1340" s="1" t="str">
        <f aca="false">IF(M1340&gt;=10000,"High Value",IF(M1340&gt;=5000,"Medium Value","Low Value"))</f>
        <v>Low Value</v>
      </c>
      <c r="W1340" s="1" t="str">
        <f aca="false">IF(O1340&gt;0,"Profitable",IF(O1340=0,"Break-even","Loss"))</f>
        <v>Profitable</v>
      </c>
      <c r="X1340" s="1" t="str">
        <f aca="false">IF(Q1340="Cancelled","Not Applicable",IF(Q1340="Processing","Pending",IF(B1340="","Unknown",IF(Orders!J1340="","Unknown",IF(Orders!J1340&lt;=3,"Fast",IF(Orders!J1340&lt;=6,"Standard","Slow"))))))</f>
        <v>Slow</v>
      </c>
      <c r="Y1340" s="1" t="n">
        <f aca="false">IF(OR(Q1340="Cancelled",Q1340="Returned"),0,O1340)</f>
        <v>149.1</v>
      </c>
    </row>
    <row r="1341" customFormat="false" ht="15" hidden="false" customHeight="false" outlineLevel="0" collapsed="false">
      <c r="A1341" s="6" t="str">
        <f aca="false">Orders!A1341</f>
        <v>O001340</v>
      </c>
      <c r="B1341" s="19" t="n">
        <f aca="false">Orders!B1341</f>
        <v>46006</v>
      </c>
      <c r="C1341" s="6" t="str">
        <f aca="false">Orders!C1341</f>
        <v>C0070</v>
      </c>
      <c r="D1341" s="6" t="str">
        <f aca="false">Orders!D1341</f>
        <v>P1033</v>
      </c>
      <c r="E1341" s="6" t="str">
        <f aca="false">INDEX(Products!$B$2:$B$101,MATCH(D1341,Products!$A$2:$A$101,0))</f>
        <v>Bedsheet Set</v>
      </c>
      <c r="F1341" s="1" t="str">
        <f aca="false">INDEX(Products!$C$2:$C$101,MATCH(D1341,Products!$A$2:$A$101,0))</f>
        <v>Home &amp; Kitchen</v>
      </c>
      <c r="G1341" s="6" t="n">
        <f aca="false">Orders!E1341</f>
        <v>1</v>
      </c>
      <c r="H1341" s="16" t="n">
        <f aca="false">INDEX(Products!$D$2:$D$101,MATCH(D1341,Products!$A$2:$A$101,0))</f>
        <v>1199</v>
      </c>
      <c r="I1341" s="16" t="n">
        <f aca="false">INDEX(Products!$E$2:$E$101,MATCH(D1341,Products!$A$2:$A$101,0))</f>
        <v>600</v>
      </c>
      <c r="J1341" s="20" t="n">
        <f aca="false">Orders!F1341</f>
        <v>0.05</v>
      </c>
      <c r="K1341" s="6" t="n">
        <f aca="false">G1341*H1341</f>
        <v>1199</v>
      </c>
      <c r="L1341" s="6" t="n">
        <f aca="false">K1341*J1341</f>
        <v>59.95</v>
      </c>
      <c r="M1341" s="6" t="n">
        <f aca="false">K1341-L1341</f>
        <v>1139.05</v>
      </c>
      <c r="N1341" s="6" t="n">
        <f aca="false">G1341*I1341</f>
        <v>600</v>
      </c>
      <c r="O1341" s="6" t="n">
        <f aca="false">M1341-N1341</f>
        <v>539.05</v>
      </c>
      <c r="P1341" s="21" t="n">
        <f aca="false">IFERROR(O1341/M1341,0)</f>
        <v>0.473245248233177</v>
      </c>
      <c r="Q1341" s="6" t="str">
        <f aca="false">Orders!H1341</f>
        <v>Processing</v>
      </c>
      <c r="R1341" s="1" t="str">
        <f aca="false">INDEX(Customers!$C$2:$C$301,MATCH(C1341,Customers!$A$2:$A$301,0))</f>
        <v>Lucknow</v>
      </c>
      <c r="S1341" s="1" t="str">
        <f aca="false">INDEX(Customers!$E$2:$E$301,MATCH(C1341,Customers!$A$2:$A$301,0))</f>
        <v>Returning</v>
      </c>
      <c r="T1341" s="6" t="str">
        <f aca="false">Orders!I1341</f>
        <v>Mobile App</v>
      </c>
      <c r="U1341" s="1" t="str">
        <f aca="false">IF(Q1341="Delivered","Completed",IF(Q1341="Cancelled","Cancelled",IF(Q1341="Returned","Returned","In Progress")))</f>
        <v>In Progress</v>
      </c>
      <c r="V1341" s="1" t="str">
        <f aca="false">IF(M1341&gt;=10000,"High Value",IF(M1341&gt;=5000,"Medium Value","Low Value"))</f>
        <v>Low Value</v>
      </c>
      <c r="W1341" s="1" t="str">
        <f aca="false">IF(O1341&gt;0,"Profitable",IF(O1341=0,"Break-even","Loss"))</f>
        <v>Profitable</v>
      </c>
      <c r="X1341" s="1" t="str">
        <f aca="false">IF(Q1341="Cancelled","Not Applicable",IF(Q1341="Processing","Pending",IF(B1341="","Unknown",IF(Orders!J1341="","Unknown",IF(Orders!J1341&lt;=3,"Fast",IF(Orders!J1341&lt;=6,"Standard","Slow"))))))</f>
        <v>Pending</v>
      </c>
      <c r="Y1341" s="1" t="n">
        <f aca="false">IF(OR(Q1341="Cancelled",Q1341="Returned"),0,O1341)</f>
        <v>539.05</v>
      </c>
    </row>
    <row r="1342" customFormat="false" ht="15" hidden="false" customHeight="false" outlineLevel="0" collapsed="false">
      <c r="A1342" s="6" t="str">
        <f aca="false">Orders!A1342</f>
        <v>O001341</v>
      </c>
      <c r="B1342" s="19" t="n">
        <f aca="false">Orders!B1342</f>
        <v>45821</v>
      </c>
      <c r="C1342" s="6" t="str">
        <f aca="false">Orders!C1342</f>
        <v>C0137</v>
      </c>
      <c r="D1342" s="6" t="str">
        <f aca="false">Orders!D1342</f>
        <v>P1077</v>
      </c>
      <c r="E1342" s="6" t="str">
        <f aca="false">INDEX(Products!$B$2:$B$101,MATCH(D1342,Products!$A$2:$A$101,0))</f>
        <v>Planner</v>
      </c>
      <c r="F1342" s="1" t="str">
        <f aca="false">INDEX(Products!$C$2:$C$101,MATCH(D1342,Products!$A$2:$A$101,0))</f>
        <v>Books &amp; Stationery</v>
      </c>
      <c r="G1342" s="6" t="n">
        <f aca="false">Orders!E1342</f>
        <v>2</v>
      </c>
      <c r="H1342" s="16" t="n">
        <f aca="false">INDEX(Products!$D$2:$D$101,MATCH(D1342,Products!$A$2:$A$101,0))</f>
        <v>349</v>
      </c>
      <c r="I1342" s="16" t="n">
        <f aca="false">INDEX(Products!$E$2:$E$101,MATCH(D1342,Products!$A$2:$A$101,0))</f>
        <v>130</v>
      </c>
      <c r="J1342" s="20" t="n">
        <f aca="false">Orders!F1342</f>
        <v>0.2</v>
      </c>
      <c r="K1342" s="6" t="n">
        <f aca="false">G1342*H1342</f>
        <v>698</v>
      </c>
      <c r="L1342" s="6" t="n">
        <f aca="false">K1342*J1342</f>
        <v>139.6</v>
      </c>
      <c r="M1342" s="6" t="n">
        <f aca="false">K1342-L1342</f>
        <v>558.4</v>
      </c>
      <c r="N1342" s="6" t="n">
        <f aca="false">G1342*I1342</f>
        <v>260</v>
      </c>
      <c r="O1342" s="6" t="n">
        <f aca="false">M1342-N1342</f>
        <v>298.4</v>
      </c>
      <c r="P1342" s="21" t="n">
        <f aca="false">IFERROR(O1342/M1342,0)</f>
        <v>0.534383954154728</v>
      </c>
      <c r="Q1342" s="6" t="str">
        <f aca="false">Orders!H1342</f>
        <v>Delivered</v>
      </c>
      <c r="R1342" s="1" t="str">
        <f aca="false">INDEX(Customers!$C$2:$C$301,MATCH(C1342,Customers!$A$2:$A$301,0))</f>
        <v>Surat</v>
      </c>
      <c r="S1342" s="1" t="str">
        <f aca="false">INDEX(Customers!$E$2:$E$301,MATCH(C1342,Customers!$A$2:$A$301,0))</f>
        <v>New</v>
      </c>
      <c r="T1342" s="6" t="str">
        <f aca="false">Orders!I1342</f>
        <v>Mobile App</v>
      </c>
      <c r="U1342" s="1" t="str">
        <f aca="false">IF(Q1342="Delivered","Completed",IF(Q1342="Cancelled","Cancelled",IF(Q1342="Returned","Returned","In Progress")))</f>
        <v>Completed</v>
      </c>
      <c r="V1342" s="1" t="str">
        <f aca="false">IF(M1342&gt;=10000,"High Value",IF(M1342&gt;=5000,"Medium Value","Low Value"))</f>
        <v>Low Value</v>
      </c>
      <c r="W1342" s="1" t="str">
        <f aca="false">IF(O1342&gt;0,"Profitable",IF(O1342=0,"Break-even","Loss"))</f>
        <v>Profitable</v>
      </c>
      <c r="X1342" s="1" t="str">
        <f aca="false">IF(Q1342="Cancelled","Not Applicable",IF(Q1342="Processing","Pending",IF(B1342="","Unknown",IF(Orders!J1342="","Unknown",IF(Orders!J1342&lt;=3,"Fast",IF(Orders!J1342&lt;=6,"Standard","Slow"))))))</f>
        <v>Fast</v>
      </c>
      <c r="Y1342" s="1" t="n">
        <f aca="false">IF(OR(Q1342="Cancelled",Q1342="Returned"),0,O1342)</f>
        <v>298.4</v>
      </c>
    </row>
    <row r="1343" customFormat="false" ht="15" hidden="false" customHeight="false" outlineLevel="0" collapsed="false">
      <c r="A1343" s="6" t="str">
        <f aca="false">Orders!A1343</f>
        <v>O001342</v>
      </c>
      <c r="B1343" s="19" t="n">
        <f aca="false">Orders!B1343</f>
        <v>45861</v>
      </c>
      <c r="C1343" s="6" t="str">
        <f aca="false">Orders!C1343</f>
        <v>C0193</v>
      </c>
      <c r="D1343" s="6" t="str">
        <f aca="false">Orders!D1343</f>
        <v>P1019</v>
      </c>
      <c r="E1343" s="6" t="str">
        <f aca="false">INDEX(Products!$B$2:$B$101,MATCH(D1343,Products!$A$2:$A$101,0))</f>
        <v>Running Shoes</v>
      </c>
      <c r="F1343" s="1" t="str">
        <f aca="false">INDEX(Products!$C$2:$C$101,MATCH(D1343,Products!$A$2:$A$101,0))</f>
        <v>Fashion</v>
      </c>
      <c r="G1343" s="6" t="n">
        <f aca="false">Orders!E1343</f>
        <v>3</v>
      </c>
      <c r="H1343" s="16" t="n">
        <f aca="false">INDEX(Products!$D$2:$D$101,MATCH(D1343,Products!$A$2:$A$101,0))</f>
        <v>1999</v>
      </c>
      <c r="I1343" s="16" t="n">
        <f aca="false">INDEX(Products!$E$2:$E$101,MATCH(D1343,Products!$A$2:$A$101,0))</f>
        <v>1100</v>
      </c>
      <c r="J1343" s="20" t="n">
        <f aca="false">Orders!F1343</f>
        <v>0.15</v>
      </c>
      <c r="K1343" s="6" t="n">
        <f aca="false">G1343*H1343</f>
        <v>5997</v>
      </c>
      <c r="L1343" s="6" t="n">
        <f aca="false">K1343*J1343</f>
        <v>899.55</v>
      </c>
      <c r="M1343" s="6" t="n">
        <f aca="false">K1343-L1343</f>
        <v>5097.45</v>
      </c>
      <c r="N1343" s="6" t="n">
        <f aca="false">G1343*I1343</f>
        <v>3300</v>
      </c>
      <c r="O1343" s="6" t="n">
        <f aca="false">M1343-N1343</f>
        <v>1797.45</v>
      </c>
      <c r="P1343" s="21" t="n">
        <f aca="false">IFERROR(O1343/M1343,0)</f>
        <v>0.352617485213195</v>
      </c>
      <c r="Q1343" s="6" t="str">
        <f aca="false">Orders!H1343</f>
        <v>Delivered</v>
      </c>
      <c r="R1343" s="1" t="str">
        <f aca="false">INDEX(Customers!$C$2:$C$301,MATCH(C1343,Customers!$A$2:$A$301,0))</f>
        <v>Kochi</v>
      </c>
      <c r="S1343" s="1" t="str">
        <f aca="false">INDEX(Customers!$E$2:$E$301,MATCH(C1343,Customers!$A$2:$A$301,0))</f>
        <v>New</v>
      </c>
      <c r="T1343" s="6" t="str">
        <f aca="false">Orders!I1343</f>
        <v>Marketplace</v>
      </c>
      <c r="U1343" s="1" t="str">
        <f aca="false">IF(Q1343="Delivered","Completed",IF(Q1343="Cancelled","Cancelled",IF(Q1343="Returned","Returned","In Progress")))</f>
        <v>Completed</v>
      </c>
      <c r="V1343" s="1" t="str">
        <f aca="false">IF(M1343&gt;=10000,"High Value",IF(M1343&gt;=5000,"Medium Value","Low Value"))</f>
        <v>Medium Value</v>
      </c>
      <c r="W1343" s="1" t="str">
        <f aca="false">IF(O1343&gt;0,"Profitable",IF(O1343=0,"Break-even","Loss"))</f>
        <v>Profitable</v>
      </c>
      <c r="X1343" s="1" t="str">
        <f aca="false">IF(Q1343="Cancelled","Not Applicable",IF(Q1343="Processing","Pending",IF(B1343="","Unknown",IF(Orders!J1343="","Unknown",IF(Orders!J1343&lt;=3,"Fast",IF(Orders!J1343&lt;=6,"Standard","Slow"))))))</f>
        <v>Fast</v>
      </c>
      <c r="Y1343" s="1" t="n">
        <f aca="false">IF(OR(Q1343="Cancelled",Q1343="Returned"),0,O1343)</f>
        <v>1797.45</v>
      </c>
    </row>
    <row r="1344" customFormat="false" ht="15" hidden="false" customHeight="false" outlineLevel="0" collapsed="false">
      <c r="A1344" s="6" t="str">
        <f aca="false">Orders!A1344</f>
        <v>O001343</v>
      </c>
      <c r="B1344" s="19" t="n">
        <f aca="false">Orders!B1344</f>
        <v>45992</v>
      </c>
      <c r="C1344" s="6" t="str">
        <f aca="false">Orders!C1344</f>
        <v>C0102</v>
      </c>
      <c r="D1344" s="6" t="str">
        <f aca="false">Orders!D1344</f>
        <v>P1068</v>
      </c>
      <c r="E1344" s="6" t="str">
        <f aca="false">INDEX(Products!$B$2:$B$101,MATCH(D1344,Products!$A$2:$A$101,0))</f>
        <v>Cycling Bottle</v>
      </c>
      <c r="F1344" s="1" t="str">
        <f aca="false">INDEX(Products!$C$2:$C$101,MATCH(D1344,Products!$A$2:$A$101,0))</f>
        <v>Sports &amp; Outdoors</v>
      </c>
      <c r="G1344" s="6" t="n">
        <f aca="false">Orders!E1344</f>
        <v>2</v>
      </c>
      <c r="H1344" s="16" t="n">
        <f aca="false">INDEX(Products!$D$2:$D$101,MATCH(D1344,Products!$A$2:$A$101,0))</f>
        <v>349</v>
      </c>
      <c r="I1344" s="16" t="n">
        <f aca="false">INDEX(Products!$E$2:$E$101,MATCH(D1344,Products!$A$2:$A$101,0))</f>
        <v>120</v>
      </c>
      <c r="J1344" s="20" t="n">
        <f aca="false">Orders!F1344</f>
        <v>0.15</v>
      </c>
      <c r="K1344" s="6" t="n">
        <f aca="false">G1344*H1344</f>
        <v>698</v>
      </c>
      <c r="L1344" s="6" t="n">
        <f aca="false">K1344*J1344</f>
        <v>104.7</v>
      </c>
      <c r="M1344" s="6" t="n">
        <f aca="false">K1344-L1344</f>
        <v>593.3</v>
      </c>
      <c r="N1344" s="6" t="n">
        <f aca="false">G1344*I1344</f>
        <v>240</v>
      </c>
      <c r="O1344" s="6" t="n">
        <f aca="false">M1344-N1344</f>
        <v>353.3</v>
      </c>
      <c r="P1344" s="21" t="n">
        <f aca="false">IFERROR(O1344/M1344,0)</f>
        <v>0.59548289229732</v>
      </c>
      <c r="Q1344" s="6" t="str">
        <f aca="false">Orders!H1344</f>
        <v>Processing</v>
      </c>
      <c r="R1344" s="1" t="str">
        <f aca="false">INDEX(Customers!$C$2:$C$301,MATCH(C1344,Customers!$A$2:$A$301,0))</f>
        <v>Mumbai</v>
      </c>
      <c r="S1344" s="1" t="str">
        <f aca="false">INDEX(Customers!$E$2:$E$301,MATCH(C1344,Customers!$A$2:$A$301,0))</f>
        <v>Returning</v>
      </c>
      <c r="T1344" s="6" t="str">
        <f aca="false">Orders!I1344</f>
        <v>Marketplace</v>
      </c>
      <c r="U1344" s="1" t="str">
        <f aca="false">IF(Q1344="Delivered","Completed",IF(Q1344="Cancelled","Cancelled",IF(Q1344="Returned","Returned","In Progress")))</f>
        <v>In Progress</v>
      </c>
      <c r="V1344" s="1" t="str">
        <f aca="false">IF(M1344&gt;=10000,"High Value",IF(M1344&gt;=5000,"Medium Value","Low Value"))</f>
        <v>Low Value</v>
      </c>
      <c r="W1344" s="1" t="str">
        <f aca="false">IF(O1344&gt;0,"Profitable",IF(O1344=0,"Break-even","Loss"))</f>
        <v>Profitable</v>
      </c>
      <c r="X1344" s="1" t="str">
        <f aca="false">IF(Q1344="Cancelled","Not Applicable",IF(Q1344="Processing","Pending",IF(B1344="","Unknown",IF(Orders!J1344="","Unknown",IF(Orders!J1344&lt;=3,"Fast",IF(Orders!J1344&lt;=6,"Standard","Slow"))))))</f>
        <v>Pending</v>
      </c>
      <c r="Y1344" s="1" t="n">
        <f aca="false">IF(OR(Q1344="Cancelled",Q1344="Returned"),0,O1344)</f>
        <v>353.3</v>
      </c>
    </row>
    <row r="1345" customFormat="false" ht="15" hidden="false" customHeight="false" outlineLevel="0" collapsed="false">
      <c r="A1345" s="6" t="str">
        <f aca="false">Orders!A1345</f>
        <v>O001344</v>
      </c>
      <c r="B1345" s="19" t="n">
        <f aca="false">Orders!B1345</f>
        <v>45857</v>
      </c>
      <c r="C1345" s="6" t="str">
        <f aca="false">Orders!C1345</f>
        <v>C0035</v>
      </c>
      <c r="D1345" s="6" t="str">
        <f aca="false">Orders!D1345</f>
        <v>P1043</v>
      </c>
      <c r="E1345" s="6" t="str">
        <f aca="false">INDEX(Products!$B$2:$B$101,MATCH(D1345,Products!$A$2:$A$101,0))</f>
        <v>Kitchen Rack</v>
      </c>
      <c r="F1345" s="1" t="str">
        <f aca="false">INDEX(Products!$C$2:$C$101,MATCH(D1345,Products!$A$2:$A$101,0))</f>
        <v>Home &amp; Kitchen</v>
      </c>
      <c r="G1345" s="6" t="n">
        <f aca="false">Orders!E1345</f>
        <v>3</v>
      </c>
      <c r="H1345" s="16" t="n">
        <f aca="false">INDEX(Products!$D$2:$D$101,MATCH(D1345,Products!$A$2:$A$101,0))</f>
        <v>1299</v>
      </c>
      <c r="I1345" s="16" t="n">
        <f aca="false">INDEX(Products!$E$2:$E$101,MATCH(D1345,Products!$A$2:$A$101,0))</f>
        <v>700</v>
      </c>
      <c r="J1345" s="20" t="n">
        <f aca="false">Orders!F1345</f>
        <v>0.2</v>
      </c>
      <c r="K1345" s="6" t="n">
        <f aca="false">G1345*H1345</f>
        <v>3897</v>
      </c>
      <c r="L1345" s="6" t="n">
        <f aca="false">K1345*J1345</f>
        <v>779.4</v>
      </c>
      <c r="M1345" s="6" t="n">
        <f aca="false">K1345-L1345</f>
        <v>3117.6</v>
      </c>
      <c r="N1345" s="6" t="n">
        <f aca="false">G1345*I1345</f>
        <v>2100</v>
      </c>
      <c r="O1345" s="6" t="n">
        <f aca="false">M1345-N1345</f>
        <v>1017.6</v>
      </c>
      <c r="P1345" s="21" t="n">
        <f aca="false">IFERROR(O1345/M1345,0)</f>
        <v>0.326404926866821</v>
      </c>
      <c r="Q1345" s="6" t="str">
        <f aca="false">Orders!H1345</f>
        <v>Delivered</v>
      </c>
      <c r="R1345" s="1" t="str">
        <f aca="false">INDEX(Customers!$C$2:$C$301,MATCH(C1345,Customers!$A$2:$A$301,0))</f>
        <v>Bhopal</v>
      </c>
      <c r="S1345" s="1" t="str">
        <f aca="false">INDEX(Customers!$E$2:$E$301,MATCH(C1345,Customers!$A$2:$A$301,0))</f>
        <v>Returning</v>
      </c>
      <c r="T1345" s="6" t="str">
        <f aca="false">Orders!I1345</f>
        <v>Website</v>
      </c>
      <c r="U1345" s="1" t="str">
        <f aca="false">IF(Q1345="Delivered","Completed",IF(Q1345="Cancelled","Cancelled",IF(Q1345="Returned","Returned","In Progress")))</f>
        <v>Completed</v>
      </c>
      <c r="V1345" s="1" t="str">
        <f aca="false">IF(M1345&gt;=10000,"High Value",IF(M1345&gt;=5000,"Medium Value","Low Value"))</f>
        <v>Low Value</v>
      </c>
      <c r="W1345" s="1" t="str">
        <f aca="false">IF(O1345&gt;0,"Profitable",IF(O1345=0,"Break-even","Loss"))</f>
        <v>Profitable</v>
      </c>
      <c r="X1345" s="1" t="str">
        <f aca="false">IF(Q1345="Cancelled","Not Applicable",IF(Q1345="Processing","Pending",IF(B1345="","Unknown",IF(Orders!J1345="","Unknown",IF(Orders!J1345&lt;=3,"Fast",IF(Orders!J1345&lt;=6,"Standard","Slow"))))))</f>
        <v>Standard</v>
      </c>
      <c r="Y1345" s="1" t="n">
        <f aca="false">IF(OR(Q1345="Cancelled",Q1345="Returned"),0,O1345)</f>
        <v>1017.6</v>
      </c>
    </row>
    <row r="1346" customFormat="false" ht="15" hidden="false" customHeight="false" outlineLevel="0" collapsed="false">
      <c r="A1346" s="6" t="str">
        <f aca="false">Orders!A1346</f>
        <v>O001345</v>
      </c>
      <c r="B1346" s="19" t="n">
        <f aca="false">Orders!B1346</f>
        <v>45772</v>
      </c>
      <c r="C1346" s="6" t="str">
        <f aca="false">Orders!C1346</f>
        <v>C0225</v>
      </c>
      <c r="D1346" s="6" t="str">
        <f aca="false">Orders!D1346</f>
        <v>P1026</v>
      </c>
      <c r="E1346" s="6" t="str">
        <f aca="false">INDEX(Products!$B$2:$B$101,MATCH(D1346,Products!$A$2:$A$101,0))</f>
        <v>Sunglasses</v>
      </c>
      <c r="F1346" s="1" t="str">
        <f aca="false">INDEX(Products!$C$2:$C$101,MATCH(D1346,Products!$A$2:$A$101,0))</f>
        <v>Fashion</v>
      </c>
      <c r="G1346" s="6" t="n">
        <f aca="false">Orders!E1346</f>
        <v>3</v>
      </c>
      <c r="H1346" s="16" t="n">
        <f aca="false">INDEX(Products!$D$2:$D$101,MATCH(D1346,Products!$A$2:$A$101,0))</f>
        <v>799</v>
      </c>
      <c r="I1346" s="16" t="n">
        <f aca="false">INDEX(Products!$E$2:$E$101,MATCH(D1346,Products!$A$2:$A$101,0))</f>
        <v>300</v>
      </c>
      <c r="J1346" s="20" t="n">
        <f aca="false">Orders!F1346</f>
        <v>0.2</v>
      </c>
      <c r="K1346" s="6" t="n">
        <f aca="false">G1346*H1346</f>
        <v>2397</v>
      </c>
      <c r="L1346" s="6" t="n">
        <f aca="false">K1346*J1346</f>
        <v>479.4</v>
      </c>
      <c r="M1346" s="6" t="n">
        <f aca="false">K1346-L1346</f>
        <v>1917.6</v>
      </c>
      <c r="N1346" s="6" t="n">
        <f aca="false">G1346*I1346</f>
        <v>900</v>
      </c>
      <c r="O1346" s="6" t="n">
        <f aca="false">M1346-N1346</f>
        <v>1017.6</v>
      </c>
      <c r="P1346" s="21" t="n">
        <f aca="false">IFERROR(O1346/M1346,0)</f>
        <v>0.530663329161452</v>
      </c>
      <c r="Q1346" s="6" t="str">
        <f aca="false">Orders!H1346</f>
        <v>Shipped</v>
      </c>
      <c r="R1346" s="1" t="str">
        <f aca="false">INDEX(Customers!$C$2:$C$301,MATCH(C1346,Customers!$A$2:$A$301,0))</f>
        <v>Chennai</v>
      </c>
      <c r="S1346" s="1" t="str">
        <f aca="false">INDEX(Customers!$E$2:$E$301,MATCH(C1346,Customers!$A$2:$A$301,0))</f>
        <v>Returning</v>
      </c>
      <c r="T1346" s="6" t="str">
        <f aca="false">Orders!I1346</f>
        <v>Mobile App</v>
      </c>
      <c r="U1346" s="1" t="str">
        <f aca="false">IF(Q1346="Delivered","Completed",IF(Q1346="Cancelled","Cancelled",IF(Q1346="Returned","Returned","In Progress")))</f>
        <v>In Progress</v>
      </c>
      <c r="V1346" s="1" t="str">
        <f aca="false">IF(M1346&gt;=10000,"High Value",IF(M1346&gt;=5000,"Medium Value","Low Value"))</f>
        <v>Low Value</v>
      </c>
      <c r="W1346" s="1" t="str">
        <f aca="false">IF(O1346&gt;0,"Profitable",IF(O1346=0,"Break-even","Loss"))</f>
        <v>Profitable</v>
      </c>
      <c r="X1346" s="1" t="str">
        <f aca="false">IF(Q1346="Cancelled","Not Applicable",IF(Q1346="Processing","Pending",IF(B1346="","Unknown",IF(Orders!J1346="","Unknown",IF(Orders!J1346&lt;=3,"Fast",IF(Orders!J1346&lt;=6,"Standard","Slow"))))))</f>
        <v>Standard</v>
      </c>
      <c r="Y1346" s="1" t="n">
        <f aca="false">IF(OR(Q1346="Cancelled",Q1346="Returned"),0,O1346)</f>
        <v>1017.6</v>
      </c>
    </row>
    <row r="1347" customFormat="false" ht="15" hidden="false" customHeight="false" outlineLevel="0" collapsed="false">
      <c r="A1347" s="6" t="str">
        <f aca="false">Orders!A1347</f>
        <v>O001346</v>
      </c>
      <c r="B1347" s="19" t="n">
        <f aca="false">Orders!B1347</f>
        <v>45804</v>
      </c>
      <c r="C1347" s="6" t="str">
        <f aca="false">Orders!C1347</f>
        <v>C0210</v>
      </c>
      <c r="D1347" s="6" t="str">
        <f aca="false">Orders!D1347</f>
        <v>P1063</v>
      </c>
      <c r="E1347" s="6" t="str">
        <f aca="false">INDEX(Products!$B$2:$B$101,MATCH(D1347,Products!$A$2:$A$101,0))</f>
        <v>Cricket Bat</v>
      </c>
      <c r="F1347" s="1" t="str">
        <f aca="false">INDEX(Products!$C$2:$C$101,MATCH(D1347,Products!$A$2:$A$101,0))</f>
        <v>Sports &amp; Outdoors</v>
      </c>
      <c r="G1347" s="6" t="n">
        <f aca="false">Orders!E1347</f>
        <v>1</v>
      </c>
      <c r="H1347" s="16" t="n">
        <f aca="false">INDEX(Products!$D$2:$D$101,MATCH(D1347,Products!$A$2:$A$101,0))</f>
        <v>1499</v>
      </c>
      <c r="I1347" s="16" t="n">
        <f aca="false">INDEX(Products!$E$2:$E$101,MATCH(D1347,Products!$A$2:$A$101,0))</f>
        <v>800</v>
      </c>
      <c r="J1347" s="20" t="n">
        <f aca="false">Orders!F1347</f>
        <v>0.05</v>
      </c>
      <c r="K1347" s="6" t="n">
        <f aca="false">G1347*H1347</f>
        <v>1499</v>
      </c>
      <c r="L1347" s="6" t="n">
        <f aca="false">K1347*J1347</f>
        <v>74.95</v>
      </c>
      <c r="M1347" s="6" t="n">
        <f aca="false">K1347-L1347</f>
        <v>1424.05</v>
      </c>
      <c r="N1347" s="6" t="n">
        <f aca="false">G1347*I1347</f>
        <v>800</v>
      </c>
      <c r="O1347" s="6" t="n">
        <f aca="false">M1347-N1347</f>
        <v>624.05</v>
      </c>
      <c r="P1347" s="21" t="n">
        <f aca="false">IFERROR(O1347/M1347,0)</f>
        <v>0.438221972543099</v>
      </c>
      <c r="Q1347" s="6" t="str">
        <f aca="false">Orders!H1347</f>
        <v>Processing</v>
      </c>
      <c r="R1347" s="1" t="str">
        <f aca="false">INDEX(Customers!$C$2:$C$301,MATCH(C1347,Customers!$A$2:$A$301,0))</f>
        <v>Lucknow</v>
      </c>
      <c r="S1347" s="1" t="str">
        <f aca="false">INDEX(Customers!$E$2:$E$301,MATCH(C1347,Customers!$A$2:$A$301,0))</f>
        <v>Returning</v>
      </c>
      <c r="T1347" s="6" t="str">
        <f aca="false">Orders!I1347</f>
        <v>Website</v>
      </c>
      <c r="U1347" s="1" t="str">
        <f aca="false">IF(Q1347="Delivered","Completed",IF(Q1347="Cancelled","Cancelled",IF(Q1347="Returned","Returned","In Progress")))</f>
        <v>In Progress</v>
      </c>
      <c r="V1347" s="1" t="str">
        <f aca="false">IF(M1347&gt;=10000,"High Value",IF(M1347&gt;=5000,"Medium Value","Low Value"))</f>
        <v>Low Value</v>
      </c>
      <c r="W1347" s="1" t="str">
        <f aca="false">IF(O1347&gt;0,"Profitable",IF(O1347=0,"Break-even","Loss"))</f>
        <v>Profitable</v>
      </c>
      <c r="X1347" s="1" t="str">
        <f aca="false">IF(Q1347="Cancelled","Not Applicable",IF(Q1347="Processing","Pending",IF(B1347="","Unknown",IF(Orders!J1347="","Unknown",IF(Orders!J1347&lt;=3,"Fast",IF(Orders!J1347&lt;=6,"Standard","Slow"))))))</f>
        <v>Pending</v>
      </c>
      <c r="Y1347" s="1" t="n">
        <f aca="false">IF(OR(Q1347="Cancelled",Q1347="Returned"),0,O1347)</f>
        <v>624.05</v>
      </c>
    </row>
    <row r="1348" customFormat="false" ht="15" hidden="false" customHeight="false" outlineLevel="0" collapsed="false">
      <c r="A1348" s="6" t="str">
        <f aca="false">Orders!A1348</f>
        <v>O001347</v>
      </c>
      <c r="B1348" s="19" t="n">
        <f aca="false">Orders!B1348</f>
        <v>45814</v>
      </c>
      <c r="C1348" s="6" t="str">
        <f aca="false">Orders!C1348</f>
        <v>C0238</v>
      </c>
      <c r="D1348" s="6" t="str">
        <f aca="false">Orders!D1348</f>
        <v>P1037</v>
      </c>
      <c r="E1348" s="6" t="str">
        <f aca="false">INDEX(Products!$B$2:$B$101,MATCH(D1348,Products!$A$2:$A$101,0))</f>
        <v>Pillow Pair</v>
      </c>
      <c r="F1348" s="1" t="str">
        <f aca="false">INDEX(Products!$C$2:$C$101,MATCH(D1348,Products!$A$2:$A$101,0))</f>
        <v>Home &amp; Kitchen</v>
      </c>
      <c r="G1348" s="6" t="n">
        <f aca="false">Orders!E1348</f>
        <v>3</v>
      </c>
      <c r="H1348" s="16" t="n">
        <f aca="false">INDEX(Products!$D$2:$D$101,MATCH(D1348,Products!$A$2:$A$101,0))</f>
        <v>799</v>
      </c>
      <c r="I1348" s="16" t="n">
        <f aca="false">INDEX(Products!$E$2:$E$101,MATCH(D1348,Products!$A$2:$A$101,0))</f>
        <v>350</v>
      </c>
      <c r="J1348" s="20" t="n">
        <f aca="false">Orders!F1348</f>
        <v>0</v>
      </c>
      <c r="K1348" s="6" t="n">
        <f aca="false">G1348*H1348</f>
        <v>2397</v>
      </c>
      <c r="L1348" s="6" t="n">
        <f aca="false">K1348*J1348</f>
        <v>0</v>
      </c>
      <c r="M1348" s="6" t="n">
        <f aca="false">K1348-L1348</f>
        <v>2397</v>
      </c>
      <c r="N1348" s="6" t="n">
        <f aca="false">G1348*I1348</f>
        <v>1050</v>
      </c>
      <c r="O1348" s="6" t="n">
        <f aca="false">M1348-N1348</f>
        <v>1347</v>
      </c>
      <c r="P1348" s="21" t="n">
        <f aca="false">IFERROR(O1348/M1348,0)</f>
        <v>0.561952440550688</v>
      </c>
      <c r="Q1348" s="6" t="str">
        <f aca="false">Orders!H1348</f>
        <v>Delivered</v>
      </c>
      <c r="R1348" s="1" t="str">
        <f aca="false">INDEX(Customers!$C$2:$C$301,MATCH(C1348,Customers!$A$2:$A$301,0))</f>
        <v>Nagpur</v>
      </c>
      <c r="S1348" s="1" t="str">
        <f aca="false">INDEX(Customers!$E$2:$E$301,MATCH(C1348,Customers!$A$2:$A$301,0))</f>
        <v>Returning</v>
      </c>
      <c r="T1348" s="6" t="str">
        <f aca="false">Orders!I1348</f>
        <v>Mobile App</v>
      </c>
      <c r="U1348" s="1" t="str">
        <f aca="false">IF(Q1348="Delivered","Completed",IF(Q1348="Cancelled","Cancelled",IF(Q1348="Returned","Returned","In Progress")))</f>
        <v>Completed</v>
      </c>
      <c r="V1348" s="1" t="str">
        <f aca="false">IF(M1348&gt;=10000,"High Value",IF(M1348&gt;=5000,"Medium Value","Low Value"))</f>
        <v>Low Value</v>
      </c>
      <c r="W1348" s="1" t="str">
        <f aca="false">IF(O1348&gt;0,"Profitable",IF(O1348=0,"Break-even","Loss"))</f>
        <v>Profitable</v>
      </c>
      <c r="X1348" s="1" t="str">
        <f aca="false">IF(Q1348="Cancelled","Not Applicable",IF(Q1348="Processing","Pending",IF(B1348="","Unknown",IF(Orders!J1348="","Unknown",IF(Orders!J1348&lt;=3,"Fast",IF(Orders!J1348&lt;=6,"Standard","Slow"))))))</f>
        <v>Slow</v>
      </c>
      <c r="Y1348" s="1" t="n">
        <f aca="false">IF(OR(Q1348="Cancelled",Q1348="Returned"),0,O1348)</f>
        <v>1347</v>
      </c>
    </row>
    <row r="1349" customFormat="false" ht="23.85" hidden="false" customHeight="false" outlineLevel="0" collapsed="false">
      <c r="A1349" s="6" t="str">
        <f aca="false">Orders!A1349</f>
        <v>O001348</v>
      </c>
      <c r="B1349" s="19" t="n">
        <f aca="false">Orders!B1349</f>
        <v>45814</v>
      </c>
      <c r="C1349" s="6" t="str">
        <f aca="false">Orders!C1349</f>
        <v>C0025</v>
      </c>
      <c r="D1349" s="6" t="str">
        <f aca="false">Orders!D1349</f>
        <v>P1061</v>
      </c>
      <c r="E1349" s="6" t="str">
        <f aca="false">INDEX(Products!$B$2:$B$101,MATCH(D1349,Products!$A$2:$A$101,0))</f>
        <v>Resistance Bands</v>
      </c>
      <c r="F1349" s="1" t="str">
        <f aca="false">INDEX(Products!$C$2:$C$101,MATCH(D1349,Products!$A$2:$A$101,0))</f>
        <v>Sports &amp; Outdoors</v>
      </c>
      <c r="G1349" s="6" t="n">
        <f aca="false">Orders!E1349</f>
        <v>2</v>
      </c>
      <c r="H1349" s="16" t="n">
        <f aca="false">INDEX(Products!$D$2:$D$101,MATCH(D1349,Products!$A$2:$A$101,0))</f>
        <v>399</v>
      </c>
      <c r="I1349" s="16" t="n">
        <f aca="false">INDEX(Products!$E$2:$E$101,MATCH(D1349,Products!$A$2:$A$101,0))</f>
        <v>150</v>
      </c>
      <c r="J1349" s="20" t="n">
        <f aca="false">Orders!F1349</f>
        <v>0.15</v>
      </c>
      <c r="K1349" s="6" t="n">
        <f aca="false">G1349*H1349</f>
        <v>798</v>
      </c>
      <c r="L1349" s="6" t="n">
        <f aca="false">K1349*J1349</f>
        <v>119.7</v>
      </c>
      <c r="M1349" s="6" t="n">
        <f aca="false">K1349-L1349</f>
        <v>678.3</v>
      </c>
      <c r="N1349" s="6" t="n">
        <f aca="false">G1349*I1349</f>
        <v>300</v>
      </c>
      <c r="O1349" s="6" t="n">
        <f aca="false">M1349-N1349</f>
        <v>378.3</v>
      </c>
      <c r="P1349" s="21" t="n">
        <f aca="false">IFERROR(O1349/M1349,0)</f>
        <v>0.557717823971694</v>
      </c>
      <c r="Q1349" s="6" t="str">
        <f aca="false">Orders!H1349</f>
        <v>Delivered</v>
      </c>
      <c r="R1349" s="1" t="str">
        <f aca="false">INDEX(Customers!$C$2:$C$301,MATCH(C1349,Customers!$A$2:$A$301,0))</f>
        <v>Chennai</v>
      </c>
      <c r="S1349" s="1" t="str">
        <f aca="false">INDEX(Customers!$E$2:$E$301,MATCH(C1349,Customers!$A$2:$A$301,0))</f>
        <v>Returning</v>
      </c>
      <c r="T1349" s="6" t="str">
        <f aca="false">Orders!I1349</f>
        <v>Mobile App</v>
      </c>
      <c r="U1349" s="1" t="str">
        <f aca="false">IF(Q1349="Delivered","Completed",IF(Q1349="Cancelled","Cancelled",IF(Q1349="Returned","Returned","In Progress")))</f>
        <v>Completed</v>
      </c>
      <c r="V1349" s="1" t="str">
        <f aca="false">IF(M1349&gt;=10000,"High Value",IF(M1349&gt;=5000,"Medium Value","Low Value"))</f>
        <v>Low Value</v>
      </c>
      <c r="W1349" s="1" t="str">
        <f aca="false">IF(O1349&gt;0,"Profitable",IF(O1349=0,"Break-even","Loss"))</f>
        <v>Profitable</v>
      </c>
      <c r="X1349" s="1" t="str">
        <f aca="false">IF(Q1349="Cancelled","Not Applicable",IF(Q1349="Processing","Pending",IF(B1349="","Unknown",IF(Orders!J1349="","Unknown",IF(Orders!J1349&lt;=3,"Fast",IF(Orders!J1349&lt;=6,"Standard","Slow"))))))</f>
        <v>Standard</v>
      </c>
      <c r="Y1349" s="1" t="n">
        <f aca="false">IF(OR(Q1349="Cancelled",Q1349="Returned"),0,O1349)</f>
        <v>378.3</v>
      </c>
    </row>
    <row r="1350" customFormat="false" ht="15" hidden="false" customHeight="false" outlineLevel="0" collapsed="false">
      <c r="A1350" s="6" t="str">
        <f aca="false">Orders!A1350</f>
        <v>O001349</v>
      </c>
      <c r="B1350" s="19" t="n">
        <f aca="false">Orders!B1350</f>
        <v>45840</v>
      </c>
      <c r="C1350" s="6" t="str">
        <f aca="false">Orders!C1350</f>
        <v>C0007</v>
      </c>
      <c r="D1350" s="6" t="str">
        <f aca="false">Orders!D1350</f>
        <v>P1096</v>
      </c>
      <c r="E1350" s="6" t="str">
        <f aca="false">INDEX(Products!$B$2:$B$101,MATCH(D1350,Products!$A$2:$A$101,0))</f>
        <v>Air Fryer</v>
      </c>
      <c r="F1350" s="1" t="str">
        <f aca="false">INDEX(Products!$C$2:$C$101,MATCH(D1350,Products!$A$2:$A$101,0))</f>
        <v>Appliances</v>
      </c>
      <c r="G1350" s="6" t="n">
        <f aca="false">Orders!E1350</f>
        <v>3</v>
      </c>
      <c r="H1350" s="16" t="n">
        <f aca="false">INDEX(Products!$D$2:$D$101,MATCH(D1350,Products!$A$2:$A$101,0))</f>
        <v>3999</v>
      </c>
      <c r="I1350" s="16" t="n">
        <f aca="false">INDEX(Products!$E$2:$E$101,MATCH(D1350,Products!$A$2:$A$101,0))</f>
        <v>2700</v>
      </c>
      <c r="J1350" s="20" t="n">
        <f aca="false">Orders!F1350</f>
        <v>0.25</v>
      </c>
      <c r="K1350" s="6" t="n">
        <f aca="false">G1350*H1350</f>
        <v>11997</v>
      </c>
      <c r="L1350" s="6" t="n">
        <f aca="false">K1350*J1350</f>
        <v>2999.25</v>
      </c>
      <c r="M1350" s="6" t="n">
        <f aca="false">K1350-L1350</f>
        <v>8997.75</v>
      </c>
      <c r="N1350" s="6" t="n">
        <f aca="false">G1350*I1350</f>
        <v>8100</v>
      </c>
      <c r="O1350" s="6" t="n">
        <f aca="false">M1350-N1350</f>
        <v>897.75</v>
      </c>
      <c r="P1350" s="21" t="n">
        <f aca="false">IFERROR(O1350/M1350,0)</f>
        <v>0.099774943735934</v>
      </c>
      <c r="Q1350" s="6" t="str">
        <f aca="false">Orders!H1350</f>
        <v>Delivered</v>
      </c>
      <c r="R1350" s="1" t="str">
        <f aca="false">INDEX(Customers!$C$2:$C$301,MATCH(C1350,Customers!$A$2:$A$301,0))</f>
        <v>Pune</v>
      </c>
      <c r="S1350" s="1" t="str">
        <f aca="false">INDEX(Customers!$E$2:$E$301,MATCH(C1350,Customers!$A$2:$A$301,0))</f>
        <v>Returning</v>
      </c>
      <c r="T1350" s="6" t="str">
        <f aca="false">Orders!I1350</f>
        <v>Marketplace</v>
      </c>
      <c r="U1350" s="1" t="str">
        <f aca="false">IF(Q1350="Delivered","Completed",IF(Q1350="Cancelled","Cancelled",IF(Q1350="Returned","Returned","In Progress")))</f>
        <v>Completed</v>
      </c>
      <c r="V1350" s="1" t="str">
        <f aca="false">IF(M1350&gt;=10000,"High Value",IF(M1350&gt;=5000,"Medium Value","Low Value"))</f>
        <v>Medium Value</v>
      </c>
      <c r="W1350" s="1" t="str">
        <f aca="false">IF(O1350&gt;0,"Profitable",IF(O1350=0,"Break-even","Loss"))</f>
        <v>Profitable</v>
      </c>
      <c r="X1350" s="1" t="str">
        <f aca="false">IF(Q1350="Cancelled","Not Applicable",IF(Q1350="Processing","Pending",IF(B1350="","Unknown",IF(Orders!J1350="","Unknown",IF(Orders!J1350&lt;=3,"Fast",IF(Orders!J1350&lt;=6,"Standard","Slow"))))))</f>
        <v>Fast</v>
      </c>
      <c r="Y1350" s="1" t="n">
        <f aca="false">IF(OR(Q1350="Cancelled",Q1350="Returned"),0,O1350)</f>
        <v>897.75</v>
      </c>
    </row>
    <row r="1351" customFormat="false" ht="15" hidden="false" customHeight="false" outlineLevel="0" collapsed="false">
      <c r="A1351" s="6" t="str">
        <f aca="false">Orders!A1351</f>
        <v>O001350</v>
      </c>
      <c r="B1351" s="19" t="n">
        <f aca="false">Orders!B1351</f>
        <v>45975</v>
      </c>
      <c r="C1351" s="6" t="str">
        <f aca="false">Orders!C1351</f>
        <v>C0283</v>
      </c>
      <c r="D1351" s="6" t="str">
        <f aca="false">Orders!D1351</f>
        <v>P1062</v>
      </c>
      <c r="E1351" s="6" t="str">
        <f aca="false">INDEX(Products!$B$2:$B$101,MATCH(D1351,Products!$A$2:$A$101,0))</f>
        <v>Skipping Rope</v>
      </c>
      <c r="F1351" s="1" t="str">
        <f aca="false">INDEX(Products!$C$2:$C$101,MATCH(D1351,Products!$A$2:$A$101,0))</f>
        <v>Sports &amp; Outdoors</v>
      </c>
      <c r="G1351" s="6" t="n">
        <f aca="false">Orders!E1351</f>
        <v>1</v>
      </c>
      <c r="H1351" s="16" t="n">
        <f aca="false">INDEX(Products!$D$2:$D$101,MATCH(D1351,Products!$A$2:$A$101,0))</f>
        <v>249</v>
      </c>
      <c r="I1351" s="16" t="n">
        <f aca="false">INDEX(Products!$E$2:$E$101,MATCH(D1351,Products!$A$2:$A$101,0))</f>
        <v>80</v>
      </c>
      <c r="J1351" s="20" t="n">
        <f aca="false">Orders!F1351</f>
        <v>0.15</v>
      </c>
      <c r="K1351" s="6" t="n">
        <f aca="false">G1351*H1351</f>
        <v>249</v>
      </c>
      <c r="L1351" s="6" t="n">
        <f aca="false">K1351*J1351</f>
        <v>37.35</v>
      </c>
      <c r="M1351" s="6" t="n">
        <f aca="false">K1351-L1351</f>
        <v>211.65</v>
      </c>
      <c r="N1351" s="6" t="n">
        <f aca="false">G1351*I1351</f>
        <v>80</v>
      </c>
      <c r="O1351" s="6" t="n">
        <f aca="false">M1351-N1351</f>
        <v>131.65</v>
      </c>
      <c r="P1351" s="21" t="n">
        <f aca="false">IFERROR(O1351/M1351,0)</f>
        <v>0.622017481691472</v>
      </c>
      <c r="Q1351" s="6" t="str">
        <f aca="false">Orders!H1351</f>
        <v>Delivered</v>
      </c>
      <c r="R1351" s="1" t="str">
        <f aca="false">INDEX(Customers!$C$2:$C$301,MATCH(C1351,Customers!$A$2:$A$301,0))</f>
        <v>Bengaluru</v>
      </c>
      <c r="S1351" s="1" t="str">
        <f aca="false">INDEX(Customers!$E$2:$E$301,MATCH(C1351,Customers!$A$2:$A$301,0))</f>
        <v>Returning</v>
      </c>
      <c r="T1351" s="6" t="str">
        <f aca="false">Orders!I1351</f>
        <v>Mobile App</v>
      </c>
      <c r="U1351" s="1" t="str">
        <f aca="false">IF(Q1351="Delivered","Completed",IF(Q1351="Cancelled","Cancelled",IF(Q1351="Returned","Returned","In Progress")))</f>
        <v>Completed</v>
      </c>
      <c r="V1351" s="1" t="str">
        <f aca="false">IF(M1351&gt;=10000,"High Value",IF(M1351&gt;=5000,"Medium Value","Low Value"))</f>
        <v>Low Value</v>
      </c>
      <c r="W1351" s="1" t="str">
        <f aca="false">IF(O1351&gt;0,"Profitable",IF(O1351=0,"Break-even","Loss"))</f>
        <v>Profitable</v>
      </c>
      <c r="X1351" s="1" t="str">
        <f aca="false">IF(Q1351="Cancelled","Not Applicable",IF(Q1351="Processing","Pending",IF(B1351="","Unknown",IF(Orders!J1351="","Unknown",IF(Orders!J1351&lt;=3,"Fast",IF(Orders!J1351&lt;=6,"Standard","Slow"))))))</f>
        <v>Slow</v>
      </c>
      <c r="Y1351" s="1" t="n">
        <f aca="false">IF(OR(Q1351="Cancelled",Q1351="Returned"),0,O1351)</f>
        <v>131.65</v>
      </c>
    </row>
    <row r="1352" customFormat="false" ht="15" hidden="false" customHeight="false" outlineLevel="0" collapsed="false">
      <c r="A1352" s="6" t="str">
        <f aca="false">Orders!A1352</f>
        <v>O001351</v>
      </c>
      <c r="B1352" s="19" t="n">
        <f aca="false">Orders!B1352</f>
        <v>46002</v>
      </c>
      <c r="C1352" s="6" t="str">
        <f aca="false">Orders!C1352</f>
        <v>C0176</v>
      </c>
      <c r="D1352" s="6" t="str">
        <f aca="false">Orders!D1352</f>
        <v>P1086</v>
      </c>
      <c r="E1352" s="6" t="str">
        <f aca="false">INDEX(Products!$B$2:$B$101,MATCH(D1352,Products!$A$2:$A$101,0))</f>
        <v>Geometry Box</v>
      </c>
      <c r="F1352" s="1" t="str">
        <f aca="false">INDEX(Products!$C$2:$C$101,MATCH(D1352,Products!$A$2:$A$101,0))</f>
        <v>Books &amp; Stationery</v>
      </c>
      <c r="G1352" s="6" t="n">
        <f aca="false">Orders!E1352</f>
        <v>2</v>
      </c>
      <c r="H1352" s="16" t="n">
        <f aca="false">INDEX(Products!$D$2:$D$101,MATCH(D1352,Products!$A$2:$A$101,0))</f>
        <v>199</v>
      </c>
      <c r="I1352" s="16" t="n">
        <f aca="false">INDEX(Products!$E$2:$E$101,MATCH(D1352,Products!$A$2:$A$101,0))</f>
        <v>70</v>
      </c>
      <c r="J1352" s="20" t="n">
        <f aca="false">Orders!F1352</f>
        <v>0</v>
      </c>
      <c r="K1352" s="6" t="n">
        <f aca="false">G1352*H1352</f>
        <v>398</v>
      </c>
      <c r="L1352" s="6" t="n">
        <f aca="false">K1352*J1352</f>
        <v>0</v>
      </c>
      <c r="M1352" s="6" t="n">
        <f aca="false">K1352-L1352</f>
        <v>398</v>
      </c>
      <c r="N1352" s="6" t="n">
        <f aca="false">G1352*I1352</f>
        <v>140</v>
      </c>
      <c r="O1352" s="6" t="n">
        <f aca="false">M1352-N1352</f>
        <v>258</v>
      </c>
      <c r="P1352" s="21" t="n">
        <f aca="false">IFERROR(O1352/M1352,0)</f>
        <v>0.648241206030151</v>
      </c>
      <c r="Q1352" s="6" t="str">
        <f aca="false">Orders!H1352</f>
        <v>Delivered</v>
      </c>
      <c r="R1352" s="1" t="str">
        <f aca="false">INDEX(Customers!$C$2:$C$301,MATCH(C1352,Customers!$A$2:$A$301,0))</f>
        <v>Chandigarh</v>
      </c>
      <c r="S1352" s="1" t="str">
        <f aca="false">INDEX(Customers!$E$2:$E$301,MATCH(C1352,Customers!$A$2:$A$301,0))</f>
        <v>New</v>
      </c>
      <c r="T1352" s="6" t="str">
        <f aca="false">Orders!I1352</f>
        <v>Website</v>
      </c>
      <c r="U1352" s="1" t="str">
        <f aca="false">IF(Q1352="Delivered","Completed",IF(Q1352="Cancelled","Cancelled",IF(Q1352="Returned","Returned","In Progress")))</f>
        <v>Completed</v>
      </c>
      <c r="V1352" s="1" t="str">
        <f aca="false">IF(M1352&gt;=10000,"High Value",IF(M1352&gt;=5000,"Medium Value","Low Value"))</f>
        <v>Low Value</v>
      </c>
      <c r="W1352" s="1" t="str">
        <f aca="false">IF(O1352&gt;0,"Profitable",IF(O1352=0,"Break-even","Loss"))</f>
        <v>Profitable</v>
      </c>
      <c r="X1352" s="1" t="str">
        <f aca="false">IF(Q1352="Cancelled","Not Applicable",IF(Q1352="Processing","Pending",IF(B1352="","Unknown",IF(Orders!J1352="","Unknown",IF(Orders!J1352&lt;=3,"Fast",IF(Orders!J1352&lt;=6,"Standard","Slow"))))))</f>
        <v>Standard</v>
      </c>
      <c r="Y1352" s="1" t="n">
        <f aca="false">IF(OR(Q1352="Cancelled",Q1352="Returned"),0,O1352)</f>
        <v>258</v>
      </c>
    </row>
    <row r="1353" customFormat="false" ht="15" hidden="false" customHeight="false" outlineLevel="0" collapsed="false">
      <c r="A1353" s="6" t="str">
        <f aca="false">Orders!A1353</f>
        <v>O001352</v>
      </c>
      <c r="B1353" s="19" t="n">
        <f aca="false">Orders!B1353</f>
        <v>45976</v>
      </c>
      <c r="C1353" s="6" t="str">
        <f aca="false">Orders!C1353</f>
        <v>C0239</v>
      </c>
      <c r="D1353" s="6" t="str">
        <f aca="false">Orders!D1353</f>
        <v>P1082</v>
      </c>
      <c r="E1353" s="6" t="str">
        <f aca="false">INDEX(Products!$B$2:$B$101,MATCH(D1353,Products!$A$2:$A$101,0))</f>
        <v>File Folder Set</v>
      </c>
      <c r="F1353" s="1" t="str">
        <f aca="false">INDEX(Products!$C$2:$C$101,MATCH(D1353,Products!$A$2:$A$101,0))</f>
        <v>Books &amp; Stationery</v>
      </c>
      <c r="G1353" s="6" t="n">
        <f aca="false">Orders!E1353</f>
        <v>1</v>
      </c>
      <c r="H1353" s="16" t="n">
        <f aca="false">INDEX(Products!$D$2:$D$101,MATCH(D1353,Products!$A$2:$A$101,0))</f>
        <v>249</v>
      </c>
      <c r="I1353" s="16" t="n">
        <f aca="false">INDEX(Products!$E$2:$E$101,MATCH(D1353,Products!$A$2:$A$101,0))</f>
        <v>90</v>
      </c>
      <c r="J1353" s="20" t="n">
        <f aca="false">Orders!F1353</f>
        <v>0.15</v>
      </c>
      <c r="K1353" s="6" t="n">
        <f aca="false">G1353*H1353</f>
        <v>249</v>
      </c>
      <c r="L1353" s="6" t="n">
        <f aca="false">K1353*J1353</f>
        <v>37.35</v>
      </c>
      <c r="M1353" s="6" t="n">
        <f aca="false">K1353-L1353</f>
        <v>211.65</v>
      </c>
      <c r="N1353" s="6" t="n">
        <f aca="false">G1353*I1353</f>
        <v>90</v>
      </c>
      <c r="O1353" s="6" t="n">
        <f aca="false">M1353-N1353</f>
        <v>121.65</v>
      </c>
      <c r="P1353" s="21" t="n">
        <f aca="false">IFERROR(O1353/M1353,0)</f>
        <v>0.574769666902906</v>
      </c>
      <c r="Q1353" s="6" t="str">
        <f aca="false">Orders!H1353</f>
        <v>Shipped</v>
      </c>
      <c r="R1353" s="1" t="str">
        <f aca="false">INDEX(Customers!$C$2:$C$301,MATCH(C1353,Customers!$A$2:$A$301,0))</f>
        <v>Coimbatore</v>
      </c>
      <c r="S1353" s="1" t="str">
        <f aca="false">INDEX(Customers!$E$2:$E$301,MATCH(C1353,Customers!$A$2:$A$301,0))</f>
        <v>New</v>
      </c>
      <c r="T1353" s="6" t="str">
        <f aca="false">Orders!I1353</f>
        <v>Website</v>
      </c>
      <c r="U1353" s="1" t="str">
        <f aca="false">IF(Q1353="Delivered","Completed",IF(Q1353="Cancelled","Cancelled",IF(Q1353="Returned","Returned","In Progress")))</f>
        <v>In Progress</v>
      </c>
      <c r="V1353" s="1" t="str">
        <f aca="false">IF(M1353&gt;=10000,"High Value",IF(M1353&gt;=5000,"Medium Value","Low Value"))</f>
        <v>Low Value</v>
      </c>
      <c r="W1353" s="1" t="str">
        <f aca="false">IF(O1353&gt;0,"Profitable",IF(O1353=0,"Break-even","Loss"))</f>
        <v>Profitable</v>
      </c>
      <c r="X1353" s="1" t="str">
        <f aca="false">IF(Q1353="Cancelled","Not Applicable",IF(Q1353="Processing","Pending",IF(B1353="","Unknown",IF(Orders!J1353="","Unknown",IF(Orders!J1353&lt;=3,"Fast",IF(Orders!J1353&lt;=6,"Standard","Slow"))))))</f>
        <v>Fast</v>
      </c>
      <c r="Y1353" s="1" t="n">
        <f aca="false">IF(OR(Q1353="Cancelled",Q1353="Returned"),0,O1353)</f>
        <v>121.65</v>
      </c>
    </row>
    <row r="1354" customFormat="false" ht="15" hidden="false" customHeight="false" outlineLevel="0" collapsed="false">
      <c r="A1354" s="6" t="str">
        <f aca="false">Orders!A1354</f>
        <v>O001353</v>
      </c>
      <c r="B1354" s="19" t="n">
        <f aca="false">Orders!B1354</f>
        <v>45899</v>
      </c>
      <c r="C1354" s="6" t="str">
        <f aca="false">Orders!C1354</f>
        <v>C0160</v>
      </c>
      <c r="D1354" s="6" t="str">
        <f aca="false">Orders!D1354</f>
        <v>P1085</v>
      </c>
      <c r="E1354" s="6" t="str">
        <f aca="false">INDEX(Products!$B$2:$B$101,MATCH(D1354,Products!$A$2:$A$101,0))</f>
        <v>Marker Set</v>
      </c>
      <c r="F1354" s="1" t="str">
        <f aca="false">INDEX(Products!$C$2:$C$101,MATCH(D1354,Products!$A$2:$A$101,0))</f>
        <v>Books &amp; Stationery</v>
      </c>
      <c r="G1354" s="6" t="n">
        <f aca="false">Orders!E1354</f>
        <v>5</v>
      </c>
      <c r="H1354" s="16" t="n">
        <f aca="false">INDEX(Products!$D$2:$D$101,MATCH(D1354,Products!$A$2:$A$101,0))</f>
        <v>299</v>
      </c>
      <c r="I1354" s="16" t="n">
        <f aca="false">INDEX(Products!$E$2:$E$101,MATCH(D1354,Products!$A$2:$A$101,0))</f>
        <v>110</v>
      </c>
      <c r="J1354" s="20" t="n">
        <f aca="false">Orders!F1354</f>
        <v>0.15</v>
      </c>
      <c r="K1354" s="6" t="n">
        <f aca="false">G1354*H1354</f>
        <v>1495</v>
      </c>
      <c r="L1354" s="6" t="n">
        <f aca="false">K1354*J1354</f>
        <v>224.25</v>
      </c>
      <c r="M1354" s="6" t="n">
        <f aca="false">K1354-L1354</f>
        <v>1270.75</v>
      </c>
      <c r="N1354" s="6" t="n">
        <f aca="false">G1354*I1354</f>
        <v>550</v>
      </c>
      <c r="O1354" s="6" t="n">
        <f aca="false">M1354-N1354</f>
        <v>720.75</v>
      </c>
      <c r="P1354" s="21" t="n">
        <f aca="false">IFERROR(O1354/M1354,0)</f>
        <v>0.567184733425143</v>
      </c>
      <c r="Q1354" s="6" t="str">
        <f aca="false">Orders!H1354</f>
        <v>Delivered</v>
      </c>
      <c r="R1354" s="1" t="str">
        <f aca="false">INDEX(Customers!$C$2:$C$301,MATCH(C1354,Customers!$A$2:$A$301,0))</f>
        <v>Visakhapatnam</v>
      </c>
      <c r="S1354" s="1" t="str">
        <f aca="false">INDEX(Customers!$E$2:$E$301,MATCH(C1354,Customers!$A$2:$A$301,0))</f>
        <v>New</v>
      </c>
      <c r="T1354" s="6" t="str">
        <f aca="false">Orders!I1354</f>
        <v>Marketplace</v>
      </c>
      <c r="U1354" s="1" t="str">
        <f aca="false">IF(Q1354="Delivered","Completed",IF(Q1354="Cancelled","Cancelled",IF(Q1354="Returned","Returned","In Progress")))</f>
        <v>Completed</v>
      </c>
      <c r="V1354" s="1" t="str">
        <f aca="false">IF(M1354&gt;=10000,"High Value",IF(M1354&gt;=5000,"Medium Value","Low Value"))</f>
        <v>Low Value</v>
      </c>
      <c r="W1354" s="1" t="str">
        <f aca="false">IF(O1354&gt;0,"Profitable",IF(O1354=0,"Break-even","Loss"))</f>
        <v>Profitable</v>
      </c>
      <c r="X1354" s="1" t="str">
        <f aca="false">IF(Q1354="Cancelled","Not Applicable",IF(Q1354="Processing","Pending",IF(B1354="","Unknown",IF(Orders!J1354="","Unknown",IF(Orders!J1354&lt;=3,"Fast",IF(Orders!J1354&lt;=6,"Standard","Slow"))))))</f>
        <v>Fast</v>
      </c>
      <c r="Y1354" s="1" t="n">
        <f aca="false">IF(OR(Q1354="Cancelled",Q1354="Returned"),0,O1354)</f>
        <v>720.75</v>
      </c>
    </row>
    <row r="1355" customFormat="false" ht="15" hidden="false" customHeight="false" outlineLevel="0" collapsed="false">
      <c r="A1355" s="6" t="str">
        <f aca="false">Orders!A1355</f>
        <v>O001354</v>
      </c>
      <c r="B1355" s="19" t="n">
        <f aca="false">Orders!B1355</f>
        <v>45866</v>
      </c>
      <c r="C1355" s="6" t="str">
        <f aca="false">Orders!C1355</f>
        <v>C0148</v>
      </c>
      <c r="D1355" s="6" t="str">
        <f aca="false">Orders!D1355</f>
        <v>P1074</v>
      </c>
      <c r="E1355" s="6" t="str">
        <f aca="false">INDEX(Products!$B$2:$B$101,MATCH(D1355,Products!$A$2:$A$101,0))</f>
        <v>Notebook Pack</v>
      </c>
      <c r="F1355" s="1" t="str">
        <f aca="false">INDEX(Products!$C$2:$C$101,MATCH(D1355,Products!$A$2:$A$101,0))</f>
        <v>Books &amp; Stationery</v>
      </c>
      <c r="G1355" s="6" t="n">
        <f aca="false">Orders!E1355</f>
        <v>4</v>
      </c>
      <c r="H1355" s="16" t="n">
        <f aca="false">INDEX(Products!$D$2:$D$101,MATCH(D1355,Products!$A$2:$A$101,0))</f>
        <v>299</v>
      </c>
      <c r="I1355" s="16" t="n">
        <f aca="false">INDEX(Products!$E$2:$E$101,MATCH(D1355,Products!$A$2:$A$101,0))</f>
        <v>110</v>
      </c>
      <c r="J1355" s="20" t="n">
        <f aca="false">Orders!F1355</f>
        <v>0.25</v>
      </c>
      <c r="K1355" s="6" t="n">
        <f aca="false">G1355*H1355</f>
        <v>1196</v>
      </c>
      <c r="L1355" s="6" t="n">
        <f aca="false">K1355*J1355</f>
        <v>299</v>
      </c>
      <c r="M1355" s="6" t="n">
        <f aca="false">K1355-L1355</f>
        <v>897</v>
      </c>
      <c r="N1355" s="6" t="n">
        <f aca="false">G1355*I1355</f>
        <v>440</v>
      </c>
      <c r="O1355" s="6" t="n">
        <f aca="false">M1355-N1355</f>
        <v>457</v>
      </c>
      <c r="P1355" s="21" t="n">
        <f aca="false">IFERROR(O1355/M1355,0)</f>
        <v>0.509476031215162</v>
      </c>
      <c r="Q1355" s="6" t="str">
        <f aca="false">Orders!H1355</f>
        <v>Delivered</v>
      </c>
      <c r="R1355" s="1" t="str">
        <f aca="false">INDEX(Customers!$C$2:$C$301,MATCH(C1355,Customers!$A$2:$A$301,0))</f>
        <v>Jaipur</v>
      </c>
      <c r="S1355" s="1" t="str">
        <f aca="false">INDEX(Customers!$E$2:$E$301,MATCH(C1355,Customers!$A$2:$A$301,0))</f>
        <v>Returning</v>
      </c>
      <c r="T1355" s="6" t="str">
        <f aca="false">Orders!I1355</f>
        <v>Marketplace</v>
      </c>
      <c r="U1355" s="1" t="str">
        <f aca="false">IF(Q1355="Delivered","Completed",IF(Q1355="Cancelled","Cancelled",IF(Q1355="Returned","Returned","In Progress")))</f>
        <v>Completed</v>
      </c>
      <c r="V1355" s="1" t="str">
        <f aca="false">IF(M1355&gt;=10000,"High Value",IF(M1355&gt;=5000,"Medium Value","Low Value"))</f>
        <v>Low Value</v>
      </c>
      <c r="W1355" s="1" t="str">
        <f aca="false">IF(O1355&gt;0,"Profitable",IF(O1355=0,"Break-even","Loss"))</f>
        <v>Profitable</v>
      </c>
      <c r="X1355" s="1" t="str">
        <f aca="false">IF(Q1355="Cancelled","Not Applicable",IF(Q1355="Processing","Pending",IF(B1355="","Unknown",IF(Orders!J1355="","Unknown",IF(Orders!J1355&lt;=3,"Fast",IF(Orders!J1355&lt;=6,"Standard","Slow"))))))</f>
        <v>Standard</v>
      </c>
      <c r="Y1355" s="1" t="n">
        <f aca="false">IF(OR(Q1355="Cancelled",Q1355="Returned"),0,O1355)</f>
        <v>457</v>
      </c>
    </row>
    <row r="1356" customFormat="false" ht="23.85" hidden="false" customHeight="false" outlineLevel="0" collapsed="false">
      <c r="A1356" s="6" t="str">
        <f aca="false">Orders!A1356</f>
        <v>O001355</v>
      </c>
      <c r="B1356" s="19" t="n">
        <f aca="false">Orders!B1356</f>
        <v>45766</v>
      </c>
      <c r="C1356" s="6" t="str">
        <f aca="false">Orders!C1356</f>
        <v>C0095</v>
      </c>
      <c r="D1356" s="6" t="str">
        <f aca="false">Orders!D1356</f>
        <v>P1047</v>
      </c>
      <c r="E1356" s="6" t="str">
        <f aca="false">INDEX(Products!$B$2:$B$101,MATCH(D1356,Products!$A$2:$A$101,0))</f>
        <v>Sunscreen Lotion</v>
      </c>
      <c r="F1356" s="1" t="str">
        <f aca="false">INDEX(Products!$C$2:$C$101,MATCH(D1356,Products!$A$2:$A$101,0))</f>
        <v>Beauty</v>
      </c>
      <c r="G1356" s="6" t="n">
        <f aca="false">Orders!E1356</f>
        <v>1</v>
      </c>
      <c r="H1356" s="16" t="n">
        <f aca="false">INDEX(Products!$D$2:$D$101,MATCH(D1356,Products!$A$2:$A$101,0))</f>
        <v>399</v>
      </c>
      <c r="I1356" s="16" t="n">
        <f aca="false">INDEX(Products!$E$2:$E$101,MATCH(D1356,Products!$A$2:$A$101,0))</f>
        <v>170</v>
      </c>
      <c r="J1356" s="20" t="n">
        <f aca="false">Orders!F1356</f>
        <v>0</v>
      </c>
      <c r="K1356" s="6" t="n">
        <f aca="false">G1356*H1356</f>
        <v>399</v>
      </c>
      <c r="L1356" s="6" t="n">
        <f aca="false">K1356*J1356</f>
        <v>0</v>
      </c>
      <c r="M1356" s="6" t="n">
        <f aca="false">K1356-L1356</f>
        <v>399</v>
      </c>
      <c r="N1356" s="6" t="n">
        <f aca="false">G1356*I1356</f>
        <v>170</v>
      </c>
      <c r="O1356" s="6" t="n">
        <f aca="false">M1356-N1356</f>
        <v>229</v>
      </c>
      <c r="P1356" s="21" t="n">
        <f aca="false">IFERROR(O1356/M1356,0)</f>
        <v>0.573934837092732</v>
      </c>
      <c r="Q1356" s="6" t="str">
        <f aca="false">Orders!H1356</f>
        <v>Delivered</v>
      </c>
      <c r="R1356" s="1" t="str">
        <f aca="false">INDEX(Customers!$C$2:$C$301,MATCH(C1356,Customers!$A$2:$A$301,0))</f>
        <v>Bhopal</v>
      </c>
      <c r="S1356" s="1" t="str">
        <f aca="false">INDEX(Customers!$E$2:$E$301,MATCH(C1356,Customers!$A$2:$A$301,0))</f>
        <v>Returning</v>
      </c>
      <c r="T1356" s="6" t="str">
        <f aca="false">Orders!I1356</f>
        <v>Marketplace</v>
      </c>
      <c r="U1356" s="1" t="str">
        <f aca="false">IF(Q1356="Delivered","Completed",IF(Q1356="Cancelled","Cancelled",IF(Q1356="Returned","Returned","In Progress")))</f>
        <v>Completed</v>
      </c>
      <c r="V1356" s="1" t="str">
        <f aca="false">IF(M1356&gt;=10000,"High Value",IF(M1356&gt;=5000,"Medium Value","Low Value"))</f>
        <v>Low Value</v>
      </c>
      <c r="W1356" s="1" t="str">
        <f aca="false">IF(O1356&gt;0,"Profitable",IF(O1356=0,"Break-even","Loss"))</f>
        <v>Profitable</v>
      </c>
      <c r="X1356" s="1" t="str">
        <f aca="false">IF(Q1356="Cancelled","Not Applicable",IF(Q1356="Processing","Pending",IF(B1356="","Unknown",IF(Orders!J1356="","Unknown",IF(Orders!J1356&lt;=3,"Fast",IF(Orders!J1356&lt;=6,"Standard","Slow"))))))</f>
        <v>Standard</v>
      </c>
      <c r="Y1356" s="1" t="n">
        <f aca="false">IF(OR(Q1356="Cancelled",Q1356="Returned"),0,O1356)</f>
        <v>229</v>
      </c>
    </row>
    <row r="1357" customFormat="false" ht="15" hidden="false" customHeight="false" outlineLevel="0" collapsed="false">
      <c r="A1357" s="6" t="str">
        <f aca="false">Orders!A1357</f>
        <v>O001356</v>
      </c>
      <c r="B1357" s="19" t="n">
        <f aca="false">Orders!B1357</f>
        <v>46003</v>
      </c>
      <c r="C1357" s="6" t="str">
        <f aca="false">Orders!C1357</f>
        <v>C0039</v>
      </c>
      <c r="D1357" s="6" t="str">
        <f aca="false">Orders!D1357</f>
        <v>P1003</v>
      </c>
      <c r="E1357" s="6" t="str">
        <f aca="false">INDEX(Products!$B$2:$B$101,MATCH(D1357,Products!$A$2:$A$101,0))</f>
        <v>Smart Watch</v>
      </c>
      <c r="F1357" s="1" t="str">
        <f aca="false">INDEX(Products!$C$2:$C$101,MATCH(D1357,Products!$A$2:$A$101,0))</f>
        <v>Electronics</v>
      </c>
      <c r="G1357" s="6" t="n">
        <f aca="false">Orders!E1357</f>
        <v>2</v>
      </c>
      <c r="H1357" s="16" t="n">
        <f aca="false">INDEX(Products!$D$2:$D$101,MATCH(D1357,Products!$A$2:$A$101,0))</f>
        <v>2499</v>
      </c>
      <c r="I1357" s="16" t="n">
        <f aca="false">INDEX(Products!$E$2:$E$101,MATCH(D1357,Products!$A$2:$A$101,0))</f>
        <v>1450</v>
      </c>
      <c r="J1357" s="20" t="n">
        <f aca="false">Orders!F1357</f>
        <v>0.1</v>
      </c>
      <c r="K1357" s="6" t="n">
        <f aca="false">G1357*H1357</f>
        <v>4998</v>
      </c>
      <c r="L1357" s="6" t="n">
        <f aca="false">K1357*J1357</f>
        <v>499.8</v>
      </c>
      <c r="M1357" s="6" t="n">
        <f aca="false">K1357-L1357</f>
        <v>4498.2</v>
      </c>
      <c r="N1357" s="6" t="n">
        <f aca="false">G1357*I1357</f>
        <v>2900</v>
      </c>
      <c r="O1357" s="6" t="n">
        <f aca="false">M1357-N1357</f>
        <v>1598.2</v>
      </c>
      <c r="P1357" s="21" t="n">
        <f aca="false">IFERROR(O1357/M1357,0)</f>
        <v>0.355297674625406</v>
      </c>
      <c r="Q1357" s="6" t="str">
        <f aca="false">Orders!H1357</f>
        <v>Delivered</v>
      </c>
      <c r="R1357" s="1" t="str">
        <f aca="false">INDEX(Customers!$C$2:$C$301,MATCH(C1357,Customers!$A$2:$A$301,0))</f>
        <v>Coimbatore</v>
      </c>
      <c r="S1357" s="1" t="str">
        <f aca="false">INDEX(Customers!$E$2:$E$301,MATCH(C1357,Customers!$A$2:$A$301,0))</f>
        <v>Returning</v>
      </c>
      <c r="T1357" s="6" t="str">
        <f aca="false">Orders!I1357</f>
        <v>Mobile App</v>
      </c>
      <c r="U1357" s="1" t="str">
        <f aca="false">IF(Q1357="Delivered","Completed",IF(Q1357="Cancelled","Cancelled",IF(Q1357="Returned","Returned","In Progress")))</f>
        <v>Completed</v>
      </c>
      <c r="V1357" s="1" t="str">
        <f aca="false">IF(M1357&gt;=10000,"High Value",IF(M1357&gt;=5000,"Medium Value","Low Value"))</f>
        <v>Low Value</v>
      </c>
      <c r="W1357" s="1" t="str">
        <f aca="false">IF(O1357&gt;0,"Profitable",IF(O1357=0,"Break-even","Loss"))</f>
        <v>Profitable</v>
      </c>
      <c r="X1357" s="1" t="str">
        <f aca="false">IF(Q1357="Cancelled","Not Applicable",IF(Q1357="Processing","Pending",IF(B1357="","Unknown",IF(Orders!J1357="","Unknown",IF(Orders!J1357&lt;=3,"Fast",IF(Orders!J1357&lt;=6,"Standard","Slow"))))))</f>
        <v>Standard</v>
      </c>
      <c r="Y1357" s="1" t="n">
        <f aca="false">IF(OR(Q1357="Cancelled",Q1357="Returned"),0,O1357)</f>
        <v>1598.2</v>
      </c>
    </row>
    <row r="1358" customFormat="false" ht="15" hidden="false" customHeight="false" outlineLevel="0" collapsed="false">
      <c r="A1358" s="6" t="str">
        <f aca="false">Orders!A1358</f>
        <v>O001357</v>
      </c>
      <c r="B1358" s="19" t="n">
        <f aca="false">Orders!B1358</f>
        <v>45978</v>
      </c>
      <c r="C1358" s="6" t="str">
        <f aca="false">Orders!C1358</f>
        <v>C0220</v>
      </c>
      <c r="D1358" s="6" t="str">
        <f aca="false">Orders!D1358</f>
        <v>P1034</v>
      </c>
      <c r="E1358" s="6" t="str">
        <f aca="false">INDEX(Products!$B$2:$B$101,MATCH(D1358,Products!$A$2:$A$101,0))</f>
        <v>Table Lamp</v>
      </c>
      <c r="F1358" s="1" t="str">
        <f aca="false">INDEX(Products!$C$2:$C$101,MATCH(D1358,Products!$A$2:$A$101,0))</f>
        <v>Home &amp; Kitchen</v>
      </c>
      <c r="G1358" s="6" t="n">
        <f aca="false">Orders!E1358</f>
        <v>1</v>
      </c>
      <c r="H1358" s="16" t="n">
        <f aca="false">INDEX(Products!$D$2:$D$101,MATCH(D1358,Products!$A$2:$A$101,0))</f>
        <v>899</v>
      </c>
      <c r="I1358" s="16" t="n">
        <f aca="false">INDEX(Products!$E$2:$E$101,MATCH(D1358,Products!$A$2:$A$101,0))</f>
        <v>420</v>
      </c>
      <c r="J1358" s="20" t="n">
        <f aca="false">Orders!F1358</f>
        <v>0.2</v>
      </c>
      <c r="K1358" s="6" t="n">
        <f aca="false">G1358*H1358</f>
        <v>899</v>
      </c>
      <c r="L1358" s="6" t="n">
        <f aca="false">K1358*J1358</f>
        <v>179.8</v>
      </c>
      <c r="M1358" s="6" t="n">
        <f aca="false">K1358-L1358</f>
        <v>719.2</v>
      </c>
      <c r="N1358" s="6" t="n">
        <f aca="false">G1358*I1358</f>
        <v>420</v>
      </c>
      <c r="O1358" s="6" t="n">
        <f aca="false">M1358-N1358</f>
        <v>299.2</v>
      </c>
      <c r="P1358" s="21" t="n">
        <f aca="false">IFERROR(O1358/M1358,0)</f>
        <v>0.416017797552837</v>
      </c>
      <c r="Q1358" s="6" t="str">
        <f aca="false">Orders!H1358</f>
        <v>Processing</v>
      </c>
      <c r="R1358" s="1" t="str">
        <f aca="false">INDEX(Customers!$C$2:$C$301,MATCH(C1358,Customers!$A$2:$A$301,0))</f>
        <v>Visakhapatnam</v>
      </c>
      <c r="S1358" s="1" t="str">
        <f aca="false">INDEX(Customers!$E$2:$E$301,MATCH(C1358,Customers!$A$2:$A$301,0))</f>
        <v>New</v>
      </c>
      <c r="T1358" s="6" t="str">
        <f aca="false">Orders!I1358</f>
        <v>Website</v>
      </c>
      <c r="U1358" s="1" t="str">
        <f aca="false">IF(Q1358="Delivered","Completed",IF(Q1358="Cancelled","Cancelled",IF(Q1358="Returned","Returned","In Progress")))</f>
        <v>In Progress</v>
      </c>
      <c r="V1358" s="1" t="str">
        <f aca="false">IF(M1358&gt;=10000,"High Value",IF(M1358&gt;=5000,"Medium Value","Low Value"))</f>
        <v>Low Value</v>
      </c>
      <c r="W1358" s="1" t="str">
        <f aca="false">IF(O1358&gt;0,"Profitable",IF(O1358=0,"Break-even","Loss"))</f>
        <v>Profitable</v>
      </c>
      <c r="X1358" s="1" t="str">
        <f aca="false">IF(Q1358="Cancelled","Not Applicable",IF(Q1358="Processing","Pending",IF(B1358="","Unknown",IF(Orders!J1358="","Unknown",IF(Orders!J1358&lt;=3,"Fast",IF(Orders!J1358&lt;=6,"Standard","Slow"))))))</f>
        <v>Pending</v>
      </c>
      <c r="Y1358" s="1" t="n">
        <f aca="false">IF(OR(Q1358="Cancelled",Q1358="Returned"),0,O1358)</f>
        <v>299.2</v>
      </c>
    </row>
    <row r="1359" customFormat="false" ht="15" hidden="false" customHeight="false" outlineLevel="0" collapsed="false">
      <c r="A1359" s="6" t="str">
        <f aca="false">Orders!A1359</f>
        <v>O001358</v>
      </c>
      <c r="B1359" s="19" t="n">
        <f aca="false">Orders!B1359</f>
        <v>45949</v>
      </c>
      <c r="C1359" s="6" t="str">
        <f aca="false">Orders!C1359</f>
        <v>C0065</v>
      </c>
      <c r="D1359" s="6" t="str">
        <f aca="false">Orders!D1359</f>
        <v>P1026</v>
      </c>
      <c r="E1359" s="6" t="str">
        <f aca="false">INDEX(Products!$B$2:$B$101,MATCH(D1359,Products!$A$2:$A$101,0))</f>
        <v>Sunglasses</v>
      </c>
      <c r="F1359" s="1" t="str">
        <f aca="false">INDEX(Products!$C$2:$C$101,MATCH(D1359,Products!$A$2:$A$101,0))</f>
        <v>Fashion</v>
      </c>
      <c r="G1359" s="6" t="n">
        <f aca="false">Orders!E1359</f>
        <v>4</v>
      </c>
      <c r="H1359" s="16" t="n">
        <f aca="false">INDEX(Products!$D$2:$D$101,MATCH(D1359,Products!$A$2:$A$101,0))</f>
        <v>799</v>
      </c>
      <c r="I1359" s="16" t="n">
        <f aca="false">INDEX(Products!$E$2:$E$101,MATCH(D1359,Products!$A$2:$A$101,0))</f>
        <v>300</v>
      </c>
      <c r="J1359" s="20" t="n">
        <f aca="false">Orders!F1359</f>
        <v>0</v>
      </c>
      <c r="K1359" s="6" t="n">
        <f aca="false">G1359*H1359</f>
        <v>3196</v>
      </c>
      <c r="L1359" s="6" t="n">
        <f aca="false">K1359*J1359</f>
        <v>0</v>
      </c>
      <c r="M1359" s="6" t="n">
        <f aca="false">K1359-L1359</f>
        <v>3196</v>
      </c>
      <c r="N1359" s="6" t="n">
        <f aca="false">G1359*I1359</f>
        <v>1200</v>
      </c>
      <c r="O1359" s="6" t="n">
        <f aca="false">M1359-N1359</f>
        <v>1996</v>
      </c>
      <c r="P1359" s="21" t="n">
        <f aca="false">IFERROR(O1359/M1359,0)</f>
        <v>0.624530663329161</v>
      </c>
      <c r="Q1359" s="6" t="str">
        <f aca="false">Orders!H1359</f>
        <v>Delivered</v>
      </c>
      <c r="R1359" s="1" t="str">
        <f aca="false">INDEX(Customers!$C$2:$C$301,MATCH(C1359,Customers!$A$2:$A$301,0))</f>
        <v>Chennai</v>
      </c>
      <c r="S1359" s="1" t="str">
        <f aca="false">INDEX(Customers!$E$2:$E$301,MATCH(C1359,Customers!$A$2:$A$301,0))</f>
        <v>Returning</v>
      </c>
      <c r="T1359" s="6" t="str">
        <f aca="false">Orders!I1359</f>
        <v>Website</v>
      </c>
      <c r="U1359" s="1" t="str">
        <f aca="false">IF(Q1359="Delivered","Completed",IF(Q1359="Cancelled","Cancelled",IF(Q1359="Returned","Returned","In Progress")))</f>
        <v>Completed</v>
      </c>
      <c r="V1359" s="1" t="str">
        <f aca="false">IF(M1359&gt;=10000,"High Value",IF(M1359&gt;=5000,"Medium Value","Low Value"))</f>
        <v>Low Value</v>
      </c>
      <c r="W1359" s="1" t="str">
        <f aca="false">IF(O1359&gt;0,"Profitable",IF(O1359=0,"Break-even","Loss"))</f>
        <v>Profitable</v>
      </c>
      <c r="X1359" s="1" t="str">
        <f aca="false">IF(Q1359="Cancelled","Not Applicable",IF(Q1359="Processing","Pending",IF(B1359="","Unknown",IF(Orders!J1359="","Unknown",IF(Orders!J1359&lt;=3,"Fast",IF(Orders!J1359&lt;=6,"Standard","Slow"))))))</f>
        <v>Standard</v>
      </c>
      <c r="Y1359" s="1" t="n">
        <f aca="false">IF(OR(Q1359="Cancelled",Q1359="Returned"),0,O1359)</f>
        <v>1996</v>
      </c>
    </row>
    <row r="1360" customFormat="false" ht="23.85" hidden="false" customHeight="false" outlineLevel="0" collapsed="false">
      <c r="A1360" s="6" t="str">
        <f aca="false">Orders!A1360</f>
        <v>O001359</v>
      </c>
      <c r="B1360" s="19" t="n">
        <f aca="false">Orders!B1360</f>
        <v>45771</v>
      </c>
      <c r="C1360" s="6" t="str">
        <f aca="false">Orders!C1360</f>
        <v>C0223</v>
      </c>
      <c r="D1360" s="6" t="str">
        <f aca="false">Orders!D1360</f>
        <v>P1069</v>
      </c>
      <c r="E1360" s="6" t="str">
        <f aca="false">INDEX(Products!$B$2:$B$101,MATCH(D1360,Products!$A$2:$A$101,0))</f>
        <v>Sports Duffel Bag</v>
      </c>
      <c r="F1360" s="1" t="str">
        <f aca="false">INDEX(Products!$C$2:$C$101,MATCH(D1360,Products!$A$2:$A$101,0))</f>
        <v>Sports &amp; Outdoors</v>
      </c>
      <c r="G1360" s="6" t="n">
        <f aca="false">Orders!E1360</f>
        <v>1</v>
      </c>
      <c r="H1360" s="16" t="n">
        <f aca="false">INDEX(Products!$D$2:$D$101,MATCH(D1360,Products!$A$2:$A$101,0))</f>
        <v>999</v>
      </c>
      <c r="I1360" s="16" t="n">
        <f aca="false">INDEX(Products!$E$2:$E$101,MATCH(D1360,Products!$A$2:$A$101,0))</f>
        <v>500</v>
      </c>
      <c r="J1360" s="20" t="n">
        <f aca="false">Orders!F1360</f>
        <v>0.05</v>
      </c>
      <c r="K1360" s="6" t="n">
        <f aca="false">G1360*H1360</f>
        <v>999</v>
      </c>
      <c r="L1360" s="6" t="n">
        <f aca="false">K1360*J1360</f>
        <v>49.95</v>
      </c>
      <c r="M1360" s="6" t="n">
        <f aca="false">K1360-L1360</f>
        <v>949.05</v>
      </c>
      <c r="N1360" s="6" t="n">
        <f aca="false">G1360*I1360</f>
        <v>500</v>
      </c>
      <c r="O1360" s="6" t="n">
        <f aca="false">M1360-N1360</f>
        <v>449.05</v>
      </c>
      <c r="P1360" s="21" t="n">
        <f aca="false">IFERROR(O1360/M1360,0)</f>
        <v>0.47315736789421</v>
      </c>
      <c r="Q1360" s="6" t="str">
        <f aca="false">Orders!H1360</f>
        <v>Shipped</v>
      </c>
      <c r="R1360" s="1" t="str">
        <f aca="false">INDEX(Customers!$C$2:$C$301,MATCH(C1360,Customers!$A$2:$A$301,0))</f>
        <v>Bengaluru</v>
      </c>
      <c r="S1360" s="1" t="str">
        <f aca="false">INDEX(Customers!$E$2:$E$301,MATCH(C1360,Customers!$A$2:$A$301,0))</f>
        <v>VIP</v>
      </c>
      <c r="T1360" s="6" t="str">
        <f aca="false">Orders!I1360</f>
        <v>Mobile App</v>
      </c>
      <c r="U1360" s="1" t="str">
        <f aca="false">IF(Q1360="Delivered","Completed",IF(Q1360="Cancelled","Cancelled",IF(Q1360="Returned","Returned","In Progress")))</f>
        <v>In Progress</v>
      </c>
      <c r="V1360" s="1" t="str">
        <f aca="false">IF(M1360&gt;=10000,"High Value",IF(M1360&gt;=5000,"Medium Value","Low Value"))</f>
        <v>Low Value</v>
      </c>
      <c r="W1360" s="1" t="str">
        <f aca="false">IF(O1360&gt;0,"Profitable",IF(O1360=0,"Break-even","Loss"))</f>
        <v>Profitable</v>
      </c>
      <c r="X1360" s="1" t="str">
        <f aca="false">IF(Q1360="Cancelled","Not Applicable",IF(Q1360="Processing","Pending",IF(B1360="","Unknown",IF(Orders!J1360="","Unknown",IF(Orders!J1360&lt;=3,"Fast",IF(Orders!J1360&lt;=6,"Standard","Slow"))))))</f>
        <v>Fast</v>
      </c>
      <c r="Y1360" s="1" t="n">
        <f aca="false">IF(OR(Q1360="Cancelled",Q1360="Returned"),0,O1360)</f>
        <v>449.05</v>
      </c>
    </row>
    <row r="1361" customFormat="false" ht="23.85" hidden="false" customHeight="false" outlineLevel="0" collapsed="false">
      <c r="A1361" s="6" t="str">
        <f aca="false">Orders!A1361</f>
        <v>O001360</v>
      </c>
      <c r="B1361" s="19" t="n">
        <f aca="false">Orders!B1361</f>
        <v>45960</v>
      </c>
      <c r="C1361" s="6" t="str">
        <f aca="false">Orders!C1361</f>
        <v>C0173</v>
      </c>
      <c r="D1361" s="6" t="str">
        <f aca="false">Orders!D1361</f>
        <v>P1002</v>
      </c>
      <c r="E1361" s="6" t="str">
        <f aca="false">INDEX(Products!$B$2:$B$101,MATCH(D1361,Products!$A$2:$A$101,0))</f>
        <v>Bluetooth Speaker</v>
      </c>
      <c r="F1361" s="1" t="str">
        <f aca="false">INDEX(Products!$C$2:$C$101,MATCH(D1361,Products!$A$2:$A$101,0))</f>
        <v>Electronics</v>
      </c>
      <c r="G1361" s="6" t="n">
        <f aca="false">Orders!E1361</f>
        <v>1</v>
      </c>
      <c r="H1361" s="16" t="n">
        <f aca="false">INDEX(Products!$D$2:$D$101,MATCH(D1361,Products!$A$2:$A$101,0))</f>
        <v>1499</v>
      </c>
      <c r="I1361" s="16" t="n">
        <f aca="false">INDEX(Products!$E$2:$E$101,MATCH(D1361,Products!$A$2:$A$101,0))</f>
        <v>850</v>
      </c>
      <c r="J1361" s="20" t="n">
        <f aca="false">Orders!F1361</f>
        <v>0</v>
      </c>
      <c r="K1361" s="6" t="n">
        <f aca="false">G1361*H1361</f>
        <v>1499</v>
      </c>
      <c r="L1361" s="6" t="n">
        <f aca="false">K1361*J1361</f>
        <v>0</v>
      </c>
      <c r="M1361" s="6" t="n">
        <f aca="false">K1361-L1361</f>
        <v>1499</v>
      </c>
      <c r="N1361" s="6" t="n">
        <f aca="false">G1361*I1361</f>
        <v>850</v>
      </c>
      <c r="O1361" s="6" t="n">
        <f aca="false">M1361-N1361</f>
        <v>649</v>
      </c>
      <c r="P1361" s="21" t="n">
        <f aca="false">IFERROR(O1361/M1361,0)</f>
        <v>0.43295530353569</v>
      </c>
      <c r="Q1361" s="6" t="str">
        <f aca="false">Orders!H1361</f>
        <v>Delivered</v>
      </c>
      <c r="R1361" s="1" t="str">
        <f aca="false">INDEX(Customers!$C$2:$C$301,MATCH(C1361,Customers!$A$2:$A$301,0))</f>
        <v>Kochi</v>
      </c>
      <c r="S1361" s="1" t="str">
        <f aca="false">INDEX(Customers!$E$2:$E$301,MATCH(C1361,Customers!$A$2:$A$301,0))</f>
        <v>New</v>
      </c>
      <c r="T1361" s="6" t="str">
        <f aca="false">Orders!I1361</f>
        <v>Marketplace</v>
      </c>
      <c r="U1361" s="1" t="str">
        <f aca="false">IF(Q1361="Delivered","Completed",IF(Q1361="Cancelled","Cancelled",IF(Q1361="Returned","Returned","In Progress")))</f>
        <v>Completed</v>
      </c>
      <c r="V1361" s="1" t="str">
        <f aca="false">IF(M1361&gt;=10000,"High Value",IF(M1361&gt;=5000,"Medium Value","Low Value"))</f>
        <v>Low Value</v>
      </c>
      <c r="W1361" s="1" t="str">
        <f aca="false">IF(O1361&gt;0,"Profitable",IF(O1361=0,"Break-even","Loss"))</f>
        <v>Profitable</v>
      </c>
      <c r="X1361" s="1" t="str">
        <f aca="false">IF(Q1361="Cancelled","Not Applicable",IF(Q1361="Processing","Pending",IF(B1361="","Unknown",IF(Orders!J1361="","Unknown",IF(Orders!J1361&lt;=3,"Fast",IF(Orders!J1361&lt;=6,"Standard","Slow"))))))</f>
        <v>Fast</v>
      </c>
      <c r="Y1361" s="1" t="n">
        <f aca="false">IF(OR(Q1361="Cancelled",Q1361="Returned"),0,O1361)</f>
        <v>649</v>
      </c>
    </row>
    <row r="1362" customFormat="false" ht="15" hidden="false" customHeight="false" outlineLevel="0" collapsed="false">
      <c r="A1362" s="6" t="str">
        <f aca="false">Orders!A1362</f>
        <v>O001361</v>
      </c>
      <c r="B1362" s="19" t="n">
        <f aca="false">Orders!B1362</f>
        <v>45698</v>
      </c>
      <c r="C1362" s="6" t="str">
        <f aca="false">Orders!C1362</f>
        <v>C0053</v>
      </c>
      <c r="D1362" s="6" t="str">
        <f aca="false">Orders!D1362</f>
        <v>P1020</v>
      </c>
      <c r="E1362" s="6" t="str">
        <f aca="false">INDEX(Products!$B$2:$B$101,MATCH(D1362,Products!$A$2:$A$101,0))</f>
        <v>Backpack</v>
      </c>
      <c r="F1362" s="1" t="str">
        <f aca="false">INDEX(Products!$C$2:$C$101,MATCH(D1362,Products!$A$2:$A$101,0))</f>
        <v>Fashion</v>
      </c>
      <c r="G1362" s="6" t="n">
        <f aca="false">Orders!E1362</f>
        <v>1</v>
      </c>
      <c r="H1362" s="16" t="n">
        <f aca="false">INDEX(Products!$D$2:$D$101,MATCH(D1362,Products!$A$2:$A$101,0))</f>
        <v>1199</v>
      </c>
      <c r="I1362" s="16" t="n">
        <f aca="false">INDEX(Products!$E$2:$E$101,MATCH(D1362,Products!$A$2:$A$101,0))</f>
        <v>600</v>
      </c>
      <c r="J1362" s="20" t="n">
        <f aca="false">Orders!F1362</f>
        <v>0.1</v>
      </c>
      <c r="K1362" s="6" t="n">
        <f aca="false">G1362*H1362</f>
        <v>1199</v>
      </c>
      <c r="L1362" s="6" t="n">
        <f aca="false">K1362*J1362</f>
        <v>119.9</v>
      </c>
      <c r="M1362" s="6" t="n">
        <f aca="false">K1362-L1362</f>
        <v>1079.1</v>
      </c>
      <c r="N1362" s="6" t="n">
        <f aca="false">G1362*I1362</f>
        <v>600</v>
      </c>
      <c r="O1362" s="6" t="n">
        <f aca="false">M1362-N1362</f>
        <v>479.1</v>
      </c>
      <c r="P1362" s="21" t="n">
        <f aca="false">IFERROR(O1362/M1362,0)</f>
        <v>0.443981095357242</v>
      </c>
      <c r="Q1362" s="6" t="str">
        <f aca="false">Orders!H1362</f>
        <v>Processing</v>
      </c>
      <c r="R1362" s="1" t="str">
        <f aca="false">INDEX(Customers!$C$2:$C$301,MATCH(C1362,Customers!$A$2:$A$301,0))</f>
        <v>Kochi</v>
      </c>
      <c r="S1362" s="1" t="str">
        <f aca="false">INDEX(Customers!$E$2:$E$301,MATCH(C1362,Customers!$A$2:$A$301,0))</f>
        <v>Returning</v>
      </c>
      <c r="T1362" s="6" t="str">
        <f aca="false">Orders!I1362</f>
        <v>Marketplace</v>
      </c>
      <c r="U1362" s="1" t="str">
        <f aca="false">IF(Q1362="Delivered","Completed",IF(Q1362="Cancelled","Cancelled",IF(Q1362="Returned","Returned","In Progress")))</f>
        <v>In Progress</v>
      </c>
      <c r="V1362" s="1" t="str">
        <f aca="false">IF(M1362&gt;=10000,"High Value",IF(M1362&gt;=5000,"Medium Value","Low Value"))</f>
        <v>Low Value</v>
      </c>
      <c r="W1362" s="1" t="str">
        <f aca="false">IF(O1362&gt;0,"Profitable",IF(O1362=0,"Break-even","Loss"))</f>
        <v>Profitable</v>
      </c>
      <c r="X1362" s="1" t="str">
        <f aca="false">IF(Q1362="Cancelled","Not Applicable",IF(Q1362="Processing","Pending",IF(B1362="","Unknown",IF(Orders!J1362="","Unknown",IF(Orders!J1362&lt;=3,"Fast",IF(Orders!J1362&lt;=6,"Standard","Slow"))))))</f>
        <v>Pending</v>
      </c>
      <c r="Y1362" s="1" t="n">
        <f aca="false">IF(OR(Q1362="Cancelled",Q1362="Returned"),0,O1362)</f>
        <v>479.1</v>
      </c>
    </row>
    <row r="1363" customFormat="false" ht="23.85" hidden="false" customHeight="false" outlineLevel="0" collapsed="false">
      <c r="A1363" s="6" t="str">
        <f aca="false">Orders!A1363</f>
        <v>O001362</v>
      </c>
      <c r="B1363" s="19" t="n">
        <f aca="false">Orders!B1363</f>
        <v>45921</v>
      </c>
      <c r="C1363" s="6" t="str">
        <f aca="false">Orders!C1363</f>
        <v>C0117</v>
      </c>
      <c r="D1363" s="6" t="str">
        <f aca="false">Orders!D1363</f>
        <v>P1047</v>
      </c>
      <c r="E1363" s="6" t="str">
        <f aca="false">INDEX(Products!$B$2:$B$101,MATCH(D1363,Products!$A$2:$A$101,0))</f>
        <v>Sunscreen Lotion</v>
      </c>
      <c r="F1363" s="1" t="str">
        <f aca="false">INDEX(Products!$C$2:$C$101,MATCH(D1363,Products!$A$2:$A$101,0))</f>
        <v>Beauty</v>
      </c>
      <c r="G1363" s="6" t="n">
        <f aca="false">Orders!E1363</f>
        <v>1</v>
      </c>
      <c r="H1363" s="16" t="n">
        <f aca="false">INDEX(Products!$D$2:$D$101,MATCH(D1363,Products!$A$2:$A$101,0))</f>
        <v>399</v>
      </c>
      <c r="I1363" s="16" t="n">
        <f aca="false">INDEX(Products!$E$2:$E$101,MATCH(D1363,Products!$A$2:$A$101,0))</f>
        <v>170</v>
      </c>
      <c r="J1363" s="20" t="n">
        <f aca="false">Orders!F1363</f>
        <v>0</v>
      </c>
      <c r="K1363" s="6" t="n">
        <f aca="false">G1363*H1363</f>
        <v>399</v>
      </c>
      <c r="L1363" s="6" t="n">
        <f aca="false">K1363*J1363</f>
        <v>0</v>
      </c>
      <c r="M1363" s="6" t="n">
        <f aca="false">K1363-L1363</f>
        <v>399</v>
      </c>
      <c r="N1363" s="6" t="n">
        <f aca="false">G1363*I1363</f>
        <v>170</v>
      </c>
      <c r="O1363" s="6" t="n">
        <f aca="false">M1363-N1363</f>
        <v>229</v>
      </c>
      <c r="P1363" s="21" t="n">
        <f aca="false">IFERROR(O1363/M1363,0)</f>
        <v>0.573934837092732</v>
      </c>
      <c r="Q1363" s="6" t="str">
        <f aca="false">Orders!H1363</f>
        <v>Cancelled</v>
      </c>
      <c r="R1363" s="1" t="str">
        <f aca="false">INDEX(Customers!$C$2:$C$301,MATCH(C1363,Customers!$A$2:$A$301,0))</f>
        <v>Surat</v>
      </c>
      <c r="S1363" s="1" t="str">
        <f aca="false">INDEX(Customers!$E$2:$E$301,MATCH(C1363,Customers!$A$2:$A$301,0))</f>
        <v>Returning</v>
      </c>
      <c r="T1363" s="6" t="str">
        <f aca="false">Orders!I1363</f>
        <v>Mobile App</v>
      </c>
      <c r="U1363" s="1" t="str">
        <f aca="false">IF(Q1363="Delivered","Completed",IF(Q1363="Cancelled","Cancelled",IF(Q1363="Returned","Returned","In Progress")))</f>
        <v>Cancelled</v>
      </c>
      <c r="V1363" s="1" t="str">
        <f aca="false">IF(M1363&gt;=10000,"High Value",IF(M1363&gt;=5000,"Medium Value","Low Value"))</f>
        <v>Low Value</v>
      </c>
      <c r="W1363" s="1" t="str">
        <f aca="false">IF(O1363&gt;0,"Profitable",IF(O1363=0,"Break-even","Loss"))</f>
        <v>Profitable</v>
      </c>
      <c r="X1363" s="1" t="str">
        <f aca="false">IF(Q1363="Cancelled","Not Applicable",IF(Q1363="Processing","Pending",IF(B1363="","Unknown",IF(Orders!J1363="","Unknown",IF(Orders!J1363&lt;=3,"Fast",IF(Orders!J1363&lt;=6,"Standard","Slow"))))))</f>
        <v>Not Applicable</v>
      </c>
      <c r="Y1363" s="1" t="n">
        <f aca="false">IF(OR(Q1363="Cancelled",Q1363="Returned"),0,O1363)</f>
        <v>0</v>
      </c>
    </row>
    <row r="1364" customFormat="false" ht="15" hidden="false" customHeight="false" outlineLevel="0" collapsed="false">
      <c r="A1364" s="6" t="str">
        <f aca="false">Orders!A1364</f>
        <v>O001363</v>
      </c>
      <c r="B1364" s="19" t="n">
        <f aca="false">Orders!B1364</f>
        <v>45666</v>
      </c>
      <c r="C1364" s="6" t="str">
        <f aca="false">Orders!C1364</f>
        <v>C0007</v>
      </c>
      <c r="D1364" s="6" t="str">
        <f aca="false">Orders!D1364</f>
        <v>P1027</v>
      </c>
      <c r="E1364" s="6" t="str">
        <f aca="false">INDEX(Products!$B$2:$B$101,MATCH(D1364,Products!$A$2:$A$101,0))</f>
        <v>Belt</v>
      </c>
      <c r="F1364" s="1" t="str">
        <f aca="false">INDEX(Products!$C$2:$C$101,MATCH(D1364,Products!$A$2:$A$101,0))</f>
        <v>Fashion</v>
      </c>
      <c r="G1364" s="6" t="n">
        <f aca="false">Orders!E1364</f>
        <v>1</v>
      </c>
      <c r="H1364" s="16" t="n">
        <f aca="false">INDEX(Products!$D$2:$D$101,MATCH(D1364,Products!$A$2:$A$101,0))</f>
        <v>399</v>
      </c>
      <c r="I1364" s="16" t="n">
        <f aca="false">INDEX(Products!$E$2:$E$101,MATCH(D1364,Products!$A$2:$A$101,0))</f>
        <v>160</v>
      </c>
      <c r="J1364" s="20" t="n">
        <f aca="false">Orders!F1364</f>
        <v>0.05</v>
      </c>
      <c r="K1364" s="6" t="n">
        <f aca="false">G1364*H1364</f>
        <v>399</v>
      </c>
      <c r="L1364" s="6" t="n">
        <f aca="false">K1364*J1364</f>
        <v>19.95</v>
      </c>
      <c r="M1364" s="6" t="n">
        <f aca="false">K1364-L1364</f>
        <v>379.05</v>
      </c>
      <c r="N1364" s="6" t="n">
        <f aca="false">G1364*I1364</f>
        <v>160</v>
      </c>
      <c r="O1364" s="6" t="n">
        <f aca="false">M1364-N1364</f>
        <v>219.05</v>
      </c>
      <c r="P1364" s="21" t="n">
        <f aca="false">IFERROR(O1364/M1364,0)</f>
        <v>0.577892098667722</v>
      </c>
      <c r="Q1364" s="6" t="str">
        <f aca="false">Orders!H1364</f>
        <v>Delivered</v>
      </c>
      <c r="R1364" s="1" t="str">
        <f aca="false">INDEX(Customers!$C$2:$C$301,MATCH(C1364,Customers!$A$2:$A$301,0))</f>
        <v>Pune</v>
      </c>
      <c r="S1364" s="1" t="str">
        <f aca="false">INDEX(Customers!$E$2:$E$301,MATCH(C1364,Customers!$A$2:$A$301,0))</f>
        <v>Returning</v>
      </c>
      <c r="T1364" s="6" t="str">
        <f aca="false">Orders!I1364</f>
        <v>Website</v>
      </c>
      <c r="U1364" s="1" t="str">
        <f aca="false">IF(Q1364="Delivered","Completed",IF(Q1364="Cancelled","Cancelled",IF(Q1364="Returned","Returned","In Progress")))</f>
        <v>Completed</v>
      </c>
      <c r="V1364" s="1" t="str">
        <f aca="false">IF(M1364&gt;=10000,"High Value",IF(M1364&gt;=5000,"Medium Value","Low Value"))</f>
        <v>Low Value</v>
      </c>
      <c r="W1364" s="1" t="str">
        <f aca="false">IF(O1364&gt;0,"Profitable",IF(O1364=0,"Break-even","Loss"))</f>
        <v>Profitable</v>
      </c>
      <c r="X1364" s="1" t="str">
        <f aca="false">IF(Q1364="Cancelled","Not Applicable",IF(Q1364="Processing","Pending",IF(B1364="","Unknown",IF(Orders!J1364="","Unknown",IF(Orders!J1364&lt;=3,"Fast",IF(Orders!J1364&lt;=6,"Standard","Slow"))))))</f>
        <v>Standard</v>
      </c>
      <c r="Y1364" s="1" t="n">
        <f aca="false">IF(OR(Q1364="Cancelled",Q1364="Returned"),0,O1364)</f>
        <v>219.05</v>
      </c>
    </row>
    <row r="1365" customFormat="false" ht="15" hidden="false" customHeight="false" outlineLevel="0" collapsed="false">
      <c r="A1365" s="6" t="str">
        <f aca="false">Orders!A1365</f>
        <v>O001364</v>
      </c>
      <c r="B1365" s="19" t="n">
        <f aca="false">Orders!B1365</f>
        <v>45782</v>
      </c>
      <c r="C1365" s="6" t="str">
        <f aca="false">Orders!C1365</f>
        <v>C0290</v>
      </c>
      <c r="D1365" s="6" t="str">
        <f aca="false">Orders!D1365</f>
        <v>P1003</v>
      </c>
      <c r="E1365" s="6" t="str">
        <f aca="false">INDEX(Products!$B$2:$B$101,MATCH(D1365,Products!$A$2:$A$101,0))</f>
        <v>Smart Watch</v>
      </c>
      <c r="F1365" s="1" t="str">
        <f aca="false">INDEX(Products!$C$2:$C$101,MATCH(D1365,Products!$A$2:$A$101,0))</f>
        <v>Electronics</v>
      </c>
      <c r="G1365" s="6" t="n">
        <f aca="false">Orders!E1365</f>
        <v>1</v>
      </c>
      <c r="H1365" s="16" t="n">
        <f aca="false">INDEX(Products!$D$2:$D$101,MATCH(D1365,Products!$A$2:$A$101,0))</f>
        <v>2499</v>
      </c>
      <c r="I1365" s="16" t="n">
        <f aca="false">INDEX(Products!$E$2:$E$101,MATCH(D1365,Products!$A$2:$A$101,0))</f>
        <v>1450</v>
      </c>
      <c r="J1365" s="20" t="n">
        <f aca="false">Orders!F1365</f>
        <v>0</v>
      </c>
      <c r="K1365" s="6" t="n">
        <f aca="false">G1365*H1365</f>
        <v>2499</v>
      </c>
      <c r="L1365" s="6" t="n">
        <f aca="false">K1365*J1365</f>
        <v>0</v>
      </c>
      <c r="M1365" s="6" t="n">
        <f aca="false">K1365-L1365</f>
        <v>2499</v>
      </c>
      <c r="N1365" s="6" t="n">
        <f aca="false">G1365*I1365</f>
        <v>1450</v>
      </c>
      <c r="O1365" s="6" t="n">
        <f aca="false">M1365-N1365</f>
        <v>1049</v>
      </c>
      <c r="P1365" s="21" t="n">
        <f aca="false">IFERROR(O1365/M1365,0)</f>
        <v>0.419767907162865</v>
      </c>
      <c r="Q1365" s="6" t="str">
        <f aca="false">Orders!H1365</f>
        <v>Shipped</v>
      </c>
      <c r="R1365" s="1" t="str">
        <f aca="false">INDEX(Customers!$C$2:$C$301,MATCH(C1365,Customers!$A$2:$A$301,0))</f>
        <v>Lucknow</v>
      </c>
      <c r="S1365" s="1" t="str">
        <f aca="false">INDEX(Customers!$E$2:$E$301,MATCH(C1365,Customers!$A$2:$A$301,0))</f>
        <v>Returning</v>
      </c>
      <c r="T1365" s="6" t="str">
        <f aca="false">Orders!I1365</f>
        <v>Mobile App</v>
      </c>
      <c r="U1365" s="1" t="str">
        <f aca="false">IF(Q1365="Delivered","Completed",IF(Q1365="Cancelled","Cancelled",IF(Q1365="Returned","Returned","In Progress")))</f>
        <v>In Progress</v>
      </c>
      <c r="V1365" s="1" t="str">
        <f aca="false">IF(M1365&gt;=10000,"High Value",IF(M1365&gt;=5000,"Medium Value","Low Value"))</f>
        <v>Low Value</v>
      </c>
      <c r="W1365" s="1" t="str">
        <f aca="false">IF(O1365&gt;0,"Profitable",IF(O1365=0,"Break-even","Loss"))</f>
        <v>Profitable</v>
      </c>
      <c r="X1365" s="1" t="str">
        <f aca="false">IF(Q1365="Cancelled","Not Applicable",IF(Q1365="Processing","Pending",IF(B1365="","Unknown",IF(Orders!J1365="","Unknown",IF(Orders!J1365&lt;=3,"Fast",IF(Orders!J1365&lt;=6,"Standard","Slow"))))))</f>
        <v>Slow</v>
      </c>
      <c r="Y1365" s="1" t="n">
        <f aca="false">IF(OR(Q1365="Cancelled",Q1365="Returned"),0,O1365)</f>
        <v>1049</v>
      </c>
    </row>
    <row r="1366" customFormat="false" ht="15" hidden="false" customHeight="false" outlineLevel="0" collapsed="false">
      <c r="A1366" s="6" t="str">
        <f aca="false">Orders!A1366</f>
        <v>O001365</v>
      </c>
      <c r="B1366" s="19" t="n">
        <f aca="false">Orders!B1366</f>
        <v>45662</v>
      </c>
      <c r="C1366" s="6" t="str">
        <f aca="false">Orders!C1366</f>
        <v>C0067</v>
      </c>
      <c r="D1366" s="6" t="str">
        <f aca="false">Orders!D1366</f>
        <v>P1091</v>
      </c>
      <c r="E1366" s="6" t="str">
        <f aca="false">INDEX(Products!$B$2:$B$101,MATCH(D1366,Products!$A$2:$A$101,0))</f>
        <v>Rice Cooker</v>
      </c>
      <c r="F1366" s="1" t="str">
        <f aca="false">INDEX(Products!$C$2:$C$101,MATCH(D1366,Products!$A$2:$A$101,0))</f>
        <v>Appliances</v>
      </c>
      <c r="G1366" s="6" t="n">
        <f aca="false">Orders!E1366</f>
        <v>3</v>
      </c>
      <c r="H1366" s="16" t="n">
        <f aca="false">INDEX(Products!$D$2:$D$101,MATCH(D1366,Products!$A$2:$A$101,0))</f>
        <v>1999</v>
      </c>
      <c r="I1366" s="16" t="n">
        <f aca="false">INDEX(Products!$E$2:$E$101,MATCH(D1366,Products!$A$2:$A$101,0))</f>
        <v>1200</v>
      </c>
      <c r="J1366" s="20" t="n">
        <f aca="false">Orders!F1366</f>
        <v>0.1</v>
      </c>
      <c r="K1366" s="6" t="n">
        <f aca="false">G1366*H1366</f>
        <v>5997</v>
      </c>
      <c r="L1366" s="6" t="n">
        <f aca="false">K1366*J1366</f>
        <v>599.7</v>
      </c>
      <c r="M1366" s="6" t="n">
        <f aca="false">K1366-L1366</f>
        <v>5397.3</v>
      </c>
      <c r="N1366" s="6" t="n">
        <f aca="false">G1366*I1366</f>
        <v>3600</v>
      </c>
      <c r="O1366" s="6" t="n">
        <f aca="false">M1366-N1366</f>
        <v>1797.3</v>
      </c>
      <c r="P1366" s="21" t="n">
        <f aca="false">IFERROR(O1366/M1366,0)</f>
        <v>0.332999833249958</v>
      </c>
      <c r="Q1366" s="6" t="str">
        <f aca="false">Orders!H1366</f>
        <v>Delivered</v>
      </c>
      <c r="R1366" s="1" t="str">
        <f aca="false">INDEX(Customers!$C$2:$C$301,MATCH(C1366,Customers!$A$2:$A$301,0))</f>
        <v>Pune</v>
      </c>
      <c r="S1366" s="1" t="str">
        <f aca="false">INDEX(Customers!$E$2:$E$301,MATCH(C1366,Customers!$A$2:$A$301,0))</f>
        <v>VIP</v>
      </c>
      <c r="T1366" s="6" t="str">
        <f aca="false">Orders!I1366</f>
        <v>Marketplace</v>
      </c>
      <c r="U1366" s="1" t="str">
        <f aca="false">IF(Q1366="Delivered","Completed",IF(Q1366="Cancelled","Cancelled",IF(Q1366="Returned","Returned","In Progress")))</f>
        <v>Completed</v>
      </c>
      <c r="V1366" s="1" t="str">
        <f aca="false">IF(M1366&gt;=10000,"High Value",IF(M1366&gt;=5000,"Medium Value","Low Value"))</f>
        <v>Medium Value</v>
      </c>
      <c r="W1366" s="1" t="str">
        <f aca="false">IF(O1366&gt;0,"Profitable",IF(O1366=0,"Break-even","Loss"))</f>
        <v>Profitable</v>
      </c>
      <c r="X1366" s="1" t="str">
        <f aca="false">IF(Q1366="Cancelled","Not Applicable",IF(Q1366="Processing","Pending",IF(B1366="","Unknown",IF(Orders!J1366="","Unknown",IF(Orders!J1366&lt;=3,"Fast",IF(Orders!J1366&lt;=6,"Standard","Slow"))))))</f>
        <v>Fast</v>
      </c>
      <c r="Y1366" s="1" t="n">
        <f aca="false">IF(OR(Q1366="Cancelled",Q1366="Returned"),0,O1366)</f>
        <v>1797.3</v>
      </c>
    </row>
    <row r="1367" customFormat="false" ht="15" hidden="false" customHeight="false" outlineLevel="0" collapsed="false">
      <c r="A1367" s="6" t="str">
        <f aca="false">Orders!A1367</f>
        <v>O001366</v>
      </c>
      <c r="B1367" s="19" t="n">
        <f aca="false">Orders!B1367</f>
        <v>45709</v>
      </c>
      <c r="C1367" s="6" t="str">
        <f aca="false">Orders!C1367</f>
        <v>C0202</v>
      </c>
      <c r="D1367" s="6" t="str">
        <f aca="false">Orders!D1367</f>
        <v>P1058</v>
      </c>
      <c r="E1367" s="6" t="str">
        <f aca="false">INDEX(Products!$B$2:$B$101,MATCH(D1367,Products!$A$2:$A$101,0))</f>
        <v>Nail Care Kit</v>
      </c>
      <c r="F1367" s="1" t="str">
        <f aca="false">INDEX(Products!$C$2:$C$101,MATCH(D1367,Products!$A$2:$A$101,0))</f>
        <v>Beauty</v>
      </c>
      <c r="G1367" s="6" t="n">
        <f aca="false">Orders!E1367</f>
        <v>1</v>
      </c>
      <c r="H1367" s="16" t="n">
        <f aca="false">INDEX(Products!$D$2:$D$101,MATCH(D1367,Products!$A$2:$A$101,0))</f>
        <v>399</v>
      </c>
      <c r="I1367" s="16" t="n">
        <f aca="false">INDEX(Products!$E$2:$E$101,MATCH(D1367,Products!$A$2:$A$101,0))</f>
        <v>170</v>
      </c>
      <c r="J1367" s="20" t="n">
        <f aca="false">Orders!F1367</f>
        <v>0.05</v>
      </c>
      <c r="K1367" s="6" t="n">
        <f aca="false">G1367*H1367</f>
        <v>399</v>
      </c>
      <c r="L1367" s="6" t="n">
        <f aca="false">K1367*J1367</f>
        <v>19.95</v>
      </c>
      <c r="M1367" s="6" t="n">
        <f aca="false">K1367-L1367</f>
        <v>379.05</v>
      </c>
      <c r="N1367" s="6" t="n">
        <f aca="false">G1367*I1367</f>
        <v>170</v>
      </c>
      <c r="O1367" s="6" t="n">
        <f aca="false">M1367-N1367</f>
        <v>209.05</v>
      </c>
      <c r="P1367" s="21" t="n">
        <f aca="false">IFERROR(O1367/M1367,0)</f>
        <v>0.551510354834455</v>
      </c>
      <c r="Q1367" s="6" t="str">
        <f aca="false">Orders!H1367</f>
        <v>Returned</v>
      </c>
      <c r="R1367" s="1" t="str">
        <f aca="false">INDEX(Customers!$C$2:$C$301,MATCH(C1367,Customers!$A$2:$A$301,0))</f>
        <v>Mumbai</v>
      </c>
      <c r="S1367" s="1" t="str">
        <f aca="false">INDEX(Customers!$E$2:$E$301,MATCH(C1367,Customers!$A$2:$A$301,0))</f>
        <v>New</v>
      </c>
      <c r="T1367" s="6" t="str">
        <f aca="false">Orders!I1367</f>
        <v>Mobile App</v>
      </c>
      <c r="U1367" s="1" t="str">
        <f aca="false">IF(Q1367="Delivered","Completed",IF(Q1367="Cancelled","Cancelled",IF(Q1367="Returned","Returned","In Progress")))</f>
        <v>Returned</v>
      </c>
      <c r="V1367" s="1" t="str">
        <f aca="false">IF(M1367&gt;=10000,"High Value",IF(M1367&gt;=5000,"Medium Value","Low Value"))</f>
        <v>Low Value</v>
      </c>
      <c r="W1367" s="1" t="str">
        <f aca="false">IF(O1367&gt;0,"Profitable",IF(O1367=0,"Break-even","Loss"))</f>
        <v>Profitable</v>
      </c>
      <c r="X1367" s="1" t="str">
        <f aca="false">IF(Q1367="Cancelled","Not Applicable",IF(Q1367="Processing","Pending",IF(B1367="","Unknown",IF(Orders!J1367="","Unknown",IF(Orders!J1367&lt;=3,"Fast",IF(Orders!J1367&lt;=6,"Standard","Slow"))))))</f>
        <v>Fast</v>
      </c>
      <c r="Y1367" s="1" t="n">
        <f aca="false">IF(OR(Q1367="Cancelled",Q1367="Returned"),0,O1367)</f>
        <v>0</v>
      </c>
    </row>
    <row r="1368" customFormat="false" ht="15" hidden="false" customHeight="false" outlineLevel="0" collapsed="false">
      <c r="A1368" s="6" t="str">
        <f aca="false">Orders!A1368</f>
        <v>O001367</v>
      </c>
      <c r="B1368" s="19" t="n">
        <f aca="false">Orders!B1368</f>
        <v>45696</v>
      </c>
      <c r="C1368" s="6" t="str">
        <f aca="false">Orders!C1368</f>
        <v>C0013</v>
      </c>
      <c r="D1368" s="6" t="str">
        <f aca="false">Orders!D1368</f>
        <v>P1084</v>
      </c>
      <c r="E1368" s="6" t="str">
        <f aca="false">INDEX(Products!$B$2:$B$101,MATCH(D1368,Products!$A$2:$A$101,0))</f>
        <v>Whiteboard</v>
      </c>
      <c r="F1368" s="1" t="str">
        <f aca="false">INDEX(Products!$C$2:$C$101,MATCH(D1368,Products!$A$2:$A$101,0))</f>
        <v>Books &amp; Stationery</v>
      </c>
      <c r="G1368" s="6" t="n">
        <f aca="false">Orders!E1368</f>
        <v>2</v>
      </c>
      <c r="H1368" s="16" t="n">
        <f aca="false">INDEX(Products!$D$2:$D$101,MATCH(D1368,Products!$A$2:$A$101,0))</f>
        <v>799</v>
      </c>
      <c r="I1368" s="16" t="n">
        <f aca="false">INDEX(Products!$E$2:$E$101,MATCH(D1368,Products!$A$2:$A$101,0))</f>
        <v>420</v>
      </c>
      <c r="J1368" s="20" t="n">
        <f aca="false">Orders!F1368</f>
        <v>0</v>
      </c>
      <c r="K1368" s="6" t="n">
        <f aca="false">G1368*H1368</f>
        <v>1598</v>
      </c>
      <c r="L1368" s="6" t="n">
        <f aca="false">K1368*J1368</f>
        <v>0</v>
      </c>
      <c r="M1368" s="6" t="n">
        <f aca="false">K1368-L1368</f>
        <v>1598</v>
      </c>
      <c r="N1368" s="6" t="n">
        <f aca="false">G1368*I1368</f>
        <v>840</v>
      </c>
      <c r="O1368" s="6" t="n">
        <f aca="false">M1368-N1368</f>
        <v>758</v>
      </c>
      <c r="P1368" s="21" t="n">
        <f aca="false">IFERROR(O1368/M1368,0)</f>
        <v>0.474342928660826</v>
      </c>
      <c r="Q1368" s="6" t="str">
        <f aca="false">Orders!H1368</f>
        <v>Delivered</v>
      </c>
      <c r="R1368" s="1" t="str">
        <f aca="false">INDEX(Customers!$C$2:$C$301,MATCH(C1368,Customers!$A$2:$A$301,0))</f>
        <v>Kochi</v>
      </c>
      <c r="S1368" s="1" t="str">
        <f aca="false">INDEX(Customers!$E$2:$E$301,MATCH(C1368,Customers!$A$2:$A$301,0))</f>
        <v>Returning</v>
      </c>
      <c r="T1368" s="6" t="str">
        <f aca="false">Orders!I1368</f>
        <v>Website</v>
      </c>
      <c r="U1368" s="1" t="str">
        <f aca="false">IF(Q1368="Delivered","Completed",IF(Q1368="Cancelled","Cancelled",IF(Q1368="Returned","Returned","In Progress")))</f>
        <v>Completed</v>
      </c>
      <c r="V1368" s="1" t="str">
        <f aca="false">IF(M1368&gt;=10000,"High Value",IF(M1368&gt;=5000,"Medium Value","Low Value"))</f>
        <v>Low Value</v>
      </c>
      <c r="W1368" s="1" t="str">
        <f aca="false">IF(O1368&gt;0,"Profitable",IF(O1368=0,"Break-even","Loss"))</f>
        <v>Profitable</v>
      </c>
      <c r="X1368" s="1" t="str">
        <f aca="false">IF(Q1368="Cancelled","Not Applicable",IF(Q1368="Processing","Pending",IF(B1368="","Unknown",IF(Orders!J1368="","Unknown",IF(Orders!J1368&lt;=3,"Fast",IF(Orders!J1368&lt;=6,"Standard","Slow"))))))</f>
        <v>Standard</v>
      </c>
      <c r="Y1368" s="1" t="n">
        <f aca="false">IF(OR(Q1368="Cancelled",Q1368="Returned"),0,O1368)</f>
        <v>758</v>
      </c>
    </row>
    <row r="1369" customFormat="false" ht="15" hidden="false" customHeight="false" outlineLevel="0" collapsed="false">
      <c r="A1369" s="6" t="str">
        <f aca="false">Orders!A1369</f>
        <v>O001368</v>
      </c>
      <c r="B1369" s="19" t="n">
        <f aca="false">Orders!B1369</f>
        <v>45800</v>
      </c>
      <c r="C1369" s="6" t="str">
        <f aca="false">Orders!C1369</f>
        <v>C0140</v>
      </c>
      <c r="D1369" s="6" t="str">
        <f aca="false">Orders!D1369</f>
        <v>P1027</v>
      </c>
      <c r="E1369" s="6" t="str">
        <f aca="false">INDEX(Products!$B$2:$B$101,MATCH(D1369,Products!$A$2:$A$101,0))</f>
        <v>Belt</v>
      </c>
      <c r="F1369" s="1" t="str">
        <f aca="false">INDEX(Products!$C$2:$C$101,MATCH(D1369,Products!$A$2:$A$101,0))</f>
        <v>Fashion</v>
      </c>
      <c r="G1369" s="6" t="n">
        <f aca="false">Orders!E1369</f>
        <v>1</v>
      </c>
      <c r="H1369" s="16" t="n">
        <f aca="false">INDEX(Products!$D$2:$D$101,MATCH(D1369,Products!$A$2:$A$101,0))</f>
        <v>399</v>
      </c>
      <c r="I1369" s="16" t="n">
        <f aca="false">INDEX(Products!$E$2:$E$101,MATCH(D1369,Products!$A$2:$A$101,0))</f>
        <v>160</v>
      </c>
      <c r="J1369" s="20" t="n">
        <f aca="false">Orders!F1369</f>
        <v>0.1</v>
      </c>
      <c r="K1369" s="6" t="n">
        <f aca="false">G1369*H1369</f>
        <v>399</v>
      </c>
      <c r="L1369" s="6" t="n">
        <f aca="false">K1369*J1369</f>
        <v>39.9</v>
      </c>
      <c r="M1369" s="6" t="n">
        <f aca="false">K1369-L1369</f>
        <v>359.1</v>
      </c>
      <c r="N1369" s="6" t="n">
        <f aca="false">G1369*I1369</f>
        <v>160</v>
      </c>
      <c r="O1369" s="6" t="n">
        <f aca="false">M1369-N1369</f>
        <v>199.1</v>
      </c>
      <c r="P1369" s="21" t="n">
        <f aca="false">IFERROR(O1369/M1369,0)</f>
        <v>0.554441659704818</v>
      </c>
      <c r="Q1369" s="6" t="str">
        <f aca="false">Orders!H1369</f>
        <v>Delivered</v>
      </c>
      <c r="R1369" s="1" t="str">
        <f aca="false">INDEX(Customers!$C$2:$C$301,MATCH(C1369,Customers!$A$2:$A$301,0))</f>
        <v>Visakhapatnam</v>
      </c>
      <c r="S1369" s="1" t="str">
        <f aca="false">INDEX(Customers!$E$2:$E$301,MATCH(C1369,Customers!$A$2:$A$301,0))</f>
        <v>New</v>
      </c>
      <c r="T1369" s="6" t="str">
        <f aca="false">Orders!I1369</f>
        <v>Website</v>
      </c>
      <c r="U1369" s="1" t="str">
        <f aca="false">IF(Q1369="Delivered","Completed",IF(Q1369="Cancelled","Cancelled",IF(Q1369="Returned","Returned","In Progress")))</f>
        <v>Completed</v>
      </c>
      <c r="V1369" s="1" t="str">
        <f aca="false">IF(M1369&gt;=10000,"High Value",IF(M1369&gt;=5000,"Medium Value","Low Value"))</f>
        <v>Low Value</v>
      </c>
      <c r="W1369" s="1" t="str">
        <f aca="false">IF(O1369&gt;0,"Profitable",IF(O1369=0,"Break-even","Loss"))</f>
        <v>Profitable</v>
      </c>
      <c r="X1369" s="1" t="str">
        <f aca="false">IF(Q1369="Cancelled","Not Applicable",IF(Q1369="Processing","Pending",IF(B1369="","Unknown",IF(Orders!J1369="","Unknown",IF(Orders!J1369&lt;=3,"Fast",IF(Orders!J1369&lt;=6,"Standard","Slow"))))))</f>
        <v>Fast</v>
      </c>
      <c r="Y1369" s="1" t="n">
        <f aca="false">IF(OR(Q1369="Cancelled",Q1369="Returned"),0,O1369)</f>
        <v>199.1</v>
      </c>
    </row>
    <row r="1370" customFormat="false" ht="15" hidden="false" customHeight="false" outlineLevel="0" collapsed="false">
      <c r="A1370" s="6" t="str">
        <f aca="false">Orders!A1370</f>
        <v>O001369</v>
      </c>
      <c r="B1370" s="19" t="n">
        <f aca="false">Orders!B1370</f>
        <v>45934</v>
      </c>
      <c r="C1370" s="6" t="str">
        <f aca="false">Orders!C1370</f>
        <v>C0100</v>
      </c>
      <c r="D1370" s="6" t="str">
        <f aca="false">Orders!D1370</f>
        <v>P1098</v>
      </c>
      <c r="E1370" s="6" t="str">
        <f aca="false">INDEX(Products!$B$2:$B$101,MATCH(D1370,Products!$A$2:$A$101,0))</f>
        <v>Steam Iron</v>
      </c>
      <c r="F1370" s="1" t="str">
        <f aca="false">INDEX(Products!$C$2:$C$101,MATCH(D1370,Products!$A$2:$A$101,0))</f>
        <v>Appliances</v>
      </c>
      <c r="G1370" s="6" t="n">
        <f aca="false">Orders!E1370</f>
        <v>3</v>
      </c>
      <c r="H1370" s="16" t="n">
        <f aca="false">INDEX(Products!$D$2:$D$101,MATCH(D1370,Products!$A$2:$A$101,0))</f>
        <v>999</v>
      </c>
      <c r="I1370" s="16" t="n">
        <f aca="false">INDEX(Products!$E$2:$E$101,MATCH(D1370,Products!$A$2:$A$101,0))</f>
        <v>550</v>
      </c>
      <c r="J1370" s="20" t="n">
        <f aca="false">Orders!F1370</f>
        <v>0.05</v>
      </c>
      <c r="K1370" s="6" t="n">
        <f aca="false">G1370*H1370</f>
        <v>2997</v>
      </c>
      <c r="L1370" s="6" t="n">
        <f aca="false">K1370*J1370</f>
        <v>149.85</v>
      </c>
      <c r="M1370" s="6" t="n">
        <f aca="false">K1370-L1370</f>
        <v>2847.15</v>
      </c>
      <c r="N1370" s="6" t="n">
        <f aca="false">G1370*I1370</f>
        <v>1650</v>
      </c>
      <c r="O1370" s="6" t="n">
        <f aca="false">M1370-N1370</f>
        <v>1197.15</v>
      </c>
      <c r="P1370" s="21" t="n">
        <f aca="false">IFERROR(O1370/M1370,0)</f>
        <v>0.420473104683631</v>
      </c>
      <c r="Q1370" s="6" t="str">
        <f aca="false">Orders!H1370</f>
        <v>Delivered</v>
      </c>
      <c r="R1370" s="1" t="str">
        <f aca="false">INDEX(Customers!$C$2:$C$301,MATCH(C1370,Customers!$A$2:$A$301,0))</f>
        <v>Visakhapatnam</v>
      </c>
      <c r="S1370" s="1" t="str">
        <f aca="false">INDEX(Customers!$E$2:$E$301,MATCH(C1370,Customers!$A$2:$A$301,0))</f>
        <v>New</v>
      </c>
      <c r="T1370" s="6" t="str">
        <f aca="false">Orders!I1370</f>
        <v>Website</v>
      </c>
      <c r="U1370" s="1" t="str">
        <f aca="false">IF(Q1370="Delivered","Completed",IF(Q1370="Cancelled","Cancelled",IF(Q1370="Returned","Returned","In Progress")))</f>
        <v>Completed</v>
      </c>
      <c r="V1370" s="1" t="str">
        <f aca="false">IF(M1370&gt;=10000,"High Value",IF(M1370&gt;=5000,"Medium Value","Low Value"))</f>
        <v>Low Value</v>
      </c>
      <c r="W1370" s="1" t="str">
        <f aca="false">IF(O1370&gt;0,"Profitable",IF(O1370=0,"Break-even","Loss"))</f>
        <v>Profitable</v>
      </c>
      <c r="X1370" s="1" t="str">
        <f aca="false">IF(Q1370="Cancelled","Not Applicable",IF(Q1370="Processing","Pending",IF(B1370="","Unknown",IF(Orders!J1370="","Unknown",IF(Orders!J1370&lt;=3,"Fast",IF(Orders!J1370&lt;=6,"Standard","Slow"))))))</f>
        <v>Standard</v>
      </c>
      <c r="Y1370" s="1" t="n">
        <f aca="false">IF(OR(Q1370="Cancelled",Q1370="Returned"),0,O1370)</f>
        <v>1197.15</v>
      </c>
    </row>
    <row r="1371" customFormat="false" ht="23.85" hidden="false" customHeight="false" outlineLevel="0" collapsed="false">
      <c r="A1371" s="6" t="str">
        <f aca="false">Orders!A1371</f>
        <v>O001370</v>
      </c>
      <c r="B1371" s="19" t="n">
        <f aca="false">Orders!B1371</f>
        <v>45892</v>
      </c>
      <c r="C1371" s="6" t="str">
        <f aca="false">Orders!C1371</f>
        <v>C0015</v>
      </c>
      <c r="D1371" s="6" t="str">
        <f aca="false">Orders!D1371</f>
        <v>P1093</v>
      </c>
      <c r="E1371" s="6" t="str">
        <f aca="false">INDEX(Products!$B$2:$B$101,MATCH(D1371,Products!$A$2:$A$101,0))</f>
        <v>Induction Cooktop</v>
      </c>
      <c r="F1371" s="1" t="str">
        <f aca="false">INDEX(Products!$C$2:$C$101,MATCH(D1371,Products!$A$2:$A$101,0))</f>
        <v>Appliances</v>
      </c>
      <c r="G1371" s="6" t="n">
        <f aca="false">Orders!E1371</f>
        <v>1</v>
      </c>
      <c r="H1371" s="16" t="n">
        <f aca="false">INDEX(Products!$D$2:$D$101,MATCH(D1371,Products!$A$2:$A$101,0))</f>
        <v>2299</v>
      </c>
      <c r="I1371" s="16" t="n">
        <f aca="false">INDEX(Products!$E$2:$E$101,MATCH(D1371,Products!$A$2:$A$101,0))</f>
        <v>1450</v>
      </c>
      <c r="J1371" s="20" t="n">
        <f aca="false">Orders!F1371</f>
        <v>0</v>
      </c>
      <c r="K1371" s="6" t="n">
        <f aca="false">G1371*H1371</f>
        <v>2299</v>
      </c>
      <c r="L1371" s="6" t="n">
        <f aca="false">K1371*J1371</f>
        <v>0</v>
      </c>
      <c r="M1371" s="6" t="n">
        <f aca="false">K1371-L1371</f>
        <v>2299</v>
      </c>
      <c r="N1371" s="6" t="n">
        <f aca="false">G1371*I1371</f>
        <v>1450</v>
      </c>
      <c r="O1371" s="6" t="n">
        <f aca="false">M1371-N1371</f>
        <v>849</v>
      </c>
      <c r="P1371" s="21" t="n">
        <f aca="false">IFERROR(O1371/M1371,0)</f>
        <v>0.369290996085254</v>
      </c>
      <c r="Q1371" s="6" t="str">
        <f aca="false">Orders!H1371</f>
        <v>Delivered</v>
      </c>
      <c r="R1371" s="1" t="str">
        <f aca="false">INDEX(Customers!$C$2:$C$301,MATCH(C1371,Customers!$A$2:$A$301,0))</f>
        <v>Bhopal</v>
      </c>
      <c r="S1371" s="1" t="str">
        <f aca="false">INDEX(Customers!$E$2:$E$301,MATCH(C1371,Customers!$A$2:$A$301,0))</f>
        <v>Returning</v>
      </c>
      <c r="T1371" s="6" t="str">
        <f aca="false">Orders!I1371</f>
        <v>Mobile App</v>
      </c>
      <c r="U1371" s="1" t="str">
        <f aca="false">IF(Q1371="Delivered","Completed",IF(Q1371="Cancelled","Cancelled",IF(Q1371="Returned","Returned","In Progress")))</f>
        <v>Completed</v>
      </c>
      <c r="V1371" s="1" t="str">
        <f aca="false">IF(M1371&gt;=10000,"High Value",IF(M1371&gt;=5000,"Medium Value","Low Value"))</f>
        <v>Low Value</v>
      </c>
      <c r="W1371" s="1" t="str">
        <f aca="false">IF(O1371&gt;0,"Profitable",IF(O1371=0,"Break-even","Loss"))</f>
        <v>Profitable</v>
      </c>
      <c r="X1371" s="1" t="str">
        <f aca="false">IF(Q1371="Cancelled","Not Applicable",IF(Q1371="Processing","Pending",IF(B1371="","Unknown",IF(Orders!J1371="","Unknown",IF(Orders!J1371&lt;=3,"Fast",IF(Orders!J1371&lt;=6,"Standard","Slow"))))))</f>
        <v>Fast</v>
      </c>
      <c r="Y1371" s="1" t="n">
        <f aca="false">IF(OR(Q1371="Cancelled",Q1371="Returned"),0,O1371)</f>
        <v>849</v>
      </c>
    </row>
    <row r="1372" customFormat="false" ht="23.85" hidden="false" customHeight="false" outlineLevel="0" collapsed="false">
      <c r="A1372" s="6" t="str">
        <f aca="false">Orders!A1372</f>
        <v>O001371</v>
      </c>
      <c r="B1372" s="19" t="n">
        <f aca="false">Orders!B1372</f>
        <v>45929</v>
      </c>
      <c r="C1372" s="6" t="str">
        <f aca="false">Orders!C1372</f>
        <v>C0093</v>
      </c>
      <c r="D1372" s="6" t="str">
        <f aca="false">Orders!D1372</f>
        <v>P1065</v>
      </c>
      <c r="E1372" s="6" t="str">
        <f aca="false">INDEX(Products!$B$2:$B$101,MATCH(D1372,Products!$A$2:$A$101,0))</f>
        <v>Badminton Racket</v>
      </c>
      <c r="F1372" s="1" t="str">
        <f aca="false">INDEX(Products!$C$2:$C$101,MATCH(D1372,Products!$A$2:$A$101,0))</f>
        <v>Sports &amp; Outdoors</v>
      </c>
      <c r="G1372" s="6" t="n">
        <f aca="false">Orders!E1372</f>
        <v>1</v>
      </c>
      <c r="H1372" s="16" t="n">
        <f aca="false">INDEX(Products!$D$2:$D$101,MATCH(D1372,Products!$A$2:$A$101,0))</f>
        <v>999</v>
      </c>
      <c r="I1372" s="16" t="n">
        <f aca="false">INDEX(Products!$E$2:$E$101,MATCH(D1372,Products!$A$2:$A$101,0))</f>
        <v>520</v>
      </c>
      <c r="J1372" s="20" t="n">
        <f aca="false">Orders!F1372</f>
        <v>0.1</v>
      </c>
      <c r="K1372" s="6" t="n">
        <f aca="false">G1372*H1372</f>
        <v>999</v>
      </c>
      <c r="L1372" s="6" t="n">
        <f aca="false">K1372*J1372</f>
        <v>99.9</v>
      </c>
      <c r="M1372" s="6" t="n">
        <f aca="false">K1372-L1372</f>
        <v>899.1</v>
      </c>
      <c r="N1372" s="6" t="n">
        <f aca="false">G1372*I1372</f>
        <v>520</v>
      </c>
      <c r="O1372" s="6" t="n">
        <f aca="false">M1372-N1372</f>
        <v>379.1</v>
      </c>
      <c r="P1372" s="21" t="n">
        <f aca="false">IFERROR(O1372/M1372,0)</f>
        <v>0.421643866088311</v>
      </c>
      <c r="Q1372" s="6" t="str">
        <f aca="false">Orders!H1372</f>
        <v>Delivered</v>
      </c>
      <c r="R1372" s="1" t="str">
        <f aca="false">INDEX(Customers!$C$2:$C$301,MATCH(C1372,Customers!$A$2:$A$301,0))</f>
        <v>Kochi</v>
      </c>
      <c r="S1372" s="1" t="str">
        <f aca="false">INDEX(Customers!$E$2:$E$301,MATCH(C1372,Customers!$A$2:$A$301,0))</f>
        <v>Returning</v>
      </c>
      <c r="T1372" s="6" t="str">
        <f aca="false">Orders!I1372</f>
        <v>Website</v>
      </c>
      <c r="U1372" s="1" t="str">
        <f aca="false">IF(Q1372="Delivered","Completed",IF(Q1372="Cancelled","Cancelled",IF(Q1372="Returned","Returned","In Progress")))</f>
        <v>Completed</v>
      </c>
      <c r="V1372" s="1" t="str">
        <f aca="false">IF(M1372&gt;=10000,"High Value",IF(M1372&gt;=5000,"Medium Value","Low Value"))</f>
        <v>Low Value</v>
      </c>
      <c r="W1372" s="1" t="str">
        <f aca="false">IF(O1372&gt;0,"Profitable",IF(O1372=0,"Break-even","Loss"))</f>
        <v>Profitable</v>
      </c>
      <c r="X1372" s="1" t="str">
        <f aca="false">IF(Q1372="Cancelled","Not Applicable",IF(Q1372="Processing","Pending",IF(B1372="","Unknown",IF(Orders!J1372="","Unknown",IF(Orders!J1372&lt;=3,"Fast",IF(Orders!J1372&lt;=6,"Standard","Slow"))))))</f>
        <v>Standard</v>
      </c>
      <c r="Y1372" s="1" t="n">
        <f aca="false">IF(OR(Q1372="Cancelled",Q1372="Returned"),0,O1372)</f>
        <v>379.1</v>
      </c>
    </row>
    <row r="1373" customFormat="false" ht="15" hidden="false" customHeight="false" outlineLevel="0" collapsed="false">
      <c r="A1373" s="6" t="str">
        <f aca="false">Orders!A1373</f>
        <v>O001372</v>
      </c>
      <c r="B1373" s="19" t="n">
        <f aca="false">Orders!B1373</f>
        <v>45739</v>
      </c>
      <c r="C1373" s="6" t="str">
        <f aca="false">Orders!C1373</f>
        <v>C0200</v>
      </c>
      <c r="D1373" s="6" t="str">
        <f aca="false">Orders!D1373</f>
        <v>P1028</v>
      </c>
      <c r="E1373" s="6" t="str">
        <f aca="false">INDEX(Products!$B$2:$B$101,MATCH(D1373,Products!$A$2:$A$101,0))</f>
        <v>Sneakers</v>
      </c>
      <c r="F1373" s="1" t="str">
        <f aca="false">INDEX(Products!$C$2:$C$101,MATCH(D1373,Products!$A$2:$A$101,0))</f>
        <v>Fashion</v>
      </c>
      <c r="G1373" s="6" t="n">
        <f aca="false">Orders!E1373</f>
        <v>1</v>
      </c>
      <c r="H1373" s="16" t="n">
        <f aca="false">INDEX(Products!$D$2:$D$101,MATCH(D1373,Products!$A$2:$A$101,0))</f>
        <v>1799</v>
      </c>
      <c r="I1373" s="16" t="n">
        <f aca="false">INDEX(Products!$E$2:$E$101,MATCH(D1373,Products!$A$2:$A$101,0))</f>
        <v>950</v>
      </c>
      <c r="J1373" s="20" t="n">
        <f aca="false">Orders!F1373</f>
        <v>0.05</v>
      </c>
      <c r="K1373" s="6" t="n">
        <f aca="false">G1373*H1373</f>
        <v>1799</v>
      </c>
      <c r="L1373" s="6" t="n">
        <f aca="false">K1373*J1373</f>
        <v>89.95</v>
      </c>
      <c r="M1373" s="6" t="n">
        <f aca="false">K1373-L1373</f>
        <v>1709.05</v>
      </c>
      <c r="N1373" s="6" t="n">
        <f aca="false">G1373*I1373</f>
        <v>950</v>
      </c>
      <c r="O1373" s="6" t="n">
        <f aca="false">M1373-N1373</f>
        <v>759.05</v>
      </c>
      <c r="P1373" s="21" t="n">
        <f aca="false">IFERROR(O1373/M1373,0)</f>
        <v>0.444135630906059</v>
      </c>
      <c r="Q1373" s="6" t="str">
        <f aca="false">Orders!H1373</f>
        <v>Delivered</v>
      </c>
      <c r="R1373" s="1" t="str">
        <f aca="false">INDEX(Customers!$C$2:$C$301,MATCH(C1373,Customers!$A$2:$A$301,0))</f>
        <v>Visakhapatnam</v>
      </c>
      <c r="S1373" s="1" t="str">
        <f aca="false">INDEX(Customers!$E$2:$E$301,MATCH(C1373,Customers!$A$2:$A$301,0))</f>
        <v>New</v>
      </c>
      <c r="T1373" s="6" t="str">
        <f aca="false">Orders!I1373</f>
        <v>Mobile App</v>
      </c>
      <c r="U1373" s="1" t="str">
        <f aca="false">IF(Q1373="Delivered","Completed",IF(Q1373="Cancelled","Cancelled",IF(Q1373="Returned","Returned","In Progress")))</f>
        <v>Completed</v>
      </c>
      <c r="V1373" s="1" t="str">
        <f aca="false">IF(M1373&gt;=10000,"High Value",IF(M1373&gt;=5000,"Medium Value","Low Value"))</f>
        <v>Low Value</v>
      </c>
      <c r="W1373" s="1" t="str">
        <f aca="false">IF(O1373&gt;0,"Profitable",IF(O1373=0,"Break-even","Loss"))</f>
        <v>Profitable</v>
      </c>
      <c r="X1373" s="1" t="str">
        <f aca="false">IF(Q1373="Cancelled","Not Applicable",IF(Q1373="Processing","Pending",IF(B1373="","Unknown",IF(Orders!J1373="","Unknown",IF(Orders!J1373&lt;=3,"Fast",IF(Orders!J1373&lt;=6,"Standard","Slow"))))))</f>
        <v>Fast</v>
      </c>
      <c r="Y1373" s="1" t="n">
        <f aca="false">IF(OR(Q1373="Cancelled",Q1373="Returned"),0,O1373)</f>
        <v>759.05</v>
      </c>
    </row>
    <row r="1374" customFormat="false" ht="15" hidden="false" customHeight="false" outlineLevel="0" collapsed="false">
      <c r="A1374" s="6" t="str">
        <f aca="false">Orders!A1374</f>
        <v>O001373</v>
      </c>
      <c r="B1374" s="19" t="n">
        <f aca="false">Orders!B1374</f>
        <v>45894</v>
      </c>
      <c r="C1374" s="6" t="str">
        <f aca="false">Orders!C1374</f>
        <v>C0213</v>
      </c>
      <c r="D1374" s="6" t="str">
        <f aca="false">Orders!D1374</f>
        <v>P1075</v>
      </c>
      <c r="E1374" s="6" t="str">
        <f aca="false">INDEX(Products!$B$2:$B$101,MATCH(D1374,Products!$A$2:$A$101,0))</f>
        <v>Ball Pen Set</v>
      </c>
      <c r="F1374" s="1" t="str">
        <f aca="false">INDEX(Products!$C$2:$C$101,MATCH(D1374,Products!$A$2:$A$101,0))</f>
        <v>Books &amp; Stationery</v>
      </c>
      <c r="G1374" s="6" t="n">
        <f aca="false">Orders!E1374</f>
        <v>5</v>
      </c>
      <c r="H1374" s="16" t="n">
        <f aca="false">INDEX(Products!$D$2:$D$101,MATCH(D1374,Products!$A$2:$A$101,0))</f>
        <v>199</v>
      </c>
      <c r="I1374" s="16" t="n">
        <f aca="false">INDEX(Products!$E$2:$E$101,MATCH(D1374,Products!$A$2:$A$101,0))</f>
        <v>65</v>
      </c>
      <c r="J1374" s="20" t="n">
        <f aca="false">Orders!F1374</f>
        <v>0.2</v>
      </c>
      <c r="K1374" s="6" t="n">
        <f aca="false">G1374*H1374</f>
        <v>995</v>
      </c>
      <c r="L1374" s="6" t="n">
        <f aca="false">K1374*J1374</f>
        <v>199</v>
      </c>
      <c r="M1374" s="6" t="n">
        <f aca="false">K1374-L1374</f>
        <v>796</v>
      </c>
      <c r="N1374" s="6" t="n">
        <f aca="false">G1374*I1374</f>
        <v>325</v>
      </c>
      <c r="O1374" s="6" t="n">
        <f aca="false">M1374-N1374</f>
        <v>471</v>
      </c>
      <c r="P1374" s="21" t="n">
        <f aca="false">IFERROR(O1374/M1374,0)</f>
        <v>0.591708542713568</v>
      </c>
      <c r="Q1374" s="6" t="str">
        <f aca="false">Orders!H1374</f>
        <v>Delivered</v>
      </c>
      <c r="R1374" s="1" t="str">
        <f aca="false">INDEX(Customers!$C$2:$C$301,MATCH(C1374,Customers!$A$2:$A$301,0))</f>
        <v>Kochi</v>
      </c>
      <c r="S1374" s="1" t="str">
        <f aca="false">INDEX(Customers!$E$2:$E$301,MATCH(C1374,Customers!$A$2:$A$301,0))</f>
        <v>New</v>
      </c>
      <c r="T1374" s="6" t="str">
        <f aca="false">Orders!I1374</f>
        <v>Marketplace</v>
      </c>
      <c r="U1374" s="1" t="str">
        <f aca="false">IF(Q1374="Delivered","Completed",IF(Q1374="Cancelled","Cancelled",IF(Q1374="Returned","Returned","In Progress")))</f>
        <v>Completed</v>
      </c>
      <c r="V1374" s="1" t="str">
        <f aca="false">IF(M1374&gt;=10000,"High Value",IF(M1374&gt;=5000,"Medium Value","Low Value"))</f>
        <v>Low Value</v>
      </c>
      <c r="W1374" s="1" t="str">
        <f aca="false">IF(O1374&gt;0,"Profitable",IF(O1374=0,"Break-even","Loss"))</f>
        <v>Profitable</v>
      </c>
      <c r="X1374" s="1" t="str">
        <f aca="false">IF(Q1374="Cancelled","Not Applicable",IF(Q1374="Processing","Pending",IF(B1374="","Unknown",IF(Orders!J1374="","Unknown",IF(Orders!J1374&lt;=3,"Fast",IF(Orders!J1374&lt;=6,"Standard","Slow"))))))</f>
        <v>Slow</v>
      </c>
      <c r="Y1374" s="1" t="n">
        <f aca="false">IF(OR(Q1374="Cancelled",Q1374="Returned"),0,O1374)</f>
        <v>471</v>
      </c>
    </row>
    <row r="1375" customFormat="false" ht="15" hidden="false" customHeight="false" outlineLevel="0" collapsed="false">
      <c r="A1375" s="6" t="str">
        <f aca="false">Orders!A1375</f>
        <v>O001374</v>
      </c>
      <c r="B1375" s="19" t="n">
        <f aca="false">Orders!B1375</f>
        <v>45687</v>
      </c>
      <c r="C1375" s="6" t="str">
        <f aca="false">Orders!C1375</f>
        <v>C0200</v>
      </c>
      <c r="D1375" s="6" t="str">
        <f aca="false">Orders!D1375</f>
        <v>P1078</v>
      </c>
      <c r="E1375" s="6" t="str">
        <f aca="false">INDEX(Products!$B$2:$B$101,MATCH(D1375,Products!$A$2:$A$101,0))</f>
        <v>Sketchbook</v>
      </c>
      <c r="F1375" s="1" t="str">
        <f aca="false">INDEX(Products!$C$2:$C$101,MATCH(D1375,Products!$A$2:$A$101,0))</f>
        <v>Books &amp; Stationery</v>
      </c>
      <c r="G1375" s="6" t="n">
        <f aca="false">Orders!E1375</f>
        <v>1</v>
      </c>
      <c r="H1375" s="16" t="n">
        <f aca="false">INDEX(Products!$D$2:$D$101,MATCH(D1375,Products!$A$2:$A$101,0))</f>
        <v>249</v>
      </c>
      <c r="I1375" s="16" t="n">
        <f aca="false">INDEX(Products!$E$2:$E$101,MATCH(D1375,Products!$A$2:$A$101,0))</f>
        <v>90</v>
      </c>
      <c r="J1375" s="20" t="n">
        <f aca="false">Orders!F1375</f>
        <v>0.15</v>
      </c>
      <c r="K1375" s="6" t="n">
        <f aca="false">G1375*H1375</f>
        <v>249</v>
      </c>
      <c r="L1375" s="6" t="n">
        <f aca="false">K1375*J1375</f>
        <v>37.35</v>
      </c>
      <c r="M1375" s="6" t="n">
        <f aca="false">K1375-L1375</f>
        <v>211.65</v>
      </c>
      <c r="N1375" s="6" t="n">
        <f aca="false">G1375*I1375</f>
        <v>90</v>
      </c>
      <c r="O1375" s="6" t="n">
        <f aca="false">M1375-N1375</f>
        <v>121.65</v>
      </c>
      <c r="P1375" s="21" t="n">
        <f aca="false">IFERROR(O1375/M1375,0)</f>
        <v>0.574769666902906</v>
      </c>
      <c r="Q1375" s="6" t="str">
        <f aca="false">Orders!H1375</f>
        <v>Delivered</v>
      </c>
      <c r="R1375" s="1" t="str">
        <f aca="false">INDEX(Customers!$C$2:$C$301,MATCH(C1375,Customers!$A$2:$A$301,0))</f>
        <v>Visakhapatnam</v>
      </c>
      <c r="S1375" s="1" t="str">
        <f aca="false">INDEX(Customers!$E$2:$E$301,MATCH(C1375,Customers!$A$2:$A$301,0))</f>
        <v>New</v>
      </c>
      <c r="T1375" s="6" t="str">
        <f aca="false">Orders!I1375</f>
        <v>Marketplace</v>
      </c>
      <c r="U1375" s="1" t="str">
        <f aca="false">IF(Q1375="Delivered","Completed",IF(Q1375="Cancelled","Cancelled",IF(Q1375="Returned","Returned","In Progress")))</f>
        <v>Completed</v>
      </c>
      <c r="V1375" s="1" t="str">
        <f aca="false">IF(M1375&gt;=10000,"High Value",IF(M1375&gt;=5000,"Medium Value","Low Value"))</f>
        <v>Low Value</v>
      </c>
      <c r="W1375" s="1" t="str">
        <f aca="false">IF(O1375&gt;0,"Profitable",IF(O1375=0,"Break-even","Loss"))</f>
        <v>Profitable</v>
      </c>
      <c r="X1375" s="1" t="str">
        <f aca="false">IF(Q1375="Cancelled","Not Applicable",IF(Q1375="Processing","Pending",IF(B1375="","Unknown",IF(Orders!J1375="","Unknown",IF(Orders!J1375&lt;=3,"Fast",IF(Orders!J1375&lt;=6,"Standard","Slow"))))))</f>
        <v>Fast</v>
      </c>
      <c r="Y1375" s="1" t="n">
        <f aca="false">IF(OR(Q1375="Cancelled",Q1375="Returned"),0,O1375)</f>
        <v>121.65</v>
      </c>
    </row>
    <row r="1376" customFormat="false" ht="15" hidden="false" customHeight="false" outlineLevel="0" collapsed="false">
      <c r="A1376" s="6" t="str">
        <f aca="false">Orders!A1376</f>
        <v>O001375</v>
      </c>
      <c r="B1376" s="19" t="n">
        <f aca="false">Orders!B1376</f>
        <v>45860</v>
      </c>
      <c r="C1376" s="6" t="str">
        <f aca="false">Orders!C1376</f>
        <v>C0203</v>
      </c>
      <c r="D1376" s="6" t="str">
        <f aca="false">Orders!D1376</f>
        <v>P1004</v>
      </c>
      <c r="E1376" s="6" t="str">
        <f aca="false">INDEX(Products!$B$2:$B$101,MATCH(D1376,Products!$A$2:$A$101,0))</f>
        <v>USB-C Cable</v>
      </c>
      <c r="F1376" s="1" t="str">
        <f aca="false">INDEX(Products!$C$2:$C$101,MATCH(D1376,Products!$A$2:$A$101,0))</f>
        <v>Electronics</v>
      </c>
      <c r="G1376" s="6" t="n">
        <f aca="false">Orders!E1376</f>
        <v>2</v>
      </c>
      <c r="H1376" s="16" t="n">
        <f aca="false">INDEX(Products!$D$2:$D$101,MATCH(D1376,Products!$A$2:$A$101,0))</f>
        <v>299</v>
      </c>
      <c r="I1376" s="16" t="n">
        <f aca="false">INDEX(Products!$E$2:$E$101,MATCH(D1376,Products!$A$2:$A$101,0))</f>
        <v>120</v>
      </c>
      <c r="J1376" s="20" t="n">
        <f aca="false">Orders!F1376</f>
        <v>0.1</v>
      </c>
      <c r="K1376" s="6" t="n">
        <f aca="false">G1376*H1376</f>
        <v>598</v>
      </c>
      <c r="L1376" s="6" t="n">
        <f aca="false">K1376*J1376</f>
        <v>59.8</v>
      </c>
      <c r="M1376" s="6" t="n">
        <f aca="false">K1376-L1376</f>
        <v>538.2</v>
      </c>
      <c r="N1376" s="6" t="n">
        <f aca="false">G1376*I1376</f>
        <v>240</v>
      </c>
      <c r="O1376" s="6" t="n">
        <f aca="false">M1376-N1376</f>
        <v>298.2</v>
      </c>
      <c r="P1376" s="21" t="n">
        <f aca="false">IFERROR(O1376/M1376,0)</f>
        <v>0.554069119286511</v>
      </c>
      <c r="Q1376" s="6" t="str">
        <f aca="false">Orders!H1376</f>
        <v>Delivered</v>
      </c>
      <c r="R1376" s="1" t="str">
        <f aca="false">INDEX(Customers!$C$2:$C$301,MATCH(C1376,Customers!$A$2:$A$301,0))</f>
        <v>Bengaluru</v>
      </c>
      <c r="S1376" s="1" t="str">
        <f aca="false">INDEX(Customers!$E$2:$E$301,MATCH(C1376,Customers!$A$2:$A$301,0))</f>
        <v>New</v>
      </c>
      <c r="T1376" s="6" t="str">
        <f aca="false">Orders!I1376</f>
        <v>Mobile App</v>
      </c>
      <c r="U1376" s="1" t="str">
        <f aca="false">IF(Q1376="Delivered","Completed",IF(Q1376="Cancelled","Cancelled",IF(Q1376="Returned","Returned","In Progress")))</f>
        <v>Completed</v>
      </c>
      <c r="V1376" s="1" t="str">
        <f aca="false">IF(M1376&gt;=10000,"High Value",IF(M1376&gt;=5000,"Medium Value","Low Value"))</f>
        <v>Low Value</v>
      </c>
      <c r="W1376" s="1" t="str">
        <f aca="false">IF(O1376&gt;0,"Profitable",IF(O1376=0,"Break-even","Loss"))</f>
        <v>Profitable</v>
      </c>
      <c r="X1376" s="1" t="str">
        <f aca="false">IF(Q1376="Cancelled","Not Applicable",IF(Q1376="Processing","Pending",IF(B1376="","Unknown",IF(Orders!J1376="","Unknown",IF(Orders!J1376&lt;=3,"Fast",IF(Orders!J1376&lt;=6,"Standard","Slow"))))))</f>
        <v>Slow</v>
      </c>
      <c r="Y1376" s="1" t="n">
        <f aca="false">IF(OR(Q1376="Cancelled",Q1376="Returned"),0,O1376)</f>
        <v>298.2</v>
      </c>
    </row>
    <row r="1377" customFormat="false" ht="15" hidden="false" customHeight="false" outlineLevel="0" collapsed="false">
      <c r="A1377" s="6" t="str">
        <f aca="false">Orders!A1377</f>
        <v>O001376</v>
      </c>
      <c r="B1377" s="19" t="n">
        <f aca="false">Orders!B1377</f>
        <v>45894</v>
      </c>
      <c r="C1377" s="6" t="str">
        <f aca="false">Orders!C1377</f>
        <v>C0140</v>
      </c>
      <c r="D1377" s="6" t="str">
        <f aca="false">Orders!D1377</f>
        <v>P1017</v>
      </c>
      <c r="E1377" s="6" t="str">
        <f aca="false">INDEX(Products!$B$2:$B$101,MATCH(D1377,Products!$A$2:$A$101,0))</f>
        <v>Denim Jeans</v>
      </c>
      <c r="F1377" s="1" t="str">
        <f aca="false">INDEX(Products!$C$2:$C$101,MATCH(D1377,Products!$A$2:$A$101,0))</f>
        <v>Fashion</v>
      </c>
      <c r="G1377" s="6" t="n">
        <f aca="false">Orders!E1377</f>
        <v>1</v>
      </c>
      <c r="H1377" s="16" t="n">
        <f aca="false">INDEX(Products!$D$2:$D$101,MATCH(D1377,Products!$A$2:$A$101,0))</f>
        <v>1299</v>
      </c>
      <c r="I1377" s="16" t="n">
        <f aca="false">INDEX(Products!$E$2:$E$101,MATCH(D1377,Products!$A$2:$A$101,0))</f>
        <v>650</v>
      </c>
      <c r="J1377" s="20" t="n">
        <f aca="false">Orders!F1377</f>
        <v>0.05</v>
      </c>
      <c r="K1377" s="6" t="n">
        <f aca="false">G1377*H1377</f>
        <v>1299</v>
      </c>
      <c r="L1377" s="6" t="n">
        <f aca="false">K1377*J1377</f>
        <v>64.95</v>
      </c>
      <c r="M1377" s="6" t="n">
        <f aca="false">K1377-L1377</f>
        <v>1234.05</v>
      </c>
      <c r="N1377" s="6" t="n">
        <f aca="false">G1377*I1377</f>
        <v>650</v>
      </c>
      <c r="O1377" s="6" t="n">
        <f aca="false">M1377-N1377</f>
        <v>584.05</v>
      </c>
      <c r="P1377" s="21" t="n">
        <f aca="false">IFERROR(O1377/M1377,0)</f>
        <v>0.473279040557514</v>
      </c>
      <c r="Q1377" s="6" t="str">
        <f aca="false">Orders!H1377</f>
        <v>Shipped</v>
      </c>
      <c r="R1377" s="1" t="str">
        <f aca="false">INDEX(Customers!$C$2:$C$301,MATCH(C1377,Customers!$A$2:$A$301,0))</f>
        <v>Visakhapatnam</v>
      </c>
      <c r="S1377" s="1" t="str">
        <f aca="false">INDEX(Customers!$E$2:$E$301,MATCH(C1377,Customers!$A$2:$A$301,0))</f>
        <v>New</v>
      </c>
      <c r="T1377" s="6" t="str">
        <f aca="false">Orders!I1377</f>
        <v>Mobile App</v>
      </c>
      <c r="U1377" s="1" t="str">
        <f aca="false">IF(Q1377="Delivered","Completed",IF(Q1377="Cancelled","Cancelled",IF(Q1377="Returned","Returned","In Progress")))</f>
        <v>In Progress</v>
      </c>
      <c r="V1377" s="1" t="str">
        <f aca="false">IF(M1377&gt;=10000,"High Value",IF(M1377&gt;=5000,"Medium Value","Low Value"))</f>
        <v>Low Value</v>
      </c>
      <c r="W1377" s="1" t="str">
        <f aca="false">IF(O1377&gt;0,"Profitable",IF(O1377=0,"Break-even","Loss"))</f>
        <v>Profitable</v>
      </c>
      <c r="X1377" s="1" t="str">
        <f aca="false">IF(Q1377="Cancelled","Not Applicable",IF(Q1377="Processing","Pending",IF(B1377="","Unknown",IF(Orders!J1377="","Unknown",IF(Orders!J1377&lt;=3,"Fast",IF(Orders!J1377&lt;=6,"Standard","Slow"))))))</f>
        <v>Fast</v>
      </c>
      <c r="Y1377" s="1" t="n">
        <f aca="false">IF(OR(Q1377="Cancelled",Q1377="Returned"),0,O1377)</f>
        <v>584.05</v>
      </c>
    </row>
    <row r="1378" customFormat="false" ht="15" hidden="false" customHeight="false" outlineLevel="0" collapsed="false">
      <c r="A1378" s="6" t="str">
        <f aca="false">Orders!A1378</f>
        <v>O001377</v>
      </c>
      <c r="B1378" s="19" t="n">
        <f aca="false">Orders!B1378</f>
        <v>45710</v>
      </c>
      <c r="C1378" s="6" t="str">
        <f aca="false">Orders!C1378</f>
        <v>C0228</v>
      </c>
      <c r="D1378" s="6" t="str">
        <f aca="false">Orders!D1378</f>
        <v>P1098</v>
      </c>
      <c r="E1378" s="6" t="str">
        <f aca="false">INDEX(Products!$B$2:$B$101,MATCH(D1378,Products!$A$2:$A$101,0))</f>
        <v>Steam Iron</v>
      </c>
      <c r="F1378" s="1" t="str">
        <f aca="false">INDEX(Products!$C$2:$C$101,MATCH(D1378,Products!$A$2:$A$101,0))</f>
        <v>Appliances</v>
      </c>
      <c r="G1378" s="6" t="n">
        <f aca="false">Orders!E1378</f>
        <v>1</v>
      </c>
      <c r="H1378" s="16" t="n">
        <f aca="false">INDEX(Products!$D$2:$D$101,MATCH(D1378,Products!$A$2:$A$101,0))</f>
        <v>999</v>
      </c>
      <c r="I1378" s="16" t="n">
        <f aca="false">INDEX(Products!$E$2:$E$101,MATCH(D1378,Products!$A$2:$A$101,0))</f>
        <v>550</v>
      </c>
      <c r="J1378" s="20" t="n">
        <f aca="false">Orders!F1378</f>
        <v>0.15</v>
      </c>
      <c r="K1378" s="6" t="n">
        <f aca="false">G1378*H1378</f>
        <v>999</v>
      </c>
      <c r="L1378" s="6" t="n">
        <f aca="false">K1378*J1378</f>
        <v>149.85</v>
      </c>
      <c r="M1378" s="6" t="n">
        <f aca="false">K1378-L1378</f>
        <v>849.15</v>
      </c>
      <c r="N1378" s="6" t="n">
        <f aca="false">G1378*I1378</f>
        <v>550</v>
      </c>
      <c r="O1378" s="6" t="n">
        <f aca="false">M1378-N1378</f>
        <v>299.15</v>
      </c>
      <c r="P1378" s="21" t="n">
        <f aca="false">IFERROR(O1378/M1378,0)</f>
        <v>0.352293469940529</v>
      </c>
      <c r="Q1378" s="6" t="str">
        <f aca="false">Orders!H1378</f>
        <v>Delivered</v>
      </c>
      <c r="R1378" s="1" t="str">
        <f aca="false">INDEX(Customers!$C$2:$C$301,MATCH(C1378,Customers!$A$2:$A$301,0))</f>
        <v>Jaipur</v>
      </c>
      <c r="S1378" s="1" t="str">
        <f aca="false">INDEX(Customers!$E$2:$E$301,MATCH(C1378,Customers!$A$2:$A$301,0))</f>
        <v>Returning</v>
      </c>
      <c r="T1378" s="6" t="str">
        <f aca="false">Orders!I1378</f>
        <v>Mobile App</v>
      </c>
      <c r="U1378" s="1" t="str">
        <f aca="false">IF(Q1378="Delivered","Completed",IF(Q1378="Cancelled","Cancelled",IF(Q1378="Returned","Returned","In Progress")))</f>
        <v>Completed</v>
      </c>
      <c r="V1378" s="1" t="str">
        <f aca="false">IF(M1378&gt;=10000,"High Value",IF(M1378&gt;=5000,"Medium Value","Low Value"))</f>
        <v>Low Value</v>
      </c>
      <c r="W1378" s="1" t="str">
        <f aca="false">IF(O1378&gt;0,"Profitable",IF(O1378=0,"Break-even","Loss"))</f>
        <v>Profitable</v>
      </c>
      <c r="X1378" s="1" t="str">
        <f aca="false">IF(Q1378="Cancelled","Not Applicable",IF(Q1378="Processing","Pending",IF(B1378="","Unknown",IF(Orders!J1378="","Unknown",IF(Orders!J1378&lt;=3,"Fast",IF(Orders!J1378&lt;=6,"Standard","Slow"))))))</f>
        <v>Slow</v>
      </c>
      <c r="Y1378" s="1" t="n">
        <f aca="false">IF(OR(Q1378="Cancelled",Q1378="Returned"),0,O1378)</f>
        <v>299.15</v>
      </c>
    </row>
    <row r="1379" customFormat="false" ht="23.85" hidden="false" customHeight="false" outlineLevel="0" collapsed="false">
      <c r="A1379" s="6" t="str">
        <f aca="false">Orders!A1379</f>
        <v>O001378</v>
      </c>
      <c r="B1379" s="19" t="n">
        <f aca="false">Orders!B1379</f>
        <v>45710</v>
      </c>
      <c r="C1379" s="6" t="str">
        <f aca="false">Orders!C1379</f>
        <v>C0062</v>
      </c>
      <c r="D1379" s="6" t="str">
        <f aca="false">Orders!D1379</f>
        <v>P1047</v>
      </c>
      <c r="E1379" s="6" t="str">
        <f aca="false">INDEX(Products!$B$2:$B$101,MATCH(D1379,Products!$A$2:$A$101,0))</f>
        <v>Sunscreen Lotion</v>
      </c>
      <c r="F1379" s="1" t="str">
        <f aca="false">INDEX(Products!$C$2:$C$101,MATCH(D1379,Products!$A$2:$A$101,0))</f>
        <v>Beauty</v>
      </c>
      <c r="G1379" s="6" t="n">
        <f aca="false">Orders!E1379</f>
        <v>3</v>
      </c>
      <c r="H1379" s="16" t="n">
        <f aca="false">INDEX(Products!$D$2:$D$101,MATCH(D1379,Products!$A$2:$A$101,0))</f>
        <v>399</v>
      </c>
      <c r="I1379" s="16" t="n">
        <f aca="false">INDEX(Products!$E$2:$E$101,MATCH(D1379,Products!$A$2:$A$101,0))</f>
        <v>170</v>
      </c>
      <c r="J1379" s="20" t="n">
        <f aca="false">Orders!F1379</f>
        <v>0.1</v>
      </c>
      <c r="K1379" s="6" t="n">
        <f aca="false">G1379*H1379</f>
        <v>1197</v>
      </c>
      <c r="L1379" s="6" t="n">
        <f aca="false">K1379*J1379</f>
        <v>119.7</v>
      </c>
      <c r="M1379" s="6" t="n">
        <f aca="false">K1379-L1379</f>
        <v>1077.3</v>
      </c>
      <c r="N1379" s="6" t="n">
        <f aca="false">G1379*I1379</f>
        <v>510</v>
      </c>
      <c r="O1379" s="6" t="n">
        <f aca="false">M1379-N1379</f>
        <v>567.3</v>
      </c>
      <c r="P1379" s="21" t="n">
        <f aca="false">IFERROR(O1379/M1379,0)</f>
        <v>0.526594263436369</v>
      </c>
      <c r="Q1379" s="6" t="str">
        <f aca="false">Orders!H1379</f>
        <v>Processing</v>
      </c>
      <c r="R1379" s="1" t="str">
        <f aca="false">INDEX(Customers!$C$2:$C$301,MATCH(C1379,Customers!$A$2:$A$301,0))</f>
        <v>Mumbai</v>
      </c>
      <c r="S1379" s="1" t="str">
        <f aca="false">INDEX(Customers!$E$2:$E$301,MATCH(C1379,Customers!$A$2:$A$301,0))</f>
        <v>VIP</v>
      </c>
      <c r="T1379" s="6" t="str">
        <f aca="false">Orders!I1379</f>
        <v>Website</v>
      </c>
      <c r="U1379" s="1" t="str">
        <f aca="false">IF(Q1379="Delivered","Completed",IF(Q1379="Cancelled","Cancelled",IF(Q1379="Returned","Returned","In Progress")))</f>
        <v>In Progress</v>
      </c>
      <c r="V1379" s="1" t="str">
        <f aca="false">IF(M1379&gt;=10000,"High Value",IF(M1379&gt;=5000,"Medium Value","Low Value"))</f>
        <v>Low Value</v>
      </c>
      <c r="W1379" s="1" t="str">
        <f aca="false">IF(O1379&gt;0,"Profitable",IF(O1379=0,"Break-even","Loss"))</f>
        <v>Profitable</v>
      </c>
      <c r="X1379" s="1" t="str">
        <f aca="false">IF(Q1379="Cancelled","Not Applicable",IF(Q1379="Processing","Pending",IF(B1379="","Unknown",IF(Orders!J1379="","Unknown",IF(Orders!J1379&lt;=3,"Fast",IF(Orders!J1379&lt;=6,"Standard","Slow"))))))</f>
        <v>Pending</v>
      </c>
      <c r="Y1379" s="1" t="n">
        <f aca="false">IF(OR(Q1379="Cancelled",Q1379="Returned"),0,O1379)</f>
        <v>567.3</v>
      </c>
    </row>
    <row r="1380" customFormat="false" ht="15" hidden="false" customHeight="false" outlineLevel="0" collapsed="false">
      <c r="A1380" s="6" t="str">
        <f aca="false">Orders!A1380</f>
        <v>O001379</v>
      </c>
      <c r="B1380" s="19" t="n">
        <f aca="false">Orders!B1380</f>
        <v>45997</v>
      </c>
      <c r="C1380" s="6" t="str">
        <f aca="false">Orders!C1380</f>
        <v>C0265</v>
      </c>
      <c r="D1380" s="6" t="str">
        <f aca="false">Orders!D1380</f>
        <v>P1023</v>
      </c>
      <c r="E1380" s="6" t="str">
        <f aca="false">INDEX(Products!$B$2:$B$101,MATCH(D1380,Products!$A$2:$A$101,0))</f>
        <v>Sports Cap</v>
      </c>
      <c r="F1380" s="1" t="str">
        <f aca="false">INDEX(Products!$C$2:$C$101,MATCH(D1380,Products!$A$2:$A$101,0))</f>
        <v>Fashion</v>
      </c>
      <c r="G1380" s="6" t="n">
        <f aca="false">Orders!E1380</f>
        <v>1</v>
      </c>
      <c r="H1380" s="16" t="n">
        <f aca="false">INDEX(Products!$D$2:$D$101,MATCH(D1380,Products!$A$2:$A$101,0))</f>
        <v>349</v>
      </c>
      <c r="I1380" s="16" t="n">
        <f aca="false">INDEX(Products!$E$2:$E$101,MATCH(D1380,Products!$A$2:$A$101,0))</f>
        <v>120</v>
      </c>
      <c r="J1380" s="20" t="n">
        <f aca="false">Orders!F1380</f>
        <v>0.05</v>
      </c>
      <c r="K1380" s="6" t="n">
        <f aca="false">G1380*H1380</f>
        <v>349</v>
      </c>
      <c r="L1380" s="6" t="n">
        <f aca="false">K1380*J1380</f>
        <v>17.45</v>
      </c>
      <c r="M1380" s="6" t="n">
        <f aca="false">K1380-L1380</f>
        <v>331.55</v>
      </c>
      <c r="N1380" s="6" t="n">
        <f aca="false">G1380*I1380</f>
        <v>120</v>
      </c>
      <c r="O1380" s="6" t="n">
        <f aca="false">M1380-N1380</f>
        <v>211.55</v>
      </c>
      <c r="P1380" s="21" t="n">
        <f aca="false">IFERROR(O1380/M1380,0)</f>
        <v>0.63806364047655</v>
      </c>
      <c r="Q1380" s="6" t="str">
        <f aca="false">Orders!H1380</f>
        <v>Delivered</v>
      </c>
      <c r="R1380" s="1" t="str">
        <f aca="false">INDEX(Customers!$C$2:$C$301,MATCH(C1380,Customers!$A$2:$A$301,0))</f>
        <v>Chennai</v>
      </c>
      <c r="S1380" s="1" t="str">
        <f aca="false">INDEX(Customers!$E$2:$E$301,MATCH(C1380,Customers!$A$2:$A$301,0))</f>
        <v>VIP</v>
      </c>
      <c r="T1380" s="6" t="str">
        <f aca="false">Orders!I1380</f>
        <v>Marketplace</v>
      </c>
      <c r="U1380" s="1" t="str">
        <f aca="false">IF(Q1380="Delivered","Completed",IF(Q1380="Cancelled","Cancelled",IF(Q1380="Returned","Returned","In Progress")))</f>
        <v>Completed</v>
      </c>
      <c r="V1380" s="1" t="str">
        <f aca="false">IF(M1380&gt;=10000,"High Value",IF(M1380&gt;=5000,"Medium Value","Low Value"))</f>
        <v>Low Value</v>
      </c>
      <c r="W1380" s="1" t="str">
        <f aca="false">IF(O1380&gt;0,"Profitable",IF(O1380=0,"Break-even","Loss"))</f>
        <v>Profitable</v>
      </c>
      <c r="X1380" s="1" t="str">
        <f aca="false">IF(Q1380="Cancelled","Not Applicable",IF(Q1380="Processing","Pending",IF(B1380="","Unknown",IF(Orders!J1380="","Unknown",IF(Orders!J1380&lt;=3,"Fast",IF(Orders!J1380&lt;=6,"Standard","Slow"))))))</f>
        <v>Slow</v>
      </c>
      <c r="Y1380" s="1" t="n">
        <f aca="false">IF(OR(Q1380="Cancelled",Q1380="Returned"),0,O1380)</f>
        <v>211.55</v>
      </c>
    </row>
    <row r="1381" customFormat="false" ht="15" hidden="false" customHeight="false" outlineLevel="0" collapsed="false">
      <c r="A1381" s="6" t="str">
        <f aca="false">Orders!A1381</f>
        <v>O001380</v>
      </c>
      <c r="B1381" s="19" t="n">
        <f aca="false">Orders!B1381</f>
        <v>45711</v>
      </c>
      <c r="C1381" s="6" t="str">
        <f aca="false">Orders!C1381</f>
        <v>C0238</v>
      </c>
      <c r="D1381" s="6" t="str">
        <f aca="false">Orders!D1381</f>
        <v>P1021</v>
      </c>
      <c r="E1381" s="6" t="str">
        <f aca="false">INDEX(Products!$B$2:$B$101,MATCH(D1381,Products!$A$2:$A$101,0))</f>
        <v>Handbag</v>
      </c>
      <c r="F1381" s="1" t="str">
        <f aca="false">INDEX(Products!$C$2:$C$101,MATCH(D1381,Products!$A$2:$A$101,0))</f>
        <v>Fashion</v>
      </c>
      <c r="G1381" s="6" t="n">
        <f aca="false">Orders!E1381</f>
        <v>1</v>
      </c>
      <c r="H1381" s="16" t="n">
        <f aca="false">INDEX(Products!$D$2:$D$101,MATCH(D1381,Products!$A$2:$A$101,0))</f>
        <v>1499</v>
      </c>
      <c r="I1381" s="16" t="n">
        <f aca="false">INDEX(Products!$E$2:$E$101,MATCH(D1381,Products!$A$2:$A$101,0))</f>
        <v>700</v>
      </c>
      <c r="J1381" s="20" t="n">
        <f aca="false">Orders!F1381</f>
        <v>0.05</v>
      </c>
      <c r="K1381" s="6" t="n">
        <f aca="false">G1381*H1381</f>
        <v>1499</v>
      </c>
      <c r="L1381" s="6" t="n">
        <f aca="false">K1381*J1381</f>
        <v>74.95</v>
      </c>
      <c r="M1381" s="6" t="n">
        <f aca="false">K1381-L1381</f>
        <v>1424.05</v>
      </c>
      <c r="N1381" s="6" t="n">
        <f aca="false">G1381*I1381</f>
        <v>700</v>
      </c>
      <c r="O1381" s="6" t="n">
        <f aca="false">M1381-N1381</f>
        <v>724.05</v>
      </c>
      <c r="P1381" s="21" t="n">
        <f aca="false">IFERROR(O1381/M1381,0)</f>
        <v>0.508444225975212</v>
      </c>
      <c r="Q1381" s="6" t="str">
        <f aca="false">Orders!H1381</f>
        <v>Delivered</v>
      </c>
      <c r="R1381" s="1" t="str">
        <f aca="false">INDEX(Customers!$C$2:$C$301,MATCH(C1381,Customers!$A$2:$A$301,0))</f>
        <v>Nagpur</v>
      </c>
      <c r="S1381" s="1" t="str">
        <f aca="false">INDEX(Customers!$E$2:$E$301,MATCH(C1381,Customers!$A$2:$A$301,0))</f>
        <v>Returning</v>
      </c>
      <c r="T1381" s="6" t="str">
        <f aca="false">Orders!I1381</f>
        <v>Mobile App</v>
      </c>
      <c r="U1381" s="1" t="str">
        <f aca="false">IF(Q1381="Delivered","Completed",IF(Q1381="Cancelled","Cancelled",IF(Q1381="Returned","Returned","In Progress")))</f>
        <v>Completed</v>
      </c>
      <c r="V1381" s="1" t="str">
        <f aca="false">IF(M1381&gt;=10000,"High Value",IF(M1381&gt;=5000,"Medium Value","Low Value"))</f>
        <v>Low Value</v>
      </c>
      <c r="W1381" s="1" t="str">
        <f aca="false">IF(O1381&gt;0,"Profitable",IF(O1381=0,"Break-even","Loss"))</f>
        <v>Profitable</v>
      </c>
      <c r="X1381" s="1" t="str">
        <f aca="false">IF(Q1381="Cancelled","Not Applicable",IF(Q1381="Processing","Pending",IF(B1381="","Unknown",IF(Orders!J1381="","Unknown",IF(Orders!J1381&lt;=3,"Fast",IF(Orders!J1381&lt;=6,"Standard","Slow"))))))</f>
        <v>Slow</v>
      </c>
      <c r="Y1381" s="1" t="n">
        <f aca="false">IF(OR(Q1381="Cancelled",Q1381="Returned"),0,O1381)</f>
        <v>724.05</v>
      </c>
    </row>
    <row r="1382" customFormat="false" ht="15" hidden="false" customHeight="false" outlineLevel="0" collapsed="false">
      <c r="A1382" s="6" t="str">
        <f aca="false">Orders!A1382</f>
        <v>O001381</v>
      </c>
      <c r="B1382" s="19" t="n">
        <f aca="false">Orders!B1382</f>
        <v>45890</v>
      </c>
      <c r="C1382" s="6" t="str">
        <f aca="false">Orders!C1382</f>
        <v>C0186</v>
      </c>
      <c r="D1382" s="6" t="str">
        <f aca="false">Orders!D1382</f>
        <v>P1087</v>
      </c>
      <c r="E1382" s="6" t="str">
        <f aca="false">INDEX(Products!$B$2:$B$101,MATCH(D1382,Products!$A$2:$A$101,0))</f>
        <v>Book Stand</v>
      </c>
      <c r="F1382" s="1" t="str">
        <f aca="false">INDEX(Products!$C$2:$C$101,MATCH(D1382,Products!$A$2:$A$101,0))</f>
        <v>Books &amp; Stationery</v>
      </c>
      <c r="G1382" s="6" t="n">
        <f aca="false">Orders!E1382</f>
        <v>2</v>
      </c>
      <c r="H1382" s="16" t="n">
        <f aca="false">INDEX(Products!$D$2:$D$101,MATCH(D1382,Products!$A$2:$A$101,0))</f>
        <v>449</v>
      </c>
      <c r="I1382" s="16" t="n">
        <f aca="false">INDEX(Products!$E$2:$E$101,MATCH(D1382,Products!$A$2:$A$101,0))</f>
        <v>200</v>
      </c>
      <c r="J1382" s="20" t="n">
        <f aca="false">Orders!F1382</f>
        <v>0.05</v>
      </c>
      <c r="K1382" s="6" t="n">
        <f aca="false">G1382*H1382</f>
        <v>898</v>
      </c>
      <c r="L1382" s="6" t="n">
        <f aca="false">K1382*J1382</f>
        <v>44.9</v>
      </c>
      <c r="M1382" s="6" t="n">
        <f aca="false">K1382-L1382</f>
        <v>853.1</v>
      </c>
      <c r="N1382" s="6" t="n">
        <f aca="false">G1382*I1382</f>
        <v>400</v>
      </c>
      <c r="O1382" s="6" t="n">
        <f aca="false">M1382-N1382</f>
        <v>453.1</v>
      </c>
      <c r="P1382" s="21" t="n">
        <f aca="false">IFERROR(O1382/M1382,0)</f>
        <v>0.531121791114758</v>
      </c>
      <c r="Q1382" s="6" t="str">
        <f aca="false">Orders!H1382</f>
        <v>Delivered</v>
      </c>
      <c r="R1382" s="1" t="str">
        <f aca="false">INDEX(Customers!$C$2:$C$301,MATCH(C1382,Customers!$A$2:$A$301,0))</f>
        <v>Kolkata</v>
      </c>
      <c r="S1382" s="1" t="str">
        <f aca="false">INDEX(Customers!$E$2:$E$301,MATCH(C1382,Customers!$A$2:$A$301,0))</f>
        <v>New</v>
      </c>
      <c r="T1382" s="6" t="str">
        <f aca="false">Orders!I1382</f>
        <v>Website</v>
      </c>
      <c r="U1382" s="1" t="str">
        <f aca="false">IF(Q1382="Delivered","Completed",IF(Q1382="Cancelled","Cancelled",IF(Q1382="Returned","Returned","In Progress")))</f>
        <v>Completed</v>
      </c>
      <c r="V1382" s="1" t="str">
        <f aca="false">IF(M1382&gt;=10000,"High Value",IF(M1382&gt;=5000,"Medium Value","Low Value"))</f>
        <v>Low Value</v>
      </c>
      <c r="W1382" s="1" t="str">
        <f aca="false">IF(O1382&gt;0,"Profitable",IF(O1382=0,"Break-even","Loss"))</f>
        <v>Profitable</v>
      </c>
      <c r="X1382" s="1" t="str">
        <f aca="false">IF(Q1382="Cancelled","Not Applicable",IF(Q1382="Processing","Pending",IF(B1382="","Unknown",IF(Orders!J1382="","Unknown",IF(Orders!J1382&lt;=3,"Fast",IF(Orders!J1382&lt;=6,"Standard","Slow"))))))</f>
        <v>Standard</v>
      </c>
      <c r="Y1382" s="1" t="n">
        <f aca="false">IF(OR(Q1382="Cancelled",Q1382="Returned"),0,O1382)</f>
        <v>453.1</v>
      </c>
    </row>
    <row r="1383" customFormat="false" ht="15" hidden="false" customHeight="false" outlineLevel="0" collapsed="false">
      <c r="A1383" s="6" t="str">
        <f aca="false">Orders!A1383</f>
        <v>O001382</v>
      </c>
      <c r="B1383" s="19" t="n">
        <f aca="false">Orders!B1383</f>
        <v>45930</v>
      </c>
      <c r="C1383" s="6" t="str">
        <f aca="false">Orders!C1383</f>
        <v>C0018</v>
      </c>
      <c r="D1383" s="6" t="str">
        <f aca="false">Orders!D1383</f>
        <v>P1039</v>
      </c>
      <c r="E1383" s="6" t="str">
        <f aca="false">INDEX(Products!$B$2:$B$101,MATCH(D1383,Products!$A$2:$A$101,0))</f>
        <v>Wall Clock</v>
      </c>
      <c r="F1383" s="1" t="str">
        <f aca="false">INDEX(Products!$C$2:$C$101,MATCH(D1383,Products!$A$2:$A$101,0))</f>
        <v>Home &amp; Kitchen</v>
      </c>
      <c r="G1383" s="6" t="n">
        <f aca="false">Orders!E1383</f>
        <v>2</v>
      </c>
      <c r="H1383" s="16" t="n">
        <f aca="false">INDEX(Products!$D$2:$D$101,MATCH(D1383,Products!$A$2:$A$101,0))</f>
        <v>699</v>
      </c>
      <c r="I1383" s="16" t="n">
        <f aca="false">INDEX(Products!$E$2:$E$101,MATCH(D1383,Products!$A$2:$A$101,0))</f>
        <v>300</v>
      </c>
      <c r="J1383" s="20" t="n">
        <f aca="false">Orders!F1383</f>
        <v>0.05</v>
      </c>
      <c r="K1383" s="6" t="n">
        <f aca="false">G1383*H1383</f>
        <v>1398</v>
      </c>
      <c r="L1383" s="6" t="n">
        <f aca="false">K1383*J1383</f>
        <v>69.9</v>
      </c>
      <c r="M1383" s="6" t="n">
        <f aca="false">K1383-L1383</f>
        <v>1328.1</v>
      </c>
      <c r="N1383" s="6" t="n">
        <f aca="false">G1383*I1383</f>
        <v>600</v>
      </c>
      <c r="O1383" s="6" t="n">
        <f aca="false">M1383-N1383</f>
        <v>728.1</v>
      </c>
      <c r="P1383" s="21" t="n">
        <f aca="false">IFERROR(O1383/M1383,0)</f>
        <v>0.548226790151344</v>
      </c>
      <c r="Q1383" s="6" t="str">
        <f aca="false">Orders!H1383</f>
        <v>Delivered</v>
      </c>
      <c r="R1383" s="1" t="str">
        <f aca="false">INDEX(Customers!$C$2:$C$301,MATCH(C1383,Customers!$A$2:$A$301,0))</f>
        <v>Nagpur</v>
      </c>
      <c r="S1383" s="1" t="str">
        <f aca="false">INDEX(Customers!$E$2:$E$301,MATCH(C1383,Customers!$A$2:$A$301,0))</f>
        <v>New</v>
      </c>
      <c r="T1383" s="6" t="str">
        <f aca="false">Orders!I1383</f>
        <v>Marketplace</v>
      </c>
      <c r="U1383" s="1" t="str">
        <f aca="false">IF(Q1383="Delivered","Completed",IF(Q1383="Cancelled","Cancelled",IF(Q1383="Returned","Returned","In Progress")))</f>
        <v>Completed</v>
      </c>
      <c r="V1383" s="1" t="str">
        <f aca="false">IF(M1383&gt;=10000,"High Value",IF(M1383&gt;=5000,"Medium Value","Low Value"))</f>
        <v>Low Value</v>
      </c>
      <c r="W1383" s="1" t="str">
        <f aca="false">IF(O1383&gt;0,"Profitable",IF(O1383=0,"Break-even","Loss"))</f>
        <v>Profitable</v>
      </c>
      <c r="X1383" s="1" t="str">
        <f aca="false">IF(Q1383="Cancelled","Not Applicable",IF(Q1383="Processing","Pending",IF(B1383="","Unknown",IF(Orders!J1383="","Unknown",IF(Orders!J1383&lt;=3,"Fast",IF(Orders!J1383&lt;=6,"Standard","Slow"))))))</f>
        <v>Fast</v>
      </c>
      <c r="Y1383" s="1" t="n">
        <f aca="false">IF(OR(Q1383="Cancelled",Q1383="Returned"),0,O1383)</f>
        <v>728.1</v>
      </c>
    </row>
    <row r="1384" customFormat="false" ht="23.85" hidden="false" customHeight="false" outlineLevel="0" collapsed="false">
      <c r="A1384" s="6" t="str">
        <f aca="false">Orders!A1384</f>
        <v>O001383</v>
      </c>
      <c r="B1384" s="19" t="n">
        <f aca="false">Orders!B1384</f>
        <v>46019</v>
      </c>
      <c r="C1384" s="6" t="str">
        <f aca="false">Orders!C1384</f>
        <v>C0154</v>
      </c>
      <c r="D1384" s="6" t="str">
        <f aca="false">Orders!D1384</f>
        <v>P1061</v>
      </c>
      <c r="E1384" s="6" t="str">
        <f aca="false">INDEX(Products!$B$2:$B$101,MATCH(D1384,Products!$A$2:$A$101,0))</f>
        <v>Resistance Bands</v>
      </c>
      <c r="F1384" s="1" t="str">
        <f aca="false">INDEX(Products!$C$2:$C$101,MATCH(D1384,Products!$A$2:$A$101,0))</f>
        <v>Sports &amp; Outdoors</v>
      </c>
      <c r="G1384" s="6" t="n">
        <f aca="false">Orders!E1384</f>
        <v>3</v>
      </c>
      <c r="H1384" s="16" t="n">
        <f aca="false">INDEX(Products!$D$2:$D$101,MATCH(D1384,Products!$A$2:$A$101,0))</f>
        <v>399</v>
      </c>
      <c r="I1384" s="16" t="n">
        <f aca="false">INDEX(Products!$E$2:$E$101,MATCH(D1384,Products!$A$2:$A$101,0))</f>
        <v>150</v>
      </c>
      <c r="J1384" s="20" t="n">
        <f aca="false">Orders!F1384</f>
        <v>0.05</v>
      </c>
      <c r="K1384" s="6" t="n">
        <f aca="false">G1384*H1384</f>
        <v>1197</v>
      </c>
      <c r="L1384" s="6" t="n">
        <f aca="false">K1384*J1384</f>
        <v>59.85</v>
      </c>
      <c r="M1384" s="6" t="n">
        <f aca="false">K1384-L1384</f>
        <v>1137.15</v>
      </c>
      <c r="N1384" s="6" t="n">
        <f aca="false">G1384*I1384</f>
        <v>450</v>
      </c>
      <c r="O1384" s="6" t="n">
        <f aca="false">M1384-N1384</f>
        <v>687.15</v>
      </c>
      <c r="P1384" s="21" t="n">
        <f aca="false">IFERROR(O1384/M1384,0)</f>
        <v>0.604273842500989</v>
      </c>
      <c r="Q1384" s="6" t="str">
        <f aca="false">Orders!H1384</f>
        <v>Shipped</v>
      </c>
      <c r="R1384" s="1" t="str">
        <f aca="false">INDEX(Customers!$C$2:$C$301,MATCH(C1384,Customers!$A$2:$A$301,0))</f>
        <v>Indore</v>
      </c>
      <c r="S1384" s="1" t="str">
        <f aca="false">INDEX(Customers!$E$2:$E$301,MATCH(C1384,Customers!$A$2:$A$301,0))</f>
        <v>Returning</v>
      </c>
      <c r="T1384" s="6" t="str">
        <f aca="false">Orders!I1384</f>
        <v>Website</v>
      </c>
      <c r="U1384" s="1" t="str">
        <f aca="false">IF(Q1384="Delivered","Completed",IF(Q1384="Cancelled","Cancelled",IF(Q1384="Returned","Returned","In Progress")))</f>
        <v>In Progress</v>
      </c>
      <c r="V1384" s="1" t="str">
        <f aca="false">IF(M1384&gt;=10000,"High Value",IF(M1384&gt;=5000,"Medium Value","Low Value"))</f>
        <v>Low Value</v>
      </c>
      <c r="W1384" s="1" t="str">
        <f aca="false">IF(O1384&gt;0,"Profitable",IF(O1384=0,"Break-even","Loss"))</f>
        <v>Profitable</v>
      </c>
      <c r="X1384" s="1" t="str">
        <f aca="false">IF(Q1384="Cancelled","Not Applicable",IF(Q1384="Processing","Pending",IF(B1384="","Unknown",IF(Orders!J1384="","Unknown",IF(Orders!J1384&lt;=3,"Fast",IF(Orders!J1384&lt;=6,"Standard","Slow"))))))</f>
        <v>Fast</v>
      </c>
      <c r="Y1384" s="1" t="n">
        <f aca="false">IF(OR(Q1384="Cancelled",Q1384="Returned"),0,O1384)</f>
        <v>687.15</v>
      </c>
    </row>
    <row r="1385" customFormat="false" ht="15" hidden="false" customHeight="false" outlineLevel="0" collapsed="false">
      <c r="A1385" s="6" t="str">
        <f aca="false">Orders!A1385</f>
        <v>O001384</v>
      </c>
      <c r="B1385" s="19" t="n">
        <f aca="false">Orders!B1385</f>
        <v>45666</v>
      </c>
      <c r="C1385" s="6" t="str">
        <f aca="false">Orders!C1385</f>
        <v>C0012</v>
      </c>
      <c r="D1385" s="6" t="str">
        <f aca="false">Orders!D1385</f>
        <v>P1019</v>
      </c>
      <c r="E1385" s="6" t="str">
        <f aca="false">INDEX(Products!$B$2:$B$101,MATCH(D1385,Products!$A$2:$A$101,0))</f>
        <v>Running Shoes</v>
      </c>
      <c r="F1385" s="1" t="str">
        <f aca="false">INDEX(Products!$C$2:$C$101,MATCH(D1385,Products!$A$2:$A$101,0))</f>
        <v>Fashion</v>
      </c>
      <c r="G1385" s="6" t="n">
        <f aca="false">Orders!E1385</f>
        <v>3</v>
      </c>
      <c r="H1385" s="16" t="n">
        <f aca="false">INDEX(Products!$D$2:$D$101,MATCH(D1385,Products!$A$2:$A$101,0))</f>
        <v>1999</v>
      </c>
      <c r="I1385" s="16" t="n">
        <f aca="false">INDEX(Products!$E$2:$E$101,MATCH(D1385,Products!$A$2:$A$101,0))</f>
        <v>1100</v>
      </c>
      <c r="J1385" s="20" t="n">
        <f aca="false">Orders!F1385</f>
        <v>0.1</v>
      </c>
      <c r="K1385" s="6" t="n">
        <f aca="false">G1385*H1385</f>
        <v>5997</v>
      </c>
      <c r="L1385" s="6" t="n">
        <f aca="false">K1385*J1385</f>
        <v>599.7</v>
      </c>
      <c r="M1385" s="6" t="n">
        <f aca="false">K1385-L1385</f>
        <v>5397.3</v>
      </c>
      <c r="N1385" s="6" t="n">
        <f aca="false">G1385*I1385</f>
        <v>3300</v>
      </c>
      <c r="O1385" s="6" t="n">
        <f aca="false">M1385-N1385</f>
        <v>2097.3</v>
      </c>
      <c r="P1385" s="21" t="n">
        <f aca="false">IFERROR(O1385/M1385,0)</f>
        <v>0.388583180479129</v>
      </c>
      <c r="Q1385" s="6" t="str">
        <f aca="false">Orders!H1385</f>
        <v>Delivered</v>
      </c>
      <c r="R1385" s="1" t="str">
        <f aca="false">INDEX(Customers!$C$2:$C$301,MATCH(C1385,Customers!$A$2:$A$301,0))</f>
        <v>Noida</v>
      </c>
      <c r="S1385" s="1" t="str">
        <f aca="false">INDEX(Customers!$E$2:$E$301,MATCH(C1385,Customers!$A$2:$A$301,0))</f>
        <v>Returning</v>
      </c>
      <c r="T1385" s="6" t="str">
        <f aca="false">Orders!I1385</f>
        <v>Mobile App</v>
      </c>
      <c r="U1385" s="1" t="str">
        <f aca="false">IF(Q1385="Delivered","Completed",IF(Q1385="Cancelled","Cancelled",IF(Q1385="Returned","Returned","In Progress")))</f>
        <v>Completed</v>
      </c>
      <c r="V1385" s="1" t="str">
        <f aca="false">IF(M1385&gt;=10000,"High Value",IF(M1385&gt;=5000,"Medium Value","Low Value"))</f>
        <v>Medium Value</v>
      </c>
      <c r="W1385" s="1" t="str">
        <f aca="false">IF(O1385&gt;0,"Profitable",IF(O1385=0,"Break-even","Loss"))</f>
        <v>Profitable</v>
      </c>
      <c r="X1385" s="1" t="str">
        <f aca="false">IF(Q1385="Cancelled","Not Applicable",IF(Q1385="Processing","Pending",IF(B1385="","Unknown",IF(Orders!J1385="","Unknown",IF(Orders!J1385&lt;=3,"Fast",IF(Orders!J1385&lt;=6,"Standard","Slow"))))))</f>
        <v>Standard</v>
      </c>
      <c r="Y1385" s="1" t="n">
        <f aca="false">IF(OR(Q1385="Cancelled",Q1385="Returned"),0,O1385)</f>
        <v>2097.3</v>
      </c>
    </row>
    <row r="1386" customFormat="false" ht="23.85" hidden="false" customHeight="false" outlineLevel="0" collapsed="false">
      <c r="A1386" s="6" t="str">
        <f aca="false">Orders!A1386</f>
        <v>O001385</v>
      </c>
      <c r="B1386" s="19" t="n">
        <f aca="false">Orders!B1386</f>
        <v>45871</v>
      </c>
      <c r="C1386" s="6" t="str">
        <f aca="false">Orders!C1386</f>
        <v>C0058</v>
      </c>
      <c r="D1386" s="6" t="str">
        <f aca="false">Orders!D1386</f>
        <v>P1093</v>
      </c>
      <c r="E1386" s="6" t="str">
        <f aca="false">INDEX(Products!$B$2:$B$101,MATCH(D1386,Products!$A$2:$A$101,0))</f>
        <v>Induction Cooktop</v>
      </c>
      <c r="F1386" s="1" t="str">
        <f aca="false">INDEX(Products!$C$2:$C$101,MATCH(D1386,Products!$A$2:$A$101,0))</f>
        <v>Appliances</v>
      </c>
      <c r="G1386" s="6" t="n">
        <f aca="false">Orders!E1386</f>
        <v>1</v>
      </c>
      <c r="H1386" s="16" t="n">
        <f aca="false">INDEX(Products!$D$2:$D$101,MATCH(D1386,Products!$A$2:$A$101,0))</f>
        <v>2299</v>
      </c>
      <c r="I1386" s="16" t="n">
        <f aca="false">INDEX(Products!$E$2:$E$101,MATCH(D1386,Products!$A$2:$A$101,0))</f>
        <v>1450</v>
      </c>
      <c r="J1386" s="20" t="n">
        <f aca="false">Orders!F1386</f>
        <v>0</v>
      </c>
      <c r="K1386" s="6" t="n">
        <f aca="false">G1386*H1386</f>
        <v>2299</v>
      </c>
      <c r="L1386" s="6" t="n">
        <f aca="false">K1386*J1386</f>
        <v>0</v>
      </c>
      <c r="M1386" s="6" t="n">
        <f aca="false">K1386-L1386</f>
        <v>2299</v>
      </c>
      <c r="N1386" s="6" t="n">
        <f aca="false">G1386*I1386</f>
        <v>1450</v>
      </c>
      <c r="O1386" s="6" t="n">
        <f aca="false">M1386-N1386</f>
        <v>849</v>
      </c>
      <c r="P1386" s="21" t="n">
        <f aca="false">IFERROR(O1386/M1386,0)</f>
        <v>0.369290996085254</v>
      </c>
      <c r="Q1386" s="6" t="str">
        <f aca="false">Orders!H1386</f>
        <v>Delivered</v>
      </c>
      <c r="R1386" s="1" t="str">
        <f aca="false">INDEX(Customers!$C$2:$C$301,MATCH(C1386,Customers!$A$2:$A$301,0))</f>
        <v>Nagpur</v>
      </c>
      <c r="S1386" s="1" t="str">
        <f aca="false">INDEX(Customers!$E$2:$E$301,MATCH(C1386,Customers!$A$2:$A$301,0))</f>
        <v>New</v>
      </c>
      <c r="T1386" s="6" t="str">
        <f aca="false">Orders!I1386</f>
        <v>Mobile App</v>
      </c>
      <c r="U1386" s="1" t="str">
        <f aca="false">IF(Q1386="Delivered","Completed",IF(Q1386="Cancelled","Cancelled",IF(Q1386="Returned","Returned","In Progress")))</f>
        <v>Completed</v>
      </c>
      <c r="V1386" s="1" t="str">
        <f aca="false">IF(M1386&gt;=10000,"High Value",IF(M1386&gt;=5000,"Medium Value","Low Value"))</f>
        <v>Low Value</v>
      </c>
      <c r="W1386" s="1" t="str">
        <f aca="false">IF(O1386&gt;0,"Profitable",IF(O1386=0,"Break-even","Loss"))</f>
        <v>Profitable</v>
      </c>
      <c r="X1386" s="1" t="str">
        <f aca="false">IF(Q1386="Cancelled","Not Applicable",IF(Q1386="Processing","Pending",IF(B1386="","Unknown",IF(Orders!J1386="","Unknown",IF(Orders!J1386&lt;=3,"Fast",IF(Orders!J1386&lt;=6,"Standard","Slow"))))))</f>
        <v>Fast</v>
      </c>
      <c r="Y1386" s="1" t="n">
        <f aca="false">IF(OR(Q1386="Cancelled",Q1386="Returned"),0,O1386)</f>
        <v>849</v>
      </c>
    </row>
    <row r="1387" customFormat="false" ht="15" hidden="false" customHeight="false" outlineLevel="0" collapsed="false">
      <c r="A1387" s="6" t="str">
        <f aca="false">Orders!A1387</f>
        <v>O001386</v>
      </c>
      <c r="B1387" s="19" t="n">
        <f aca="false">Orders!B1387</f>
        <v>45951</v>
      </c>
      <c r="C1387" s="6" t="str">
        <f aca="false">Orders!C1387</f>
        <v>C0104</v>
      </c>
      <c r="D1387" s="6" t="str">
        <f aca="false">Orders!D1387</f>
        <v>P1077</v>
      </c>
      <c r="E1387" s="6" t="str">
        <f aca="false">INDEX(Products!$B$2:$B$101,MATCH(D1387,Products!$A$2:$A$101,0))</f>
        <v>Planner</v>
      </c>
      <c r="F1387" s="1" t="str">
        <f aca="false">INDEX(Products!$C$2:$C$101,MATCH(D1387,Products!$A$2:$A$101,0))</f>
        <v>Books &amp; Stationery</v>
      </c>
      <c r="G1387" s="6" t="n">
        <f aca="false">Orders!E1387</f>
        <v>1</v>
      </c>
      <c r="H1387" s="16" t="n">
        <f aca="false">INDEX(Products!$D$2:$D$101,MATCH(D1387,Products!$A$2:$A$101,0))</f>
        <v>349</v>
      </c>
      <c r="I1387" s="16" t="n">
        <f aca="false">INDEX(Products!$E$2:$E$101,MATCH(D1387,Products!$A$2:$A$101,0))</f>
        <v>130</v>
      </c>
      <c r="J1387" s="20" t="n">
        <f aca="false">Orders!F1387</f>
        <v>0</v>
      </c>
      <c r="K1387" s="6" t="n">
        <f aca="false">G1387*H1387</f>
        <v>349</v>
      </c>
      <c r="L1387" s="6" t="n">
        <f aca="false">K1387*J1387</f>
        <v>0</v>
      </c>
      <c r="M1387" s="6" t="n">
        <f aca="false">K1387-L1387</f>
        <v>349</v>
      </c>
      <c r="N1387" s="6" t="n">
        <f aca="false">G1387*I1387</f>
        <v>130</v>
      </c>
      <c r="O1387" s="6" t="n">
        <f aca="false">M1387-N1387</f>
        <v>219</v>
      </c>
      <c r="P1387" s="21" t="n">
        <f aca="false">IFERROR(O1387/M1387,0)</f>
        <v>0.627507163323782</v>
      </c>
      <c r="Q1387" s="6" t="str">
        <f aca="false">Orders!H1387</f>
        <v>Delivered</v>
      </c>
      <c r="R1387" s="1" t="str">
        <f aca="false">INDEX(Customers!$C$2:$C$301,MATCH(C1387,Customers!$A$2:$A$301,0))</f>
        <v>Hyderabad</v>
      </c>
      <c r="S1387" s="1" t="str">
        <f aca="false">INDEX(Customers!$E$2:$E$301,MATCH(C1387,Customers!$A$2:$A$301,0))</f>
        <v>New</v>
      </c>
      <c r="T1387" s="6" t="str">
        <f aca="false">Orders!I1387</f>
        <v>Website</v>
      </c>
      <c r="U1387" s="1" t="str">
        <f aca="false">IF(Q1387="Delivered","Completed",IF(Q1387="Cancelled","Cancelled",IF(Q1387="Returned","Returned","In Progress")))</f>
        <v>Completed</v>
      </c>
      <c r="V1387" s="1" t="str">
        <f aca="false">IF(M1387&gt;=10000,"High Value",IF(M1387&gt;=5000,"Medium Value","Low Value"))</f>
        <v>Low Value</v>
      </c>
      <c r="W1387" s="1" t="str">
        <f aca="false">IF(O1387&gt;0,"Profitable",IF(O1387=0,"Break-even","Loss"))</f>
        <v>Profitable</v>
      </c>
      <c r="X1387" s="1" t="str">
        <f aca="false">IF(Q1387="Cancelled","Not Applicable",IF(Q1387="Processing","Pending",IF(B1387="","Unknown",IF(Orders!J1387="","Unknown",IF(Orders!J1387&lt;=3,"Fast",IF(Orders!J1387&lt;=6,"Standard","Slow"))))))</f>
        <v>Fast</v>
      </c>
      <c r="Y1387" s="1" t="n">
        <f aca="false">IF(OR(Q1387="Cancelled",Q1387="Returned"),0,O1387)</f>
        <v>219</v>
      </c>
    </row>
    <row r="1388" customFormat="false" ht="23.85" hidden="false" customHeight="false" outlineLevel="0" collapsed="false">
      <c r="A1388" s="6" t="str">
        <f aca="false">Orders!A1388</f>
        <v>O001387</v>
      </c>
      <c r="B1388" s="19" t="n">
        <f aca="false">Orders!B1388</f>
        <v>45854</v>
      </c>
      <c r="C1388" s="6" t="str">
        <f aca="false">Orders!C1388</f>
        <v>C0198</v>
      </c>
      <c r="D1388" s="6" t="str">
        <f aca="false">Orders!D1388</f>
        <v>P1069</v>
      </c>
      <c r="E1388" s="6" t="str">
        <f aca="false">INDEX(Products!$B$2:$B$101,MATCH(D1388,Products!$A$2:$A$101,0))</f>
        <v>Sports Duffel Bag</v>
      </c>
      <c r="F1388" s="1" t="str">
        <f aca="false">INDEX(Products!$C$2:$C$101,MATCH(D1388,Products!$A$2:$A$101,0))</f>
        <v>Sports &amp; Outdoors</v>
      </c>
      <c r="G1388" s="6" t="n">
        <f aca="false">Orders!E1388</f>
        <v>2</v>
      </c>
      <c r="H1388" s="16" t="n">
        <f aca="false">INDEX(Products!$D$2:$D$101,MATCH(D1388,Products!$A$2:$A$101,0))</f>
        <v>999</v>
      </c>
      <c r="I1388" s="16" t="n">
        <f aca="false">INDEX(Products!$E$2:$E$101,MATCH(D1388,Products!$A$2:$A$101,0))</f>
        <v>500</v>
      </c>
      <c r="J1388" s="20" t="n">
        <f aca="false">Orders!F1388</f>
        <v>0.05</v>
      </c>
      <c r="K1388" s="6" t="n">
        <f aca="false">G1388*H1388</f>
        <v>1998</v>
      </c>
      <c r="L1388" s="6" t="n">
        <f aca="false">K1388*J1388</f>
        <v>99.9</v>
      </c>
      <c r="M1388" s="6" t="n">
        <f aca="false">K1388-L1388</f>
        <v>1898.1</v>
      </c>
      <c r="N1388" s="6" t="n">
        <f aca="false">G1388*I1388</f>
        <v>1000</v>
      </c>
      <c r="O1388" s="6" t="n">
        <f aca="false">M1388-N1388</f>
        <v>898.1</v>
      </c>
      <c r="P1388" s="21" t="n">
        <f aca="false">IFERROR(O1388/M1388,0)</f>
        <v>0.47315736789421</v>
      </c>
      <c r="Q1388" s="6" t="str">
        <f aca="false">Orders!H1388</f>
        <v>Delivered</v>
      </c>
      <c r="R1388" s="1" t="str">
        <f aca="false">INDEX(Customers!$C$2:$C$301,MATCH(C1388,Customers!$A$2:$A$301,0))</f>
        <v>Nagpur</v>
      </c>
      <c r="S1388" s="1" t="str">
        <f aca="false">INDEX(Customers!$E$2:$E$301,MATCH(C1388,Customers!$A$2:$A$301,0))</f>
        <v>Returning</v>
      </c>
      <c r="T1388" s="6" t="str">
        <f aca="false">Orders!I1388</f>
        <v>Mobile App</v>
      </c>
      <c r="U1388" s="1" t="str">
        <f aca="false">IF(Q1388="Delivered","Completed",IF(Q1388="Cancelled","Cancelled",IF(Q1388="Returned","Returned","In Progress")))</f>
        <v>Completed</v>
      </c>
      <c r="V1388" s="1" t="str">
        <f aca="false">IF(M1388&gt;=10000,"High Value",IF(M1388&gt;=5000,"Medium Value","Low Value"))</f>
        <v>Low Value</v>
      </c>
      <c r="W1388" s="1" t="str">
        <f aca="false">IF(O1388&gt;0,"Profitable",IF(O1388=0,"Break-even","Loss"))</f>
        <v>Profitable</v>
      </c>
      <c r="X1388" s="1" t="str">
        <f aca="false">IF(Q1388="Cancelled","Not Applicable",IF(Q1388="Processing","Pending",IF(B1388="","Unknown",IF(Orders!J1388="","Unknown",IF(Orders!J1388&lt;=3,"Fast",IF(Orders!J1388&lt;=6,"Standard","Slow"))))))</f>
        <v>Standard</v>
      </c>
      <c r="Y1388" s="1" t="n">
        <f aca="false">IF(OR(Q1388="Cancelled",Q1388="Returned"),0,O1388)</f>
        <v>898.1</v>
      </c>
    </row>
    <row r="1389" customFormat="false" ht="15" hidden="false" customHeight="false" outlineLevel="0" collapsed="false">
      <c r="A1389" s="6" t="str">
        <f aca="false">Orders!A1389</f>
        <v>O001388</v>
      </c>
      <c r="B1389" s="19" t="n">
        <f aca="false">Orders!B1389</f>
        <v>45874</v>
      </c>
      <c r="C1389" s="6" t="str">
        <f aca="false">Orders!C1389</f>
        <v>C0260</v>
      </c>
      <c r="D1389" s="6" t="str">
        <f aca="false">Orders!D1389</f>
        <v>P1082</v>
      </c>
      <c r="E1389" s="6" t="str">
        <f aca="false">INDEX(Products!$B$2:$B$101,MATCH(D1389,Products!$A$2:$A$101,0))</f>
        <v>File Folder Set</v>
      </c>
      <c r="F1389" s="1" t="str">
        <f aca="false">INDEX(Products!$C$2:$C$101,MATCH(D1389,Products!$A$2:$A$101,0))</f>
        <v>Books &amp; Stationery</v>
      </c>
      <c r="G1389" s="6" t="n">
        <f aca="false">Orders!E1389</f>
        <v>1</v>
      </c>
      <c r="H1389" s="16" t="n">
        <f aca="false">INDEX(Products!$D$2:$D$101,MATCH(D1389,Products!$A$2:$A$101,0))</f>
        <v>249</v>
      </c>
      <c r="I1389" s="16" t="n">
        <f aca="false">INDEX(Products!$E$2:$E$101,MATCH(D1389,Products!$A$2:$A$101,0))</f>
        <v>90</v>
      </c>
      <c r="J1389" s="20" t="n">
        <f aca="false">Orders!F1389</f>
        <v>0.05</v>
      </c>
      <c r="K1389" s="6" t="n">
        <f aca="false">G1389*H1389</f>
        <v>249</v>
      </c>
      <c r="L1389" s="6" t="n">
        <f aca="false">K1389*J1389</f>
        <v>12.45</v>
      </c>
      <c r="M1389" s="6" t="n">
        <f aca="false">K1389-L1389</f>
        <v>236.55</v>
      </c>
      <c r="N1389" s="6" t="n">
        <f aca="false">G1389*I1389</f>
        <v>90</v>
      </c>
      <c r="O1389" s="6" t="n">
        <f aca="false">M1389-N1389</f>
        <v>146.55</v>
      </c>
      <c r="P1389" s="21" t="n">
        <f aca="false">IFERROR(O1389/M1389,0)</f>
        <v>0.619530754597337</v>
      </c>
      <c r="Q1389" s="6" t="str">
        <f aca="false">Orders!H1389</f>
        <v>Delivered</v>
      </c>
      <c r="R1389" s="1" t="str">
        <f aca="false">INDEX(Customers!$C$2:$C$301,MATCH(C1389,Customers!$A$2:$A$301,0))</f>
        <v>Visakhapatnam</v>
      </c>
      <c r="S1389" s="1" t="str">
        <f aca="false">INDEX(Customers!$E$2:$E$301,MATCH(C1389,Customers!$A$2:$A$301,0))</f>
        <v>Returning</v>
      </c>
      <c r="T1389" s="6" t="str">
        <f aca="false">Orders!I1389</f>
        <v>Mobile App</v>
      </c>
      <c r="U1389" s="1" t="str">
        <f aca="false">IF(Q1389="Delivered","Completed",IF(Q1389="Cancelled","Cancelled",IF(Q1389="Returned","Returned","In Progress")))</f>
        <v>Completed</v>
      </c>
      <c r="V1389" s="1" t="str">
        <f aca="false">IF(M1389&gt;=10000,"High Value",IF(M1389&gt;=5000,"Medium Value","Low Value"))</f>
        <v>Low Value</v>
      </c>
      <c r="W1389" s="1" t="str">
        <f aca="false">IF(O1389&gt;0,"Profitable",IF(O1389=0,"Break-even","Loss"))</f>
        <v>Profitable</v>
      </c>
      <c r="X1389" s="1" t="str">
        <f aca="false">IF(Q1389="Cancelled","Not Applicable",IF(Q1389="Processing","Pending",IF(B1389="","Unknown",IF(Orders!J1389="","Unknown",IF(Orders!J1389&lt;=3,"Fast",IF(Orders!J1389&lt;=6,"Standard","Slow"))))))</f>
        <v>Fast</v>
      </c>
      <c r="Y1389" s="1" t="n">
        <f aca="false">IF(OR(Q1389="Cancelled",Q1389="Returned"),0,O1389)</f>
        <v>146.55</v>
      </c>
    </row>
    <row r="1390" customFormat="false" ht="15" hidden="false" customHeight="false" outlineLevel="0" collapsed="false">
      <c r="A1390" s="6" t="str">
        <f aca="false">Orders!A1390</f>
        <v>O001389</v>
      </c>
      <c r="B1390" s="19" t="n">
        <f aca="false">Orders!B1390</f>
        <v>45922</v>
      </c>
      <c r="C1390" s="6" t="str">
        <f aca="false">Orders!C1390</f>
        <v>C0043</v>
      </c>
      <c r="D1390" s="6" t="str">
        <f aca="false">Orders!D1390</f>
        <v>P1074</v>
      </c>
      <c r="E1390" s="6" t="str">
        <f aca="false">INDEX(Products!$B$2:$B$101,MATCH(D1390,Products!$A$2:$A$101,0))</f>
        <v>Notebook Pack</v>
      </c>
      <c r="F1390" s="1" t="str">
        <f aca="false">INDEX(Products!$C$2:$C$101,MATCH(D1390,Products!$A$2:$A$101,0))</f>
        <v>Books &amp; Stationery</v>
      </c>
      <c r="G1390" s="6" t="n">
        <f aca="false">Orders!E1390</f>
        <v>2</v>
      </c>
      <c r="H1390" s="16" t="n">
        <f aca="false">INDEX(Products!$D$2:$D$101,MATCH(D1390,Products!$A$2:$A$101,0))</f>
        <v>299</v>
      </c>
      <c r="I1390" s="16" t="n">
        <f aca="false">INDEX(Products!$E$2:$E$101,MATCH(D1390,Products!$A$2:$A$101,0))</f>
        <v>110</v>
      </c>
      <c r="J1390" s="20" t="n">
        <f aca="false">Orders!F1390</f>
        <v>0.05</v>
      </c>
      <c r="K1390" s="6" t="n">
        <f aca="false">G1390*H1390</f>
        <v>598</v>
      </c>
      <c r="L1390" s="6" t="n">
        <f aca="false">K1390*J1390</f>
        <v>29.9</v>
      </c>
      <c r="M1390" s="6" t="n">
        <f aca="false">K1390-L1390</f>
        <v>568.1</v>
      </c>
      <c r="N1390" s="6" t="n">
        <f aca="false">G1390*I1390</f>
        <v>220</v>
      </c>
      <c r="O1390" s="6" t="n">
        <f aca="false">M1390-N1390</f>
        <v>348.1</v>
      </c>
      <c r="P1390" s="21" t="n">
        <f aca="false">IFERROR(O1390/M1390,0)</f>
        <v>0.612744235169864</v>
      </c>
      <c r="Q1390" s="6" t="str">
        <f aca="false">Orders!H1390</f>
        <v>Delivered</v>
      </c>
      <c r="R1390" s="1" t="str">
        <f aca="false">INDEX(Customers!$C$2:$C$301,MATCH(C1390,Customers!$A$2:$A$301,0))</f>
        <v>Bengaluru</v>
      </c>
      <c r="S1390" s="1" t="str">
        <f aca="false">INDEX(Customers!$E$2:$E$301,MATCH(C1390,Customers!$A$2:$A$301,0))</f>
        <v>New</v>
      </c>
      <c r="T1390" s="6" t="str">
        <f aca="false">Orders!I1390</f>
        <v>Mobile App</v>
      </c>
      <c r="U1390" s="1" t="str">
        <f aca="false">IF(Q1390="Delivered","Completed",IF(Q1390="Cancelled","Cancelled",IF(Q1390="Returned","Returned","In Progress")))</f>
        <v>Completed</v>
      </c>
      <c r="V1390" s="1" t="str">
        <f aca="false">IF(M1390&gt;=10000,"High Value",IF(M1390&gt;=5000,"Medium Value","Low Value"))</f>
        <v>Low Value</v>
      </c>
      <c r="W1390" s="1" t="str">
        <f aca="false">IF(O1390&gt;0,"Profitable",IF(O1390=0,"Break-even","Loss"))</f>
        <v>Profitable</v>
      </c>
      <c r="X1390" s="1" t="str">
        <f aca="false">IF(Q1390="Cancelled","Not Applicable",IF(Q1390="Processing","Pending",IF(B1390="","Unknown",IF(Orders!J1390="","Unknown",IF(Orders!J1390&lt;=3,"Fast",IF(Orders!J1390&lt;=6,"Standard","Slow"))))))</f>
        <v>Standard</v>
      </c>
      <c r="Y1390" s="1" t="n">
        <f aca="false">IF(OR(Q1390="Cancelled",Q1390="Returned"),0,O1390)</f>
        <v>348.1</v>
      </c>
    </row>
    <row r="1391" customFormat="false" ht="23.85" hidden="false" customHeight="false" outlineLevel="0" collapsed="false">
      <c r="A1391" s="6" t="str">
        <f aca="false">Orders!A1391</f>
        <v>O001390</v>
      </c>
      <c r="B1391" s="19" t="n">
        <f aca="false">Orders!B1391</f>
        <v>45812</v>
      </c>
      <c r="C1391" s="6" t="str">
        <f aca="false">Orders!C1391</f>
        <v>C0187</v>
      </c>
      <c r="D1391" s="6" t="str">
        <f aca="false">Orders!D1391</f>
        <v>P1047</v>
      </c>
      <c r="E1391" s="6" t="str">
        <f aca="false">INDEX(Products!$B$2:$B$101,MATCH(D1391,Products!$A$2:$A$101,0))</f>
        <v>Sunscreen Lotion</v>
      </c>
      <c r="F1391" s="1" t="str">
        <f aca="false">INDEX(Products!$C$2:$C$101,MATCH(D1391,Products!$A$2:$A$101,0))</f>
        <v>Beauty</v>
      </c>
      <c r="G1391" s="6" t="n">
        <f aca="false">Orders!E1391</f>
        <v>2</v>
      </c>
      <c r="H1391" s="16" t="n">
        <f aca="false">INDEX(Products!$D$2:$D$101,MATCH(D1391,Products!$A$2:$A$101,0))</f>
        <v>399</v>
      </c>
      <c r="I1391" s="16" t="n">
        <f aca="false">INDEX(Products!$E$2:$E$101,MATCH(D1391,Products!$A$2:$A$101,0))</f>
        <v>170</v>
      </c>
      <c r="J1391" s="20" t="n">
        <f aca="false">Orders!F1391</f>
        <v>0.2</v>
      </c>
      <c r="K1391" s="6" t="n">
        <f aca="false">G1391*H1391</f>
        <v>798</v>
      </c>
      <c r="L1391" s="6" t="n">
        <f aca="false">K1391*J1391</f>
        <v>159.6</v>
      </c>
      <c r="M1391" s="6" t="n">
        <f aca="false">K1391-L1391</f>
        <v>638.4</v>
      </c>
      <c r="N1391" s="6" t="n">
        <f aca="false">G1391*I1391</f>
        <v>340</v>
      </c>
      <c r="O1391" s="6" t="n">
        <f aca="false">M1391-N1391</f>
        <v>298.4</v>
      </c>
      <c r="P1391" s="21" t="n">
        <f aca="false">IFERROR(O1391/M1391,0)</f>
        <v>0.467418546365915</v>
      </c>
      <c r="Q1391" s="6" t="str">
        <f aca="false">Orders!H1391</f>
        <v>Delivered</v>
      </c>
      <c r="R1391" s="1" t="str">
        <f aca="false">INDEX(Customers!$C$2:$C$301,MATCH(C1391,Customers!$A$2:$A$301,0))</f>
        <v>Pune</v>
      </c>
      <c r="S1391" s="1" t="str">
        <f aca="false">INDEX(Customers!$E$2:$E$301,MATCH(C1391,Customers!$A$2:$A$301,0))</f>
        <v>Returning</v>
      </c>
      <c r="T1391" s="6" t="str">
        <f aca="false">Orders!I1391</f>
        <v>Mobile App</v>
      </c>
      <c r="U1391" s="1" t="str">
        <f aca="false">IF(Q1391="Delivered","Completed",IF(Q1391="Cancelled","Cancelled",IF(Q1391="Returned","Returned","In Progress")))</f>
        <v>Completed</v>
      </c>
      <c r="V1391" s="1" t="str">
        <f aca="false">IF(M1391&gt;=10000,"High Value",IF(M1391&gt;=5000,"Medium Value","Low Value"))</f>
        <v>Low Value</v>
      </c>
      <c r="W1391" s="1" t="str">
        <f aca="false">IF(O1391&gt;0,"Profitable",IF(O1391=0,"Break-even","Loss"))</f>
        <v>Profitable</v>
      </c>
      <c r="X1391" s="1" t="str">
        <f aca="false">IF(Q1391="Cancelled","Not Applicable",IF(Q1391="Processing","Pending",IF(B1391="","Unknown",IF(Orders!J1391="","Unknown",IF(Orders!J1391&lt;=3,"Fast",IF(Orders!J1391&lt;=6,"Standard","Slow"))))))</f>
        <v>Fast</v>
      </c>
      <c r="Y1391" s="1" t="n">
        <f aca="false">IF(OR(Q1391="Cancelled",Q1391="Returned"),0,O1391)</f>
        <v>298.4</v>
      </c>
    </row>
    <row r="1392" customFormat="false" ht="15" hidden="false" customHeight="false" outlineLevel="0" collapsed="false">
      <c r="A1392" s="6" t="str">
        <f aca="false">Orders!A1392</f>
        <v>O001391</v>
      </c>
      <c r="B1392" s="19" t="n">
        <f aca="false">Orders!B1392</f>
        <v>45797</v>
      </c>
      <c r="C1392" s="6" t="str">
        <f aca="false">Orders!C1392</f>
        <v>C0147</v>
      </c>
      <c r="D1392" s="6" t="str">
        <f aca="false">Orders!D1392</f>
        <v>P1030</v>
      </c>
      <c r="E1392" s="6" t="str">
        <f aca="false">INDEX(Products!$B$2:$B$101,MATCH(D1392,Products!$A$2:$A$101,0))</f>
        <v>Formal Shoes</v>
      </c>
      <c r="F1392" s="1" t="str">
        <f aca="false">INDEX(Products!$C$2:$C$101,MATCH(D1392,Products!$A$2:$A$101,0))</f>
        <v>Fashion</v>
      </c>
      <c r="G1392" s="6" t="n">
        <f aca="false">Orders!E1392</f>
        <v>1</v>
      </c>
      <c r="H1392" s="16" t="n">
        <f aca="false">INDEX(Products!$D$2:$D$101,MATCH(D1392,Products!$A$2:$A$101,0))</f>
        <v>2299</v>
      </c>
      <c r="I1392" s="16" t="n">
        <f aca="false">INDEX(Products!$E$2:$E$101,MATCH(D1392,Products!$A$2:$A$101,0))</f>
        <v>1300</v>
      </c>
      <c r="J1392" s="20" t="n">
        <f aca="false">Orders!F1392</f>
        <v>0.15</v>
      </c>
      <c r="K1392" s="6" t="n">
        <f aca="false">G1392*H1392</f>
        <v>2299</v>
      </c>
      <c r="L1392" s="6" t="n">
        <f aca="false">K1392*J1392</f>
        <v>344.85</v>
      </c>
      <c r="M1392" s="6" t="n">
        <f aca="false">K1392-L1392</f>
        <v>1954.15</v>
      </c>
      <c r="N1392" s="6" t="n">
        <f aca="false">G1392*I1392</f>
        <v>1300</v>
      </c>
      <c r="O1392" s="6" t="n">
        <f aca="false">M1392-N1392</f>
        <v>654.15</v>
      </c>
      <c r="P1392" s="21" t="n">
        <f aca="false">IFERROR(O1392/M1392,0)</f>
        <v>0.334749123659903</v>
      </c>
      <c r="Q1392" s="6" t="str">
        <f aca="false">Orders!H1392</f>
        <v>Delivered</v>
      </c>
      <c r="R1392" s="1" t="str">
        <f aca="false">INDEX(Customers!$C$2:$C$301,MATCH(C1392,Customers!$A$2:$A$301,0))</f>
        <v>Pune</v>
      </c>
      <c r="S1392" s="1" t="str">
        <f aca="false">INDEX(Customers!$E$2:$E$301,MATCH(C1392,Customers!$A$2:$A$301,0))</f>
        <v>Returning</v>
      </c>
      <c r="T1392" s="6" t="str">
        <f aca="false">Orders!I1392</f>
        <v>Mobile App</v>
      </c>
      <c r="U1392" s="1" t="str">
        <f aca="false">IF(Q1392="Delivered","Completed",IF(Q1392="Cancelled","Cancelled",IF(Q1392="Returned","Returned","In Progress")))</f>
        <v>Completed</v>
      </c>
      <c r="V1392" s="1" t="str">
        <f aca="false">IF(M1392&gt;=10000,"High Value",IF(M1392&gt;=5000,"Medium Value","Low Value"))</f>
        <v>Low Value</v>
      </c>
      <c r="W1392" s="1" t="str">
        <f aca="false">IF(O1392&gt;0,"Profitable",IF(O1392=0,"Break-even","Loss"))</f>
        <v>Profitable</v>
      </c>
      <c r="X1392" s="1" t="str">
        <f aca="false">IF(Q1392="Cancelled","Not Applicable",IF(Q1392="Processing","Pending",IF(B1392="","Unknown",IF(Orders!J1392="","Unknown",IF(Orders!J1392&lt;=3,"Fast",IF(Orders!J1392&lt;=6,"Standard","Slow"))))))</f>
        <v>Slow</v>
      </c>
      <c r="Y1392" s="1" t="n">
        <f aca="false">IF(OR(Q1392="Cancelled",Q1392="Returned"),0,O1392)</f>
        <v>654.15</v>
      </c>
    </row>
    <row r="1393" customFormat="false" ht="15" hidden="false" customHeight="false" outlineLevel="0" collapsed="false">
      <c r="A1393" s="6" t="str">
        <f aca="false">Orders!A1393</f>
        <v>O001392</v>
      </c>
      <c r="B1393" s="19" t="n">
        <f aca="false">Orders!B1393</f>
        <v>45672</v>
      </c>
      <c r="C1393" s="6" t="str">
        <f aca="false">Orders!C1393</f>
        <v>C0290</v>
      </c>
      <c r="D1393" s="6" t="str">
        <f aca="false">Orders!D1393</f>
        <v>P1024</v>
      </c>
      <c r="E1393" s="6" t="str">
        <f aca="false">INDEX(Products!$B$2:$B$101,MATCH(D1393,Products!$A$2:$A$101,0))</f>
        <v>Kurta</v>
      </c>
      <c r="F1393" s="1" t="str">
        <f aca="false">INDEX(Products!$C$2:$C$101,MATCH(D1393,Products!$A$2:$A$101,0))</f>
        <v>Fashion</v>
      </c>
      <c r="G1393" s="6" t="n">
        <f aca="false">Orders!E1393</f>
        <v>1</v>
      </c>
      <c r="H1393" s="16" t="n">
        <f aca="false">INDEX(Products!$D$2:$D$101,MATCH(D1393,Products!$A$2:$A$101,0))</f>
        <v>999</v>
      </c>
      <c r="I1393" s="16" t="n">
        <f aca="false">INDEX(Products!$E$2:$E$101,MATCH(D1393,Products!$A$2:$A$101,0))</f>
        <v>450</v>
      </c>
      <c r="J1393" s="20" t="n">
        <f aca="false">Orders!F1393</f>
        <v>0.05</v>
      </c>
      <c r="K1393" s="6" t="n">
        <f aca="false">G1393*H1393</f>
        <v>999</v>
      </c>
      <c r="L1393" s="6" t="n">
        <f aca="false">K1393*J1393</f>
        <v>49.95</v>
      </c>
      <c r="M1393" s="6" t="n">
        <f aca="false">K1393-L1393</f>
        <v>949.05</v>
      </c>
      <c r="N1393" s="6" t="n">
        <f aca="false">G1393*I1393</f>
        <v>450</v>
      </c>
      <c r="O1393" s="6" t="n">
        <f aca="false">M1393-N1393</f>
        <v>499.05</v>
      </c>
      <c r="P1393" s="21" t="n">
        <f aca="false">IFERROR(O1393/M1393,0)</f>
        <v>0.525841631104789</v>
      </c>
      <c r="Q1393" s="6" t="str">
        <f aca="false">Orders!H1393</f>
        <v>Delivered</v>
      </c>
      <c r="R1393" s="1" t="str">
        <f aca="false">INDEX(Customers!$C$2:$C$301,MATCH(C1393,Customers!$A$2:$A$301,0))</f>
        <v>Lucknow</v>
      </c>
      <c r="S1393" s="1" t="str">
        <f aca="false">INDEX(Customers!$E$2:$E$301,MATCH(C1393,Customers!$A$2:$A$301,0))</f>
        <v>Returning</v>
      </c>
      <c r="T1393" s="6" t="str">
        <f aca="false">Orders!I1393</f>
        <v>Marketplace</v>
      </c>
      <c r="U1393" s="1" t="str">
        <f aca="false">IF(Q1393="Delivered","Completed",IF(Q1393="Cancelled","Cancelled",IF(Q1393="Returned","Returned","In Progress")))</f>
        <v>Completed</v>
      </c>
      <c r="V1393" s="1" t="str">
        <f aca="false">IF(M1393&gt;=10000,"High Value",IF(M1393&gt;=5000,"Medium Value","Low Value"))</f>
        <v>Low Value</v>
      </c>
      <c r="W1393" s="1" t="str">
        <f aca="false">IF(O1393&gt;0,"Profitable",IF(O1393=0,"Break-even","Loss"))</f>
        <v>Profitable</v>
      </c>
      <c r="X1393" s="1" t="str">
        <f aca="false">IF(Q1393="Cancelled","Not Applicable",IF(Q1393="Processing","Pending",IF(B1393="","Unknown",IF(Orders!J1393="","Unknown",IF(Orders!J1393&lt;=3,"Fast",IF(Orders!J1393&lt;=6,"Standard","Slow"))))))</f>
        <v>Standard</v>
      </c>
      <c r="Y1393" s="1" t="n">
        <f aca="false">IF(OR(Q1393="Cancelled",Q1393="Returned"),0,O1393)</f>
        <v>499.05</v>
      </c>
    </row>
    <row r="1394" customFormat="false" ht="15" hidden="false" customHeight="false" outlineLevel="0" collapsed="false">
      <c r="A1394" s="6" t="str">
        <f aca="false">Orders!A1394</f>
        <v>O001393</v>
      </c>
      <c r="B1394" s="19" t="n">
        <f aca="false">Orders!B1394</f>
        <v>45788</v>
      </c>
      <c r="C1394" s="6" t="str">
        <f aca="false">Orders!C1394</f>
        <v>C0288</v>
      </c>
      <c r="D1394" s="6" t="str">
        <f aca="false">Orders!D1394</f>
        <v>P1067</v>
      </c>
      <c r="E1394" s="6" t="str">
        <f aca="false">INDEX(Products!$B$2:$B$101,MATCH(D1394,Products!$A$2:$A$101,0))</f>
        <v>Camping Torch</v>
      </c>
      <c r="F1394" s="1" t="str">
        <f aca="false">INDEX(Products!$C$2:$C$101,MATCH(D1394,Products!$A$2:$A$101,0))</f>
        <v>Sports &amp; Outdoors</v>
      </c>
      <c r="G1394" s="6" t="n">
        <f aca="false">Orders!E1394</f>
        <v>1</v>
      </c>
      <c r="H1394" s="16" t="n">
        <f aca="false">INDEX(Products!$D$2:$D$101,MATCH(D1394,Products!$A$2:$A$101,0))</f>
        <v>599</v>
      </c>
      <c r="I1394" s="16" t="n">
        <f aca="false">INDEX(Products!$E$2:$E$101,MATCH(D1394,Products!$A$2:$A$101,0))</f>
        <v>250</v>
      </c>
      <c r="J1394" s="20" t="n">
        <f aca="false">Orders!F1394</f>
        <v>0.1</v>
      </c>
      <c r="K1394" s="6" t="n">
        <f aca="false">G1394*H1394</f>
        <v>599</v>
      </c>
      <c r="L1394" s="6" t="n">
        <f aca="false">K1394*J1394</f>
        <v>59.9</v>
      </c>
      <c r="M1394" s="6" t="n">
        <f aca="false">K1394-L1394</f>
        <v>539.1</v>
      </c>
      <c r="N1394" s="6" t="n">
        <f aca="false">G1394*I1394</f>
        <v>250</v>
      </c>
      <c r="O1394" s="6" t="n">
        <f aca="false">M1394-N1394</f>
        <v>289.1</v>
      </c>
      <c r="P1394" s="21" t="n">
        <f aca="false">IFERROR(O1394/M1394,0)</f>
        <v>0.53626414394361</v>
      </c>
      <c r="Q1394" s="6" t="str">
        <f aca="false">Orders!H1394</f>
        <v>Delivered</v>
      </c>
      <c r="R1394" s="1" t="str">
        <f aca="false">INDEX(Customers!$C$2:$C$301,MATCH(C1394,Customers!$A$2:$A$301,0))</f>
        <v>Jaipur</v>
      </c>
      <c r="S1394" s="1" t="str">
        <f aca="false">INDEX(Customers!$E$2:$E$301,MATCH(C1394,Customers!$A$2:$A$301,0))</f>
        <v>New</v>
      </c>
      <c r="T1394" s="6" t="str">
        <f aca="false">Orders!I1394</f>
        <v>Website</v>
      </c>
      <c r="U1394" s="1" t="str">
        <f aca="false">IF(Q1394="Delivered","Completed",IF(Q1394="Cancelled","Cancelled",IF(Q1394="Returned","Returned","In Progress")))</f>
        <v>Completed</v>
      </c>
      <c r="V1394" s="1" t="str">
        <f aca="false">IF(M1394&gt;=10000,"High Value",IF(M1394&gt;=5000,"Medium Value","Low Value"))</f>
        <v>Low Value</v>
      </c>
      <c r="W1394" s="1" t="str">
        <f aca="false">IF(O1394&gt;0,"Profitable",IF(O1394=0,"Break-even","Loss"))</f>
        <v>Profitable</v>
      </c>
      <c r="X1394" s="1" t="str">
        <f aca="false">IF(Q1394="Cancelled","Not Applicable",IF(Q1394="Processing","Pending",IF(B1394="","Unknown",IF(Orders!J1394="","Unknown",IF(Orders!J1394&lt;=3,"Fast",IF(Orders!J1394&lt;=6,"Standard","Slow"))))))</f>
        <v>Standard</v>
      </c>
      <c r="Y1394" s="1" t="n">
        <f aca="false">IF(OR(Q1394="Cancelled",Q1394="Returned"),0,O1394)</f>
        <v>289.1</v>
      </c>
    </row>
    <row r="1395" customFormat="false" ht="15" hidden="false" customHeight="false" outlineLevel="0" collapsed="false">
      <c r="A1395" s="6" t="str">
        <f aca="false">Orders!A1395</f>
        <v>O001394</v>
      </c>
      <c r="B1395" s="19" t="n">
        <f aca="false">Orders!B1395</f>
        <v>45722</v>
      </c>
      <c r="C1395" s="6" t="str">
        <f aca="false">Orders!C1395</f>
        <v>C0149</v>
      </c>
      <c r="D1395" s="6" t="str">
        <f aca="false">Orders!D1395</f>
        <v>P1023</v>
      </c>
      <c r="E1395" s="6" t="str">
        <f aca="false">INDEX(Products!$B$2:$B$101,MATCH(D1395,Products!$A$2:$A$101,0))</f>
        <v>Sports Cap</v>
      </c>
      <c r="F1395" s="1" t="str">
        <f aca="false">INDEX(Products!$C$2:$C$101,MATCH(D1395,Products!$A$2:$A$101,0))</f>
        <v>Fashion</v>
      </c>
      <c r="G1395" s="6" t="n">
        <f aca="false">Orders!E1395</f>
        <v>2</v>
      </c>
      <c r="H1395" s="16" t="n">
        <f aca="false">INDEX(Products!$D$2:$D$101,MATCH(D1395,Products!$A$2:$A$101,0))</f>
        <v>349</v>
      </c>
      <c r="I1395" s="16" t="n">
        <f aca="false">INDEX(Products!$E$2:$E$101,MATCH(D1395,Products!$A$2:$A$101,0))</f>
        <v>120</v>
      </c>
      <c r="J1395" s="20" t="n">
        <f aca="false">Orders!F1395</f>
        <v>0.2</v>
      </c>
      <c r="K1395" s="6" t="n">
        <f aca="false">G1395*H1395</f>
        <v>698</v>
      </c>
      <c r="L1395" s="6" t="n">
        <f aca="false">K1395*J1395</f>
        <v>139.6</v>
      </c>
      <c r="M1395" s="6" t="n">
        <f aca="false">K1395-L1395</f>
        <v>558.4</v>
      </c>
      <c r="N1395" s="6" t="n">
        <f aca="false">G1395*I1395</f>
        <v>240</v>
      </c>
      <c r="O1395" s="6" t="n">
        <f aca="false">M1395-N1395</f>
        <v>318.4</v>
      </c>
      <c r="P1395" s="21" t="n">
        <f aca="false">IFERROR(O1395/M1395,0)</f>
        <v>0.570200573065903</v>
      </c>
      <c r="Q1395" s="6" t="str">
        <f aca="false">Orders!H1395</f>
        <v>Returned</v>
      </c>
      <c r="R1395" s="1" t="str">
        <f aca="false">INDEX(Customers!$C$2:$C$301,MATCH(C1395,Customers!$A$2:$A$301,0))</f>
        <v>Ahmedabad</v>
      </c>
      <c r="S1395" s="1" t="str">
        <f aca="false">INDEX(Customers!$E$2:$E$301,MATCH(C1395,Customers!$A$2:$A$301,0))</f>
        <v>VIP</v>
      </c>
      <c r="T1395" s="6" t="str">
        <f aca="false">Orders!I1395</f>
        <v>Mobile App</v>
      </c>
      <c r="U1395" s="1" t="str">
        <f aca="false">IF(Q1395="Delivered","Completed",IF(Q1395="Cancelled","Cancelled",IF(Q1395="Returned","Returned","In Progress")))</f>
        <v>Returned</v>
      </c>
      <c r="V1395" s="1" t="str">
        <f aca="false">IF(M1395&gt;=10000,"High Value",IF(M1395&gt;=5000,"Medium Value","Low Value"))</f>
        <v>Low Value</v>
      </c>
      <c r="W1395" s="1" t="str">
        <f aca="false">IF(O1395&gt;0,"Profitable",IF(O1395=0,"Break-even","Loss"))</f>
        <v>Profitable</v>
      </c>
      <c r="X1395" s="1" t="str">
        <f aca="false">IF(Q1395="Cancelled","Not Applicable",IF(Q1395="Processing","Pending",IF(B1395="","Unknown",IF(Orders!J1395="","Unknown",IF(Orders!J1395&lt;=3,"Fast",IF(Orders!J1395&lt;=6,"Standard","Slow"))))))</f>
        <v>Standard</v>
      </c>
      <c r="Y1395" s="1" t="n">
        <f aca="false">IF(OR(Q1395="Cancelled",Q1395="Returned"),0,O1395)</f>
        <v>0</v>
      </c>
    </row>
    <row r="1396" customFormat="false" ht="15" hidden="false" customHeight="false" outlineLevel="0" collapsed="false">
      <c r="A1396" s="6" t="str">
        <f aca="false">Orders!A1396</f>
        <v>O001395</v>
      </c>
      <c r="B1396" s="19" t="n">
        <f aca="false">Orders!B1396</f>
        <v>45963</v>
      </c>
      <c r="C1396" s="6" t="str">
        <f aca="false">Orders!C1396</f>
        <v>C0137</v>
      </c>
      <c r="D1396" s="6" t="str">
        <f aca="false">Orders!D1396</f>
        <v>P1080</v>
      </c>
      <c r="E1396" s="6" t="str">
        <f aca="false">INDEX(Products!$B$2:$B$101,MATCH(D1396,Products!$A$2:$A$101,0))</f>
        <v>Calculator</v>
      </c>
      <c r="F1396" s="1" t="str">
        <f aca="false">INDEX(Products!$C$2:$C$101,MATCH(D1396,Products!$A$2:$A$101,0))</f>
        <v>Books &amp; Stationery</v>
      </c>
      <c r="G1396" s="6" t="n">
        <f aca="false">Orders!E1396</f>
        <v>1</v>
      </c>
      <c r="H1396" s="16" t="n">
        <f aca="false">INDEX(Products!$D$2:$D$101,MATCH(D1396,Products!$A$2:$A$101,0))</f>
        <v>599</v>
      </c>
      <c r="I1396" s="16" t="n">
        <f aca="false">INDEX(Products!$E$2:$E$101,MATCH(D1396,Products!$A$2:$A$101,0))</f>
        <v>300</v>
      </c>
      <c r="J1396" s="20" t="n">
        <f aca="false">Orders!F1396</f>
        <v>0.2</v>
      </c>
      <c r="K1396" s="6" t="n">
        <f aca="false">G1396*H1396</f>
        <v>599</v>
      </c>
      <c r="L1396" s="6" t="n">
        <f aca="false">K1396*J1396</f>
        <v>119.8</v>
      </c>
      <c r="M1396" s="6" t="n">
        <f aca="false">K1396-L1396</f>
        <v>479.2</v>
      </c>
      <c r="N1396" s="6" t="n">
        <f aca="false">G1396*I1396</f>
        <v>300</v>
      </c>
      <c r="O1396" s="6" t="n">
        <f aca="false">M1396-N1396</f>
        <v>179.2</v>
      </c>
      <c r="P1396" s="21" t="n">
        <f aca="false">IFERROR(O1396/M1396,0)</f>
        <v>0.373956594323873</v>
      </c>
      <c r="Q1396" s="6" t="str">
        <f aca="false">Orders!H1396</f>
        <v>Delivered</v>
      </c>
      <c r="R1396" s="1" t="str">
        <f aca="false">INDEX(Customers!$C$2:$C$301,MATCH(C1396,Customers!$A$2:$A$301,0))</f>
        <v>Surat</v>
      </c>
      <c r="S1396" s="1" t="str">
        <f aca="false">INDEX(Customers!$E$2:$E$301,MATCH(C1396,Customers!$A$2:$A$301,0))</f>
        <v>New</v>
      </c>
      <c r="T1396" s="6" t="str">
        <f aca="false">Orders!I1396</f>
        <v>Marketplace</v>
      </c>
      <c r="U1396" s="1" t="str">
        <f aca="false">IF(Q1396="Delivered","Completed",IF(Q1396="Cancelled","Cancelled",IF(Q1396="Returned","Returned","In Progress")))</f>
        <v>Completed</v>
      </c>
      <c r="V1396" s="1" t="str">
        <f aca="false">IF(M1396&gt;=10000,"High Value",IF(M1396&gt;=5000,"Medium Value","Low Value"))</f>
        <v>Low Value</v>
      </c>
      <c r="W1396" s="1" t="str">
        <f aca="false">IF(O1396&gt;0,"Profitable",IF(O1396=0,"Break-even","Loss"))</f>
        <v>Profitable</v>
      </c>
      <c r="X1396" s="1" t="str">
        <f aca="false">IF(Q1396="Cancelled","Not Applicable",IF(Q1396="Processing","Pending",IF(B1396="","Unknown",IF(Orders!J1396="","Unknown",IF(Orders!J1396&lt;=3,"Fast",IF(Orders!J1396&lt;=6,"Standard","Slow"))))))</f>
        <v>Fast</v>
      </c>
      <c r="Y1396" s="1" t="n">
        <f aca="false">IF(OR(Q1396="Cancelled",Q1396="Returned"),0,O1396)</f>
        <v>179.2</v>
      </c>
    </row>
    <row r="1397" customFormat="false" ht="23.85" hidden="false" customHeight="false" outlineLevel="0" collapsed="false">
      <c r="A1397" s="6" t="str">
        <f aca="false">Orders!A1397</f>
        <v>O001396</v>
      </c>
      <c r="B1397" s="19" t="n">
        <f aca="false">Orders!B1397</f>
        <v>45911</v>
      </c>
      <c r="C1397" s="6" t="str">
        <f aca="false">Orders!C1397</f>
        <v>C0091</v>
      </c>
      <c r="D1397" s="6" t="str">
        <f aca="false">Orders!D1397</f>
        <v>P1041</v>
      </c>
      <c r="E1397" s="6" t="str">
        <f aca="false">INDEX(Products!$B$2:$B$101,MATCH(D1397,Products!$A$2:$A$101,0))</f>
        <v>Food Storage Jars</v>
      </c>
      <c r="F1397" s="1" t="str">
        <f aca="false">INDEX(Products!$C$2:$C$101,MATCH(D1397,Products!$A$2:$A$101,0))</f>
        <v>Home &amp; Kitchen</v>
      </c>
      <c r="G1397" s="6" t="n">
        <f aca="false">Orders!E1397</f>
        <v>2</v>
      </c>
      <c r="H1397" s="16" t="n">
        <f aca="false">INDEX(Products!$D$2:$D$101,MATCH(D1397,Products!$A$2:$A$101,0))</f>
        <v>499</v>
      </c>
      <c r="I1397" s="16" t="n">
        <f aca="false">INDEX(Products!$E$2:$E$101,MATCH(D1397,Products!$A$2:$A$101,0))</f>
        <v>220</v>
      </c>
      <c r="J1397" s="20" t="n">
        <f aca="false">Orders!F1397</f>
        <v>0.1</v>
      </c>
      <c r="K1397" s="6" t="n">
        <f aca="false">G1397*H1397</f>
        <v>998</v>
      </c>
      <c r="L1397" s="6" t="n">
        <f aca="false">K1397*J1397</f>
        <v>99.8</v>
      </c>
      <c r="M1397" s="6" t="n">
        <f aca="false">K1397-L1397</f>
        <v>898.2</v>
      </c>
      <c r="N1397" s="6" t="n">
        <f aca="false">G1397*I1397</f>
        <v>440</v>
      </c>
      <c r="O1397" s="6" t="n">
        <f aca="false">M1397-N1397</f>
        <v>458.2</v>
      </c>
      <c r="P1397" s="21" t="n">
        <f aca="false">IFERROR(O1397/M1397,0)</f>
        <v>0.510131373858829</v>
      </c>
      <c r="Q1397" s="6" t="str">
        <f aca="false">Orders!H1397</f>
        <v>Shipped</v>
      </c>
      <c r="R1397" s="1" t="str">
        <f aca="false">INDEX(Customers!$C$2:$C$301,MATCH(C1397,Customers!$A$2:$A$301,0))</f>
        <v>Gurugram</v>
      </c>
      <c r="S1397" s="1" t="str">
        <f aca="false">INDEX(Customers!$E$2:$E$301,MATCH(C1397,Customers!$A$2:$A$301,0))</f>
        <v>Returning</v>
      </c>
      <c r="T1397" s="6" t="str">
        <f aca="false">Orders!I1397</f>
        <v>Mobile App</v>
      </c>
      <c r="U1397" s="1" t="str">
        <f aca="false">IF(Q1397="Delivered","Completed",IF(Q1397="Cancelled","Cancelled",IF(Q1397="Returned","Returned","In Progress")))</f>
        <v>In Progress</v>
      </c>
      <c r="V1397" s="1" t="str">
        <f aca="false">IF(M1397&gt;=10000,"High Value",IF(M1397&gt;=5000,"Medium Value","Low Value"))</f>
        <v>Low Value</v>
      </c>
      <c r="W1397" s="1" t="str">
        <f aca="false">IF(O1397&gt;0,"Profitable",IF(O1397=0,"Break-even","Loss"))</f>
        <v>Profitable</v>
      </c>
      <c r="X1397" s="1" t="str">
        <f aca="false">IF(Q1397="Cancelled","Not Applicable",IF(Q1397="Processing","Pending",IF(B1397="","Unknown",IF(Orders!J1397="","Unknown",IF(Orders!J1397&lt;=3,"Fast",IF(Orders!J1397&lt;=6,"Standard","Slow"))))))</f>
        <v>Slow</v>
      </c>
      <c r="Y1397" s="1" t="n">
        <f aca="false">IF(OR(Q1397="Cancelled",Q1397="Returned"),0,O1397)</f>
        <v>458.2</v>
      </c>
    </row>
    <row r="1398" customFormat="false" ht="15" hidden="false" customHeight="false" outlineLevel="0" collapsed="false">
      <c r="A1398" s="6" t="str">
        <f aca="false">Orders!A1398</f>
        <v>O001397</v>
      </c>
      <c r="B1398" s="19" t="n">
        <f aca="false">Orders!B1398</f>
        <v>45785</v>
      </c>
      <c r="C1398" s="6" t="str">
        <f aca="false">Orders!C1398</f>
        <v>C0076</v>
      </c>
      <c r="D1398" s="6" t="str">
        <f aca="false">Orders!D1398</f>
        <v>P1089</v>
      </c>
      <c r="E1398" s="6" t="str">
        <f aca="false">INDEX(Products!$B$2:$B$101,MATCH(D1398,Products!$A$2:$A$101,0))</f>
        <v>Mixer Grinder</v>
      </c>
      <c r="F1398" s="1" t="str">
        <f aca="false">INDEX(Products!$C$2:$C$101,MATCH(D1398,Products!$A$2:$A$101,0))</f>
        <v>Appliances</v>
      </c>
      <c r="G1398" s="6" t="n">
        <f aca="false">Orders!E1398</f>
        <v>1</v>
      </c>
      <c r="H1398" s="16" t="n">
        <f aca="false">INDEX(Products!$D$2:$D$101,MATCH(D1398,Products!$A$2:$A$101,0))</f>
        <v>2499</v>
      </c>
      <c r="I1398" s="16" t="n">
        <f aca="false">INDEX(Products!$E$2:$E$101,MATCH(D1398,Products!$A$2:$A$101,0))</f>
        <v>1550</v>
      </c>
      <c r="J1398" s="20" t="n">
        <f aca="false">Orders!F1398</f>
        <v>0</v>
      </c>
      <c r="K1398" s="6" t="n">
        <f aca="false">G1398*H1398</f>
        <v>2499</v>
      </c>
      <c r="L1398" s="6" t="n">
        <f aca="false">K1398*J1398</f>
        <v>0</v>
      </c>
      <c r="M1398" s="6" t="n">
        <f aca="false">K1398-L1398</f>
        <v>2499</v>
      </c>
      <c r="N1398" s="6" t="n">
        <f aca="false">G1398*I1398</f>
        <v>1550</v>
      </c>
      <c r="O1398" s="6" t="n">
        <f aca="false">M1398-N1398</f>
        <v>949</v>
      </c>
      <c r="P1398" s="21" t="n">
        <f aca="false">IFERROR(O1398/M1398,0)</f>
        <v>0.379751900760304</v>
      </c>
      <c r="Q1398" s="6" t="str">
        <f aca="false">Orders!H1398</f>
        <v>Returned</v>
      </c>
      <c r="R1398" s="1" t="str">
        <f aca="false">INDEX(Customers!$C$2:$C$301,MATCH(C1398,Customers!$A$2:$A$301,0))</f>
        <v>Chandigarh</v>
      </c>
      <c r="S1398" s="1" t="str">
        <f aca="false">INDEX(Customers!$E$2:$E$301,MATCH(C1398,Customers!$A$2:$A$301,0))</f>
        <v>Returning</v>
      </c>
      <c r="T1398" s="6" t="str">
        <f aca="false">Orders!I1398</f>
        <v>Mobile App</v>
      </c>
      <c r="U1398" s="1" t="str">
        <f aca="false">IF(Q1398="Delivered","Completed",IF(Q1398="Cancelled","Cancelled",IF(Q1398="Returned","Returned","In Progress")))</f>
        <v>Returned</v>
      </c>
      <c r="V1398" s="1" t="str">
        <f aca="false">IF(M1398&gt;=10000,"High Value",IF(M1398&gt;=5000,"Medium Value","Low Value"))</f>
        <v>Low Value</v>
      </c>
      <c r="W1398" s="1" t="str">
        <f aca="false">IF(O1398&gt;0,"Profitable",IF(O1398=0,"Break-even","Loss"))</f>
        <v>Profitable</v>
      </c>
      <c r="X1398" s="1" t="str">
        <f aca="false">IF(Q1398="Cancelled","Not Applicable",IF(Q1398="Processing","Pending",IF(B1398="","Unknown",IF(Orders!J1398="","Unknown",IF(Orders!J1398&lt;=3,"Fast",IF(Orders!J1398&lt;=6,"Standard","Slow"))))))</f>
        <v>Slow</v>
      </c>
      <c r="Y1398" s="1" t="n">
        <f aca="false">IF(OR(Q1398="Cancelled",Q1398="Returned"),0,O1398)</f>
        <v>0</v>
      </c>
    </row>
    <row r="1399" customFormat="false" ht="15" hidden="false" customHeight="false" outlineLevel="0" collapsed="false">
      <c r="A1399" s="6" t="str">
        <f aca="false">Orders!A1399</f>
        <v>O001398</v>
      </c>
      <c r="B1399" s="19" t="n">
        <f aca="false">Orders!B1399</f>
        <v>45993</v>
      </c>
      <c r="C1399" s="6" t="str">
        <f aca="false">Orders!C1399</f>
        <v>C0289</v>
      </c>
      <c r="D1399" s="6" t="str">
        <f aca="false">Orders!D1399</f>
        <v>P1010</v>
      </c>
      <c r="E1399" s="6" t="str">
        <f aca="false">INDEX(Products!$B$2:$B$101,MATCH(D1399,Products!$A$2:$A$101,0))</f>
        <v>Webcam</v>
      </c>
      <c r="F1399" s="1" t="str">
        <f aca="false">INDEX(Products!$C$2:$C$101,MATCH(D1399,Products!$A$2:$A$101,0))</f>
        <v>Electronics</v>
      </c>
      <c r="G1399" s="6" t="n">
        <f aca="false">Orders!E1399</f>
        <v>3</v>
      </c>
      <c r="H1399" s="16" t="n">
        <f aca="false">INDEX(Products!$D$2:$D$101,MATCH(D1399,Products!$A$2:$A$101,0))</f>
        <v>1799</v>
      </c>
      <c r="I1399" s="16" t="n">
        <f aca="false">INDEX(Products!$E$2:$E$101,MATCH(D1399,Products!$A$2:$A$101,0))</f>
        <v>1050</v>
      </c>
      <c r="J1399" s="20" t="n">
        <f aca="false">Orders!F1399</f>
        <v>0.15</v>
      </c>
      <c r="K1399" s="6" t="n">
        <f aca="false">G1399*H1399</f>
        <v>5397</v>
      </c>
      <c r="L1399" s="6" t="n">
        <f aca="false">K1399*J1399</f>
        <v>809.55</v>
      </c>
      <c r="M1399" s="6" t="n">
        <f aca="false">K1399-L1399</f>
        <v>4587.45</v>
      </c>
      <c r="N1399" s="6" t="n">
        <f aca="false">G1399*I1399</f>
        <v>3150</v>
      </c>
      <c r="O1399" s="6" t="n">
        <f aca="false">M1399-N1399</f>
        <v>1437.45</v>
      </c>
      <c r="P1399" s="21" t="n">
        <f aca="false">IFERROR(O1399/M1399,0)</f>
        <v>0.313344014648661</v>
      </c>
      <c r="Q1399" s="6" t="str">
        <f aca="false">Orders!H1399</f>
        <v>Delivered</v>
      </c>
      <c r="R1399" s="1" t="str">
        <f aca="false">INDEX(Customers!$C$2:$C$301,MATCH(C1399,Customers!$A$2:$A$301,0))</f>
        <v>Ahmedabad</v>
      </c>
      <c r="S1399" s="1" t="str">
        <f aca="false">INDEX(Customers!$E$2:$E$301,MATCH(C1399,Customers!$A$2:$A$301,0))</f>
        <v>Returning</v>
      </c>
      <c r="T1399" s="6" t="str">
        <f aca="false">Orders!I1399</f>
        <v>Marketplace</v>
      </c>
      <c r="U1399" s="1" t="str">
        <f aca="false">IF(Q1399="Delivered","Completed",IF(Q1399="Cancelled","Cancelled",IF(Q1399="Returned","Returned","In Progress")))</f>
        <v>Completed</v>
      </c>
      <c r="V1399" s="1" t="str">
        <f aca="false">IF(M1399&gt;=10000,"High Value",IF(M1399&gt;=5000,"Medium Value","Low Value"))</f>
        <v>Low Value</v>
      </c>
      <c r="W1399" s="1" t="str">
        <f aca="false">IF(O1399&gt;0,"Profitable",IF(O1399=0,"Break-even","Loss"))</f>
        <v>Profitable</v>
      </c>
      <c r="X1399" s="1" t="str">
        <f aca="false">IF(Q1399="Cancelled","Not Applicable",IF(Q1399="Processing","Pending",IF(B1399="","Unknown",IF(Orders!J1399="","Unknown",IF(Orders!J1399&lt;=3,"Fast",IF(Orders!J1399&lt;=6,"Standard","Slow"))))))</f>
        <v>Standard</v>
      </c>
      <c r="Y1399" s="1" t="n">
        <f aca="false">IF(OR(Q1399="Cancelled",Q1399="Returned"),0,O1399)</f>
        <v>1437.45</v>
      </c>
    </row>
    <row r="1400" customFormat="false" ht="15" hidden="false" customHeight="false" outlineLevel="0" collapsed="false">
      <c r="A1400" s="6" t="str">
        <f aca="false">Orders!A1400</f>
        <v>O001399</v>
      </c>
      <c r="B1400" s="19" t="n">
        <f aca="false">Orders!B1400</f>
        <v>45912</v>
      </c>
      <c r="C1400" s="6" t="str">
        <f aca="false">Orders!C1400</f>
        <v>C0157</v>
      </c>
      <c r="D1400" s="6" t="str">
        <f aca="false">Orders!D1400</f>
        <v>P1055</v>
      </c>
      <c r="E1400" s="6" t="str">
        <f aca="false">INDEX(Products!$B$2:$B$101,MATCH(D1400,Products!$A$2:$A$101,0))</f>
        <v>Perfume</v>
      </c>
      <c r="F1400" s="1" t="str">
        <f aca="false">INDEX(Products!$C$2:$C$101,MATCH(D1400,Products!$A$2:$A$101,0))</f>
        <v>Beauty</v>
      </c>
      <c r="G1400" s="6" t="n">
        <f aca="false">Orders!E1400</f>
        <v>1</v>
      </c>
      <c r="H1400" s="16" t="n">
        <f aca="false">INDEX(Products!$D$2:$D$101,MATCH(D1400,Products!$A$2:$A$101,0))</f>
        <v>999</v>
      </c>
      <c r="I1400" s="16" t="n">
        <f aca="false">INDEX(Products!$E$2:$E$101,MATCH(D1400,Products!$A$2:$A$101,0))</f>
        <v>500</v>
      </c>
      <c r="J1400" s="20" t="n">
        <f aca="false">Orders!F1400</f>
        <v>0.05</v>
      </c>
      <c r="K1400" s="6" t="n">
        <f aca="false">G1400*H1400</f>
        <v>999</v>
      </c>
      <c r="L1400" s="6" t="n">
        <f aca="false">K1400*J1400</f>
        <v>49.95</v>
      </c>
      <c r="M1400" s="6" t="n">
        <f aca="false">K1400-L1400</f>
        <v>949.05</v>
      </c>
      <c r="N1400" s="6" t="n">
        <f aca="false">G1400*I1400</f>
        <v>500</v>
      </c>
      <c r="O1400" s="6" t="n">
        <f aca="false">M1400-N1400</f>
        <v>449.05</v>
      </c>
      <c r="P1400" s="21" t="n">
        <f aca="false">IFERROR(O1400/M1400,0)</f>
        <v>0.47315736789421</v>
      </c>
      <c r="Q1400" s="6" t="str">
        <f aca="false">Orders!H1400</f>
        <v>Shipped</v>
      </c>
      <c r="R1400" s="1" t="str">
        <f aca="false">INDEX(Customers!$C$2:$C$301,MATCH(C1400,Customers!$A$2:$A$301,0))</f>
        <v>Surat</v>
      </c>
      <c r="S1400" s="1" t="str">
        <f aca="false">INDEX(Customers!$E$2:$E$301,MATCH(C1400,Customers!$A$2:$A$301,0))</f>
        <v>VIP</v>
      </c>
      <c r="T1400" s="6" t="str">
        <f aca="false">Orders!I1400</f>
        <v>Mobile App</v>
      </c>
      <c r="U1400" s="1" t="str">
        <f aca="false">IF(Q1400="Delivered","Completed",IF(Q1400="Cancelled","Cancelled",IF(Q1400="Returned","Returned","In Progress")))</f>
        <v>In Progress</v>
      </c>
      <c r="V1400" s="1" t="str">
        <f aca="false">IF(M1400&gt;=10000,"High Value",IF(M1400&gt;=5000,"Medium Value","Low Value"))</f>
        <v>Low Value</v>
      </c>
      <c r="W1400" s="1" t="str">
        <f aca="false">IF(O1400&gt;0,"Profitable",IF(O1400=0,"Break-even","Loss"))</f>
        <v>Profitable</v>
      </c>
      <c r="X1400" s="1" t="str">
        <f aca="false">IF(Q1400="Cancelled","Not Applicable",IF(Q1400="Processing","Pending",IF(B1400="","Unknown",IF(Orders!J1400="","Unknown",IF(Orders!J1400&lt;=3,"Fast",IF(Orders!J1400&lt;=6,"Standard","Slow"))))))</f>
        <v>Slow</v>
      </c>
      <c r="Y1400" s="1" t="n">
        <f aca="false">IF(OR(Q1400="Cancelled",Q1400="Returned"),0,O1400)</f>
        <v>449.05</v>
      </c>
    </row>
    <row r="1401" customFormat="false" ht="23.85" hidden="false" customHeight="false" outlineLevel="0" collapsed="false">
      <c r="A1401" s="6" t="str">
        <f aca="false">Orders!A1401</f>
        <v>O001400</v>
      </c>
      <c r="B1401" s="19" t="n">
        <f aca="false">Orders!B1401</f>
        <v>45794</v>
      </c>
      <c r="C1401" s="6" t="str">
        <f aca="false">Orders!C1401</f>
        <v>C0050</v>
      </c>
      <c r="D1401" s="6" t="str">
        <f aca="false">Orders!D1401</f>
        <v>P1041</v>
      </c>
      <c r="E1401" s="6" t="str">
        <f aca="false">INDEX(Products!$B$2:$B$101,MATCH(D1401,Products!$A$2:$A$101,0))</f>
        <v>Food Storage Jars</v>
      </c>
      <c r="F1401" s="1" t="str">
        <f aca="false">INDEX(Products!$C$2:$C$101,MATCH(D1401,Products!$A$2:$A$101,0))</f>
        <v>Home &amp; Kitchen</v>
      </c>
      <c r="G1401" s="6" t="n">
        <f aca="false">Orders!E1401</f>
        <v>2</v>
      </c>
      <c r="H1401" s="16" t="n">
        <f aca="false">INDEX(Products!$D$2:$D$101,MATCH(D1401,Products!$A$2:$A$101,0))</f>
        <v>499</v>
      </c>
      <c r="I1401" s="16" t="n">
        <f aca="false">INDEX(Products!$E$2:$E$101,MATCH(D1401,Products!$A$2:$A$101,0))</f>
        <v>220</v>
      </c>
      <c r="J1401" s="20" t="n">
        <f aca="false">Orders!F1401</f>
        <v>0.15</v>
      </c>
      <c r="K1401" s="6" t="n">
        <f aca="false">G1401*H1401</f>
        <v>998</v>
      </c>
      <c r="L1401" s="6" t="n">
        <f aca="false">K1401*J1401</f>
        <v>149.7</v>
      </c>
      <c r="M1401" s="6" t="n">
        <f aca="false">K1401-L1401</f>
        <v>848.3</v>
      </c>
      <c r="N1401" s="6" t="n">
        <f aca="false">G1401*I1401</f>
        <v>440</v>
      </c>
      <c r="O1401" s="6" t="n">
        <f aca="false">M1401-N1401</f>
        <v>408.3</v>
      </c>
      <c r="P1401" s="21" t="n">
        <f aca="false">IFERROR(O1401/M1401,0)</f>
        <v>0.481315572321113</v>
      </c>
      <c r="Q1401" s="6" t="str">
        <f aca="false">Orders!H1401</f>
        <v>Delivered</v>
      </c>
      <c r="R1401" s="1" t="str">
        <f aca="false">INDEX(Customers!$C$2:$C$301,MATCH(C1401,Customers!$A$2:$A$301,0))</f>
        <v>Lucknow</v>
      </c>
      <c r="S1401" s="1" t="str">
        <f aca="false">INDEX(Customers!$E$2:$E$301,MATCH(C1401,Customers!$A$2:$A$301,0))</f>
        <v>New</v>
      </c>
      <c r="T1401" s="6" t="str">
        <f aca="false">Orders!I1401</f>
        <v>Mobile App</v>
      </c>
      <c r="U1401" s="1" t="str">
        <f aca="false">IF(Q1401="Delivered","Completed",IF(Q1401="Cancelled","Cancelled",IF(Q1401="Returned","Returned","In Progress")))</f>
        <v>Completed</v>
      </c>
      <c r="V1401" s="1" t="str">
        <f aca="false">IF(M1401&gt;=10000,"High Value",IF(M1401&gt;=5000,"Medium Value","Low Value"))</f>
        <v>Low Value</v>
      </c>
      <c r="W1401" s="1" t="str">
        <f aca="false">IF(O1401&gt;0,"Profitable",IF(O1401=0,"Break-even","Loss"))</f>
        <v>Profitable</v>
      </c>
      <c r="X1401" s="1" t="str">
        <f aca="false">IF(Q1401="Cancelled","Not Applicable",IF(Q1401="Processing","Pending",IF(B1401="","Unknown",IF(Orders!J1401="","Unknown",IF(Orders!J1401&lt;=3,"Fast",IF(Orders!J1401&lt;=6,"Standard","Slow"))))))</f>
        <v>Standard</v>
      </c>
      <c r="Y1401" s="1" t="n">
        <f aca="false">IF(OR(Q1401="Cancelled",Q1401="Returned"),0,O1401)</f>
        <v>408.3</v>
      </c>
    </row>
    <row r="1402" customFormat="false" ht="15" hidden="false" customHeight="false" outlineLevel="0" collapsed="false">
      <c r="A1402" s="6" t="str">
        <f aca="false">Orders!A1402</f>
        <v>O001401</v>
      </c>
      <c r="B1402" s="19" t="n">
        <f aca="false">Orders!B1402</f>
        <v>45663</v>
      </c>
      <c r="C1402" s="6" t="str">
        <f aca="false">Orders!C1402</f>
        <v>C0094</v>
      </c>
      <c r="D1402" s="6" t="str">
        <f aca="false">Orders!D1402</f>
        <v>P1021</v>
      </c>
      <c r="E1402" s="6" t="str">
        <f aca="false">INDEX(Products!$B$2:$B$101,MATCH(D1402,Products!$A$2:$A$101,0))</f>
        <v>Handbag</v>
      </c>
      <c r="F1402" s="1" t="str">
        <f aca="false">INDEX(Products!$C$2:$C$101,MATCH(D1402,Products!$A$2:$A$101,0))</f>
        <v>Fashion</v>
      </c>
      <c r="G1402" s="6" t="n">
        <f aca="false">Orders!E1402</f>
        <v>1</v>
      </c>
      <c r="H1402" s="16" t="n">
        <f aca="false">INDEX(Products!$D$2:$D$101,MATCH(D1402,Products!$A$2:$A$101,0))</f>
        <v>1499</v>
      </c>
      <c r="I1402" s="16" t="n">
        <f aca="false">INDEX(Products!$E$2:$E$101,MATCH(D1402,Products!$A$2:$A$101,0))</f>
        <v>700</v>
      </c>
      <c r="J1402" s="20" t="n">
        <f aca="false">Orders!F1402</f>
        <v>0.25</v>
      </c>
      <c r="K1402" s="6" t="n">
        <f aca="false">G1402*H1402</f>
        <v>1499</v>
      </c>
      <c r="L1402" s="6" t="n">
        <f aca="false">K1402*J1402</f>
        <v>374.75</v>
      </c>
      <c r="M1402" s="6" t="n">
        <f aca="false">K1402-L1402</f>
        <v>1124.25</v>
      </c>
      <c r="N1402" s="6" t="n">
        <f aca="false">G1402*I1402</f>
        <v>700</v>
      </c>
      <c r="O1402" s="6" t="n">
        <f aca="false">M1402-N1402</f>
        <v>424.25</v>
      </c>
      <c r="P1402" s="21" t="n">
        <f aca="false">IFERROR(O1402/M1402,0)</f>
        <v>0.377362686235268</v>
      </c>
      <c r="Q1402" s="6" t="str">
        <f aca="false">Orders!H1402</f>
        <v>Delivered</v>
      </c>
      <c r="R1402" s="1" t="str">
        <f aca="false">INDEX(Customers!$C$2:$C$301,MATCH(C1402,Customers!$A$2:$A$301,0))</f>
        <v>Indore</v>
      </c>
      <c r="S1402" s="1" t="str">
        <f aca="false">INDEX(Customers!$E$2:$E$301,MATCH(C1402,Customers!$A$2:$A$301,0))</f>
        <v>VIP</v>
      </c>
      <c r="T1402" s="6" t="str">
        <f aca="false">Orders!I1402</f>
        <v>Mobile App</v>
      </c>
      <c r="U1402" s="1" t="str">
        <f aca="false">IF(Q1402="Delivered","Completed",IF(Q1402="Cancelled","Cancelled",IF(Q1402="Returned","Returned","In Progress")))</f>
        <v>Completed</v>
      </c>
      <c r="V1402" s="1" t="str">
        <f aca="false">IF(M1402&gt;=10000,"High Value",IF(M1402&gt;=5000,"Medium Value","Low Value"))</f>
        <v>Low Value</v>
      </c>
      <c r="W1402" s="1" t="str">
        <f aca="false">IF(O1402&gt;0,"Profitable",IF(O1402=0,"Break-even","Loss"))</f>
        <v>Profitable</v>
      </c>
      <c r="X1402" s="1" t="str">
        <f aca="false">IF(Q1402="Cancelled","Not Applicable",IF(Q1402="Processing","Pending",IF(B1402="","Unknown",IF(Orders!J1402="","Unknown",IF(Orders!J1402&lt;=3,"Fast",IF(Orders!J1402&lt;=6,"Standard","Slow"))))))</f>
        <v>Slow</v>
      </c>
      <c r="Y1402" s="1" t="n">
        <f aca="false">IF(OR(Q1402="Cancelled",Q1402="Returned"),0,O1402)</f>
        <v>424.25</v>
      </c>
    </row>
    <row r="1403" customFormat="false" ht="23.85" hidden="false" customHeight="false" outlineLevel="0" collapsed="false">
      <c r="A1403" s="6" t="str">
        <f aca="false">Orders!A1403</f>
        <v>O001402</v>
      </c>
      <c r="B1403" s="19" t="n">
        <f aca="false">Orders!B1403</f>
        <v>45784</v>
      </c>
      <c r="C1403" s="6" t="str">
        <f aca="false">Orders!C1403</f>
        <v>C0140</v>
      </c>
      <c r="D1403" s="6" t="str">
        <f aca="false">Orders!D1403</f>
        <v>P1070</v>
      </c>
      <c r="E1403" s="6" t="str">
        <f aca="false">INDEX(Products!$B$2:$B$101,MATCH(D1403,Products!$A$2:$A$101,0))</f>
        <v>Knee Support Pair</v>
      </c>
      <c r="F1403" s="1" t="str">
        <f aca="false">INDEX(Products!$C$2:$C$101,MATCH(D1403,Products!$A$2:$A$101,0))</f>
        <v>Sports &amp; Outdoors</v>
      </c>
      <c r="G1403" s="6" t="n">
        <f aca="false">Orders!E1403</f>
        <v>2</v>
      </c>
      <c r="H1403" s="16" t="n">
        <f aca="false">INDEX(Products!$D$2:$D$101,MATCH(D1403,Products!$A$2:$A$101,0))</f>
        <v>449</v>
      </c>
      <c r="I1403" s="16" t="n">
        <f aca="false">INDEX(Products!$E$2:$E$101,MATCH(D1403,Products!$A$2:$A$101,0))</f>
        <v>180</v>
      </c>
      <c r="J1403" s="20" t="n">
        <f aca="false">Orders!F1403</f>
        <v>0.2</v>
      </c>
      <c r="K1403" s="6" t="n">
        <f aca="false">G1403*H1403</f>
        <v>898</v>
      </c>
      <c r="L1403" s="6" t="n">
        <f aca="false">K1403*J1403</f>
        <v>179.6</v>
      </c>
      <c r="M1403" s="6" t="n">
        <f aca="false">K1403-L1403</f>
        <v>718.4</v>
      </c>
      <c r="N1403" s="6" t="n">
        <f aca="false">G1403*I1403</f>
        <v>360</v>
      </c>
      <c r="O1403" s="6" t="n">
        <f aca="false">M1403-N1403</f>
        <v>358.4</v>
      </c>
      <c r="P1403" s="21" t="n">
        <f aca="false">IFERROR(O1403/M1403,0)</f>
        <v>0.498886414253898</v>
      </c>
      <c r="Q1403" s="6" t="str">
        <f aca="false">Orders!H1403</f>
        <v>Shipped</v>
      </c>
      <c r="R1403" s="1" t="str">
        <f aca="false">INDEX(Customers!$C$2:$C$301,MATCH(C1403,Customers!$A$2:$A$301,0))</f>
        <v>Visakhapatnam</v>
      </c>
      <c r="S1403" s="1" t="str">
        <f aca="false">INDEX(Customers!$E$2:$E$301,MATCH(C1403,Customers!$A$2:$A$301,0))</f>
        <v>New</v>
      </c>
      <c r="T1403" s="6" t="str">
        <f aca="false">Orders!I1403</f>
        <v>Marketplace</v>
      </c>
      <c r="U1403" s="1" t="str">
        <f aca="false">IF(Q1403="Delivered","Completed",IF(Q1403="Cancelled","Cancelled",IF(Q1403="Returned","Returned","In Progress")))</f>
        <v>In Progress</v>
      </c>
      <c r="V1403" s="1" t="str">
        <f aca="false">IF(M1403&gt;=10000,"High Value",IF(M1403&gt;=5000,"Medium Value","Low Value"))</f>
        <v>Low Value</v>
      </c>
      <c r="W1403" s="1" t="str">
        <f aca="false">IF(O1403&gt;0,"Profitable",IF(O1403=0,"Break-even","Loss"))</f>
        <v>Profitable</v>
      </c>
      <c r="X1403" s="1" t="str">
        <f aca="false">IF(Q1403="Cancelled","Not Applicable",IF(Q1403="Processing","Pending",IF(B1403="","Unknown",IF(Orders!J1403="","Unknown",IF(Orders!J1403&lt;=3,"Fast",IF(Orders!J1403&lt;=6,"Standard","Slow"))))))</f>
        <v>Fast</v>
      </c>
      <c r="Y1403" s="1" t="n">
        <f aca="false">IF(OR(Q1403="Cancelled",Q1403="Returned"),0,O1403)</f>
        <v>358.4</v>
      </c>
    </row>
    <row r="1404" customFormat="false" ht="15" hidden="false" customHeight="false" outlineLevel="0" collapsed="false">
      <c r="A1404" s="6" t="str">
        <f aca="false">Orders!A1404</f>
        <v>O001403</v>
      </c>
      <c r="B1404" s="19" t="n">
        <f aca="false">Orders!B1404</f>
        <v>45849</v>
      </c>
      <c r="C1404" s="6" t="str">
        <f aca="false">Orders!C1404</f>
        <v>C0062</v>
      </c>
      <c r="D1404" s="6" t="str">
        <f aca="false">Orders!D1404</f>
        <v>P1083</v>
      </c>
      <c r="E1404" s="6" t="str">
        <f aca="false">INDEX(Products!$B$2:$B$101,MATCH(D1404,Products!$A$2:$A$101,0))</f>
        <v>Reading Light</v>
      </c>
      <c r="F1404" s="1" t="str">
        <f aca="false">INDEX(Products!$C$2:$C$101,MATCH(D1404,Products!$A$2:$A$101,0))</f>
        <v>Books &amp; Stationery</v>
      </c>
      <c r="G1404" s="6" t="n">
        <f aca="false">Orders!E1404</f>
        <v>1</v>
      </c>
      <c r="H1404" s="16" t="n">
        <f aca="false">INDEX(Products!$D$2:$D$101,MATCH(D1404,Products!$A$2:$A$101,0))</f>
        <v>399</v>
      </c>
      <c r="I1404" s="16" t="n">
        <f aca="false">INDEX(Products!$E$2:$E$101,MATCH(D1404,Products!$A$2:$A$101,0))</f>
        <v>180</v>
      </c>
      <c r="J1404" s="20" t="n">
        <f aca="false">Orders!F1404</f>
        <v>0</v>
      </c>
      <c r="K1404" s="6" t="n">
        <f aca="false">G1404*H1404</f>
        <v>399</v>
      </c>
      <c r="L1404" s="6" t="n">
        <f aca="false">K1404*J1404</f>
        <v>0</v>
      </c>
      <c r="M1404" s="6" t="n">
        <f aca="false">K1404-L1404</f>
        <v>399</v>
      </c>
      <c r="N1404" s="6" t="n">
        <f aca="false">G1404*I1404</f>
        <v>180</v>
      </c>
      <c r="O1404" s="6" t="n">
        <f aca="false">M1404-N1404</f>
        <v>219</v>
      </c>
      <c r="P1404" s="21" t="n">
        <f aca="false">IFERROR(O1404/M1404,0)</f>
        <v>0.548872180451128</v>
      </c>
      <c r="Q1404" s="6" t="str">
        <f aca="false">Orders!H1404</f>
        <v>Delivered</v>
      </c>
      <c r="R1404" s="1" t="str">
        <f aca="false">INDEX(Customers!$C$2:$C$301,MATCH(C1404,Customers!$A$2:$A$301,0))</f>
        <v>Mumbai</v>
      </c>
      <c r="S1404" s="1" t="str">
        <f aca="false">INDEX(Customers!$E$2:$E$301,MATCH(C1404,Customers!$A$2:$A$301,0))</f>
        <v>VIP</v>
      </c>
      <c r="T1404" s="6" t="str">
        <f aca="false">Orders!I1404</f>
        <v>Mobile App</v>
      </c>
      <c r="U1404" s="1" t="str">
        <f aca="false">IF(Q1404="Delivered","Completed",IF(Q1404="Cancelled","Cancelled",IF(Q1404="Returned","Returned","In Progress")))</f>
        <v>Completed</v>
      </c>
      <c r="V1404" s="1" t="str">
        <f aca="false">IF(M1404&gt;=10000,"High Value",IF(M1404&gt;=5000,"Medium Value","Low Value"))</f>
        <v>Low Value</v>
      </c>
      <c r="W1404" s="1" t="str">
        <f aca="false">IF(O1404&gt;0,"Profitable",IF(O1404=0,"Break-even","Loss"))</f>
        <v>Profitable</v>
      </c>
      <c r="X1404" s="1" t="str">
        <f aca="false">IF(Q1404="Cancelled","Not Applicable",IF(Q1404="Processing","Pending",IF(B1404="","Unknown",IF(Orders!J1404="","Unknown",IF(Orders!J1404&lt;=3,"Fast",IF(Orders!J1404&lt;=6,"Standard","Slow"))))))</f>
        <v>Standard</v>
      </c>
      <c r="Y1404" s="1" t="n">
        <f aca="false">IF(OR(Q1404="Cancelled",Q1404="Returned"),0,O1404)</f>
        <v>219</v>
      </c>
    </row>
    <row r="1405" customFormat="false" ht="15" hidden="false" customHeight="false" outlineLevel="0" collapsed="false">
      <c r="A1405" s="6" t="str">
        <f aca="false">Orders!A1405</f>
        <v>O001404</v>
      </c>
      <c r="B1405" s="19" t="n">
        <f aca="false">Orders!B1405</f>
        <v>45848</v>
      </c>
      <c r="C1405" s="6" t="str">
        <f aca="false">Orders!C1405</f>
        <v>C0097</v>
      </c>
      <c r="D1405" s="6" t="str">
        <f aca="false">Orders!D1405</f>
        <v>P1003</v>
      </c>
      <c r="E1405" s="6" t="str">
        <f aca="false">INDEX(Products!$B$2:$B$101,MATCH(D1405,Products!$A$2:$A$101,0))</f>
        <v>Smart Watch</v>
      </c>
      <c r="F1405" s="1" t="str">
        <f aca="false">INDEX(Products!$C$2:$C$101,MATCH(D1405,Products!$A$2:$A$101,0))</f>
        <v>Electronics</v>
      </c>
      <c r="G1405" s="6" t="n">
        <f aca="false">Orders!E1405</f>
        <v>1</v>
      </c>
      <c r="H1405" s="16" t="n">
        <f aca="false">INDEX(Products!$D$2:$D$101,MATCH(D1405,Products!$A$2:$A$101,0))</f>
        <v>2499</v>
      </c>
      <c r="I1405" s="16" t="n">
        <f aca="false">INDEX(Products!$E$2:$E$101,MATCH(D1405,Products!$A$2:$A$101,0))</f>
        <v>1450</v>
      </c>
      <c r="J1405" s="20" t="n">
        <f aca="false">Orders!F1405</f>
        <v>0.25</v>
      </c>
      <c r="K1405" s="6" t="n">
        <f aca="false">G1405*H1405</f>
        <v>2499</v>
      </c>
      <c r="L1405" s="6" t="n">
        <f aca="false">K1405*J1405</f>
        <v>624.75</v>
      </c>
      <c r="M1405" s="6" t="n">
        <f aca="false">K1405-L1405</f>
        <v>1874.25</v>
      </c>
      <c r="N1405" s="6" t="n">
        <f aca="false">G1405*I1405</f>
        <v>1450</v>
      </c>
      <c r="O1405" s="6" t="n">
        <f aca="false">M1405-N1405</f>
        <v>424.25</v>
      </c>
      <c r="P1405" s="21" t="n">
        <f aca="false">IFERROR(O1405/M1405,0)</f>
        <v>0.226357209550487</v>
      </c>
      <c r="Q1405" s="6" t="str">
        <f aca="false">Orders!H1405</f>
        <v>Delivered</v>
      </c>
      <c r="R1405" s="1" t="str">
        <f aca="false">INDEX(Customers!$C$2:$C$301,MATCH(C1405,Customers!$A$2:$A$301,0))</f>
        <v>Surat</v>
      </c>
      <c r="S1405" s="1" t="str">
        <f aca="false">INDEX(Customers!$E$2:$E$301,MATCH(C1405,Customers!$A$2:$A$301,0))</f>
        <v>Returning</v>
      </c>
      <c r="T1405" s="6" t="str">
        <f aca="false">Orders!I1405</f>
        <v>Marketplace</v>
      </c>
      <c r="U1405" s="1" t="str">
        <f aca="false">IF(Q1405="Delivered","Completed",IF(Q1405="Cancelled","Cancelled",IF(Q1405="Returned","Returned","In Progress")))</f>
        <v>Completed</v>
      </c>
      <c r="V1405" s="1" t="str">
        <f aca="false">IF(M1405&gt;=10000,"High Value",IF(M1405&gt;=5000,"Medium Value","Low Value"))</f>
        <v>Low Value</v>
      </c>
      <c r="W1405" s="1" t="str">
        <f aca="false">IF(O1405&gt;0,"Profitable",IF(O1405=0,"Break-even","Loss"))</f>
        <v>Profitable</v>
      </c>
      <c r="X1405" s="1" t="str">
        <f aca="false">IF(Q1405="Cancelled","Not Applicable",IF(Q1405="Processing","Pending",IF(B1405="","Unknown",IF(Orders!J1405="","Unknown",IF(Orders!J1405&lt;=3,"Fast",IF(Orders!J1405&lt;=6,"Standard","Slow"))))))</f>
        <v>Standard</v>
      </c>
      <c r="Y1405" s="1" t="n">
        <f aca="false">IF(OR(Q1405="Cancelled",Q1405="Returned"),0,O1405)</f>
        <v>424.25</v>
      </c>
    </row>
    <row r="1406" customFormat="false" ht="15" hidden="false" customHeight="false" outlineLevel="0" collapsed="false">
      <c r="A1406" s="6" t="str">
        <f aca="false">Orders!A1406</f>
        <v>O001405</v>
      </c>
      <c r="B1406" s="19" t="n">
        <f aca="false">Orders!B1406</f>
        <v>45961</v>
      </c>
      <c r="C1406" s="6" t="str">
        <f aca="false">Orders!C1406</f>
        <v>C0150</v>
      </c>
      <c r="D1406" s="6" t="str">
        <f aca="false">Orders!D1406</f>
        <v>P1026</v>
      </c>
      <c r="E1406" s="6" t="str">
        <f aca="false">INDEX(Products!$B$2:$B$101,MATCH(D1406,Products!$A$2:$A$101,0))</f>
        <v>Sunglasses</v>
      </c>
      <c r="F1406" s="1" t="str">
        <f aca="false">INDEX(Products!$C$2:$C$101,MATCH(D1406,Products!$A$2:$A$101,0))</f>
        <v>Fashion</v>
      </c>
      <c r="G1406" s="6" t="n">
        <f aca="false">Orders!E1406</f>
        <v>1</v>
      </c>
      <c r="H1406" s="16" t="n">
        <f aca="false">INDEX(Products!$D$2:$D$101,MATCH(D1406,Products!$A$2:$A$101,0))</f>
        <v>799</v>
      </c>
      <c r="I1406" s="16" t="n">
        <f aca="false">INDEX(Products!$E$2:$E$101,MATCH(D1406,Products!$A$2:$A$101,0))</f>
        <v>300</v>
      </c>
      <c r="J1406" s="20" t="n">
        <f aca="false">Orders!F1406</f>
        <v>0.1</v>
      </c>
      <c r="K1406" s="6" t="n">
        <f aca="false">G1406*H1406</f>
        <v>799</v>
      </c>
      <c r="L1406" s="6" t="n">
        <f aca="false">K1406*J1406</f>
        <v>79.9</v>
      </c>
      <c r="M1406" s="6" t="n">
        <f aca="false">K1406-L1406</f>
        <v>719.1</v>
      </c>
      <c r="N1406" s="6" t="n">
        <f aca="false">G1406*I1406</f>
        <v>300</v>
      </c>
      <c r="O1406" s="6" t="n">
        <f aca="false">M1406-N1406</f>
        <v>419.1</v>
      </c>
      <c r="P1406" s="21" t="n">
        <f aca="false">IFERROR(O1406/M1406,0)</f>
        <v>0.582811848143513</v>
      </c>
      <c r="Q1406" s="6" t="str">
        <f aca="false">Orders!H1406</f>
        <v>Delivered</v>
      </c>
      <c r="R1406" s="1" t="str">
        <f aca="false">INDEX(Customers!$C$2:$C$301,MATCH(C1406,Customers!$A$2:$A$301,0))</f>
        <v>Lucknow</v>
      </c>
      <c r="S1406" s="1" t="str">
        <f aca="false">INDEX(Customers!$E$2:$E$301,MATCH(C1406,Customers!$A$2:$A$301,0))</f>
        <v>Returning</v>
      </c>
      <c r="T1406" s="6" t="str">
        <f aca="false">Orders!I1406</f>
        <v>Marketplace</v>
      </c>
      <c r="U1406" s="1" t="str">
        <f aca="false">IF(Q1406="Delivered","Completed",IF(Q1406="Cancelled","Cancelled",IF(Q1406="Returned","Returned","In Progress")))</f>
        <v>Completed</v>
      </c>
      <c r="V1406" s="1" t="str">
        <f aca="false">IF(M1406&gt;=10000,"High Value",IF(M1406&gt;=5000,"Medium Value","Low Value"))</f>
        <v>Low Value</v>
      </c>
      <c r="W1406" s="1" t="str">
        <f aca="false">IF(O1406&gt;0,"Profitable",IF(O1406=0,"Break-even","Loss"))</f>
        <v>Profitable</v>
      </c>
      <c r="X1406" s="1" t="str">
        <f aca="false">IF(Q1406="Cancelled","Not Applicable",IF(Q1406="Processing","Pending",IF(B1406="","Unknown",IF(Orders!J1406="","Unknown",IF(Orders!J1406&lt;=3,"Fast",IF(Orders!J1406&lt;=6,"Standard","Slow"))))))</f>
        <v>Standard</v>
      </c>
      <c r="Y1406" s="1" t="n">
        <f aca="false">IF(OR(Q1406="Cancelled",Q1406="Returned"),0,O1406)</f>
        <v>419.1</v>
      </c>
    </row>
    <row r="1407" customFormat="false" ht="15" hidden="false" customHeight="false" outlineLevel="0" collapsed="false">
      <c r="A1407" s="6" t="str">
        <f aca="false">Orders!A1407</f>
        <v>O001406</v>
      </c>
      <c r="B1407" s="19" t="n">
        <f aca="false">Orders!B1407</f>
        <v>45852</v>
      </c>
      <c r="C1407" s="6" t="str">
        <f aca="false">Orders!C1407</f>
        <v>C0094</v>
      </c>
      <c r="D1407" s="6" t="str">
        <f aca="false">Orders!D1407</f>
        <v>P1029</v>
      </c>
      <c r="E1407" s="6" t="str">
        <f aca="false">INDEX(Products!$B$2:$B$101,MATCH(D1407,Products!$A$2:$A$101,0))</f>
        <v>Scarf</v>
      </c>
      <c r="F1407" s="1" t="str">
        <f aca="false">INDEX(Products!$C$2:$C$101,MATCH(D1407,Products!$A$2:$A$101,0))</f>
        <v>Fashion</v>
      </c>
      <c r="G1407" s="6" t="n">
        <f aca="false">Orders!E1407</f>
        <v>2</v>
      </c>
      <c r="H1407" s="16" t="n">
        <f aca="false">INDEX(Products!$D$2:$D$101,MATCH(D1407,Products!$A$2:$A$101,0))</f>
        <v>299</v>
      </c>
      <c r="I1407" s="16" t="n">
        <f aca="false">INDEX(Products!$E$2:$E$101,MATCH(D1407,Products!$A$2:$A$101,0))</f>
        <v>100</v>
      </c>
      <c r="J1407" s="20" t="n">
        <f aca="false">Orders!F1407</f>
        <v>0.1</v>
      </c>
      <c r="K1407" s="6" t="n">
        <f aca="false">G1407*H1407</f>
        <v>598</v>
      </c>
      <c r="L1407" s="6" t="n">
        <f aca="false">K1407*J1407</f>
        <v>59.8</v>
      </c>
      <c r="M1407" s="6" t="n">
        <f aca="false">K1407-L1407</f>
        <v>538.2</v>
      </c>
      <c r="N1407" s="6" t="n">
        <f aca="false">G1407*I1407</f>
        <v>200</v>
      </c>
      <c r="O1407" s="6" t="n">
        <f aca="false">M1407-N1407</f>
        <v>338.2</v>
      </c>
      <c r="P1407" s="21" t="n">
        <f aca="false">IFERROR(O1407/M1407,0)</f>
        <v>0.628390932738759</v>
      </c>
      <c r="Q1407" s="6" t="str">
        <f aca="false">Orders!H1407</f>
        <v>Shipped</v>
      </c>
      <c r="R1407" s="1" t="str">
        <f aca="false">INDEX(Customers!$C$2:$C$301,MATCH(C1407,Customers!$A$2:$A$301,0))</f>
        <v>Indore</v>
      </c>
      <c r="S1407" s="1" t="str">
        <f aca="false">INDEX(Customers!$E$2:$E$301,MATCH(C1407,Customers!$A$2:$A$301,0))</f>
        <v>VIP</v>
      </c>
      <c r="T1407" s="6" t="str">
        <f aca="false">Orders!I1407</f>
        <v>Mobile App</v>
      </c>
      <c r="U1407" s="1" t="str">
        <f aca="false">IF(Q1407="Delivered","Completed",IF(Q1407="Cancelled","Cancelled",IF(Q1407="Returned","Returned","In Progress")))</f>
        <v>In Progress</v>
      </c>
      <c r="V1407" s="1" t="str">
        <f aca="false">IF(M1407&gt;=10000,"High Value",IF(M1407&gt;=5000,"Medium Value","Low Value"))</f>
        <v>Low Value</v>
      </c>
      <c r="W1407" s="1" t="str">
        <f aca="false">IF(O1407&gt;0,"Profitable",IF(O1407=0,"Break-even","Loss"))</f>
        <v>Profitable</v>
      </c>
      <c r="X1407" s="1" t="str">
        <f aca="false">IF(Q1407="Cancelled","Not Applicable",IF(Q1407="Processing","Pending",IF(B1407="","Unknown",IF(Orders!J1407="","Unknown",IF(Orders!J1407&lt;=3,"Fast",IF(Orders!J1407&lt;=6,"Standard","Slow"))))))</f>
        <v>Fast</v>
      </c>
      <c r="Y1407" s="1" t="n">
        <f aca="false">IF(OR(Q1407="Cancelled",Q1407="Returned"),0,O1407)</f>
        <v>338.2</v>
      </c>
    </row>
    <row r="1408" customFormat="false" ht="15" hidden="false" customHeight="false" outlineLevel="0" collapsed="false">
      <c r="A1408" s="6" t="str">
        <f aca="false">Orders!A1408</f>
        <v>O001407</v>
      </c>
      <c r="B1408" s="19" t="n">
        <f aca="false">Orders!B1408</f>
        <v>45989</v>
      </c>
      <c r="C1408" s="6" t="str">
        <f aca="false">Orders!C1408</f>
        <v>C0065</v>
      </c>
      <c r="D1408" s="6" t="str">
        <f aca="false">Orders!D1408</f>
        <v>P1075</v>
      </c>
      <c r="E1408" s="6" t="str">
        <f aca="false">INDEX(Products!$B$2:$B$101,MATCH(D1408,Products!$A$2:$A$101,0))</f>
        <v>Ball Pen Set</v>
      </c>
      <c r="F1408" s="1" t="str">
        <f aca="false">INDEX(Products!$C$2:$C$101,MATCH(D1408,Products!$A$2:$A$101,0))</f>
        <v>Books &amp; Stationery</v>
      </c>
      <c r="G1408" s="6" t="n">
        <f aca="false">Orders!E1408</f>
        <v>2</v>
      </c>
      <c r="H1408" s="16" t="n">
        <f aca="false">INDEX(Products!$D$2:$D$101,MATCH(D1408,Products!$A$2:$A$101,0))</f>
        <v>199</v>
      </c>
      <c r="I1408" s="16" t="n">
        <f aca="false">INDEX(Products!$E$2:$E$101,MATCH(D1408,Products!$A$2:$A$101,0))</f>
        <v>65</v>
      </c>
      <c r="J1408" s="20" t="n">
        <f aca="false">Orders!F1408</f>
        <v>0</v>
      </c>
      <c r="K1408" s="6" t="n">
        <f aca="false">G1408*H1408</f>
        <v>398</v>
      </c>
      <c r="L1408" s="6" t="n">
        <f aca="false">K1408*J1408</f>
        <v>0</v>
      </c>
      <c r="M1408" s="6" t="n">
        <f aca="false">K1408-L1408</f>
        <v>398</v>
      </c>
      <c r="N1408" s="6" t="n">
        <f aca="false">G1408*I1408</f>
        <v>130</v>
      </c>
      <c r="O1408" s="6" t="n">
        <f aca="false">M1408-N1408</f>
        <v>268</v>
      </c>
      <c r="P1408" s="21" t="n">
        <f aca="false">IFERROR(O1408/M1408,0)</f>
        <v>0.673366834170854</v>
      </c>
      <c r="Q1408" s="6" t="str">
        <f aca="false">Orders!H1408</f>
        <v>Delivered</v>
      </c>
      <c r="R1408" s="1" t="str">
        <f aca="false">INDEX(Customers!$C$2:$C$301,MATCH(C1408,Customers!$A$2:$A$301,0))</f>
        <v>Chennai</v>
      </c>
      <c r="S1408" s="1" t="str">
        <f aca="false">INDEX(Customers!$E$2:$E$301,MATCH(C1408,Customers!$A$2:$A$301,0))</f>
        <v>Returning</v>
      </c>
      <c r="T1408" s="6" t="str">
        <f aca="false">Orders!I1408</f>
        <v>Mobile App</v>
      </c>
      <c r="U1408" s="1" t="str">
        <f aca="false">IF(Q1408="Delivered","Completed",IF(Q1408="Cancelled","Cancelled",IF(Q1408="Returned","Returned","In Progress")))</f>
        <v>Completed</v>
      </c>
      <c r="V1408" s="1" t="str">
        <f aca="false">IF(M1408&gt;=10000,"High Value",IF(M1408&gt;=5000,"Medium Value","Low Value"))</f>
        <v>Low Value</v>
      </c>
      <c r="W1408" s="1" t="str">
        <f aca="false">IF(O1408&gt;0,"Profitable",IF(O1408=0,"Break-even","Loss"))</f>
        <v>Profitable</v>
      </c>
      <c r="X1408" s="1" t="str">
        <f aca="false">IF(Q1408="Cancelled","Not Applicable",IF(Q1408="Processing","Pending",IF(B1408="","Unknown",IF(Orders!J1408="","Unknown",IF(Orders!J1408&lt;=3,"Fast",IF(Orders!J1408&lt;=6,"Standard","Slow"))))))</f>
        <v>Standard</v>
      </c>
      <c r="Y1408" s="1" t="n">
        <f aca="false">IF(OR(Q1408="Cancelled",Q1408="Returned"),0,O1408)</f>
        <v>268</v>
      </c>
    </row>
    <row r="1409" customFormat="false" ht="23.85" hidden="false" customHeight="false" outlineLevel="0" collapsed="false">
      <c r="A1409" s="6" t="str">
        <f aca="false">Orders!A1409</f>
        <v>O001408</v>
      </c>
      <c r="B1409" s="19" t="n">
        <f aca="false">Orders!B1409</f>
        <v>45872</v>
      </c>
      <c r="C1409" s="6" t="str">
        <f aca="false">Orders!C1409</f>
        <v>C0183</v>
      </c>
      <c r="D1409" s="6" t="str">
        <f aca="false">Orders!D1409</f>
        <v>P1001</v>
      </c>
      <c r="E1409" s="6" t="str">
        <f aca="false">INDEX(Products!$B$2:$B$101,MATCH(D1409,Products!$A$2:$A$101,0))</f>
        <v>Wireless Earbuds</v>
      </c>
      <c r="F1409" s="1" t="str">
        <f aca="false">INDEX(Products!$C$2:$C$101,MATCH(D1409,Products!$A$2:$A$101,0))</f>
        <v>Electronics</v>
      </c>
      <c r="G1409" s="6" t="n">
        <f aca="false">Orders!E1409</f>
        <v>1</v>
      </c>
      <c r="H1409" s="16" t="n">
        <f aca="false">INDEX(Products!$D$2:$D$101,MATCH(D1409,Products!$A$2:$A$101,0))</f>
        <v>899</v>
      </c>
      <c r="I1409" s="16" t="n">
        <f aca="false">INDEX(Products!$E$2:$E$101,MATCH(D1409,Products!$A$2:$A$101,0))</f>
        <v>499</v>
      </c>
      <c r="J1409" s="20" t="n">
        <f aca="false">Orders!F1409</f>
        <v>0.1</v>
      </c>
      <c r="K1409" s="6" t="n">
        <f aca="false">G1409*H1409</f>
        <v>899</v>
      </c>
      <c r="L1409" s="6" t="n">
        <f aca="false">K1409*J1409</f>
        <v>89.9</v>
      </c>
      <c r="M1409" s="6" t="n">
        <f aca="false">K1409-L1409</f>
        <v>809.1</v>
      </c>
      <c r="N1409" s="6" t="n">
        <f aca="false">G1409*I1409</f>
        <v>499</v>
      </c>
      <c r="O1409" s="6" t="n">
        <f aca="false">M1409-N1409</f>
        <v>310.1</v>
      </c>
      <c r="P1409" s="21" t="n">
        <f aca="false">IFERROR(O1409/M1409,0)</f>
        <v>0.383265356569027</v>
      </c>
      <c r="Q1409" s="6" t="str">
        <f aca="false">Orders!H1409</f>
        <v>Cancelled</v>
      </c>
      <c r="R1409" s="1" t="str">
        <f aca="false">INDEX(Customers!$C$2:$C$301,MATCH(C1409,Customers!$A$2:$A$301,0))</f>
        <v>Bengaluru</v>
      </c>
      <c r="S1409" s="1" t="str">
        <f aca="false">INDEX(Customers!$E$2:$E$301,MATCH(C1409,Customers!$A$2:$A$301,0))</f>
        <v>New</v>
      </c>
      <c r="T1409" s="6" t="str">
        <f aca="false">Orders!I1409</f>
        <v>Website</v>
      </c>
      <c r="U1409" s="1" t="str">
        <f aca="false">IF(Q1409="Delivered","Completed",IF(Q1409="Cancelled","Cancelled",IF(Q1409="Returned","Returned","In Progress")))</f>
        <v>Cancelled</v>
      </c>
      <c r="V1409" s="1" t="str">
        <f aca="false">IF(M1409&gt;=10000,"High Value",IF(M1409&gt;=5000,"Medium Value","Low Value"))</f>
        <v>Low Value</v>
      </c>
      <c r="W1409" s="1" t="str">
        <f aca="false">IF(O1409&gt;0,"Profitable",IF(O1409=0,"Break-even","Loss"))</f>
        <v>Profitable</v>
      </c>
      <c r="X1409" s="1" t="str">
        <f aca="false">IF(Q1409="Cancelled","Not Applicable",IF(Q1409="Processing","Pending",IF(B1409="","Unknown",IF(Orders!J1409="","Unknown",IF(Orders!J1409&lt;=3,"Fast",IF(Orders!J1409&lt;=6,"Standard","Slow"))))))</f>
        <v>Not Applicable</v>
      </c>
      <c r="Y1409" s="1" t="n">
        <f aca="false">IF(OR(Q1409="Cancelled",Q1409="Returned"),0,O1409)</f>
        <v>0</v>
      </c>
    </row>
    <row r="1410" customFormat="false" ht="15" hidden="false" customHeight="false" outlineLevel="0" collapsed="false">
      <c r="A1410" s="6" t="str">
        <f aca="false">Orders!A1410</f>
        <v>O001409</v>
      </c>
      <c r="B1410" s="19" t="n">
        <f aca="false">Orders!B1410</f>
        <v>45950</v>
      </c>
      <c r="C1410" s="6" t="str">
        <f aca="false">Orders!C1410</f>
        <v>C0002</v>
      </c>
      <c r="D1410" s="6" t="str">
        <f aca="false">Orders!D1410</f>
        <v>P1058</v>
      </c>
      <c r="E1410" s="6" t="str">
        <f aca="false">INDEX(Products!$B$2:$B$101,MATCH(D1410,Products!$A$2:$A$101,0))</f>
        <v>Nail Care Kit</v>
      </c>
      <c r="F1410" s="1" t="str">
        <f aca="false">INDEX(Products!$C$2:$C$101,MATCH(D1410,Products!$A$2:$A$101,0))</f>
        <v>Beauty</v>
      </c>
      <c r="G1410" s="6" t="n">
        <f aca="false">Orders!E1410</f>
        <v>2</v>
      </c>
      <c r="H1410" s="16" t="n">
        <f aca="false">INDEX(Products!$D$2:$D$101,MATCH(D1410,Products!$A$2:$A$101,0))</f>
        <v>399</v>
      </c>
      <c r="I1410" s="16" t="n">
        <f aca="false">INDEX(Products!$E$2:$E$101,MATCH(D1410,Products!$A$2:$A$101,0))</f>
        <v>170</v>
      </c>
      <c r="J1410" s="20" t="n">
        <f aca="false">Orders!F1410</f>
        <v>0</v>
      </c>
      <c r="K1410" s="6" t="n">
        <f aca="false">G1410*H1410</f>
        <v>798</v>
      </c>
      <c r="L1410" s="6" t="n">
        <f aca="false">K1410*J1410</f>
        <v>0</v>
      </c>
      <c r="M1410" s="6" t="n">
        <f aca="false">K1410-L1410</f>
        <v>798</v>
      </c>
      <c r="N1410" s="6" t="n">
        <f aca="false">G1410*I1410</f>
        <v>340</v>
      </c>
      <c r="O1410" s="6" t="n">
        <f aca="false">M1410-N1410</f>
        <v>458</v>
      </c>
      <c r="P1410" s="21" t="n">
        <f aca="false">IFERROR(O1410/M1410,0)</f>
        <v>0.573934837092732</v>
      </c>
      <c r="Q1410" s="6" t="str">
        <f aca="false">Orders!H1410</f>
        <v>Cancelled</v>
      </c>
      <c r="R1410" s="1" t="str">
        <f aca="false">INDEX(Customers!$C$2:$C$301,MATCH(C1410,Customers!$A$2:$A$301,0))</f>
        <v>Mumbai</v>
      </c>
      <c r="S1410" s="1" t="str">
        <f aca="false">INDEX(Customers!$E$2:$E$301,MATCH(C1410,Customers!$A$2:$A$301,0))</f>
        <v>New</v>
      </c>
      <c r="T1410" s="6" t="str">
        <f aca="false">Orders!I1410</f>
        <v>Mobile App</v>
      </c>
      <c r="U1410" s="1" t="str">
        <f aca="false">IF(Q1410="Delivered","Completed",IF(Q1410="Cancelled","Cancelled",IF(Q1410="Returned","Returned","In Progress")))</f>
        <v>Cancelled</v>
      </c>
      <c r="V1410" s="1" t="str">
        <f aca="false">IF(M1410&gt;=10000,"High Value",IF(M1410&gt;=5000,"Medium Value","Low Value"))</f>
        <v>Low Value</v>
      </c>
      <c r="W1410" s="1" t="str">
        <f aca="false">IF(O1410&gt;0,"Profitable",IF(O1410=0,"Break-even","Loss"))</f>
        <v>Profitable</v>
      </c>
      <c r="X1410" s="1" t="str">
        <f aca="false">IF(Q1410="Cancelled","Not Applicable",IF(Q1410="Processing","Pending",IF(B1410="","Unknown",IF(Orders!J1410="","Unknown",IF(Orders!J1410&lt;=3,"Fast",IF(Orders!J1410&lt;=6,"Standard","Slow"))))))</f>
        <v>Not Applicable</v>
      </c>
      <c r="Y1410" s="1" t="n">
        <f aca="false">IF(OR(Q1410="Cancelled",Q1410="Returned"),0,O1410)</f>
        <v>0</v>
      </c>
    </row>
    <row r="1411" customFormat="false" ht="15" hidden="false" customHeight="false" outlineLevel="0" collapsed="false">
      <c r="A1411" s="6" t="str">
        <f aca="false">Orders!A1411</f>
        <v>O001410</v>
      </c>
      <c r="B1411" s="19" t="n">
        <f aca="false">Orders!B1411</f>
        <v>45697</v>
      </c>
      <c r="C1411" s="6" t="str">
        <f aca="false">Orders!C1411</f>
        <v>C0221</v>
      </c>
      <c r="D1411" s="6" t="str">
        <f aca="false">Orders!D1411</f>
        <v>P1059</v>
      </c>
      <c r="E1411" s="6" t="str">
        <f aca="false">INDEX(Products!$B$2:$B$101,MATCH(D1411,Products!$A$2:$A$101,0))</f>
        <v>Bath Gift Set</v>
      </c>
      <c r="F1411" s="1" t="str">
        <f aca="false">INDEX(Products!$C$2:$C$101,MATCH(D1411,Products!$A$2:$A$101,0))</f>
        <v>Beauty</v>
      </c>
      <c r="G1411" s="6" t="n">
        <f aca="false">Orders!E1411</f>
        <v>2</v>
      </c>
      <c r="H1411" s="16" t="n">
        <f aca="false">INDEX(Products!$D$2:$D$101,MATCH(D1411,Products!$A$2:$A$101,0))</f>
        <v>699</v>
      </c>
      <c r="I1411" s="16" t="n">
        <f aca="false">INDEX(Products!$E$2:$E$101,MATCH(D1411,Products!$A$2:$A$101,0))</f>
        <v>350</v>
      </c>
      <c r="J1411" s="20" t="n">
        <f aca="false">Orders!F1411</f>
        <v>0.05</v>
      </c>
      <c r="K1411" s="6" t="n">
        <f aca="false">G1411*H1411</f>
        <v>1398</v>
      </c>
      <c r="L1411" s="6" t="n">
        <f aca="false">K1411*J1411</f>
        <v>69.9</v>
      </c>
      <c r="M1411" s="6" t="n">
        <f aca="false">K1411-L1411</f>
        <v>1328.1</v>
      </c>
      <c r="N1411" s="6" t="n">
        <f aca="false">G1411*I1411</f>
        <v>700</v>
      </c>
      <c r="O1411" s="6" t="n">
        <f aca="false">M1411-N1411</f>
        <v>628.1</v>
      </c>
      <c r="P1411" s="21" t="n">
        <f aca="false">IFERROR(O1411/M1411,0)</f>
        <v>0.472931255176568</v>
      </c>
      <c r="Q1411" s="6" t="str">
        <f aca="false">Orders!H1411</f>
        <v>Delivered</v>
      </c>
      <c r="R1411" s="1" t="str">
        <f aca="false">INDEX(Customers!$C$2:$C$301,MATCH(C1411,Customers!$A$2:$A$301,0))</f>
        <v>Delhi</v>
      </c>
      <c r="S1411" s="1" t="str">
        <f aca="false">INDEX(Customers!$E$2:$E$301,MATCH(C1411,Customers!$A$2:$A$301,0))</f>
        <v>New</v>
      </c>
      <c r="T1411" s="6" t="str">
        <f aca="false">Orders!I1411</f>
        <v>Mobile App</v>
      </c>
      <c r="U1411" s="1" t="str">
        <f aca="false">IF(Q1411="Delivered","Completed",IF(Q1411="Cancelled","Cancelled",IF(Q1411="Returned","Returned","In Progress")))</f>
        <v>Completed</v>
      </c>
      <c r="V1411" s="1" t="str">
        <f aca="false">IF(M1411&gt;=10000,"High Value",IF(M1411&gt;=5000,"Medium Value","Low Value"))</f>
        <v>Low Value</v>
      </c>
      <c r="W1411" s="1" t="str">
        <f aca="false">IF(O1411&gt;0,"Profitable",IF(O1411=0,"Break-even","Loss"))</f>
        <v>Profitable</v>
      </c>
      <c r="X1411" s="1" t="str">
        <f aca="false">IF(Q1411="Cancelled","Not Applicable",IF(Q1411="Processing","Pending",IF(B1411="","Unknown",IF(Orders!J1411="","Unknown",IF(Orders!J1411&lt;=3,"Fast",IF(Orders!J1411&lt;=6,"Standard","Slow"))))))</f>
        <v>Fast</v>
      </c>
      <c r="Y1411" s="1" t="n">
        <f aca="false">IF(OR(Q1411="Cancelled",Q1411="Returned"),0,O1411)</f>
        <v>628.1</v>
      </c>
    </row>
    <row r="1412" customFormat="false" ht="15" hidden="false" customHeight="false" outlineLevel="0" collapsed="false">
      <c r="A1412" s="6" t="str">
        <f aca="false">Orders!A1412</f>
        <v>O001411</v>
      </c>
      <c r="B1412" s="19" t="n">
        <f aca="false">Orders!B1412</f>
        <v>45946</v>
      </c>
      <c r="C1412" s="6" t="str">
        <f aca="false">Orders!C1412</f>
        <v>C0147</v>
      </c>
      <c r="D1412" s="6" t="str">
        <f aca="false">Orders!D1412</f>
        <v>P1027</v>
      </c>
      <c r="E1412" s="6" t="str">
        <f aca="false">INDEX(Products!$B$2:$B$101,MATCH(D1412,Products!$A$2:$A$101,0))</f>
        <v>Belt</v>
      </c>
      <c r="F1412" s="1" t="str">
        <f aca="false">INDEX(Products!$C$2:$C$101,MATCH(D1412,Products!$A$2:$A$101,0))</f>
        <v>Fashion</v>
      </c>
      <c r="G1412" s="6" t="n">
        <f aca="false">Orders!E1412</f>
        <v>1</v>
      </c>
      <c r="H1412" s="16" t="n">
        <f aca="false">INDEX(Products!$D$2:$D$101,MATCH(D1412,Products!$A$2:$A$101,0))</f>
        <v>399</v>
      </c>
      <c r="I1412" s="16" t="n">
        <f aca="false">INDEX(Products!$E$2:$E$101,MATCH(D1412,Products!$A$2:$A$101,0))</f>
        <v>160</v>
      </c>
      <c r="J1412" s="20" t="n">
        <f aca="false">Orders!F1412</f>
        <v>0.1</v>
      </c>
      <c r="K1412" s="6" t="n">
        <f aca="false">G1412*H1412</f>
        <v>399</v>
      </c>
      <c r="L1412" s="6" t="n">
        <f aca="false">K1412*J1412</f>
        <v>39.9</v>
      </c>
      <c r="M1412" s="6" t="n">
        <f aca="false">K1412-L1412</f>
        <v>359.1</v>
      </c>
      <c r="N1412" s="6" t="n">
        <f aca="false">G1412*I1412</f>
        <v>160</v>
      </c>
      <c r="O1412" s="6" t="n">
        <f aca="false">M1412-N1412</f>
        <v>199.1</v>
      </c>
      <c r="P1412" s="21" t="n">
        <f aca="false">IFERROR(O1412/M1412,0)</f>
        <v>0.554441659704818</v>
      </c>
      <c r="Q1412" s="6" t="str">
        <f aca="false">Orders!H1412</f>
        <v>Delivered</v>
      </c>
      <c r="R1412" s="1" t="str">
        <f aca="false">INDEX(Customers!$C$2:$C$301,MATCH(C1412,Customers!$A$2:$A$301,0))</f>
        <v>Pune</v>
      </c>
      <c r="S1412" s="1" t="str">
        <f aca="false">INDEX(Customers!$E$2:$E$301,MATCH(C1412,Customers!$A$2:$A$301,0))</f>
        <v>Returning</v>
      </c>
      <c r="T1412" s="6" t="str">
        <f aca="false">Orders!I1412</f>
        <v>Mobile App</v>
      </c>
      <c r="U1412" s="1" t="str">
        <f aca="false">IF(Q1412="Delivered","Completed",IF(Q1412="Cancelled","Cancelled",IF(Q1412="Returned","Returned","In Progress")))</f>
        <v>Completed</v>
      </c>
      <c r="V1412" s="1" t="str">
        <f aca="false">IF(M1412&gt;=10000,"High Value",IF(M1412&gt;=5000,"Medium Value","Low Value"))</f>
        <v>Low Value</v>
      </c>
      <c r="W1412" s="1" t="str">
        <f aca="false">IF(O1412&gt;0,"Profitable",IF(O1412=0,"Break-even","Loss"))</f>
        <v>Profitable</v>
      </c>
      <c r="X1412" s="1" t="str">
        <f aca="false">IF(Q1412="Cancelled","Not Applicable",IF(Q1412="Processing","Pending",IF(B1412="","Unknown",IF(Orders!J1412="","Unknown",IF(Orders!J1412&lt;=3,"Fast",IF(Orders!J1412&lt;=6,"Standard","Slow"))))))</f>
        <v>Fast</v>
      </c>
      <c r="Y1412" s="1" t="n">
        <f aca="false">IF(OR(Q1412="Cancelled",Q1412="Returned"),0,O1412)</f>
        <v>199.1</v>
      </c>
    </row>
    <row r="1413" customFormat="false" ht="15" hidden="false" customHeight="false" outlineLevel="0" collapsed="false">
      <c r="A1413" s="6" t="str">
        <f aca="false">Orders!A1413</f>
        <v>O001412</v>
      </c>
      <c r="B1413" s="19" t="n">
        <f aca="false">Orders!B1413</f>
        <v>45717</v>
      </c>
      <c r="C1413" s="6" t="str">
        <f aca="false">Orders!C1413</f>
        <v>C0225</v>
      </c>
      <c r="D1413" s="6" t="str">
        <f aca="false">Orders!D1413</f>
        <v>P1100</v>
      </c>
      <c r="E1413" s="6" t="str">
        <f aca="false">INDEX(Products!$B$2:$B$101,MATCH(D1413,Products!$A$2:$A$101,0))</f>
        <v>Coffee Maker</v>
      </c>
      <c r="F1413" s="1" t="str">
        <f aca="false">INDEX(Products!$C$2:$C$101,MATCH(D1413,Products!$A$2:$A$101,0))</f>
        <v>Appliances</v>
      </c>
      <c r="G1413" s="6" t="n">
        <f aca="false">Orders!E1413</f>
        <v>2</v>
      </c>
      <c r="H1413" s="16" t="n">
        <f aca="false">INDEX(Products!$D$2:$D$101,MATCH(D1413,Products!$A$2:$A$101,0))</f>
        <v>2499</v>
      </c>
      <c r="I1413" s="16" t="n">
        <f aca="false">INDEX(Products!$E$2:$E$101,MATCH(D1413,Products!$A$2:$A$101,0))</f>
        <v>1600</v>
      </c>
      <c r="J1413" s="20" t="n">
        <f aca="false">Orders!F1413</f>
        <v>0.05</v>
      </c>
      <c r="K1413" s="6" t="n">
        <f aca="false">G1413*H1413</f>
        <v>4998</v>
      </c>
      <c r="L1413" s="6" t="n">
        <f aca="false">K1413*J1413</f>
        <v>249.9</v>
      </c>
      <c r="M1413" s="6" t="n">
        <f aca="false">K1413-L1413</f>
        <v>4748.1</v>
      </c>
      <c r="N1413" s="6" t="n">
        <f aca="false">G1413*I1413</f>
        <v>3200</v>
      </c>
      <c r="O1413" s="6" t="n">
        <f aca="false">M1413-N1413</f>
        <v>1548.1</v>
      </c>
      <c r="P1413" s="21" t="n">
        <f aca="false">IFERROR(O1413/M1413,0)</f>
        <v>0.326046207956867</v>
      </c>
      <c r="Q1413" s="6" t="str">
        <f aca="false">Orders!H1413</f>
        <v>Delivered</v>
      </c>
      <c r="R1413" s="1" t="str">
        <f aca="false">INDEX(Customers!$C$2:$C$301,MATCH(C1413,Customers!$A$2:$A$301,0))</f>
        <v>Chennai</v>
      </c>
      <c r="S1413" s="1" t="str">
        <f aca="false">INDEX(Customers!$E$2:$E$301,MATCH(C1413,Customers!$A$2:$A$301,0))</f>
        <v>Returning</v>
      </c>
      <c r="T1413" s="6" t="str">
        <f aca="false">Orders!I1413</f>
        <v>Mobile App</v>
      </c>
      <c r="U1413" s="1" t="str">
        <f aca="false">IF(Q1413="Delivered","Completed",IF(Q1413="Cancelled","Cancelled",IF(Q1413="Returned","Returned","In Progress")))</f>
        <v>Completed</v>
      </c>
      <c r="V1413" s="1" t="str">
        <f aca="false">IF(M1413&gt;=10000,"High Value",IF(M1413&gt;=5000,"Medium Value","Low Value"))</f>
        <v>Low Value</v>
      </c>
      <c r="W1413" s="1" t="str">
        <f aca="false">IF(O1413&gt;0,"Profitable",IF(O1413=0,"Break-even","Loss"))</f>
        <v>Profitable</v>
      </c>
      <c r="X1413" s="1" t="str">
        <f aca="false">IF(Q1413="Cancelled","Not Applicable",IF(Q1413="Processing","Pending",IF(B1413="","Unknown",IF(Orders!J1413="","Unknown",IF(Orders!J1413&lt;=3,"Fast",IF(Orders!J1413&lt;=6,"Standard","Slow"))))))</f>
        <v>Slow</v>
      </c>
      <c r="Y1413" s="1" t="n">
        <f aca="false">IF(OR(Q1413="Cancelled",Q1413="Returned"),0,O1413)</f>
        <v>1548.1</v>
      </c>
    </row>
    <row r="1414" customFormat="false" ht="15" hidden="false" customHeight="false" outlineLevel="0" collapsed="false">
      <c r="A1414" s="6" t="str">
        <f aca="false">Orders!A1414</f>
        <v>O001413</v>
      </c>
      <c r="B1414" s="19" t="n">
        <f aca="false">Orders!B1414</f>
        <v>45977</v>
      </c>
      <c r="C1414" s="6" t="str">
        <f aca="false">Orders!C1414</f>
        <v>C0206</v>
      </c>
      <c r="D1414" s="6" t="str">
        <f aca="false">Orders!D1414</f>
        <v>P1005</v>
      </c>
      <c r="E1414" s="6" t="str">
        <f aca="false">INDEX(Products!$B$2:$B$101,MATCH(D1414,Products!$A$2:$A$101,0))</f>
        <v>Power Bank</v>
      </c>
      <c r="F1414" s="1" t="str">
        <f aca="false">INDEX(Products!$C$2:$C$101,MATCH(D1414,Products!$A$2:$A$101,0))</f>
        <v>Electronics</v>
      </c>
      <c r="G1414" s="6" t="n">
        <f aca="false">Orders!E1414</f>
        <v>2</v>
      </c>
      <c r="H1414" s="16" t="n">
        <f aca="false">INDEX(Products!$D$2:$D$101,MATCH(D1414,Products!$A$2:$A$101,0))</f>
        <v>1199</v>
      </c>
      <c r="I1414" s="16" t="n">
        <f aca="false">INDEX(Products!$E$2:$E$101,MATCH(D1414,Products!$A$2:$A$101,0))</f>
        <v>650</v>
      </c>
      <c r="J1414" s="20" t="n">
        <f aca="false">Orders!F1414</f>
        <v>0.1</v>
      </c>
      <c r="K1414" s="6" t="n">
        <f aca="false">G1414*H1414</f>
        <v>2398</v>
      </c>
      <c r="L1414" s="6" t="n">
        <f aca="false">K1414*J1414</f>
        <v>239.8</v>
      </c>
      <c r="M1414" s="6" t="n">
        <f aca="false">K1414-L1414</f>
        <v>2158.2</v>
      </c>
      <c r="N1414" s="6" t="n">
        <f aca="false">G1414*I1414</f>
        <v>1300</v>
      </c>
      <c r="O1414" s="6" t="n">
        <f aca="false">M1414-N1414</f>
        <v>858.2</v>
      </c>
      <c r="P1414" s="21" t="n">
        <f aca="false">IFERROR(O1414/M1414,0)</f>
        <v>0.397646186637012</v>
      </c>
      <c r="Q1414" s="6" t="str">
        <f aca="false">Orders!H1414</f>
        <v>Processing</v>
      </c>
      <c r="R1414" s="1" t="str">
        <f aca="false">INDEX(Customers!$C$2:$C$301,MATCH(C1414,Customers!$A$2:$A$301,0))</f>
        <v>Kolkata</v>
      </c>
      <c r="S1414" s="1" t="str">
        <f aca="false">INDEX(Customers!$E$2:$E$301,MATCH(C1414,Customers!$A$2:$A$301,0))</f>
        <v>Returning</v>
      </c>
      <c r="T1414" s="6" t="str">
        <f aca="false">Orders!I1414</f>
        <v>Mobile App</v>
      </c>
      <c r="U1414" s="1" t="str">
        <f aca="false">IF(Q1414="Delivered","Completed",IF(Q1414="Cancelled","Cancelled",IF(Q1414="Returned","Returned","In Progress")))</f>
        <v>In Progress</v>
      </c>
      <c r="V1414" s="1" t="str">
        <f aca="false">IF(M1414&gt;=10000,"High Value",IF(M1414&gt;=5000,"Medium Value","Low Value"))</f>
        <v>Low Value</v>
      </c>
      <c r="W1414" s="1" t="str">
        <f aca="false">IF(O1414&gt;0,"Profitable",IF(O1414=0,"Break-even","Loss"))</f>
        <v>Profitable</v>
      </c>
      <c r="X1414" s="1" t="str">
        <f aca="false">IF(Q1414="Cancelled","Not Applicable",IF(Q1414="Processing","Pending",IF(B1414="","Unknown",IF(Orders!J1414="","Unknown",IF(Orders!J1414&lt;=3,"Fast",IF(Orders!J1414&lt;=6,"Standard","Slow"))))))</f>
        <v>Pending</v>
      </c>
      <c r="Y1414" s="1" t="n">
        <f aca="false">IF(OR(Q1414="Cancelled",Q1414="Returned"),0,O1414)</f>
        <v>858.2</v>
      </c>
    </row>
    <row r="1415" customFormat="false" ht="23.85" hidden="false" customHeight="false" outlineLevel="0" collapsed="false">
      <c r="A1415" s="6" t="str">
        <f aca="false">Orders!A1415</f>
        <v>O001414</v>
      </c>
      <c r="B1415" s="19" t="n">
        <f aca="false">Orders!B1415</f>
        <v>45884</v>
      </c>
      <c r="C1415" s="6" t="str">
        <f aca="false">Orders!C1415</f>
        <v>C0205</v>
      </c>
      <c r="D1415" s="6" t="str">
        <f aca="false">Orders!D1415</f>
        <v>P1072</v>
      </c>
      <c r="E1415" s="6" t="str">
        <f aca="false">INDEX(Products!$B$2:$B$101,MATCH(D1415,Products!$A$2:$A$101,0))</f>
        <v>Tennis Balls Pack</v>
      </c>
      <c r="F1415" s="1" t="str">
        <f aca="false">INDEX(Products!$C$2:$C$101,MATCH(D1415,Products!$A$2:$A$101,0))</f>
        <v>Sports &amp; Outdoors</v>
      </c>
      <c r="G1415" s="6" t="n">
        <f aca="false">Orders!E1415</f>
        <v>1</v>
      </c>
      <c r="H1415" s="16" t="n">
        <f aca="false">INDEX(Products!$D$2:$D$101,MATCH(D1415,Products!$A$2:$A$101,0))</f>
        <v>399</v>
      </c>
      <c r="I1415" s="16" t="n">
        <f aca="false">INDEX(Products!$E$2:$E$101,MATCH(D1415,Products!$A$2:$A$101,0))</f>
        <v>160</v>
      </c>
      <c r="J1415" s="20" t="n">
        <f aca="false">Orders!F1415</f>
        <v>0.2</v>
      </c>
      <c r="K1415" s="6" t="n">
        <f aca="false">G1415*H1415</f>
        <v>399</v>
      </c>
      <c r="L1415" s="6" t="n">
        <f aca="false">K1415*J1415</f>
        <v>79.8</v>
      </c>
      <c r="M1415" s="6" t="n">
        <f aca="false">K1415-L1415</f>
        <v>319.2</v>
      </c>
      <c r="N1415" s="6" t="n">
        <f aca="false">G1415*I1415</f>
        <v>160</v>
      </c>
      <c r="O1415" s="6" t="n">
        <f aca="false">M1415-N1415</f>
        <v>159.2</v>
      </c>
      <c r="P1415" s="21" t="n">
        <f aca="false">IFERROR(O1415/M1415,0)</f>
        <v>0.49874686716792</v>
      </c>
      <c r="Q1415" s="6" t="str">
        <f aca="false">Orders!H1415</f>
        <v>Delivered</v>
      </c>
      <c r="R1415" s="1" t="str">
        <f aca="false">INDEX(Customers!$C$2:$C$301,MATCH(C1415,Customers!$A$2:$A$301,0))</f>
        <v>Chennai</v>
      </c>
      <c r="S1415" s="1" t="str">
        <f aca="false">INDEX(Customers!$E$2:$E$301,MATCH(C1415,Customers!$A$2:$A$301,0))</f>
        <v>Returning</v>
      </c>
      <c r="T1415" s="6" t="str">
        <f aca="false">Orders!I1415</f>
        <v>Marketplace</v>
      </c>
      <c r="U1415" s="1" t="str">
        <f aca="false">IF(Q1415="Delivered","Completed",IF(Q1415="Cancelled","Cancelled",IF(Q1415="Returned","Returned","In Progress")))</f>
        <v>Completed</v>
      </c>
      <c r="V1415" s="1" t="str">
        <f aca="false">IF(M1415&gt;=10000,"High Value",IF(M1415&gt;=5000,"Medium Value","Low Value"))</f>
        <v>Low Value</v>
      </c>
      <c r="W1415" s="1" t="str">
        <f aca="false">IF(O1415&gt;0,"Profitable",IF(O1415=0,"Break-even","Loss"))</f>
        <v>Profitable</v>
      </c>
      <c r="X1415" s="1" t="str">
        <f aca="false">IF(Q1415="Cancelled","Not Applicable",IF(Q1415="Processing","Pending",IF(B1415="","Unknown",IF(Orders!J1415="","Unknown",IF(Orders!J1415&lt;=3,"Fast",IF(Orders!J1415&lt;=6,"Standard","Slow"))))))</f>
        <v>Fast</v>
      </c>
      <c r="Y1415" s="1" t="n">
        <f aca="false">IF(OR(Q1415="Cancelled",Q1415="Returned"),0,O1415)</f>
        <v>159.2</v>
      </c>
    </row>
    <row r="1416" customFormat="false" ht="15" hidden="false" customHeight="false" outlineLevel="0" collapsed="false">
      <c r="A1416" s="6" t="str">
        <f aca="false">Orders!A1416</f>
        <v>O001415</v>
      </c>
      <c r="B1416" s="19" t="n">
        <f aca="false">Orders!B1416</f>
        <v>45698</v>
      </c>
      <c r="C1416" s="6" t="str">
        <f aca="false">Orders!C1416</f>
        <v>C0231</v>
      </c>
      <c r="D1416" s="6" t="str">
        <f aca="false">Orders!D1416</f>
        <v>P1062</v>
      </c>
      <c r="E1416" s="6" t="str">
        <f aca="false">INDEX(Products!$B$2:$B$101,MATCH(D1416,Products!$A$2:$A$101,0))</f>
        <v>Skipping Rope</v>
      </c>
      <c r="F1416" s="1" t="str">
        <f aca="false">INDEX(Products!$C$2:$C$101,MATCH(D1416,Products!$A$2:$A$101,0))</f>
        <v>Sports &amp; Outdoors</v>
      </c>
      <c r="G1416" s="6" t="n">
        <f aca="false">Orders!E1416</f>
        <v>1</v>
      </c>
      <c r="H1416" s="16" t="n">
        <f aca="false">INDEX(Products!$D$2:$D$101,MATCH(D1416,Products!$A$2:$A$101,0))</f>
        <v>249</v>
      </c>
      <c r="I1416" s="16" t="n">
        <f aca="false">INDEX(Products!$E$2:$E$101,MATCH(D1416,Products!$A$2:$A$101,0))</f>
        <v>80</v>
      </c>
      <c r="J1416" s="20" t="n">
        <f aca="false">Orders!F1416</f>
        <v>0.05</v>
      </c>
      <c r="K1416" s="6" t="n">
        <f aca="false">G1416*H1416</f>
        <v>249</v>
      </c>
      <c r="L1416" s="6" t="n">
        <f aca="false">K1416*J1416</f>
        <v>12.45</v>
      </c>
      <c r="M1416" s="6" t="n">
        <f aca="false">K1416-L1416</f>
        <v>236.55</v>
      </c>
      <c r="N1416" s="6" t="n">
        <f aca="false">G1416*I1416</f>
        <v>80</v>
      </c>
      <c r="O1416" s="6" t="n">
        <f aca="false">M1416-N1416</f>
        <v>156.55</v>
      </c>
      <c r="P1416" s="21" t="n">
        <f aca="false">IFERROR(O1416/M1416,0)</f>
        <v>0.661805115197633</v>
      </c>
      <c r="Q1416" s="6" t="str">
        <f aca="false">Orders!H1416</f>
        <v>Delivered</v>
      </c>
      <c r="R1416" s="1" t="str">
        <f aca="false">INDEX(Customers!$C$2:$C$301,MATCH(C1416,Customers!$A$2:$A$301,0))</f>
        <v>Gurugram</v>
      </c>
      <c r="S1416" s="1" t="str">
        <f aca="false">INDEX(Customers!$E$2:$E$301,MATCH(C1416,Customers!$A$2:$A$301,0))</f>
        <v>New</v>
      </c>
      <c r="T1416" s="6" t="str">
        <f aca="false">Orders!I1416</f>
        <v>Website</v>
      </c>
      <c r="U1416" s="1" t="str">
        <f aca="false">IF(Q1416="Delivered","Completed",IF(Q1416="Cancelled","Cancelled",IF(Q1416="Returned","Returned","In Progress")))</f>
        <v>Completed</v>
      </c>
      <c r="V1416" s="1" t="str">
        <f aca="false">IF(M1416&gt;=10000,"High Value",IF(M1416&gt;=5000,"Medium Value","Low Value"))</f>
        <v>Low Value</v>
      </c>
      <c r="W1416" s="1" t="str">
        <f aca="false">IF(O1416&gt;0,"Profitable",IF(O1416=0,"Break-even","Loss"))</f>
        <v>Profitable</v>
      </c>
      <c r="X1416" s="1" t="str">
        <f aca="false">IF(Q1416="Cancelled","Not Applicable",IF(Q1416="Processing","Pending",IF(B1416="","Unknown",IF(Orders!J1416="","Unknown",IF(Orders!J1416&lt;=3,"Fast",IF(Orders!J1416&lt;=6,"Standard","Slow"))))))</f>
        <v>Standard</v>
      </c>
      <c r="Y1416" s="1" t="n">
        <f aca="false">IF(OR(Q1416="Cancelled",Q1416="Returned"),0,O1416)</f>
        <v>156.55</v>
      </c>
    </row>
    <row r="1417" customFormat="false" ht="15" hidden="false" customHeight="false" outlineLevel="0" collapsed="false">
      <c r="A1417" s="6" t="str">
        <f aca="false">Orders!A1417</f>
        <v>O001416</v>
      </c>
      <c r="B1417" s="19" t="n">
        <f aca="false">Orders!B1417</f>
        <v>45739</v>
      </c>
      <c r="C1417" s="6" t="str">
        <f aca="false">Orders!C1417</f>
        <v>C0059</v>
      </c>
      <c r="D1417" s="6" t="str">
        <f aca="false">Orders!D1417</f>
        <v>P1066</v>
      </c>
      <c r="E1417" s="6" t="str">
        <f aca="false">INDEX(Products!$B$2:$B$101,MATCH(D1417,Products!$A$2:$A$101,0))</f>
        <v>Gym Gloves</v>
      </c>
      <c r="F1417" s="1" t="str">
        <f aca="false">INDEX(Products!$C$2:$C$101,MATCH(D1417,Products!$A$2:$A$101,0))</f>
        <v>Sports &amp; Outdoors</v>
      </c>
      <c r="G1417" s="6" t="n">
        <f aca="false">Orders!E1417</f>
        <v>1</v>
      </c>
      <c r="H1417" s="16" t="n">
        <f aca="false">INDEX(Products!$D$2:$D$101,MATCH(D1417,Products!$A$2:$A$101,0))</f>
        <v>499</v>
      </c>
      <c r="I1417" s="16" t="n">
        <f aca="false">INDEX(Products!$E$2:$E$101,MATCH(D1417,Products!$A$2:$A$101,0))</f>
        <v>200</v>
      </c>
      <c r="J1417" s="20" t="n">
        <f aca="false">Orders!F1417</f>
        <v>0.25</v>
      </c>
      <c r="K1417" s="6" t="n">
        <f aca="false">G1417*H1417</f>
        <v>499</v>
      </c>
      <c r="L1417" s="6" t="n">
        <f aca="false">K1417*J1417</f>
        <v>124.75</v>
      </c>
      <c r="M1417" s="6" t="n">
        <f aca="false">K1417-L1417</f>
        <v>374.25</v>
      </c>
      <c r="N1417" s="6" t="n">
        <f aca="false">G1417*I1417</f>
        <v>200</v>
      </c>
      <c r="O1417" s="6" t="n">
        <f aca="false">M1417-N1417</f>
        <v>174.25</v>
      </c>
      <c r="P1417" s="21" t="n">
        <f aca="false">IFERROR(O1417/M1417,0)</f>
        <v>0.46559786239145</v>
      </c>
      <c r="Q1417" s="6" t="str">
        <f aca="false">Orders!H1417</f>
        <v>Delivered</v>
      </c>
      <c r="R1417" s="1" t="str">
        <f aca="false">INDEX(Customers!$C$2:$C$301,MATCH(C1417,Customers!$A$2:$A$301,0))</f>
        <v>Coimbatore</v>
      </c>
      <c r="S1417" s="1" t="str">
        <f aca="false">INDEX(Customers!$E$2:$E$301,MATCH(C1417,Customers!$A$2:$A$301,0))</f>
        <v>Returning</v>
      </c>
      <c r="T1417" s="6" t="str">
        <f aca="false">Orders!I1417</f>
        <v>Marketplace</v>
      </c>
      <c r="U1417" s="1" t="str">
        <f aca="false">IF(Q1417="Delivered","Completed",IF(Q1417="Cancelled","Cancelled",IF(Q1417="Returned","Returned","In Progress")))</f>
        <v>Completed</v>
      </c>
      <c r="V1417" s="1" t="str">
        <f aca="false">IF(M1417&gt;=10000,"High Value",IF(M1417&gt;=5000,"Medium Value","Low Value"))</f>
        <v>Low Value</v>
      </c>
      <c r="W1417" s="1" t="str">
        <f aca="false">IF(O1417&gt;0,"Profitable",IF(O1417=0,"Break-even","Loss"))</f>
        <v>Profitable</v>
      </c>
      <c r="X1417" s="1" t="str">
        <f aca="false">IF(Q1417="Cancelled","Not Applicable",IF(Q1417="Processing","Pending",IF(B1417="","Unknown",IF(Orders!J1417="","Unknown",IF(Orders!J1417&lt;=3,"Fast",IF(Orders!J1417&lt;=6,"Standard","Slow"))))))</f>
        <v>Slow</v>
      </c>
      <c r="Y1417" s="1" t="n">
        <f aca="false">IF(OR(Q1417="Cancelled",Q1417="Returned"),0,O1417)</f>
        <v>174.25</v>
      </c>
    </row>
    <row r="1418" customFormat="false" ht="15" hidden="false" customHeight="false" outlineLevel="0" collapsed="false">
      <c r="A1418" s="6" t="str">
        <f aca="false">Orders!A1418</f>
        <v>O001417</v>
      </c>
      <c r="B1418" s="19" t="n">
        <f aca="false">Orders!B1418</f>
        <v>45722</v>
      </c>
      <c r="C1418" s="6" t="str">
        <f aca="false">Orders!C1418</f>
        <v>C0121</v>
      </c>
      <c r="D1418" s="6" t="str">
        <f aca="false">Orders!D1418</f>
        <v>P1049</v>
      </c>
      <c r="E1418" s="6" t="str">
        <f aca="false">INDEX(Products!$B$2:$B$101,MATCH(D1418,Products!$A$2:$A$101,0))</f>
        <v>Face Cleanser</v>
      </c>
      <c r="F1418" s="1" t="str">
        <f aca="false">INDEX(Products!$C$2:$C$101,MATCH(D1418,Products!$A$2:$A$101,0))</f>
        <v>Beauty</v>
      </c>
      <c r="G1418" s="6" t="n">
        <f aca="false">Orders!E1418</f>
        <v>3</v>
      </c>
      <c r="H1418" s="16" t="n">
        <f aca="false">INDEX(Products!$D$2:$D$101,MATCH(D1418,Products!$A$2:$A$101,0))</f>
        <v>299</v>
      </c>
      <c r="I1418" s="16" t="n">
        <f aca="false">INDEX(Products!$E$2:$E$101,MATCH(D1418,Products!$A$2:$A$101,0))</f>
        <v>120</v>
      </c>
      <c r="J1418" s="20" t="n">
        <f aca="false">Orders!F1418</f>
        <v>0.1</v>
      </c>
      <c r="K1418" s="6" t="n">
        <f aca="false">G1418*H1418</f>
        <v>897</v>
      </c>
      <c r="L1418" s="6" t="n">
        <f aca="false">K1418*J1418</f>
        <v>89.7</v>
      </c>
      <c r="M1418" s="6" t="n">
        <f aca="false">K1418-L1418</f>
        <v>807.3</v>
      </c>
      <c r="N1418" s="6" t="n">
        <f aca="false">G1418*I1418</f>
        <v>360</v>
      </c>
      <c r="O1418" s="6" t="n">
        <f aca="false">M1418-N1418</f>
        <v>447.3</v>
      </c>
      <c r="P1418" s="21" t="n">
        <f aca="false">IFERROR(O1418/M1418,0)</f>
        <v>0.554069119286511</v>
      </c>
      <c r="Q1418" s="6" t="str">
        <f aca="false">Orders!H1418</f>
        <v>Delivered</v>
      </c>
      <c r="R1418" s="1" t="str">
        <f aca="false">INDEX(Customers!$C$2:$C$301,MATCH(C1418,Customers!$A$2:$A$301,0))</f>
        <v>Delhi</v>
      </c>
      <c r="S1418" s="1" t="str">
        <f aca="false">INDEX(Customers!$E$2:$E$301,MATCH(C1418,Customers!$A$2:$A$301,0))</f>
        <v>Returning</v>
      </c>
      <c r="T1418" s="6" t="str">
        <f aca="false">Orders!I1418</f>
        <v>Mobile App</v>
      </c>
      <c r="U1418" s="1" t="str">
        <f aca="false">IF(Q1418="Delivered","Completed",IF(Q1418="Cancelled","Cancelled",IF(Q1418="Returned","Returned","In Progress")))</f>
        <v>Completed</v>
      </c>
      <c r="V1418" s="1" t="str">
        <f aca="false">IF(M1418&gt;=10000,"High Value",IF(M1418&gt;=5000,"Medium Value","Low Value"))</f>
        <v>Low Value</v>
      </c>
      <c r="W1418" s="1" t="str">
        <f aca="false">IF(O1418&gt;0,"Profitable",IF(O1418=0,"Break-even","Loss"))</f>
        <v>Profitable</v>
      </c>
      <c r="X1418" s="1" t="str">
        <f aca="false">IF(Q1418="Cancelled","Not Applicable",IF(Q1418="Processing","Pending",IF(B1418="","Unknown",IF(Orders!J1418="","Unknown",IF(Orders!J1418&lt;=3,"Fast",IF(Orders!J1418&lt;=6,"Standard","Slow"))))))</f>
        <v>Fast</v>
      </c>
      <c r="Y1418" s="1" t="n">
        <f aca="false">IF(OR(Q1418="Cancelled",Q1418="Returned"),0,O1418)</f>
        <v>447.3</v>
      </c>
    </row>
    <row r="1419" customFormat="false" ht="15" hidden="false" customHeight="false" outlineLevel="0" collapsed="false">
      <c r="A1419" s="6" t="str">
        <f aca="false">Orders!A1419</f>
        <v>O001418</v>
      </c>
      <c r="B1419" s="19" t="n">
        <f aca="false">Orders!B1419</f>
        <v>45971</v>
      </c>
      <c r="C1419" s="6" t="str">
        <f aca="false">Orders!C1419</f>
        <v>C0152</v>
      </c>
      <c r="D1419" s="6" t="str">
        <f aca="false">Orders!D1419</f>
        <v>P1008</v>
      </c>
      <c r="E1419" s="6" t="str">
        <f aca="false">INDEX(Products!$B$2:$B$101,MATCH(D1419,Products!$A$2:$A$101,0))</f>
        <v>Phone Stand</v>
      </c>
      <c r="F1419" s="1" t="str">
        <f aca="false">INDEX(Products!$C$2:$C$101,MATCH(D1419,Products!$A$2:$A$101,0))</f>
        <v>Electronics</v>
      </c>
      <c r="G1419" s="6" t="n">
        <f aca="false">Orders!E1419</f>
        <v>2</v>
      </c>
      <c r="H1419" s="16" t="n">
        <f aca="false">INDEX(Products!$D$2:$D$101,MATCH(D1419,Products!$A$2:$A$101,0))</f>
        <v>399</v>
      </c>
      <c r="I1419" s="16" t="n">
        <f aca="false">INDEX(Products!$E$2:$E$101,MATCH(D1419,Products!$A$2:$A$101,0))</f>
        <v>150</v>
      </c>
      <c r="J1419" s="20" t="n">
        <f aca="false">Orders!F1419</f>
        <v>0.15</v>
      </c>
      <c r="K1419" s="6" t="n">
        <f aca="false">G1419*H1419</f>
        <v>798</v>
      </c>
      <c r="L1419" s="6" t="n">
        <f aca="false">K1419*J1419</f>
        <v>119.7</v>
      </c>
      <c r="M1419" s="6" t="n">
        <f aca="false">K1419-L1419</f>
        <v>678.3</v>
      </c>
      <c r="N1419" s="6" t="n">
        <f aca="false">G1419*I1419</f>
        <v>300</v>
      </c>
      <c r="O1419" s="6" t="n">
        <f aca="false">M1419-N1419</f>
        <v>378.3</v>
      </c>
      <c r="P1419" s="21" t="n">
        <f aca="false">IFERROR(O1419/M1419,0)</f>
        <v>0.557717823971694</v>
      </c>
      <c r="Q1419" s="6" t="str">
        <f aca="false">Orders!H1419</f>
        <v>Delivered</v>
      </c>
      <c r="R1419" s="1" t="str">
        <f aca="false">INDEX(Customers!$C$2:$C$301,MATCH(C1419,Customers!$A$2:$A$301,0))</f>
        <v>Noida</v>
      </c>
      <c r="S1419" s="1" t="str">
        <f aca="false">INDEX(Customers!$E$2:$E$301,MATCH(C1419,Customers!$A$2:$A$301,0))</f>
        <v>Returning</v>
      </c>
      <c r="T1419" s="6" t="str">
        <f aca="false">Orders!I1419</f>
        <v>Website</v>
      </c>
      <c r="U1419" s="1" t="str">
        <f aca="false">IF(Q1419="Delivered","Completed",IF(Q1419="Cancelled","Cancelled",IF(Q1419="Returned","Returned","In Progress")))</f>
        <v>Completed</v>
      </c>
      <c r="V1419" s="1" t="str">
        <f aca="false">IF(M1419&gt;=10000,"High Value",IF(M1419&gt;=5000,"Medium Value","Low Value"))</f>
        <v>Low Value</v>
      </c>
      <c r="W1419" s="1" t="str">
        <f aca="false">IF(O1419&gt;0,"Profitable",IF(O1419=0,"Break-even","Loss"))</f>
        <v>Profitable</v>
      </c>
      <c r="X1419" s="1" t="str">
        <f aca="false">IF(Q1419="Cancelled","Not Applicable",IF(Q1419="Processing","Pending",IF(B1419="","Unknown",IF(Orders!J1419="","Unknown",IF(Orders!J1419&lt;=3,"Fast",IF(Orders!J1419&lt;=6,"Standard","Slow"))))))</f>
        <v>Fast</v>
      </c>
      <c r="Y1419" s="1" t="n">
        <f aca="false">IF(OR(Q1419="Cancelled",Q1419="Returned"),0,O1419)</f>
        <v>378.3</v>
      </c>
    </row>
    <row r="1420" customFormat="false" ht="15" hidden="false" customHeight="false" outlineLevel="0" collapsed="false">
      <c r="A1420" s="6" t="str">
        <f aca="false">Orders!A1420</f>
        <v>O001419</v>
      </c>
      <c r="B1420" s="19" t="n">
        <f aca="false">Orders!B1420</f>
        <v>45840</v>
      </c>
      <c r="C1420" s="6" t="str">
        <f aca="false">Orders!C1420</f>
        <v>C0208</v>
      </c>
      <c r="D1420" s="6" t="str">
        <f aca="false">Orders!D1420</f>
        <v>P1036</v>
      </c>
      <c r="E1420" s="6" t="str">
        <f aca="false">INDEX(Products!$B$2:$B$101,MATCH(D1420,Products!$A$2:$A$101,0))</f>
        <v>Dinner Set</v>
      </c>
      <c r="F1420" s="1" t="str">
        <f aca="false">INDEX(Products!$C$2:$C$101,MATCH(D1420,Products!$A$2:$A$101,0))</f>
        <v>Home &amp; Kitchen</v>
      </c>
      <c r="G1420" s="6" t="n">
        <f aca="false">Orders!E1420</f>
        <v>1</v>
      </c>
      <c r="H1420" s="16" t="n">
        <f aca="false">INDEX(Products!$D$2:$D$101,MATCH(D1420,Products!$A$2:$A$101,0))</f>
        <v>1499</v>
      </c>
      <c r="I1420" s="16" t="n">
        <f aca="false">INDEX(Products!$E$2:$E$101,MATCH(D1420,Products!$A$2:$A$101,0))</f>
        <v>800</v>
      </c>
      <c r="J1420" s="20" t="n">
        <f aca="false">Orders!F1420</f>
        <v>0.1</v>
      </c>
      <c r="K1420" s="6" t="n">
        <f aca="false">G1420*H1420</f>
        <v>1499</v>
      </c>
      <c r="L1420" s="6" t="n">
        <f aca="false">K1420*J1420</f>
        <v>149.9</v>
      </c>
      <c r="M1420" s="6" t="n">
        <f aca="false">K1420-L1420</f>
        <v>1349.1</v>
      </c>
      <c r="N1420" s="6" t="n">
        <f aca="false">G1420*I1420</f>
        <v>800</v>
      </c>
      <c r="O1420" s="6" t="n">
        <f aca="false">M1420-N1420</f>
        <v>549.1</v>
      </c>
      <c r="P1420" s="21" t="n">
        <f aca="false">IFERROR(O1420/M1420,0)</f>
        <v>0.407012082128827</v>
      </c>
      <c r="Q1420" s="6" t="str">
        <f aca="false">Orders!H1420</f>
        <v>Delivered</v>
      </c>
      <c r="R1420" s="1" t="str">
        <f aca="false">INDEX(Customers!$C$2:$C$301,MATCH(C1420,Customers!$A$2:$A$301,0))</f>
        <v>Jaipur</v>
      </c>
      <c r="S1420" s="1" t="str">
        <f aca="false">INDEX(Customers!$E$2:$E$301,MATCH(C1420,Customers!$A$2:$A$301,0))</f>
        <v>Returning</v>
      </c>
      <c r="T1420" s="6" t="str">
        <f aca="false">Orders!I1420</f>
        <v>Mobile App</v>
      </c>
      <c r="U1420" s="1" t="str">
        <f aca="false">IF(Q1420="Delivered","Completed",IF(Q1420="Cancelled","Cancelled",IF(Q1420="Returned","Returned","In Progress")))</f>
        <v>Completed</v>
      </c>
      <c r="V1420" s="1" t="str">
        <f aca="false">IF(M1420&gt;=10000,"High Value",IF(M1420&gt;=5000,"Medium Value","Low Value"))</f>
        <v>Low Value</v>
      </c>
      <c r="W1420" s="1" t="str">
        <f aca="false">IF(O1420&gt;0,"Profitable",IF(O1420=0,"Break-even","Loss"))</f>
        <v>Profitable</v>
      </c>
      <c r="X1420" s="1" t="str">
        <f aca="false">IF(Q1420="Cancelled","Not Applicable",IF(Q1420="Processing","Pending",IF(B1420="","Unknown",IF(Orders!J1420="","Unknown",IF(Orders!J1420&lt;=3,"Fast",IF(Orders!J1420&lt;=6,"Standard","Slow"))))))</f>
        <v>Fast</v>
      </c>
      <c r="Y1420" s="1" t="n">
        <f aca="false">IF(OR(Q1420="Cancelled",Q1420="Returned"),0,O1420)</f>
        <v>549.1</v>
      </c>
    </row>
    <row r="1421" customFormat="false" ht="15" hidden="false" customHeight="false" outlineLevel="0" collapsed="false">
      <c r="A1421" s="6" t="str">
        <f aca="false">Orders!A1421</f>
        <v>O001420</v>
      </c>
      <c r="B1421" s="19" t="n">
        <f aca="false">Orders!B1421</f>
        <v>45960</v>
      </c>
      <c r="C1421" s="6" t="str">
        <f aca="false">Orders!C1421</f>
        <v>C0266</v>
      </c>
      <c r="D1421" s="6" t="str">
        <f aca="false">Orders!D1421</f>
        <v>P1063</v>
      </c>
      <c r="E1421" s="6" t="str">
        <f aca="false">INDEX(Products!$B$2:$B$101,MATCH(D1421,Products!$A$2:$A$101,0))</f>
        <v>Cricket Bat</v>
      </c>
      <c r="F1421" s="1" t="str">
        <f aca="false">INDEX(Products!$C$2:$C$101,MATCH(D1421,Products!$A$2:$A$101,0))</f>
        <v>Sports &amp; Outdoors</v>
      </c>
      <c r="G1421" s="6" t="n">
        <f aca="false">Orders!E1421</f>
        <v>1</v>
      </c>
      <c r="H1421" s="16" t="n">
        <f aca="false">INDEX(Products!$D$2:$D$101,MATCH(D1421,Products!$A$2:$A$101,0))</f>
        <v>1499</v>
      </c>
      <c r="I1421" s="16" t="n">
        <f aca="false">INDEX(Products!$E$2:$E$101,MATCH(D1421,Products!$A$2:$A$101,0))</f>
        <v>800</v>
      </c>
      <c r="J1421" s="20" t="n">
        <f aca="false">Orders!F1421</f>
        <v>0.25</v>
      </c>
      <c r="K1421" s="6" t="n">
        <f aca="false">G1421*H1421</f>
        <v>1499</v>
      </c>
      <c r="L1421" s="6" t="n">
        <f aca="false">K1421*J1421</f>
        <v>374.75</v>
      </c>
      <c r="M1421" s="6" t="n">
        <f aca="false">K1421-L1421</f>
        <v>1124.25</v>
      </c>
      <c r="N1421" s="6" t="n">
        <f aca="false">G1421*I1421</f>
        <v>800</v>
      </c>
      <c r="O1421" s="6" t="n">
        <f aca="false">M1421-N1421</f>
        <v>324.25</v>
      </c>
      <c r="P1421" s="21" t="n">
        <f aca="false">IFERROR(O1421/M1421,0)</f>
        <v>0.288414498554592</v>
      </c>
      <c r="Q1421" s="6" t="str">
        <f aca="false">Orders!H1421</f>
        <v>Shipped</v>
      </c>
      <c r="R1421" s="1" t="str">
        <f aca="false">INDEX(Customers!$C$2:$C$301,MATCH(C1421,Customers!$A$2:$A$301,0))</f>
        <v>Kolkata</v>
      </c>
      <c r="S1421" s="1" t="str">
        <f aca="false">INDEX(Customers!$E$2:$E$301,MATCH(C1421,Customers!$A$2:$A$301,0))</f>
        <v>Returning</v>
      </c>
      <c r="T1421" s="6" t="str">
        <f aca="false">Orders!I1421</f>
        <v>Website</v>
      </c>
      <c r="U1421" s="1" t="str">
        <f aca="false">IF(Q1421="Delivered","Completed",IF(Q1421="Cancelled","Cancelled",IF(Q1421="Returned","Returned","In Progress")))</f>
        <v>In Progress</v>
      </c>
      <c r="V1421" s="1" t="str">
        <f aca="false">IF(M1421&gt;=10000,"High Value",IF(M1421&gt;=5000,"Medium Value","Low Value"))</f>
        <v>Low Value</v>
      </c>
      <c r="W1421" s="1" t="str">
        <f aca="false">IF(O1421&gt;0,"Profitable",IF(O1421=0,"Break-even","Loss"))</f>
        <v>Profitable</v>
      </c>
      <c r="X1421" s="1" t="str">
        <f aca="false">IF(Q1421="Cancelled","Not Applicable",IF(Q1421="Processing","Pending",IF(B1421="","Unknown",IF(Orders!J1421="","Unknown",IF(Orders!J1421&lt;=3,"Fast",IF(Orders!J1421&lt;=6,"Standard","Slow"))))))</f>
        <v>Standard</v>
      </c>
      <c r="Y1421" s="1" t="n">
        <f aca="false">IF(OR(Q1421="Cancelled",Q1421="Returned"),0,O1421)</f>
        <v>324.25</v>
      </c>
    </row>
    <row r="1422" customFormat="false" ht="15" hidden="false" customHeight="false" outlineLevel="0" collapsed="false">
      <c r="A1422" s="6" t="str">
        <f aca="false">Orders!A1422</f>
        <v>O001421</v>
      </c>
      <c r="B1422" s="19" t="n">
        <f aca="false">Orders!B1422</f>
        <v>45976</v>
      </c>
      <c r="C1422" s="6" t="str">
        <f aca="false">Orders!C1422</f>
        <v>C0005</v>
      </c>
      <c r="D1422" s="6" t="str">
        <f aca="false">Orders!D1422</f>
        <v>P1025</v>
      </c>
      <c r="E1422" s="6" t="str">
        <f aca="false">INDEX(Products!$B$2:$B$101,MATCH(D1422,Products!$A$2:$A$101,0))</f>
        <v>Hoodie</v>
      </c>
      <c r="F1422" s="1" t="str">
        <f aca="false">INDEX(Products!$C$2:$C$101,MATCH(D1422,Products!$A$2:$A$101,0))</f>
        <v>Fashion</v>
      </c>
      <c r="G1422" s="6" t="n">
        <f aca="false">Orders!E1422</f>
        <v>1</v>
      </c>
      <c r="H1422" s="16" t="n">
        <f aca="false">INDEX(Products!$D$2:$D$101,MATCH(D1422,Products!$A$2:$A$101,0))</f>
        <v>1399</v>
      </c>
      <c r="I1422" s="16" t="n">
        <f aca="false">INDEX(Products!$E$2:$E$101,MATCH(D1422,Products!$A$2:$A$101,0))</f>
        <v>720</v>
      </c>
      <c r="J1422" s="20" t="n">
        <f aca="false">Orders!F1422</f>
        <v>0.1</v>
      </c>
      <c r="K1422" s="6" t="n">
        <f aca="false">G1422*H1422</f>
        <v>1399</v>
      </c>
      <c r="L1422" s="6" t="n">
        <f aca="false">K1422*J1422</f>
        <v>139.9</v>
      </c>
      <c r="M1422" s="6" t="n">
        <f aca="false">K1422-L1422</f>
        <v>1259.1</v>
      </c>
      <c r="N1422" s="6" t="n">
        <f aca="false">G1422*I1422</f>
        <v>720</v>
      </c>
      <c r="O1422" s="6" t="n">
        <f aca="false">M1422-N1422</f>
        <v>539.1</v>
      </c>
      <c r="P1422" s="21" t="n">
        <f aca="false">IFERROR(O1422/M1422,0)</f>
        <v>0.428162973552537</v>
      </c>
      <c r="Q1422" s="6" t="str">
        <f aca="false">Orders!H1422</f>
        <v>Delivered</v>
      </c>
      <c r="R1422" s="1" t="str">
        <f aca="false">INDEX(Customers!$C$2:$C$301,MATCH(C1422,Customers!$A$2:$A$301,0))</f>
        <v>Chennai</v>
      </c>
      <c r="S1422" s="1" t="str">
        <f aca="false">INDEX(Customers!$E$2:$E$301,MATCH(C1422,Customers!$A$2:$A$301,0))</f>
        <v>Returning</v>
      </c>
      <c r="T1422" s="6" t="str">
        <f aca="false">Orders!I1422</f>
        <v>Website</v>
      </c>
      <c r="U1422" s="1" t="str">
        <f aca="false">IF(Q1422="Delivered","Completed",IF(Q1422="Cancelled","Cancelled",IF(Q1422="Returned","Returned","In Progress")))</f>
        <v>Completed</v>
      </c>
      <c r="V1422" s="1" t="str">
        <f aca="false">IF(M1422&gt;=10000,"High Value",IF(M1422&gt;=5000,"Medium Value","Low Value"))</f>
        <v>Low Value</v>
      </c>
      <c r="W1422" s="1" t="str">
        <f aca="false">IF(O1422&gt;0,"Profitable",IF(O1422=0,"Break-even","Loss"))</f>
        <v>Profitable</v>
      </c>
      <c r="X1422" s="1" t="str">
        <f aca="false">IF(Q1422="Cancelled","Not Applicable",IF(Q1422="Processing","Pending",IF(B1422="","Unknown",IF(Orders!J1422="","Unknown",IF(Orders!J1422&lt;=3,"Fast",IF(Orders!J1422&lt;=6,"Standard","Slow"))))))</f>
        <v>Slow</v>
      </c>
      <c r="Y1422" s="1" t="n">
        <f aca="false">IF(OR(Q1422="Cancelled",Q1422="Returned"),0,O1422)</f>
        <v>539.1</v>
      </c>
    </row>
    <row r="1423" customFormat="false" ht="15" hidden="false" customHeight="false" outlineLevel="0" collapsed="false">
      <c r="A1423" s="6" t="str">
        <f aca="false">Orders!A1423</f>
        <v>O001422</v>
      </c>
      <c r="B1423" s="19" t="n">
        <f aca="false">Orders!B1423</f>
        <v>45693</v>
      </c>
      <c r="C1423" s="6" t="str">
        <f aca="false">Orders!C1423</f>
        <v>C0015</v>
      </c>
      <c r="D1423" s="6" t="str">
        <f aca="false">Orders!D1423</f>
        <v>P1032</v>
      </c>
      <c r="E1423" s="6" t="str">
        <f aca="false">INDEX(Products!$B$2:$B$101,MATCH(D1423,Products!$A$2:$A$101,0))</f>
        <v>Water Bottle</v>
      </c>
      <c r="F1423" s="1" t="str">
        <f aca="false">INDEX(Products!$C$2:$C$101,MATCH(D1423,Products!$A$2:$A$101,0))</f>
        <v>Home &amp; Kitchen</v>
      </c>
      <c r="G1423" s="6" t="n">
        <f aca="false">Orders!E1423</f>
        <v>1</v>
      </c>
      <c r="H1423" s="16" t="n">
        <f aca="false">INDEX(Products!$D$2:$D$101,MATCH(D1423,Products!$A$2:$A$101,0))</f>
        <v>399</v>
      </c>
      <c r="I1423" s="16" t="n">
        <f aca="false">INDEX(Products!$E$2:$E$101,MATCH(D1423,Products!$A$2:$A$101,0))</f>
        <v>150</v>
      </c>
      <c r="J1423" s="20" t="n">
        <f aca="false">Orders!F1423</f>
        <v>0.1</v>
      </c>
      <c r="K1423" s="6" t="n">
        <f aca="false">G1423*H1423</f>
        <v>399</v>
      </c>
      <c r="L1423" s="6" t="n">
        <f aca="false">K1423*J1423</f>
        <v>39.9</v>
      </c>
      <c r="M1423" s="6" t="n">
        <f aca="false">K1423-L1423</f>
        <v>359.1</v>
      </c>
      <c r="N1423" s="6" t="n">
        <f aca="false">G1423*I1423</f>
        <v>150</v>
      </c>
      <c r="O1423" s="6" t="n">
        <f aca="false">M1423-N1423</f>
        <v>209.1</v>
      </c>
      <c r="P1423" s="21" t="n">
        <f aca="false">IFERROR(O1423/M1423,0)</f>
        <v>0.582289055973267</v>
      </c>
      <c r="Q1423" s="6" t="str">
        <f aca="false">Orders!H1423</f>
        <v>Shipped</v>
      </c>
      <c r="R1423" s="1" t="str">
        <f aca="false">INDEX(Customers!$C$2:$C$301,MATCH(C1423,Customers!$A$2:$A$301,0))</f>
        <v>Bhopal</v>
      </c>
      <c r="S1423" s="1" t="str">
        <f aca="false">INDEX(Customers!$E$2:$E$301,MATCH(C1423,Customers!$A$2:$A$301,0))</f>
        <v>Returning</v>
      </c>
      <c r="T1423" s="6" t="str">
        <f aca="false">Orders!I1423</f>
        <v>Marketplace</v>
      </c>
      <c r="U1423" s="1" t="str">
        <f aca="false">IF(Q1423="Delivered","Completed",IF(Q1423="Cancelled","Cancelled",IF(Q1423="Returned","Returned","In Progress")))</f>
        <v>In Progress</v>
      </c>
      <c r="V1423" s="1" t="str">
        <f aca="false">IF(M1423&gt;=10000,"High Value",IF(M1423&gt;=5000,"Medium Value","Low Value"))</f>
        <v>Low Value</v>
      </c>
      <c r="W1423" s="1" t="str">
        <f aca="false">IF(O1423&gt;0,"Profitable",IF(O1423=0,"Break-even","Loss"))</f>
        <v>Profitable</v>
      </c>
      <c r="X1423" s="1" t="str">
        <f aca="false">IF(Q1423="Cancelled","Not Applicable",IF(Q1423="Processing","Pending",IF(B1423="","Unknown",IF(Orders!J1423="","Unknown",IF(Orders!J1423&lt;=3,"Fast",IF(Orders!J1423&lt;=6,"Standard","Slow"))))))</f>
        <v>Fast</v>
      </c>
      <c r="Y1423" s="1" t="n">
        <f aca="false">IF(OR(Q1423="Cancelled",Q1423="Returned"),0,O1423)</f>
        <v>209.1</v>
      </c>
    </row>
    <row r="1424" customFormat="false" ht="15" hidden="false" customHeight="false" outlineLevel="0" collapsed="false">
      <c r="A1424" s="6" t="str">
        <f aca="false">Orders!A1424</f>
        <v>O001423</v>
      </c>
      <c r="B1424" s="19" t="n">
        <f aca="false">Orders!B1424</f>
        <v>45704</v>
      </c>
      <c r="C1424" s="6" t="str">
        <f aca="false">Orders!C1424</f>
        <v>C0149</v>
      </c>
      <c r="D1424" s="6" t="str">
        <f aca="false">Orders!D1424</f>
        <v>P1083</v>
      </c>
      <c r="E1424" s="6" t="str">
        <f aca="false">INDEX(Products!$B$2:$B$101,MATCH(D1424,Products!$A$2:$A$101,0))</f>
        <v>Reading Light</v>
      </c>
      <c r="F1424" s="1" t="str">
        <f aca="false">INDEX(Products!$C$2:$C$101,MATCH(D1424,Products!$A$2:$A$101,0))</f>
        <v>Books &amp; Stationery</v>
      </c>
      <c r="G1424" s="6" t="n">
        <f aca="false">Orders!E1424</f>
        <v>1</v>
      </c>
      <c r="H1424" s="16" t="n">
        <f aca="false">INDEX(Products!$D$2:$D$101,MATCH(D1424,Products!$A$2:$A$101,0))</f>
        <v>399</v>
      </c>
      <c r="I1424" s="16" t="n">
        <f aca="false">INDEX(Products!$E$2:$E$101,MATCH(D1424,Products!$A$2:$A$101,0))</f>
        <v>180</v>
      </c>
      <c r="J1424" s="20" t="n">
        <f aca="false">Orders!F1424</f>
        <v>0.05</v>
      </c>
      <c r="K1424" s="6" t="n">
        <f aca="false">G1424*H1424</f>
        <v>399</v>
      </c>
      <c r="L1424" s="6" t="n">
        <f aca="false">K1424*J1424</f>
        <v>19.95</v>
      </c>
      <c r="M1424" s="6" t="n">
        <f aca="false">K1424-L1424</f>
        <v>379.05</v>
      </c>
      <c r="N1424" s="6" t="n">
        <f aca="false">G1424*I1424</f>
        <v>180</v>
      </c>
      <c r="O1424" s="6" t="n">
        <f aca="false">M1424-N1424</f>
        <v>199.05</v>
      </c>
      <c r="P1424" s="21" t="n">
        <f aca="false">IFERROR(O1424/M1424,0)</f>
        <v>0.525128611001187</v>
      </c>
      <c r="Q1424" s="6" t="str">
        <f aca="false">Orders!H1424</f>
        <v>Delivered</v>
      </c>
      <c r="R1424" s="1" t="str">
        <f aca="false">INDEX(Customers!$C$2:$C$301,MATCH(C1424,Customers!$A$2:$A$301,0))</f>
        <v>Ahmedabad</v>
      </c>
      <c r="S1424" s="1" t="str">
        <f aca="false">INDEX(Customers!$E$2:$E$301,MATCH(C1424,Customers!$A$2:$A$301,0))</f>
        <v>VIP</v>
      </c>
      <c r="T1424" s="6" t="str">
        <f aca="false">Orders!I1424</f>
        <v>Marketplace</v>
      </c>
      <c r="U1424" s="1" t="str">
        <f aca="false">IF(Q1424="Delivered","Completed",IF(Q1424="Cancelled","Cancelled",IF(Q1424="Returned","Returned","In Progress")))</f>
        <v>Completed</v>
      </c>
      <c r="V1424" s="1" t="str">
        <f aca="false">IF(M1424&gt;=10000,"High Value",IF(M1424&gt;=5000,"Medium Value","Low Value"))</f>
        <v>Low Value</v>
      </c>
      <c r="W1424" s="1" t="str">
        <f aca="false">IF(O1424&gt;0,"Profitable",IF(O1424=0,"Break-even","Loss"))</f>
        <v>Profitable</v>
      </c>
      <c r="X1424" s="1" t="str">
        <f aca="false">IF(Q1424="Cancelled","Not Applicable",IF(Q1424="Processing","Pending",IF(B1424="","Unknown",IF(Orders!J1424="","Unknown",IF(Orders!J1424&lt;=3,"Fast",IF(Orders!J1424&lt;=6,"Standard","Slow"))))))</f>
        <v>Standard</v>
      </c>
      <c r="Y1424" s="1" t="n">
        <f aca="false">IF(OR(Q1424="Cancelled",Q1424="Returned"),0,O1424)</f>
        <v>199.05</v>
      </c>
    </row>
    <row r="1425" customFormat="false" ht="23.85" hidden="false" customHeight="false" outlineLevel="0" collapsed="false">
      <c r="A1425" s="6" t="str">
        <f aca="false">Orders!A1425</f>
        <v>O001424</v>
      </c>
      <c r="B1425" s="19" t="n">
        <f aca="false">Orders!B1425</f>
        <v>45995</v>
      </c>
      <c r="C1425" s="6" t="str">
        <f aca="false">Orders!C1425</f>
        <v>C0060</v>
      </c>
      <c r="D1425" s="6" t="str">
        <f aca="false">Orders!D1425</f>
        <v>P1093</v>
      </c>
      <c r="E1425" s="6" t="str">
        <f aca="false">INDEX(Products!$B$2:$B$101,MATCH(D1425,Products!$A$2:$A$101,0))</f>
        <v>Induction Cooktop</v>
      </c>
      <c r="F1425" s="1" t="str">
        <f aca="false">INDEX(Products!$C$2:$C$101,MATCH(D1425,Products!$A$2:$A$101,0))</f>
        <v>Appliances</v>
      </c>
      <c r="G1425" s="6" t="n">
        <f aca="false">Orders!E1425</f>
        <v>2</v>
      </c>
      <c r="H1425" s="16" t="n">
        <f aca="false">INDEX(Products!$D$2:$D$101,MATCH(D1425,Products!$A$2:$A$101,0))</f>
        <v>2299</v>
      </c>
      <c r="I1425" s="16" t="n">
        <f aca="false">INDEX(Products!$E$2:$E$101,MATCH(D1425,Products!$A$2:$A$101,0))</f>
        <v>1450</v>
      </c>
      <c r="J1425" s="20" t="n">
        <f aca="false">Orders!F1425</f>
        <v>0.2</v>
      </c>
      <c r="K1425" s="6" t="n">
        <f aca="false">G1425*H1425</f>
        <v>4598</v>
      </c>
      <c r="L1425" s="6" t="n">
        <f aca="false">K1425*J1425</f>
        <v>919.6</v>
      </c>
      <c r="M1425" s="6" t="n">
        <f aca="false">K1425-L1425</f>
        <v>3678.4</v>
      </c>
      <c r="N1425" s="6" t="n">
        <f aca="false">G1425*I1425</f>
        <v>2900</v>
      </c>
      <c r="O1425" s="6" t="n">
        <f aca="false">M1425-N1425</f>
        <v>778.4</v>
      </c>
      <c r="P1425" s="21" t="n">
        <f aca="false">IFERROR(O1425/M1425,0)</f>
        <v>0.211613745106568</v>
      </c>
      <c r="Q1425" s="6" t="str">
        <f aca="false">Orders!H1425</f>
        <v>Delivered</v>
      </c>
      <c r="R1425" s="1" t="str">
        <f aca="false">INDEX(Customers!$C$2:$C$301,MATCH(C1425,Customers!$A$2:$A$301,0))</f>
        <v>Visakhapatnam</v>
      </c>
      <c r="S1425" s="1" t="str">
        <f aca="false">INDEX(Customers!$E$2:$E$301,MATCH(C1425,Customers!$A$2:$A$301,0))</f>
        <v>New</v>
      </c>
      <c r="T1425" s="6" t="str">
        <f aca="false">Orders!I1425</f>
        <v>Website</v>
      </c>
      <c r="U1425" s="1" t="str">
        <f aca="false">IF(Q1425="Delivered","Completed",IF(Q1425="Cancelled","Cancelled",IF(Q1425="Returned","Returned","In Progress")))</f>
        <v>Completed</v>
      </c>
      <c r="V1425" s="1" t="str">
        <f aca="false">IF(M1425&gt;=10000,"High Value",IF(M1425&gt;=5000,"Medium Value","Low Value"))</f>
        <v>Low Value</v>
      </c>
      <c r="W1425" s="1" t="str">
        <f aca="false">IF(O1425&gt;0,"Profitable",IF(O1425=0,"Break-even","Loss"))</f>
        <v>Profitable</v>
      </c>
      <c r="X1425" s="1" t="str">
        <f aca="false">IF(Q1425="Cancelled","Not Applicable",IF(Q1425="Processing","Pending",IF(B1425="","Unknown",IF(Orders!J1425="","Unknown",IF(Orders!J1425&lt;=3,"Fast",IF(Orders!J1425&lt;=6,"Standard","Slow"))))))</f>
        <v>Fast</v>
      </c>
      <c r="Y1425" s="1" t="n">
        <f aca="false">IF(OR(Q1425="Cancelled",Q1425="Returned"),0,O1425)</f>
        <v>778.4</v>
      </c>
    </row>
    <row r="1426" customFormat="false" ht="23.85" hidden="false" customHeight="false" outlineLevel="0" collapsed="false">
      <c r="A1426" s="6" t="str">
        <f aca="false">Orders!A1426</f>
        <v>O001425</v>
      </c>
      <c r="B1426" s="19" t="n">
        <f aca="false">Orders!B1426</f>
        <v>45919</v>
      </c>
      <c r="C1426" s="6" t="str">
        <f aca="false">Orders!C1426</f>
        <v>C0030</v>
      </c>
      <c r="D1426" s="6" t="str">
        <f aca="false">Orders!D1426</f>
        <v>P1070</v>
      </c>
      <c r="E1426" s="6" t="str">
        <f aca="false">INDEX(Products!$B$2:$B$101,MATCH(D1426,Products!$A$2:$A$101,0))</f>
        <v>Knee Support Pair</v>
      </c>
      <c r="F1426" s="1" t="str">
        <f aca="false">INDEX(Products!$C$2:$C$101,MATCH(D1426,Products!$A$2:$A$101,0))</f>
        <v>Sports &amp; Outdoors</v>
      </c>
      <c r="G1426" s="6" t="n">
        <f aca="false">Orders!E1426</f>
        <v>4</v>
      </c>
      <c r="H1426" s="16" t="n">
        <f aca="false">INDEX(Products!$D$2:$D$101,MATCH(D1426,Products!$A$2:$A$101,0))</f>
        <v>449</v>
      </c>
      <c r="I1426" s="16" t="n">
        <f aca="false">INDEX(Products!$E$2:$E$101,MATCH(D1426,Products!$A$2:$A$101,0))</f>
        <v>180</v>
      </c>
      <c r="J1426" s="20" t="n">
        <f aca="false">Orders!F1426</f>
        <v>0.05</v>
      </c>
      <c r="K1426" s="6" t="n">
        <f aca="false">G1426*H1426</f>
        <v>1796</v>
      </c>
      <c r="L1426" s="6" t="n">
        <f aca="false">K1426*J1426</f>
        <v>89.8</v>
      </c>
      <c r="M1426" s="6" t="n">
        <f aca="false">K1426-L1426</f>
        <v>1706.2</v>
      </c>
      <c r="N1426" s="6" t="n">
        <f aca="false">G1426*I1426</f>
        <v>720</v>
      </c>
      <c r="O1426" s="6" t="n">
        <f aca="false">M1426-N1426</f>
        <v>986.2</v>
      </c>
      <c r="P1426" s="21" t="n">
        <f aca="false">IFERROR(O1426/M1426,0)</f>
        <v>0.578009612003282</v>
      </c>
      <c r="Q1426" s="6" t="str">
        <f aca="false">Orders!H1426</f>
        <v>Processing</v>
      </c>
      <c r="R1426" s="1" t="str">
        <f aca="false">INDEX(Customers!$C$2:$C$301,MATCH(C1426,Customers!$A$2:$A$301,0))</f>
        <v>Lucknow</v>
      </c>
      <c r="S1426" s="1" t="str">
        <f aca="false">INDEX(Customers!$E$2:$E$301,MATCH(C1426,Customers!$A$2:$A$301,0))</f>
        <v>Returning</v>
      </c>
      <c r="T1426" s="6" t="str">
        <f aca="false">Orders!I1426</f>
        <v>Mobile App</v>
      </c>
      <c r="U1426" s="1" t="str">
        <f aca="false">IF(Q1426="Delivered","Completed",IF(Q1426="Cancelled","Cancelled",IF(Q1426="Returned","Returned","In Progress")))</f>
        <v>In Progress</v>
      </c>
      <c r="V1426" s="1" t="str">
        <f aca="false">IF(M1426&gt;=10000,"High Value",IF(M1426&gt;=5000,"Medium Value","Low Value"))</f>
        <v>Low Value</v>
      </c>
      <c r="W1426" s="1" t="str">
        <f aca="false">IF(O1426&gt;0,"Profitable",IF(O1426=0,"Break-even","Loss"))</f>
        <v>Profitable</v>
      </c>
      <c r="X1426" s="1" t="str">
        <f aca="false">IF(Q1426="Cancelled","Not Applicable",IF(Q1426="Processing","Pending",IF(B1426="","Unknown",IF(Orders!J1426="","Unknown",IF(Orders!J1426&lt;=3,"Fast",IF(Orders!J1426&lt;=6,"Standard","Slow"))))))</f>
        <v>Pending</v>
      </c>
      <c r="Y1426" s="1" t="n">
        <f aca="false">IF(OR(Q1426="Cancelled",Q1426="Returned"),0,O1426)</f>
        <v>986.2</v>
      </c>
    </row>
    <row r="1427" customFormat="false" ht="15" hidden="false" customHeight="false" outlineLevel="0" collapsed="false">
      <c r="A1427" s="6" t="str">
        <f aca="false">Orders!A1427</f>
        <v>O001426</v>
      </c>
      <c r="B1427" s="19" t="n">
        <f aca="false">Orders!B1427</f>
        <v>45752</v>
      </c>
      <c r="C1427" s="6" t="str">
        <f aca="false">Orders!C1427</f>
        <v>C0024</v>
      </c>
      <c r="D1427" s="6" t="str">
        <f aca="false">Orders!D1427</f>
        <v>P1011</v>
      </c>
      <c r="E1427" s="6" t="str">
        <f aca="false">INDEX(Products!$B$2:$B$101,MATCH(D1427,Products!$A$2:$A$101,0))</f>
        <v>Headphones</v>
      </c>
      <c r="F1427" s="1" t="str">
        <f aca="false">INDEX(Products!$C$2:$C$101,MATCH(D1427,Products!$A$2:$A$101,0))</f>
        <v>Electronics</v>
      </c>
      <c r="G1427" s="6" t="n">
        <f aca="false">Orders!E1427</f>
        <v>1</v>
      </c>
      <c r="H1427" s="16" t="n">
        <f aca="false">INDEX(Products!$D$2:$D$101,MATCH(D1427,Products!$A$2:$A$101,0))</f>
        <v>1599</v>
      </c>
      <c r="I1427" s="16" t="n">
        <f aca="false">INDEX(Products!$E$2:$E$101,MATCH(D1427,Products!$A$2:$A$101,0))</f>
        <v>900</v>
      </c>
      <c r="J1427" s="20" t="n">
        <f aca="false">Orders!F1427</f>
        <v>0.1</v>
      </c>
      <c r="K1427" s="6" t="n">
        <f aca="false">G1427*H1427</f>
        <v>1599</v>
      </c>
      <c r="L1427" s="6" t="n">
        <f aca="false">K1427*J1427</f>
        <v>159.9</v>
      </c>
      <c r="M1427" s="6" t="n">
        <f aca="false">K1427-L1427</f>
        <v>1439.1</v>
      </c>
      <c r="N1427" s="6" t="n">
        <f aca="false">G1427*I1427</f>
        <v>900</v>
      </c>
      <c r="O1427" s="6" t="n">
        <f aca="false">M1427-N1427</f>
        <v>539.1</v>
      </c>
      <c r="P1427" s="21" t="n">
        <f aca="false">IFERROR(O1427/M1427,0)</f>
        <v>0.374609130706692</v>
      </c>
      <c r="Q1427" s="6" t="str">
        <f aca="false">Orders!H1427</f>
        <v>Delivered</v>
      </c>
      <c r="R1427" s="1" t="str">
        <f aca="false">INDEX(Customers!$C$2:$C$301,MATCH(C1427,Customers!$A$2:$A$301,0))</f>
        <v>Hyderabad</v>
      </c>
      <c r="S1427" s="1" t="str">
        <f aca="false">INDEX(Customers!$E$2:$E$301,MATCH(C1427,Customers!$A$2:$A$301,0))</f>
        <v>Returning</v>
      </c>
      <c r="T1427" s="6" t="str">
        <f aca="false">Orders!I1427</f>
        <v>Website</v>
      </c>
      <c r="U1427" s="1" t="str">
        <f aca="false">IF(Q1427="Delivered","Completed",IF(Q1427="Cancelled","Cancelled",IF(Q1427="Returned","Returned","In Progress")))</f>
        <v>Completed</v>
      </c>
      <c r="V1427" s="1" t="str">
        <f aca="false">IF(M1427&gt;=10000,"High Value",IF(M1427&gt;=5000,"Medium Value","Low Value"))</f>
        <v>Low Value</v>
      </c>
      <c r="W1427" s="1" t="str">
        <f aca="false">IF(O1427&gt;0,"Profitable",IF(O1427=0,"Break-even","Loss"))</f>
        <v>Profitable</v>
      </c>
      <c r="X1427" s="1" t="str">
        <f aca="false">IF(Q1427="Cancelled","Not Applicable",IF(Q1427="Processing","Pending",IF(B1427="","Unknown",IF(Orders!J1427="","Unknown",IF(Orders!J1427&lt;=3,"Fast",IF(Orders!J1427&lt;=6,"Standard","Slow"))))))</f>
        <v>Standard</v>
      </c>
      <c r="Y1427" s="1" t="n">
        <f aca="false">IF(OR(Q1427="Cancelled",Q1427="Returned"),0,O1427)</f>
        <v>539.1</v>
      </c>
    </row>
    <row r="1428" customFormat="false" ht="15" hidden="false" customHeight="false" outlineLevel="0" collapsed="false">
      <c r="A1428" s="6" t="str">
        <f aca="false">Orders!A1428</f>
        <v>O001427</v>
      </c>
      <c r="B1428" s="19" t="n">
        <f aca="false">Orders!B1428</f>
        <v>46000</v>
      </c>
      <c r="C1428" s="6" t="str">
        <f aca="false">Orders!C1428</f>
        <v>C0180</v>
      </c>
      <c r="D1428" s="6" t="str">
        <f aca="false">Orders!D1428</f>
        <v>P1024</v>
      </c>
      <c r="E1428" s="6" t="str">
        <f aca="false">INDEX(Products!$B$2:$B$101,MATCH(D1428,Products!$A$2:$A$101,0))</f>
        <v>Kurta</v>
      </c>
      <c r="F1428" s="1" t="str">
        <f aca="false">INDEX(Products!$C$2:$C$101,MATCH(D1428,Products!$A$2:$A$101,0))</f>
        <v>Fashion</v>
      </c>
      <c r="G1428" s="6" t="n">
        <f aca="false">Orders!E1428</f>
        <v>2</v>
      </c>
      <c r="H1428" s="16" t="n">
        <f aca="false">INDEX(Products!$D$2:$D$101,MATCH(D1428,Products!$A$2:$A$101,0))</f>
        <v>999</v>
      </c>
      <c r="I1428" s="16" t="n">
        <f aca="false">INDEX(Products!$E$2:$E$101,MATCH(D1428,Products!$A$2:$A$101,0))</f>
        <v>450</v>
      </c>
      <c r="J1428" s="20" t="n">
        <f aca="false">Orders!F1428</f>
        <v>0.05</v>
      </c>
      <c r="K1428" s="6" t="n">
        <f aca="false">G1428*H1428</f>
        <v>1998</v>
      </c>
      <c r="L1428" s="6" t="n">
        <f aca="false">K1428*J1428</f>
        <v>99.9</v>
      </c>
      <c r="M1428" s="6" t="n">
        <f aca="false">K1428-L1428</f>
        <v>1898.1</v>
      </c>
      <c r="N1428" s="6" t="n">
        <f aca="false">G1428*I1428</f>
        <v>900</v>
      </c>
      <c r="O1428" s="6" t="n">
        <f aca="false">M1428-N1428</f>
        <v>998.1</v>
      </c>
      <c r="P1428" s="21" t="n">
        <f aca="false">IFERROR(O1428/M1428,0)</f>
        <v>0.525841631104789</v>
      </c>
      <c r="Q1428" s="6" t="str">
        <f aca="false">Orders!H1428</f>
        <v>Returned</v>
      </c>
      <c r="R1428" s="1" t="str">
        <f aca="false">INDEX(Customers!$C$2:$C$301,MATCH(C1428,Customers!$A$2:$A$301,0))</f>
        <v>Visakhapatnam</v>
      </c>
      <c r="S1428" s="1" t="str">
        <f aca="false">INDEX(Customers!$E$2:$E$301,MATCH(C1428,Customers!$A$2:$A$301,0))</f>
        <v>New</v>
      </c>
      <c r="T1428" s="6" t="str">
        <f aca="false">Orders!I1428</f>
        <v>Marketplace</v>
      </c>
      <c r="U1428" s="1" t="str">
        <f aca="false">IF(Q1428="Delivered","Completed",IF(Q1428="Cancelled","Cancelled",IF(Q1428="Returned","Returned","In Progress")))</f>
        <v>Returned</v>
      </c>
      <c r="V1428" s="1" t="str">
        <f aca="false">IF(M1428&gt;=10000,"High Value",IF(M1428&gt;=5000,"Medium Value","Low Value"))</f>
        <v>Low Value</v>
      </c>
      <c r="W1428" s="1" t="str">
        <f aca="false">IF(O1428&gt;0,"Profitable",IF(O1428=0,"Break-even","Loss"))</f>
        <v>Profitable</v>
      </c>
      <c r="X1428" s="1" t="str">
        <f aca="false">IF(Q1428="Cancelled","Not Applicable",IF(Q1428="Processing","Pending",IF(B1428="","Unknown",IF(Orders!J1428="","Unknown",IF(Orders!J1428&lt;=3,"Fast",IF(Orders!J1428&lt;=6,"Standard","Slow"))))))</f>
        <v>Slow</v>
      </c>
      <c r="Y1428" s="1" t="n">
        <f aca="false">IF(OR(Q1428="Cancelled",Q1428="Returned"),0,O1428)</f>
        <v>0</v>
      </c>
    </row>
    <row r="1429" customFormat="false" ht="15" hidden="false" customHeight="false" outlineLevel="0" collapsed="false">
      <c r="A1429" s="6" t="str">
        <f aca="false">Orders!A1429</f>
        <v>O001428</v>
      </c>
      <c r="B1429" s="19" t="n">
        <f aca="false">Orders!B1429</f>
        <v>45885</v>
      </c>
      <c r="C1429" s="6" t="str">
        <f aca="false">Orders!C1429</f>
        <v>C0185</v>
      </c>
      <c r="D1429" s="6" t="str">
        <f aca="false">Orders!D1429</f>
        <v>P1088</v>
      </c>
      <c r="E1429" s="6" t="str">
        <f aca="false">INDEX(Products!$B$2:$B$101,MATCH(D1429,Products!$A$2:$A$101,0))</f>
        <v>Electric Kettle</v>
      </c>
      <c r="F1429" s="1" t="str">
        <f aca="false">INDEX(Products!$C$2:$C$101,MATCH(D1429,Products!$A$2:$A$101,0))</f>
        <v>Appliances</v>
      </c>
      <c r="G1429" s="6" t="n">
        <f aca="false">Orders!E1429</f>
        <v>1</v>
      </c>
      <c r="H1429" s="16" t="n">
        <f aca="false">INDEX(Products!$D$2:$D$101,MATCH(D1429,Products!$A$2:$A$101,0))</f>
        <v>1299</v>
      </c>
      <c r="I1429" s="16" t="n">
        <f aca="false">INDEX(Products!$E$2:$E$101,MATCH(D1429,Products!$A$2:$A$101,0))</f>
        <v>750</v>
      </c>
      <c r="J1429" s="20" t="n">
        <f aca="false">Orders!F1429</f>
        <v>0</v>
      </c>
      <c r="K1429" s="6" t="n">
        <f aca="false">G1429*H1429</f>
        <v>1299</v>
      </c>
      <c r="L1429" s="6" t="n">
        <f aca="false">K1429*J1429</f>
        <v>0</v>
      </c>
      <c r="M1429" s="6" t="n">
        <f aca="false">K1429-L1429</f>
        <v>1299</v>
      </c>
      <c r="N1429" s="6" t="n">
        <f aca="false">G1429*I1429</f>
        <v>750</v>
      </c>
      <c r="O1429" s="6" t="n">
        <f aca="false">M1429-N1429</f>
        <v>549</v>
      </c>
      <c r="P1429" s="21" t="n">
        <f aca="false">IFERROR(O1429/M1429,0)</f>
        <v>0.422632794457275</v>
      </c>
      <c r="Q1429" s="6" t="str">
        <f aca="false">Orders!H1429</f>
        <v>Delivered</v>
      </c>
      <c r="R1429" s="1" t="str">
        <f aca="false">INDEX(Customers!$C$2:$C$301,MATCH(C1429,Customers!$A$2:$A$301,0))</f>
        <v>Chennai</v>
      </c>
      <c r="S1429" s="1" t="str">
        <f aca="false">INDEX(Customers!$E$2:$E$301,MATCH(C1429,Customers!$A$2:$A$301,0))</f>
        <v>New</v>
      </c>
      <c r="T1429" s="6" t="str">
        <f aca="false">Orders!I1429</f>
        <v>Website</v>
      </c>
      <c r="U1429" s="1" t="str">
        <f aca="false">IF(Q1429="Delivered","Completed",IF(Q1429="Cancelled","Cancelled",IF(Q1429="Returned","Returned","In Progress")))</f>
        <v>Completed</v>
      </c>
      <c r="V1429" s="1" t="str">
        <f aca="false">IF(M1429&gt;=10000,"High Value",IF(M1429&gt;=5000,"Medium Value","Low Value"))</f>
        <v>Low Value</v>
      </c>
      <c r="W1429" s="1" t="str">
        <f aca="false">IF(O1429&gt;0,"Profitable",IF(O1429=0,"Break-even","Loss"))</f>
        <v>Profitable</v>
      </c>
      <c r="X1429" s="1" t="str">
        <f aca="false">IF(Q1429="Cancelled","Not Applicable",IF(Q1429="Processing","Pending",IF(B1429="","Unknown",IF(Orders!J1429="","Unknown",IF(Orders!J1429&lt;=3,"Fast",IF(Orders!J1429&lt;=6,"Standard","Slow"))))))</f>
        <v>Standard</v>
      </c>
      <c r="Y1429" s="1" t="n">
        <f aca="false">IF(OR(Q1429="Cancelled",Q1429="Returned"),0,O1429)</f>
        <v>549</v>
      </c>
    </row>
    <row r="1430" customFormat="false" ht="15" hidden="false" customHeight="false" outlineLevel="0" collapsed="false">
      <c r="A1430" s="6" t="str">
        <f aca="false">Orders!A1430</f>
        <v>O001429</v>
      </c>
      <c r="B1430" s="19" t="n">
        <f aca="false">Orders!B1430</f>
        <v>45838</v>
      </c>
      <c r="C1430" s="6" t="str">
        <f aca="false">Orders!C1430</f>
        <v>C0125</v>
      </c>
      <c r="D1430" s="6" t="str">
        <f aca="false">Orders!D1430</f>
        <v>P1082</v>
      </c>
      <c r="E1430" s="6" t="str">
        <f aca="false">INDEX(Products!$B$2:$B$101,MATCH(D1430,Products!$A$2:$A$101,0))</f>
        <v>File Folder Set</v>
      </c>
      <c r="F1430" s="1" t="str">
        <f aca="false">INDEX(Products!$C$2:$C$101,MATCH(D1430,Products!$A$2:$A$101,0))</f>
        <v>Books &amp; Stationery</v>
      </c>
      <c r="G1430" s="6" t="n">
        <f aca="false">Orders!E1430</f>
        <v>1</v>
      </c>
      <c r="H1430" s="16" t="n">
        <f aca="false">INDEX(Products!$D$2:$D$101,MATCH(D1430,Products!$A$2:$A$101,0))</f>
        <v>249</v>
      </c>
      <c r="I1430" s="16" t="n">
        <f aca="false">INDEX(Products!$E$2:$E$101,MATCH(D1430,Products!$A$2:$A$101,0))</f>
        <v>90</v>
      </c>
      <c r="J1430" s="20" t="n">
        <f aca="false">Orders!F1430</f>
        <v>0.1</v>
      </c>
      <c r="K1430" s="6" t="n">
        <f aca="false">G1430*H1430</f>
        <v>249</v>
      </c>
      <c r="L1430" s="6" t="n">
        <f aca="false">K1430*J1430</f>
        <v>24.9</v>
      </c>
      <c r="M1430" s="6" t="n">
        <f aca="false">K1430-L1430</f>
        <v>224.1</v>
      </c>
      <c r="N1430" s="6" t="n">
        <f aca="false">G1430*I1430</f>
        <v>90</v>
      </c>
      <c r="O1430" s="6" t="n">
        <f aca="false">M1430-N1430</f>
        <v>134.1</v>
      </c>
      <c r="P1430" s="21" t="n">
        <f aca="false">IFERROR(O1430/M1430,0)</f>
        <v>0.598393574297189</v>
      </c>
      <c r="Q1430" s="6" t="str">
        <f aca="false">Orders!H1430</f>
        <v>Delivered</v>
      </c>
      <c r="R1430" s="1" t="str">
        <f aca="false">INDEX(Customers!$C$2:$C$301,MATCH(C1430,Customers!$A$2:$A$301,0))</f>
        <v>Chennai</v>
      </c>
      <c r="S1430" s="1" t="str">
        <f aca="false">INDEX(Customers!$E$2:$E$301,MATCH(C1430,Customers!$A$2:$A$301,0))</f>
        <v>Returning</v>
      </c>
      <c r="T1430" s="6" t="str">
        <f aca="false">Orders!I1430</f>
        <v>Marketplace</v>
      </c>
      <c r="U1430" s="1" t="str">
        <f aca="false">IF(Q1430="Delivered","Completed",IF(Q1430="Cancelled","Cancelled",IF(Q1430="Returned","Returned","In Progress")))</f>
        <v>Completed</v>
      </c>
      <c r="V1430" s="1" t="str">
        <f aca="false">IF(M1430&gt;=10000,"High Value",IF(M1430&gt;=5000,"Medium Value","Low Value"))</f>
        <v>Low Value</v>
      </c>
      <c r="W1430" s="1" t="str">
        <f aca="false">IF(O1430&gt;0,"Profitable",IF(O1430=0,"Break-even","Loss"))</f>
        <v>Profitable</v>
      </c>
      <c r="X1430" s="1" t="str">
        <f aca="false">IF(Q1430="Cancelled","Not Applicable",IF(Q1430="Processing","Pending",IF(B1430="","Unknown",IF(Orders!J1430="","Unknown",IF(Orders!J1430&lt;=3,"Fast",IF(Orders!J1430&lt;=6,"Standard","Slow"))))))</f>
        <v>Slow</v>
      </c>
      <c r="Y1430" s="1" t="n">
        <f aca="false">IF(OR(Q1430="Cancelled",Q1430="Returned"),0,O1430)</f>
        <v>134.1</v>
      </c>
    </row>
    <row r="1431" customFormat="false" ht="15" hidden="false" customHeight="false" outlineLevel="0" collapsed="false">
      <c r="A1431" s="6" t="str">
        <f aca="false">Orders!A1431</f>
        <v>O001430</v>
      </c>
      <c r="B1431" s="19" t="n">
        <f aca="false">Orders!B1431</f>
        <v>45663</v>
      </c>
      <c r="C1431" s="6" t="str">
        <f aca="false">Orders!C1431</f>
        <v>C0296</v>
      </c>
      <c r="D1431" s="6" t="str">
        <f aca="false">Orders!D1431</f>
        <v>P1014</v>
      </c>
      <c r="E1431" s="6" t="str">
        <f aca="false">INDEX(Products!$B$2:$B$101,MATCH(D1431,Products!$A$2:$A$101,0))</f>
        <v>HDMI Cable</v>
      </c>
      <c r="F1431" s="1" t="str">
        <f aca="false">INDEX(Products!$C$2:$C$101,MATCH(D1431,Products!$A$2:$A$101,0))</f>
        <v>Electronics</v>
      </c>
      <c r="G1431" s="6" t="n">
        <f aca="false">Orders!E1431</f>
        <v>2</v>
      </c>
      <c r="H1431" s="16" t="n">
        <f aca="false">INDEX(Products!$D$2:$D$101,MATCH(D1431,Products!$A$2:$A$101,0))</f>
        <v>449</v>
      </c>
      <c r="I1431" s="16" t="n">
        <f aca="false">INDEX(Products!$E$2:$E$101,MATCH(D1431,Products!$A$2:$A$101,0))</f>
        <v>180</v>
      </c>
      <c r="J1431" s="20" t="n">
        <f aca="false">Orders!F1431</f>
        <v>0.1</v>
      </c>
      <c r="K1431" s="6" t="n">
        <f aca="false">G1431*H1431</f>
        <v>898</v>
      </c>
      <c r="L1431" s="6" t="n">
        <f aca="false">K1431*J1431</f>
        <v>89.8</v>
      </c>
      <c r="M1431" s="6" t="n">
        <f aca="false">K1431-L1431</f>
        <v>808.2</v>
      </c>
      <c r="N1431" s="6" t="n">
        <f aca="false">G1431*I1431</f>
        <v>360</v>
      </c>
      <c r="O1431" s="6" t="n">
        <f aca="false">M1431-N1431</f>
        <v>448.2</v>
      </c>
      <c r="P1431" s="21" t="n">
        <f aca="false">IFERROR(O1431/M1431,0)</f>
        <v>0.55456570155902</v>
      </c>
      <c r="Q1431" s="6" t="str">
        <f aca="false">Orders!H1431</f>
        <v>Delivered</v>
      </c>
      <c r="R1431" s="1" t="str">
        <f aca="false">INDEX(Customers!$C$2:$C$301,MATCH(C1431,Customers!$A$2:$A$301,0))</f>
        <v>Chandigarh</v>
      </c>
      <c r="S1431" s="1" t="str">
        <f aca="false">INDEX(Customers!$E$2:$E$301,MATCH(C1431,Customers!$A$2:$A$301,0))</f>
        <v>New</v>
      </c>
      <c r="T1431" s="6" t="str">
        <f aca="false">Orders!I1431</f>
        <v>Mobile App</v>
      </c>
      <c r="U1431" s="1" t="str">
        <f aca="false">IF(Q1431="Delivered","Completed",IF(Q1431="Cancelled","Cancelled",IF(Q1431="Returned","Returned","In Progress")))</f>
        <v>Completed</v>
      </c>
      <c r="V1431" s="1" t="str">
        <f aca="false">IF(M1431&gt;=10000,"High Value",IF(M1431&gt;=5000,"Medium Value","Low Value"))</f>
        <v>Low Value</v>
      </c>
      <c r="W1431" s="1" t="str">
        <f aca="false">IF(O1431&gt;0,"Profitable",IF(O1431=0,"Break-even","Loss"))</f>
        <v>Profitable</v>
      </c>
      <c r="X1431" s="1" t="str">
        <f aca="false">IF(Q1431="Cancelled","Not Applicable",IF(Q1431="Processing","Pending",IF(B1431="","Unknown",IF(Orders!J1431="","Unknown",IF(Orders!J1431&lt;=3,"Fast",IF(Orders!J1431&lt;=6,"Standard","Slow"))))))</f>
        <v>Standard</v>
      </c>
      <c r="Y1431" s="1" t="n">
        <f aca="false">IF(OR(Q1431="Cancelled",Q1431="Returned"),0,O1431)</f>
        <v>448.2</v>
      </c>
    </row>
    <row r="1432" customFormat="false" ht="15" hidden="false" customHeight="false" outlineLevel="0" collapsed="false">
      <c r="A1432" s="6" t="str">
        <f aca="false">Orders!A1432</f>
        <v>O001431</v>
      </c>
      <c r="B1432" s="19" t="n">
        <f aca="false">Orders!B1432</f>
        <v>45771</v>
      </c>
      <c r="C1432" s="6" t="str">
        <f aca="false">Orders!C1432</f>
        <v>C0111</v>
      </c>
      <c r="D1432" s="6" t="str">
        <f aca="false">Orders!D1432</f>
        <v>P1062</v>
      </c>
      <c r="E1432" s="6" t="str">
        <f aca="false">INDEX(Products!$B$2:$B$101,MATCH(D1432,Products!$A$2:$A$101,0))</f>
        <v>Skipping Rope</v>
      </c>
      <c r="F1432" s="1" t="str">
        <f aca="false">INDEX(Products!$C$2:$C$101,MATCH(D1432,Products!$A$2:$A$101,0))</f>
        <v>Sports &amp; Outdoors</v>
      </c>
      <c r="G1432" s="6" t="n">
        <f aca="false">Orders!E1432</f>
        <v>1</v>
      </c>
      <c r="H1432" s="16" t="n">
        <f aca="false">INDEX(Products!$D$2:$D$101,MATCH(D1432,Products!$A$2:$A$101,0))</f>
        <v>249</v>
      </c>
      <c r="I1432" s="16" t="n">
        <f aca="false">INDEX(Products!$E$2:$E$101,MATCH(D1432,Products!$A$2:$A$101,0))</f>
        <v>80</v>
      </c>
      <c r="J1432" s="20" t="n">
        <f aca="false">Orders!F1432</f>
        <v>0.1</v>
      </c>
      <c r="K1432" s="6" t="n">
        <f aca="false">G1432*H1432</f>
        <v>249</v>
      </c>
      <c r="L1432" s="6" t="n">
        <f aca="false">K1432*J1432</f>
        <v>24.9</v>
      </c>
      <c r="M1432" s="6" t="n">
        <f aca="false">K1432-L1432</f>
        <v>224.1</v>
      </c>
      <c r="N1432" s="6" t="n">
        <f aca="false">G1432*I1432</f>
        <v>80</v>
      </c>
      <c r="O1432" s="6" t="n">
        <f aca="false">M1432-N1432</f>
        <v>144.1</v>
      </c>
      <c r="P1432" s="21" t="n">
        <f aca="false">IFERROR(O1432/M1432,0)</f>
        <v>0.64301651048639</v>
      </c>
      <c r="Q1432" s="6" t="str">
        <f aca="false">Orders!H1432</f>
        <v>Processing</v>
      </c>
      <c r="R1432" s="1" t="str">
        <f aca="false">INDEX(Customers!$C$2:$C$301,MATCH(C1432,Customers!$A$2:$A$301,0))</f>
        <v>Gurugram</v>
      </c>
      <c r="S1432" s="1" t="str">
        <f aca="false">INDEX(Customers!$E$2:$E$301,MATCH(C1432,Customers!$A$2:$A$301,0))</f>
        <v>Returning</v>
      </c>
      <c r="T1432" s="6" t="str">
        <f aca="false">Orders!I1432</f>
        <v>Marketplace</v>
      </c>
      <c r="U1432" s="1" t="str">
        <f aca="false">IF(Q1432="Delivered","Completed",IF(Q1432="Cancelled","Cancelled",IF(Q1432="Returned","Returned","In Progress")))</f>
        <v>In Progress</v>
      </c>
      <c r="V1432" s="1" t="str">
        <f aca="false">IF(M1432&gt;=10000,"High Value",IF(M1432&gt;=5000,"Medium Value","Low Value"))</f>
        <v>Low Value</v>
      </c>
      <c r="W1432" s="1" t="str">
        <f aca="false">IF(O1432&gt;0,"Profitable",IF(O1432=0,"Break-even","Loss"))</f>
        <v>Profitable</v>
      </c>
      <c r="X1432" s="1" t="str">
        <f aca="false">IF(Q1432="Cancelled","Not Applicable",IF(Q1432="Processing","Pending",IF(B1432="","Unknown",IF(Orders!J1432="","Unknown",IF(Orders!J1432&lt;=3,"Fast",IF(Orders!J1432&lt;=6,"Standard","Slow"))))))</f>
        <v>Pending</v>
      </c>
      <c r="Y1432" s="1" t="n">
        <f aca="false">IF(OR(Q1432="Cancelled",Q1432="Returned"),0,O1432)</f>
        <v>144.1</v>
      </c>
    </row>
    <row r="1433" customFormat="false" ht="15" hidden="false" customHeight="false" outlineLevel="0" collapsed="false">
      <c r="A1433" s="6" t="str">
        <f aca="false">Orders!A1433</f>
        <v>O001432</v>
      </c>
      <c r="B1433" s="19" t="n">
        <f aca="false">Orders!B1433</f>
        <v>45791</v>
      </c>
      <c r="C1433" s="6" t="str">
        <f aca="false">Orders!C1433</f>
        <v>C0179</v>
      </c>
      <c r="D1433" s="6" t="str">
        <f aca="false">Orders!D1433</f>
        <v>P1063</v>
      </c>
      <c r="E1433" s="6" t="str">
        <f aca="false">INDEX(Products!$B$2:$B$101,MATCH(D1433,Products!$A$2:$A$101,0))</f>
        <v>Cricket Bat</v>
      </c>
      <c r="F1433" s="1" t="str">
        <f aca="false">INDEX(Products!$C$2:$C$101,MATCH(D1433,Products!$A$2:$A$101,0))</f>
        <v>Sports &amp; Outdoors</v>
      </c>
      <c r="G1433" s="6" t="n">
        <f aca="false">Orders!E1433</f>
        <v>3</v>
      </c>
      <c r="H1433" s="16" t="n">
        <f aca="false">INDEX(Products!$D$2:$D$101,MATCH(D1433,Products!$A$2:$A$101,0))</f>
        <v>1499</v>
      </c>
      <c r="I1433" s="16" t="n">
        <f aca="false">INDEX(Products!$E$2:$E$101,MATCH(D1433,Products!$A$2:$A$101,0))</f>
        <v>800</v>
      </c>
      <c r="J1433" s="20" t="n">
        <f aca="false">Orders!F1433</f>
        <v>0.15</v>
      </c>
      <c r="K1433" s="6" t="n">
        <f aca="false">G1433*H1433</f>
        <v>4497</v>
      </c>
      <c r="L1433" s="6" t="n">
        <f aca="false">K1433*J1433</f>
        <v>674.55</v>
      </c>
      <c r="M1433" s="6" t="n">
        <f aca="false">K1433-L1433</f>
        <v>3822.45</v>
      </c>
      <c r="N1433" s="6" t="n">
        <f aca="false">G1433*I1433</f>
        <v>2400</v>
      </c>
      <c r="O1433" s="6" t="n">
        <f aca="false">M1433-N1433</f>
        <v>1422.45</v>
      </c>
      <c r="P1433" s="21" t="n">
        <f aca="false">IFERROR(O1433/M1433,0)</f>
        <v>0.372130439901111</v>
      </c>
      <c r="Q1433" s="6" t="str">
        <f aca="false">Orders!H1433</f>
        <v>Delivered</v>
      </c>
      <c r="R1433" s="1" t="str">
        <f aca="false">INDEX(Customers!$C$2:$C$301,MATCH(C1433,Customers!$A$2:$A$301,0))</f>
        <v>Coimbatore</v>
      </c>
      <c r="S1433" s="1" t="str">
        <f aca="false">INDEX(Customers!$E$2:$E$301,MATCH(C1433,Customers!$A$2:$A$301,0))</f>
        <v>New</v>
      </c>
      <c r="T1433" s="6" t="str">
        <f aca="false">Orders!I1433</f>
        <v>Marketplace</v>
      </c>
      <c r="U1433" s="1" t="str">
        <f aca="false">IF(Q1433="Delivered","Completed",IF(Q1433="Cancelled","Cancelled",IF(Q1433="Returned","Returned","In Progress")))</f>
        <v>Completed</v>
      </c>
      <c r="V1433" s="1" t="str">
        <f aca="false">IF(M1433&gt;=10000,"High Value",IF(M1433&gt;=5000,"Medium Value","Low Value"))</f>
        <v>Low Value</v>
      </c>
      <c r="W1433" s="1" t="str">
        <f aca="false">IF(O1433&gt;0,"Profitable",IF(O1433=0,"Break-even","Loss"))</f>
        <v>Profitable</v>
      </c>
      <c r="X1433" s="1" t="str">
        <f aca="false">IF(Q1433="Cancelled","Not Applicable",IF(Q1433="Processing","Pending",IF(B1433="","Unknown",IF(Orders!J1433="","Unknown",IF(Orders!J1433&lt;=3,"Fast",IF(Orders!J1433&lt;=6,"Standard","Slow"))))))</f>
        <v>Standard</v>
      </c>
      <c r="Y1433" s="1" t="n">
        <f aca="false">IF(OR(Q1433="Cancelled",Q1433="Returned"),0,O1433)</f>
        <v>1422.45</v>
      </c>
    </row>
    <row r="1434" customFormat="false" ht="15" hidden="false" customHeight="false" outlineLevel="0" collapsed="false">
      <c r="A1434" s="6" t="str">
        <f aca="false">Orders!A1434</f>
        <v>O001433</v>
      </c>
      <c r="B1434" s="19" t="n">
        <f aca="false">Orders!B1434</f>
        <v>45990</v>
      </c>
      <c r="C1434" s="6" t="str">
        <f aca="false">Orders!C1434</f>
        <v>C0141</v>
      </c>
      <c r="D1434" s="6" t="str">
        <f aca="false">Orders!D1434</f>
        <v>P1023</v>
      </c>
      <c r="E1434" s="6" t="str">
        <f aca="false">INDEX(Products!$B$2:$B$101,MATCH(D1434,Products!$A$2:$A$101,0))</f>
        <v>Sports Cap</v>
      </c>
      <c r="F1434" s="1" t="str">
        <f aca="false">INDEX(Products!$C$2:$C$101,MATCH(D1434,Products!$A$2:$A$101,0))</f>
        <v>Fashion</v>
      </c>
      <c r="G1434" s="6" t="n">
        <f aca="false">Orders!E1434</f>
        <v>2</v>
      </c>
      <c r="H1434" s="16" t="n">
        <f aca="false">INDEX(Products!$D$2:$D$101,MATCH(D1434,Products!$A$2:$A$101,0))</f>
        <v>349</v>
      </c>
      <c r="I1434" s="16" t="n">
        <f aca="false">INDEX(Products!$E$2:$E$101,MATCH(D1434,Products!$A$2:$A$101,0))</f>
        <v>120</v>
      </c>
      <c r="J1434" s="20" t="n">
        <f aca="false">Orders!F1434</f>
        <v>0.15</v>
      </c>
      <c r="K1434" s="6" t="n">
        <f aca="false">G1434*H1434</f>
        <v>698</v>
      </c>
      <c r="L1434" s="6" t="n">
        <f aca="false">K1434*J1434</f>
        <v>104.7</v>
      </c>
      <c r="M1434" s="6" t="n">
        <f aca="false">K1434-L1434</f>
        <v>593.3</v>
      </c>
      <c r="N1434" s="6" t="n">
        <f aca="false">G1434*I1434</f>
        <v>240</v>
      </c>
      <c r="O1434" s="6" t="n">
        <f aca="false">M1434-N1434</f>
        <v>353.3</v>
      </c>
      <c r="P1434" s="21" t="n">
        <f aca="false">IFERROR(O1434/M1434,0)</f>
        <v>0.59548289229732</v>
      </c>
      <c r="Q1434" s="6" t="str">
        <f aca="false">Orders!H1434</f>
        <v>Delivered</v>
      </c>
      <c r="R1434" s="1" t="str">
        <f aca="false">INDEX(Customers!$C$2:$C$301,MATCH(C1434,Customers!$A$2:$A$301,0))</f>
        <v>Delhi</v>
      </c>
      <c r="S1434" s="1" t="str">
        <f aca="false">INDEX(Customers!$E$2:$E$301,MATCH(C1434,Customers!$A$2:$A$301,0))</f>
        <v>Returning</v>
      </c>
      <c r="T1434" s="6" t="str">
        <f aca="false">Orders!I1434</f>
        <v>Mobile App</v>
      </c>
      <c r="U1434" s="1" t="str">
        <f aca="false">IF(Q1434="Delivered","Completed",IF(Q1434="Cancelled","Cancelled",IF(Q1434="Returned","Returned","In Progress")))</f>
        <v>Completed</v>
      </c>
      <c r="V1434" s="1" t="str">
        <f aca="false">IF(M1434&gt;=10000,"High Value",IF(M1434&gt;=5000,"Medium Value","Low Value"))</f>
        <v>Low Value</v>
      </c>
      <c r="W1434" s="1" t="str">
        <f aca="false">IF(O1434&gt;0,"Profitable",IF(O1434=0,"Break-even","Loss"))</f>
        <v>Profitable</v>
      </c>
      <c r="X1434" s="1" t="str">
        <f aca="false">IF(Q1434="Cancelled","Not Applicable",IF(Q1434="Processing","Pending",IF(B1434="","Unknown",IF(Orders!J1434="","Unknown",IF(Orders!J1434&lt;=3,"Fast",IF(Orders!J1434&lt;=6,"Standard","Slow"))))))</f>
        <v>Standard</v>
      </c>
      <c r="Y1434" s="1" t="n">
        <f aca="false">IF(OR(Q1434="Cancelled",Q1434="Returned"),0,O1434)</f>
        <v>353.3</v>
      </c>
    </row>
    <row r="1435" customFormat="false" ht="15" hidden="false" customHeight="false" outlineLevel="0" collapsed="false">
      <c r="A1435" s="6" t="str">
        <f aca="false">Orders!A1435</f>
        <v>O001434</v>
      </c>
      <c r="B1435" s="19" t="n">
        <f aca="false">Orders!B1435</f>
        <v>45871</v>
      </c>
      <c r="C1435" s="6" t="str">
        <f aca="false">Orders!C1435</f>
        <v>C0038</v>
      </c>
      <c r="D1435" s="6" t="str">
        <f aca="false">Orders!D1435</f>
        <v>P1034</v>
      </c>
      <c r="E1435" s="6" t="str">
        <f aca="false">INDEX(Products!$B$2:$B$101,MATCH(D1435,Products!$A$2:$A$101,0))</f>
        <v>Table Lamp</v>
      </c>
      <c r="F1435" s="1" t="str">
        <f aca="false">INDEX(Products!$C$2:$C$101,MATCH(D1435,Products!$A$2:$A$101,0))</f>
        <v>Home &amp; Kitchen</v>
      </c>
      <c r="G1435" s="6" t="n">
        <f aca="false">Orders!E1435</f>
        <v>1</v>
      </c>
      <c r="H1435" s="16" t="n">
        <f aca="false">INDEX(Products!$D$2:$D$101,MATCH(D1435,Products!$A$2:$A$101,0))</f>
        <v>899</v>
      </c>
      <c r="I1435" s="16" t="n">
        <f aca="false">INDEX(Products!$E$2:$E$101,MATCH(D1435,Products!$A$2:$A$101,0))</f>
        <v>420</v>
      </c>
      <c r="J1435" s="20" t="n">
        <f aca="false">Orders!F1435</f>
        <v>0.05</v>
      </c>
      <c r="K1435" s="6" t="n">
        <f aca="false">G1435*H1435</f>
        <v>899</v>
      </c>
      <c r="L1435" s="6" t="n">
        <f aca="false">K1435*J1435</f>
        <v>44.95</v>
      </c>
      <c r="M1435" s="6" t="n">
        <f aca="false">K1435-L1435</f>
        <v>854.05</v>
      </c>
      <c r="N1435" s="6" t="n">
        <f aca="false">G1435*I1435</f>
        <v>420</v>
      </c>
      <c r="O1435" s="6" t="n">
        <f aca="false">M1435-N1435</f>
        <v>434.05</v>
      </c>
      <c r="P1435" s="21" t="n">
        <f aca="false">IFERROR(O1435/M1435,0)</f>
        <v>0.508225513728704</v>
      </c>
      <c r="Q1435" s="6" t="str">
        <f aca="false">Orders!H1435</f>
        <v>Delivered</v>
      </c>
      <c r="R1435" s="1" t="str">
        <f aca="false">INDEX(Customers!$C$2:$C$301,MATCH(C1435,Customers!$A$2:$A$301,0))</f>
        <v>Nagpur</v>
      </c>
      <c r="S1435" s="1" t="str">
        <f aca="false">INDEX(Customers!$E$2:$E$301,MATCH(C1435,Customers!$A$2:$A$301,0))</f>
        <v>Returning</v>
      </c>
      <c r="T1435" s="6" t="str">
        <f aca="false">Orders!I1435</f>
        <v>Mobile App</v>
      </c>
      <c r="U1435" s="1" t="str">
        <f aca="false">IF(Q1435="Delivered","Completed",IF(Q1435="Cancelled","Cancelled",IF(Q1435="Returned","Returned","In Progress")))</f>
        <v>Completed</v>
      </c>
      <c r="V1435" s="1" t="str">
        <f aca="false">IF(M1435&gt;=10000,"High Value",IF(M1435&gt;=5000,"Medium Value","Low Value"))</f>
        <v>Low Value</v>
      </c>
      <c r="W1435" s="1" t="str">
        <f aca="false">IF(O1435&gt;0,"Profitable",IF(O1435=0,"Break-even","Loss"))</f>
        <v>Profitable</v>
      </c>
      <c r="X1435" s="1" t="str">
        <f aca="false">IF(Q1435="Cancelled","Not Applicable",IF(Q1435="Processing","Pending",IF(B1435="","Unknown",IF(Orders!J1435="","Unknown",IF(Orders!J1435&lt;=3,"Fast",IF(Orders!J1435&lt;=6,"Standard","Slow"))))))</f>
        <v>Slow</v>
      </c>
      <c r="Y1435" s="1" t="n">
        <f aca="false">IF(OR(Q1435="Cancelled",Q1435="Returned"),0,O1435)</f>
        <v>434.05</v>
      </c>
    </row>
    <row r="1436" customFormat="false" ht="23.85" hidden="false" customHeight="false" outlineLevel="0" collapsed="false">
      <c r="A1436" s="6" t="str">
        <f aca="false">Orders!A1436</f>
        <v>O001435</v>
      </c>
      <c r="B1436" s="19" t="n">
        <f aca="false">Orders!B1436</f>
        <v>45825</v>
      </c>
      <c r="C1436" s="6" t="str">
        <f aca="false">Orders!C1436</f>
        <v>C0076</v>
      </c>
      <c r="D1436" s="6" t="str">
        <f aca="false">Orders!D1436</f>
        <v>P1046</v>
      </c>
      <c r="E1436" s="6" t="str">
        <f aca="false">INDEX(Products!$B$2:$B$101,MATCH(D1436,Products!$A$2:$A$101,0))</f>
        <v>Face Moisturizer</v>
      </c>
      <c r="F1436" s="1" t="str">
        <f aca="false">INDEX(Products!$C$2:$C$101,MATCH(D1436,Products!$A$2:$A$101,0))</f>
        <v>Beauty</v>
      </c>
      <c r="G1436" s="6" t="n">
        <f aca="false">Orders!E1436</f>
        <v>1</v>
      </c>
      <c r="H1436" s="16" t="n">
        <f aca="false">INDEX(Products!$D$2:$D$101,MATCH(D1436,Products!$A$2:$A$101,0))</f>
        <v>499</v>
      </c>
      <c r="I1436" s="16" t="n">
        <f aca="false">INDEX(Products!$E$2:$E$101,MATCH(D1436,Products!$A$2:$A$101,0))</f>
        <v>220</v>
      </c>
      <c r="J1436" s="20" t="n">
        <f aca="false">Orders!F1436</f>
        <v>0</v>
      </c>
      <c r="K1436" s="6" t="n">
        <f aca="false">G1436*H1436</f>
        <v>499</v>
      </c>
      <c r="L1436" s="6" t="n">
        <f aca="false">K1436*J1436</f>
        <v>0</v>
      </c>
      <c r="M1436" s="6" t="n">
        <f aca="false">K1436-L1436</f>
        <v>499</v>
      </c>
      <c r="N1436" s="6" t="n">
        <f aca="false">G1436*I1436</f>
        <v>220</v>
      </c>
      <c r="O1436" s="6" t="n">
        <f aca="false">M1436-N1436</f>
        <v>279</v>
      </c>
      <c r="P1436" s="21" t="n">
        <f aca="false">IFERROR(O1436/M1436,0)</f>
        <v>0.559118236472946</v>
      </c>
      <c r="Q1436" s="6" t="str">
        <f aca="false">Orders!H1436</f>
        <v>Delivered</v>
      </c>
      <c r="R1436" s="1" t="str">
        <f aca="false">INDEX(Customers!$C$2:$C$301,MATCH(C1436,Customers!$A$2:$A$301,0))</f>
        <v>Chandigarh</v>
      </c>
      <c r="S1436" s="1" t="str">
        <f aca="false">INDEX(Customers!$E$2:$E$301,MATCH(C1436,Customers!$A$2:$A$301,0))</f>
        <v>Returning</v>
      </c>
      <c r="T1436" s="6" t="str">
        <f aca="false">Orders!I1436</f>
        <v>Website</v>
      </c>
      <c r="U1436" s="1" t="str">
        <f aca="false">IF(Q1436="Delivered","Completed",IF(Q1436="Cancelled","Cancelled",IF(Q1436="Returned","Returned","In Progress")))</f>
        <v>Completed</v>
      </c>
      <c r="V1436" s="1" t="str">
        <f aca="false">IF(M1436&gt;=10000,"High Value",IF(M1436&gt;=5000,"Medium Value","Low Value"))</f>
        <v>Low Value</v>
      </c>
      <c r="W1436" s="1" t="str">
        <f aca="false">IF(O1436&gt;0,"Profitable",IF(O1436=0,"Break-even","Loss"))</f>
        <v>Profitable</v>
      </c>
      <c r="X1436" s="1" t="str">
        <f aca="false">IF(Q1436="Cancelled","Not Applicable",IF(Q1436="Processing","Pending",IF(B1436="","Unknown",IF(Orders!J1436="","Unknown",IF(Orders!J1436&lt;=3,"Fast",IF(Orders!J1436&lt;=6,"Standard","Slow"))))))</f>
        <v>Fast</v>
      </c>
      <c r="Y1436" s="1" t="n">
        <f aca="false">IF(OR(Q1436="Cancelled",Q1436="Returned"),0,O1436)</f>
        <v>279</v>
      </c>
    </row>
    <row r="1437" customFormat="false" ht="15" hidden="false" customHeight="false" outlineLevel="0" collapsed="false">
      <c r="A1437" s="6" t="str">
        <f aca="false">Orders!A1437</f>
        <v>O001436</v>
      </c>
      <c r="B1437" s="19" t="n">
        <f aca="false">Orders!B1437</f>
        <v>45861</v>
      </c>
      <c r="C1437" s="6" t="str">
        <f aca="false">Orders!C1437</f>
        <v>C0171</v>
      </c>
      <c r="D1437" s="6" t="str">
        <f aca="false">Orders!D1437</f>
        <v>P1039</v>
      </c>
      <c r="E1437" s="6" t="str">
        <f aca="false">INDEX(Products!$B$2:$B$101,MATCH(D1437,Products!$A$2:$A$101,0))</f>
        <v>Wall Clock</v>
      </c>
      <c r="F1437" s="1" t="str">
        <f aca="false">INDEX(Products!$C$2:$C$101,MATCH(D1437,Products!$A$2:$A$101,0))</f>
        <v>Home &amp; Kitchen</v>
      </c>
      <c r="G1437" s="6" t="n">
        <f aca="false">Orders!E1437</f>
        <v>3</v>
      </c>
      <c r="H1437" s="16" t="n">
        <f aca="false">INDEX(Products!$D$2:$D$101,MATCH(D1437,Products!$A$2:$A$101,0))</f>
        <v>699</v>
      </c>
      <c r="I1437" s="16" t="n">
        <f aca="false">INDEX(Products!$E$2:$E$101,MATCH(D1437,Products!$A$2:$A$101,0))</f>
        <v>300</v>
      </c>
      <c r="J1437" s="20" t="n">
        <f aca="false">Orders!F1437</f>
        <v>0.1</v>
      </c>
      <c r="K1437" s="6" t="n">
        <f aca="false">G1437*H1437</f>
        <v>2097</v>
      </c>
      <c r="L1437" s="6" t="n">
        <f aca="false">K1437*J1437</f>
        <v>209.7</v>
      </c>
      <c r="M1437" s="6" t="n">
        <f aca="false">K1437-L1437</f>
        <v>1887.3</v>
      </c>
      <c r="N1437" s="6" t="n">
        <f aca="false">G1437*I1437</f>
        <v>900</v>
      </c>
      <c r="O1437" s="6" t="n">
        <f aca="false">M1437-N1437</f>
        <v>987.3</v>
      </c>
      <c r="P1437" s="21" t="n">
        <f aca="false">IFERROR(O1437/M1437,0)</f>
        <v>0.523128278493085</v>
      </c>
      <c r="Q1437" s="6" t="str">
        <f aca="false">Orders!H1437</f>
        <v>Delivered</v>
      </c>
      <c r="R1437" s="1" t="str">
        <f aca="false">INDEX(Customers!$C$2:$C$301,MATCH(C1437,Customers!$A$2:$A$301,0))</f>
        <v>Gurugram</v>
      </c>
      <c r="S1437" s="1" t="str">
        <f aca="false">INDEX(Customers!$E$2:$E$301,MATCH(C1437,Customers!$A$2:$A$301,0))</f>
        <v>New</v>
      </c>
      <c r="T1437" s="6" t="str">
        <f aca="false">Orders!I1437</f>
        <v>Mobile App</v>
      </c>
      <c r="U1437" s="1" t="str">
        <f aca="false">IF(Q1437="Delivered","Completed",IF(Q1437="Cancelled","Cancelled",IF(Q1437="Returned","Returned","In Progress")))</f>
        <v>Completed</v>
      </c>
      <c r="V1437" s="1" t="str">
        <f aca="false">IF(M1437&gt;=10000,"High Value",IF(M1437&gt;=5000,"Medium Value","Low Value"))</f>
        <v>Low Value</v>
      </c>
      <c r="W1437" s="1" t="str">
        <f aca="false">IF(O1437&gt;0,"Profitable",IF(O1437=0,"Break-even","Loss"))</f>
        <v>Profitable</v>
      </c>
      <c r="X1437" s="1" t="str">
        <f aca="false">IF(Q1437="Cancelled","Not Applicable",IF(Q1437="Processing","Pending",IF(B1437="","Unknown",IF(Orders!J1437="","Unknown",IF(Orders!J1437&lt;=3,"Fast",IF(Orders!J1437&lt;=6,"Standard","Slow"))))))</f>
        <v>Fast</v>
      </c>
      <c r="Y1437" s="1" t="n">
        <f aca="false">IF(OR(Q1437="Cancelled",Q1437="Returned"),0,O1437)</f>
        <v>987.3</v>
      </c>
    </row>
    <row r="1438" customFormat="false" ht="15" hidden="false" customHeight="false" outlineLevel="0" collapsed="false">
      <c r="A1438" s="6" t="str">
        <f aca="false">Orders!A1438</f>
        <v>O001437</v>
      </c>
      <c r="B1438" s="19" t="n">
        <f aca="false">Orders!B1438</f>
        <v>45956</v>
      </c>
      <c r="C1438" s="6" t="str">
        <f aca="false">Orders!C1438</f>
        <v>C0241</v>
      </c>
      <c r="D1438" s="6" t="str">
        <f aca="false">Orders!D1438</f>
        <v>P1029</v>
      </c>
      <c r="E1438" s="6" t="str">
        <f aca="false">INDEX(Products!$B$2:$B$101,MATCH(D1438,Products!$A$2:$A$101,0))</f>
        <v>Scarf</v>
      </c>
      <c r="F1438" s="1" t="str">
        <f aca="false">INDEX(Products!$C$2:$C$101,MATCH(D1438,Products!$A$2:$A$101,0))</f>
        <v>Fashion</v>
      </c>
      <c r="G1438" s="6" t="n">
        <f aca="false">Orders!E1438</f>
        <v>3</v>
      </c>
      <c r="H1438" s="16" t="n">
        <f aca="false">INDEX(Products!$D$2:$D$101,MATCH(D1438,Products!$A$2:$A$101,0))</f>
        <v>299</v>
      </c>
      <c r="I1438" s="16" t="n">
        <f aca="false">INDEX(Products!$E$2:$E$101,MATCH(D1438,Products!$A$2:$A$101,0))</f>
        <v>100</v>
      </c>
      <c r="J1438" s="20" t="n">
        <f aca="false">Orders!F1438</f>
        <v>0.15</v>
      </c>
      <c r="K1438" s="6" t="n">
        <f aca="false">G1438*H1438</f>
        <v>897</v>
      </c>
      <c r="L1438" s="6" t="n">
        <f aca="false">K1438*J1438</f>
        <v>134.55</v>
      </c>
      <c r="M1438" s="6" t="n">
        <f aca="false">K1438-L1438</f>
        <v>762.45</v>
      </c>
      <c r="N1438" s="6" t="n">
        <f aca="false">G1438*I1438</f>
        <v>300</v>
      </c>
      <c r="O1438" s="6" t="n">
        <f aca="false">M1438-N1438</f>
        <v>462.45</v>
      </c>
      <c r="P1438" s="21" t="n">
        <f aca="false">IFERROR(O1438/M1438,0)</f>
        <v>0.606531575841039</v>
      </c>
      <c r="Q1438" s="6" t="str">
        <f aca="false">Orders!H1438</f>
        <v>Processing</v>
      </c>
      <c r="R1438" s="1" t="str">
        <f aca="false">INDEX(Customers!$C$2:$C$301,MATCH(C1438,Customers!$A$2:$A$301,0))</f>
        <v>Delhi</v>
      </c>
      <c r="S1438" s="1" t="str">
        <f aca="false">INDEX(Customers!$E$2:$E$301,MATCH(C1438,Customers!$A$2:$A$301,0))</f>
        <v>Returning</v>
      </c>
      <c r="T1438" s="6" t="str">
        <f aca="false">Orders!I1438</f>
        <v>Website</v>
      </c>
      <c r="U1438" s="1" t="str">
        <f aca="false">IF(Q1438="Delivered","Completed",IF(Q1438="Cancelled","Cancelled",IF(Q1438="Returned","Returned","In Progress")))</f>
        <v>In Progress</v>
      </c>
      <c r="V1438" s="1" t="str">
        <f aca="false">IF(M1438&gt;=10000,"High Value",IF(M1438&gt;=5000,"Medium Value","Low Value"))</f>
        <v>Low Value</v>
      </c>
      <c r="W1438" s="1" t="str">
        <f aca="false">IF(O1438&gt;0,"Profitable",IF(O1438=0,"Break-even","Loss"))</f>
        <v>Profitable</v>
      </c>
      <c r="X1438" s="1" t="str">
        <f aca="false">IF(Q1438="Cancelled","Not Applicable",IF(Q1438="Processing","Pending",IF(B1438="","Unknown",IF(Orders!J1438="","Unknown",IF(Orders!J1438&lt;=3,"Fast",IF(Orders!J1438&lt;=6,"Standard","Slow"))))))</f>
        <v>Pending</v>
      </c>
      <c r="Y1438" s="1" t="n">
        <f aca="false">IF(OR(Q1438="Cancelled",Q1438="Returned"),0,O1438)</f>
        <v>462.45</v>
      </c>
    </row>
    <row r="1439" customFormat="false" ht="15" hidden="false" customHeight="false" outlineLevel="0" collapsed="false">
      <c r="A1439" s="6" t="str">
        <f aca="false">Orders!A1439</f>
        <v>O001438</v>
      </c>
      <c r="B1439" s="19" t="n">
        <f aca="false">Orders!B1439</f>
        <v>45769</v>
      </c>
      <c r="C1439" s="6" t="str">
        <f aca="false">Orders!C1439</f>
        <v>C0147</v>
      </c>
      <c r="D1439" s="6" t="str">
        <f aca="false">Orders!D1439</f>
        <v>P1034</v>
      </c>
      <c r="E1439" s="6" t="str">
        <f aca="false">INDEX(Products!$B$2:$B$101,MATCH(D1439,Products!$A$2:$A$101,0))</f>
        <v>Table Lamp</v>
      </c>
      <c r="F1439" s="1" t="str">
        <f aca="false">INDEX(Products!$C$2:$C$101,MATCH(D1439,Products!$A$2:$A$101,0))</f>
        <v>Home &amp; Kitchen</v>
      </c>
      <c r="G1439" s="6" t="n">
        <f aca="false">Orders!E1439</f>
        <v>1</v>
      </c>
      <c r="H1439" s="16" t="n">
        <f aca="false">INDEX(Products!$D$2:$D$101,MATCH(D1439,Products!$A$2:$A$101,0))</f>
        <v>899</v>
      </c>
      <c r="I1439" s="16" t="n">
        <f aca="false">INDEX(Products!$E$2:$E$101,MATCH(D1439,Products!$A$2:$A$101,0))</f>
        <v>420</v>
      </c>
      <c r="J1439" s="20" t="n">
        <f aca="false">Orders!F1439</f>
        <v>0</v>
      </c>
      <c r="K1439" s="6" t="n">
        <f aca="false">G1439*H1439</f>
        <v>899</v>
      </c>
      <c r="L1439" s="6" t="n">
        <f aca="false">K1439*J1439</f>
        <v>0</v>
      </c>
      <c r="M1439" s="6" t="n">
        <f aca="false">K1439-L1439</f>
        <v>899</v>
      </c>
      <c r="N1439" s="6" t="n">
        <f aca="false">G1439*I1439</f>
        <v>420</v>
      </c>
      <c r="O1439" s="6" t="n">
        <f aca="false">M1439-N1439</f>
        <v>479</v>
      </c>
      <c r="P1439" s="21" t="n">
        <f aca="false">IFERROR(O1439/M1439,0)</f>
        <v>0.532814238042269</v>
      </c>
      <c r="Q1439" s="6" t="str">
        <f aca="false">Orders!H1439</f>
        <v>Cancelled</v>
      </c>
      <c r="R1439" s="1" t="str">
        <f aca="false">INDEX(Customers!$C$2:$C$301,MATCH(C1439,Customers!$A$2:$A$301,0))</f>
        <v>Pune</v>
      </c>
      <c r="S1439" s="1" t="str">
        <f aca="false">INDEX(Customers!$E$2:$E$301,MATCH(C1439,Customers!$A$2:$A$301,0))</f>
        <v>Returning</v>
      </c>
      <c r="T1439" s="6" t="str">
        <f aca="false">Orders!I1439</f>
        <v>Website</v>
      </c>
      <c r="U1439" s="1" t="str">
        <f aca="false">IF(Q1439="Delivered","Completed",IF(Q1439="Cancelled","Cancelled",IF(Q1439="Returned","Returned","In Progress")))</f>
        <v>Cancelled</v>
      </c>
      <c r="V1439" s="1" t="str">
        <f aca="false">IF(M1439&gt;=10000,"High Value",IF(M1439&gt;=5000,"Medium Value","Low Value"))</f>
        <v>Low Value</v>
      </c>
      <c r="W1439" s="1" t="str">
        <f aca="false">IF(O1439&gt;0,"Profitable",IF(O1439=0,"Break-even","Loss"))</f>
        <v>Profitable</v>
      </c>
      <c r="X1439" s="1" t="str">
        <f aca="false">IF(Q1439="Cancelled","Not Applicable",IF(Q1439="Processing","Pending",IF(B1439="","Unknown",IF(Orders!J1439="","Unknown",IF(Orders!J1439&lt;=3,"Fast",IF(Orders!J1439&lt;=6,"Standard","Slow"))))))</f>
        <v>Not Applicable</v>
      </c>
      <c r="Y1439" s="1" t="n">
        <f aca="false">IF(OR(Q1439="Cancelled",Q1439="Returned"),0,O1439)</f>
        <v>0</v>
      </c>
    </row>
    <row r="1440" customFormat="false" ht="23.85" hidden="false" customHeight="false" outlineLevel="0" collapsed="false">
      <c r="A1440" s="6" t="str">
        <f aca="false">Orders!A1440</f>
        <v>O001439</v>
      </c>
      <c r="B1440" s="19" t="n">
        <f aca="false">Orders!B1440</f>
        <v>45798</v>
      </c>
      <c r="C1440" s="6" t="str">
        <f aca="false">Orders!C1440</f>
        <v>C0214</v>
      </c>
      <c r="D1440" s="6" t="str">
        <f aca="false">Orders!D1440</f>
        <v>P1053</v>
      </c>
      <c r="E1440" s="6" t="str">
        <f aca="false">INDEX(Products!$B$2:$B$101,MATCH(D1440,Products!$A$2:$A$101,0))</f>
        <v>Makeup Brush Set</v>
      </c>
      <c r="F1440" s="1" t="str">
        <f aca="false">INDEX(Products!$C$2:$C$101,MATCH(D1440,Products!$A$2:$A$101,0))</f>
        <v>Beauty</v>
      </c>
      <c r="G1440" s="6" t="n">
        <f aca="false">Orders!E1440</f>
        <v>1</v>
      </c>
      <c r="H1440" s="16" t="n">
        <f aca="false">INDEX(Products!$D$2:$D$101,MATCH(D1440,Products!$A$2:$A$101,0))</f>
        <v>599</v>
      </c>
      <c r="I1440" s="16" t="n">
        <f aca="false">INDEX(Products!$E$2:$E$101,MATCH(D1440,Products!$A$2:$A$101,0))</f>
        <v>250</v>
      </c>
      <c r="J1440" s="20" t="n">
        <f aca="false">Orders!F1440</f>
        <v>0.25</v>
      </c>
      <c r="K1440" s="6" t="n">
        <f aca="false">G1440*H1440</f>
        <v>599</v>
      </c>
      <c r="L1440" s="6" t="n">
        <f aca="false">K1440*J1440</f>
        <v>149.75</v>
      </c>
      <c r="M1440" s="6" t="n">
        <f aca="false">K1440-L1440</f>
        <v>449.25</v>
      </c>
      <c r="N1440" s="6" t="n">
        <f aca="false">G1440*I1440</f>
        <v>250</v>
      </c>
      <c r="O1440" s="6" t="n">
        <f aca="false">M1440-N1440</f>
        <v>199.25</v>
      </c>
      <c r="P1440" s="21" t="n">
        <f aca="false">IFERROR(O1440/M1440,0)</f>
        <v>0.443516972732332</v>
      </c>
      <c r="Q1440" s="6" t="str">
        <f aca="false">Orders!H1440</f>
        <v>Delivered</v>
      </c>
      <c r="R1440" s="1" t="str">
        <f aca="false">INDEX(Customers!$C$2:$C$301,MATCH(C1440,Customers!$A$2:$A$301,0))</f>
        <v>Indore</v>
      </c>
      <c r="S1440" s="1" t="str">
        <f aca="false">INDEX(Customers!$E$2:$E$301,MATCH(C1440,Customers!$A$2:$A$301,0))</f>
        <v>Returning</v>
      </c>
      <c r="T1440" s="6" t="str">
        <f aca="false">Orders!I1440</f>
        <v>Marketplace</v>
      </c>
      <c r="U1440" s="1" t="str">
        <f aca="false">IF(Q1440="Delivered","Completed",IF(Q1440="Cancelled","Cancelled",IF(Q1440="Returned","Returned","In Progress")))</f>
        <v>Completed</v>
      </c>
      <c r="V1440" s="1" t="str">
        <f aca="false">IF(M1440&gt;=10000,"High Value",IF(M1440&gt;=5000,"Medium Value","Low Value"))</f>
        <v>Low Value</v>
      </c>
      <c r="W1440" s="1" t="str">
        <f aca="false">IF(O1440&gt;0,"Profitable",IF(O1440=0,"Break-even","Loss"))</f>
        <v>Profitable</v>
      </c>
      <c r="X1440" s="1" t="str">
        <f aca="false">IF(Q1440="Cancelled","Not Applicable",IF(Q1440="Processing","Pending",IF(B1440="","Unknown",IF(Orders!J1440="","Unknown",IF(Orders!J1440&lt;=3,"Fast",IF(Orders!J1440&lt;=6,"Standard","Slow"))))))</f>
        <v>Standard</v>
      </c>
      <c r="Y1440" s="1" t="n">
        <f aca="false">IF(OR(Q1440="Cancelled",Q1440="Returned"),0,O1440)</f>
        <v>199.25</v>
      </c>
    </row>
    <row r="1441" customFormat="false" ht="15" hidden="false" customHeight="false" outlineLevel="0" collapsed="false">
      <c r="A1441" s="6" t="str">
        <f aca="false">Orders!A1441</f>
        <v>O001440</v>
      </c>
      <c r="B1441" s="19" t="n">
        <f aca="false">Orders!B1441</f>
        <v>45865</v>
      </c>
      <c r="C1441" s="6" t="str">
        <f aca="false">Orders!C1441</f>
        <v>C0235</v>
      </c>
      <c r="D1441" s="6" t="str">
        <f aca="false">Orders!D1441</f>
        <v>P1052</v>
      </c>
      <c r="E1441" s="6" t="str">
        <f aca="false">INDEX(Products!$B$2:$B$101,MATCH(D1441,Products!$A$2:$A$101,0))</f>
        <v>Lip Balm Set</v>
      </c>
      <c r="F1441" s="1" t="str">
        <f aca="false">INDEX(Products!$C$2:$C$101,MATCH(D1441,Products!$A$2:$A$101,0))</f>
        <v>Beauty</v>
      </c>
      <c r="G1441" s="6" t="n">
        <f aca="false">Orders!E1441</f>
        <v>1</v>
      </c>
      <c r="H1441" s="16" t="n">
        <f aca="false">INDEX(Products!$D$2:$D$101,MATCH(D1441,Products!$A$2:$A$101,0))</f>
        <v>249</v>
      </c>
      <c r="I1441" s="16" t="n">
        <f aca="false">INDEX(Products!$E$2:$E$101,MATCH(D1441,Products!$A$2:$A$101,0))</f>
        <v>90</v>
      </c>
      <c r="J1441" s="20" t="n">
        <f aca="false">Orders!F1441</f>
        <v>0</v>
      </c>
      <c r="K1441" s="6" t="n">
        <f aca="false">G1441*H1441</f>
        <v>249</v>
      </c>
      <c r="L1441" s="6" t="n">
        <f aca="false">K1441*J1441</f>
        <v>0</v>
      </c>
      <c r="M1441" s="6" t="n">
        <f aca="false">K1441-L1441</f>
        <v>249</v>
      </c>
      <c r="N1441" s="6" t="n">
        <f aca="false">G1441*I1441</f>
        <v>90</v>
      </c>
      <c r="O1441" s="6" t="n">
        <f aca="false">M1441-N1441</f>
        <v>159</v>
      </c>
      <c r="P1441" s="21" t="n">
        <f aca="false">IFERROR(O1441/M1441,0)</f>
        <v>0.63855421686747</v>
      </c>
      <c r="Q1441" s="6" t="str">
        <f aca="false">Orders!H1441</f>
        <v>Delivered</v>
      </c>
      <c r="R1441" s="1" t="str">
        <f aca="false">INDEX(Customers!$C$2:$C$301,MATCH(C1441,Customers!$A$2:$A$301,0))</f>
        <v>Bhopal</v>
      </c>
      <c r="S1441" s="1" t="str">
        <f aca="false">INDEX(Customers!$E$2:$E$301,MATCH(C1441,Customers!$A$2:$A$301,0))</f>
        <v>New</v>
      </c>
      <c r="T1441" s="6" t="str">
        <f aca="false">Orders!I1441</f>
        <v>Mobile App</v>
      </c>
      <c r="U1441" s="1" t="str">
        <f aca="false">IF(Q1441="Delivered","Completed",IF(Q1441="Cancelled","Cancelled",IF(Q1441="Returned","Returned","In Progress")))</f>
        <v>Completed</v>
      </c>
      <c r="V1441" s="1" t="str">
        <f aca="false">IF(M1441&gt;=10000,"High Value",IF(M1441&gt;=5000,"Medium Value","Low Value"))</f>
        <v>Low Value</v>
      </c>
      <c r="W1441" s="1" t="str">
        <f aca="false">IF(O1441&gt;0,"Profitable",IF(O1441=0,"Break-even","Loss"))</f>
        <v>Profitable</v>
      </c>
      <c r="X1441" s="1" t="str">
        <f aca="false">IF(Q1441="Cancelled","Not Applicable",IF(Q1441="Processing","Pending",IF(B1441="","Unknown",IF(Orders!J1441="","Unknown",IF(Orders!J1441&lt;=3,"Fast",IF(Orders!J1441&lt;=6,"Standard","Slow"))))))</f>
        <v>Slow</v>
      </c>
      <c r="Y1441" s="1" t="n">
        <f aca="false">IF(OR(Q1441="Cancelled",Q1441="Returned"),0,O1441)</f>
        <v>159</v>
      </c>
    </row>
    <row r="1442" customFormat="false" ht="15" hidden="false" customHeight="false" outlineLevel="0" collapsed="false">
      <c r="A1442" s="6" t="str">
        <f aca="false">Orders!A1442</f>
        <v>O001441</v>
      </c>
      <c r="B1442" s="19" t="n">
        <f aca="false">Orders!B1442</f>
        <v>45726</v>
      </c>
      <c r="C1442" s="6" t="str">
        <f aca="false">Orders!C1442</f>
        <v>C0038</v>
      </c>
      <c r="D1442" s="6" t="str">
        <f aca="false">Orders!D1442</f>
        <v>P1079</v>
      </c>
      <c r="E1442" s="6" t="str">
        <f aca="false">INDEX(Products!$B$2:$B$101,MATCH(D1442,Products!$A$2:$A$101,0))</f>
        <v>Art Supply Kit</v>
      </c>
      <c r="F1442" s="1" t="str">
        <f aca="false">INDEX(Products!$C$2:$C$101,MATCH(D1442,Products!$A$2:$A$101,0))</f>
        <v>Books &amp; Stationery</v>
      </c>
      <c r="G1442" s="6" t="n">
        <f aca="false">Orders!E1442</f>
        <v>3</v>
      </c>
      <c r="H1442" s="16" t="n">
        <f aca="false">INDEX(Products!$D$2:$D$101,MATCH(D1442,Products!$A$2:$A$101,0))</f>
        <v>699</v>
      </c>
      <c r="I1442" s="16" t="n">
        <f aca="false">INDEX(Products!$E$2:$E$101,MATCH(D1442,Products!$A$2:$A$101,0))</f>
        <v>350</v>
      </c>
      <c r="J1442" s="20" t="n">
        <f aca="false">Orders!F1442</f>
        <v>0</v>
      </c>
      <c r="K1442" s="6" t="n">
        <f aca="false">G1442*H1442</f>
        <v>2097</v>
      </c>
      <c r="L1442" s="6" t="n">
        <f aca="false">K1442*J1442</f>
        <v>0</v>
      </c>
      <c r="M1442" s="6" t="n">
        <f aca="false">K1442-L1442</f>
        <v>2097</v>
      </c>
      <c r="N1442" s="6" t="n">
        <f aca="false">G1442*I1442</f>
        <v>1050</v>
      </c>
      <c r="O1442" s="6" t="n">
        <f aca="false">M1442-N1442</f>
        <v>1047</v>
      </c>
      <c r="P1442" s="21" t="n">
        <f aca="false">IFERROR(O1442/M1442,0)</f>
        <v>0.49928469241774</v>
      </c>
      <c r="Q1442" s="6" t="str">
        <f aca="false">Orders!H1442</f>
        <v>Shipped</v>
      </c>
      <c r="R1442" s="1" t="str">
        <f aca="false">INDEX(Customers!$C$2:$C$301,MATCH(C1442,Customers!$A$2:$A$301,0))</f>
        <v>Nagpur</v>
      </c>
      <c r="S1442" s="1" t="str">
        <f aca="false">INDEX(Customers!$E$2:$E$301,MATCH(C1442,Customers!$A$2:$A$301,0))</f>
        <v>Returning</v>
      </c>
      <c r="T1442" s="6" t="str">
        <f aca="false">Orders!I1442</f>
        <v>Marketplace</v>
      </c>
      <c r="U1442" s="1" t="str">
        <f aca="false">IF(Q1442="Delivered","Completed",IF(Q1442="Cancelled","Cancelled",IF(Q1442="Returned","Returned","In Progress")))</f>
        <v>In Progress</v>
      </c>
      <c r="V1442" s="1" t="str">
        <f aca="false">IF(M1442&gt;=10000,"High Value",IF(M1442&gt;=5000,"Medium Value","Low Value"))</f>
        <v>Low Value</v>
      </c>
      <c r="W1442" s="1" t="str">
        <f aca="false">IF(O1442&gt;0,"Profitable",IF(O1442=0,"Break-even","Loss"))</f>
        <v>Profitable</v>
      </c>
      <c r="X1442" s="1" t="str">
        <f aca="false">IF(Q1442="Cancelled","Not Applicable",IF(Q1442="Processing","Pending",IF(B1442="","Unknown",IF(Orders!J1442="","Unknown",IF(Orders!J1442&lt;=3,"Fast",IF(Orders!J1442&lt;=6,"Standard","Slow"))))))</f>
        <v>Fast</v>
      </c>
      <c r="Y1442" s="1" t="n">
        <f aca="false">IF(OR(Q1442="Cancelled",Q1442="Returned"),0,O1442)</f>
        <v>1047</v>
      </c>
    </row>
    <row r="1443" customFormat="false" ht="15" hidden="false" customHeight="false" outlineLevel="0" collapsed="false">
      <c r="A1443" s="6" t="str">
        <f aca="false">Orders!A1443</f>
        <v>O001442</v>
      </c>
      <c r="B1443" s="19" t="n">
        <f aca="false">Orders!B1443</f>
        <v>45861</v>
      </c>
      <c r="C1443" s="6" t="str">
        <f aca="false">Orders!C1443</f>
        <v>C0043</v>
      </c>
      <c r="D1443" s="6" t="str">
        <f aca="false">Orders!D1443</f>
        <v>P1010</v>
      </c>
      <c r="E1443" s="6" t="str">
        <f aca="false">INDEX(Products!$B$2:$B$101,MATCH(D1443,Products!$A$2:$A$101,0))</f>
        <v>Webcam</v>
      </c>
      <c r="F1443" s="1" t="str">
        <f aca="false">INDEX(Products!$C$2:$C$101,MATCH(D1443,Products!$A$2:$A$101,0))</f>
        <v>Electronics</v>
      </c>
      <c r="G1443" s="6" t="n">
        <f aca="false">Orders!E1443</f>
        <v>1</v>
      </c>
      <c r="H1443" s="16" t="n">
        <f aca="false">INDEX(Products!$D$2:$D$101,MATCH(D1443,Products!$A$2:$A$101,0))</f>
        <v>1799</v>
      </c>
      <c r="I1443" s="16" t="n">
        <f aca="false">INDEX(Products!$E$2:$E$101,MATCH(D1443,Products!$A$2:$A$101,0))</f>
        <v>1050</v>
      </c>
      <c r="J1443" s="20" t="n">
        <f aca="false">Orders!F1443</f>
        <v>0</v>
      </c>
      <c r="K1443" s="6" t="n">
        <f aca="false">G1443*H1443</f>
        <v>1799</v>
      </c>
      <c r="L1443" s="6" t="n">
        <f aca="false">K1443*J1443</f>
        <v>0</v>
      </c>
      <c r="M1443" s="6" t="n">
        <f aca="false">K1443-L1443</f>
        <v>1799</v>
      </c>
      <c r="N1443" s="6" t="n">
        <f aca="false">G1443*I1443</f>
        <v>1050</v>
      </c>
      <c r="O1443" s="6" t="n">
        <f aca="false">M1443-N1443</f>
        <v>749</v>
      </c>
      <c r="P1443" s="21" t="n">
        <f aca="false">IFERROR(O1443/M1443,0)</f>
        <v>0.416342412451362</v>
      </c>
      <c r="Q1443" s="6" t="str">
        <f aca="false">Orders!H1443</f>
        <v>Delivered</v>
      </c>
      <c r="R1443" s="1" t="str">
        <f aca="false">INDEX(Customers!$C$2:$C$301,MATCH(C1443,Customers!$A$2:$A$301,0))</f>
        <v>Bengaluru</v>
      </c>
      <c r="S1443" s="1" t="str">
        <f aca="false">INDEX(Customers!$E$2:$E$301,MATCH(C1443,Customers!$A$2:$A$301,0))</f>
        <v>New</v>
      </c>
      <c r="T1443" s="6" t="str">
        <f aca="false">Orders!I1443</f>
        <v>Marketplace</v>
      </c>
      <c r="U1443" s="1" t="str">
        <f aca="false">IF(Q1443="Delivered","Completed",IF(Q1443="Cancelled","Cancelled",IF(Q1443="Returned","Returned","In Progress")))</f>
        <v>Completed</v>
      </c>
      <c r="V1443" s="1" t="str">
        <f aca="false">IF(M1443&gt;=10000,"High Value",IF(M1443&gt;=5000,"Medium Value","Low Value"))</f>
        <v>Low Value</v>
      </c>
      <c r="W1443" s="1" t="str">
        <f aca="false">IF(O1443&gt;0,"Profitable",IF(O1443=0,"Break-even","Loss"))</f>
        <v>Profitable</v>
      </c>
      <c r="X1443" s="1" t="str">
        <f aca="false">IF(Q1443="Cancelled","Not Applicable",IF(Q1443="Processing","Pending",IF(B1443="","Unknown",IF(Orders!J1443="","Unknown",IF(Orders!J1443&lt;=3,"Fast",IF(Orders!J1443&lt;=6,"Standard","Slow"))))))</f>
        <v>Standard</v>
      </c>
      <c r="Y1443" s="1" t="n">
        <f aca="false">IF(OR(Q1443="Cancelled",Q1443="Returned"),0,O1443)</f>
        <v>749</v>
      </c>
    </row>
    <row r="1444" customFormat="false" ht="15" hidden="false" customHeight="false" outlineLevel="0" collapsed="false">
      <c r="A1444" s="6" t="str">
        <f aca="false">Orders!A1444</f>
        <v>O001443</v>
      </c>
      <c r="B1444" s="19" t="n">
        <f aca="false">Orders!B1444</f>
        <v>45838</v>
      </c>
      <c r="C1444" s="6" t="str">
        <f aca="false">Orders!C1444</f>
        <v>C0229</v>
      </c>
      <c r="D1444" s="6" t="str">
        <f aca="false">Orders!D1444</f>
        <v>P1036</v>
      </c>
      <c r="E1444" s="6" t="str">
        <f aca="false">INDEX(Products!$B$2:$B$101,MATCH(D1444,Products!$A$2:$A$101,0))</f>
        <v>Dinner Set</v>
      </c>
      <c r="F1444" s="1" t="str">
        <f aca="false">INDEX(Products!$C$2:$C$101,MATCH(D1444,Products!$A$2:$A$101,0))</f>
        <v>Home &amp; Kitchen</v>
      </c>
      <c r="G1444" s="6" t="n">
        <f aca="false">Orders!E1444</f>
        <v>1</v>
      </c>
      <c r="H1444" s="16" t="n">
        <f aca="false">INDEX(Products!$D$2:$D$101,MATCH(D1444,Products!$A$2:$A$101,0))</f>
        <v>1499</v>
      </c>
      <c r="I1444" s="16" t="n">
        <f aca="false">INDEX(Products!$E$2:$E$101,MATCH(D1444,Products!$A$2:$A$101,0))</f>
        <v>800</v>
      </c>
      <c r="J1444" s="20" t="n">
        <f aca="false">Orders!F1444</f>
        <v>0.1</v>
      </c>
      <c r="K1444" s="6" t="n">
        <f aca="false">G1444*H1444</f>
        <v>1499</v>
      </c>
      <c r="L1444" s="6" t="n">
        <f aca="false">K1444*J1444</f>
        <v>149.9</v>
      </c>
      <c r="M1444" s="6" t="n">
        <f aca="false">K1444-L1444</f>
        <v>1349.1</v>
      </c>
      <c r="N1444" s="6" t="n">
        <f aca="false">G1444*I1444</f>
        <v>800</v>
      </c>
      <c r="O1444" s="6" t="n">
        <f aca="false">M1444-N1444</f>
        <v>549.1</v>
      </c>
      <c r="P1444" s="21" t="n">
        <f aca="false">IFERROR(O1444/M1444,0)</f>
        <v>0.407012082128827</v>
      </c>
      <c r="Q1444" s="6" t="str">
        <f aca="false">Orders!H1444</f>
        <v>Delivered</v>
      </c>
      <c r="R1444" s="1" t="str">
        <f aca="false">INDEX(Customers!$C$2:$C$301,MATCH(C1444,Customers!$A$2:$A$301,0))</f>
        <v>Ahmedabad</v>
      </c>
      <c r="S1444" s="1" t="str">
        <f aca="false">INDEX(Customers!$E$2:$E$301,MATCH(C1444,Customers!$A$2:$A$301,0))</f>
        <v>Returning</v>
      </c>
      <c r="T1444" s="6" t="str">
        <f aca="false">Orders!I1444</f>
        <v>Website</v>
      </c>
      <c r="U1444" s="1" t="str">
        <f aca="false">IF(Q1444="Delivered","Completed",IF(Q1444="Cancelled","Cancelled",IF(Q1444="Returned","Returned","In Progress")))</f>
        <v>Completed</v>
      </c>
      <c r="V1444" s="1" t="str">
        <f aca="false">IF(M1444&gt;=10000,"High Value",IF(M1444&gt;=5000,"Medium Value","Low Value"))</f>
        <v>Low Value</v>
      </c>
      <c r="W1444" s="1" t="str">
        <f aca="false">IF(O1444&gt;0,"Profitable",IF(O1444=0,"Break-even","Loss"))</f>
        <v>Profitable</v>
      </c>
      <c r="X1444" s="1" t="str">
        <f aca="false">IF(Q1444="Cancelled","Not Applicable",IF(Q1444="Processing","Pending",IF(B1444="","Unknown",IF(Orders!J1444="","Unknown",IF(Orders!J1444&lt;=3,"Fast",IF(Orders!J1444&lt;=6,"Standard","Slow"))))))</f>
        <v>Slow</v>
      </c>
      <c r="Y1444" s="1" t="n">
        <f aca="false">IF(OR(Q1444="Cancelled",Q1444="Returned"),0,O1444)</f>
        <v>549.1</v>
      </c>
    </row>
    <row r="1445" customFormat="false" ht="15" hidden="false" customHeight="false" outlineLevel="0" collapsed="false">
      <c r="A1445" s="6" t="str">
        <f aca="false">Orders!A1445</f>
        <v>O001444</v>
      </c>
      <c r="B1445" s="19" t="n">
        <f aca="false">Orders!B1445</f>
        <v>45763</v>
      </c>
      <c r="C1445" s="6" t="str">
        <f aca="false">Orders!C1445</f>
        <v>C0113</v>
      </c>
      <c r="D1445" s="6" t="str">
        <f aca="false">Orders!D1445</f>
        <v>P1057</v>
      </c>
      <c r="E1445" s="6" t="str">
        <f aca="false">INDEX(Products!$B$2:$B$101,MATCH(D1445,Products!$A$2:$A$101,0))</f>
        <v>Comb Set</v>
      </c>
      <c r="F1445" s="1" t="str">
        <f aca="false">INDEX(Products!$C$2:$C$101,MATCH(D1445,Products!$A$2:$A$101,0))</f>
        <v>Beauty</v>
      </c>
      <c r="G1445" s="6" t="n">
        <f aca="false">Orders!E1445</f>
        <v>1</v>
      </c>
      <c r="H1445" s="16" t="n">
        <f aca="false">INDEX(Products!$D$2:$D$101,MATCH(D1445,Products!$A$2:$A$101,0))</f>
        <v>199</v>
      </c>
      <c r="I1445" s="16" t="n">
        <f aca="false">INDEX(Products!$E$2:$E$101,MATCH(D1445,Products!$A$2:$A$101,0))</f>
        <v>65</v>
      </c>
      <c r="J1445" s="20" t="n">
        <f aca="false">Orders!F1445</f>
        <v>0.1</v>
      </c>
      <c r="K1445" s="6" t="n">
        <f aca="false">G1445*H1445</f>
        <v>199</v>
      </c>
      <c r="L1445" s="6" t="n">
        <f aca="false">K1445*J1445</f>
        <v>19.9</v>
      </c>
      <c r="M1445" s="6" t="n">
        <f aca="false">K1445-L1445</f>
        <v>179.1</v>
      </c>
      <c r="N1445" s="6" t="n">
        <f aca="false">G1445*I1445</f>
        <v>65</v>
      </c>
      <c r="O1445" s="6" t="n">
        <f aca="false">M1445-N1445</f>
        <v>114.1</v>
      </c>
      <c r="P1445" s="21" t="n">
        <f aca="false">IFERROR(O1445/M1445,0)</f>
        <v>0.637074260189838</v>
      </c>
      <c r="Q1445" s="6" t="str">
        <f aca="false">Orders!H1445</f>
        <v>Delivered</v>
      </c>
      <c r="R1445" s="1" t="str">
        <f aca="false">INDEX(Customers!$C$2:$C$301,MATCH(C1445,Customers!$A$2:$A$301,0))</f>
        <v>Kochi</v>
      </c>
      <c r="S1445" s="1" t="str">
        <f aca="false">INDEX(Customers!$E$2:$E$301,MATCH(C1445,Customers!$A$2:$A$301,0))</f>
        <v>New</v>
      </c>
      <c r="T1445" s="6" t="str">
        <f aca="false">Orders!I1445</f>
        <v>Mobile App</v>
      </c>
      <c r="U1445" s="1" t="str">
        <f aca="false">IF(Q1445="Delivered","Completed",IF(Q1445="Cancelled","Cancelled",IF(Q1445="Returned","Returned","In Progress")))</f>
        <v>Completed</v>
      </c>
      <c r="V1445" s="1" t="str">
        <f aca="false">IF(M1445&gt;=10000,"High Value",IF(M1445&gt;=5000,"Medium Value","Low Value"))</f>
        <v>Low Value</v>
      </c>
      <c r="W1445" s="1" t="str">
        <f aca="false">IF(O1445&gt;0,"Profitable",IF(O1445=0,"Break-even","Loss"))</f>
        <v>Profitable</v>
      </c>
      <c r="X1445" s="1" t="str">
        <f aca="false">IF(Q1445="Cancelled","Not Applicable",IF(Q1445="Processing","Pending",IF(B1445="","Unknown",IF(Orders!J1445="","Unknown",IF(Orders!J1445&lt;=3,"Fast",IF(Orders!J1445&lt;=6,"Standard","Slow"))))))</f>
        <v>Standard</v>
      </c>
      <c r="Y1445" s="1" t="n">
        <f aca="false">IF(OR(Q1445="Cancelled",Q1445="Returned"),0,O1445)</f>
        <v>114.1</v>
      </c>
    </row>
    <row r="1446" customFormat="false" ht="23.85" hidden="false" customHeight="false" outlineLevel="0" collapsed="false">
      <c r="A1446" s="6" t="str">
        <f aca="false">Orders!A1446</f>
        <v>O001445</v>
      </c>
      <c r="B1446" s="19" t="n">
        <f aca="false">Orders!B1446</f>
        <v>45958</v>
      </c>
      <c r="C1446" s="6" t="str">
        <f aca="false">Orders!C1446</f>
        <v>C0167</v>
      </c>
      <c r="D1446" s="6" t="str">
        <f aca="false">Orders!D1446</f>
        <v>P1046</v>
      </c>
      <c r="E1446" s="6" t="str">
        <f aca="false">INDEX(Products!$B$2:$B$101,MATCH(D1446,Products!$A$2:$A$101,0))</f>
        <v>Face Moisturizer</v>
      </c>
      <c r="F1446" s="1" t="str">
        <f aca="false">INDEX(Products!$C$2:$C$101,MATCH(D1446,Products!$A$2:$A$101,0))</f>
        <v>Beauty</v>
      </c>
      <c r="G1446" s="6" t="n">
        <f aca="false">Orders!E1446</f>
        <v>2</v>
      </c>
      <c r="H1446" s="16" t="n">
        <f aca="false">INDEX(Products!$D$2:$D$101,MATCH(D1446,Products!$A$2:$A$101,0))</f>
        <v>499</v>
      </c>
      <c r="I1446" s="16" t="n">
        <f aca="false">INDEX(Products!$E$2:$E$101,MATCH(D1446,Products!$A$2:$A$101,0))</f>
        <v>220</v>
      </c>
      <c r="J1446" s="20" t="n">
        <f aca="false">Orders!F1446</f>
        <v>0.05</v>
      </c>
      <c r="K1446" s="6" t="n">
        <f aca="false">G1446*H1446</f>
        <v>998</v>
      </c>
      <c r="L1446" s="6" t="n">
        <f aca="false">K1446*J1446</f>
        <v>49.9</v>
      </c>
      <c r="M1446" s="6" t="n">
        <f aca="false">K1446-L1446</f>
        <v>948.1</v>
      </c>
      <c r="N1446" s="6" t="n">
        <f aca="false">G1446*I1446</f>
        <v>440</v>
      </c>
      <c r="O1446" s="6" t="n">
        <f aca="false">M1446-N1446</f>
        <v>508.1</v>
      </c>
      <c r="P1446" s="21" t="n">
        <f aca="false">IFERROR(O1446/M1446,0)</f>
        <v>0.535913933129417</v>
      </c>
      <c r="Q1446" s="6" t="str">
        <f aca="false">Orders!H1446</f>
        <v>Delivered</v>
      </c>
      <c r="R1446" s="1" t="str">
        <f aca="false">INDEX(Customers!$C$2:$C$301,MATCH(C1446,Customers!$A$2:$A$301,0))</f>
        <v>Pune</v>
      </c>
      <c r="S1446" s="1" t="str">
        <f aca="false">INDEX(Customers!$E$2:$E$301,MATCH(C1446,Customers!$A$2:$A$301,0))</f>
        <v>Returning</v>
      </c>
      <c r="T1446" s="6" t="str">
        <f aca="false">Orders!I1446</f>
        <v>Mobile App</v>
      </c>
      <c r="U1446" s="1" t="str">
        <f aca="false">IF(Q1446="Delivered","Completed",IF(Q1446="Cancelled","Cancelled",IF(Q1446="Returned","Returned","In Progress")))</f>
        <v>Completed</v>
      </c>
      <c r="V1446" s="1" t="str">
        <f aca="false">IF(M1446&gt;=10000,"High Value",IF(M1446&gt;=5000,"Medium Value","Low Value"))</f>
        <v>Low Value</v>
      </c>
      <c r="W1446" s="1" t="str">
        <f aca="false">IF(O1446&gt;0,"Profitable",IF(O1446=0,"Break-even","Loss"))</f>
        <v>Profitable</v>
      </c>
      <c r="X1446" s="1" t="str">
        <f aca="false">IF(Q1446="Cancelled","Not Applicable",IF(Q1446="Processing","Pending",IF(B1446="","Unknown",IF(Orders!J1446="","Unknown",IF(Orders!J1446&lt;=3,"Fast",IF(Orders!J1446&lt;=6,"Standard","Slow"))))))</f>
        <v>Fast</v>
      </c>
      <c r="Y1446" s="1" t="n">
        <f aca="false">IF(OR(Q1446="Cancelled",Q1446="Returned"),0,O1446)</f>
        <v>508.1</v>
      </c>
    </row>
    <row r="1447" customFormat="false" ht="15" hidden="false" customHeight="false" outlineLevel="0" collapsed="false">
      <c r="A1447" s="6" t="str">
        <f aca="false">Orders!A1447</f>
        <v>O001446</v>
      </c>
      <c r="B1447" s="19" t="n">
        <f aca="false">Orders!B1447</f>
        <v>45955</v>
      </c>
      <c r="C1447" s="6" t="str">
        <f aca="false">Orders!C1447</f>
        <v>C0064</v>
      </c>
      <c r="D1447" s="6" t="str">
        <f aca="false">Orders!D1447</f>
        <v>P1040</v>
      </c>
      <c r="E1447" s="6" t="str">
        <f aca="false">INDEX(Products!$B$2:$B$101,MATCH(D1447,Products!$A$2:$A$101,0))</f>
        <v>Curtain Set</v>
      </c>
      <c r="F1447" s="1" t="str">
        <f aca="false">INDEX(Products!$C$2:$C$101,MATCH(D1447,Products!$A$2:$A$101,0))</f>
        <v>Home &amp; Kitchen</v>
      </c>
      <c r="G1447" s="6" t="n">
        <f aca="false">Orders!E1447</f>
        <v>4</v>
      </c>
      <c r="H1447" s="16" t="n">
        <f aca="false">INDEX(Products!$D$2:$D$101,MATCH(D1447,Products!$A$2:$A$101,0))</f>
        <v>1099</v>
      </c>
      <c r="I1447" s="16" t="n">
        <f aca="false">INDEX(Products!$E$2:$E$101,MATCH(D1447,Products!$A$2:$A$101,0))</f>
        <v>550</v>
      </c>
      <c r="J1447" s="20" t="n">
        <f aca="false">Orders!F1447</f>
        <v>0.05</v>
      </c>
      <c r="K1447" s="6" t="n">
        <f aca="false">G1447*H1447</f>
        <v>4396</v>
      </c>
      <c r="L1447" s="6" t="n">
        <f aca="false">K1447*J1447</f>
        <v>219.8</v>
      </c>
      <c r="M1447" s="6" t="n">
        <f aca="false">K1447-L1447</f>
        <v>4176.2</v>
      </c>
      <c r="N1447" s="6" t="n">
        <f aca="false">G1447*I1447</f>
        <v>2200</v>
      </c>
      <c r="O1447" s="6" t="n">
        <f aca="false">M1447-N1447</f>
        <v>1976.2</v>
      </c>
      <c r="P1447" s="21" t="n">
        <f aca="false">IFERROR(O1447/M1447,0)</f>
        <v>0.473205306259279</v>
      </c>
      <c r="Q1447" s="6" t="str">
        <f aca="false">Orders!H1447</f>
        <v>Delivered</v>
      </c>
      <c r="R1447" s="1" t="str">
        <f aca="false">INDEX(Customers!$C$2:$C$301,MATCH(C1447,Customers!$A$2:$A$301,0))</f>
        <v>Hyderabad</v>
      </c>
      <c r="S1447" s="1" t="str">
        <f aca="false">INDEX(Customers!$E$2:$E$301,MATCH(C1447,Customers!$A$2:$A$301,0))</f>
        <v>Returning</v>
      </c>
      <c r="T1447" s="6" t="str">
        <f aca="false">Orders!I1447</f>
        <v>Website</v>
      </c>
      <c r="U1447" s="1" t="str">
        <f aca="false">IF(Q1447="Delivered","Completed",IF(Q1447="Cancelled","Cancelled",IF(Q1447="Returned","Returned","In Progress")))</f>
        <v>Completed</v>
      </c>
      <c r="V1447" s="1" t="str">
        <f aca="false">IF(M1447&gt;=10000,"High Value",IF(M1447&gt;=5000,"Medium Value","Low Value"))</f>
        <v>Low Value</v>
      </c>
      <c r="W1447" s="1" t="str">
        <f aca="false">IF(O1447&gt;0,"Profitable",IF(O1447=0,"Break-even","Loss"))</f>
        <v>Profitable</v>
      </c>
      <c r="X1447" s="1" t="str">
        <f aca="false">IF(Q1447="Cancelled","Not Applicable",IF(Q1447="Processing","Pending",IF(B1447="","Unknown",IF(Orders!J1447="","Unknown",IF(Orders!J1447&lt;=3,"Fast",IF(Orders!J1447&lt;=6,"Standard","Slow"))))))</f>
        <v>Fast</v>
      </c>
      <c r="Y1447" s="1" t="n">
        <f aca="false">IF(OR(Q1447="Cancelled",Q1447="Returned"),0,O1447)</f>
        <v>1976.2</v>
      </c>
    </row>
    <row r="1448" customFormat="false" ht="15" hidden="false" customHeight="false" outlineLevel="0" collapsed="false">
      <c r="A1448" s="6" t="str">
        <f aca="false">Orders!A1448</f>
        <v>O001447</v>
      </c>
      <c r="B1448" s="19" t="n">
        <f aca="false">Orders!B1448</f>
        <v>45740</v>
      </c>
      <c r="C1448" s="6" t="str">
        <f aca="false">Orders!C1448</f>
        <v>C0264</v>
      </c>
      <c r="D1448" s="6" t="str">
        <f aca="false">Orders!D1448</f>
        <v>P1067</v>
      </c>
      <c r="E1448" s="6" t="str">
        <f aca="false">INDEX(Products!$B$2:$B$101,MATCH(D1448,Products!$A$2:$A$101,0))</f>
        <v>Camping Torch</v>
      </c>
      <c r="F1448" s="1" t="str">
        <f aca="false">INDEX(Products!$C$2:$C$101,MATCH(D1448,Products!$A$2:$A$101,0))</f>
        <v>Sports &amp; Outdoors</v>
      </c>
      <c r="G1448" s="6" t="n">
        <f aca="false">Orders!E1448</f>
        <v>1</v>
      </c>
      <c r="H1448" s="16" t="n">
        <f aca="false">INDEX(Products!$D$2:$D$101,MATCH(D1448,Products!$A$2:$A$101,0))</f>
        <v>599</v>
      </c>
      <c r="I1448" s="16" t="n">
        <f aca="false">INDEX(Products!$E$2:$E$101,MATCH(D1448,Products!$A$2:$A$101,0))</f>
        <v>250</v>
      </c>
      <c r="J1448" s="20" t="n">
        <f aca="false">Orders!F1448</f>
        <v>0.15</v>
      </c>
      <c r="K1448" s="6" t="n">
        <f aca="false">G1448*H1448</f>
        <v>599</v>
      </c>
      <c r="L1448" s="6" t="n">
        <f aca="false">K1448*J1448</f>
        <v>89.85</v>
      </c>
      <c r="M1448" s="6" t="n">
        <f aca="false">K1448-L1448</f>
        <v>509.15</v>
      </c>
      <c r="N1448" s="6" t="n">
        <f aca="false">G1448*I1448</f>
        <v>250</v>
      </c>
      <c r="O1448" s="6" t="n">
        <f aca="false">M1448-N1448</f>
        <v>259.15</v>
      </c>
      <c r="P1448" s="21" t="n">
        <f aca="false">IFERROR(O1448/M1448,0)</f>
        <v>0.508985564175587</v>
      </c>
      <c r="Q1448" s="6" t="str">
        <f aca="false">Orders!H1448</f>
        <v>Delivered</v>
      </c>
      <c r="R1448" s="1" t="str">
        <f aca="false">INDEX(Customers!$C$2:$C$301,MATCH(C1448,Customers!$A$2:$A$301,0))</f>
        <v>Hyderabad</v>
      </c>
      <c r="S1448" s="1" t="str">
        <f aca="false">INDEX(Customers!$E$2:$E$301,MATCH(C1448,Customers!$A$2:$A$301,0))</f>
        <v>VIP</v>
      </c>
      <c r="T1448" s="6" t="str">
        <f aca="false">Orders!I1448</f>
        <v>Mobile App</v>
      </c>
      <c r="U1448" s="1" t="str">
        <f aca="false">IF(Q1448="Delivered","Completed",IF(Q1448="Cancelled","Cancelled",IF(Q1448="Returned","Returned","In Progress")))</f>
        <v>Completed</v>
      </c>
      <c r="V1448" s="1" t="str">
        <f aca="false">IF(M1448&gt;=10000,"High Value",IF(M1448&gt;=5000,"Medium Value","Low Value"))</f>
        <v>Low Value</v>
      </c>
      <c r="W1448" s="1" t="str">
        <f aca="false">IF(O1448&gt;0,"Profitable",IF(O1448=0,"Break-even","Loss"))</f>
        <v>Profitable</v>
      </c>
      <c r="X1448" s="1" t="str">
        <f aca="false">IF(Q1448="Cancelled","Not Applicable",IF(Q1448="Processing","Pending",IF(B1448="","Unknown",IF(Orders!J1448="","Unknown",IF(Orders!J1448&lt;=3,"Fast",IF(Orders!J1448&lt;=6,"Standard","Slow"))))))</f>
        <v>Slow</v>
      </c>
      <c r="Y1448" s="1" t="n">
        <f aca="false">IF(OR(Q1448="Cancelled",Q1448="Returned"),0,O1448)</f>
        <v>259.15</v>
      </c>
    </row>
    <row r="1449" customFormat="false" ht="15" hidden="false" customHeight="false" outlineLevel="0" collapsed="false">
      <c r="A1449" s="6" t="str">
        <f aca="false">Orders!A1449</f>
        <v>O001448</v>
      </c>
      <c r="B1449" s="19" t="n">
        <f aca="false">Orders!B1449</f>
        <v>45998</v>
      </c>
      <c r="C1449" s="6" t="str">
        <f aca="false">Orders!C1449</f>
        <v>C0226</v>
      </c>
      <c r="D1449" s="6" t="str">
        <f aca="false">Orders!D1449</f>
        <v>P1057</v>
      </c>
      <c r="E1449" s="6" t="str">
        <f aca="false">INDEX(Products!$B$2:$B$101,MATCH(D1449,Products!$A$2:$A$101,0))</f>
        <v>Comb Set</v>
      </c>
      <c r="F1449" s="1" t="str">
        <f aca="false">INDEX(Products!$C$2:$C$101,MATCH(D1449,Products!$A$2:$A$101,0))</f>
        <v>Beauty</v>
      </c>
      <c r="G1449" s="6" t="n">
        <f aca="false">Orders!E1449</f>
        <v>3</v>
      </c>
      <c r="H1449" s="16" t="n">
        <f aca="false">INDEX(Products!$D$2:$D$101,MATCH(D1449,Products!$A$2:$A$101,0))</f>
        <v>199</v>
      </c>
      <c r="I1449" s="16" t="n">
        <f aca="false">INDEX(Products!$E$2:$E$101,MATCH(D1449,Products!$A$2:$A$101,0))</f>
        <v>65</v>
      </c>
      <c r="J1449" s="20" t="n">
        <f aca="false">Orders!F1449</f>
        <v>0.05</v>
      </c>
      <c r="K1449" s="6" t="n">
        <f aca="false">G1449*H1449</f>
        <v>597</v>
      </c>
      <c r="L1449" s="6" t="n">
        <f aca="false">K1449*J1449</f>
        <v>29.85</v>
      </c>
      <c r="M1449" s="6" t="n">
        <f aca="false">K1449-L1449</f>
        <v>567.15</v>
      </c>
      <c r="N1449" s="6" t="n">
        <f aca="false">G1449*I1449</f>
        <v>195</v>
      </c>
      <c r="O1449" s="6" t="n">
        <f aca="false">M1449-N1449</f>
        <v>372.15</v>
      </c>
      <c r="P1449" s="21" t="n">
        <f aca="false">IFERROR(O1449/M1449,0)</f>
        <v>0.656175614916689</v>
      </c>
      <c r="Q1449" s="6" t="str">
        <f aca="false">Orders!H1449</f>
        <v>Delivered</v>
      </c>
      <c r="R1449" s="1" t="str">
        <f aca="false">INDEX(Customers!$C$2:$C$301,MATCH(C1449,Customers!$A$2:$A$301,0))</f>
        <v>Kolkata</v>
      </c>
      <c r="S1449" s="1" t="str">
        <f aca="false">INDEX(Customers!$E$2:$E$301,MATCH(C1449,Customers!$A$2:$A$301,0))</f>
        <v>Returning</v>
      </c>
      <c r="T1449" s="6" t="str">
        <f aca="false">Orders!I1449</f>
        <v>Mobile App</v>
      </c>
      <c r="U1449" s="1" t="str">
        <f aca="false">IF(Q1449="Delivered","Completed",IF(Q1449="Cancelled","Cancelled",IF(Q1449="Returned","Returned","In Progress")))</f>
        <v>Completed</v>
      </c>
      <c r="V1449" s="1" t="str">
        <f aca="false">IF(M1449&gt;=10000,"High Value",IF(M1449&gt;=5000,"Medium Value","Low Value"))</f>
        <v>Low Value</v>
      </c>
      <c r="W1449" s="1" t="str">
        <f aca="false">IF(O1449&gt;0,"Profitable",IF(O1449=0,"Break-even","Loss"))</f>
        <v>Profitable</v>
      </c>
      <c r="X1449" s="1" t="str">
        <f aca="false">IF(Q1449="Cancelled","Not Applicable",IF(Q1449="Processing","Pending",IF(B1449="","Unknown",IF(Orders!J1449="","Unknown",IF(Orders!J1449&lt;=3,"Fast",IF(Orders!J1449&lt;=6,"Standard","Slow"))))))</f>
        <v>Standard</v>
      </c>
      <c r="Y1449" s="1" t="n">
        <f aca="false">IF(OR(Q1449="Cancelled",Q1449="Returned"),0,O1449)</f>
        <v>372.15</v>
      </c>
    </row>
    <row r="1450" customFormat="false" ht="15" hidden="false" customHeight="false" outlineLevel="0" collapsed="false">
      <c r="A1450" s="6" t="str">
        <f aca="false">Orders!A1450</f>
        <v>O001449</v>
      </c>
      <c r="B1450" s="19" t="n">
        <f aca="false">Orders!B1450</f>
        <v>45787</v>
      </c>
      <c r="C1450" s="6" t="str">
        <f aca="false">Orders!C1450</f>
        <v>C0016</v>
      </c>
      <c r="D1450" s="6" t="str">
        <f aca="false">Orders!D1450</f>
        <v>P1073</v>
      </c>
      <c r="E1450" s="6" t="str">
        <f aca="false">INDEX(Products!$B$2:$B$101,MATCH(D1450,Products!$A$2:$A$101,0))</f>
        <v>Hiking Backpack</v>
      </c>
      <c r="F1450" s="1" t="str">
        <f aca="false">INDEX(Products!$C$2:$C$101,MATCH(D1450,Products!$A$2:$A$101,0))</f>
        <v>Sports &amp; Outdoors</v>
      </c>
      <c r="G1450" s="6" t="n">
        <f aca="false">Orders!E1450</f>
        <v>1</v>
      </c>
      <c r="H1450" s="16" t="n">
        <f aca="false">INDEX(Products!$D$2:$D$101,MATCH(D1450,Products!$A$2:$A$101,0))</f>
        <v>1999</v>
      </c>
      <c r="I1450" s="16" t="n">
        <f aca="false">INDEX(Products!$E$2:$E$101,MATCH(D1450,Products!$A$2:$A$101,0))</f>
        <v>1100</v>
      </c>
      <c r="J1450" s="20" t="n">
        <f aca="false">Orders!F1450</f>
        <v>0</v>
      </c>
      <c r="K1450" s="6" t="n">
        <f aca="false">G1450*H1450</f>
        <v>1999</v>
      </c>
      <c r="L1450" s="6" t="n">
        <f aca="false">K1450*J1450</f>
        <v>0</v>
      </c>
      <c r="M1450" s="6" t="n">
        <f aca="false">K1450-L1450</f>
        <v>1999</v>
      </c>
      <c r="N1450" s="6" t="n">
        <f aca="false">G1450*I1450</f>
        <v>1100</v>
      </c>
      <c r="O1450" s="6" t="n">
        <f aca="false">M1450-N1450</f>
        <v>899</v>
      </c>
      <c r="P1450" s="21" t="n">
        <f aca="false">IFERROR(O1450/M1450,0)</f>
        <v>0.449724862431216</v>
      </c>
      <c r="Q1450" s="6" t="str">
        <f aca="false">Orders!H1450</f>
        <v>Cancelled</v>
      </c>
      <c r="R1450" s="1" t="str">
        <f aca="false">INDEX(Customers!$C$2:$C$301,MATCH(C1450,Customers!$A$2:$A$301,0))</f>
        <v>Chandigarh</v>
      </c>
      <c r="S1450" s="1" t="str">
        <f aca="false">INDEX(Customers!$E$2:$E$301,MATCH(C1450,Customers!$A$2:$A$301,0))</f>
        <v>New</v>
      </c>
      <c r="T1450" s="6" t="str">
        <f aca="false">Orders!I1450</f>
        <v>Mobile App</v>
      </c>
      <c r="U1450" s="1" t="str">
        <f aca="false">IF(Q1450="Delivered","Completed",IF(Q1450="Cancelled","Cancelled",IF(Q1450="Returned","Returned","In Progress")))</f>
        <v>Cancelled</v>
      </c>
      <c r="V1450" s="1" t="str">
        <f aca="false">IF(M1450&gt;=10000,"High Value",IF(M1450&gt;=5000,"Medium Value","Low Value"))</f>
        <v>Low Value</v>
      </c>
      <c r="W1450" s="1" t="str">
        <f aca="false">IF(O1450&gt;0,"Profitable",IF(O1450=0,"Break-even","Loss"))</f>
        <v>Profitable</v>
      </c>
      <c r="X1450" s="1" t="str">
        <f aca="false">IF(Q1450="Cancelled","Not Applicable",IF(Q1450="Processing","Pending",IF(B1450="","Unknown",IF(Orders!J1450="","Unknown",IF(Orders!J1450&lt;=3,"Fast",IF(Orders!J1450&lt;=6,"Standard","Slow"))))))</f>
        <v>Not Applicable</v>
      </c>
      <c r="Y1450" s="1" t="n">
        <f aca="false">IF(OR(Q1450="Cancelled",Q1450="Returned"),0,O1450)</f>
        <v>0</v>
      </c>
    </row>
    <row r="1451" customFormat="false" ht="23.85" hidden="false" customHeight="false" outlineLevel="0" collapsed="false">
      <c r="A1451" s="6" t="str">
        <f aca="false">Orders!A1451</f>
        <v>O001450</v>
      </c>
      <c r="B1451" s="19" t="n">
        <f aca="false">Orders!B1451</f>
        <v>45876</v>
      </c>
      <c r="C1451" s="6" t="str">
        <f aca="false">Orders!C1451</f>
        <v>C0066</v>
      </c>
      <c r="D1451" s="6" t="str">
        <f aca="false">Orders!D1451</f>
        <v>P1069</v>
      </c>
      <c r="E1451" s="6" t="str">
        <f aca="false">INDEX(Products!$B$2:$B$101,MATCH(D1451,Products!$A$2:$A$101,0))</f>
        <v>Sports Duffel Bag</v>
      </c>
      <c r="F1451" s="1" t="str">
        <f aca="false">INDEX(Products!$C$2:$C$101,MATCH(D1451,Products!$A$2:$A$101,0))</f>
        <v>Sports &amp; Outdoors</v>
      </c>
      <c r="G1451" s="6" t="n">
        <f aca="false">Orders!E1451</f>
        <v>2</v>
      </c>
      <c r="H1451" s="16" t="n">
        <f aca="false">INDEX(Products!$D$2:$D$101,MATCH(D1451,Products!$A$2:$A$101,0))</f>
        <v>999</v>
      </c>
      <c r="I1451" s="16" t="n">
        <f aca="false">INDEX(Products!$E$2:$E$101,MATCH(D1451,Products!$A$2:$A$101,0))</f>
        <v>500</v>
      </c>
      <c r="J1451" s="20" t="n">
        <f aca="false">Orders!F1451</f>
        <v>0.05</v>
      </c>
      <c r="K1451" s="6" t="n">
        <f aca="false">G1451*H1451</f>
        <v>1998</v>
      </c>
      <c r="L1451" s="6" t="n">
        <f aca="false">K1451*J1451</f>
        <v>99.9</v>
      </c>
      <c r="M1451" s="6" t="n">
        <f aca="false">K1451-L1451</f>
        <v>1898.1</v>
      </c>
      <c r="N1451" s="6" t="n">
        <f aca="false">G1451*I1451</f>
        <v>1000</v>
      </c>
      <c r="O1451" s="6" t="n">
        <f aca="false">M1451-N1451</f>
        <v>898.1</v>
      </c>
      <c r="P1451" s="21" t="n">
        <f aca="false">IFERROR(O1451/M1451,0)</f>
        <v>0.47315736789421</v>
      </c>
      <c r="Q1451" s="6" t="str">
        <f aca="false">Orders!H1451</f>
        <v>Delivered</v>
      </c>
      <c r="R1451" s="1" t="str">
        <f aca="false">INDEX(Customers!$C$2:$C$301,MATCH(C1451,Customers!$A$2:$A$301,0))</f>
        <v>Kolkata</v>
      </c>
      <c r="S1451" s="1" t="str">
        <f aca="false">INDEX(Customers!$E$2:$E$301,MATCH(C1451,Customers!$A$2:$A$301,0))</f>
        <v>New</v>
      </c>
      <c r="T1451" s="6" t="str">
        <f aca="false">Orders!I1451</f>
        <v>Mobile App</v>
      </c>
      <c r="U1451" s="1" t="str">
        <f aca="false">IF(Q1451="Delivered","Completed",IF(Q1451="Cancelled","Cancelled",IF(Q1451="Returned","Returned","In Progress")))</f>
        <v>Completed</v>
      </c>
      <c r="V1451" s="1" t="str">
        <f aca="false">IF(M1451&gt;=10000,"High Value",IF(M1451&gt;=5000,"Medium Value","Low Value"))</f>
        <v>Low Value</v>
      </c>
      <c r="W1451" s="1" t="str">
        <f aca="false">IF(O1451&gt;0,"Profitable",IF(O1451=0,"Break-even","Loss"))</f>
        <v>Profitable</v>
      </c>
      <c r="X1451" s="1" t="str">
        <f aca="false">IF(Q1451="Cancelled","Not Applicable",IF(Q1451="Processing","Pending",IF(B1451="","Unknown",IF(Orders!J1451="","Unknown",IF(Orders!J1451&lt;=3,"Fast",IF(Orders!J1451&lt;=6,"Standard","Slow"))))))</f>
        <v>Slow</v>
      </c>
      <c r="Y1451" s="1" t="n">
        <f aca="false">IF(OR(Q1451="Cancelled",Q1451="Returned"),0,O1451)</f>
        <v>898.1</v>
      </c>
    </row>
    <row r="1452" customFormat="false" ht="15" hidden="false" customHeight="false" outlineLevel="0" collapsed="false">
      <c r="A1452" s="6" t="str">
        <f aca="false">Orders!A1452</f>
        <v>O001451</v>
      </c>
      <c r="B1452" s="19" t="n">
        <f aca="false">Orders!B1452</f>
        <v>45809</v>
      </c>
      <c r="C1452" s="6" t="str">
        <f aca="false">Orders!C1452</f>
        <v>C0250</v>
      </c>
      <c r="D1452" s="6" t="str">
        <f aca="false">Orders!D1452</f>
        <v>P1083</v>
      </c>
      <c r="E1452" s="6" t="str">
        <f aca="false">INDEX(Products!$B$2:$B$101,MATCH(D1452,Products!$A$2:$A$101,0))</f>
        <v>Reading Light</v>
      </c>
      <c r="F1452" s="1" t="str">
        <f aca="false">INDEX(Products!$C$2:$C$101,MATCH(D1452,Products!$A$2:$A$101,0))</f>
        <v>Books &amp; Stationery</v>
      </c>
      <c r="G1452" s="6" t="n">
        <f aca="false">Orders!E1452</f>
        <v>4</v>
      </c>
      <c r="H1452" s="16" t="n">
        <f aca="false">INDEX(Products!$D$2:$D$101,MATCH(D1452,Products!$A$2:$A$101,0))</f>
        <v>399</v>
      </c>
      <c r="I1452" s="16" t="n">
        <f aca="false">INDEX(Products!$E$2:$E$101,MATCH(D1452,Products!$A$2:$A$101,0))</f>
        <v>180</v>
      </c>
      <c r="J1452" s="20" t="n">
        <f aca="false">Orders!F1452</f>
        <v>0.05</v>
      </c>
      <c r="K1452" s="6" t="n">
        <f aca="false">G1452*H1452</f>
        <v>1596</v>
      </c>
      <c r="L1452" s="6" t="n">
        <f aca="false">K1452*J1452</f>
        <v>79.8</v>
      </c>
      <c r="M1452" s="6" t="n">
        <f aca="false">K1452-L1452</f>
        <v>1516.2</v>
      </c>
      <c r="N1452" s="6" t="n">
        <f aca="false">G1452*I1452</f>
        <v>720</v>
      </c>
      <c r="O1452" s="6" t="n">
        <f aca="false">M1452-N1452</f>
        <v>796.2</v>
      </c>
      <c r="P1452" s="21" t="n">
        <f aca="false">IFERROR(O1452/M1452,0)</f>
        <v>0.525128611001187</v>
      </c>
      <c r="Q1452" s="6" t="str">
        <f aca="false">Orders!H1452</f>
        <v>Processing</v>
      </c>
      <c r="R1452" s="1" t="str">
        <f aca="false">INDEX(Customers!$C$2:$C$301,MATCH(C1452,Customers!$A$2:$A$301,0))</f>
        <v>Lucknow</v>
      </c>
      <c r="S1452" s="1" t="str">
        <f aca="false">INDEX(Customers!$E$2:$E$301,MATCH(C1452,Customers!$A$2:$A$301,0))</f>
        <v>Returning</v>
      </c>
      <c r="T1452" s="6" t="str">
        <f aca="false">Orders!I1452</f>
        <v>Mobile App</v>
      </c>
      <c r="U1452" s="1" t="str">
        <f aca="false">IF(Q1452="Delivered","Completed",IF(Q1452="Cancelled","Cancelled",IF(Q1452="Returned","Returned","In Progress")))</f>
        <v>In Progress</v>
      </c>
      <c r="V1452" s="1" t="str">
        <f aca="false">IF(M1452&gt;=10000,"High Value",IF(M1452&gt;=5000,"Medium Value","Low Value"))</f>
        <v>Low Value</v>
      </c>
      <c r="W1452" s="1" t="str">
        <f aca="false">IF(O1452&gt;0,"Profitable",IF(O1452=0,"Break-even","Loss"))</f>
        <v>Profitable</v>
      </c>
      <c r="X1452" s="1" t="str">
        <f aca="false">IF(Q1452="Cancelled","Not Applicable",IF(Q1452="Processing","Pending",IF(B1452="","Unknown",IF(Orders!J1452="","Unknown",IF(Orders!J1452&lt;=3,"Fast",IF(Orders!J1452&lt;=6,"Standard","Slow"))))))</f>
        <v>Pending</v>
      </c>
      <c r="Y1452" s="1" t="n">
        <f aca="false">IF(OR(Q1452="Cancelled",Q1452="Returned"),0,O1452)</f>
        <v>796.2</v>
      </c>
    </row>
    <row r="1453" customFormat="false" ht="15" hidden="false" customHeight="false" outlineLevel="0" collapsed="false">
      <c r="A1453" s="6" t="str">
        <f aca="false">Orders!A1453</f>
        <v>O001452</v>
      </c>
      <c r="B1453" s="19" t="n">
        <f aca="false">Orders!B1453</f>
        <v>45843</v>
      </c>
      <c r="C1453" s="6" t="str">
        <f aca="false">Orders!C1453</f>
        <v>C0045</v>
      </c>
      <c r="D1453" s="6" t="str">
        <f aca="false">Orders!D1453</f>
        <v>P1023</v>
      </c>
      <c r="E1453" s="6" t="str">
        <f aca="false">INDEX(Products!$B$2:$B$101,MATCH(D1453,Products!$A$2:$A$101,0))</f>
        <v>Sports Cap</v>
      </c>
      <c r="F1453" s="1" t="str">
        <f aca="false">INDEX(Products!$C$2:$C$101,MATCH(D1453,Products!$A$2:$A$101,0))</f>
        <v>Fashion</v>
      </c>
      <c r="G1453" s="6" t="n">
        <f aca="false">Orders!E1453</f>
        <v>1</v>
      </c>
      <c r="H1453" s="16" t="n">
        <f aca="false">INDEX(Products!$D$2:$D$101,MATCH(D1453,Products!$A$2:$A$101,0))</f>
        <v>349</v>
      </c>
      <c r="I1453" s="16" t="n">
        <f aca="false">INDEX(Products!$E$2:$E$101,MATCH(D1453,Products!$A$2:$A$101,0))</f>
        <v>120</v>
      </c>
      <c r="J1453" s="20" t="n">
        <f aca="false">Orders!F1453</f>
        <v>0.05</v>
      </c>
      <c r="K1453" s="6" t="n">
        <f aca="false">G1453*H1453</f>
        <v>349</v>
      </c>
      <c r="L1453" s="6" t="n">
        <f aca="false">K1453*J1453</f>
        <v>17.45</v>
      </c>
      <c r="M1453" s="6" t="n">
        <f aca="false">K1453-L1453</f>
        <v>331.55</v>
      </c>
      <c r="N1453" s="6" t="n">
        <f aca="false">G1453*I1453</f>
        <v>120</v>
      </c>
      <c r="O1453" s="6" t="n">
        <f aca="false">M1453-N1453</f>
        <v>211.55</v>
      </c>
      <c r="P1453" s="21" t="n">
        <f aca="false">IFERROR(O1453/M1453,0)</f>
        <v>0.63806364047655</v>
      </c>
      <c r="Q1453" s="6" t="str">
        <f aca="false">Orders!H1453</f>
        <v>Delivered</v>
      </c>
      <c r="R1453" s="1" t="str">
        <f aca="false">INDEX(Customers!$C$2:$C$301,MATCH(C1453,Customers!$A$2:$A$301,0))</f>
        <v>Chennai</v>
      </c>
      <c r="S1453" s="1" t="str">
        <f aca="false">INDEX(Customers!$E$2:$E$301,MATCH(C1453,Customers!$A$2:$A$301,0))</f>
        <v>Returning</v>
      </c>
      <c r="T1453" s="6" t="str">
        <f aca="false">Orders!I1453</f>
        <v>Marketplace</v>
      </c>
      <c r="U1453" s="1" t="str">
        <f aca="false">IF(Q1453="Delivered","Completed",IF(Q1453="Cancelled","Cancelled",IF(Q1453="Returned","Returned","In Progress")))</f>
        <v>Completed</v>
      </c>
      <c r="V1453" s="1" t="str">
        <f aca="false">IF(M1453&gt;=10000,"High Value",IF(M1453&gt;=5000,"Medium Value","Low Value"))</f>
        <v>Low Value</v>
      </c>
      <c r="W1453" s="1" t="str">
        <f aca="false">IF(O1453&gt;0,"Profitable",IF(O1453=0,"Break-even","Loss"))</f>
        <v>Profitable</v>
      </c>
      <c r="X1453" s="1" t="str">
        <f aca="false">IF(Q1453="Cancelled","Not Applicable",IF(Q1453="Processing","Pending",IF(B1453="","Unknown",IF(Orders!J1453="","Unknown",IF(Orders!J1453&lt;=3,"Fast",IF(Orders!J1453&lt;=6,"Standard","Slow"))))))</f>
        <v>Standard</v>
      </c>
      <c r="Y1453" s="1" t="n">
        <f aca="false">IF(OR(Q1453="Cancelled",Q1453="Returned"),0,O1453)</f>
        <v>211.55</v>
      </c>
    </row>
    <row r="1454" customFormat="false" ht="23.85" hidden="false" customHeight="false" outlineLevel="0" collapsed="false">
      <c r="A1454" s="6" t="str">
        <f aca="false">Orders!A1454</f>
        <v>O001453</v>
      </c>
      <c r="B1454" s="19" t="n">
        <f aca="false">Orders!B1454</f>
        <v>45677</v>
      </c>
      <c r="C1454" s="6" t="str">
        <f aca="false">Orders!C1454</f>
        <v>C0011</v>
      </c>
      <c r="D1454" s="6" t="str">
        <f aca="false">Orders!D1454</f>
        <v>P1002</v>
      </c>
      <c r="E1454" s="6" t="str">
        <f aca="false">INDEX(Products!$B$2:$B$101,MATCH(D1454,Products!$A$2:$A$101,0))</f>
        <v>Bluetooth Speaker</v>
      </c>
      <c r="F1454" s="1" t="str">
        <f aca="false">INDEX(Products!$C$2:$C$101,MATCH(D1454,Products!$A$2:$A$101,0))</f>
        <v>Electronics</v>
      </c>
      <c r="G1454" s="6" t="n">
        <f aca="false">Orders!E1454</f>
        <v>2</v>
      </c>
      <c r="H1454" s="16" t="n">
        <f aca="false">INDEX(Products!$D$2:$D$101,MATCH(D1454,Products!$A$2:$A$101,0))</f>
        <v>1499</v>
      </c>
      <c r="I1454" s="16" t="n">
        <f aca="false">INDEX(Products!$E$2:$E$101,MATCH(D1454,Products!$A$2:$A$101,0))</f>
        <v>850</v>
      </c>
      <c r="J1454" s="20" t="n">
        <f aca="false">Orders!F1454</f>
        <v>0.25</v>
      </c>
      <c r="K1454" s="6" t="n">
        <f aca="false">G1454*H1454</f>
        <v>2998</v>
      </c>
      <c r="L1454" s="6" t="n">
        <f aca="false">K1454*J1454</f>
        <v>749.5</v>
      </c>
      <c r="M1454" s="6" t="n">
        <f aca="false">K1454-L1454</f>
        <v>2248.5</v>
      </c>
      <c r="N1454" s="6" t="n">
        <f aca="false">G1454*I1454</f>
        <v>1700</v>
      </c>
      <c r="O1454" s="6" t="n">
        <f aca="false">M1454-N1454</f>
        <v>548.5</v>
      </c>
      <c r="P1454" s="21" t="n">
        <f aca="false">IFERROR(O1454/M1454,0)</f>
        <v>0.243940404714254</v>
      </c>
      <c r="Q1454" s="6" t="str">
        <f aca="false">Orders!H1454</f>
        <v>Returned</v>
      </c>
      <c r="R1454" s="1" t="str">
        <f aca="false">INDEX(Customers!$C$2:$C$301,MATCH(C1454,Customers!$A$2:$A$301,0))</f>
        <v>Gurugram</v>
      </c>
      <c r="S1454" s="1" t="str">
        <f aca="false">INDEX(Customers!$E$2:$E$301,MATCH(C1454,Customers!$A$2:$A$301,0))</f>
        <v>New</v>
      </c>
      <c r="T1454" s="6" t="str">
        <f aca="false">Orders!I1454</f>
        <v>Mobile App</v>
      </c>
      <c r="U1454" s="1" t="str">
        <f aca="false">IF(Q1454="Delivered","Completed",IF(Q1454="Cancelled","Cancelled",IF(Q1454="Returned","Returned","In Progress")))</f>
        <v>Returned</v>
      </c>
      <c r="V1454" s="1" t="str">
        <f aca="false">IF(M1454&gt;=10000,"High Value",IF(M1454&gt;=5000,"Medium Value","Low Value"))</f>
        <v>Low Value</v>
      </c>
      <c r="W1454" s="1" t="str">
        <f aca="false">IF(O1454&gt;0,"Profitable",IF(O1454=0,"Break-even","Loss"))</f>
        <v>Profitable</v>
      </c>
      <c r="X1454" s="1" t="str">
        <f aca="false">IF(Q1454="Cancelled","Not Applicable",IF(Q1454="Processing","Pending",IF(B1454="","Unknown",IF(Orders!J1454="","Unknown",IF(Orders!J1454&lt;=3,"Fast",IF(Orders!J1454&lt;=6,"Standard","Slow"))))))</f>
        <v>Slow</v>
      </c>
      <c r="Y1454" s="1" t="n">
        <f aca="false">IF(OR(Q1454="Cancelled",Q1454="Returned"),0,O1454)</f>
        <v>0</v>
      </c>
    </row>
    <row r="1455" customFormat="false" ht="15" hidden="false" customHeight="false" outlineLevel="0" collapsed="false">
      <c r="A1455" s="6" t="str">
        <f aca="false">Orders!A1455</f>
        <v>O001454</v>
      </c>
      <c r="B1455" s="19" t="n">
        <f aca="false">Orders!B1455</f>
        <v>45799</v>
      </c>
      <c r="C1455" s="6" t="str">
        <f aca="false">Orders!C1455</f>
        <v>C0281</v>
      </c>
      <c r="D1455" s="6" t="str">
        <f aca="false">Orders!D1455</f>
        <v>P1008</v>
      </c>
      <c r="E1455" s="6" t="str">
        <f aca="false">INDEX(Products!$B$2:$B$101,MATCH(D1455,Products!$A$2:$A$101,0))</f>
        <v>Phone Stand</v>
      </c>
      <c r="F1455" s="1" t="str">
        <f aca="false">INDEX(Products!$C$2:$C$101,MATCH(D1455,Products!$A$2:$A$101,0))</f>
        <v>Electronics</v>
      </c>
      <c r="G1455" s="6" t="n">
        <f aca="false">Orders!E1455</f>
        <v>1</v>
      </c>
      <c r="H1455" s="16" t="n">
        <f aca="false">INDEX(Products!$D$2:$D$101,MATCH(D1455,Products!$A$2:$A$101,0))</f>
        <v>399</v>
      </c>
      <c r="I1455" s="16" t="n">
        <f aca="false">INDEX(Products!$E$2:$E$101,MATCH(D1455,Products!$A$2:$A$101,0))</f>
        <v>150</v>
      </c>
      <c r="J1455" s="20" t="n">
        <f aca="false">Orders!F1455</f>
        <v>0</v>
      </c>
      <c r="K1455" s="6" t="n">
        <f aca="false">G1455*H1455</f>
        <v>399</v>
      </c>
      <c r="L1455" s="6" t="n">
        <f aca="false">K1455*J1455</f>
        <v>0</v>
      </c>
      <c r="M1455" s="6" t="n">
        <f aca="false">K1455-L1455</f>
        <v>399</v>
      </c>
      <c r="N1455" s="6" t="n">
        <f aca="false">G1455*I1455</f>
        <v>150</v>
      </c>
      <c r="O1455" s="6" t="n">
        <f aca="false">M1455-N1455</f>
        <v>249</v>
      </c>
      <c r="P1455" s="21" t="n">
        <f aca="false">IFERROR(O1455/M1455,0)</f>
        <v>0.62406015037594</v>
      </c>
      <c r="Q1455" s="6" t="str">
        <f aca="false">Orders!H1455</f>
        <v>Delivered</v>
      </c>
      <c r="R1455" s="1" t="str">
        <f aca="false">INDEX(Customers!$C$2:$C$301,MATCH(C1455,Customers!$A$2:$A$301,0))</f>
        <v>Delhi</v>
      </c>
      <c r="S1455" s="1" t="str">
        <f aca="false">INDEX(Customers!$E$2:$E$301,MATCH(C1455,Customers!$A$2:$A$301,0))</f>
        <v>VIP</v>
      </c>
      <c r="T1455" s="6" t="str">
        <f aca="false">Orders!I1455</f>
        <v>Website</v>
      </c>
      <c r="U1455" s="1" t="str">
        <f aca="false">IF(Q1455="Delivered","Completed",IF(Q1455="Cancelled","Cancelled",IF(Q1455="Returned","Returned","In Progress")))</f>
        <v>Completed</v>
      </c>
      <c r="V1455" s="1" t="str">
        <f aca="false">IF(M1455&gt;=10000,"High Value",IF(M1455&gt;=5000,"Medium Value","Low Value"))</f>
        <v>Low Value</v>
      </c>
      <c r="W1455" s="1" t="str">
        <f aca="false">IF(O1455&gt;0,"Profitable",IF(O1455=0,"Break-even","Loss"))</f>
        <v>Profitable</v>
      </c>
      <c r="X1455" s="1" t="str">
        <f aca="false">IF(Q1455="Cancelled","Not Applicable",IF(Q1455="Processing","Pending",IF(B1455="","Unknown",IF(Orders!J1455="","Unknown",IF(Orders!J1455&lt;=3,"Fast",IF(Orders!J1455&lt;=6,"Standard","Slow"))))))</f>
        <v>Slow</v>
      </c>
      <c r="Y1455" s="1" t="n">
        <f aca="false">IF(OR(Q1455="Cancelled",Q1455="Returned"),0,O1455)</f>
        <v>249</v>
      </c>
    </row>
    <row r="1456" customFormat="false" ht="15" hidden="false" customHeight="false" outlineLevel="0" collapsed="false">
      <c r="A1456" s="6" t="str">
        <f aca="false">Orders!A1456</f>
        <v>O001455</v>
      </c>
      <c r="B1456" s="19" t="n">
        <f aca="false">Orders!B1456</f>
        <v>45869</v>
      </c>
      <c r="C1456" s="6" t="str">
        <f aca="false">Orders!C1456</f>
        <v>C0040</v>
      </c>
      <c r="D1456" s="6" t="str">
        <f aca="false">Orders!D1456</f>
        <v>P1007</v>
      </c>
      <c r="E1456" s="6" t="str">
        <f aca="false">INDEX(Products!$B$2:$B$101,MATCH(D1456,Products!$A$2:$A$101,0))</f>
        <v>Keyboard</v>
      </c>
      <c r="F1456" s="1" t="str">
        <f aca="false">INDEX(Products!$C$2:$C$101,MATCH(D1456,Products!$A$2:$A$101,0))</f>
        <v>Electronics</v>
      </c>
      <c r="G1456" s="6" t="n">
        <f aca="false">Orders!E1456</f>
        <v>2</v>
      </c>
      <c r="H1456" s="16" t="n">
        <f aca="false">INDEX(Products!$D$2:$D$101,MATCH(D1456,Products!$A$2:$A$101,0))</f>
        <v>999</v>
      </c>
      <c r="I1456" s="16" t="n">
        <f aca="false">INDEX(Products!$E$2:$E$101,MATCH(D1456,Products!$A$2:$A$101,0))</f>
        <v>480</v>
      </c>
      <c r="J1456" s="20" t="n">
        <f aca="false">Orders!F1456</f>
        <v>0</v>
      </c>
      <c r="K1456" s="6" t="n">
        <f aca="false">G1456*H1456</f>
        <v>1998</v>
      </c>
      <c r="L1456" s="6" t="n">
        <f aca="false">K1456*J1456</f>
        <v>0</v>
      </c>
      <c r="M1456" s="6" t="n">
        <f aca="false">K1456-L1456</f>
        <v>1998</v>
      </c>
      <c r="N1456" s="6" t="n">
        <f aca="false">G1456*I1456</f>
        <v>960</v>
      </c>
      <c r="O1456" s="6" t="n">
        <f aca="false">M1456-N1456</f>
        <v>1038</v>
      </c>
      <c r="P1456" s="21" t="n">
        <f aca="false">IFERROR(O1456/M1456,0)</f>
        <v>0.51951951951952</v>
      </c>
      <c r="Q1456" s="6" t="str">
        <f aca="false">Orders!H1456</f>
        <v>Delivered</v>
      </c>
      <c r="R1456" s="1" t="str">
        <f aca="false">INDEX(Customers!$C$2:$C$301,MATCH(C1456,Customers!$A$2:$A$301,0))</f>
        <v>Visakhapatnam</v>
      </c>
      <c r="S1456" s="1" t="str">
        <f aca="false">INDEX(Customers!$E$2:$E$301,MATCH(C1456,Customers!$A$2:$A$301,0))</f>
        <v>Returning</v>
      </c>
      <c r="T1456" s="6" t="str">
        <f aca="false">Orders!I1456</f>
        <v>Website</v>
      </c>
      <c r="U1456" s="1" t="str">
        <f aca="false">IF(Q1456="Delivered","Completed",IF(Q1456="Cancelled","Cancelled",IF(Q1456="Returned","Returned","In Progress")))</f>
        <v>Completed</v>
      </c>
      <c r="V1456" s="1" t="str">
        <f aca="false">IF(M1456&gt;=10000,"High Value",IF(M1456&gt;=5000,"Medium Value","Low Value"))</f>
        <v>Low Value</v>
      </c>
      <c r="W1456" s="1" t="str">
        <f aca="false">IF(O1456&gt;0,"Profitable",IF(O1456=0,"Break-even","Loss"))</f>
        <v>Profitable</v>
      </c>
      <c r="X1456" s="1" t="str">
        <f aca="false">IF(Q1456="Cancelled","Not Applicable",IF(Q1456="Processing","Pending",IF(B1456="","Unknown",IF(Orders!J1456="","Unknown",IF(Orders!J1456&lt;=3,"Fast",IF(Orders!J1456&lt;=6,"Standard","Slow"))))))</f>
        <v>Standard</v>
      </c>
      <c r="Y1456" s="1" t="n">
        <f aca="false">IF(OR(Q1456="Cancelled",Q1456="Returned"),0,O1456)</f>
        <v>1038</v>
      </c>
    </row>
    <row r="1457" customFormat="false" ht="15" hidden="false" customHeight="false" outlineLevel="0" collapsed="false">
      <c r="A1457" s="6" t="str">
        <f aca="false">Orders!A1457</f>
        <v>O001456</v>
      </c>
      <c r="B1457" s="19" t="n">
        <f aca="false">Orders!B1457</f>
        <v>45959</v>
      </c>
      <c r="C1457" s="6" t="str">
        <f aca="false">Orders!C1457</f>
        <v>C0043</v>
      </c>
      <c r="D1457" s="6" t="str">
        <f aca="false">Orders!D1457</f>
        <v>P1100</v>
      </c>
      <c r="E1457" s="6" t="str">
        <f aca="false">INDEX(Products!$B$2:$B$101,MATCH(D1457,Products!$A$2:$A$101,0))</f>
        <v>Coffee Maker</v>
      </c>
      <c r="F1457" s="1" t="str">
        <f aca="false">INDEX(Products!$C$2:$C$101,MATCH(D1457,Products!$A$2:$A$101,0))</f>
        <v>Appliances</v>
      </c>
      <c r="G1457" s="6" t="n">
        <f aca="false">Orders!E1457</f>
        <v>2</v>
      </c>
      <c r="H1457" s="16" t="n">
        <f aca="false">INDEX(Products!$D$2:$D$101,MATCH(D1457,Products!$A$2:$A$101,0))</f>
        <v>2499</v>
      </c>
      <c r="I1457" s="16" t="n">
        <f aca="false">INDEX(Products!$E$2:$E$101,MATCH(D1457,Products!$A$2:$A$101,0))</f>
        <v>1600</v>
      </c>
      <c r="J1457" s="20" t="n">
        <f aca="false">Orders!F1457</f>
        <v>0</v>
      </c>
      <c r="K1457" s="6" t="n">
        <f aca="false">G1457*H1457</f>
        <v>4998</v>
      </c>
      <c r="L1457" s="6" t="n">
        <f aca="false">K1457*J1457</f>
        <v>0</v>
      </c>
      <c r="M1457" s="6" t="n">
        <f aca="false">K1457-L1457</f>
        <v>4998</v>
      </c>
      <c r="N1457" s="6" t="n">
        <f aca="false">G1457*I1457</f>
        <v>3200</v>
      </c>
      <c r="O1457" s="6" t="n">
        <f aca="false">M1457-N1457</f>
        <v>1798</v>
      </c>
      <c r="P1457" s="21" t="n">
        <f aca="false">IFERROR(O1457/M1457,0)</f>
        <v>0.359743897559024</v>
      </c>
      <c r="Q1457" s="6" t="str">
        <f aca="false">Orders!H1457</f>
        <v>Delivered</v>
      </c>
      <c r="R1457" s="1" t="str">
        <f aca="false">INDEX(Customers!$C$2:$C$301,MATCH(C1457,Customers!$A$2:$A$301,0))</f>
        <v>Bengaluru</v>
      </c>
      <c r="S1457" s="1" t="str">
        <f aca="false">INDEX(Customers!$E$2:$E$301,MATCH(C1457,Customers!$A$2:$A$301,0))</f>
        <v>New</v>
      </c>
      <c r="T1457" s="6" t="str">
        <f aca="false">Orders!I1457</f>
        <v>Mobile App</v>
      </c>
      <c r="U1457" s="1" t="str">
        <f aca="false">IF(Q1457="Delivered","Completed",IF(Q1457="Cancelled","Cancelled",IF(Q1457="Returned","Returned","In Progress")))</f>
        <v>Completed</v>
      </c>
      <c r="V1457" s="1" t="str">
        <f aca="false">IF(M1457&gt;=10000,"High Value",IF(M1457&gt;=5000,"Medium Value","Low Value"))</f>
        <v>Low Value</v>
      </c>
      <c r="W1457" s="1" t="str">
        <f aca="false">IF(O1457&gt;0,"Profitable",IF(O1457=0,"Break-even","Loss"))</f>
        <v>Profitable</v>
      </c>
      <c r="X1457" s="1" t="str">
        <f aca="false">IF(Q1457="Cancelled","Not Applicable",IF(Q1457="Processing","Pending",IF(B1457="","Unknown",IF(Orders!J1457="","Unknown",IF(Orders!J1457&lt;=3,"Fast",IF(Orders!J1457&lt;=6,"Standard","Slow"))))))</f>
        <v>Fast</v>
      </c>
      <c r="Y1457" s="1" t="n">
        <f aca="false">IF(OR(Q1457="Cancelled",Q1457="Returned"),0,O1457)</f>
        <v>1798</v>
      </c>
    </row>
    <row r="1458" customFormat="false" ht="15" hidden="false" customHeight="false" outlineLevel="0" collapsed="false">
      <c r="A1458" s="6" t="str">
        <f aca="false">Orders!A1458</f>
        <v>O001457</v>
      </c>
      <c r="B1458" s="19" t="n">
        <f aca="false">Orders!B1458</f>
        <v>45974</v>
      </c>
      <c r="C1458" s="6" t="str">
        <f aca="false">Orders!C1458</f>
        <v>C0157</v>
      </c>
      <c r="D1458" s="6" t="str">
        <f aca="false">Orders!D1458</f>
        <v>P1091</v>
      </c>
      <c r="E1458" s="6" t="str">
        <f aca="false">INDEX(Products!$B$2:$B$101,MATCH(D1458,Products!$A$2:$A$101,0))</f>
        <v>Rice Cooker</v>
      </c>
      <c r="F1458" s="1" t="str">
        <f aca="false">INDEX(Products!$C$2:$C$101,MATCH(D1458,Products!$A$2:$A$101,0))</f>
        <v>Appliances</v>
      </c>
      <c r="G1458" s="6" t="n">
        <f aca="false">Orders!E1458</f>
        <v>1</v>
      </c>
      <c r="H1458" s="16" t="n">
        <f aca="false">INDEX(Products!$D$2:$D$101,MATCH(D1458,Products!$A$2:$A$101,0))</f>
        <v>1999</v>
      </c>
      <c r="I1458" s="16" t="n">
        <f aca="false">INDEX(Products!$E$2:$E$101,MATCH(D1458,Products!$A$2:$A$101,0))</f>
        <v>1200</v>
      </c>
      <c r="J1458" s="20" t="n">
        <f aca="false">Orders!F1458</f>
        <v>0.1</v>
      </c>
      <c r="K1458" s="6" t="n">
        <f aca="false">G1458*H1458</f>
        <v>1999</v>
      </c>
      <c r="L1458" s="6" t="n">
        <f aca="false">K1458*J1458</f>
        <v>199.9</v>
      </c>
      <c r="M1458" s="6" t="n">
        <f aca="false">K1458-L1458</f>
        <v>1799.1</v>
      </c>
      <c r="N1458" s="6" t="n">
        <f aca="false">G1458*I1458</f>
        <v>1200</v>
      </c>
      <c r="O1458" s="6" t="n">
        <f aca="false">M1458-N1458</f>
        <v>599.1</v>
      </c>
      <c r="P1458" s="21" t="n">
        <f aca="false">IFERROR(O1458/M1458,0)</f>
        <v>0.332999833249958</v>
      </c>
      <c r="Q1458" s="6" t="str">
        <f aca="false">Orders!H1458</f>
        <v>Delivered</v>
      </c>
      <c r="R1458" s="1" t="str">
        <f aca="false">INDEX(Customers!$C$2:$C$301,MATCH(C1458,Customers!$A$2:$A$301,0))</f>
        <v>Surat</v>
      </c>
      <c r="S1458" s="1" t="str">
        <f aca="false">INDEX(Customers!$E$2:$E$301,MATCH(C1458,Customers!$A$2:$A$301,0))</f>
        <v>VIP</v>
      </c>
      <c r="T1458" s="6" t="str">
        <f aca="false">Orders!I1458</f>
        <v>Mobile App</v>
      </c>
      <c r="U1458" s="1" t="str">
        <f aca="false">IF(Q1458="Delivered","Completed",IF(Q1458="Cancelled","Cancelled",IF(Q1458="Returned","Returned","In Progress")))</f>
        <v>Completed</v>
      </c>
      <c r="V1458" s="1" t="str">
        <f aca="false">IF(M1458&gt;=10000,"High Value",IF(M1458&gt;=5000,"Medium Value","Low Value"))</f>
        <v>Low Value</v>
      </c>
      <c r="W1458" s="1" t="str">
        <f aca="false">IF(O1458&gt;0,"Profitable",IF(O1458=0,"Break-even","Loss"))</f>
        <v>Profitable</v>
      </c>
      <c r="X1458" s="1" t="str">
        <f aca="false">IF(Q1458="Cancelled","Not Applicable",IF(Q1458="Processing","Pending",IF(B1458="","Unknown",IF(Orders!J1458="","Unknown",IF(Orders!J1458&lt;=3,"Fast",IF(Orders!J1458&lt;=6,"Standard","Slow"))))))</f>
        <v>Fast</v>
      </c>
      <c r="Y1458" s="1" t="n">
        <f aca="false">IF(OR(Q1458="Cancelled",Q1458="Returned"),0,O1458)</f>
        <v>599.1</v>
      </c>
    </row>
    <row r="1459" customFormat="false" ht="15" hidden="false" customHeight="false" outlineLevel="0" collapsed="false">
      <c r="A1459" s="6" t="str">
        <f aca="false">Orders!A1459</f>
        <v>O001458</v>
      </c>
      <c r="B1459" s="19" t="n">
        <f aca="false">Orders!B1459</f>
        <v>45843</v>
      </c>
      <c r="C1459" s="6" t="str">
        <f aca="false">Orders!C1459</f>
        <v>C0146</v>
      </c>
      <c r="D1459" s="6" t="str">
        <f aca="false">Orders!D1459</f>
        <v>P1097</v>
      </c>
      <c r="E1459" s="6" t="str">
        <f aca="false">INDEX(Products!$B$2:$B$101,MATCH(D1459,Products!$A$2:$A$101,0))</f>
        <v>Vacuum Cleaner</v>
      </c>
      <c r="F1459" s="1" t="str">
        <f aca="false">INDEX(Products!$C$2:$C$101,MATCH(D1459,Products!$A$2:$A$101,0))</f>
        <v>Appliances</v>
      </c>
      <c r="G1459" s="6" t="n">
        <f aca="false">Orders!E1459</f>
        <v>1</v>
      </c>
      <c r="H1459" s="16" t="n">
        <f aca="false">INDEX(Products!$D$2:$D$101,MATCH(D1459,Products!$A$2:$A$101,0))</f>
        <v>3499</v>
      </c>
      <c r="I1459" s="16" t="n">
        <f aca="false">INDEX(Products!$E$2:$E$101,MATCH(D1459,Products!$A$2:$A$101,0))</f>
        <v>2400</v>
      </c>
      <c r="J1459" s="20" t="n">
        <f aca="false">Orders!F1459</f>
        <v>0.25</v>
      </c>
      <c r="K1459" s="6" t="n">
        <f aca="false">G1459*H1459</f>
        <v>3499</v>
      </c>
      <c r="L1459" s="6" t="n">
        <f aca="false">K1459*J1459</f>
        <v>874.75</v>
      </c>
      <c r="M1459" s="6" t="n">
        <f aca="false">K1459-L1459</f>
        <v>2624.25</v>
      </c>
      <c r="N1459" s="6" t="n">
        <f aca="false">G1459*I1459</f>
        <v>2400</v>
      </c>
      <c r="O1459" s="6" t="n">
        <f aca="false">M1459-N1459</f>
        <v>224.25</v>
      </c>
      <c r="P1459" s="21" t="n">
        <f aca="false">IFERROR(O1459/M1459,0)</f>
        <v>0.0854529865675908</v>
      </c>
      <c r="Q1459" s="6" t="str">
        <f aca="false">Orders!H1459</f>
        <v>Delivered</v>
      </c>
      <c r="R1459" s="1" t="str">
        <f aca="false">INDEX(Customers!$C$2:$C$301,MATCH(C1459,Customers!$A$2:$A$301,0))</f>
        <v>Kolkata</v>
      </c>
      <c r="S1459" s="1" t="str">
        <f aca="false">INDEX(Customers!$E$2:$E$301,MATCH(C1459,Customers!$A$2:$A$301,0))</f>
        <v>New</v>
      </c>
      <c r="T1459" s="6" t="str">
        <f aca="false">Orders!I1459</f>
        <v>Mobile App</v>
      </c>
      <c r="U1459" s="1" t="str">
        <f aca="false">IF(Q1459="Delivered","Completed",IF(Q1459="Cancelled","Cancelled",IF(Q1459="Returned","Returned","In Progress")))</f>
        <v>Completed</v>
      </c>
      <c r="V1459" s="1" t="str">
        <f aca="false">IF(M1459&gt;=10000,"High Value",IF(M1459&gt;=5000,"Medium Value","Low Value"))</f>
        <v>Low Value</v>
      </c>
      <c r="W1459" s="1" t="str">
        <f aca="false">IF(O1459&gt;0,"Profitable",IF(O1459=0,"Break-even","Loss"))</f>
        <v>Profitable</v>
      </c>
      <c r="X1459" s="1" t="str">
        <f aca="false">IF(Q1459="Cancelled","Not Applicable",IF(Q1459="Processing","Pending",IF(B1459="","Unknown",IF(Orders!J1459="","Unknown",IF(Orders!J1459&lt;=3,"Fast",IF(Orders!J1459&lt;=6,"Standard","Slow"))))))</f>
        <v>Slow</v>
      </c>
      <c r="Y1459" s="1" t="n">
        <f aca="false">IF(OR(Q1459="Cancelled",Q1459="Returned"),0,O1459)</f>
        <v>224.25</v>
      </c>
    </row>
    <row r="1460" customFormat="false" ht="23.85" hidden="false" customHeight="false" outlineLevel="0" collapsed="false">
      <c r="A1460" s="6" t="str">
        <f aca="false">Orders!A1460</f>
        <v>O001459</v>
      </c>
      <c r="B1460" s="19" t="n">
        <f aca="false">Orders!B1460</f>
        <v>45971</v>
      </c>
      <c r="C1460" s="6" t="str">
        <f aca="false">Orders!C1460</f>
        <v>C0262</v>
      </c>
      <c r="D1460" s="6" t="str">
        <f aca="false">Orders!D1460</f>
        <v>P1065</v>
      </c>
      <c r="E1460" s="6" t="str">
        <f aca="false">INDEX(Products!$B$2:$B$101,MATCH(D1460,Products!$A$2:$A$101,0))</f>
        <v>Badminton Racket</v>
      </c>
      <c r="F1460" s="1" t="str">
        <f aca="false">INDEX(Products!$C$2:$C$101,MATCH(D1460,Products!$A$2:$A$101,0))</f>
        <v>Sports &amp; Outdoors</v>
      </c>
      <c r="G1460" s="6" t="n">
        <f aca="false">Orders!E1460</f>
        <v>2</v>
      </c>
      <c r="H1460" s="16" t="n">
        <f aca="false">INDEX(Products!$D$2:$D$101,MATCH(D1460,Products!$A$2:$A$101,0))</f>
        <v>999</v>
      </c>
      <c r="I1460" s="16" t="n">
        <f aca="false">INDEX(Products!$E$2:$E$101,MATCH(D1460,Products!$A$2:$A$101,0))</f>
        <v>520</v>
      </c>
      <c r="J1460" s="20" t="n">
        <f aca="false">Orders!F1460</f>
        <v>0.1</v>
      </c>
      <c r="K1460" s="6" t="n">
        <f aca="false">G1460*H1460</f>
        <v>1998</v>
      </c>
      <c r="L1460" s="6" t="n">
        <f aca="false">K1460*J1460</f>
        <v>199.8</v>
      </c>
      <c r="M1460" s="6" t="n">
        <f aca="false">K1460-L1460</f>
        <v>1798.2</v>
      </c>
      <c r="N1460" s="6" t="n">
        <f aca="false">G1460*I1460</f>
        <v>1040</v>
      </c>
      <c r="O1460" s="6" t="n">
        <f aca="false">M1460-N1460</f>
        <v>758.2</v>
      </c>
      <c r="P1460" s="21" t="n">
        <f aca="false">IFERROR(O1460/M1460,0)</f>
        <v>0.421643866088311</v>
      </c>
      <c r="Q1460" s="6" t="str">
        <f aca="false">Orders!H1460</f>
        <v>Shipped</v>
      </c>
      <c r="R1460" s="1" t="str">
        <f aca="false">INDEX(Customers!$C$2:$C$301,MATCH(C1460,Customers!$A$2:$A$301,0))</f>
        <v>Mumbai</v>
      </c>
      <c r="S1460" s="1" t="str">
        <f aca="false">INDEX(Customers!$E$2:$E$301,MATCH(C1460,Customers!$A$2:$A$301,0))</f>
        <v>Returning</v>
      </c>
      <c r="T1460" s="6" t="str">
        <f aca="false">Orders!I1460</f>
        <v>Website</v>
      </c>
      <c r="U1460" s="1" t="str">
        <f aca="false">IF(Q1460="Delivered","Completed",IF(Q1460="Cancelled","Cancelled",IF(Q1460="Returned","Returned","In Progress")))</f>
        <v>In Progress</v>
      </c>
      <c r="V1460" s="1" t="str">
        <f aca="false">IF(M1460&gt;=10000,"High Value",IF(M1460&gt;=5000,"Medium Value","Low Value"))</f>
        <v>Low Value</v>
      </c>
      <c r="W1460" s="1" t="str">
        <f aca="false">IF(O1460&gt;0,"Profitable",IF(O1460=0,"Break-even","Loss"))</f>
        <v>Profitable</v>
      </c>
      <c r="X1460" s="1" t="str">
        <f aca="false">IF(Q1460="Cancelled","Not Applicable",IF(Q1460="Processing","Pending",IF(B1460="","Unknown",IF(Orders!J1460="","Unknown",IF(Orders!J1460&lt;=3,"Fast",IF(Orders!J1460&lt;=6,"Standard","Slow"))))))</f>
        <v>Standard</v>
      </c>
      <c r="Y1460" s="1" t="n">
        <f aca="false">IF(OR(Q1460="Cancelled",Q1460="Returned"),0,O1460)</f>
        <v>758.2</v>
      </c>
    </row>
    <row r="1461" customFormat="false" ht="15" hidden="false" customHeight="false" outlineLevel="0" collapsed="false">
      <c r="A1461" s="6" t="str">
        <f aca="false">Orders!A1461</f>
        <v>O001460</v>
      </c>
      <c r="B1461" s="19" t="n">
        <f aca="false">Orders!B1461</f>
        <v>45718</v>
      </c>
      <c r="C1461" s="6" t="str">
        <f aca="false">Orders!C1461</f>
        <v>C0158</v>
      </c>
      <c r="D1461" s="6" t="str">
        <f aca="false">Orders!D1461</f>
        <v>P1080</v>
      </c>
      <c r="E1461" s="6" t="str">
        <f aca="false">INDEX(Products!$B$2:$B$101,MATCH(D1461,Products!$A$2:$A$101,0))</f>
        <v>Calculator</v>
      </c>
      <c r="F1461" s="1" t="str">
        <f aca="false">INDEX(Products!$C$2:$C$101,MATCH(D1461,Products!$A$2:$A$101,0))</f>
        <v>Books &amp; Stationery</v>
      </c>
      <c r="G1461" s="6" t="n">
        <f aca="false">Orders!E1461</f>
        <v>4</v>
      </c>
      <c r="H1461" s="16" t="n">
        <f aca="false">INDEX(Products!$D$2:$D$101,MATCH(D1461,Products!$A$2:$A$101,0))</f>
        <v>599</v>
      </c>
      <c r="I1461" s="16" t="n">
        <f aca="false">INDEX(Products!$E$2:$E$101,MATCH(D1461,Products!$A$2:$A$101,0))</f>
        <v>300</v>
      </c>
      <c r="J1461" s="20" t="n">
        <f aca="false">Orders!F1461</f>
        <v>0.2</v>
      </c>
      <c r="K1461" s="6" t="n">
        <f aca="false">G1461*H1461</f>
        <v>2396</v>
      </c>
      <c r="L1461" s="6" t="n">
        <f aca="false">K1461*J1461</f>
        <v>479.2</v>
      </c>
      <c r="M1461" s="6" t="n">
        <f aca="false">K1461-L1461</f>
        <v>1916.8</v>
      </c>
      <c r="N1461" s="6" t="n">
        <f aca="false">G1461*I1461</f>
        <v>1200</v>
      </c>
      <c r="O1461" s="6" t="n">
        <f aca="false">M1461-N1461</f>
        <v>716.8</v>
      </c>
      <c r="P1461" s="21" t="n">
        <f aca="false">IFERROR(O1461/M1461,0)</f>
        <v>0.373956594323873</v>
      </c>
      <c r="Q1461" s="6" t="str">
        <f aca="false">Orders!H1461</f>
        <v>Delivered</v>
      </c>
      <c r="R1461" s="1" t="str">
        <f aca="false">INDEX(Customers!$C$2:$C$301,MATCH(C1461,Customers!$A$2:$A$301,0))</f>
        <v>Nagpur</v>
      </c>
      <c r="S1461" s="1" t="str">
        <f aca="false">INDEX(Customers!$E$2:$E$301,MATCH(C1461,Customers!$A$2:$A$301,0))</f>
        <v>Returning</v>
      </c>
      <c r="T1461" s="6" t="str">
        <f aca="false">Orders!I1461</f>
        <v>Marketplace</v>
      </c>
      <c r="U1461" s="1" t="str">
        <f aca="false">IF(Q1461="Delivered","Completed",IF(Q1461="Cancelled","Cancelled",IF(Q1461="Returned","Returned","In Progress")))</f>
        <v>Completed</v>
      </c>
      <c r="V1461" s="1" t="str">
        <f aca="false">IF(M1461&gt;=10000,"High Value",IF(M1461&gt;=5000,"Medium Value","Low Value"))</f>
        <v>Low Value</v>
      </c>
      <c r="W1461" s="1" t="str">
        <f aca="false">IF(O1461&gt;0,"Profitable",IF(O1461=0,"Break-even","Loss"))</f>
        <v>Profitable</v>
      </c>
      <c r="X1461" s="1" t="str">
        <f aca="false">IF(Q1461="Cancelled","Not Applicable",IF(Q1461="Processing","Pending",IF(B1461="","Unknown",IF(Orders!J1461="","Unknown",IF(Orders!J1461&lt;=3,"Fast",IF(Orders!J1461&lt;=6,"Standard","Slow"))))))</f>
        <v>Fast</v>
      </c>
      <c r="Y1461" s="1" t="n">
        <f aca="false">IF(OR(Q1461="Cancelled",Q1461="Returned"),0,O1461)</f>
        <v>716.8</v>
      </c>
    </row>
    <row r="1462" customFormat="false" ht="15" hidden="false" customHeight="false" outlineLevel="0" collapsed="false">
      <c r="A1462" s="6" t="str">
        <f aca="false">Orders!A1462</f>
        <v>O001461</v>
      </c>
      <c r="B1462" s="19" t="n">
        <f aca="false">Orders!B1462</f>
        <v>45709</v>
      </c>
      <c r="C1462" s="6" t="str">
        <f aca="false">Orders!C1462</f>
        <v>C0070</v>
      </c>
      <c r="D1462" s="6" t="str">
        <f aca="false">Orders!D1462</f>
        <v>P1091</v>
      </c>
      <c r="E1462" s="6" t="str">
        <f aca="false">INDEX(Products!$B$2:$B$101,MATCH(D1462,Products!$A$2:$A$101,0))</f>
        <v>Rice Cooker</v>
      </c>
      <c r="F1462" s="1" t="str">
        <f aca="false">INDEX(Products!$C$2:$C$101,MATCH(D1462,Products!$A$2:$A$101,0))</f>
        <v>Appliances</v>
      </c>
      <c r="G1462" s="6" t="n">
        <f aca="false">Orders!E1462</f>
        <v>1</v>
      </c>
      <c r="H1462" s="16" t="n">
        <f aca="false">INDEX(Products!$D$2:$D$101,MATCH(D1462,Products!$A$2:$A$101,0))</f>
        <v>1999</v>
      </c>
      <c r="I1462" s="16" t="n">
        <f aca="false">INDEX(Products!$E$2:$E$101,MATCH(D1462,Products!$A$2:$A$101,0))</f>
        <v>1200</v>
      </c>
      <c r="J1462" s="20" t="n">
        <f aca="false">Orders!F1462</f>
        <v>0.25</v>
      </c>
      <c r="K1462" s="6" t="n">
        <f aca="false">G1462*H1462</f>
        <v>1999</v>
      </c>
      <c r="L1462" s="6" t="n">
        <f aca="false">K1462*J1462</f>
        <v>499.75</v>
      </c>
      <c r="M1462" s="6" t="n">
        <f aca="false">K1462-L1462</f>
        <v>1499.25</v>
      </c>
      <c r="N1462" s="6" t="n">
        <f aca="false">G1462*I1462</f>
        <v>1200</v>
      </c>
      <c r="O1462" s="6" t="n">
        <f aca="false">M1462-N1462</f>
        <v>299.25</v>
      </c>
      <c r="P1462" s="21" t="n">
        <f aca="false">IFERROR(O1462/M1462,0)</f>
        <v>0.19959979989995</v>
      </c>
      <c r="Q1462" s="6" t="str">
        <f aca="false">Orders!H1462</f>
        <v>Delivered</v>
      </c>
      <c r="R1462" s="1" t="str">
        <f aca="false">INDEX(Customers!$C$2:$C$301,MATCH(C1462,Customers!$A$2:$A$301,0))</f>
        <v>Lucknow</v>
      </c>
      <c r="S1462" s="1" t="str">
        <f aca="false">INDEX(Customers!$E$2:$E$301,MATCH(C1462,Customers!$A$2:$A$301,0))</f>
        <v>Returning</v>
      </c>
      <c r="T1462" s="6" t="str">
        <f aca="false">Orders!I1462</f>
        <v>Mobile App</v>
      </c>
      <c r="U1462" s="1" t="str">
        <f aca="false">IF(Q1462="Delivered","Completed",IF(Q1462="Cancelled","Cancelled",IF(Q1462="Returned","Returned","In Progress")))</f>
        <v>Completed</v>
      </c>
      <c r="V1462" s="1" t="str">
        <f aca="false">IF(M1462&gt;=10000,"High Value",IF(M1462&gt;=5000,"Medium Value","Low Value"))</f>
        <v>Low Value</v>
      </c>
      <c r="W1462" s="1" t="str">
        <f aca="false">IF(O1462&gt;0,"Profitable",IF(O1462=0,"Break-even","Loss"))</f>
        <v>Profitable</v>
      </c>
      <c r="X1462" s="1" t="str">
        <f aca="false">IF(Q1462="Cancelled","Not Applicable",IF(Q1462="Processing","Pending",IF(B1462="","Unknown",IF(Orders!J1462="","Unknown",IF(Orders!J1462&lt;=3,"Fast",IF(Orders!J1462&lt;=6,"Standard","Slow"))))))</f>
        <v>Fast</v>
      </c>
      <c r="Y1462" s="1" t="n">
        <f aca="false">IF(OR(Q1462="Cancelled",Q1462="Returned"),0,O1462)</f>
        <v>299.25</v>
      </c>
    </row>
    <row r="1463" customFormat="false" ht="15" hidden="false" customHeight="false" outlineLevel="0" collapsed="false">
      <c r="A1463" s="6" t="str">
        <f aca="false">Orders!A1463</f>
        <v>O001462</v>
      </c>
      <c r="B1463" s="19" t="n">
        <f aca="false">Orders!B1463</f>
        <v>45811</v>
      </c>
      <c r="C1463" s="6" t="str">
        <f aca="false">Orders!C1463</f>
        <v>C0099</v>
      </c>
      <c r="D1463" s="6" t="str">
        <f aca="false">Orders!D1463</f>
        <v>P1013</v>
      </c>
      <c r="E1463" s="6" t="str">
        <f aca="false">INDEX(Products!$B$2:$B$101,MATCH(D1463,Products!$A$2:$A$101,0))</f>
        <v>Memory Card</v>
      </c>
      <c r="F1463" s="1" t="str">
        <f aca="false">INDEX(Products!$C$2:$C$101,MATCH(D1463,Products!$A$2:$A$101,0))</f>
        <v>Electronics</v>
      </c>
      <c r="G1463" s="6" t="n">
        <f aca="false">Orders!E1463</f>
        <v>1</v>
      </c>
      <c r="H1463" s="16" t="n">
        <f aca="false">INDEX(Products!$D$2:$D$101,MATCH(D1463,Products!$A$2:$A$101,0))</f>
        <v>699</v>
      </c>
      <c r="I1463" s="16" t="n">
        <f aca="false">INDEX(Products!$E$2:$E$101,MATCH(D1463,Products!$A$2:$A$101,0))</f>
        <v>400</v>
      </c>
      <c r="J1463" s="20" t="n">
        <f aca="false">Orders!F1463</f>
        <v>0.2</v>
      </c>
      <c r="K1463" s="6" t="n">
        <f aca="false">G1463*H1463</f>
        <v>699</v>
      </c>
      <c r="L1463" s="6" t="n">
        <f aca="false">K1463*J1463</f>
        <v>139.8</v>
      </c>
      <c r="M1463" s="6" t="n">
        <f aca="false">K1463-L1463</f>
        <v>559.2</v>
      </c>
      <c r="N1463" s="6" t="n">
        <f aca="false">G1463*I1463</f>
        <v>400</v>
      </c>
      <c r="O1463" s="6" t="n">
        <f aca="false">M1463-N1463</f>
        <v>159.2</v>
      </c>
      <c r="P1463" s="21" t="n">
        <f aca="false">IFERROR(O1463/M1463,0)</f>
        <v>0.284692417739628</v>
      </c>
      <c r="Q1463" s="6" t="str">
        <f aca="false">Orders!H1463</f>
        <v>Delivered</v>
      </c>
      <c r="R1463" s="1" t="str">
        <f aca="false">INDEX(Customers!$C$2:$C$301,MATCH(C1463,Customers!$A$2:$A$301,0))</f>
        <v>Coimbatore</v>
      </c>
      <c r="S1463" s="1" t="str">
        <f aca="false">INDEX(Customers!$E$2:$E$301,MATCH(C1463,Customers!$A$2:$A$301,0))</f>
        <v>VIP</v>
      </c>
      <c r="T1463" s="6" t="str">
        <f aca="false">Orders!I1463</f>
        <v>Mobile App</v>
      </c>
      <c r="U1463" s="1" t="str">
        <f aca="false">IF(Q1463="Delivered","Completed",IF(Q1463="Cancelled","Cancelled",IF(Q1463="Returned","Returned","In Progress")))</f>
        <v>Completed</v>
      </c>
      <c r="V1463" s="1" t="str">
        <f aca="false">IF(M1463&gt;=10000,"High Value",IF(M1463&gt;=5000,"Medium Value","Low Value"))</f>
        <v>Low Value</v>
      </c>
      <c r="W1463" s="1" t="str">
        <f aca="false">IF(O1463&gt;0,"Profitable",IF(O1463=0,"Break-even","Loss"))</f>
        <v>Profitable</v>
      </c>
      <c r="X1463" s="1" t="str">
        <f aca="false">IF(Q1463="Cancelled","Not Applicable",IF(Q1463="Processing","Pending",IF(B1463="","Unknown",IF(Orders!J1463="","Unknown",IF(Orders!J1463&lt;=3,"Fast",IF(Orders!J1463&lt;=6,"Standard","Slow"))))))</f>
        <v>Standard</v>
      </c>
      <c r="Y1463" s="1" t="n">
        <f aca="false">IF(OR(Q1463="Cancelled",Q1463="Returned"),0,O1463)</f>
        <v>159.2</v>
      </c>
    </row>
    <row r="1464" customFormat="false" ht="15" hidden="false" customHeight="false" outlineLevel="0" collapsed="false">
      <c r="A1464" s="6" t="str">
        <f aca="false">Orders!A1464</f>
        <v>O001463</v>
      </c>
      <c r="B1464" s="19" t="n">
        <f aca="false">Orders!B1464</f>
        <v>45798</v>
      </c>
      <c r="C1464" s="6" t="str">
        <f aca="false">Orders!C1464</f>
        <v>C0280</v>
      </c>
      <c r="D1464" s="6" t="str">
        <f aca="false">Orders!D1464</f>
        <v>P1068</v>
      </c>
      <c r="E1464" s="6" t="str">
        <f aca="false">INDEX(Products!$B$2:$B$101,MATCH(D1464,Products!$A$2:$A$101,0))</f>
        <v>Cycling Bottle</v>
      </c>
      <c r="F1464" s="1" t="str">
        <f aca="false">INDEX(Products!$C$2:$C$101,MATCH(D1464,Products!$A$2:$A$101,0))</f>
        <v>Sports &amp; Outdoors</v>
      </c>
      <c r="G1464" s="6" t="n">
        <f aca="false">Orders!E1464</f>
        <v>1</v>
      </c>
      <c r="H1464" s="16" t="n">
        <f aca="false">INDEX(Products!$D$2:$D$101,MATCH(D1464,Products!$A$2:$A$101,0))</f>
        <v>349</v>
      </c>
      <c r="I1464" s="16" t="n">
        <f aca="false">INDEX(Products!$E$2:$E$101,MATCH(D1464,Products!$A$2:$A$101,0))</f>
        <v>120</v>
      </c>
      <c r="J1464" s="20" t="n">
        <f aca="false">Orders!F1464</f>
        <v>0</v>
      </c>
      <c r="K1464" s="6" t="n">
        <f aca="false">G1464*H1464</f>
        <v>349</v>
      </c>
      <c r="L1464" s="6" t="n">
        <f aca="false">K1464*J1464</f>
        <v>0</v>
      </c>
      <c r="M1464" s="6" t="n">
        <f aca="false">K1464-L1464</f>
        <v>349</v>
      </c>
      <c r="N1464" s="6" t="n">
        <f aca="false">G1464*I1464</f>
        <v>120</v>
      </c>
      <c r="O1464" s="6" t="n">
        <f aca="false">M1464-N1464</f>
        <v>229</v>
      </c>
      <c r="P1464" s="21" t="n">
        <f aca="false">IFERROR(O1464/M1464,0)</f>
        <v>0.656160458452722</v>
      </c>
      <c r="Q1464" s="6" t="str">
        <f aca="false">Orders!H1464</f>
        <v>Delivered</v>
      </c>
      <c r="R1464" s="1" t="str">
        <f aca="false">INDEX(Customers!$C$2:$C$301,MATCH(C1464,Customers!$A$2:$A$301,0))</f>
        <v>Visakhapatnam</v>
      </c>
      <c r="S1464" s="1" t="str">
        <f aca="false">INDEX(Customers!$E$2:$E$301,MATCH(C1464,Customers!$A$2:$A$301,0))</f>
        <v>New</v>
      </c>
      <c r="T1464" s="6" t="str">
        <f aca="false">Orders!I1464</f>
        <v>Mobile App</v>
      </c>
      <c r="U1464" s="1" t="str">
        <f aca="false">IF(Q1464="Delivered","Completed",IF(Q1464="Cancelled","Cancelled",IF(Q1464="Returned","Returned","In Progress")))</f>
        <v>Completed</v>
      </c>
      <c r="V1464" s="1" t="str">
        <f aca="false">IF(M1464&gt;=10000,"High Value",IF(M1464&gt;=5000,"Medium Value","Low Value"))</f>
        <v>Low Value</v>
      </c>
      <c r="W1464" s="1" t="str">
        <f aca="false">IF(O1464&gt;0,"Profitable",IF(O1464=0,"Break-even","Loss"))</f>
        <v>Profitable</v>
      </c>
      <c r="X1464" s="1" t="str">
        <f aca="false">IF(Q1464="Cancelled","Not Applicable",IF(Q1464="Processing","Pending",IF(B1464="","Unknown",IF(Orders!J1464="","Unknown",IF(Orders!J1464&lt;=3,"Fast",IF(Orders!J1464&lt;=6,"Standard","Slow"))))))</f>
        <v>Standard</v>
      </c>
      <c r="Y1464" s="1" t="n">
        <f aca="false">IF(OR(Q1464="Cancelled",Q1464="Returned"),0,O1464)</f>
        <v>229</v>
      </c>
    </row>
    <row r="1465" customFormat="false" ht="15" hidden="false" customHeight="false" outlineLevel="0" collapsed="false">
      <c r="A1465" s="6" t="str">
        <f aca="false">Orders!A1465</f>
        <v>O001464</v>
      </c>
      <c r="B1465" s="19" t="n">
        <f aca="false">Orders!B1465</f>
        <v>45865</v>
      </c>
      <c r="C1465" s="6" t="str">
        <f aca="false">Orders!C1465</f>
        <v>C0051</v>
      </c>
      <c r="D1465" s="6" t="str">
        <f aca="false">Orders!D1465</f>
        <v>P1007</v>
      </c>
      <c r="E1465" s="6" t="str">
        <f aca="false">INDEX(Products!$B$2:$B$101,MATCH(D1465,Products!$A$2:$A$101,0))</f>
        <v>Keyboard</v>
      </c>
      <c r="F1465" s="1" t="str">
        <f aca="false">INDEX(Products!$C$2:$C$101,MATCH(D1465,Products!$A$2:$A$101,0))</f>
        <v>Electronics</v>
      </c>
      <c r="G1465" s="6" t="n">
        <f aca="false">Orders!E1465</f>
        <v>1</v>
      </c>
      <c r="H1465" s="16" t="n">
        <f aca="false">INDEX(Products!$D$2:$D$101,MATCH(D1465,Products!$A$2:$A$101,0))</f>
        <v>999</v>
      </c>
      <c r="I1465" s="16" t="n">
        <f aca="false">INDEX(Products!$E$2:$E$101,MATCH(D1465,Products!$A$2:$A$101,0))</f>
        <v>480</v>
      </c>
      <c r="J1465" s="20" t="n">
        <f aca="false">Orders!F1465</f>
        <v>0.15</v>
      </c>
      <c r="K1465" s="6" t="n">
        <f aca="false">G1465*H1465</f>
        <v>999</v>
      </c>
      <c r="L1465" s="6" t="n">
        <f aca="false">K1465*J1465</f>
        <v>149.85</v>
      </c>
      <c r="M1465" s="6" t="n">
        <f aca="false">K1465-L1465</f>
        <v>849.15</v>
      </c>
      <c r="N1465" s="6" t="n">
        <f aca="false">G1465*I1465</f>
        <v>480</v>
      </c>
      <c r="O1465" s="6" t="n">
        <f aca="false">M1465-N1465</f>
        <v>369.15</v>
      </c>
      <c r="P1465" s="21" t="n">
        <f aca="false">IFERROR(O1465/M1465,0)</f>
        <v>0.434728846493552</v>
      </c>
      <c r="Q1465" s="6" t="str">
        <f aca="false">Orders!H1465</f>
        <v>Delivered</v>
      </c>
      <c r="R1465" s="1" t="str">
        <f aca="false">INDEX(Customers!$C$2:$C$301,MATCH(C1465,Customers!$A$2:$A$301,0))</f>
        <v>Gurugram</v>
      </c>
      <c r="S1465" s="1" t="str">
        <f aca="false">INDEX(Customers!$E$2:$E$301,MATCH(C1465,Customers!$A$2:$A$301,0))</f>
        <v>VIP</v>
      </c>
      <c r="T1465" s="6" t="str">
        <f aca="false">Orders!I1465</f>
        <v>Mobile App</v>
      </c>
      <c r="U1465" s="1" t="str">
        <f aca="false">IF(Q1465="Delivered","Completed",IF(Q1465="Cancelled","Cancelled",IF(Q1465="Returned","Returned","In Progress")))</f>
        <v>Completed</v>
      </c>
      <c r="V1465" s="1" t="str">
        <f aca="false">IF(M1465&gt;=10000,"High Value",IF(M1465&gt;=5000,"Medium Value","Low Value"))</f>
        <v>Low Value</v>
      </c>
      <c r="W1465" s="1" t="str">
        <f aca="false">IF(O1465&gt;0,"Profitable",IF(O1465=0,"Break-even","Loss"))</f>
        <v>Profitable</v>
      </c>
      <c r="X1465" s="1" t="str">
        <f aca="false">IF(Q1465="Cancelled","Not Applicable",IF(Q1465="Processing","Pending",IF(B1465="","Unknown",IF(Orders!J1465="","Unknown",IF(Orders!J1465&lt;=3,"Fast",IF(Orders!J1465&lt;=6,"Standard","Slow"))))))</f>
        <v>Standard</v>
      </c>
      <c r="Y1465" s="1" t="n">
        <f aca="false">IF(OR(Q1465="Cancelled",Q1465="Returned"),0,O1465)</f>
        <v>369.15</v>
      </c>
    </row>
    <row r="1466" customFormat="false" ht="15" hidden="false" customHeight="false" outlineLevel="0" collapsed="false">
      <c r="A1466" s="6" t="str">
        <f aca="false">Orders!A1466</f>
        <v>O001465</v>
      </c>
      <c r="B1466" s="19" t="n">
        <f aca="false">Orders!B1466</f>
        <v>45733</v>
      </c>
      <c r="C1466" s="6" t="str">
        <f aca="false">Orders!C1466</f>
        <v>C0007</v>
      </c>
      <c r="D1466" s="6" t="str">
        <f aca="false">Orders!D1466</f>
        <v>P1071</v>
      </c>
      <c r="E1466" s="6" t="str">
        <f aca="false">INDEX(Products!$B$2:$B$101,MATCH(D1466,Products!$A$2:$A$101,0))</f>
        <v>Exercise Ball</v>
      </c>
      <c r="F1466" s="1" t="str">
        <f aca="false">INDEX(Products!$C$2:$C$101,MATCH(D1466,Products!$A$2:$A$101,0))</f>
        <v>Sports &amp; Outdoors</v>
      </c>
      <c r="G1466" s="6" t="n">
        <f aca="false">Orders!E1466</f>
        <v>1</v>
      </c>
      <c r="H1466" s="16" t="n">
        <f aca="false">INDEX(Products!$D$2:$D$101,MATCH(D1466,Products!$A$2:$A$101,0))</f>
        <v>699</v>
      </c>
      <c r="I1466" s="16" t="n">
        <f aca="false">INDEX(Products!$E$2:$E$101,MATCH(D1466,Products!$A$2:$A$101,0))</f>
        <v>320</v>
      </c>
      <c r="J1466" s="20" t="n">
        <f aca="false">Orders!F1466</f>
        <v>0.15</v>
      </c>
      <c r="K1466" s="6" t="n">
        <f aca="false">G1466*H1466</f>
        <v>699</v>
      </c>
      <c r="L1466" s="6" t="n">
        <f aca="false">K1466*J1466</f>
        <v>104.85</v>
      </c>
      <c r="M1466" s="6" t="n">
        <f aca="false">K1466-L1466</f>
        <v>594.15</v>
      </c>
      <c r="N1466" s="6" t="n">
        <f aca="false">G1466*I1466</f>
        <v>320</v>
      </c>
      <c r="O1466" s="6" t="n">
        <f aca="false">M1466-N1466</f>
        <v>274.15</v>
      </c>
      <c r="P1466" s="21" t="n">
        <f aca="false">IFERROR(O1466/M1466,0)</f>
        <v>0.461415467474543</v>
      </c>
      <c r="Q1466" s="6" t="str">
        <f aca="false">Orders!H1466</f>
        <v>Cancelled</v>
      </c>
      <c r="R1466" s="1" t="str">
        <f aca="false">INDEX(Customers!$C$2:$C$301,MATCH(C1466,Customers!$A$2:$A$301,0))</f>
        <v>Pune</v>
      </c>
      <c r="S1466" s="1" t="str">
        <f aca="false">INDEX(Customers!$E$2:$E$301,MATCH(C1466,Customers!$A$2:$A$301,0))</f>
        <v>Returning</v>
      </c>
      <c r="T1466" s="6" t="str">
        <f aca="false">Orders!I1466</f>
        <v>Mobile App</v>
      </c>
      <c r="U1466" s="1" t="str">
        <f aca="false">IF(Q1466="Delivered","Completed",IF(Q1466="Cancelled","Cancelled",IF(Q1466="Returned","Returned","In Progress")))</f>
        <v>Cancelled</v>
      </c>
      <c r="V1466" s="1" t="str">
        <f aca="false">IF(M1466&gt;=10000,"High Value",IF(M1466&gt;=5000,"Medium Value","Low Value"))</f>
        <v>Low Value</v>
      </c>
      <c r="W1466" s="1" t="str">
        <f aca="false">IF(O1466&gt;0,"Profitable",IF(O1466=0,"Break-even","Loss"))</f>
        <v>Profitable</v>
      </c>
      <c r="X1466" s="1" t="str">
        <f aca="false">IF(Q1466="Cancelled","Not Applicable",IF(Q1466="Processing","Pending",IF(B1466="","Unknown",IF(Orders!J1466="","Unknown",IF(Orders!J1466&lt;=3,"Fast",IF(Orders!J1466&lt;=6,"Standard","Slow"))))))</f>
        <v>Not Applicable</v>
      </c>
      <c r="Y1466" s="1" t="n">
        <f aca="false">IF(OR(Q1466="Cancelled",Q1466="Returned"),0,O1466)</f>
        <v>0</v>
      </c>
    </row>
    <row r="1467" customFormat="false" ht="15" hidden="false" customHeight="false" outlineLevel="0" collapsed="false">
      <c r="A1467" s="6" t="str">
        <f aca="false">Orders!A1467</f>
        <v>O001466</v>
      </c>
      <c r="B1467" s="19" t="n">
        <f aca="false">Orders!B1467</f>
        <v>45699</v>
      </c>
      <c r="C1467" s="6" t="str">
        <f aca="false">Orders!C1467</f>
        <v>C0142</v>
      </c>
      <c r="D1467" s="6" t="str">
        <f aca="false">Orders!D1467</f>
        <v>P1027</v>
      </c>
      <c r="E1467" s="6" t="str">
        <f aca="false">INDEX(Products!$B$2:$B$101,MATCH(D1467,Products!$A$2:$A$101,0))</f>
        <v>Belt</v>
      </c>
      <c r="F1467" s="1" t="str">
        <f aca="false">INDEX(Products!$C$2:$C$101,MATCH(D1467,Products!$A$2:$A$101,0))</f>
        <v>Fashion</v>
      </c>
      <c r="G1467" s="6" t="n">
        <f aca="false">Orders!E1467</f>
        <v>2</v>
      </c>
      <c r="H1467" s="16" t="n">
        <f aca="false">INDEX(Products!$D$2:$D$101,MATCH(D1467,Products!$A$2:$A$101,0))</f>
        <v>399</v>
      </c>
      <c r="I1467" s="16" t="n">
        <f aca="false">INDEX(Products!$E$2:$E$101,MATCH(D1467,Products!$A$2:$A$101,0))</f>
        <v>160</v>
      </c>
      <c r="J1467" s="20" t="n">
        <f aca="false">Orders!F1467</f>
        <v>0.15</v>
      </c>
      <c r="K1467" s="6" t="n">
        <f aca="false">G1467*H1467</f>
        <v>798</v>
      </c>
      <c r="L1467" s="6" t="n">
        <f aca="false">K1467*J1467</f>
        <v>119.7</v>
      </c>
      <c r="M1467" s="6" t="n">
        <f aca="false">K1467-L1467</f>
        <v>678.3</v>
      </c>
      <c r="N1467" s="6" t="n">
        <f aca="false">G1467*I1467</f>
        <v>320</v>
      </c>
      <c r="O1467" s="6" t="n">
        <f aca="false">M1467-N1467</f>
        <v>358.3</v>
      </c>
      <c r="P1467" s="21" t="n">
        <f aca="false">IFERROR(O1467/M1467,0)</f>
        <v>0.528232345569807</v>
      </c>
      <c r="Q1467" s="6" t="str">
        <f aca="false">Orders!H1467</f>
        <v>Delivered</v>
      </c>
      <c r="R1467" s="1" t="str">
        <f aca="false">INDEX(Customers!$C$2:$C$301,MATCH(C1467,Customers!$A$2:$A$301,0))</f>
        <v>Mumbai</v>
      </c>
      <c r="S1467" s="1" t="str">
        <f aca="false">INDEX(Customers!$E$2:$E$301,MATCH(C1467,Customers!$A$2:$A$301,0))</f>
        <v>VIP</v>
      </c>
      <c r="T1467" s="6" t="str">
        <f aca="false">Orders!I1467</f>
        <v>Mobile App</v>
      </c>
      <c r="U1467" s="1" t="str">
        <f aca="false">IF(Q1467="Delivered","Completed",IF(Q1467="Cancelled","Cancelled",IF(Q1467="Returned","Returned","In Progress")))</f>
        <v>Completed</v>
      </c>
      <c r="V1467" s="1" t="str">
        <f aca="false">IF(M1467&gt;=10000,"High Value",IF(M1467&gt;=5000,"Medium Value","Low Value"))</f>
        <v>Low Value</v>
      </c>
      <c r="W1467" s="1" t="str">
        <f aca="false">IF(O1467&gt;0,"Profitable",IF(O1467=0,"Break-even","Loss"))</f>
        <v>Profitable</v>
      </c>
      <c r="X1467" s="1" t="str">
        <f aca="false">IF(Q1467="Cancelled","Not Applicable",IF(Q1467="Processing","Pending",IF(B1467="","Unknown",IF(Orders!J1467="","Unknown",IF(Orders!J1467&lt;=3,"Fast",IF(Orders!J1467&lt;=6,"Standard","Slow"))))))</f>
        <v>Fast</v>
      </c>
      <c r="Y1467" s="1" t="n">
        <f aca="false">IF(OR(Q1467="Cancelled",Q1467="Returned"),0,O1467)</f>
        <v>358.3</v>
      </c>
    </row>
    <row r="1468" customFormat="false" ht="15" hidden="false" customHeight="false" outlineLevel="0" collapsed="false">
      <c r="A1468" s="6" t="str">
        <f aca="false">Orders!A1468</f>
        <v>O001467</v>
      </c>
      <c r="B1468" s="19" t="n">
        <f aca="false">Orders!B1468</f>
        <v>45691</v>
      </c>
      <c r="C1468" s="6" t="str">
        <f aca="false">Orders!C1468</f>
        <v>C0097</v>
      </c>
      <c r="D1468" s="6" t="str">
        <f aca="false">Orders!D1468</f>
        <v>P1029</v>
      </c>
      <c r="E1468" s="6" t="str">
        <f aca="false">INDEX(Products!$B$2:$B$101,MATCH(D1468,Products!$A$2:$A$101,0))</f>
        <v>Scarf</v>
      </c>
      <c r="F1468" s="1" t="str">
        <f aca="false">INDEX(Products!$C$2:$C$101,MATCH(D1468,Products!$A$2:$A$101,0))</f>
        <v>Fashion</v>
      </c>
      <c r="G1468" s="6" t="n">
        <f aca="false">Orders!E1468</f>
        <v>1</v>
      </c>
      <c r="H1468" s="16" t="n">
        <f aca="false">INDEX(Products!$D$2:$D$101,MATCH(D1468,Products!$A$2:$A$101,0))</f>
        <v>299</v>
      </c>
      <c r="I1468" s="16" t="n">
        <f aca="false">INDEX(Products!$E$2:$E$101,MATCH(D1468,Products!$A$2:$A$101,0))</f>
        <v>100</v>
      </c>
      <c r="J1468" s="20" t="n">
        <f aca="false">Orders!F1468</f>
        <v>0.1</v>
      </c>
      <c r="K1468" s="6" t="n">
        <f aca="false">G1468*H1468</f>
        <v>299</v>
      </c>
      <c r="L1468" s="6" t="n">
        <f aca="false">K1468*J1468</f>
        <v>29.9</v>
      </c>
      <c r="M1468" s="6" t="n">
        <f aca="false">K1468-L1468</f>
        <v>269.1</v>
      </c>
      <c r="N1468" s="6" t="n">
        <f aca="false">G1468*I1468</f>
        <v>100</v>
      </c>
      <c r="O1468" s="6" t="n">
        <f aca="false">M1468-N1468</f>
        <v>169.1</v>
      </c>
      <c r="P1468" s="21" t="n">
        <f aca="false">IFERROR(O1468/M1468,0)</f>
        <v>0.628390932738759</v>
      </c>
      <c r="Q1468" s="6" t="str">
        <f aca="false">Orders!H1468</f>
        <v>Returned</v>
      </c>
      <c r="R1468" s="1" t="str">
        <f aca="false">INDEX(Customers!$C$2:$C$301,MATCH(C1468,Customers!$A$2:$A$301,0))</f>
        <v>Surat</v>
      </c>
      <c r="S1468" s="1" t="str">
        <f aca="false">INDEX(Customers!$E$2:$E$301,MATCH(C1468,Customers!$A$2:$A$301,0))</f>
        <v>Returning</v>
      </c>
      <c r="T1468" s="6" t="str">
        <f aca="false">Orders!I1468</f>
        <v>Website</v>
      </c>
      <c r="U1468" s="1" t="str">
        <f aca="false">IF(Q1468="Delivered","Completed",IF(Q1468="Cancelled","Cancelled",IF(Q1468="Returned","Returned","In Progress")))</f>
        <v>Returned</v>
      </c>
      <c r="V1468" s="1" t="str">
        <f aca="false">IF(M1468&gt;=10000,"High Value",IF(M1468&gt;=5000,"Medium Value","Low Value"))</f>
        <v>Low Value</v>
      </c>
      <c r="W1468" s="1" t="str">
        <f aca="false">IF(O1468&gt;0,"Profitable",IF(O1468=0,"Break-even","Loss"))</f>
        <v>Profitable</v>
      </c>
      <c r="X1468" s="1" t="str">
        <f aca="false">IF(Q1468="Cancelled","Not Applicable",IF(Q1468="Processing","Pending",IF(B1468="","Unknown",IF(Orders!J1468="","Unknown",IF(Orders!J1468&lt;=3,"Fast",IF(Orders!J1468&lt;=6,"Standard","Slow"))))))</f>
        <v>Fast</v>
      </c>
      <c r="Y1468" s="1" t="n">
        <f aca="false">IF(OR(Q1468="Cancelled",Q1468="Returned"),0,O1468)</f>
        <v>0</v>
      </c>
    </row>
    <row r="1469" customFormat="false" ht="15" hidden="false" customHeight="false" outlineLevel="0" collapsed="false">
      <c r="A1469" s="6" t="str">
        <f aca="false">Orders!A1469</f>
        <v>O001468</v>
      </c>
      <c r="B1469" s="19" t="n">
        <f aca="false">Orders!B1469</f>
        <v>45751</v>
      </c>
      <c r="C1469" s="6" t="str">
        <f aca="false">Orders!C1469</f>
        <v>C0090</v>
      </c>
      <c r="D1469" s="6" t="str">
        <f aca="false">Orders!D1469</f>
        <v>P1034</v>
      </c>
      <c r="E1469" s="6" t="str">
        <f aca="false">INDEX(Products!$B$2:$B$101,MATCH(D1469,Products!$A$2:$A$101,0))</f>
        <v>Table Lamp</v>
      </c>
      <c r="F1469" s="1" t="str">
        <f aca="false">INDEX(Products!$C$2:$C$101,MATCH(D1469,Products!$A$2:$A$101,0))</f>
        <v>Home &amp; Kitchen</v>
      </c>
      <c r="G1469" s="6" t="n">
        <f aca="false">Orders!E1469</f>
        <v>1</v>
      </c>
      <c r="H1469" s="16" t="n">
        <f aca="false">INDEX(Products!$D$2:$D$101,MATCH(D1469,Products!$A$2:$A$101,0))</f>
        <v>899</v>
      </c>
      <c r="I1469" s="16" t="n">
        <f aca="false">INDEX(Products!$E$2:$E$101,MATCH(D1469,Products!$A$2:$A$101,0))</f>
        <v>420</v>
      </c>
      <c r="J1469" s="20" t="n">
        <f aca="false">Orders!F1469</f>
        <v>0.1</v>
      </c>
      <c r="K1469" s="6" t="n">
        <f aca="false">G1469*H1469</f>
        <v>899</v>
      </c>
      <c r="L1469" s="6" t="n">
        <f aca="false">K1469*J1469</f>
        <v>89.9</v>
      </c>
      <c r="M1469" s="6" t="n">
        <f aca="false">K1469-L1469</f>
        <v>809.1</v>
      </c>
      <c r="N1469" s="6" t="n">
        <f aca="false">G1469*I1469</f>
        <v>420</v>
      </c>
      <c r="O1469" s="6" t="n">
        <f aca="false">M1469-N1469</f>
        <v>389.1</v>
      </c>
      <c r="P1469" s="21" t="n">
        <f aca="false">IFERROR(O1469/M1469,0)</f>
        <v>0.480904708935855</v>
      </c>
      <c r="Q1469" s="6" t="str">
        <f aca="false">Orders!H1469</f>
        <v>Returned</v>
      </c>
      <c r="R1469" s="1" t="str">
        <f aca="false">INDEX(Customers!$C$2:$C$301,MATCH(C1469,Customers!$A$2:$A$301,0))</f>
        <v>Lucknow</v>
      </c>
      <c r="S1469" s="1" t="str">
        <f aca="false">INDEX(Customers!$E$2:$E$301,MATCH(C1469,Customers!$A$2:$A$301,0))</f>
        <v>New</v>
      </c>
      <c r="T1469" s="6" t="str">
        <f aca="false">Orders!I1469</f>
        <v>Website</v>
      </c>
      <c r="U1469" s="1" t="str">
        <f aca="false">IF(Q1469="Delivered","Completed",IF(Q1469="Cancelled","Cancelled",IF(Q1469="Returned","Returned","In Progress")))</f>
        <v>Returned</v>
      </c>
      <c r="V1469" s="1" t="str">
        <f aca="false">IF(M1469&gt;=10000,"High Value",IF(M1469&gt;=5000,"Medium Value","Low Value"))</f>
        <v>Low Value</v>
      </c>
      <c r="W1469" s="1" t="str">
        <f aca="false">IF(O1469&gt;0,"Profitable",IF(O1469=0,"Break-even","Loss"))</f>
        <v>Profitable</v>
      </c>
      <c r="X1469" s="1" t="str">
        <f aca="false">IF(Q1469="Cancelled","Not Applicable",IF(Q1469="Processing","Pending",IF(B1469="","Unknown",IF(Orders!J1469="","Unknown",IF(Orders!J1469&lt;=3,"Fast",IF(Orders!J1469&lt;=6,"Standard","Slow"))))))</f>
        <v>Fast</v>
      </c>
      <c r="Y1469" s="1" t="n">
        <f aca="false">IF(OR(Q1469="Cancelled",Q1469="Returned"),0,O1469)</f>
        <v>0</v>
      </c>
    </row>
    <row r="1470" customFormat="false" ht="15" hidden="false" customHeight="false" outlineLevel="0" collapsed="false">
      <c r="A1470" s="6" t="str">
        <f aca="false">Orders!A1470</f>
        <v>O001469</v>
      </c>
      <c r="B1470" s="19" t="n">
        <f aca="false">Orders!B1470</f>
        <v>45877</v>
      </c>
      <c r="C1470" s="6" t="str">
        <f aca="false">Orders!C1470</f>
        <v>C0053</v>
      </c>
      <c r="D1470" s="6" t="str">
        <f aca="false">Orders!D1470</f>
        <v>P1034</v>
      </c>
      <c r="E1470" s="6" t="str">
        <f aca="false">INDEX(Products!$B$2:$B$101,MATCH(D1470,Products!$A$2:$A$101,0))</f>
        <v>Table Lamp</v>
      </c>
      <c r="F1470" s="1" t="str">
        <f aca="false">INDEX(Products!$C$2:$C$101,MATCH(D1470,Products!$A$2:$A$101,0))</f>
        <v>Home &amp; Kitchen</v>
      </c>
      <c r="G1470" s="6" t="n">
        <f aca="false">Orders!E1470</f>
        <v>2</v>
      </c>
      <c r="H1470" s="16" t="n">
        <f aca="false">INDEX(Products!$D$2:$D$101,MATCH(D1470,Products!$A$2:$A$101,0))</f>
        <v>899</v>
      </c>
      <c r="I1470" s="16" t="n">
        <f aca="false">INDEX(Products!$E$2:$E$101,MATCH(D1470,Products!$A$2:$A$101,0))</f>
        <v>420</v>
      </c>
      <c r="J1470" s="20" t="n">
        <f aca="false">Orders!F1470</f>
        <v>0.25</v>
      </c>
      <c r="K1470" s="6" t="n">
        <f aca="false">G1470*H1470</f>
        <v>1798</v>
      </c>
      <c r="L1470" s="6" t="n">
        <f aca="false">K1470*J1470</f>
        <v>449.5</v>
      </c>
      <c r="M1470" s="6" t="n">
        <f aca="false">K1470-L1470</f>
        <v>1348.5</v>
      </c>
      <c r="N1470" s="6" t="n">
        <f aca="false">G1470*I1470</f>
        <v>840</v>
      </c>
      <c r="O1470" s="6" t="n">
        <f aca="false">M1470-N1470</f>
        <v>508.5</v>
      </c>
      <c r="P1470" s="21" t="n">
        <f aca="false">IFERROR(O1470/M1470,0)</f>
        <v>0.377085650723026</v>
      </c>
      <c r="Q1470" s="6" t="str">
        <f aca="false">Orders!H1470</f>
        <v>Delivered</v>
      </c>
      <c r="R1470" s="1" t="str">
        <f aca="false">INDEX(Customers!$C$2:$C$301,MATCH(C1470,Customers!$A$2:$A$301,0))</f>
        <v>Kochi</v>
      </c>
      <c r="S1470" s="1" t="str">
        <f aca="false">INDEX(Customers!$E$2:$E$301,MATCH(C1470,Customers!$A$2:$A$301,0))</f>
        <v>Returning</v>
      </c>
      <c r="T1470" s="6" t="str">
        <f aca="false">Orders!I1470</f>
        <v>Website</v>
      </c>
      <c r="U1470" s="1" t="str">
        <f aca="false">IF(Q1470="Delivered","Completed",IF(Q1470="Cancelled","Cancelled",IF(Q1470="Returned","Returned","In Progress")))</f>
        <v>Completed</v>
      </c>
      <c r="V1470" s="1" t="str">
        <f aca="false">IF(M1470&gt;=10000,"High Value",IF(M1470&gt;=5000,"Medium Value","Low Value"))</f>
        <v>Low Value</v>
      </c>
      <c r="W1470" s="1" t="str">
        <f aca="false">IF(O1470&gt;0,"Profitable",IF(O1470=0,"Break-even","Loss"))</f>
        <v>Profitable</v>
      </c>
      <c r="X1470" s="1" t="str">
        <f aca="false">IF(Q1470="Cancelled","Not Applicable",IF(Q1470="Processing","Pending",IF(B1470="","Unknown",IF(Orders!J1470="","Unknown",IF(Orders!J1470&lt;=3,"Fast",IF(Orders!J1470&lt;=6,"Standard","Slow"))))))</f>
        <v>Fast</v>
      </c>
      <c r="Y1470" s="1" t="n">
        <f aca="false">IF(OR(Q1470="Cancelled",Q1470="Returned"),0,O1470)</f>
        <v>508.5</v>
      </c>
    </row>
    <row r="1471" customFormat="false" ht="15" hidden="false" customHeight="false" outlineLevel="0" collapsed="false">
      <c r="A1471" s="6" t="str">
        <f aca="false">Orders!A1471</f>
        <v>O001470</v>
      </c>
      <c r="B1471" s="19" t="n">
        <f aca="false">Orders!B1471</f>
        <v>45779</v>
      </c>
      <c r="C1471" s="6" t="str">
        <f aca="false">Orders!C1471</f>
        <v>C0142</v>
      </c>
      <c r="D1471" s="6" t="str">
        <f aca="false">Orders!D1471</f>
        <v>P1054</v>
      </c>
      <c r="E1471" s="6" t="str">
        <f aca="false">INDEX(Products!$B$2:$B$101,MATCH(D1471,Products!$A$2:$A$101,0))</f>
        <v>Face Mask Pack</v>
      </c>
      <c r="F1471" s="1" t="str">
        <f aca="false">INDEX(Products!$C$2:$C$101,MATCH(D1471,Products!$A$2:$A$101,0))</f>
        <v>Beauty</v>
      </c>
      <c r="G1471" s="6" t="n">
        <f aca="false">Orders!E1471</f>
        <v>4</v>
      </c>
      <c r="H1471" s="16" t="n">
        <f aca="false">INDEX(Products!$D$2:$D$101,MATCH(D1471,Products!$A$2:$A$101,0))</f>
        <v>299</v>
      </c>
      <c r="I1471" s="16" t="n">
        <f aca="false">INDEX(Products!$E$2:$E$101,MATCH(D1471,Products!$A$2:$A$101,0))</f>
        <v>110</v>
      </c>
      <c r="J1471" s="20" t="n">
        <f aca="false">Orders!F1471</f>
        <v>0.2</v>
      </c>
      <c r="K1471" s="6" t="n">
        <f aca="false">G1471*H1471</f>
        <v>1196</v>
      </c>
      <c r="L1471" s="6" t="n">
        <f aca="false">K1471*J1471</f>
        <v>239.2</v>
      </c>
      <c r="M1471" s="6" t="n">
        <f aca="false">K1471-L1471</f>
        <v>956.8</v>
      </c>
      <c r="N1471" s="6" t="n">
        <f aca="false">G1471*I1471</f>
        <v>440</v>
      </c>
      <c r="O1471" s="6" t="n">
        <f aca="false">M1471-N1471</f>
        <v>516.8</v>
      </c>
      <c r="P1471" s="21" t="n">
        <f aca="false">IFERROR(O1471/M1471,0)</f>
        <v>0.540133779264214</v>
      </c>
      <c r="Q1471" s="6" t="str">
        <f aca="false">Orders!H1471</f>
        <v>Returned</v>
      </c>
      <c r="R1471" s="1" t="str">
        <f aca="false">INDEX(Customers!$C$2:$C$301,MATCH(C1471,Customers!$A$2:$A$301,0))</f>
        <v>Mumbai</v>
      </c>
      <c r="S1471" s="1" t="str">
        <f aca="false">INDEX(Customers!$E$2:$E$301,MATCH(C1471,Customers!$A$2:$A$301,0))</f>
        <v>VIP</v>
      </c>
      <c r="T1471" s="6" t="str">
        <f aca="false">Orders!I1471</f>
        <v>Website</v>
      </c>
      <c r="U1471" s="1" t="str">
        <f aca="false">IF(Q1471="Delivered","Completed",IF(Q1471="Cancelled","Cancelled",IF(Q1471="Returned","Returned","In Progress")))</f>
        <v>Returned</v>
      </c>
      <c r="V1471" s="1" t="str">
        <f aca="false">IF(M1471&gt;=10000,"High Value",IF(M1471&gt;=5000,"Medium Value","Low Value"))</f>
        <v>Low Value</v>
      </c>
      <c r="W1471" s="1" t="str">
        <f aca="false">IF(O1471&gt;0,"Profitable",IF(O1471=0,"Break-even","Loss"))</f>
        <v>Profitable</v>
      </c>
      <c r="X1471" s="1" t="str">
        <f aca="false">IF(Q1471="Cancelled","Not Applicable",IF(Q1471="Processing","Pending",IF(B1471="","Unknown",IF(Orders!J1471="","Unknown",IF(Orders!J1471&lt;=3,"Fast",IF(Orders!J1471&lt;=6,"Standard","Slow"))))))</f>
        <v>Standard</v>
      </c>
      <c r="Y1471" s="1" t="n">
        <f aca="false">IF(OR(Q1471="Cancelled",Q1471="Returned"),0,O1471)</f>
        <v>0</v>
      </c>
    </row>
    <row r="1472" customFormat="false" ht="23.85" hidden="false" customHeight="false" outlineLevel="0" collapsed="false">
      <c r="A1472" s="6" t="str">
        <f aca="false">Orders!A1472</f>
        <v>O001471</v>
      </c>
      <c r="B1472" s="19" t="n">
        <f aca="false">Orders!B1472</f>
        <v>45740</v>
      </c>
      <c r="C1472" s="6" t="str">
        <f aca="false">Orders!C1472</f>
        <v>C0261</v>
      </c>
      <c r="D1472" s="6" t="str">
        <f aca="false">Orders!D1472</f>
        <v>P1012</v>
      </c>
      <c r="E1472" s="6" t="str">
        <f aca="false">INDEX(Products!$B$2:$B$101,MATCH(D1472,Products!$A$2:$A$101,0))</f>
        <v>Charging Adapter</v>
      </c>
      <c r="F1472" s="1" t="str">
        <f aca="false">INDEX(Products!$C$2:$C$101,MATCH(D1472,Products!$A$2:$A$101,0))</f>
        <v>Electronics</v>
      </c>
      <c r="G1472" s="6" t="n">
        <f aca="false">Orders!E1472</f>
        <v>1</v>
      </c>
      <c r="H1472" s="16" t="n">
        <f aca="false">INDEX(Products!$D$2:$D$101,MATCH(D1472,Products!$A$2:$A$101,0))</f>
        <v>599</v>
      </c>
      <c r="I1472" s="16" t="n">
        <f aca="false">INDEX(Products!$E$2:$E$101,MATCH(D1472,Products!$A$2:$A$101,0))</f>
        <v>260</v>
      </c>
      <c r="J1472" s="20" t="n">
        <f aca="false">Orders!F1472</f>
        <v>0.15</v>
      </c>
      <c r="K1472" s="6" t="n">
        <f aca="false">G1472*H1472</f>
        <v>599</v>
      </c>
      <c r="L1472" s="6" t="n">
        <f aca="false">K1472*J1472</f>
        <v>89.85</v>
      </c>
      <c r="M1472" s="6" t="n">
        <f aca="false">K1472-L1472</f>
        <v>509.15</v>
      </c>
      <c r="N1472" s="6" t="n">
        <f aca="false">G1472*I1472</f>
        <v>260</v>
      </c>
      <c r="O1472" s="6" t="n">
        <f aca="false">M1472-N1472</f>
        <v>249.15</v>
      </c>
      <c r="P1472" s="21" t="n">
        <f aca="false">IFERROR(O1472/M1472,0)</f>
        <v>0.48934498674261</v>
      </c>
      <c r="Q1472" s="6" t="str">
        <f aca="false">Orders!H1472</f>
        <v>Shipped</v>
      </c>
      <c r="R1472" s="1" t="str">
        <f aca="false">INDEX(Customers!$C$2:$C$301,MATCH(C1472,Customers!$A$2:$A$301,0))</f>
        <v>Delhi</v>
      </c>
      <c r="S1472" s="1" t="str">
        <f aca="false">INDEX(Customers!$E$2:$E$301,MATCH(C1472,Customers!$A$2:$A$301,0))</f>
        <v>Returning</v>
      </c>
      <c r="T1472" s="6" t="str">
        <f aca="false">Orders!I1472</f>
        <v>Mobile App</v>
      </c>
      <c r="U1472" s="1" t="str">
        <f aca="false">IF(Q1472="Delivered","Completed",IF(Q1472="Cancelled","Cancelled",IF(Q1472="Returned","Returned","In Progress")))</f>
        <v>In Progress</v>
      </c>
      <c r="V1472" s="1" t="str">
        <f aca="false">IF(M1472&gt;=10000,"High Value",IF(M1472&gt;=5000,"Medium Value","Low Value"))</f>
        <v>Low Value</v>
      </c>
      <c r="W1472" s="1" t="str">
        <f aca="false">IF(O1472&gt;0,"Profitable",IF(O1472=0,"Break-even","Loss"))</f>
        <v>Profitable</v>
      </c>
      <c r="X1472" s="1" t="str">
        <f aca="false">IF(Q1472="Cancelled","Not Applicable",IF(Q1472="Processing","Pending",IF(B1472="","Unknown",IF(Orders!J1472="","Unknown",IF(Orders!J1472&lt;=3,"Fast",IF(Orders!J1472&lt;=6,"Standard","Slow"))))))</f>
        <v>Fast</v>
      </c>
      <c r="Y1472" s="1" t="n">
        <f aca="false">IF(OR(Q1472="Cancelled",Q1472="Returned"),0,O1472)</f>
        <v>249.15</v>
      </c>
    </row>
    <row r="1473" customFormat="false" ht="23.85" hidden="false" customHeight="false" outlineLevel="0" collapsed="false">
      <c r="A1473" s="6" t="str">
        <f aca="false">Orders!A1473</f>
        <v>O001472</v>
      </c>
      <c r="B1473" s="19" t="n">
        <f aca="false">Orders!B1473</f>
        <v>45960</v>
      </c>
      <c r="C1473" s="6" t="str">
        <f aca="false">Orders!C1473</f>
        <v>C0092</v>
      </c>
      <c r="D1473" s="6" t="str">
        <f aca="false">Orders!D1473</f>
        <v>P1047</v>
      </c>
      <c r="E1473" s="6" t="str">
        <f aca="false">INDEX(Products!$B$2:$B$101,MATCH(D1473,Products!$A$2:$A$101,0))</f>
        <v>Sunscreen Lotion</v>
      </c>
      <c r="F1473" s="1" t="str">
        <f aca="false">INDEX(Products!$C$2:$C$101,MATCH(D1473,Products!$A$2:$A$101,0))</f>
        <v>Beauty</v>
      </c>
      <c r="G1473" s="6" t="n">
        <f aca="false">Orders!E1473</f>
        <v>3</v>
      </c>
      <c r="H1473" s="16" t="n">
        <f aca="false">INDEX(Products!$D$2:$D$101,MATCH(D1473,Products!$A$2:$A$101,0))</f>
        <v>399</v>
      </c>
      <c r="I1473" s="16" t="n">
        <f aca="false">INDEX(Products!$E$2:$E$101,MATCH(D1473,Products!$A$2:$A$101,0))</f>
        <v>170</v>
      </c>
      <c r="J1473" s="20" t="n">
        <f aca="false">Orders!F1473</f>
        <v>0.15</v>
      </c>
      <c r="K1473" s="6" t="n">
        <f aca="false">G1473*H1473</f>
        <v>1197</v>
      </c>
      <c r="L1473" s="6" t="n">
        <f aca="false">K1473*J1473</f>
        <v>179.55</v>
      </c>
      <c r="M1473" s="6" t="n">
        <f aca="false">K1473-L1473</f>
        <v>1017.45</v>
      </c>
      <c r="N1473" s="6" t="n">
        <f aca="false">G1473*I1473</f>
        <v>510</v>
      </c>
      <c r="O1473" s="6" t="n">
        <f aca="false">M1473-N1473</f>
        <v>507.45</v>
      </c>
      <c r="P1473" s="21" t="n">
        <f aca="false">IFERROR(O1473/M1473,0)</f>
        <v>0.49874686716792</v>
      </c>
      <c r="Q1473" s="6" t="str">
        <f aca="false">Orders!H1473</f>
        <v>Delivered</v>
      </c>
      <c r="R1473" s="1" t="str">
        <f aca="false">INDEX(Customers!$C$2:$C$301,MATCH(C1473,Customers!$A$2:$A$301,0))</f>
        <v>Noida</v>
      </c>
      <c r="S1473" s="1" t="str">
        <f aca="false">INDEX(Customers!$E$2:$E$301,MATCH(C1473,Customers!$A$2:$A$301,0))</f>
        <v>New</v>
      </c>
      <c r="T1473" s="6" t="str">
        <f aca="false">Orders!I1473</f>
        <v>Mobile App</v>
      </c>
      <c r="U1473" s="1" t="str">
        <f aca="false">IF(Q1473="Delivered","Completed",IF(Q1473="Cancelled","Cancelled",IF(Q1473="Returned","Returned","In Progress")))</f>
        <v>Completed</v>
      </c>
      <c r="V1473" s="1" t="str">
        <f aca="false">IF(M1473&gt;=10000,"High Value",IF(M1473&gt;=5000,"Medium Value","Low Value"))</f>
        <v>Low Value</v>
      </c>
      <c r="W1473" s="1" t="str">
        <f aca="false">IF(O1473&gt;0,"Profitable",IF(O1473=0,"Break-even","Loss"))</f>
        <v>Profitable</v>
      </c>
      <c r="X1473" s="1" t="str">
        <f aca="false">IF(Q1473="Cancelled","Not Applicable",IF(Q1473="Processing","Pending",IF(B1473="","Unknown",IF(Orders!J1473="","Unknown",IF(Orders!J1473&lt;=3,"Fast",IF(Orders!J1473&lt;=6,"Standard","Slow"))))))</f>
        <v>Standard</v>
      </c>
      <c r="Y1473" s="1" t="n">
        <f aca="false">IF(OR(Q1473="Cancelled",Q1473="Returned"),0,O1473)</f>
        <v>507.45</v>
      </c>
    </row>
    <row r="1474" customFormat="false" ht="23.85" hidden="false" customHeight="false" outlineLevel="0" collapsed="false">
      <c r="A1474" s="6" t="str">
        <f aca="false">Orders!A1474</f>
        <v>O001473</v>
      </c>
      <c r="B1474" s="19" t="n">
        <f aca="false">Orders!B1474</f>
        <v>45774</v>
      </c>
      <c r="C1474" s="6" t="str">
        <f aca="false">Orders!C1474</f>
        <v>C0090</v>
      </c>
      <c r="D1474" s="6" t="str">
        <f aca="false">Orders!D1474</f>
        <v>P1070</v>
      </c>
      <c r="E1474" s="6" t="str">
        <f aca="false">INDEX(Products!$B$2:$B$101,MATCH(D1474,Products!$A$2:$A$101,0))</f>
        <v>Knee Support Pair</v>
      </c>
      <c r="F1474" s="1" t="str">
        <f aca="false">INDEX(Products!$C$2:$C$101,MATCH(D1474,Products!$A$2:$A$101,0))</f>
        <v>Sports &amp; Outdoors</v>
      </c>
      <c r="G1474" s="6" t="n">
        <f aca="false">Orders!E1474</f>
        <v>2</v>
      </c>
      <c r="H1474" s="16" t="n">
        <f aca="false">INDEX(Products!$D$2:$D$101,MATCH(D1474,Products!$A$2:$A$101,0))</f>
        <v>449</v>
      </c>
      <c r="I1474" s="16" t="n">
        <f aca="false">INDEX(Products!$E$2:$E$101,MATCH(D1474,Products!$A$2:$A$101,0))</f>
        <v>180</v>
      </c>
      <c r="J1474" s="20" t="n">
        <f aca="false">Orders!F1474</f>
        <v>0.15</v>
      </c>
      <c r="K1474" s="6" t="n">
        <f aca="false">G1474*H1474</f>
        <v>898</v>
      </c>
      <c r="L1474" s="6" t="n">
        <f aca="false">K1474*J1474</f>
        <v>134.7</v>
      </c>
      <c r="M1474" s="6" t="n">
        <f aca="false">K1474-L1474</f>
        <v>763.3</v>
      </c>
      <c r="N1474" s="6" t="n">
        <f aca="false">G1474*I1474</f>
        <v>360</v>
      </c>
      <c r="O1474" s="6" t="n">
        <f aca="false">M1474-N1474</f>
        <v>403.3</v>
      </c>
      <c r="P1474" s="21" t="n">
        <f aca="false">IFERROR(O1474/M1474,0)</f>
        <v>0.528363684003668</v>
      </c>
      <c r="Q1474" s="6" t="str">
        <f aca="false">Orders!H1474</f>
        <v>Delivered</v>
      </c>
      <c r="R1474" s="1" t="str">
        <f aca="false">INDEX(Customers!$C$2:$C$301,MATCH(C1474,Customers!$A$2:$A$301,0))</f>
        <v>Lucknow</v>
      </c>
      <c r="S1474" s="1" t="str">
        <f aca="false">INDEX(Customers!$E$2:$E$301,MATCH(C1474,Customers!$A$2:$A$301,0))</f>
        <v>New</v>
      </c>
      <c r="T1474" s="6" t="str">
        <f aca="false">Orders!I1474</f>
        <v>Website</v>
      </c>
      <c r="U1474" s="1" t="str">
        <f aca="false">IF(Q1474="Delivered","Completed",IF(Q1474="Cancelled","Cancelled",IF(Q1474="Returned","Returned","In Progress")))</f>
        <v>Completed</v>
      </c>
      <c r="V1474" s="1" t="str">
        <f aca="false">IF(M1474&gt;=10000,"High Value",IF(M1474&gt;=5000,"Medium Value","Low Value"))</f>
        <v>Low Value</v>
      </c>
      <c r="W1474" s="1" t="str">
        <f aca="false">IF(O1474&gt;0,"Profitable",IF(O1474=0,"Break-even","Loss"))</f>
        <v>Profitable</v>
      </c>
      <c r="X1474" s="1" t="str">
        <f aca="false">IF(Q1474="Cancelled","Not Applicable",IF(Q1474="Processing","Pending",IF(B1474="","Unknown",IF(Orders!J1474="","Unknown",IF(Orders!J1474&lt;=3,"Fast",IF(Orders!J1474&lt;=6,"Standard","Slow"))))))</f>
        <v>Fast</v>
      </c>
      <c r="Y1474" s="1" t="n">
        <f aca="false">IF(OR(Q1474="Cancelled",Q1474="Returned"),0,O1474)</f>
        <v>403.3</v>
      </c>
    </row>
    <row r="1475" customFormat="false" ht="15" hidden="false" customHeight="false" outlineLevel="0" collapsed="false">
      <c r="A1475" s="6" t="str">
        <f aca="false">Orders!A1475</f>
        <v>O001474</v>
      </c>
      <c r="B1475" s="19" t="n">
        <f aca="false">Orders!B1475</f>
        <v>45750</v>
      </c>
      <c r="C1475" s="6" t="str">
        <f aca="false">Orders!C1475</f>
        <v>C0164</v>
      </c>
      <c r="D1475" s="6" t="str">
        <f aca="false">Orders!D1475</f>
        <v>P1010</v>
      </c>
      <c r="E1475" s="6" t="str">
        <f aca="false">INDEX(Products!$B$2:$B$101,MATCH(D1475,Products!$A$2:$A$101,0))</f>
        <v>Webcam</v>
      </c>
      <c r="F1475" s="1" t="str">
        <f aca="false">INDEX(Products!$C$2:$C$101,MATCH(D1475,Products!$A$2:$A$101,0))</f>
        <v>Electronics</v>
      </c>
      <c r="G1475" s="6" t="n">
        <f aca="false">Orders!E1475</f>
        <v>3</v>
      </c>
      <c r="H1475" s="16" t="n">
        <f aca="false">INDEX(Products!$D$2:$D$101,MATCH(D1475,Products!$A$2:$A$101,0))</f>
        <v>1799</v>
      </c>
      <c r="I1475" s="16" t="n">
        <f aca="false">INDEX(Products!$E$2:$E$101,MATCH(D1475,Products!$A$2:$A$101,0))</f>
        <v>1050</v>
      </c>
      <c r="J1475" s="20" t="n">
        <f aca="false">Orders!F1475</f>
        <v>0</v>
      </c>
      <c r="K1475" s="6" t="n">
        <f aca="false">G1475*H1475</f>
        <v>5397</v>
      </c>
      <c r="L1475" s="6" t="n">
        <f aca="false">K1475*J1475</f>
        <v>0</v>
      </c>
      <c r="M1475" s="6" t="n">
        <f aca="false">K1475-L1475</f>
        <v>5397</v>
      </c>
      <c r="N1475" s="6" t="n">
        <f aca="false">G1475*I1475</f>
        <v>3150</v>
      </c>
      <c r="O1475" s="6" t="n">
        <f aca="false">M1475-N1475</f>
        <v>2247</v>
      </c>
      <c r="P1475" s="21" t="n">
        <f aca="false">IFERROR(O1475/M1475,0)</f>
        <v>0.416342412451362</v>
      </c>
      <c r="Q1475" s="6" t="str">
        <f aca="false">Orders!H1475</f>
        <v>Delivered</v>
      </c>
      <c r="R1475" s="1" t="str">
        <f aca="false">INDEX(Customers!$C$2:$C$301,MATCH(C1475,Customers!$A$2:$A$301,0))</f>
        <v>Hyderabad</v>
      </c>
      <c r="S1475" s="1" t="str">
        <f aca="false">INDEX(Customers!$E$2:$E$301,MATCH(C1475,Customers!$A$2:$A$301,0))</f>
        <v>Returning</v>
      </c>
      <c r="T1475" s="6" t="str">
        <f aca="false">Orders!I1475</f>
        <v>Marketplace</v>
      </c>
      <c r="U1475" s="1" t="str">
        <f aca="false">IF(Q1475="Delivered","Completed",IF(Q1475="Cancelled","Cancelled",IF(Q1475="Returned","Returned","In Progress")))</f>
        <v>Completed</v>
      </c>
      <c r="V1475" s="1" t="str">
        <f aca="false">IF(M1475&gt;=10000,"High Value",IF(M1475&gt;=5000,"Medium Value","Low Value"))</f>
        <v>Medium Value</v>
      </c>
      <c r="W1475" s="1" t="str">
        <f aca="false">IF(O1475&gt;0,"Profitable",IF(O1475=0,"Break-even","Loss"))</f>
        <v>Profitable</v>
      </c>
      <c r="X1475" s="1" t="str">
        <f aca="false">IF(Q1475="Cancelled","Not Applicable",IF(Q1475="Processing","Pending",IF(B1475="","Unknown",IF(Orders!J1475="","Unknown",IF(Orders!J1475&lt;=3,"Fast",IF(Orders!J1475&lt;=6,"Standard","Slow"))))))</f>
        <v>Fast</v>
      </c>
      <c r="Y1475" s="1" t="n">
        <f aca="false">IF(OR(Q1475="Cancelled",Q1475="Returned"),0,O1475)</f>
        <v>2247</v>
      </c>
    </row>
    <row r="1476" customFormat="false" ht="15" hidden="false" customHeight="false" outlineLevel="0" collapsed="false">
      <c r="A1476" s="6" t="str">
        <f aca="false">Orders!A1476</f>
        <v>O001475</v>
      </c>
      <c r="B1476" s="19" t="n">
        <f aca="false">Orders!B1476</f>
        <v>45773</v>
      </c>
      <c r="C1476" s="6" t="str">
        <f aca="false">Orders!C1476</f>
        <v>C0176</v>
      </c>
      <c r="D1476" s="6" t="str">
        <f aca="false">Orders!D1476</f>
        <v>P1029</v>
      </c>
      <c r="E1476" s="6" t="str">
        <f aca="false">INDEX(Products!$B$2:$B$101,MATCH(D1476,Products!$A$2:$A$101,0))</f>
        <v>Scarf</v>
      </c>
      <c r="F1476" s="1" t="str">
        <f aca="false">INDEX(Products!$C$2:$C$101,MATCH(D1476,Products!$A$2:$A$101,0))</f>
        <v>Fashion</v>
      </c>
      <c r="G1476" s="6" t="n">
        <f aca="false">Orders!E1476</f>
        <v>3</v>
      </c>
      <c r="H1476" s="16" t="n">
        <f aca="false">INDEX(Products!$D$2:$D$101,MATCH(D1476,Products!$A$2:$A$101,0))</f>
        <v>299</v>
      </c>
      <c r="I1476" s="16" t="n">
        <f aca="false">INDEX(Products!$E$2:$E$101,MATCH(D1476,Products!$A$2:$A$101,0))</f>
        <v>100</v>
      </c>
      <c r="J1476" s="20" t="n">
        <f aca="false">Orders!F1476</f>
        <v>0</v>
      </c>
      <c r="K1476" s="6" t="n">
        <f aca="false">G1476*H1476</f>
        <v>897</v>
      </c>
      <c r="L1476" s="6" t="n">
        <f aca="false">K1476*J1476</f>
        <v>0</v>
      </c>
      <c r="M1476" s="6" t="n">
        <f aca="false">K1476-L1476</f>
        <v>897</v>
      </c>
      <c r="N1476" s="6" t="n">
        <f aca="false">G1476*I1476</f>
        <v>300</v>
      </c>
      <c r="O1476" s="6" t="n">
        <f aca="false">M1476-N1476</f>
        <v>597</v>
      </c>
      <c r="P1476" s="21" t="n">
        <f aca="false">IFERROR(O1476/M1476,0)</f>
        <v>0.665551839464883</v>
      </c>
      <c r="Q1476" s="6" t="str">
        <f aca="false">Orders!H1476</f>
        <v>Delivered</v>
      </c>
      <c r="R1476" s="1" t="str">
        <f aca="false">INDEX(Customers!$C$2:$C$301,MATCH(C1476,Customers!$A$2:$A$301,0))</f>
        <v>Chandigarh</v>
      </c>
      <c r="S1476" s="1" t="str">
        <f aca="false">INDEX(Customers!$E$2:$E$301,MATCH(C1476,Customers!$A$2:$A$301,0))</f>
        <v>New</v>
      </c>
      <c r="T1476" s="6" t="str">
        <f aca="false">Orders!I1476</f>
        <v>Mobile App</v>
      </c>
      <c r="U1476" s="1" t="str">
        <f aca="false">IF(Q1476="Delivered","Completed",IF(Q1476="Cancelled","Cancelled",IF(Q1476="Returned","Returned","In Progress")))</f>
        <v>Completed</v>
      </c>
      <c r="V1476" s="1" t="str">
        <f aca="false">IF(M1476&gt;=10000,"High Value",IF(M1476&gt;=5000,"Medium Value","Low Value"))</f>
        <v>Low Value</v>
      </c>
      <c r="W1476" s="1" t="str">
        <f aca="false">IF(O1476&gt;0,"Profitable",IF(O1476=0,"Break-even","Loss"))</f>
        <v>Profitable</v>
      </c>
      <c r="X1476" s="1" t="str">
        <f aca="false">IF(Q1476="Cancelled","Not Applicable",IF(Q1476="Processing","Pending",IF(B1476="","Unknown",IF(Orders!J1476="","Unknown",IF(Orders!J1476&lt;=3,"Fast",IF(Orders!J1476&lt;=6,"Standard","Slow"))))))</f>
        <v>Standard</v>
      </c>
      <c r="Y1476" s="1" t="n">
        <f aca="false">IF(OR(Q1476="Cancelled",Q1476="Returned"),0,O1476)</f>
        <v>597</v>
      </c>
    </row>
    <row r="1477" customFormat="false" ht="15" hidden="false" customHeight="false" outlineLevel="0" collapsed="false">
      <c r="A1477" s="6" t="str">
        <f aca="false">Orders!A1477</f>
        <v>O001476</v>
      </c>
      <c r="B1477" s="19" t="n">
        <f aca="false">Orders!B1477</f>
        <v>45829</v>
      </c>
      <c r="C1477" s="6" t="str">
        <f aca="false">Orders!C1477</f>
        <v>C0009</v>
      </c>
      <c r="D1477" s="6" t="str">
        <f aca="false">Orders!D1477</f>
        <v>P1051</v>
      </c>
      <c r="E1477" s="6" t="str">
        <f aca="false">INDEX(Products!$B$2:$B$101,MATCH(D1477,Products!$A$2:$A$101,0))</f>
        <v>Body Lotion</v>
      </c>
      <c r="F1477" s="1" t="str">
        <f aca="false">INDEX(Products!$C$2:$C$101,MATCH(D1477,Products!$A$2:$A$101,0))</f>
        <v>Beauty</v>
      </c>
      <c r="G1477" s="6" t="n">
        <f aca="false">Orders!E1477</f>
        <v>1</v>
      </c>
      <c r="H1477" s="16" t="n">
        <f aca="false">INDEX(Products!$D$2:$D$101,MATCH(D1477,Products!$A$2:$A$101,0))</f>
        <v>399</v>
      </c>
      <c r="I1477" s="16" t="n">
        <f aca="false">INDEX(Products!$E$2:$E$101,MATCH(D1477,Products!$A$2:$A$101,0))</f>
        <v>170</v>
      </c>
      <c r="J1477" s="20" t="n">
        <f aca="false">Orders!F1477</f>
        <v>0.05</v>
      </c>
      <c r="K1477" s="6" t="n">
        <f aca="false">G1477*H1477</f>
        <v>399</v>
      </c>
      <c r="L1477" s="6" t="n">
        <f aca="false">K1477*J1477</f>
        <v>19.95</v>
      </c>
      <c r="M1477" s="6" t="n">
        <f aca="false">K1477-L1477</f>
        <v>379.05</v>
      </c>
      <c r="N1477" s="6" t="n">
        <f aca="false">G1477*I1477</f>
        <v>170</v>
      </c>
      <c r="O1477" s="6" t="n">
        <f aca="false">M1477-N1477</f>
        <v>209.05</v>
      </c>
      <c r="P1477" s="21" t="n">
        <f aca="false">IFERROR(O1477/M1477,0)</f>
        <v>0.551510354834455</v>
      </c>
      <c r="Q1477" s="6" t="str">
        <f aca="false">Orders!H1477</f>
        <v>Shipped</v>
      </c>
      <c r="R1477" s="1" t="str">
        <f aca="false">INDEX(Customers!$C$2:$C$301,MATCH(C1477,Customers!$A$2:$A$301,0))</f>
        <v>Ahmedabad</v>
      </c>
      <c r="S1477" s="1" t="str">
        <f aca="false">INDEX(Customers!$E$2:$E$301,MATCH(C1477,Customers!$A$2:$A$301,0))</f>
        <v>New</v>
      </c>
      <c r="T1477" s="6" t="str">
        <f aca="false">Orders!I1477</f>
        <v>Mobile App</v>
      </c>
      <c r="U1477" s="1" t="str">
        <f aca="false">IF(Q1477="Delivered","Completed",IF(Q1477="Cancelled","Cancelled",IF(Q1477="Returned","Returned","In Progress")))</f>
        <v>In Progress</v>
      </c>
      <c r="V1477" s="1" t="str">
        <f aca="false">IF(M1477&gt;=10000,"High Value",IF(M1477&gt;=5000,"Medium Value","Low Value"))</f>
        <v>Low Value</v>
      </c>
      <c r="W1477" s="1" t="str">
        <f aca="false">IF(O1477&gt;0,"Profitable",IF(O1477=0,"Break-even","Loss"))</f>
        <v>Profitable</v>
      </c>
      <c r="X1477" s="1" t="str">
        <f aca="false">IF(Q1477="Cancelled","Not Applicable",IF(Q1477="Processing","Pending",IF(B1477="","Unknown",IF(Orders!J1477="","Unknown",IF(Orders!J1477&lt;=3,"Fast",IF(Orders!J1477&lt;=6,"Standard","Slow"))))))</f>
        <v>Fast</v>
      </c>
      <c r="Y1477" s="1" t="n">
        <f aca="false">IF(OR(Q1477="Cancelled",Q1477="Returned"),0,O1477)</f>
        <v>209.05</v>
      </c>
    </row>
    <row r="1478" customFormat="false" ht="15" hidden="false" customHeight="false" outlineLevel="0" collapsed="false">
      <c r="A1478" s="6" t="str">
        <f aca="false">Orders!A1478</f>
        <v>O001477</v>
      </c>
      <c r="B1478" s="19" t="n">
        <f aca="false">Orders!B1478</f>
        <v>46001</v>
      </c>
      <c r="C1478" s="6" t="str">
        <f aca="false">Orders!C1478</f>
        <v>C0190</v>
      </c>
      <c r="D1478" s="6" t="str">
        <f aca="false">Orders!D1478</f>
        <v>P1004</v>
      </c>
      <c r="E1478" s="6" t="str">
        <f aca="false">INDEX(Products!$B$2:$B$101,MATCH(D1478,Products!$A$2:$A$101,0))</f>
        <v>USB-C Cable</v>
      </c>
      <c r="F1478" s="1" t="str">
        <f aca="false">INDEX(Products!$C$2:$C$101,MATCH(D1478,Products!$A$2:$A$101,0))</f>
        <v>Electronics</v>
      </c>
      <c r="G1478" s="6" t="n">
        <f aca="false">Orders!E1478</f>
        <v>1</v>
      </c>
      <c r="H1478" s="16" t="n">
        <f aca="false">INDEX(Products!$D$2:$D$101,MATCH(D1478,Products!$A$2:$A$101,0))</f>
        <v>299</v>
      </c>
      <c r="I1478" s="16" t="n">
        <f aca="false">INDEX(Products!$E$2:$E$101,MATCH(D1478,Products!$A$2:$A$101,0))</f>
        <v>120</v>
      </c>
      <c r="J1478" s="20" t="n">
        <f aca="false">Orders!F1478</f>
        <v>0.05</v>
      </c>
      <c r="K1478" s="6" t="n">
        <f aca="false">G1478*H1478</f>
        <v>299</v>
      </c>
      <c r="L1478" s="6" t="n">
        <f aca="false">K1478*J1478</f>
        <v>14.95</v>
      </c>
      <c r="M1478" s="6" t="n">
        <f aca="false">K1478-L1478</f>
        <v>284.05</v>
      </c>
      <c r="N1478" s="6" t="n">
        <f aca="false">G1478*I1478</f>
        <v>120</v>
      </c>
      <c r="O1478" s="6" t="n">
        <f aca="false">M1478-N1478</f>
        <v>164.05</v>
      </c>
      <c r="P1478" s="21" t="n">
        <f aca="false">IFERROR(O1478/M1478,0)</f>
        <v>0.577539165639852</v>
      </c>
      <c r="Q1478" s="6" t="str">
        <f aca="false">Orders!H1478</f>
        <v>Delivered</v>
      </c>
      <c r="R1478" s="1" t="str">
        <f aca="false">INDEX(Customers!$C$2:$C$301,MATCH(C1478,Customers!$A$2:$A$301,0))</f>
        <v>Lucknow</v>
      </c>
      <c r="S1478" s="1" t="str">
        <f aca="false">INDEX(Customers!$E$2:$E$301,MATCH(C1478,Customers!$A$2:$A$301,0))</f>
        <v>Returning</v>
      </c>
      <c r="T1478" s="6" t="str">
        <f aca="false">Orders!I1478</f>
        <v>Website</v>
      </c>
      <c r="U1478" s="1" t="str">
        <f aca="false">IF(Q1478="Delivered","Completed",IF(Q1478="Cancelled","Cancelled",IF(Q1478="Returned","Returned","In Progress")))</f>
        <v>Completed</v>
      </c>
      <c r="V1478" s="1" t="str">
        <f aca="false">IF(M1478&gt;=10000,"High Value",IF(M1478&gt;=5000,"Medium Value","Low Value"))</f>
        <v>Low Value</v>
      </c>
      <c r="W1478" s="1" t="str">
        <f aca="false">IF(O1478&gt;0,"Profitable",IF(O1478=0,"Break-even","Loss"))</f>
        <v>Profitable</v>
      </c>
      <c r="X1478" s="1" t="str">
        <f aca="false">IF(Q1478="Cancelled","Not Applicable",IF(Q1478="Processing","Pending",IF(B1478="","Unknown",IF(Orders!J1478="","Unknown",IF(Orders!J1478&lt;=3,"Fast",IF(Orders!J1478&lt;=6,"Standard","Slow"))))))</f>
        <v>Fast</v>
      </c>
      <c r="Y1478" s="1" t="n">
        <f aca="false">IF(OR(Q1478="Cancelled",Q1478="Returned"),0,O1478)</f>
        <v>164.05</v>
      </c>
    </row>
    <row r="1479" customFormat="false" ht="23.85" hidden="false" customHeight="false" outlineLevel="0" collapsed="false">
      <c r="A1479" s="6" t="str">
        <f aca="false">Orders!A1479</f>
        <v>O001478</v>
      </c>
      <c r="B1479" s="19" t="n">
        <f aca="false">Orders!B1479</f>
        <v>45831</v>
      </c>
      <c r="C1479" s="6" t="str">
        <f aca="false">Orders!C1479</f>
        <v>C0245</v>
      </c>
      <c r="D1479" s="6" t="str">
        <f aca="false">Orders!D1479</f>
        <v>P1070</v>
      </c>
      <c r="E1479" s="6" t="str">
        <f aca="false">INDEX(Products!$B$2:$B$101,MATCH(D1479,Products!$A$2:$A$101,0))</f>
        <v>Knee Support Pair</v>
      </c>
      <c r="F1479" s="1" t="str">
        <f aca="false">INDEX(Products!$C$2:$C$101,MATCH(D1479,Products!$A$2:$A$101,0))</f>
        <v>Sports &amp; Outdoors</v>
      </c>
      <c r="G1479" s="6" t="n">
        <f aca="false">Orders!E1479</f>
        <v>2</v>
      </c>
      <c r="H1479" s="16" t="n">
        <f aca="false">INDEX(Products!$D$2:$D$101,MATCH(D1479,Products!$A$2:$A$101,0))</f>
        <v>449</v>
      </c>
      <c r="I1479" s="16" t="n">
        <f aca="false">INDEX(Products!$E$2:$E$101,MATCH(D1479,Products!$A$2:$A$101,0))</f>
        <v>180</v>
      </c>
      <c r="J1479" s="20" t="n">
        <f aca="false">Orders!F1479</f>
        <v>0.2</v>
      </c>
      <c r="K1479" s="6" t="n">
        <f aca="false">G1479*H1479</f>
        <v>898</v>
      </c>
      <c r="L1479" s="6" t="n">
        <f aca="false">K1479*J1479</f>
        <v>179.6</v>
      </c>
      <c r="M1479" s="6" t="n">
        <f aca="false">K1479-L1479</f>
        <v>718.4</v>
      </c>
      <c r="N1479" s="6" t="n">
        <f aca="false">G1479*I1479</f>
        <v>360</v>
      </c>
      <c r="O1479" s="6" t="n">
        <f aca="false">M1479-N1479</f>
        <v>358.4</v>
      </c>
      <c r="P1479" s="21" t="n">
        <f aca="false">IFERROR(O1479/M1479,0)</f>
        <v>0.498886414253898</v>
      </c>
      <c r="Q1479" s="6" t="str">
        <f aca="false">Orders!H1479</f>
        <v>Delivered</v>
      </c>
      <c r="R1479" s="1" t="str">
        <f aca="false">INDEX(Customers!$C$2:$C$301,MATCH(C1479,Customers!$A$2:$A$301,0))</f>
        <v>Chennai</v>
      </c>
      <c r="S1479" s="1" t="str">
        <f aca="false">INDEX(Customers!$E$2:$E$301,MATCH(C1479,Customers!$A$2:$A$301,0))</f>
        <v>New</v>
      </c>
      <c r="T1479" s="6" t="str">
        <f aca="false">Orders!I1479</f>
        <v>Website</v>
      </c>
      <c r="U1479" s="1" t="str">
        <f aca="false">IF(Q1479="Delivered","Completed",IF(Q1479="Cancelled","Cancelled",IF(Q1479="Returned","Returned","In Progress")))</f>
        <v>Completed</v>
      </c>
      <c r="V1479" s="1" t="str">
        <f aca="false">IF(M1479&gt;=10000,"High Value",IF(M1479&gt;=5000,"Medium Value","Low Value"))</f>
        <v>Low Value</v>
      </c>
      <c r="W1479" s="1" t="str">
        <f aca="false">IF(O1479&gt;0,"Profitable",IF(O1479=0,"Break-even","Loss"))</f>
        <v>Profitable</v>
      </c>
      <c r="X1479" s="1" t="str">
        <f aca="false">IF(Q1479="Cancelled","Not Applicable",IF(Q1479="Processing","Pending",IF(B1479="","Unknown",IF(Orders!J1479="","Unknown",IF(Orders!J1479&lt;=3,"Fast",IF(Orders!J1479&lt;=6,"Standard","Slow"))))))</f>
        <v>Standard</v>
      </c>
      <c r="Y1479" s="1" t="n">
        <f aca="false">IF(OR(Q1479="Cancelled",Q1479="Returned"),0,O1479)</f>
        <v>358.4</v>
      </c>
    </row>
    <row r="1480" customFormat="false" ht="15" hidden="false" customHeight="false" outlineLevel="0" collapsed="false">
      <c r="A1480" s="6" t="str">
        <f aca="false">Orders!A1480</f>
        <v>O001479</v>
      </c>
      <c r="B1480" s="19" t="n">
        <f aca="false">Orders!B1480</f>
        <v>45849</v>
      </c>
      <c r="C1480" s="6" t="str">
        <f aca="false">Orders!C1480</f>
        <v>C0061</v>
      </c>
      <c r="D1480" s="6" t="str">
        <f aca="false">Orders!D1480</f>
        <v>P1006</v>
      </c>
      <c r="E1480" s="6" t="str">
        <f aca="false">INDEX(Products!$B$2:$B$101,MATCH(D1480,Products!$A$2:$A$101,0))</f>
        <v>Wireless Mouse</v>
      </c>
      <c r="F1480" s="1" t="str">
        <f aca="false">INDEX(Products!$C$2:$C$101,MATCH(D1480,Products!$A$2:$A$101,0))</f>
        <v>Electronics</v>
      </c>
      <c r="G1480" s="6" t="n">
        <f aca="false">Orders!E1480</f>
        <v>1</v>
      </c>
      <c r="H1480" s="16" t="n">
        <f aca="false">INDEX(Products!$D$2:$D$101,MATCH(D1480,Products!$A$2:$A$101,0))</f>
        <v>699</v>
      </c>
      <c r="I1480" s="16" t="n">
        <f aca="false">INDEX(Products!$E$2:$E$101,MATCH(D1480,Products!$A$2:$A$101,0))</f>
        <v>300</v>
      </c>
      <c r="J1480" s="20" t="n">
        <f aca="false">Orders!F1480</f>
        <v>0.2</v>
      </c>
      <c r="K1480" s="6" t="n">
        <f aca="false">G1480*H1480</f>
        <v>699</v>
      </c>
      <c r="L1480" s="6" t="n">
        <f aca="false">K1480*J1480</f>
        <v>139.8</v>
      </c>
      <c r="M1480" s="6" t="n">
        <f aca="false">K1480-L1480</f>
        <v>559.2</v>
      </c>
      <c r="N1480" s="6" t="n">
        <f aca="false">G1480*I1480</f>
        <v>300</v>
      </c>
      <c r="O1480" s="6" t="n">
        <f aca="false">M1480-N1480</f>
        <v>259.2</v>
      </c>
      <c r="P1480" s="21" t="n">
        <f aca="false">IFERROR(O1480/M1480,0)</f>
        <v>0.463519313304721</v>
      </c>
      <c r="Q1480" s="6" t="str">
        <f aca="false">Orders!H1480</f>
        <v>Cancelled</v>
      </c>
      <c r="R1480" s="1" t="str">
        <f aca="false">INDEX(Customers!$C$2:$C$301,MATCH(C1480,Customers!$A$2:$A$301,0))</f>
        <v>Delhi</v>
      </c>
      <c r="S1480" s="1" t="str">
        <f aca="false">INDEX(Customers!$E$2:$E$301,MATCH(C1480,Customers!$A$2:$A$301,0))</f>
        <v>New</v>
      </c>
      <c r="T1480" s="6" t="str">
        <f aca="false">Orders!I1480</f>
        <v>Marketplace</v>
      </c>
      <c r="U1480" s="1" t="str">
        <f aca="false">IF(Q1480="Delivered","Completed",IF(Q1480="Cancelled","Cancelled",IF(Q1480="Returned","Returned","In Progress")))</f>
        <v>Cancelled</v>
      </c>
      <c r="V1480" s="1" t="str">
        <f aca="false">IF(M1480&gt;=10000,"High Value",IF(M1480&gt;=5000,"Medium Value","Low Value"))</f>
        <v>Low Value</v>
      </c>
      <c r="W1480" s="1" t="str">
        <f aca="false">IF(O1480&gt;0,"Profitable",IF(O1480=0,"Break-even","Loss"))</f>
        <v>Profitable</v>
      </c>
      <c r="X1480" s="1" t="str">
        <f aca="false">IF(Q1480="Cancelled","Not Applicable",IF(Q1480="Processing","Pending",IF(B1480="","Unknown",IF(Orders!J1480="","Unknown",IF(Orders!J1480&lt;=3,"Fast",IF(Orders!J1480&lt;=6,"Standard","Slow"))))))</f>
        <v>Not Applicable</v>
      </c>
      <c r="Y1480" s="1" t="n">
        <f aca="false">IF(OR(Q1480="Cancelled",Q1480="Returned"),0,O1480)</f>
        <v>0</v>
      </c>
    </row>
    <row r="1481" customFormat="false" ht="15" hidden="false" customHeight="false" outlineLevel="0" collapsed="false">
      <c r="A1481" s="6" t="str">
        <f aca="false">Orders!A1481</f>
        <v>O001480</v>
      </c>
      <c r="B1481" s="19" t="n">
        <f aca="false">Orders!B1481</f>
        <v>45908</v>
      </c>
      <c r="C1481" s="6" t="str">
        <f aca="false">Orders!C1481</f>
        <v>C0108</v>
      </c>
      <c r="D1481" s="6" t="str">
        <f aca="false">Orders!D1481</f>
        <v>P1004</v>
      </c>
      <c r="E1481" s="6" t="str">
        <f aca="false">INDEX(Products!$B$2:$B$101,MATCH(D1481,Products!$A$2:$A$101,0))</f>
        <v>USB-C Cable</v>
      </c>
      <c r="F1481" s="1" t="str">
        <f aca="false">INDEX(Products!$C$2:$C$101,MATCH(D1481,Products!$A$2:$A$101,0))</f>
        <v>Electronics</v>
      </c>
      <c r="G1481" s="6" t="n">
        <f aca="false">Orders!E1481</f>
        <v>1</v>
      </c>
      <c r="H1481" s="16" t="n">
        <f aca="false">INDEX(Products!$D$2:$D$101,MATCH(D1481,Products!$A$2:$A$101,0))</f>
        <v>299</v>
      </c>
      <c r="I1481" s="16" t="n">
        <f aca="false">INDEX(Products!$E$2:$E$101,MATCH(D1481,Products!$A$2:$A$101,0))</f>
        <v>120</v>
      </c>
      <c r="J1481" s="20" t="n">
        <f aca="false">Orders!F1481</f>
        <v>0.1</v>
      </c>
      <c r="K1481" s="6" t="n">
        <f aca="false">G1481*H1481</f>
        <v>299</v>
      </c>
      <c r="L1481" s="6" t="n">
        <f aca="false">K1481*J1481</f>
        <v>29.9</v>
      </c>
      <c r="M1481" s="6" t="n">
        <f aca="false">K1481-L1481</f>
        <v>269.1</v>
      </c>
      <c r="N1481" s="6" t="n">
        <f aca="false">G1481*I1481</f>
        <v>120</v>
      </c>
      <c r="O1481" s="6" t="n">
        <f aca="false">M1481-N1481</f>
        <v>149.1</v>
      </c>
      <c r="P1481" s="21" t="n">
        <f aca="false">IFERROR(O1481/M1481,0)</f>
        <v>0.554069119286511</v>
      </c>
      <c r="Q1481" s="6" t="str">
        <f aca="false">Orders!H1481</f>
        <v>Delivered</v>
      </c>
      <c r="R1481" s="1" t="str">
        <f aca="false">INDEX(Customers!$C$2:$C$301,MATCH(C1481,Customers!$A$2:$A$301,0))</f>
        <v>Jaipur</v>
      </c>
      <c r="S1481" s="1" t="str">
        <f aca="false">INDEX(Customers!$E$2:$E$301,MATCH(C1481,Customers!$A$2:$A$301,0))</f>
        <v>Returning</v>
      </c>
      <c r="T1481" s="6" t="str">
        <f aca="false">Orders!I1481</f>
        <v>Marketplace</v>
      </c>
      <c r="U1481" s="1" t="str">
        <f aca="false">IF(Q1481="Delivered","Completed",IF(Q1481="Cancelled","Cancelled",IF(Q1481="Returned","Returned","In Progress")))</f>
        <v>Completed</v>
      </c>
      <c r="V1481" s="1" t="str">
        <f aca="false">IF(M1481&gt;=10000,"High Value",IF(M1481&gt;=5000,"Medium Value","Low Value"))</f>
        <v>Low Value</v>
      </c>
      <c r="W1481" s="1" t="str">
        <f aca="false">IF(O1481&gt;0,"Profitable",IF(O1481=0,"Break-even","Loss"))</f>
        <v>Profitable</v>
      </c>
      <c r="X1481" s="1" t="str">
        <f aca="false">IF(Q1481="Cancelled","Not Applicable",IF(Q1481="Processing","Pending",IF(B1481="","Unknown",IF(Orders!J1481="","Unknown",IF(Orders!J1481&lt;=3,"Fast",IF(Orders!J1481&lt;=6,"Standard","Slow"))))))</f>
        <v>Fast</v>
      </c>
      <c r="Y1481" s="1" t="n">
        <f aca="false">IF(OR(Q1481="Cancelled",Q1481="Returned"),0,O1481)</f>
        <v>149.1</v>
      </c>
    </row>
    <row r="1482" customFormat="false" ht="15" hidden="false" customHeight="false" outlineLevel="0" collapsed="false">
      <c r="A1482" s="6" t="str">
        <f aca="false">Orders!A1482</f>
        <v>O001481</v>
      </c>
      <c r="B1482" s="19" t="n">
        <f aca="false">Orders!B1482</f>
        <v>45799</v>
      </c>
      <c r="C1482" s="6" t="str">
        <f aca="false">Orders!C1482</f>
        <v>C0155</v>
      </c>
      <c r="D1482" s="6" t="str">
        <f aca="false">Orders!D1482</f>
        <v>P1056</v>
      </c>
      <c r="E1482" s="6" t="str">
        <f aca="false">INDEX(Products!$B$2:$B$101,MATCH(D1482,Products!$A$2:$A$101,0))</f>
        <v>Hair Dryer</v>
      </c>
      <c r="F1482" s="1" t="str">
        <f aca="false">INDEX(Products!$C$2:$C$101,MATCH(D1482,Products!$A$2:$A$101,0))</f>
        <v>Beauty</v>
      </c>
      <c r="G1482" s="6" t="n">
        <f aca="false">Orders!E1482</f>
        <v>1</v>
      </c>
      <c r="H1482" s="16" t="n">
        <f aca="false">INDEX(Products!$D$2:$D$101,MATCH(D1482,Products!$A$2:$A$101,0))</f>
        <v>1299</v>
      </c>
      <c r="I1482" s="16" t="n">
        <f aca="false">INDEX(Products!$E$2:$E$101,MATCH(D1482,Products!$A$2:$A$101,0))</f>
        <v>750</v>
      </c>
      <c r="J1482" s="20" t="n">
        <f aca="false">Orders!F1482</f>
        <v>0</v>
      </c>
      <c r="K1482" s="6" t="n">
        <f aca="false">G1482*H1482</f>
        <v>1299</v>
      </c>
      <c r="L1482" s="6" t="n">
        <f aca="false">K1482*J1482</f>
        <v>0</v>
      </c>
      <c r="M1482" s="6" t="n">
        <f aca="false">K1482-L1482</f>
        <v>1299</v>
      </c>
      <c r="N1482" s="6" t="n">
        <f aca="false">G1482*I1482</f>
        <v>750</v>
      </c>
      <c r="O1482" s="6" t="n">
        <f aca="false">M1482-N1482</f>
        <v>549</v>
      </c>
      <c r="P1482" s="21" t="n">
        <f aca="false">IFERROR(O1482/M1482,0)</f>
        <v>0.422632794457275</v>
      </c>
      <c r="Q1482" s="6" t="str">
        <f aca="false">Orders!H1482</f>
        <v>Cancelled</v>
      </c>
      <c r="R1482" s="1" t="str">
        <f aca="false">INDEX(Customers!$C$2:$C$301,MATCH(C1482,Customers!$A$2:$A$301,0))</f>
        <v>Bhopal</v>
      </c>
      <c r="S1482" s="1" t="str">
        <f aca="false">INDEX(Customers!$E$2:$E$301,MATCH(C1482,Customers!$A$2:$A$301,0))</f>
        <v>Returning</v>
      </c>
      <c r="T1482" s="6" t="str">
        <f aca="false">Orders!I1482</f>
        <v>Marketplace</v>
      </c>
      <c r="U1482" s="1" t="str">
        <f aca="false">IF(Q1482="Delivered","Completed",IF(Q1482="Cancelled","Cancelled",IF(Q1482="Returned","Returned","In Progress")))</f>
        <v>Cancelled</v>
      </c>
      <c r="V1482" s="1" t="str">
        <f aca="false">IF(M1482&gt;=10000,"High Value",IF(M1482&gt;=5000,"Medium Value","Low Value"))</f>
        <v>Low Value</v>
      </c>
      <c r="W1482" s="1" t="str">
        <f aca="false">IF(O1482&gt;0,"Profitable",IF(O1482=0,"Break-even","Loss"))</f>
        <v>Profitable</v>
      </c>
      <c r="X1482" s="1" t="str">
        <f aca="false">IF(Q1482="Cancelled","Not Applicable",IF(Q1482="Processing","Pending",IF(B1482="","Unknown",IF(Orders!J1482="","Unknown",IF(Orders!J1482&lt;=3,"Fast",IF(Orders!J1482&lt;=6,"Standard","Slow"))))))</f>
        <v>Not Applicable</v>
      </c>
      <c r="Y1482" s="1" t="n">
        <f aca="false">IF(OR(Q1482="Cancelled",Q1482="Returned"),0,O1482)</f>
        <v>0</v>
      </c>
    </row>
    <row r="1483" customFormat="false" ht="23.85" hidden="false" customHeight="false" outlineLevel="0" collapsed="false">
      <c r="A1483" s="6" t="str">
        <f aca="false">Orders!A1483</f>
        <v>O001482</v>
      </c>
      <c r="B1483" s="19" t="n">
        <f aca="false">Orders!B1483</f>
        <v>45980</v>
      </c>
      <c r="C1483" s="6" t="str">
        <f aca="false">Orders!C1483</f>
        <v>C0090</v>
      </c>
      <c r="D1483" s="6" t="str">
        <f aca="false">Orders!D1483</f>
        <v>P1001</v>
      </c>
      <c r="E1483" s="6" t="str">
        <f aca="false">INDEX(Products!$B$2:$B$101,MATCH(D1483,Products!$A$2:$A$101,0))</f>
        <v>Wireless Earbuds</v>
      </c>
      <c r="F1483" s="1" t="str">
        <f aca="false">INDEX(Products!$C$2:$C$101,MATCH(D1483,Products!$A$2:$A$101,0))</f>
        <v>Electronics</v>
      </c>
      <c r="G1483" s="6" t="n">
        <f aca="false">Orders!E1483</f>
        <v>1</v>
      </c>
      <c r="H1483" s="16" t="n">
        <f aca="false">INDEX(Products!$D$2:$D$101,MATCH(D1483,Products!$A$2:$A$101,0))</f>
        <v>899</v>
      </c>
      <c r="I1483" s="16" t="n">
        <f aca="false">INDEX(Products!$E$2:$E$101,MATCH(D1483,Products!$A$2:$A$101,0))</f>
        <v>499</v>
      </c>
      <c r="J1483" s="20" t="n">
        <f aca="false">Orders!F1483</f>
        <v>0.05</v>
      </c>
      <c r="K1483" s="6" t="n">
        <f aca="false">G1483*H1483</f>
        <v>899</v>
      </c>
      <c r="L1483" s="6" t="n">
        <f aca="false">K1483*J1483</f>
        <v>44.95</v>
      </c>
      <c r="M1483" s="6" t="n">
        <f aca="false">K1483-L1483</f>
        <v>854.05</v>
      </c>
      <c r="N1483" s="6" t="n">
        <f aca="false">G1483*I1483</f>
        <v>499</v>
      </c>
      <c r="O1483" s="6" t="n">
        <f aca="false">M1483-N1483</f>
        <v>355.05</v>
      </c>
      <c r="P1483" s="21" t="n">
        <f aca="false">IFERROR(O1483/M1483,0)</f>
        <v>0.415725074644342</v>
      </c>
      <c r="Q1483" s="6" t="str">
        <f aca="false">Orders!H1483</f>
        <v>Delivered</v>
      </c>
      <c r="R1483" s="1" t="str">
        <f aca="false">INDEX(Customers!$C$2:$C$301,MATCH(C1483,Customers!$A$2:$A$301,0))</f>
        <v>Lucknow</v>
      </c>
      <c r="S1483" s="1" t="str">
        <f aca="false">INDEX(Customers!$E$2:$E$301,MATCH(C1483,Customers!$A$2:$A$301,0))</f>
        <v>New</v>
      </c>
      <c r="T1483" s="6" t="str">
        <f aca="false">Orders!I1483</f>
        <v>Marketplace</v>
      </c>
      <c r="U1483" s="1" t="str">
        <f aca="false">IF(Q1483="Delivered","Completed",IF(Q1483="Cancelled","Cancelled",IF(Q1483="Returned","Returned","In Progress")))</f>
        <v>Completed</v>
      </c>
      <c r="V1483" s="1" t="str">
        <f aca="false">IF(M1483&gt;=10000,"High Value",IF(M1483&gt;=5000,"Medium Value","Low Value"))</f>
        <v>Low Value</v>
      </c>
      <c r="W1483" s="1" t="str">
        <f aca="false">IF(O1483&gt;0,"Profitable",IF(O1483=0,"Break-even","Loss"))</f>
        <v>Profitable</v>
      </c>
      <c r="X1483" s="1" t="str">
        <f aca="false">IF(Q1483="Cancelled","Not Applicable",IF(Q1483="Processing","Pending",IF(B1483="","Unknown",IF(Orders!J1483="","Unknown",IF(Orders!J1483&lt;=3,"Fast",IF(Orders!J1483&lt;=6,"Standard","Slow"))))))</f>
        <v>Fast</v>
      </c>
      <c r="Y1483" s="1" t="n">
        <f aca="false">IF(OR(Q1483="Cancelled",Q1483="Returned"),0,O1483)</f>
        <v>355.05</v>
      </c>
    </row>
    <row r="1484" customFormat="false" ht="15" hidden="false" customHeight="false" outlineLevel="0" collapsed="false">
      <c r="A1484" s="6" t="str">
        <f aca="false">Orders!A1484</f>
        <v>O001483</v>
      </c>
      <c r="B1484" s="19" t="n">
        <f aca="false">Orders!B1484</f>
        <v>45678</v>
      </c>
      <c r="C1484" s="6" t="str">
        <f aca="false">Orders!C1484</f>
        <v>C0171</v>
      </c>
      <c r="D1484" s="6" t="str">
        <f aca="false">Orders!D1484</f>
        <v>P1051</v>
      </c>
      <c r="E1484" s="6" t="str">
        <f aca="false">INDEX(Products!$B$2:$B$101,MATCH(D1484,Products!$A$2:$A$101,0))</f>
        <v>Body Lotion</v>
      </c>
      <c r="F1484" s="1" t="str">
        <f aca="false">INDEX(Products!$C$2:$C$101,MATCH(D1484,Products!$A$2:$A$101,0))</f>
        <v>Beauty</v>
      </c>
      <c r="G1484" s="6" t="n">
        <f aca="false">Orders!E1484</f>
        <v>2</v>
      </c>
      <c r="H1484" s="16" t="n">
        <f aca="false">INDEX(Products!$D$2:$D$101,MATCH(D1484,Products!$A$2:$A$101,0))</f>
        <v>399</v>
      </c>
      <c r="I1484" s="16" t="n">
        <f aca="false">INDEX(Products!$E$2:$E$101,MATCH(D1484,Products!$A$2:$A$101,0))</f>
        <v>170</v>
      </c>
      <c r="J1484" s="20" t="n">
        <f aca="false">Orders!F1484</f>
        <v>0.05</v>
      </c>
      <c r="K1484" s="6" t="n">
        <f aca="false">G1484*H1484</f>
        <v>798</v>
      </c>
      <c r="L1484" s="6" t="n">
        <f aca="false">K1484*J1484</f>
        <v>39.9</v>
      </c>
      <c r="M1484" s="6" t="n">
        <f aca="false">K1484-L1484</f>
        <v>758.1</v>
      </c>
      <c r="N1484" s="6" t="n">
        <f aca="false">G1484*I1484</f>
        <v>340</v>
      </c>
      <c r="O1484" s="6" t="n">
        <f aca="false">M1484-N1484</f>
        <v>418.1</v>
      </c>
      <c r="P1484" s="21" t="n">
        <f aca="false">IFERROR(O1484/M1484,0)</f>
        <v>0.551510354834455</v>
      </c>
      <c r="Q1484" s="6" t="str">
        <f aca="false">Orders!H1484</f>
        <v>Delivered</v>
      </c>
      <c r="R1484" s="1" t="str">
        <f aca="false">INDEX(Customers!$C$2:$C$301,MATCH(C1484,Customers!$A$2:$A$301,0))</f>
        <v>Gurugram</v>
      </c>
      <c r="S1484" s="1" t="str">
        <f aca="false">INDEX(Customers!$E$2:$E$301,MATCH(C1484,Customers!$A$2:$A$301,0))</f>
        <v>New</v>
      </c>
      <c r="T1484" s="6" t="str">
        <f aca="false">Orders!I1484</f>
        <v>Mobile App</v>
      </c>
      <c r="U1484" s="1" t="str">
        <f aca="false">IF(Q1484="Delivered","Completed",IF(Q1484="Cancelled","Cancelled",IF(Q1484="Returned","Returned","In Progress")))</f>
        <v>Completed</v>
      </c>
      <c r="V1484" s="1" t="str">
        <f aca="false">IF(M1484&gt;=10000,"High Value",IF(M1484&gt;=5000,"Medium Value","Low Value"))</f>
        <v>Low Value</v>
      </c>
      <c r="W1484" s="1" t="str">
        <f aca="false">IF(O1484&gt;0,"Profitable",IF(O1484=0,"Break-even","Loss"))</f>
        <v>Profitable</v>
      </c>
      <c r="X1484" s="1" t="str">
        <f aca="false">IF(Q1484="Cancelled","Not Applicable",IF(Q1484="Processing","Pending",IF(B1484="","Unknown",IF(Orders!J1484="","Unknown",IF(Orders!J1484&lt;=3,"Fast",IF(Orders!J1484&lt;=6,"Standard","Slow"))))))</f>
        <v>Standard</v>
      </c>
      <c r="Y1484" s="1" t="n">
        <f aca="false">IF(OR(Q1484="Cancelled",Q1484="Returned"),0,O1484)</f>
        <v>418.1</v>
      </c>
    </row>
    <row r="1485" customFormat="false" ht="15" hidden="false" customHeight="false" outlineLevel="0" collapsed="false">
      <c r="A1485" s="6" t="str">
        <f aca="false">Orders!A1485</f>
        <v>O001484</v>
      </c>
      <c r="B1485" s="19" t="n">
        <f aca="false">Orders!B1485</f>
        <v>45921</v>
      </c>
      <c r="C1485" s="6" t="str">
        <f aca="false">Orders!C1485</f>
        <v>C0062</v>
      </c>
      <c r="D1485" s="6" t="str">
        <f aca="false">Orders!D1485</f>
        <v>P1059</v>
      </c>
      <c r="E1485" s="6" t="str">
        <f aca="false">INDEX(Products!$B$2:$B$101,MATCH(D1485,Products!$A$2:$A$101,0))</f>
        <v>Bath Gift Set</v>
      </c>
      <c r="F1485" s="1" t="str">
        <f aca="false">INDEX(Products!$C$2:$C$101,MATCH(D1485,Products!$A$2:$A$101,0))</f>
        <v>Beauty</v>
      </c>
      <c r="G1485" s="6" t="n">
        <f aca="false">Orders!E1485</f>
        <v>1</v>
      </c>
      <c r="H1485" s="16" t="n">
        <f aca="false">INDEX(Products!$D$2:$D$101,MATCH(D1485,Products!$A$2:$A$101,0))</f>
        <v>699</v>
      </c>
      <c r="I1485" s="16" t="n">
        <f aca="false">INDEX(Products!$E$2:$E$101,MATCH(D1485,Products!$A$2:$A$101,0))</f>
        <v>350</v>
      </c>
      <c r="J1485" s="20" t="n">
        <f aca="false">Orders!F1485</f>
        <v>0.1</v>
      </c>
      <c r="K1485" s="6" t="n">
        <f aca="false">G1485*H1485</f>
        <v>699</v>
      </c>
      <c r="L1485" s="6" t="n">
        <f aca="false">K1485*J1485</f>
        <v>69.9</v>
      </c>
      <c r="M1485" s="6" t="n">
        <f aca="false">K1485-L1485</f>
        <v>629.1</v>
      </c>
      <c r="N1485" s="6" t="n">
        <f aca="false">G1485*I1485</f>
        <v>350</v>
      </c>
      <c r="O1485" s="6" t="n">
        <f aca="false">M1485-N1485</f>
        <v>279.1</v>
      </c>
      <c r="P1485" s="21" t="n">
        <f aca="false">IFERROR(O1485/M1485,0)</f>
        <v>0.443649658241933</v>
      </c>
      <c r="Q1485" s="6" t="str">
        <f aca="false">Orders!H1485</f>
        <v>Delivered</v>
      </c>
      <c r="R1485" s="1" t="str">
        <f aca="false">INDEX(Customers!$C$2:$C$301,MATCH(C1485,Customers!$A$2:$A$301,0))</f>
        <v>Mumbai</v>
      </c>
      <c r="S1485" s="1" t="str">
        <f aca="false">INDEX(Customers!$E$2:$E$301,MATCH(C1485,Customers!$A$2:$A$301,0))</f>
        <v>VIP</v>
      </c>
      <c r="T1485" s="6" t="str">
        <f aca="false">Orders!I1485</f>
        <v>Mobile App</v>
      </c>
      <c r="U1485" s="1" t="str">
        <f aca="false">IF(Q1485="Delivered","Completed",IF(Q1485="Cancelled","Cancelled",IF(Q1485="Returned","Returned","In Progress")))</f>
        <v>Completed</v>
      </c>
      <c r="V1485" s="1" t="str">
        <f aca="false">IF(M1485&gt;=10000,"High Value",IF(M1485&gt;=5000,"Medium Value","Low Value"))</f>
        <v>Low Value</v>
      </c>
      <c r="W1485" s="1" t="str">
        <f aca="false">IF(O1485&gt;0,"Profitable",IF(O1485=0,"Break-even","Loss"))</f>
        <v>Profitable</v>
      </c>
      <c r="X1485" s="1" t="str">
        <f aca="false">IF(Q1485="Cancelled","Not Applicable",IF(Q1485="Processing","Pending",IF(B1485="","Unknown",IF(Orders!J1485="","Unknown",IF(Orders!J1485&lt;=3,"Fast",IF(Orders!J1485&lt;=6,"Standard","Slow"))))))</f>
        <v>Standard</v>
      </c>
      <c r="Y1485" s="1" t="n">
        <f aca="false">IF(OR(Q1485="Cancelled",Q1485="Returned"),0,O1485)</f>
        <v>279.1</v>
      </c>
    </row>
    <row r="1486" customFormat="false" ht="15" hidden="false" customHeight="false" outlineLevel="0" collapsed="false">
      <c r="A1486" s="6" t="str">
        <f aca="false">Orders!A1486</f>
        <v>O001485</v>
      </c>
      <c r="B1486" s="19" t="n">
        <f aca="false">Orders!B1486</f>
        <v>45991</v>
      </c>
      <c r="C1486" s="6" t="str">
        <f aca="false">Orders!C1486</f>
        <v>C0095</v>
      </c>
      <c r="D1486" s="6" t="str">
        <f aca="false">Orders!D1486</f>
        <v>P1100</v>
      </c>
      <c r="E1486" s="6" t="str">
        <f aca="false">INDEX(Products!$B$2:$B$101,MATCH(D1486,Products!$A$2:$A$101,0))</f>
        <v>Coffee Maker</v>
      </c>
      <c r="F1486" s="1" t="str">
        <f aca="false">INDEX(Products!$C$2:$C$101,MATCH(D1486,Products!$A$2:$A$101,0))</f>
        <v>Appliances</v>
      </c>
      <c r="G1486" s="6" t="n">
        <f aca="false">Orders!E1486</f>
        <v>1</v>
      </c>
      <c r="H1486" s="16" t="n">
        <f aca="false">INDEX(Products!$D$2:$D$101,MATCH(D1486,Products!$A$2:$A$101,0))</f>
        <v>2499</v>
      </c>
      <c r="I1486" s="16" t="n">
        <f aca="false">INDEX(Products!$E$2:$E$101,MATCH(D1486,Products!$A$2:$A$101,0))</f>
        <v>1600</v>
      </c>
      <c r="J1486" s="20" t="n">
        <f aca="false">Orders!F1486</f>
        <v>0.25</v>
      </c>
      <c r="K1486" s="6" t="n">
        <f aca="false">G1486*H1486</f>
        <v>2499</v>
      </c>
      <c r="L1486" s="6" t="n">
        <f aca="false">K1486*J1486</f>
        <v>624.75</v>
      </c>
      <c r="M1486" s="6" t="n">
        <f aca="false">K1486-L1486</f>
        <v>1874.25</v>
      </c>
      <c r="N1486" s="6" t="n">
        <f aca="false">G1486*I1486</f>
        <v>1600</v>
      </c>
      <c r="O1486" s="6" t="n">
        <f aca="false">M1486-N1486</f>
        <v>274.25</v>
      </c>
      <c r="P1486" s="21" t="n">
        <f aca="false">IFERROR(O1486/M1486,0)</f>
        <v>0.146325196745365</v>
      </c>
      <c r="Q1486" s="6" t="str">
        <f aca="false">Orders!H1486</f>
        <v>Delivered</v>
      </c>
      <c r="R1486" s="1" t="str">
        <f aca="false">INDEX(Customers!$C$2:$C$301,MATCH(C1486,Customers!$A$2:$A$301,0))</f>
        <v>Bhopal</v>
      </c>
      <c r="S1486" s="1" t="str">
        <f aca="false">INDEX(Customers!$E$2:$E$301,MATCH(C1486,Customers!$A$2:$A$301,0))</f>
        <v>Returning</v>
      </c>
      <c r="T1486" s="6" t="str">
        <f aca="false">Orders!I1486</f>
        <v>Website</v>
      </c>
      <c r="U1486" s="1" t="str">
        <f aca="false">IF(Q1486="Delivered","Completed",IF(Q1486="Cancelled","Cancelled",IF(Q1486="Returned","Returned","In Progress")))</f>
        <v>Completed</v>
      </c>
      <c r="V1486" s="1" t="str">
        <f aca="false">IF(M1486&gt;=10000,"High Value",IF(M1486&gt;=5000,"Medium Value","Low Value"))</f>
        <v>Low Value</v>
      </c>
      <c r="W1486" s="1" t="str">
        <f aca="false">IF(O1486&gt;0,"Profitable",IF(O1486=0,"Break-even","Loss"))</f>
        <v>Profitable</v>
      </c>
      <c r="X1486" s="1" t="str">
        <f aca="false">IF(Q1486="Cancelled","Not Applicable",IF(Q1486="Processing","Pending",IF(B1486="","Unknown",IF(Orders!J1486="","Unknown",IF(Orders!J1486&lt;=3,"Fast",IF(Orders!J1486&lt;=6,"Standard","Slow"))))))</f>
        <v>Slow</v>
      </c>
      <c r="Y1486" s="1" t="n">
        <f aca="false">IF(OR(Q1486="Cancelled",Q1486="Returned"),0,O1486)</f>
        <v>274.25</v>
      </c>
    </row>
    <row r="1487" customFormat="false" ht="15" hidden="false" customHeight="false" outlineLevel="0" collapsed="false">
      <c r="A1487" s="6" t="str">
        <f aca="false">Orders!A1487</f>
        <v>O001486</v>
      </c>
      <c r="B1487" s="19" t="n">
        <f aca="false">Orders!B1487</f>
        <v>45914</v>
      </c>
      <c r="C1487" s="6" t="str">
        <f aca="false">Orders!C1487</f>
        <v>C0271</v>
      </c>
      <c r="D1487" s="6" t="str">
        <f aca="false">Orders!D1487</f>
        <v>P1005</v>
      </c>
      <c r="E1487" s="6" t="str">
        <f aca="false">INDEX(Products!$B$2:$B$101,MATCH(D1487,Products!$A$2:$A$101,0))</f>
        <v>Power Bank</v>
      </c>
      <c r="F1487" s="1" t="str">
        <f aca="false">INDEX(Products!$C$2:$C$101,MATCH(D1487,Products!$A$2:$A$101,0))</f>
        <v>Electronics</v>
      </c>
      <c r="G1487" s="6" t="n">
        <f aca="false">Orders!E1487</f>
        <v>1</v>
      </c>
      <c r="H1487" s="16" t="n">
        <f aca="false">INDEX(Products!$D$2:$D$101,MATCH(D1487,Products!$A$2:$A$101,0))</f>
        <v>1199</v>
      </c>
      <c r="I1487" s="16" t="n">
        <f aca="false">INDEX(Products!$E$2:$E$101,MATCH(D1487,Products!$A$2:$A$101,0))</f>
        <v>650</v>
      </c>
      <c r="J1487" s="20" t="n">
        <f aca="false">Orders!F1487</f>
        <v>0.1</v>
      </c>
      <c r="K1487" s="6" t="n">
        <f aca="false">G1487*H1487</f>
        <v>1199</v>
      </c>
      <c r="L1487" s="6" t="n">
        <f aca="false">K1487*J1487</f>
        <v>119.9</v>
      </c>
      <c r="M1487" s="6" t="n">
        <f aca="false">K1487-L1487</f>
        <v>1079.1</v>
      </c>
      <c r="N1487" s="6" t="n">
        <f aca="false">G1487*I1487</f>
        <v>650</v>
      </c>
      <c r="O1487" s="6" t="n">
        <f aca="false">M1487-N1487</f>
        <v>429.1</v>
      </c>
      <c r="P1487" s="21" t="n">
        <f aca="false">IFERROR(O1487/M1487,0)</f>
        <v>0.397646186637012</v>
      </c>
      <c r="Q1487" s="6" t="str">
        <f aca="false">Orders!H1487</f>
        <v>Delivered</v>
      </c>
      <c r="R1487" s="1" t="str">
        <f aca="false">INDEX(Customers!$C$2:$C$301,MATCH(C1487,Customers!$A$2:$A$301,0))</f>
        <v>Gurugram</v>
      </c>
      <c r="S1487" s="1" t="str">
        <f aca="false">INDEX(Customers!$E$2:$E$301,MATCH(C1487,Customers!$A$2:$A$301,0))</f>
        <v>New</v>
      </c>
      <c r="T1487" s="6" t="str">
        <f aca="false">Orders!I1487</f>
        <v>Website</v>
      </c>
      <c r="U1487" s="1" t="str">
        <f aca="false">IF(Q1487="Delivered","Completed",IF(Q1487="Cancelled","Cancelled",IF(Q1487="Returned","Returned","In Progress")))</f>
        <v>Completed</v>
      </c>
      <c r="V1487" s="1" t="str">
        <f aca="false">IF(M1487&gt;=10000,"High Value",IF(M1487&gt;=5000,"Medium Value","Low Value"))</f>
        <v>Low Value</v>
      </c>
      <c r="W1487" s="1" t="str">
        <f aca="false">IF(O1487&gt;0,"Profitable",IF(O1487=0,"Break-even","Loss"))</f>
        <v>Profitable</v>
      </c>
      <c r="X1487" s="1" t="str">
        <f aca="false">IF(Q1487="Cancelled","Not Applicable",IF(Q1487="Processing","Pending",IF(B1487="","Unknown",IF(Orders!J1487="","Unknown",IF(Orders!J1487&lt;=3,"Fast",IF(Orders!J1487&lt;=6,"Standard","Slow"))))))</f>
        <v>Fast</v>
      </c>
      <c r="Y1487" s="1" t="n">
        <f aca="false">IF(OR(Q1487="Cancelled",Q1487="Returned"),0,O1487)</f>
        <v>429.1</v>
      </c>
    </row>
    <row r="1488" customFormat="false" ht="15" hidden="false" customHeight="false" outlineLevel="0" collapsed="false">
      <c r="A1488" s="6" t="str">
        <f aca="false">Orders!A1488</f>
        <v>O001487</v>
      </c>
      <c r="B1488" s="19" t="n">
        <f aca="false">Orders!B1488</f>
        <v>45977</v>
      </c>
      <c r="C1488" s="6" t="str">
        <f aca="false">Orders!C1488</f>
        <v>C0285</v>
      </c>
      <c r="D1488" s="6" t="str">
        <f aca="false">Orders!D1488</f>
        <v>P1059</v>
      </c>
      <c r="E1488" s="6" t="str">
        <f aca="false">INDEX(Products!$B$2:$B$101,MATCH(D1488,Products!$A$2:$A$101,0))</f>
        <v>Bath Gift Set</v>
      </c>
      <c r="F1488" s="1" t="str">
        <f aca="false">INDEX(Products!$C$2:$C$101,MATCH(D1488,Products!$A$2:$A$101,0))</f>
        <v>Beauty</v>
      </c>
      <c r="G1488" s="6" t="n">
        <f aca="false">Orders!E1488</f>
        <v>4</v>
      </c>
      <c r="H1488" s="16" t="n">
        <f aca="false">INDEX(Products!$D$2:$D$101,MATCH(D1488,Products!$A$2:$A$101,0))</f>
        <v>699</v>
      </c>
      <c r="I1488" s="16" t="n">
        <f aca="false">INDEX(Products!$E$2:$E$101,MATCH(D1488,Products!$A$2:$A$101,0))</f>
        <v>350</v>
      </c>
      <c r="J1488" s="20" t="n">
        <f aca="false">Orders!F1488</f>
        <v>0.2</v>
      </c>
      <c r="K1488" s="6" t="n">
        <f aca="false">G1488*H1488</f>
        <v>2796</v>
      </c>
      <c r="L1488" s="6" t="n">
        <f aca="false">K1488*J1488</f>
        <v>559.2</v>
      </c>
      <c r="M1488" s="6" t="n">
        <f aca="false">K1488-L1488</f>
        <v>2236.8</v>
      </c>
      <c r="N1488" s="6" t="n">
        <f aca="false">G1488*I1488</f>
        <v>1400</v>
      </c>
      <c r="O1488" s="6" t="n">
        <f aca="false">M1488-N1488</f>
        <v>836.8</v>
      </c>
      <c r="P1488" s="21" t="n">
        <f aca="false">IFERROR(O1488/M1488,0)</f>
        <v>0.374105865522175</v>
      </c>
      <c r="Q1488" s="6" t="str">
        <f aca="false">Orders!H1488</f>
        <v>Delivered</v>
      </c>
      <c r="R1488" s="1" t="str">
        <f aca="false">INDEX(Customers!$C$2:$C$301,MATCH(C1488,Customers!$A$2:$A$301,0))</f>
        <v>Chennai</v>
      </c>
      <c r="S1488" s="1" t="str">
        <f aca="false">INDEX(Customers!$E$2:$E$301,MATCH(C1488,Customers!$A$2:$A$301,0))</f>
        <v>New</v>
      </c>
      <c r="T1488" s="6" t="str">
        <f aca="false">Orders!I1488</f>
        <v>Marketplace</v>
      </c>
      <c r="U1488" s="1" t="str">
        <f aca="false">IF(Q1488="Delivered","Completed",IF(Q1488="Cancelled","Cancelled",IF(Q1488="Returned","Returned","In Progress")))</f>
        <v>Completed</v>
      </c>
      <c r="V1488" s="1" t="str">
        <f aca="false">IF(M1488&gt;=10000,"High Value",IF(M1488&gt;=5000,"Medium Value","Low Value"))</f>
        <v>Low Value</v>
      </c>
      <c r="W1488" s="1" t="str">
        <f aca="false">IF(O1488&gt;0,"Profitable",IF(O1488=0,"Break-even","Loss"))</f>
        <v>Profitable</v>
      </c>
      <c r="X1488" s="1" t="str">
        <f aca="false">IF(Q1488="Cancelled","Not Applicable",IF(Q1488="Processing","Pending",IF(B1488="","Unknown",IF(Orders!J1488="","Unknown",IF(Orders!J1488&lt;=3,"Fast",IF(Orders!J1488&lt;=6,"Standard","Slow"))))))</f>
        <v>Fast</v>
      </c>
      <c r="Y1488" s="1" t="n">
        <f aca="false">IF(OR(Q1488="Cancelled",Q1488="Returned"),0,O1488)</f>
        <v>836.8</v>
      </c>
    </row>
    <row r="1489" customFormat="false" ht="23.85" hidden="false" customHeight="false" outlineLevel="0" collapsed="false">
      <c r="A1489" s="6" t="str">
        <f aca="false">Orders!A1489</f>
        <v>O001488</v>
      </c>
      <c r="B1489" s="19" t="n">
        <f aca="false">Orders!B1489</f>
        <v>45876</v>
      </c>
      <c r="C1489" s="6" t="str">
        <f aca="false">Orders!C1489</f>
        <v>C0039</v>
      </c>
      <c r="D1489" s="6" t="str">
        <f aca="false">Orders!D1489</f>
        <v>P1061</v>
      </c>
      <c r="E1489" s="6" t="str">
        <f aca="false">INDEX(Products!$B$2:$B$101,MATCH(D1489,Products!$A$2:$A$101,0))</f>
        <v>Resistance Bands</v>
      </c>
      <c r="F1489" s="1" t="str">
        <f aca="false">INDEX(Products!$C$2:$C$101,MATCH(D1489,Products!$A$2:$A$101,0))</f>
        <v>Sports &amp; Outdoors</v>
      </c>
      <c r="G1489" s="6" t="n">
        <f aca="false">Orders!E1489</f>
        <v>1</v>
      </c>
      <c r="H1489" s="16" t="n">
        <f aca="false">INDEX(Products!$D$2:$D$101,MATCH(D1489,Products!$A$2:$A$101,0))</f>
        <v>399</v>
      </c>
      <c r="I1489" s="16" t="n">
        <f aca="false">INDEX(Products!$E$2:$E$101,MATCH(D1489,Products!$A$2:$A$101,0))</f>
        <v>150</v>
      </c>
      <c r="J1489" s="20" t="n">
        <f aca="false">Orders!F1489</f>
        <v>0.15</v>
      </c>
      <c r="K1489" s="6" t="n">
        <f aca="false">G1489*H1489</f>
        <v>399</v>
      </c>
      <c r="L1489" s="6" t="n">
        <f aca="false">K1489*J1489</f>
        <v>59.85</v>
      </c>
      <c r="M1489" s="6" t="n">
        <f aca="false">K1489-L1489</f>
        <v>339.15</v>
      </c>
      <c r="N1489" s="6" t="n">
        <f aca="false">G1489*I1489</f>
        <v>150</v>
      </c>
      <c r="O1489" s="6" t="n">
        <f aca="false">M1489-N1489</f>
        <v>189.15</v>
      </c>
      <c r="P1489" s="21" t="n">
        <f aca="false">IFERROR(O1489/M1489,0)</f>
        <v>0.557717823971694</v>
      </c>
      <c r="Q1489" s="6" t="str">
        <f aca="false">Orders!H1489</f>
        <v>Returned</v>
      </c>
      <c r="R1489" s="1" t="str">
        <f aca="false">INDEX(Customers!$C$2:$C$301,MATCH(C1489,Customers!$A$2:$A$301,0))</f>
        <v>Coimbatore</v>
      </c>
      <c r="S1489" s="1" t="str">
        <f aca="false">INDEX(Customers!$E$2:$E$301,MATCH(C1489,Customers!$A$2:$A$301,0))</f>
        <v>Returning</v>
      </c>
      <c r="T1489" s="6" t="str">
        <f aca="false">Orders!I1489</f>
        <v>Mobile App</v>
      </c>
      <c r="U1489" s="1" t="str">
        <f aca="false">IF(Q1489="Delivered","Completed",IF(Q1489="Cancelled","Cancelled",IF(Q1489="Returned","Returned","In Progress")))</f>
        <v>Returned</v>
      </c>
      <c r="V1489" s="1" t="str">
        <f aca="false">IF(M1489&gt;=10000,"High Value",IF(M1489&gt;=5000,"Medium Value","Low Value"))</f>
        <v>Low Value</v>
      </c>
      <c r="W1489" s="1" t="str">
        <f aca="false">IF(O1489&gt;0,"Profitable",IF(O1489=0,"Break-even","Loss"))</f>
        <v>Profitable</v>
      </c>
      <c r="X1489" s="1" t="str">
        <f aca="false">IF(Q1489="Cancelled","Not Applicable",IF(Q1489="Processing","Pending",IF(B1489="","Unknown",IF(Orders!J1489="","Unknown",IF(Orders!J1489&lt;=3,"Fast",IF(Orders!J1489&lt;=6,"Standard","Slow"))))))</f>
        <v>Fast</v>
      </c>
      <c r="Y1489" s="1" t="n">
        <f aca="false">IF(OR(Q1489="Cancelled",Q1489="Returned"),0,O1489)</f>
        <v>0</v>
      </c>
    </row>
    <row r="1490" customFormat="false" ht="15" hidden="false" customHeight="false" outlineLevel="0" collapsed="false">
      <c r="A1490" s="6" t="str">
        <f aca="false">Orders!A1490</f>
        <v>O001489</v>
      </c>
      <c r="B1490" s="19" t="n">
        <f aca="false">Orders!B1490</f>
        <v>45700</v>
      </c>
      <c r="C1490" s="6" t="str">
        <f aca="false">Orders!C1490</f>
        <v>C0268</v>
      </c>
      <c r="D1490" s="6" t="str">
        <f aca="false">Orders!D1490</f>
        <v>P1082</v>
      </c>
      <c r="E1490" s="6" t="str">
        <f aca="false">INDEX(Products!$B$2:$B$101,MATCH(D1490,Products!$A$2:$A$101,0))</f>
        <v>File Folder Set</v>
      </c>
      <c r="F1490" s="1" t="str">
        <f aca="false">INDEX(Products!$C$2:$C$101,MATCH(D1490,Products!$A$2:$A$101,0))</f>
        <v>Books &amp; Stationery</v>
      </c>
      <c r="G1490" s="6" t="n">
        <f aca="false">Orders!E1490</f>
        <v>1</v>
      </c>
      <c r="H1490" s="16" t="n">
        <f aca="false">INDEX(Products!$D$2:$D$101,MATCH(D1490,Products!$A$2:$A$101,0))</f>
        <v>249</v>
      </c>
      <c r="I1490" s="16" t="n">
        <f aca="false">INDEX(Products!$E$2:$E$101,MATCH(D1490,Products!$A$2:$A$101,0))</f>
        <v>90</v>
      </c>
      <c r="J1490" s="20" t="n">
        <f aca="false">Orders!F1490</f>
        <v>0.15</v>
      </c>
      <c r="K1490" s="6" t="n">
        <f aca="false">G1490*H1490</f>
        <v>249</v>
      </c>
      <c r="L1490" s="6" t="n">
        <f aca="false">K1490*J1490</f>
        <v>37.35</v>
      </c>
      <c r="M1490" s="6" t="n">
        <f aca="false">K1490-L1490</f>
        <v>211.65</v>
      </c>
      <c r="N1490" s="6" t="n">
        <f aca="false">G1490*I1490</f>
        <v>90</v>
      </c>
      <c r="O1490" s="6" t="n">
        <f aca="false">M1490-N1490</f>
        <v>121.65</v>
      </c>
      <c r="P1490" s="21" t="n">
        <f aca="false">IFERROR(O1490/M1490,0)</f>
        <v>0.574769666902906</v>
      </c>
      <c r="Q1490" s="6" t="str">
        <f aca="false">Orders!H1490</f>
        <v>Delivered</v>
      </c>
      <c r="R1490" s="1" t="str">
        <f aca="false">INDEX(Customers!$C$2:$C$301,MATCH(C1490,Customers!$A$2:$A$301,0))</f>
        <v>Jaipur</v>
      </c>
      <c r="S1490" s="1" t="str">
        <f aca="false">INDEX(Customers!$E$2:$E$301,MATCH(C1490,Customers!$A$2:$A$301,0))</f>
        <v>New</v>
      </c>
      <c r="T1490" s="6" t="str">
        <f aca="false">Orders!I1490</f>
        <v>Marketplace</v>
      </c>
      <c r="U1490" s="1" t="str">
        <f aca="false">IF(Q1490="Delivered","Completed",IF(Q1490="Cancelled","Cancelled",IF(Q1490="Returned","Returned","In Progress")))</f>
        <v>Completed</v>
      </c>
      <c r="V1490" s="1" t="str">
        <f aca="false">IF(M1490&gt;=10000,"High Value",IF(M1490&gt;=5000,"Medium Value","Low Value"))</f>
        <v>Low Value</v>
      </c>
      <c r="W1490" s="1" t="str">
        <f aca="false">IF(O1490&gt;0,"Profitable",IF(O1490=0,"Break-even","Loss"))</f>
        <v>Profitable</v>
      </c>
      <c r="X1490" s="1" t="str">
        <f aca="false">IF(Q1490="Cancelled","Not Applicable",IF(Q1490="Processing","Pending",IF(B1490="","Unknown",IF(Orders!J1490="","Unknown",IF(Orders!J1490&lt;=3,"Fast",IF(Orders!J1490&lt;=6,"Standard","Slow"))))))</f>
        <v>Standard</v>
      </c>
      <c r="Y1490" s="1" t="n">
        <f aca="false">IF(OR(Q1490="Cancelled",Q1490="Returned"),0,O1490)</f>
        <v>121.65</v>
      </c>
    </row>
    <row r="1491" customFormat="false" ht="15" hidden="false" customHeight="false" outlineLevel="0" collapsed="false">
      <c r="A1491" s="6" t="str">
        <f aca="false">Orders!A1491</f>
        <v>O001490</v>
      </c>
      <c r="B1491" s="19" t="n">
        <f aca="false">Orders!B1491</f>
        <v>45688</v>
      </c>
      <c r="C1491" s="6" t="str">
        <f aca="false">Orders!C1491</f>
        <v>C0243</v>
      </c>
      <c r="D1491" s="6" t="str">
        <f aca="false">Orders!D1491</f>
        <v>P1045</v>
      </c>
      <c r="E1491" s="6" t="str">
        <f aca="false">INDEX(Products!$B$2:$B$101,MATCH(D1491,Products!$A$2:$A$101,0))</f>
        <v>Lunch Box</v>
      </c>
      <c r="F1491" s="1" t="str">
        <f aca="false">INDEX(Products!$C$2:$C$101,MATCH(D1491,Products!$A$2:$A$101,0))</f>
        <v>Home &amp; Kitchen</v>
      </c>
      <c r="G1491" s="6" t="n">
        <f aca="false">Orders!E1491</f>
        <v>5</v>
      </c>
      <c r="H1491" s="16" t="n">
        <f aca="false">INDEX(Products!$D$2:$D$101,MATCH(D1491,Products!$A$2:$A$101,0))</f>
        <v>449</v>
      </c>
      <c r="I1491" s="16" t="n">
        <f aca="false">INDEX(Products!$E$2:$E$101,MATCH(D1491,Products!$A$2:$A$101,0))</f>
        <v>180</v>
      </c>
      <c r="J1491" s="20" t="n">
        <f aca="false">Orders!F1491</f>
        <v>0.05</v>
      </c>
      <c r="K1491" s="6" t="n">
        <f aca="false">G1491*H1491</f>
        <v>2245</v>
      </c>
      <c r="L1491" s="6" t="n">
        <f aca="false">K1491*J1491</f>
        <v>112.25</v>
      </c>
      <c r="M1491" s="6" t="n">
        <f aca="false">K1491-L1491</f>
        <v>2132.75</v>
      </c>
      <c r="N1491" s="6" t="n">
        <f aca="false">G1491*I1491</f>
        <v>900</v>
      </c>
      <c r="O1491" s="6" t="n">
        <f aca="false">M1491-N1491</f>
        <v>1232.75</v>
      </c>
      <c r="P1491" s="21" t="n">
        <f aca="false">IFERROR(O1491/M1491,0)</f>
        <v>0.578009612003282</v>
      </c>
      <c r="Q1491" s="6" t="str">
        <f aca="false">Orders!H1491</f>
        <v>Shipped</v>
      </c>
      <c r="R1491" s="1" t="str">
        <f aca="false">INDEX(Customers!$C$2:$C$301,MATCH(C1491,Customers!$A$2:$A$301,0))</f>
        <v>Bengaluru</v>
      </c>
      <c r="S1491" s="1" t="str">
        <f aca="false">INDEX(Customers!$E$2:$E$301,MATCH(C1491,Customers!$A$2:$A$301,0))</f>
        <v>New</v>
      </c>
      <c r="T1491" s="6" t="str">
        <f aca="false">Orders!I1491</f>
        <v>Mobile App</v>
      </c>
      <c r="U1491" s="1" t="str">
        <f aca="false">IF(Q1491="Delivered","Completed",IF(Q1491="Cancelled","Cancelled",IF(Q1491="Returned","Returned","In Progress")))</f>
        <v>In Progress</v>
      </c>
      <c r="V1491" s="1" t="str">
        <f aca="false">IF(M1491&gt;=10000,"High Value",IF(M1491&gt;=5000,"Medium Value","Low Value"))</f>
        <v>Low Value</v>
      </c>
      <c r="W1491" s="1" t="str">
        <f aca="false">IF(O1491&gt;0,"Profitable",IF(O1491=0,"Break-even","Loss"))</f>
        <v>Profitable</v>
      </c>
      <c r="X1491" s="1" t="str">
        <f aca="false">IF(Q1491="Cancelled","Not Applicable",IF(Q1491="Processing","Pending",IF(B1491="","Unknown",IF(Orders!J1491="","Unknown",IF(Orders!J1491&lt;=3,"Fast",IF(Orders!J1491&lt;=6,"Standard","Slow"))))))</f>
        <v>Standard</v>
      </c>
      <c r="Y1491" s="1" t="n">
        <f aca="false">IF(OR(Q1491="Cancelled",Q1491="Returned"),0,O1491)</f>
        <v>1232.75</v>
      </c>
    </row>
    <row r="1492" customFormat="false" ht="15" hidden="false" customHeight="false" outlineLevel="0" collapsed="false">
      <c r="A1492" s="6" t="str">
        <f aca="false">Orders!A1492</f>
        <v>O001491</v>
      </c>
      <c r="B1492" s="19" t="n">
        <f aca="false">Orders!B1492</f>
        <v>45679</v>
      </c>
      <c r="C1492" s="6" t="str">
        <f aca="false">Orders!C1492</f>
        <v>C0079</v>
      </c>
      <c r="D1492" s="6" t="str">
        <f aca="false">Orders!D1492</f>
        <v>P1023</v>
      </c>
      <c r="E1492" s="6" t="str">
        <f aca="false">INDEX(Products!$B$2:$B$101,MATCH(D1492,Products!$A$2:$A$101,0))</f>
        <v>Sports Cap</v>
      </c>
      <c r="F1492" s="1" t="str">
        <f aca="false">INDEX(Products!$C$2:$C$101,MATCH(D1492,Products!$A$2:$A$101,0))</f>
        <v>Fashion</v>
      </c>
      <c r="G1492" s="6" t="n">
        <f aca="false">Orders!E1492</f>
        <v>2</v>
      </c>
      <c r="H1492" s="16" t="n">
        <f aca="false">INDEX(Products!$D$2:$D$101,MATCH(D1492,Products!$A$2:$A$101,0))</f>
        <v>349</v>
      </c>
      <c r="I1492" s="16" t="n">
        <f aca="false">INDEX(Products!$E$2:$E$101,MATCH(D1492,Products!$A$2:$A$101,0))</f>
        <v>120</v>
      </c>
      <c r="J1492" s="20" t="n">
        <f aca="false">Orders!F1492</f>
        <v>0.1</v>
      </c>
      <c r="K1492" s="6" t="n">
        <f aca="false">G1492*H1492</f>
        <v>698</v>
      </c>
      <c r="L1492" s="6" t="n">
        <f aca="false">K1492*J1492</f>
        <v>69.8</v>
      </c>
      <c r="M1492" s="6" t="n">
        <f aca="false">K1492-L1492</f>
        <v>628.2</v>
      </c>
      <c r="N1492" s="6" t="n">
        <f aca="false">G1492*I1492</f>
        <v>240</v>
      </c>
      <c r="O1492" s="6" t="n">
        <f aca="false">M1492-N1492</f>
        <v>388.2</v>
      </c>
      <c r="P1492" s="21" t="n">
        <f aca="false">IFERROR(O1492/M1492,0)</f>
        <v>0.617956064947469</v>
      </c>
      <c r="Q1492" s="6" t="str">
        <f aca="false">Orders!H1492</f>
        <v>Delivered</v>
      </c>
      <c r="R1492" s="1" t="str">
        <f aca="false">INDEX(Customers!$C$2:$C$301,MATCH(C1492,Customers!$A$2:$A$301,0))</f>
        <v>Coimbatore</v>
      </c>
      <c r="S1492" s="1" t="str">
        <f aca="false">INDEX(Customers!$E$2:$E$301,MATCH(C1492,Customers!$A$2:$A$301,0))</f>
        <v>Returning</v>
      </c>
      <c r="T1492" s="6" t="str">
        <f aca="false">Orders!I1492</f>
        <v>Marketplace</v>
      </c>
      <c r="U1492" s="1" t="str">
        <f aca="false">IF(Q1492="Delivered","Completed",IF(Q1492="Cancelled","Cancelled",IF(Q1492="Returned","Returned","In Progress")))</f>
        <v>Completed</v>
      </c>
      <c r="V1492" s="1" t="str">
        <f aca="false">IF(M1492&gt;=10000,"High Value",IF(M1492&gt;=5000,"Medium Value","Low Value"))</f>
        <v>Low Value</v>
      </c>
      <c r="W1492" s="1" t="str">
        <f aca="false">IF(O1492&gt;0,"Profitable",IF(O1492=0,"Break-even","Loss"))</f>
        <v>Profitable</v>
      </c>
      <c r="X1492" s="1" t="str">
        <f aca="false">IF(Q1492="Cancelled","Not Applicable",IF(Q1492="Processing","Pending",IF(B1492="","Unknown",IF(Orders!J1492="","Unknown",IF(Orders!J1492&lt;=3,"Fast",IF(Orders!J1492&lt;=6,"Standard","Slow"))))))</f>
        <v>Slow</v>
      </c>
      <c r="Y1492" s="1" t="n">
        <f aca="false">IF(OR(Q1492="Cancelled",Q1492="Returned"),0,O1492)</f>
        <v>388.2</v>
      </c>
    </row>
    <row r="1493" customFormat="false" ht="15" hidden="false" customHeight="false" outlineLevel="0" collapsed="false">
      <c r="A1493" s="6" t="str">
        <f aca="false">Orders!A1493</f>
        <v>O001492</v>
      </c>
      <c r="B1493" s="19" t="n">
        <f aca="false">Orders!B1493</f>
        <v>45960</v>
      </c>
      <c r="C1493" s="6" t="str">
        <f aca="false">Orders!C1493</f>
        <v>C0204</v>
      </c>
      <c r="D1493" s="6" t="str">
        <f aca="false">Orders!D1493</f>
        <v>P1054</v>
      </c>
      <c r="E1493" s="6" t="str">
        <f aca="false">INDEX(Products!$B$2:$B$101,MATCH(D1493,Products!$A$2:$A$101,0))</f>
        <v>Face Mask Pack</v>
      </c>
      <c r="F1493" s="1" t="str">
        <f aca="false">INDEX(Products!$C$2:$C$101,MATCH(D1493,Products!$A$2:$A$101,0))</f>
        <v>Beauty</v>
      </c>
      <c r="G1493" s="6" t="n">
        <f aca="false">Orders!E1493</f>
        <v>1</v>
      </c>
      <c r="H1493" s="16" t="n">
        <f aca="false">INDEX(Products!$D$2:$D$101,MATCH(D1493,Products!$A$2:$A$101,0))</f>
        <v>299</v>
      </c>
      <c r="I1493" s="16" t="n">
        <f aca="false">INDEX(Products!$E$2:$E$101,MATCH(D1493,Products!$A$2:$A$101,0))</f>
        <v>110</v>
      </c>
      <c r="J1493" s="20" t="n">
        <f aca="false">Orders!F1493</f>
        <v>0.1</v>
      </c>
      <c r="K1493" s="6" t="n">
        <f aca="false">G1493*H1493</f>
        <v>299</v>
      </c>
      <c r="L1493" s="6" t="n">
        <f aca="false">K1493*J1493</f>
        <v>29.9</v>
      </c>
      <c r="M1493" s="6" t="n">
        <f aca="false">K1493-L1493</f>
        <v>269.1</v>
      </c>
      <c r="N1493" s="6" t="n">
        <f aca="false">G1493*I1493</f>
        <v>110</v>
      </c>
      <c r="O1493" s="6" t="n">
        <f aca="false">M1493-N1493</f>
        <v>159.1</v>
      </c>
      <c r="P1493" s="21" t="n">
        <f aca="false">IFERROR(O1493/M1493,0)</f>
        <v>0.591230026012635</v>
      </c>
      <c r="Q1493" s="6" t="str">
        <f aca="false">Orders!H1493</f>
        <v>Delivered</v>
      </c>
      <c r="R1493" s="1" t="str">
        <f aca="false">INDEX(Customers!$C$2:$C$301,MATCH(C1493,Customers!$A$2:$A$301,0))</f>
        <v>Hyderabad</v>
      </c>
      <c r="S1493" s="1" t="str">
        <f aca="false">INDEX(Customers!$E$2:$E$301,MATCH(C1493,Customers!$A$2:$A$301,0))</f>
        <v>Returning</v>
      </c>
      <c r="T1493" s="6" t="str">
        <f aca="false">Orders!I1493</f>
        <v>Website</v>
      </c>
      <c r="U1493" s="1" t="str">
        <f aca="false">IF(Q1493="Delivered","Completed",IF(Q1493="Cancelled","Cancelled",IF(Q1493="Returned","Returned","In Progress")))</f>
        <v>Completed</v>
      </c>
      <c r="V1493" s="1" t="str">
        <f aca="false">IF(M1493&gt;=10000,"High Value",IF(M1493&gt;=5000,"Medium Value","Low Value"))</f>
        <v>Low Value</v>
      </c>
      <c r="W1493" s="1" t="str">
        <f aca="false">IF(O1493&gt;0,"Profitable",IF(O1493=0,"Break-even","Loss"))</f>
        <v>Profitable</v>
      </c>
      <c r="X1493" s="1" t="str">
        <f aca="false">IF(Q1493="Cancelled","Not Applicable",IF(Q1493="Processing","Pending",IF(B1493="","Unknown",IF(Orders!J1493="","Unknown",IF(Orders!J1493&lt;=3,"Fast",IF(Orders!J1493&lt;=6,"Standard","Slow"))))))</f>
        <v>Standard</v>
      </c>
      <c r="Y1493" s="1" t="n">
        <f aca="false">IF(OR(Q1493="Cancelled",Q1493="Returned"),0,O1493)</f>
        <v>159.1</v>
      </c>
    </row>
    <row r="1494" customFormat="false" ht="15" hidden="false" customHeight="false" outlineLevel="0" collapsed="false">
      <c r="A1494" s="6" t="str">
        <f aca="false">Orders!A1494</f>
        <v>O001493</v>
      </c>
      <c r="B1494" s="19" t="n">
        <f aca="false">Orders!B1494</f>
        <v>45949</v>
      </c>
      <c r="C1494" s="6" t="str">
        <f aca="false">Orders!C1494</f>
        <v>C0164</v>
      </c>
      <c r="D1494" s="6" t="str">
        <f aca="false">Orders!D1494</f>
        <v>P1026</v>
      </c>
      <c r="E1494" s="6" t="str">
        <f aca="false">INDEX(Products!$B$2:$B$101,MATCH(D1494,Products!$A$2:$A$101,0))</f>
        <v>Sunglasses</v>
      </c>
      <c r="F1494" s="1" t="str">
        <f aca="false">INDEX(Products!$C$2:$C$101,MATCH(D1494,Products!$A$2:$A$101,0))</f>
        <v>Fashion</v>
      </c>
      <c r="G1494" s="6" t="n">
        <f aca="false">Orders!E1494</f>
        <v>3</v>
      </c>
      <c r="H1494" s="16" t="n">
        <f aca="false">INDEX(Products!$D$2:$D$101,MATCH(D1494,Products!$A$2:$A$101,0))</f>
        <v>799</v>
      </c>
      <c r="I1494" s="16" t="n">
        <f aca="false">INDEX(Products!$E$2:$E$101,MATCH(D1494,Products!$A$2:$A$101,0))</f>
        <v>300</v>
      </c>
      <c r="J1494" s="20" t="n">
        <f aca="false">Orders!F1494</f>
        <v>0.05</v>
      </c>
      <c r="K1494" s="6" t="n">
        <f aca="false">G1494*H1494</f>
        <v>2397</v>
      </c>
      <c r="L1494" s="6" t="n">
        <f aca="false">K1494*J1494</f>
        <v>119.85</v>
      </c>
      <c r="M1494" s="6" t="n">
        <f aca="false">K1494-L1494</f>
        <v>2277.15</v>
      </c>
      <c r="N1494" s="6" t="n">
        <f aca="false">G1494*I1494</f>
        <v>900</v>
      </c>
      <c r="O1494" s="6" t="n">
        <f aca="false">M1494-N1494</f>
        <v>1377.15</v>
      </c>
      <c r="P1494" s="21" t="n">
        <f aca="false">IFERROR(O1494/M1494,0)</f>
        <v>0.604769119293854</v>
      </c>
      <c r="Q1494" s="6" t="str">
        <f aca="false">Orders!H1494</f>
        <v>Delivered</v>
      </c>
      <c r="R1494" s="1" t="str">
        <f aca="false">INDEX(Customers!$C$2:$C$301,MATCH(C1494,Customers!$A$2:$A$301,0))</f>
        <v>Hyderabad</v>
      </c>
      <c r="S1494" s="1" t="str">
        <f aca="false">INDEX(Customers!$E$2:$E$301,MATCH(C1494,Customers!$A$2:$A$301,0))</f>
        <v>Returning</v>
      </c>
      <c r="T1494" s="6" t="str">
        <f aca="false">Orders!I1494</f>
        <v>Marketplace</v>
      </c>
      <c r="U1494" s="1" t="str">
        <f aca="false">IF(Q1494="Delivered","Completed",IF(Q1494="Cancelled","Cancelled",IF(Q1494="Returned","Returned","In Progress")))</f>
        <v>Completed</v>
      </c>
      <c r="V1494" s="1" t="str">
        <f aca="false">IF(M1494&gt;=10000,"High Value",IF(M1494&gt;=5000,"Medium Value","Low Value"))</f>
        <v>Low Value</v>
      </c>
      <c r="W1494" s="1" t="str">
        <f aca="false">IF(O1494&gt;0,"Profitable",IF(O1494=0,"Break-even","Loss"))</f>
        <v>Profitable</v>
      </c>
      <c r="X1494" s="1" t="str">
        <f aca="false">IF(Q1494="Cancelled","Not Applicable",IF(Q1494="Processing","Pending",IF(B1494="","Unknown",IF(Orders!J1494="","Unknown",IF(Orders!J1494&lt;=3,"Fast",IF(Orders!J1494&lt;=6,"Standard","Slow"))))))</f>
        <v>Standard</v>
      </c>
      <c r="Y1494" s="1" t="n">
        <f aca="false">IF(OR(Q1494="Cancelled",Q1494="Returned"),0,O1494)</f>
        <v>1377.15</v>
      </c>
    </row>
    <row r="1495" customFormat="false" ht="15" hidden="false" customHeight="false" outlineLevel="0" collapsed="false">
      <c r="A1495" s="6" t="str">
        <f aca="false">Orders!A1495</f>
        <v>O001494</v>
      </c>
      <c r="B1495" s="19" t="n">
        <f aca="false">Orders!B1495</f>
        <v>45926</v>
      </c>
      <c r="C1495" s="6" t="str">
        <f aca="false">Orders!C1495</f>
        <v>C0076</v>
      </c>
      <c r="D1495" s="6" t="str">
        <f aca="false">Orders!D1495</f>
        <v>P1005</v>
      </c>
      <c r="E1495" s="6" t="str">
        <f aca="false">INDEX(Products!$B$2:$B$101,MATCH(D1495,Products!$A$2:$A$101,0))</f>
        <v>Power Bank</v>
      </c>
      <c r="F1495" s="1" t="str">
        <f aca="false">INDEX(Products!$C$2:$C$101,MATCH(D1495,Products!$A$2:$A$101,0))</f>
        <v>Electronics</v>
      </c>
      <c r="G1495" s="6" t="n">
        <f aca="false">Orders!E1495</f>
        <v>1</v>
      </c>
      <c r="H1495" s="16" t="n">
        <f aca="false">INDEX(Products!$D$2:$D$101,MATCH(D1495,Products!$A$2:$A$101,0))</f>
        <v>1199</v>
      </c>
      <c r="I1495" s="16" t="n">
        <f aca="false">INDEX(Products!$E$2:$E$101,MATCH(D1495,Products!$A$2:$A$101,0))</f>
        <v>650</v>
      </c>
      <c r="J1495" s="20" t="n">
        <f aca="false">Orders!F1495</f>
        <v>0.25</v>
      </c>
      <c r="K1495" s="6" t="n">
        <f aca="false">G1495*H1495</f>
        <v>1199</v>
      </c>
      <c r="L1495" s="6" t="n">
        <f aca="false">K1495*J1495</f>
        <v>299.75</v>
      </c>
      <c r="M1495" s="6" t="n">
        <f aca="false">K1495-L1495</f>
        <v>899.25</v>
      </c>
      <c r="N1495" s="6" t="n">
        <f aca="false">G1495*I1495</f>
        <v>650</v>
      </c>
      <c r="O1495" s="6" t="n">
        <f aca="false">M1495-N1495</f>
        <v>249.25</v>
      </c>
      <c r="P1495" s="21" t="n">
        <f aca="false">IFERROR(O1495/M1495,0)</f>
        <v>0.277175423964415</v>
      </c>
      <c r="Q1495" s="6" t="str">
        <f aca="false">Orders!H1495</f>
        <v>Delivered</v>
      </c>
      <c r="R1495" s="1" t="str">
        <f aca="false">INDEX(Customers!$C$2:$C$301,MATCH(C1495,Customers!$A$2:$A$301,0))</f>
        <v>Chandigarh</v>
      </c>
      <c r="S1495" s="1" t="str">
        <f aca="false">INDEX(Customers!$E$2:$E$301,MATCH(C1495,Customers!$A$2:$A$301,0))</f>
        <v>Returning</v>
      </c>
      <c r="T1495" s="6" t="str">
        <f aca="false">Orders!I1495</f>
        <v>Mobile App</v>
      </c>
      <c r="U1495" s="1" t="str">
        <f aca="false">IF(Q1495="Delivered","Completed",IF(Q1495="Cancelled","Cancelled",IF(Q1495="Returned","Returned","In Progress")))</f>
        <v>Completed</v>
      </c>
      <c r="V1495" s="1" t="str">
        <f aca="false">IF(M1495&gt;=10000,"High Value",IF(M1495&gt;=5000,"Medium Value","Low Value"))</f>
        <v>Low Value</v>
      </c>
      <c r="W1495" s="1" t="str">
        <f aca="false">IF(O1495&gt;0,"Profitable",IF(O1495=0,"Break-even","Loss"))</f>
        <v>Profitable</v>
      </c>
      <c r="X1495" s="1" t="str">
        <f aca="false">IF(Q1495="Cancelled","Not Applicable",IF(Q1495="Processing","Pending",IF(B1495="","Unknown",IF(Orders!J1495="","Unknown",IF(Orders!J1495&lt;=3,"Fast",IF(Orders!J1495&lt;=6,"Standard","Slow"))))))</f>
        <v>Standard</v>
      </c>
      <c r="Y1495" s="1" t="n">
        <f aca="false">IF(OR(Q1495="Cancelled",Q1495="Returned"),0,O1495)</f>
        <v>249.25</v>
      </c>
    </row>
    <row r="1496" customFormat="false" ht="15" hidden="false" customHeight="false" outlineLevel="0" collapsed="false">
      <c r="A1496" s="6" t="str">
        <f aca="false">Orders!A1496</f>
        <v>O001495</v>
      </c>
      <c r="B1496" s="19" t="n">
        <f aca="false">Orders!B1496</f>
        <v>45909</v>
      </c>
      <c r="C1496" s="6" t="str">
        <f aca="false">Orders!C1496</f>
        <v>C0097</v>
      </c>
      <c r="D1496" s="6" t="str">
        <f aca="false">Orders!D1496</f>
        <v>P1049</v>
      </c>
      <c r="E1496" s="6" t="str">
        <f aca="false">INDEX(Products!$B$2:$B$101,MATCH(D1496,Products!$A$2:$A$101,0))</f>
        <v>Face Cleanser</v>
      </c>
      <c r="F1496" s="1" t="str">
        <f aca="false">INDEX(Products!$C$2:$C$101,MATCH(D1496,Products!$A$2:$A$101,0))</f>
        <v>Beauty</v>
      </c>
      <c r="G1496" s="6" t="n">
        <f aca="false">Orders!E1496</f>
        <v>1</v>
      </c>
      <c r="H1496" s="16" t="n">
        <f aca="false">INDEX(Products!$D$2:$D$101,MATCH(D1496,Products!$A$2:$A$101,0))</f>
        <v>299</v>
      </c>
      <c r="I1496" s="16" t="n">
        <f aca="false">INDEX(Products!$E$2:$E$101,MATCH(D1496,Products!$A$2:$A$101,0))</f>
        <v>120</v>
      </c>
      <c r="J1496" s="20" t="n">
        <f aca="false">Orders!F1496</f>
        <v>0.1</v>
      </c>
      <c r="K1496" s="6" t="n">
        <f aca="false">G1496*H1496</f>
        <v>299</v>
      </c>
      <c r="L1496" s="6" t="n">
        <f aca="false">K1496*J1496</f>
        <v>29.9</v>
      </c>
      <c r="M1496" s="6" t="n">
        <f aca="false">K1496-L1496</f>
        <v>269.1</v>
      </c>
      <c r="N1496" s="6" t="n">
        <f aca="false">G1496*I1496</f>
        <v>120</v>
      </c>
      <c r="O1496" s="6" t="n">
        <f aca="false">M1496-N1496</f>
        <v>149.1</v>
      </c>
      <c r="P1496" s="21" t="n">
        <f aca="false">IFERROR(O1496/M1496,0)</f>
        <v>0.554069119286511</v>
      </c>
      <c r="Q1496" s="6" t="str">
        <f aca="false">Orders!H1496</f>
        <v>Shipped</v>
      </c>
      <c r="R1496" s="1" t="str">
        <f aca="false">INDEX(Customers!$C$2:$C$301,MATCH(C1496,Customers!$A$2:$A$301,0))</f>
        <v>Surat</v>
      </c>
      <c r="S1496" s="1" t="str">
        <f aca="false">INDEX(Customers!$E$2:$E$301,MATCH(C1496,Customers!$A$2:$A$301,0))</f>
        <v>Returning</v>
      </c>
      <c r="T1496" s="6" t="str">
        <f aca="false">Orders!I1496</f>
        <v>Marketplace</v>
      </c>
      <c r="U1496" s="1" t="str">
        <f aca="false">IF(Q1496="Delivered","Completed",IF(Q1496="Cancelled","Cancelled",IF(Q1496="Returned","Returned","In Progress")))</f>
        <v>In Progress</v>
      </c>
      <c r="V1496" s="1" t="str">
        <f aca="false">IF(M1496&gt;=10000,"High Value",IF(M1496&gt;=5000,"Medium Value","Low Value"))</f>
        <v>Low Value</v>
      </c>
      <c r="W1496" s="1" t="str">
        <f aca="false">IF(O1496&gt;0,"Profitable",IF(O1496=0,"Break-even","Loss"))</f>
        <v>Profitable</v>
      </c>
      <c r="X1496" s="1" t="str">
        <f aca="false">IF(Q1496="Cancelled","Not Applicable",IF(Q1496="Processing","Pending",IF(B1496="","Unknown",IF(Orders!J1496="","Unknown",IF(Orders!J1496&lt;=3,"Fast",IF(Orders!J1496&lt;=6,"Standard","Slow"))))))</f>
        <v>Fast</v>
      </c>
      <c r="Y1496" s="1" t="n">
        <f aca="false">IF(OR(Q1496="Cancelled",Q1496="Returned"),0,O1496)</f>
        <v>149.1</v>
      </c>
    </row>
    <row r="1497" customFormat="false" ht="23.85" hidden="false" customHeight="false" outlineLevel="0" collapsed="false">
      <c r="A1497" s="6" t="str">
        <f aca="false">Orders!A1497</f>
        <v>O001496</v>
      </c>
      <c r="B1497" s="19" t="n">
        <f aca="false">Orders!B1497</f>
        <v>45875</v>
      </c>
      <c r="C1497" s="6" t="str">
        <f aca="false">Orders!C1497</f>
        <v>C0181</v>
      </c>
      <c r="D1497" s="6" t="str">
        <f aca="false">Orders!D1497</f>
        <v>P1046</v>
      </c>
      <c r="E1497" s="6" t="str">
        <f aca="false">INDEX(Products!$B$2:$B$101,MATCH(D1497,Products!$A$2:$A$101,0))</f>
        <v>Face Moisturizer</v>
      </c>
      <c r="F1497" s="1" t="str">
        <f aca="false">INDEX(Products!$C$2:$C$101,MATCH(D1497,Products!$A$2:$A$101,0))</f>
        <v>Beauty</v>
      </c>
      <c r="G1497" s="6" t="n">
        <f aca="false">Orders!E1497</f>
        <v>1</v>
      </c>
      <c r="H1497" s="16" t="n">
        <f aca="false">INDEX(Products!$D$2:$D$101,MATCH(D1497,Products!$A$2:$A$101,0))</f>
        <v>499</v>
      </c>
      <c r="I1497" s="16" t="n">
        <f aca="false">INDEX(Products!$E$2:$E$101,MATCH(D1497,Products!$A$2:$A$101,0))</f>
        <v>220</v>
      </c>
      <c r="J1497" s="20" t="n">
        <f aca="false">Orders!F1497</f>
        <v>0.15</v>
      </c>
      <c r="K1497" s="6" t="n">
        <f aca="false">G1497*H1497</f>
        <v>499</v>
      </c>
      <c r="L1497" s="6" t="n">
        <f aca="false">K1497*J1497</f>
        <v>74.85</v>
      </c>
      <c r="M1497" s="6" t="n">
        <f aca="false">K1497-L1497</f>
        <v>424.15</v>
      </c>
      <c r="N1497" s="6" t="n">
        <f aca="false">G1497*I1497</f>
        <v>220</v>
      </c>
      <c r="O1497" s="6" t="n">
        <f aca="false">M1497-N1497</f>
        <v>204.15</v>
      </c>
      <c r="P1497" s="21" t="n">
        <f aca="false">IFERROR(O1497/M1497,0)</f>
        <v>0.481315572321113</v>
      </c>
      <c r="Q1497" s="6" t="str">
        <f aca="false">Orders!H1497</f>
        <v>Delivered</v>
      </c>
      <c r="R1497" s="1" t="str">
        <f aca="false">INDEX(Customers!$C$2:$C$301,MATCH(C1497,Customers!$A$2:$A$301,0))</f>
        <v>Delhi</v>
      </c>
      <c r="S1497" s="1" t="str">
        <f aca="false">INDEX(Customers!$E$2:$E$301,MATCH(C1497,Customers!$A$2:$A$301,0))</f>
        <v>New</v>
      </c>
      <c r="T1497" s="6" t="str">
        <f aca="false">Orders!I1497</f>
        <v>Mobile App</v>
      </c>
      <c r="U1497" s="1" t="str">
        <f aca="false">IF(Q1497="Delivered","Completed",IF(Q1497="Cancelled","Cancelled",IF(Q1497="Returned","Returned","In Progress")))</f>
        <v>Completed</v>
      </c>
      <c r="V1497" s="1" t="str">
        <f aca="false">IF(M1497&gt;=10000,"High Value",IF(M1497&gt;=5000,"Medium Value","Low Value"))</f>
        <v>Low Value</v>
      </c>
      <c r="W1497" s="1" t="str">
        <f aca="false">IF(O1497&gt;0,"Profitable",IF(O1497=0,"Break-even","Loss"))</f>
        <v>Profitable</v>
      </c>
      <c r="X1497" s="1" t="str">
        <f aca="false">IF(Q1497="Cancelled","Not Applicable",IF(Q1497="Processing","Pending",IF(B1497="","Unknown",IF(Orders!J1497="","Unknown",IF(Orders!J1497&lt;=3,"Fast",IF(Orders!J1497&lt;=6,"Standard","Slow"))))))</f>
        <v>Standard</v>
      </c>
      <c r="Y1497" s="1" t="n">
        <f aca="false">IF(OR(Q1497="Cancelled",Q1497="Returned"),0,O1497)</f>
        <v>204.15</v>
      </c>
    </row>
    <row r="1498" customFormat="false" ht="15" hidden="false" customHeight="false" outlineLevel="0" collapsed="false">
      <c r="A1498" s="6" t="str">
        <f aca="false">Orders!A1498</f>
        <v>O001497</v>
      </c>
      <c r="B1498" s="19" t="n">
        <f aca="false">Orders!B1498</f>
        <v>46015</v>
      </c>
      <c r="C1498" s="6" t="str">
        <f aca="false">Orders!C1498</f>
        <v>C0137</v>
      </c>
      <c r="D1498" s="6" t="str">
        <f aca="false">Orders!D1498</f>
        <v>P1019</v>
      </c>
      <c r="E1498" s="6" t="str">
        <f aca="false">INDEX(Products!$B$2:$B$101,MATCH(D1498,Products!$A$2:$A$101,0))</f>
        <v>Running Shoes</v>
      </c>
      <c r="F1498" s="1" t="str">
        <f aca="false">INDEX(Products!$C$2:$C$101,MATCH(D1498,Products!$A$2:$A$101,0))</f>
        <v>Fashion</v>
      </c>
      <c r="G1498" s="6" t="n">
        <f aca="false">Orders!E1498</f>
        <v>2</v>
      </c>
      <c r="H1498" s="16" t="n">
        <f aca="false">INDEX(Products!$D$2:$D$101,MATCH(D1498,Products!$A$2:$A$101,0))</f>
        <v>1999</v>
      </c>
      <c r="I1498" s="16" t="n">
        <f aca="false">INDEX(Products!$E$2:$E$101,MATCH(D1498,Products!$A$2:$A$101,0))</f>
        <v>1100</v>
      </c>
      <c r="J1498" s="20" t="n">
        <f aca="false">Orders!F1498</f>
        <v>0</v>
      </c>
      <c r="K1498" s="6" t="n">
        <f aca="false">G1498*H1498</f>
        <v>3998</v>
      </c>
      <c r="L1498" s="6" t="n">
        <f aca="false">K1498*J1498</f>
        <v>0</v>
      </c>
      <c r="M1498" s="6" t="n">
        <f aca="false">K1498-L1498</f>
        <v>3998</v>
      </c>
      <c r="N1498" s="6" t="n">
        <f aca="false">G1498*I1498</f>
        <v>2200</v>
      </c>
      <c r="O1498" s="6" t="n">
        <f aca="false">M1498-N1498</f>
        <v>1798</v>
      </c>
      <c r="P1498" s="21" t="n">
        <f aca="false">IFERROR(O1498/M1498,0)</f>
        <v>0.449724862431216</v>
      </c>
      <c r="Q1498" s="6" t="str">
        <f aca="false">Orders!H1498</f>
        <v>Delivered</v>
      </c>
      <c r="R1498" s="1" t="str">
        <f aca="false">INDEX(Customers!$C$2:$C$301,MATCH(C1498,Customers!$A$2:$A$301,0))</f>
        <v>Surat</v>
      </c>
      <c r="S1498" s="1" t="str">
        <f aca="false">INDEX(Customers!$E$2:$E$301,MATCH(C1498,Customers!$A$2:$A$301,0))</f>
        <v>New</v>
      </c>
      <c r="T1498" s="6" t="str">
        <f aca="false">Orders!I1498</f>
        <v>Mobile App</v>
      </c>
      <c r="U1498" s="1" t="str">
        <f aca="false">IF(Q1498="Delivered","Completed",IF(Q1498="Cancelled","Cancelled",IF(Q1498="Returned","Returned","In Progress")))</f>
        <v>Completed</v>
      </c>
      <c r="V1498" s="1" t="str">
        <f aca="false">IF(M1498&gt;=10000,"High Value",IF(M1498&gt;=5000,"Medium Value","Low Value"))</f>
        <v>Low Value</v>
      </c>
      <c r="W1498" s="1" t="str">
        <f aca="false">IF(O1498&gt;0,"Profitable",IF(O1498=0,"Break-even","Loss"))</f>
        <v>Profitable</v>
      </c>
      <c r="X1498" s="1" t="str">
        <f aca="false">IF(Q1498="Cancelled","Not Applicable",IF(Q1498="Processing","Pending",IF(B1498="","Unknown",IF(Orders!J1498="","Unknown",IF(Orders!J1498&lt;=3,"Fast",IF(Orders!J1498&lt;=6,"Standard","Slow"))))))</f>
        <v>Fast</v>
      </c>
      <c r="Y1498" s="1" t="n">
        <f aca="false">IF(OR(Q1498="Cancelled",Q1498="Returned"),0,O1498)</f>
        <v>1798</v>
      </c>
    </row>
    <row r="1499" customFormat="false" ht="15" hidden="false" customHeight="false" outlineLevel="0" collapsed="false">
      <c r="A1499" s="6" t="str">
        <f aca="false">Orders!A1499</f>
        <v>O001498</v>
      </c>
      <c r="B1499" s="19" t="n">
        <f aca="false">Orders!B1499</f>
        <v>45958</v>
      </c>
      <c r="C1499" s="6" t="str">
        <f aca="false">Orders!C1499</f>
        <v>C0144</v>
      </c>
      <c r="D1499" s="6" t="str">
        <f aca="false">Orders!D1499</f>
        <v>P1055</v>
      </c>
      <c r="E1499" s="6" t="str">
        <f aca="false">INDEX(Products!$B$2:$B$101,MATCH(D1499,Products!$A$2:$A$101,0))</f>
        <v>Perfume</v>
      </c>
      <c r="F1499" s="1" t="str">
        <f aca="false">INDEX(Products!$C$2:$C$101,MATCH(D1499,Products!$A$2:$A$101,0))</f>
        <v>Beauty</v>
      </c>
      <c r="G1499" s="6" t="n">
        <f aca="false">Orders!E1499</f>
        <v>3</v>
      </c>
      <c r="H1499" s="16" t="n">
        <f aca="false">INDEX(Products!$D$2:$D$101,MATCH(D1499,Products!$A$2:$A$101,0))</f>
        <v>999</v>
      </c>
      <c r="I1499" s="16" t="n">
        <f aca="false">INDEX(Products!$E$2:$E$101,MATCH(D1499,Products!$A$2:$A$101,0))</f>
        <v>500</v>
      </c>
      <c r="J1499" s="20" t="n">
        <f aca="false">Orders!F1499</f>
        <v>0.1</v>
      </c>
      <c r="K1499" s="6" t="n">
        <f aca="false">G1499*H1499</f>
        <v>2997</v>
      </c>
      <c r="L1499" s="6" t="n">
        <f aca="false">K1499*J1499</f>
        <v>299.7</v>
      </c>
      <c r="M1499" s="6" t="n">
        <f aca="false">K1499-L1499</f>
        <v>2697.3</v>
      </c>
      <c r="N1499" s="6" t="n">
        <f aca="false">G1499*I1499</f>
        <v>1500</v>
      </c>
      <c r="O1499" s="6" t="n">
        <f aca="false">M1499-N1499</f>
        <v>1197.3</v>
      </c>
      <c r="P1499" s="21" t="n">
        <f aca="false">IFERROR(O1499/M1499,0)</f>
        <v>0.443888332777222</v>
      </c>
      <c r="Q1499" s="6" t="str">
        <f aca="false">Orders!H1499</f>
        <v>Delivered</v>
      </c>
      <c r="R1499" s="1" t="str">
        <f aca="false">INDEX(Customers!$C$2:$C$301,MATCH(C1499,Customers!$A$2:$A$301,0))</f>
        <v>Hyderabad</v>
      </c>
      <c r="S1499" s="1" t="str">
        <f aca="false">INDEX(Customers!$E$2:$E$301,MATCH(C1499,Customers!$A$2:$A$301,0))</f>
        <v>Returning</v>
      </c>
      <c r="T1499" s="6" t="str">
        <f aca="false">Orders!I1499</f>
        <v>Mobile App</v>
      </c>
      <c r="U1499" s="1" t="str">
        <f aca="false">IF(Q1499="Delivered","Completed",IF(Q1499="Cancelled","Cancelled",IF(Q1499="Returned","Returned","In Progress")))</f>
        <v>Completed</v>
      </c>
      <c r="V1499" s="1" t="str">
        <f aca="false">IF(M1499&gt;=10000,"High Value",IF(M1499&gt;=5000,"Medium Value","Low Value"))</f>
        <v>Low Value</v>
      </c>
      <c r="W1499" s="1" t="str">
        <f aca="false">IF(O1499&gt;0,"Profitable",IF(O1499=0,"Break-even","Loss"))</f>
        <v>Profitable</v>
      </c>
      <c r="X1499" s="1" t="str">
        <f aca="false">IF(Q1499="Cancelled","Not Applicable",IF(Q1499="Processing","Pending",IF(B1499="","Unknown",IF(Orders!J1499="","Unknown",IF(Orders!J1499&lt;=3,"Fast",IF(Orders!J1499&lt;=6,"Standard","Slow"))))))</f>
        <v>Standard</v>
      </c>
      <c r="Y1499" s="1" t="n">
        <f aca="false">IF(OR(Q1499="Cancelled",Q1499="Returned"),0,O1499)</f>
        <v>1197.3</v>
      </c>
    </row>
    <row r="1500" customFormat="false" ht="15" hidden="false" customHeight="false" outlineLevel="0" collapsed="false">
      <c r="A1500" s="6" t="str">
        <f aca="false">Orders!A1500</f>
        <v>O001499</v>
      </c>
      <c r="B1500" s="19" t="n">
        <f aca="false">Orders!B1500</f>
        <v>45862</v>
      </c>
      <c r="C1500" s="6" t="str">
        <f aca="false">Orders!C1500</f>
        <v>C0226</v>
      </c>
      <c r="D1500" s="6" t="str">
        <f aca="false">Orders!D1500</f>
        <v>P1042</v>
      </c>
      <c r="E1500" s="6" t="str">
        <f aca="false">INDEX(Products!$B$2:$B$101,MATCH(D1500,Products!$A$2:$A$101,0))</f>
        <v>Bath Towel Set</v>
      </c>
      <c r="F1500" s="1" t="str">
        <f aca="false">INDEX(Products!$C$2:$C$101,MATCH(D1500,Products!$A$2:$A$101,0))</f>
        <v>Home &amp; Kitchen</v>
      </c>
      <c r="G1500" s="6" t="n">
        <f aca="false">Orders!E1500</f>
        <v>3</v>
      </c>
      <c r="H1500" s="16" t="n">
        <f aca="false">INDEX(Products!$D$2:$D$101,MATCH(D1500,Products!$A$2:$A$101,0))</f>
        <v>799</v>
      </c>
      <c r="I1500" s="16" t="n">
        <f aca="false">INDEX(Products!$E$2:$E$101,MATCH(D1500,Products!$A$2:$A$101,0))</f>
        <v>360</v>
      </c>
      <c r="J1500" s="20" t="n">
        <f aca="false">Orders!F1500</f>
        <v>0.05</v>
      </c>
      <c r="K1500" s="6" t="n">
        <f aca="false">G1500*H1500</f>
        <v>2397</v>
      </c>
      <c r="L1500" s="6" t="n">
        <f aca="false">K1500*J1500</f>
        <v>119.85</v>
      </c>
      <c r="M1500" s="6" t="n">
        <f aca="false">K1500-L1500</f>
        <v>2277.15</v>
      </c>
      <c r="N1500" s="6" t="n">
        <f aca="false">G1500*I1500</f>
        <v>1080</v>
      </c>
      <c r="O1500" s="6" t="n">
        <f aca="false">M1500-N1500</f>
        <v>1197.15</v>
      </c>
      <c r="P1500" s="21" t="n">
        <f aca="false">IFERROR(O1500/M1500,0)</f>
        <v>0.525722943152625</v>
      </c>
      <c r="Q1500" s="6" t="str">
        <f aca="false">Orders!H1500</f>
        <v>Shipped</v>
      </c>
      <c r="R1500" s="1" t="str">
        <f aca="false">INDEX(Customers!$C$2:$C$301,MATCH(C1500,Customers!$A$2:$A$301,0))</f>
        <v>Kolkata</v>
      </c>
      <c r="S1500" s="1" t="str">
        <f aca="false">INDEX(Customers!$E$2:$E$301,MATCH(C1500,Customers!$A$2:$A$301,0))</f>
        <v>Returning</v>
      </c>
      <c r="T1500" s="6" t="str">
        <f aca="false">Orders!I1500</f>
        <v>Mobile App</v>
      </c>
      <c r="U1500" s="1" t="str">
        <f aca="false">IF(Q1500="Delivered","Completed",IF(Q1500="Cancelled","Cancelled",IF(Q1500="Returned","Returned","In Progress")))</f>
        <v>In Progress</v>
      </c>
      <c r="V1500" s="1" t="str">
        <f aca="false">IF(M1500&gt;=10000,"High Value",IF(M1500&gt;=5000,"Medium Value","Low Value"))</f>
        <v>Low Value</v>
      </c>
      <c r="W1500" s="1" t="str">
        <f aca="false">IF(O1500&gt;0,"Profitable",IF(O1500=0,"Break-even","Loss"))</f>
        <v>Profitable</v>
      </c>
      <c r="X1500" s="1" t="str">
        <f aca="false">IF(Q1500="Cancelled","Not Applicable",IF(Q1500="Processing","Pending",IF(B1500="","Unknown",IF(Orders!J1500="","Unknown",IF(Orders!J1500&lt;=3,"Fast",IF(Orders!J1500&lt;=6,"Standard","Slow"))))))</f>
        <v>Standard</v>
      </c>
      <c r="Y1500" s="1" t="n">
        <f aca="false">IF(OR(Q1500="Cancelled",Q1500="Returned"),0,O1500)</f>
        <v>1197.15</v>
      </c>
    </row>
    <row r="1501" customFormat="false" ht="23.85" hidden="false" customHeight="false" outlineLevel="0" collapsed="false">
      <c r="A1501" s="6" t="str">
        <f aca="false">Orders!A1501</f>
        <v>O001500</v>
      </c>
      <c r="B1501" s="19" t="n">
        <f aca="false">Orders!B1501</f>
        <v>45768</v>
      </c>
      <c r="C1501" s="6" t="str">
        <f aca="false">Orders!C1501</f>
        <v>C0266</v>
      </c>
      <c r="D1501" s="6" t="str">
        <f aca="false">Orders!D1501</f>
        <v>P1069</v>
      </c>
      <c r="E1501" s="6" t="str">
        <f aca="false">INDEX(Products!$B$2:$B$101,MATCH(D1501,Products!$A$2:$A$101,0))</f>
        <v>Sports Duffel Bag</v>
      </c>
      <c r="F1501" s="1" t="str">
        <f aca="false">INDEX(Products!$C$2:$C$101,MATCH(D1501,Products!$A$2:$A$101,0))</f>
        <v>Sports &amp; Outdoors</v>
      </c>
      <c r="G1501" s="6" t="n">
        <f aca="false">Orders!E1501</f>
        <v>1</v>
      </c>
      <c r="H1501" s="16" t="n">
        <f aca="false">INDEX(Products!$D$2:$D$101,MATCH(D1501,Products!$A$2:$A$101,0))</f>
        <v>999</v>
      </c>
      <c r="I1501" s="16" t="n">
        <f aca="false">INDEX(Products!$E$2:$E$101,MATCH(D1501,Products!$A$2:$A$101,0))</f>
        <v>500</v>
      </c>
      <c r="J1501" s="20" t="n">
        <f aca="false">Orders!F1501</f>
        <v>0.2</v>
      </c>
      <c r="K1501" s="6" t="n">
        <f aca="false">G1501*H1501</f>
        <v>999</v>
      </c>
      <c r="L1501" s="6" t="n">
        <f aca="false">K1501*J1501</f>
        <v>199.8</v>
      </c>
      <c r="M1501" s="6" t="n">
        <f aca="false">K1501-L1501</f>
        <v>799.2</v>
      </c>
      <c r="N1501" s="6" t="n">
        <f aca="false">G1501*I1501</f>
        <v>500</v>
      </c>
      <c r="O1501" s="6" t="n">
        <f aca="false">M1501-N1501</f>
        <v>299.2</v>
      </c>
      <c r="P1501" s="21" t="n">
        <f aca="false">IFERROR(O1501/M1501,0)</f>
        <v>0.374374374374374</v>
      </c>
      <c r="Q1501" s="6" t="str">
        <f aca="false">Orders!H1501</f>
        <v>Shipped</v>
      </c>
      <c r="R1501" s="1" t="str">
        <f aca="false">INDEX(Customers!$C$2:$C$301,MATCH(C1501,Customers!$A$2:$A$301,0))</f>
        <v>Kolkata</v>
      </c>
      <c r="S1501" s="1" t="str">
        <f aca="false">INDEX(Customers!$E$2:$E$301,MATCH(C1501,Customers!$A$2:$A$301,0))</f>
        <v>Returning</v>
      </c>
      <c r="T1501" s="6" t="str">
        <f aca="false">Orders!I1501</f>
        <v>Mobile App</v>
      </c>
      <c r="U1501" s="1" t="str">
        <f aca="false">IF(Q1501="Delivered","Completed",IF(Q1501="Cancelled","Cancelled",IF(Q1501="Returned","Returned","In Progress")))</f>
        <v>In Progress</v>
      </c>
      <c r="V1501" s="1" t="str">
        <f aca="false">IF(M1501&gt;=10000,"High Value",IF(M1501&gt;=5000,"Medium Value","Low Value"))</f>
        <v>Low Value</v>
      </c>
      <c r="W1501" s="1" t="str">
        <f aca="false">IF(O1501&gt;0,"Profitable",IF(O1501=0,"Break-even","Loss"))</f>
        <v>Profitable</v>
      </c>
      <c r="X1501" s="1" t="str">
        <f aca="false">IF(Q1501="Cancelled","Not Applicable",IF(Q1501="Processing","Pending",IF(B1501="","Unknown",IF(Orders!J1501="","Unknown",IF(Orders!J1501&lt;=3,"Fast",IF(Orders!J1501&lt;=6,"Standard","Slow"))))))</f>
        <v>Standard</v>
      </c>
      <c r="Y1501" s="1" t="n">
        <f aca="false">IF(OR(Q1501="Cancelled",Q1501="Returned"),0,O1501)</f>
        <v>299.2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5" activeCellId="0" sqref="H2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7.57"/>
    <col collapsed="false" customWidth="true" hidden="false" outlineLevel="0" max="2" min="2" style="1" width="18.82"/>
    <col collapsed="false" customWidth="true" hidden="false" outlineLevel="0" max="5" min="5" style="1" width="17.57"/>
    <col collapsed="false" customWidth="true" hidden="false" outlineLevel="0" max="6" min="6" style="1" width="18.36"/>
    <col collapsed="false" customWidth="true" hidden="false" outlineLevel="0" max="9" min="9" style="1" width="14.65"/>
    <col collapsed="false" customWidth="true" hidden="false" outlineLevel="0" max="10" min="10" style="1" width="17.57"/>
  </cols>
  <sheetData>
    <row r="1" customFormat="false" ht="13.8" hidden="false" customHeight="false" outlineLevel="0" collapsed="false">
      <c r="A1" s="22" t="s">
        <v>59</v>
      </c>
      <c r="B1" s="8" t="s">
        <v>2239</v>
      </c>
      <c r="E1" s="23" t="s">
        <v>8</v>
      </c>
      <c r="F1" s="24" t="s">
        <v>2239</v>
      </c>
      <c r="I1" s="23" t="s">
        <v>2220</v>
      </c>
      <c r="J1" s="24" t="s">
        <v>2239</v>
      </c>
    </row>
    <row r="2" customFormat="false" ht="13.8" hidden="false" customHeight="false" outlineLevel="0" collapsed="false">
      <c r="A2" s="9" t="s">
        <v>62</v>
      </c>
      <c r="B2" s="10" t="n">
        <v>589663.3</v>
      </c>
      <c r="E2" s="25" t="s">
        <v>20</v>
      </c>
      <c r="F2" s="26" t="n">
        <v>727205.85</v>
      </c>
      <c r="I2" s="25" t="s">
        <v>2054</v>
      </c>
      <c r="J2" s="26" t="n">
        <v>91684.65</v>
      </c>
    </row>
    <row r="3" customFormat="false" ht="13.8" hidden="false" customHeight="false" outlineLevel="0" collapsed="false">
      <c r="A3" s="11" t="s">
        <v>65</v>
      </c>
      <c r="B3" s="12" t="n">
        <v>168193.5</v>
      </c>
      <c r="E3" s="27" t="s">
        <v>15</v>
      </c>
      <c r="F3" s="28" t="n">
        <v>1084542.65</v>
      </c>
      <c r="I3" s="27" t="s">
        <v>2037</v>
      </c>
      <c r="J3" s="28" t="n">
        <v>118757.75</v>
      </c>
    </row>
    <row r="4" customFormat="false" ht="13.8" hidden="false" customHeight="false" outlineLevel="0" collapsed="false">
      <c r="A4" s="11" t="s">
        <v>68</v>
      </c>
      <c r="B4" s="12" t="n">
        <v>133622.05</v>
      </c>
      <c r="E4" s="27" t="s">
        <v>38</v>
      </c>
      <c r="F4" s="29" t="n">
        <v>523015.45</v>
      </c>
      <c r="I4" s="27" t="s">
        <v>2071</v>
      </c>
      <c r="J4" s="28" t="n">
        <v>95776.4</v>
      </c>
    </row>
    <row r="5" customFormat="false" ht="13.8" hidden="false" customHeight="false" outlineLevel="0" collapsed="false">
      <c r="A5" s="11" t="s">
        <v>72</v>
      </c>
      <c r="B5" s="12" t="n">
        <v>460464.05</v>
      </c>
      <c r="E5" s="30" t="s">
        <v>85</v>
      </c>
      <c r="F5" s="31" t="n">
        <v>2334763.95</v>
      </c>
      <c r="I5" s="27" t="s">
        <v>2073</v>
      </c>
      <c r="J5" s="28" t="n">
        <v>106637.45</v>
      </c>
    </row>
    <row r="6" customFormat="false" ht="13.8" hidden="false" customHeight="false" outlineLevel="0" collapsed="false">
      <c r="A6" s="11" t="s">
        <v>75</v>
      </c>
      <c r="B6" s="12" t="n">
        <v>427691.1</v>
      </c>
      <c r="I6" s="27" t="s">
        <v>2043</v>
      </c>
      <c r="J6" s="28" t="n">
        <v>141129.45</v>
      </c>
    </row>
    <row r="7" customFormat="false" ht="13.8" hidden="false" customHeight="false" outlineLevel="0" collapsed="false">
      <c r="A7" s="11" t="s">
        <v>79</v>
      </c>
      <c r="B7" s="12" t="n">
        <v>304282.9</v>
      </c>
      <c r="I7" s="27" t="s">
        <v>2079</v>
      </c>
      <c r="J7" s="28" t="n">
        <v>134728.5</v>
      </c>
    </row>
    <row r="8" customFormat="false" ht="13.8" hidden="false" customHeight="false" outlineLevel="0" collapsed="false">
      <c r="A8" s="11" t="s">
        <v>82</v>
      </c>
      <c r="B8" s="13" t="n">
        <v>250847.05</v>
      </c>
      <c r="E8" s="23" t="s">
        <v>7</v>
      </c>
      <c r="F8" s="24" t="s">
        <v>2240</v>
      </c>
      <c r="I8" s="27" t="s">
        <v>2030</v>
      </c>
      <c r="J8" s="28" t="n">
        <v>105367.5</v>
      </c>
    </row>
    <row r="9" customFormat="false" ht="13.8" hidden="false" customHeight="false" outlineLevel="0" collapsed="false">
      <c r="A9" s="14" t="s">
        <v>85</v>
      </c>
      <c r="B9" s="15" t="n">
        <v>2334763.95</v>
      </c>
      <c r="E9" s="25" t="s">
        <v>45</v>
      </c>
      <c r="F9" s="26" t="n">
        <v>89</v>
      </c>
      <c r="I9" s="27" t="s">
        <v>2060</v>
      </c>
      <c r="J9" s="28" t="n">
        <v>135453.35</v>
      </c>
    </row>
    <row r="10" customFormat="false" ht="13.8" hidden="false" customHeight="false" outlineLevel="0" collapsed="false">
      <c r="E10" s="27" t="s">
        <v>14</v>
      </c>
      <c r="F10" s="28" t="n">
        <v>1078</v>
      </c>
      <c r="I10" s="27" t="s">
        <v>2040</v>
      </c>
      <c r="J10" s="28" t="n">
        <v>134207.4</v>
      </c>
    </row>
    <row r="11" customFormat="false" ht="13.8" hidden="false" customHeight="false" outlineLevel="0" collapsed="false">
      <c r="E11" s="27" t="s">
        <v>92</v>
      </c>
      <c r="F11" s="28" t="n">
        <v>99</v>
      </c>
      <c r="I11" s="27" t="s">
        <v>2068</v>
      </c>
      <c r="J11" s="28" t="n">
        <v>125202.1</v>
      </c>
    </row>
    <row r="12" customFormat="false" ht="13.8" hidden="false" customHeight="false" outlineLevel="0" collapsed="false">
      <c r="A12" s="23" t="s">
        <v>59</v>
      </c>
      <c r="B12" s="24" t="s">
        <v>60</v>
      </c>
      <c r="E12" s="27" t="s">
        <v>78</v>
      </c>
      <c r="F12" s="28" t="n">
        <v>73</v>
      </c>
      <c r="I12" s="27" t="s">
        <v>2051</v>
      </c>
      <c r="J12" s="28" t="n">
        <v>110543.55</v>
      </c>
    </row>
    <row r="13" customFormat="false" ht="13.8" hidden="false" customHeight="false" outlineLevel="0" collapsed="false">
      <c r="A13" s="25" t="s">
        <v>62</v>
      </c>
      <c r="B13" s="26" t="n">
        <v>152944.1</v>
      </c>
      <c r="E13" s="27" t="s">
        <v>53</v>
      </c>
      <c r="F13" s="29" t="n">
        <v>161</v>
      </c>
      <c r="I13" s="27" t="s">
        <v>2065</v>
      </c>
      <c r="J13" s="28" t="n">
        <v>114936.25</v>
      </c>
    </row>
    <row r="14" customFormat="false" ht="13.8" hidden="false" customHeight="false" outlineLevel="0" collapsed="false">
      <c r="A14" s="27" t="s">
        <v>65</v>
      </c>
      <c r="B14" s="28" t="n">
        <v>71643.1</v>
      </c>
      <c r="E14" s="30" t="s">
        <v>85</v>
      </c>
      <c r="F14" s="31" t="n">
        <v>1500</v>
      </c>
      <c r="I14" s="27" t="s">
        <v>2046</v>
      </c>
      <c r="J14" s="28" t="n">
        <v>107890.85</v>
      </c>
    </row>
    <row r="15" customFormat="false" ht="13.8" hidden="false" customHeight="false" outlineLevel="0" collapsed="false">
      <c r="A15" s="27" t="s">
        <v>68</v>
      </c>
      <c r="B15" s="28" t="n">
        <v>63022.75</v>
      </c>
      <c r="I15" s="27" t="s">
        <v>2057</v>
      </c>
      <c r="J15" s="28" t="n">
        <v>130604.4</v>
      </c>
    </row>
    <row r="16" customFormat="false" ht="13.8" hidden="false" customHeight="false" outlineLevel="0" collapsed="false">
      <c r="A16" s="27" t="s">
        <v>72</v>
      </c>
      <c r="B16" s="28" t="n">
        <v>151043</v>
      </c>
      <c r="I16" s="27" t="s">
        <v>2033</v>
      </c>
      <c r="J16" s="28" t="n">
        <v>105327.25</v>
      </c>
    </row>
    <row r="17" customFormat="false" ht="13.8" hidden="false" customHeight="false" outlineLevel="0" collapsed="false">
      <c r="A17" s="27" t="s">
        <v>75</v>
      </c>
      <c r="B17" s="28" t="n">
        <v>166824.65</v>
      </c>
      <c r="E17" s="23" t="s">
        <v>2028</v>
      </c>
      <c r="F17" s="24" t="s">
        <v>2239</v>
      </c>
      <c r="I17" s="27" t="s">
        <v>2077</v>
      </c>
      <c r="J17" s="28" t="n">
        <v>124828.55</v>
      </c>
    </row>
    <row r="18" customFormat="false" ht="13.8" hidden="false" customHeight="false" outlineLevel="0" collapsed="false">
      <c r="A18" s="27" t="s">
        <v>79</v>
      </c>
      <c r="B18" s="28" t="n">
        <v>130803.85</v>
      </c>
      <c r="E18" s="25" t="s">
        <v>2035</v>
      </c>
      <c r="F18" s="26" t="n">
        <v>825360.65</v>
      </c>
      <c r="I18" s="27" t="s">
        <v>2063</v>
      </c>
      <c r="J18" s="28" t="n">
        <v>90450.25</v>
      </c>
    </row>
    <row r="19" customFormat="false" ht="13.8" hidden="false" customHeight="false" outlineLevel="0" collapsed="false">
      <c r="A19" s="27" t="s">
        <v>82</v>
      </c>
      <c r="B19" s="29" t="n">
        <v>102658.3</v>
      </c>
      <c r="E19" s="27" t="s">
        <v>2031</v>
      </c>
      <c r="F19" s="28" t="n">
        <v>1296792.5</v>
      </c>
      <c r="I19" s="27" t="s">
        <v>2049</v>
      </c>
      <c r="J19" s="28" t="n">
        <v>124100</v>
      </c>
    </row>
    <row r="20" customFormat="false" ht="13.8" hidden="false" customHeight="false" outlineLevel="0" collapsed="false">
      <c r="A20" s="30" t="s">
        <v>85</v>
      </c>
      <c r="B20" s="31" t="n">
        <v>838939.750000001</v>
      </c>
      <c r="E20" s="27" t="s">
        <v>2091</v>
      </c>
      <c r="F20" s="29" t="n">
        <v>212610.8</v>
      </c>
      <c r="I20" s="27" t="s">
        <v>2075</v>
      </c>
      <c r="J20" s="28" t="n">
        <v>85437.25</v>
      </c>
    </row>
    <row r="21" customFormat="false" ht="13.8" hidden="false" customHeight="false" outlineLevel="0" collapsed="false">
      <c r="E21" s="30" t="s">
        <v>85</v>
      </c>
      <c r="F21" s="31" t="n">
        <v>2334763.95</v>
      </c>
      <c r="I21" s="27" t="s">
        <v>2081</v>
      </c>
      <c r="J21" s="29" t="n">
        <v>151701.05</v>
      </c>
    </row>
    <row r="22" customFormat="false" ht="13.8" hidden="false" customHeight="false" outlineLevel="0" collapsed="false">
      <c r="I22" s="30" t="s">
        <v>85</v>
      </c>
      <c r="J22" s="31" t="n">
        <v>2334763.95</v>
      </c>
    </row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3"/>
  <sheetViews>
    <sheetView showFormulas="false" showGridLines="true" showRowColHeaders="true" showZeros="true" rightToLeft="false" tabSelected="true" showOutlineSymbols="true" defaultGridColor="true" view="normal" topLeftCell="A82" colorId="64" zoomScale="100" zoomScaleNormal="100" zoomScalePageLayoutView="100" workbookViewId="0">
      <selection pane="topLeft" activeCell="A95" activeCellId="0" sqref="A9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.2"/>
    <col collapsed="false" customWidth="true" hidden="false" outlineLevel="0" max="2" min="2" style="1" width="15.2"/>
    <col collapsed="false" customWidth="true" hidden="false" outlineLevel="0" max="4" min="3" style="1" width="11.53"/>
    <col collapsed="false" customWidth="true" hidden="false" outlineLevel="0" max="5" min="5" style="1" width="17.01"/>
    <col collapsed="false" customWidth="true" hidden="false" outlineLevel="0" max="8" min="8" style="1" width="20.77"/>
    <col collapsed="false" customWidth="true" hidden="false" outlineLevel="0" max="11" min="11" style="1" width="15.76"/>
  </cols>
  <sheetData>
    <row r="1" customFormat="false" ht="29.15" hidden="false" customHeight="false" outlineLevel="0" collapsed="false">
      <c r="B1" s="32" t="s">
        <v>2241</v>
      </c>
      <c r="C1" s="32"/>
      <c r="D1" s="32"/>
      <c r="E1" s="32"/>
      <c r="F1" s="32"/>
      <c r="G1" s="32"/>
      <c r="H1" s="32"/>
    </row>
    <row r="4" customFormat="false" ht="15" hidden="false" customHeight="false" outlineLevel="0" collapsed="false">
      <c r="B4" s="33" t="s">
        <v>2228</v>
      </c>
      <c r="C4" s="18"/>
      <c r="D4" s="18"/>
      <c r="E4" s="34" t="s">
        <v>2229</v>
      </c>
      <c r="F4" s="18"/>
      <c r="G4" s="18"/>
      <c r="H4" s="35" t="s">
        <v>2232</v>
      </c>
      <c r="I4" s="18"/>
      <c r="J4" s="18"/>
      <c r="K4" s="18"/>
    </row>
    <row r="5" customFormat="false" ht="22.05" hidden="false" customHeight="false" outlineLevel="0" collapsed="false">
      <c r="B5" s="36" t="n">
        <f aca="false">Formula_Analysis!AB2</f>
        <v>1500</v>
      </c>
      <c r="C5" s="37"/>
      <c r="D5" s="37"/>
      <c r="E5" s="38" t="n">
        <f aca="false">Formula_Analysis!AB3</f>
        <v>1078</v>
      </c>
      <c r="F5" s="37"/>
      <c r="G5" s="39"/>
      <c r="H5" s="40" t="n">
        <f aca="false">Formula_Analysis!AB6</f>
        <v>1682287.25</v>
      </c>
      <c r="I5" s="41"/>
      <c r="J5" s="41"/>
      <c r="K5" s="42"/>
    </row>
    <row r="7" customFormat="false" ht="15" hidden="false" customHeight="false" outlineLevel="0" collapsed="false">
      <c r="B7" s="43" t="s">
        <v>2233</v>
      </c>
      <c r="C7" s="18"/>
      <c r="D7" s="18"/>
      <c r="E7" s="44" t="s">
        <v>2242</v>
      </c>
      <c r="H7" s="45" t="s">
        <v>2237</v>
      </c>
    </row>
    <row r="8" customFormat="false" ht="22.05" hidden="false" customHeight="false" outlineLevel="0" collapsed="false">
      <c r="B8" s="46" t="n">
        <f aca="false">Formula_Analysis!AB7</f>
        <v>683645.25</v>
      </c>
      <c r="C8" s="37"/>
      <c r="D8" s="37"/>
      <c r="E8" s="47" t="n">
        <f aca="false">Formula_Analysis!AB4/Formula_Analysis!AB2</f>
        <v>0.0593333333333333</v>
      </c>
      <c r="H8" s="48" t="n">
        <f aca="false">Formula_Analysis!AB11</f>
        <v>4.56864564007421</v>
      </c>
    </row>
    <row r="9" customFormat="false" ht="15" hidden="false" customHeight="false" outlineLevel="0" collapsed="false">
      <c r="E9" s="18"/>
    </row>
    <row r="69" customFormat="false" ht="19.7" hidden="false" customHeight="false" outlineLevel="0" collapsed="false">
      <c r="A69" s="49" t="s">
        <v>2243</v>
      </c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</row>
    <row r="71" customFormat="false" ht="17.9" hidden="false" customHeight="true" outlineLevel="0" collapsed="false">
      <c r="A71" s="50" t="s">
        <v>2244</v>
      </c>
      <c r="B71" s="50"/>
      <c r="C71" s="50"/>
    </row>
    <row r="72" customFormat="false" ht="26.85" hidden="false" customHeight="true" outlineLevel="0" collapsed="false">
      <c r="A72" s="51" t="s">
        <v>2245</v>
      </c>
      <c r="B72" s="51"/>
      <c r="C72" s="51"/>
      <c r="D72" s="51"/>
    </row>
    <row r="73" customFormat="false" ht="20.1" hidden="false" customHeight="true" outlineLevel="0" collapsed="false">
      <c r="A73" s="52" t="s">
        <v>2246</v>
      </c>
      <c r="B73" s="52"/>
      <c r="C73" s="52"/>
      <c r="D73" s="52"/>
      <c r="E73" s="52"/>
    </row>
    <row r="75" customFormat="false" ht="17.35" hidden="false" customHeight="false" outlineLevel="0" collapsed="false">
      <c r="A75" s="50" t="s">
        <v>2247</v>
      </c>
      <c r="B75" s="50"/>
    </row>
    <row r="76" customFormat="false" ht="26.85" hidden="false" customHeight="true" outlineLevel="0" collapsed="false">
      <c r="A76" s="51" t="s">
        <v>2248</v>
      </c>
      <c r="B76" s="51"/>
      <c r="C76" s="51"/>
    </row>
    <row r="77" customFormat="false" ht="14.9" hidden="false" customHeight="true" outlineLevel="0" collapsed="false">
      <c r="A77" s="52" t="s">
        <v>2249</v>
      </c>
      <c r="B77" s="52"/>
      <c r="C77" s="52"/>
      <c r="D77" s="52"/>
      <c r="E77" s="52"/>
    </row>
    <row r="79" customFormat="false" ht="17.35" hidden="false" customHeight="false" outlineLevel="0" collapsed="false">
      <c r="A79" s="50" t="s">
        <v>2250</v>
      </c>
      <c r="B79" s="50"/>
      <c r="C79" s="50"/>
      <c r="D79" s="50"/>
    </row>
    <row r="80" customFormat="false" ht="26.85" hidden="false" customHeight="true" outlineLevel="0" collapsed="false">
      <c r="A80" s="51" t="s">
        <v>2251</v>
      </c>
      <c r="B80" s="51"/>
      <c r="C80" s="51"/>
    </row>
    <row r="81" customFormat="false" ht="15" hidden="false" customHeight="true" outlineLevel="0" collapsed="false">
      <c r="A81" s="52" t="s">
        <v>2252</v>
      </c>
      <c r="B81" s="52"/>
      <c r="C81" s="52"/>
      <c r="D81" s="52"/>
      <c r="E81" s="52"/>
    </row>
    <row r="83" customFormat="false" ht="17.35" hidden="false" customHeight="false" outlineLevel="0" collapsed="false">
      <c r="A83" s="50" t="s">
        <v>2253</v>
      </c>
      <c r="B83" s="50"/>
      <c r="C83" s="50"/>
    </row>
    <row r="84" customFormat="false" ht="26.85" hidden="false" customHeight="true" outlineLevel="0" collapsed="false">
      <c r="A84" s="51" t="s">
        <v>2254</v>
      </c>
      <c r="B84" s="51"/>
      <c r="C84" s="51"/>
      <c r="D84" s="51"/>
    </row>
    <row r="85" customFormat="false" ht="14.9" hidden="false" customHeight="true" outlineLevel="0" collapsed="false">
      <c r="A85" s="52" t="s">
        <v>2255</v>
      </c>
      <c r="B85" s="52"/>
      <c r="C85" s="52"/>
      <c r="D85" s="52"/>
      <c r="E85" s="52"/>
      <c r="F85" s="52"/>
      <c r="G85" s="52"/>
      <c r="H85" s="52"/>
    </row>
    <row r="87" customFormat="false" ht="17.35" hidden="false" customHeight="false" outlineLevel="0" collapsed="false">
      <c r="A87" s="50" t="s">
        <v>2256</v>
      </c>
      <c r="B87" s="50"/>
      <c r="C87" s="50"/>
      <c r="D87" s="50"/>
    </row>
    <row r="88" customFormat="false" ht="26.85" hidden="false" customHeight="true" outlineLevel="0" collapsed="false">
      <c r="A88" s="51" t="s">
        <v>2257</v>
      </c>
      <c r="B88" s="51"/>
      <c r="C88" s="51"/>
      <c r="D88" s="51"/>
    </row>
    <row r="89" customFormat="false" ht="15.65" hidden="false" customHeight="true" outlineLevel="0" collapsed="false">
      <c r="A89" s="52" t="s">
        <v>2258</v>
      </c>
      <c r="B89" s="52"/>
      <c r="C89" s="52"/>
      <c r="D89" s="52"/>
      <c r="E89" s="52"/>
      <c r="F89" s="52"/>
      <c r="G89" s="52"/>
      <c r="H89" s="52"/>
    </row>
    <row r="91" customFormat="false" ht="17.35" hidden="false" customHeight="false" outlineLevel="0" collapsed="false">
      <c r="A91" s="50" t="s">
        <v>2259</v>
      </c>
      <c r="B91" s="50"/>
      <c r="C91" s="50"/>
    </row>
    <row r="92" customFormat="false" ht="29.85" hidden="false" customHeight="true" outlineLevel="0" collapsed="false">
      <c r="A92" s="51" t="s">
        <v>2260</v>
      </c>
      <c r="B92" s="51"/>
      <c r="C92" s="51"/>
      <c r="D92" s="51"/>
      <c r="E92" s="51"/>
      <c r="F92" s="51"/>
      <c r="G92" s="51"/>
      <c r="H92" s="51"/>
    </row>
    <row r="93" customFormat="false" ht="15.65" hidden="false" customHeight="true" outlineLevel="0" collapsed="false">
      <c r="A93" s="52" t="s">
        <v>2261</v>
      </c>
      <c r="B93" s="52"/>
      <c r="C93" s="52"/>
      <c r="D93" s="52"/>
      <c r="E93" s="52"/>
      <c r="F93" s="52"/>
      <c r="G93" s="52"/>
      <c r="H93" s="52"/>
      <c r="I93" s="52"/>
      <c r="J93" s="52"/>
      <c r="K93" s="52"/>
    </row>
  </sheetData>
  <mergeCells count="20">
    <mergeCell ref="B1:H1"/>
    <mergeCell ref="A69:O69"/>
    <mergeCell ref="A71:C71"/>
    <mergeCell ref="A72:D72"/>
    <mergeCell ref="A73:E73"/>
    <mergeCell ref="A75:B75"/>
    <mergeCell ref="A76:C76"/>
    <mergeCell ref="A77:E77"/>
    <mergeCell ref="A79:D79"/>
    <mergeCell ref="A80:C80"/>
    <mergeCell ref="A81:E81"/>
    <mergeCell ref="A83:C83"/>
    <mergeCell ref="A84:D84"/>
    <mergeCell ref="A85:H85"/>
    <mergeCell ref="A87:D87"/>
    <mergeCell ref="A88:D88"/>
    <mergeCell ref="A89:H89"/>
    <mergeCell ref="A91:C91"/>
    <mergeCell ref="A92:H92"/>
    <mergeCell ref="A93:K9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113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2026-10-12T08:14:51Z</dcterms:created>
  <dc:creator>openpyxl</dc:creator>
  <dc:description/>
  <dc:language>en-IN</dc:language>
  <cp:lastModifiedBy/>
  <dcterms:modified xsi:type="dcterms:W3CDTF">2026-10-19T16:04:26Z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